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4EC7235B-B27A-4F25-97C9-00548F3656F9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T35" i="8"/>
  <c r="T34" i="8"/>
  <c r="Q35" i="8"/>
  <c r="Q34" i="8"/>
  <c r="R34" i="8"/>
  <c r="P35" i="8"/>
  <c r="P34" i="8"/>
  <c r="O35" i="8"/>
  <c r="O34" i="8"/>
  <c r="N35" i="8"/>
  <c r="N34" i="8"/>
  <c r="M35" i="8"/>
  <c r="M34" i="8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2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5" i="94"/>
  <c r="T33" i="8"/>
  <c r="Q33" i="8"/>
  <c r="P33" i="8"/>
  <c r="O33" i="8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2" i="8"/>
  <c r="Q32" i="8"/>
  <c r="P32" i="8"/>
  <c r="O32" i="8"/>
  <c r="T31" i="8"/>
  <c r="P31" i="8"/>
  <c r="Q31" i="8"/>
  <c r="O31" i="8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225" i="92"/>
  <c r="C226" i="92"/>
  <c r="C227" i="92"/>
  <c r="C228" i="92"/>
  <c r="C229" i="92"/>
  <c r="C230" i="92"/>
  <c r="C231" i="92"/>
  <c r="C232" i="92"/>
  <c r="C233" i="92"/>
  <c r="C234" i="92"/>
  <c r="C235" i="92"/>
  <c r="C236" i="92"/>
  <c r="C237" i="92"/>
  <c r="C238" i="92"/>
  <c r="C239" i="92"/>
  <c r="C240" i="92"/>
  <c r="C241" i="92"/>
  <c r="C242" i="92"/>
  <c r="C243" i="92"/>
  <c r="C244" i="92"/>
  <c r="C245" i="92"/>
  <c r="C246" i="92"/>
  <c r="C247" i="92"/>
  <c r="C248" i="92"/>
  <c r="C249" i="92"/>
  <c r="C250" i="92"/>
  <c r="C251" i="92"/>
  <c r="C252" i="92"/>
  <c r="C253" i="92"/>
  <c r="C254" i="92"/>
  <c r="C5" i="92"/>
  <c r="T30" i="8"/>
  <c r="R30" i="8"/>
  <c r="Q30" i="8"/>
  <c r="P30" i="8"/>
  <c r="O30" i="8"/>
  <c r="N30" i="8"/>
  <c r="M30" i="8"/>
  <c r="T29" i="8"/>
  <c r="R29" i="8"/>
  <c r="Q29" i="8"/>
  <c r="P29" i="8"/>
  <c r="O29" i="8"/>
  <c r="N29" i="8"/>
  <c r="M29" i="8"/>
  <c r="M28" i="8"/>
  <c r="T27" i="8"/>
  <c r="P27" i="8"/>
  <c r="T26" i="8"/>
  <c r="P26" i="8"/>
  <c r="T28" i="8"/>
  <c r="Q28" i="8"/>
  <c r="P28" i="8"/>
  <c r="O28" i="8"/>
  <c r="Q27" i="8" l="1"/>
  <c r="O27" i="8"/>
  <c r="Q26" i="8"/>
  <c r="O26" i="8"/>
  <c r="T25" i="8"/>
  <c r="Q25" i="8"/>
  <c r="P25" i="8"/>
  <c r="O25" i="8"/>
  <c r="T23" i="8"/>
  <c r="T24" i="8"/>
  <c r="Q24" i="8"/>
  <c r="P24" i="8"/>
  <c r="O24" i="8"/>
  <c r="Q23" i="8"/>
  <c r="P23" i="8"/>
  <c r="O23" i="8"/>
  <c r="T22" i="8"/>
  <c r="Q22" i="8"/>
  <c r="P22" i="8"/>
  <c r="O22" i="8"/>
  <c r="M262" i="83"/>
  <c r="T21" i="8"/>
  <c r="Q21" i="8"/>
  <c r="P21" i="8"/>
  <c r="O21" i="8"/>
  <c r="T20" i="8"/>
  <c r="Q20" i="8"/>
  <c r="P20" i="8"/>
  <c r="O20" i="8"/>
  <c r="T19" i="8"/>
  <c r="Q19" i="8"/>
  <c r="P19" i="8"/>
  <c r="O19" i="8"/>
  <c r="T18" i="8" l="1"/>
  <c r="Q18" i="8"/>
  <c r="P18" i="8"/>
  <c r="O18" i="8"/>
  <c r="L220" i="79"/>
  <c r="T17" i="8" l="1"/>
  <c r="Q17" i="8"/>
  <c r="P17" i="8"/>
  <c r="O17" i="8"/>
  <c r="T16" i="8"/>
  <c r="Q16" i="8"/>
  <c r="P16" i="8"/>
  <c r="O16" i="8"/>
  <c r="L33" i="77"/>
  <c r="T15" i="8"/>
  <c r="Q15" i="8"/>
  <c r="P15" i="8"/>
  <c r="O15" i="8"/>
  <c r="O14" i="8"/>
  <c r="T14" i="8"/>
  <c r="Q14" i="8"/>
  <c r="P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 l="1"/>
  <c r="Q9" i="8"/>
  <c r="P9" i="8"/>
  <c r="O9" i="8"/>
  <c r="T8" i="8" l="1"/>
  <c r="Q8" i="8"/>
  <c r="P8" i="8"/>
  <c r="O8" i="8"/>
  <c r="T7" i="8"/>
  <c r="Q7" i="8"/>
  <c r="P7" i="8"/>
  <c r="O7" i="8"/>
  <c r="D25" i="99" l="1"/>
  <c r="C25" i="99"/>
  <c r="D25" i="98"/>
  <c r="C25" i="98"/>
  <c r="C14" i="97"/>
  <c r="T6" i="8" l="1"/>
  <c r="Q6" i="8"/>
  <c r="P6" i="8"/>
  <c r="O6" i="8"/>
  <c r="K262" i="67"/>
  <c r="N6" i="8" s="1"/>
  <c r="L218" i="67"/>
  <c r="S15" i="33" l="1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S15" i="66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X14" i="96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32" i="78" l="1"/>
  <c r="X32" i="71"/>
  <c r="X32" i="69"/>
  <c r="X32" i="73"/>
  <c r="X32" i="75"/>
  <c r="X32" i="77"/>
  <c r="X32" i="79"/>
  <c r="X32" i="81"/>
  <c r="X32" i="83"/>
  <c r="X32" i="85"/>
  <c r="X32" i="87"/>
  <c r="X32" i="70"/>
  <c r="X32" i="72"/>
  <c r="X32" i="76"/>
  <c r="X32" i="80"/>
  <c r="X32" i="82"/>
  <c r="X32" i="84"/>
  <c r="X32" i="86"/>
  <c r="X32" i="74"/>
  <c r="X32" i="94"/>
  <c r="X32" i="67"/>
  <c r="X32" i="91"/>
  <c r="X32" i="68"/>
  <c r="X32" i="92"/>
  <c r="X32" i="90"/>
  <c r="X32" i="93"/>
  <c r="X32" i="96"/>
  <c r="X32" i="88"/>
  <c r="X32" i="89"/>
  <c r="X32" i="95"/>
  <c r="T5" i="8"/>
  <c r="Q5" i="8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79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79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79" i="8"/>
  <c r="D222" i="8"/>
  <c r="D223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6" i="8"/>
  <c r="C7" i="8"/>
  <c r="C9" i="8"/>
  <c r="C10" i="8"/>
  <c r="C11" i="8"/>
  <c r="E11" i="8" s="1"/>
  <c r="C12" i="8"/>
  <c r="C13" i="8"/>
  <c r="C14" i="8"/>
  <c r="C15" i="8"/>
  <c r="C16" i="8"/>
  <c r="C17" i="8"/>
  <c r="C18" i="8"/>
  <c r="C20" i="8"/>
  <c r="E20" i="8" s="1"/>
  <c r="C21" i="8"/>
  <c r="C23" i="8"/>
  <c r="C25" i="8"/>
  <c r="C26" i="8"/>
  <c r="C27" i="8"/>
  <c r="E27" i="8" s="1"/>
  <c r="C28" i="8"/>
  <c r="E28" i="8" s="1"/>
  <c r="C29" i="8"/>
  <c r="C30" i="8"/>
  <c r="C31" i="8"/>
  <c r="C32" i="8"/>
  <c r="C33" i="8"/>
  <c r="C34" i="8"/>
  <c r="C35" i="8"/>
  <c r="E35" i="8" s="1"/>
  <c r="C36" i="8"/>
  <c r="E36" i="8" s="1"/>
  <c r="C39" i="8"/>
  <c r="C40" i="8"/>
  <c r="C42" i="8"/>
  <c r="C43" i="8"/>
  <c r="C44" i="8"/>
  <c r="C45" i="8"/>
  <c r="C46" i="8"/>
  <c r="C48" i="8"/>
  <c r="C50" i="8"/>
  <c r="C52" i="8"/>
  <c r="C53" i="8"/>
  <c r="C55" i="8"/>
  <c r="C56" i="8"/>
  <c r="C57" i="8"/>
  <c r="C58" i="8"/>
  <c r="C59" i="8"/>
  <c r="E59" i="8" s="1"/>
  <c r="C60" i="8"/>
  <c r="C62" i="8"/>
  <c r="C64" i="8"/>
  <c r="C65" i="8"/>
  <c r="C67" i="8"/>
  <c r="C68" i="8"/>
  <c r="C69" i="8"/>
  <c r="C71" i="8"/>
  <c r="C72" i="8"/>
  <c r="C73" i="8"/>
  <c r="C74" i="8"/>
  <c r="C75" i="8"/>
  <c r="E75" i="8" s="1"/>
  <c r="C76" i="8"/>
  <c r="C77" i="8"/>
  <c r="C78" i="8"/>
  <c r="C80" i="8"/>
  <c r="C81" i="8"/>
  <c r="C84" i="8"/>
  <c r="E84" i="8" s="1"/>
  <c r="C85" i="8"/>
  <c r="C86" i="8"/>
  <c r="C88" i="8"/>
  <c r="C90" i="8"/>
  <c r="C92" i="8"/>
  <c r="E92" i="8" s="1"/>
  <c r="C93" i="8"/>
  <c r="C94" i="8"/>
  <c r="C95" i="8"/>
  <c r="C96" i="8"/>
  <c r="E96" i="8" s="1"/>
  <c r="C97" i="8"/>
  <c r="C98" i="8"/>
  <c r="C99" i="8"/>
  <c r="C100" i="8"/>
  <c r="E100" i="8" s="1"/>
  <c r="C101" i="8"/>
  <c r="C103" i="8"/>
  <c r="C105" i="8"/>
  <c r="E105" i="8" s="1"/>
  <c r="C106" i="8"/>
  <c r="C107" i="8"/>
  <c r="C108" i="8"/>
  <c r="E108" i="8" s="1"/>
  <c r="C109" i="8"/>
  <c r="C110" i="8"/>
  <c r="C111" i="8"/>
  <c r="C112" i="8"/>
  <c r="E112" i="8" s="1"/>
  <c r="C113" i="8"/>
  <c r="C114" i="8"/>
  <c r="C115" i="8"/>
  <c r="C116" i="8"/>
  <c r="E116" i="8" s="1"/>
  <c r="C117" i="8"/>
  <c r="C118" i="8"/>
  <c r="C119" i="8"/>
  <c r="C120" i="8"/>
  <c r="C121" i="8"/>
  <c r="C122" i="8"/>
  <c r="C123" i="8"/>
  <c r="C124" i="8"/>
  <c r="C125" i="8"/>
  <c r="C126" i="8"/>
  <c r="C127" i="8"/>
  <c r="C129" i="8"/>
  <c r="C130" i="8"/>
  <c r="C131" i="8"/>
  <c r="C132" i="8"/>
  <c r="C133" i="8"/>
  <c r="C134" i="8"/>
  <c r="C135" i="8"/>
  <c r="C136" i="8"/>
  <c r="E136" i="8"/>
  <c r="C137" i="8"/>
  <c r="C138" i="8"/>
  <c r="C139" i="8"/>
  <c r="C140" i="8"/>
  <c r="E140" i="8" s="1"/>
  <c r="C141" i="8"/>
  <c r="C142" i="8"/>
  <c r="C143" i="8"/>
  <c r="C144" i="8"/>
  <c r="C145" i="8"/>
  <c r="C146" i="8"/>
  <c r="C147" i="8"/>
  <c r="C148" i="8"/>
  <c r="E148" i="8" s="1"/>
  <c r="C149" i="8"/>
  <c r="C150" i="8"/>
  <c r="C151" i="8"/>
  <c r="C152" i="8"/>
  <c r="E152" i="8" s="1"/>
  <c r="C153" i="8"/>
  <c r="C154" i="8"/>
  <c r="C155" i="8"/>
  <c r="E155" i="8" s="1"/>
  <c r="C156" i="8"/>
  <c r="E156" i="8" s="1"/>
  <c r="C157" i="8"/>
  <c r="C158" i="8"/>
  <c r="C159" i="8"/>
  <c r="C160" i="8"/>
  <c r="C161" i="8"/>
  <c r="C162" i="8"/>
  <c r="C163" i="8"/>
  <c r="C164" i="8"/>
  <c r="C165" i="8"/>
  <c r="C166" i="8"/>
  <c r="C167" i="8"/>
  <c r="C168" i="8"/>
  <c r="C170" i="8"/>
  <c r="C172" i="8"/>
  <c r="E172" i="8" s="1"/>
  <c r="C173" i="8"/>
  <c r="C174" i="8"/>
  <c r="C175" i="8"/>
  <c r="C176" i="8"/>
  <c r="C178" i="8"/>
  <c r="C180" i="8"/>
  <c r="E180" i="8" s="1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E196" i="8" s="1"/>
  <c r="C197" i="8"/>
  <c r="C198" i="8"/>
  <c r="C199" i="8"/>
  <c r="C200" i="8"/>
  <c r="C201" i="8"/>
  <c r="C202" i="8"/>
  <c r="C203" i="8"/>
  <c r="C204" i="8"/>
  <c r="E204" i="8" s="1"/>
  <c r="C205" i="8"/>
  <c r="C206" i="8"/>
  <c r="C207" i="8"/>
  <c r="C208" i="8"/>
  <c r="C209" i="8"/>
  <c r="C210" i="8"/>
  <c r="C211" i="8"/>
  <c r="C212" i="8"/>
  <c r="C213" i="8"/>
  <c r="C214" i="8"/>
  <c r="C215" i="8"/>
  <c r="C216" i="8"/>
  <c r="C220" i="8"/>
  <c r="C221" i="8"/>
  <c r="C222" i="8"/>
  <c r="C223" i="8"/>
  <c r="C225" i="8"/>
  <c r="C226" i="8"/>
  <c r="C227" i="8"/>
  <c r="C228" i="8"/>
  <c r="C229" i="8"/>
  <c r="C230" i="8"/>
  <c r="C231" i="8"/>
  <c r="C232" i="8"/>
  <c r="C233" i="8"/>
  <c r="C234" i="8"/>
  <c r="C235" i="8"/>
  <c r="E235" i="8" s="1"/>
  <c r="K262" i="96"/>
  <c r="K259" i="96"/>
  <c r="J254" i="96"/>
  <c r="M254" i="96" s="1"/>
  <c r="M253" i="96"/>
  <c r="J253" i="96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79" i="96"/>
  <c r="M79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J200" i="96"/>
  <c r="J199" i="96"/>
  <c r="J198" i="96"/>
  <c r="M198" i="96" s="1"/>
  <c r="J197" i="96"/>
  <c r="M197" i="96" s="1"/>
  <c r="J196" i="96"/>
  <c r="M196" i="96" s="1"/>
  <c r="J195" i="96"/>
  <c r="M195" i="96" s="1"/>
  <c r="J194" i="96"/>
  <c r="J193" i="96"/>
  <c r="J192" i="96"/>
  <c r="M192" i="96" s="1"/>
  <c r="J191" i="96"/>
  <c r="J190" i="96"/>
  <c r="M190" i="96" s="1"/>
  <c r="J189" i="96"/>
  <c r="M189" i="96" s="1"/>
  <c r="J188" i="96"/>
  <c r="J187" i="96"/>
  <c r="M187" i="96" s="1"/>
  <c r="J186" i="96"/>
  <c r="M186" i="96" s="1"/>
  <c r="J185" i="96"/>
  <c r="J184" i="96"/>
  <c r="J183" i="96"/>
  <c r="J182" i="96"/>
  <c r="M182" i="96" s="1"/>
  <c r="J181" i="96"/>
  <c r="M181" i="96" s="1"/>
  <c r="J180" i="96"/>
  <c r="M180" i="96" s="1"/>
  <c r="J179" i="96"/>
  <c r="M179" i="96" s="1"/>
  <c r="J178" i="96"/>
  <c r="J177" i="96"/>
  <c r="M177" i="96" s="1"/>
  <c r="J176" i="96"/>
  <c r="M176" i="96" s="1"/>
  <c r="J175" i="96"/>
  <c r="J174" i="96"/>
  <c r="M174" i="96" s="1"/>
  <c r="J173" i="96"/>
  <c r="M173" i="96" s="1"/>
  <c r="J172" i="96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J161" i="96"/>
  <c r="M161" i="96" s="1"/>
  <c r="J160" i="96"/>
  <c r="M160" i="96" s="1"/>
  <c r="J159" i="96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J150" i="96"/>
  <c r="M150" i="96" s="1"/>
  <c r="J149" i="96"/>
  <c r="M149" i="96" s="1"/>
  <c r="J148" i="96"/>
  <c r="M148" i="96" s="1"/>
  <c r="J147" i="96"/>
  <c r="M147" i="96" s="1"/>
  <c r="J146" i="96"/>
  <c r="J145" i="96"/>
  <c r="J144" i="96"/>
  <c r="M144" i="96" s="1"/>
  <c r="J143" i="96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J136" i="96"/>
  <c r="M136" i="96" s="1"/>
  <c r="J135" i="96"/>
  <c r="M135" i="96" s="1"/>
  <c r="J134" i="96"/>
  <c r="M134" i="96" s="1"/>
  <c r="J133" i="96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J95" i="96"/>
  <c r="M95" i="96" s="1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79" i="95"/>
  <c r="M79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N33" i="8" s="1"/>
  <c r="K259" i="94"/>
  <c r="R33" i="8" s="1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79" i="94"/>
  <c r="M79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N32" i="8" s="1"/>
  <c r="K259" i="93"/>
  <c r="R32" i="8" s="1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79" i="93"/>
  <c r="M79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79" i="92"/>
  <c r="M79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K259" i="9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79" i="91"/>
  <c r="M79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M213" i="91"/>
  <c r="J213" i="9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K259" i="90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79" i="90"/>
  <c r="M79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79" i="89"/>
  <c r="M79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79" i="88"/>
  <c r="M79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M231" i="87"/>
  <c r="J231" i="87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79" i="87"/>
  <c r="M79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79" i="86"/>
  <c r="M79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M5" i="86" s="1"/>
  <c r="K262" i="85"/>
  <c r="N24" i="8" s="1"/>
  <c r="K259" i="85"/>
  <c r="R24" i="8" s="1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79" i="85"/>
  <c r="M79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79" i="84"/>
  <c r="M79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M241" i="83"/>
  <c r="J241" i="83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79" i="83"/>
  <c r="M79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79" i="82"/>
  <c r="M79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M247" i="81"/>
  <c r="J247" i="8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79" i="81"/>
  <c r="M79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79" i="80"/>
  <c r="M79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M245" i="79"/>
  <c r="J245" i="79"/>
  <c r="M244" i="79"/>
  <c r="J244" i="79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79" i="79"/>
  <c r="M79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M231" i="78"/>
  <c r="J231" i="78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79" i="78"/>
  <c r="M79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79" i="77"/>
  <c r="M79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79" i="76"/>
  <c r="M79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79" i="75"/>
  <c r="M79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79" i="74"/>
  <c r="M79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79" i="73"/>
  <c r="M79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256" i="73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79" i="72"/>
  <c r="M79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79" i="71"/>
  <c r="M79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79" i="70"/>
  <c r="M79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79" i="69"/>
  <c r="M79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79" i="68"/>
  <c r="M79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79" i="67"/>
  <c r="M79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79" i="66"/>
  <c r="M79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C15" i="67" s="1"/>
  <c r="E15" i="67" s="1"/>
  <c r="G15" i="67" s="1"/>
  <c r="J15" i="33"/>
  <c r="M15" i="33" s="1"/>
  <c r="E16" i="33"/>
  <c r="G16" i="33" s="1"/>
  <c r="C16" i="66" s="1"/>
  <c r="E16" i="66" s="1"/>
  <c r="G16" i="66" s="1"/>
  <c r="C16" i="67" s="1"/>
  <c r="E16" i="67" s="1"/>
  <c r="G16" i="67" s="1"/>
  <c r="J16" i="33"/>
  <c r="M16" i="33" s="1"/>
  <c r="E17" i="33"/>
  <c r="G17" i="33" s="1"/>
  <c r="C17" i="66" s="1"/>
  <c r="E17" i="66" s="1"/>
  <c r="G17" i="66" s="1"/>
  <c r="C17" i="67" s="1"/>
  <c r="E17" i="67" s="1"/>
  <c r="G17" i="67" s="1"/>
  <c r="C17" i="70" s="1"/>
  <c r="J17" i="33"/>
  <c r="M17" i="33" s="1"/>
  <c r="E18" i="33"/>
  <c r="G18" i="33" s="1"/>
  <c r="C18" i="66" s="1"/>
  <c r="E18" i="66" s="1"/>
  <c r="G18" i="66" s="1"/>
  <c r="C18" i="67" s="1"/>
  <c r="E18" i="67" s="1"/>
  <c r="G18" i="67" s="1"/>
  <c r="C18" i="70" s="1"/>
  <c r="J18" i="33"/>
  <c r="M18" i="33" s="1"/>
  <c r="E19" i="33"/>
  <c r="G19" i="33" s="1"/>
  <c r="C19" i="66" s="1"/>
  <c r="E19" i="66" s="1"/>
  <c r="G19" i="66" s="1"/>
  <c r="C19" i="67" s="1"/>
  <c r="E19" i="67" s="1"/>
  <c r="G19" i="67" s="1"/>
  <c r="J19" i="33"/>
  <c r="M19" i="33" s="1"/>
  <c r="E20" i="33"/>
  <c r="G20" i="33" s="1"/>
  <c r="C20" i="66" s="1"/>
  <c r="E20" i="66" s="1"/>
  <c r="G20" i="66" s="1"/>
  <c r="C20" i="67" s="1"/>
  <c r="E20" i="67" s="1"/>
  <c r="G20" i="67" s="1"/>
  <c r="J20" i="33"/>
  <c r="M20" i="33" s="1"/>
  <c r="E21" i="33"/>
  <c r="G21" i="33" s="1"/>
  <c r="C21" i="66" s="1"/>
  <c r="E21" i="66" s="1"/>
  <c r="G21" i="66" s="1"/>
  <c r="C21" i="67" s="1"/>
  <c r="E21" i="67" s="1"/>
  <c r="G21" i="67" s="1"/>
  <c r="J21" i="33"/>
  <c r="M21" i="33" s="1"/>
  <c r="E22" i="33"/>
  <c r="G22" i="33" s="1"/>
  <c r="C22" i="66" s="1"/>
  <c r="E22" i="66" s="1"/>
  <c r="G22" i="66" s="1"/>
  <c r="C22" i="67" s="1"/>
  <c r="E22" i="67" s="1"/>
  <c r="G22" i="67" s="1"/>
  <c r="J22" i="33"/>
  <c r="M22" i="33" s="1"/>
  <c r="E23" i="33"/>
  <c r="G23" i="33" s="1"/>
  <c r="C23" i="66" s="1"/>
  <c r="E23" i="66" s="1"/>
  <c r="G23" i="66" s="1"/>
  <c r="C23" i="67" s="1"/>
  <c r="E23" i="67" s="1"/>
  <c r="G23" i="67" s="1"/>
  <c r="J23" i="33"/>
  <c r="M23" i="33" s="1"/>
  <c r="E24" i="33"/>
  <c r="G24" i="33" s="1"/>
  <c r="C24" i="66" s="1"/>
  <c r="E24" i="66" s="1"/>
  <c r="G24" i="66" s="1"/>
  <c r="C24" i="67" s="1"/>
  <c r="E24" i="67" s="1"/>
  <c r="G24" i="67" s="1"/>
  <c r="J24" i="33"/>
  <c r="M24" i="33" s="1"/>
  <c r="E25" i="33"/>
  <c r="G25" i="33" s="1"/>
  <c r="C25" i="66" s="1"/>
  <c r="E25" i="66" s="1"/>
  <c r="G25" i="66" s="1"/>
  <c r="C25" i="67" s="1"/>
  <c r="E25" i="67" s="1"/>
  <c r="G25" i="67" s="1"/>
  <c r="J25" i="33"/>
  <c r="M25" i="33" s="1"/>
  <c r="E26" i="33"/>
  <c r="G26" i="33" s="1"/>
  <c r="C26" i="66" s="1"/>
  <c r="E26" i="66" s="1"/>
  <c r="G26" i="66" s="1"/>
  <c r="C26" i="67" s="1"/>
  <c r="E26" i="67" s="1"/>
  <c r="G26" i="67" s="1"/>
  <c r="J26" i="33"/>
  <c r="M26" i="33" s="1"/>
  <c r="E27" i="33"/>
  <c r="G27" i="33" s="1"/>
  <c r="C27" i="66" s="1"/>
  <c r="E27" i="66" s="1"/>
  <c r="G27" i="66" s="1"/>
  <c r="C27" i="67" s="1"/>
  <c r="E27" i="67" s="1"/>
  <c r="G27" i="67" s="1"/>
  <c r="J27" i="33"/>
  <c r="M27" i="33" s="1"/>
  <c r="E28" i="33"/>
  <c r="G28" i="33" s="1"/>
  <c r="C28" i="66" s="1"/>
  <c r="E28" i="66" s="1"/>
  <c r="G28" i="66" s="1"/>
  <c r="C28" i="67" s="1"/>
  <c r="E28" i="67" s="1"/>
  <c r="G28" i="67" s="1"/>
  <c r="J28" i="33"/>
  <c r="M28" i="33" s="1"/>
  <c r="E29" i="33"/>
  <c r="G29" i="33" s="1"/>
  <c r="C29" i="66" s="1"/>
  <c r="E29" i="66" s="1"/>
  <c r="G29" i="66" s="1"/>
  <c r="C29" i="67" s="1"/>
  <c r="E29" i="67" s="1"/>
  <c r="G29" i="67" s="1"/>
  <c r="J29" i="33"/>
  <c r="M29" i="33" s="1"/>
  <c r="E30" i="33"/>
  <c r="G30" i="33" s="1"/>
  <c r="C30" i="66" s="1"/>
  <c r="E30" i="66" s="1"/>
  <c r="G30" i="66" s="1"/>
  <c r="C30" i="67" s="1"/>
  <c r="E30" i="67" s="1"/>
  <c r="G30" i="67" s="1"/>
  <c r="J30" i="33"/>
  <c r="M30" i="33" s="1"/>
  <c r="E31" i="33"/>
  <c r="G31" i="33" s="1"/>
  <c r="C31" i="66" s="1"/>
  <c r="E31" i="66" s="1"/>
  <c r="G31" i="66" s="1"/>
  <c r="C31" i="67" s="1"/>
  <c r="E31" i="67" s="1"/>
  <c r="G31" i="67" s="1"/>
  <c r="J31" i="33"/>
  <c r="M31" i="33" s="1"/>
  <c r="E32" i="33"/>
  <c r="G32" i="33" s="1"/>
  <c r="C32" i="66" s="1"/>
  <c r="E32" i="66" s="1"/>
  <c r="G32" i="66" s="1"/>
  <c r="C32" i="67" s="1"/>
  <c r="E32" i="67" s="1"/>
  <c r="G32" i="67" s="1"/>
  <c r="J32" i="33"/>
  <c r="M32" i="33" s="1"/>
  <c r="E33" i="33"/>
  <c r="G33" i="33" s="1"/>
  <c r="C33" i="66" s="1"/>
  <c r="E33" i="66" s="1"/>
  <c r="G33" i="66" s="1"/>
  <c r="C33" i="67" s="1"/>
  <c r="E33" i="67" s="1"/>
  <c r="G33" i="67" s="1"/>
  <c r="J33" i="33"/>
  <c r="M33" i="33" s="1"/>
  <c r="E34" i="33"/>
  <c r="G34" i="33" s="1"/>
  <c r="C34" i="66" s="1"/>
  <c r="E34" i="66" s="1"/>
  <c r="G34" i="66" s="1"/>
  <c r="C34" i="67" s="1"/>
  <c r="E34" i="67" s="1"/>
  <c r="G34" i="67" s="1"/>
  <c r="J34" i="33"/>
  <c r="M34" i="33" s="1"/>
  <c r="E35" i="33"/>
  <c r="G35" i="33" s="1"/>
  <c r="C35" i="66" s="1"/>
  <c r="E35" i="66" s="1"/>
  <c r="G35" i="66" s="1"/>
  <c r="C35" i="67" s="1"/>
  <c r="E35" i="67" s="1"/>
  <c r="G35" i="67" s="1"/>
  <c r="J35" i="33"/>
  <c r="M35" i="33" s="1"/>
  <c r="E36" i="33"/>
  <c r="G36" i="33" s="1"/>
  <c r="C36" i="66" s="1"/>
  <c r="E36" i="66" s="1"/>
  <c r="G36" i="66" s="1"/>
  <c r="C36" i="67" s="1"/>
  <c r="E36" i="67" s="1"/>
  <c r="G36" i="67" s="1"/>
  <c r="J36" i="33"/>
  <c r="M36" i="33" s="1"/>
  <c r="E37" i="33"/>
  <c r="G37" i="33" s="1"/>
  <c r="C37" i="66" s="1"/>
  <c r="E37" i="66" s="1"/>
  <c r="G37" i="66" s="1"/>
  <c r="C37" i="67" s="1"/>
  <c r="E37" i="67" s="1"/>
  <c r="G37" i="67" s="1"/>
  <c r="J37" i="33"/>
  <c r="M37" i="33" s="1"/>
  <c r="E38" i="33"/>
  <c r="G38" i="33" s="1"/>
  <c r="C38" i="66" s="1"/>
  <c r="E38" i="66" s="1"/>
  <c r="G38" i="66" s="1"/>
  <c r="C38" i="67" s="1"/>
  <c r="E38" i="67" s="1"/>
  <c r="G38" i="67" s="1"/>
  <c r="J38" i="33"/>
  <c r="M38" i="33" s="1"/>
  <c r="E39" i="33"/>
  <c r="G39" i="33" s="1"/>
  <c r="C39" i="66" s="1"/>
  <c r="E39" i="66" s="1"/>
  <c r="G39" i="66" s="1"/>
  <c r="C39" i="67" s="1"/>
  <c r="E39" i="67" s="1"/>
  <c r="G39" i="67" s="1"/>
  <c r="J39" i="33"/>
  <c r="M39" i="33" s="1"/>
  <c r="E40" i="33"/>
  <c r="G40" i="33" s="1"/>
  <c r="C40" i="66" s="1"/>
  <c r="E40" i="66" s="1"/>
  <c r="G40" i="66" s="1"/>
  <c r="C40" i="67" s="1"/>
  <c r="E40" i="67" s="1"/>
  <c r="G40" i="67" s="1"/>
  <c r="J40" i="33"/>
  <c r="M40" i="33" s="1"/>
  <c r="E41" i="33"/>
  <c r="G41" i="33" s="1"/>
  <c r="C41" i="66" s="1"/>
  <c r="E41" i="66" s="1"/>
  <c r="G41" i="66" s="1"/>
  <c r="C41" i="67" s="1"/>
  <c r="E41" i="67" s="1"/>
  <c r="G41" i="67" s="1"/>
  <c r="J41" i="33"/>
  <c r="M41" i="33" s="1"/>
  <c r="E42" i="33"/>
  <c r="G42" i="33"/>
  <c r="C42" i="66" s="1"/>
  <c r="E42" i="66" s="1"/>
  <c r="G42" i="66" s="1"/>
  <c r="C42" i="67" s="1"/>
  <c r="E42" i="67" s="1"/>
  <c r="G42" i="67" s="1"/>
  <c r="J42" i="33"/>
  <c r="M42" i="33" s="1"/>
  <c r="E43" i="33"/>
  <c r="G43" i="33" s="1"/>
  <c r="C43" i="66" s="1"/>
  <c r="E43" i="66" s="1"/>
  <c r="G43" i="66" s="1"/>
  <c r="C43" i="67" s="1"/>
  <c r="E43" i="67" s="1"/>
  <c r="G43" i="67" s="1"/>
  <c r="J43" i="33"/>
  <c r="M43" i="33" s="1"/>
  <c r="E44" i="33"/>
  <c r="G44" i="33" s="1"/>
  <c r="C44" i="66" s="1"/>
  <c r="E44" i="66" s="1"/>
  <c r="G44" i="66" s="1"/>
  <c r="C44" i="67" s="1"/>
  <c r="E44" i="67" s="1"/>
  <c r="G44" i="67" s="1"/>
  <c r="J44" i="33"/>
  <c r="M44" i="33" s="1"/>
  <c r="E45" i="33"/>
  <c r="G45" i="33" s="1"/>
  <c r="C45" i="66" s="1"/>
  <c r="E45" i="66" s="1"/>
  <c r="G45" i="66" s="1"/>
  <c r="C45" i="67" s="1"/>
  <c r="E45" i="67" s="1"/>
  <c r="G45" i="67" s="1"/>
  <c r="J45" i="33"/>
  <c r="M45" i="33" s="1"/>
  <c r="E46" i="33"/>
  <c r="G46" i="33" s="1"/>
  <c r="C46" i="66" s="1"/>
  <c r="E46" i="66" s="1"/>
  <c r="G46" i="66" s="1"/>
  <c r="C46" i="67" s="1"/>
  <c r="E46" i="67" s="1"/>
  <c r="G46" i="67" s="1"/>
  <c r="J46" i="33"/>
  <c r="M46" i="33" s="1"/>
  <c r="E47" i="33"/>
  <c r="G47" i="33" s="1"/>
  <c r="C47" i="66" s="1"/>
  <c r="E47" i="66" s="1"/>
  <c r="G47" i="66" s="1"/>
  <c r="C47" i="67" s="1"/>
  <c r="E47" i="67" s="1"/>
  <c r="G47" i="67" s="1"/>
  <c r="J47" i="33"/>
  <c r="M47" i="33" s="1"/>
  <c r="E48" i="33"/>
  <c r="G48" i="33" s="1"/>
  <c r="C48" i="66" s="1"/>
  <c r="E48" i="66" s="1"/>
  <c r="G48" i="66" s="1"/>
  <c r="C48" i="67" s="1"/>
  <c r="E48" i="67" s="1"/>
  <c r="G48" i="67" s="1"/>
  <c r="J48" i="33"/>
  <c r="M48" i="33" s="1"/>
  <c r="E49" i="33"/>
  <c r="G49" i="33" s="1"/>
  <c r="C49" i="66" s="1"/>
  <c r="E49" i="66" s="1"/>
  <c r="G49" i="66" s="1"/>
  <c r="C49" i="67" s="1"/>
  <c r="E49" i="67" s="1"/>
  <c r="G49" i="67" s="1"/>
  <c r="J49" i="33"/>
  <c r="M49" i="33" s="1"/>
  <c r="E50" i="33"/>
  <c r="G50" i="33"/>
  <c r="C50" i="66" s="1"/>
  <c r="E50" i="66" s="1"/>
  <c r="G50" i="66" s="1"/>
  <c r="C50" i="67" s="1"/>
  <c r="E50" i="67" s="1"/>
  <c r="G50" i="67" s="1"/>
  <c r="J50" i="33"/>
  <c r="M50" i="33" s="1"/>
  <c r="E51" i="33"/>
  <c r="G51" i="33" s="1"/>
  <c r="C51" i="66" s="1"/>
  <c r="E51" i="66" s="1"/>
  <c r="G51" i="66" s="1"/>
  <c r="C51" i="67" s="1"/>
  <c r="E51" i="67" s="1"/>
  <c r="G51" i="67" s="1"/>
  <c r="J51" i="33"/>
  <c r="M51" i="33" s="1"/>
  <c r="E52" i="33"/>
  <c r="G52" i="33" s="1"/>
  <c r="C52" i="66" s="1"/>
  <c r="E52" i="66" s="1"/>
  <c r="G52" i="66" s="1"/>
  <c r="C52" i="67" s="1"/>
  <c r="E52" i="67" s="1"/>
  <c r="G52" i="67" s="1"/>
  <c r="J52" i="33"/>
  <c r="M52" i="33" s="1"/>
  <c r="E53" i="33"/>
  <c r="G53" i="33" s="1"/>
  <c r="C53" i="66" s="1"/>
  <c r="E53" i="66" s="1"/>
  <c r="G53" i="66" s="1"/>
  <c r="C53" i="67" s="1"/>
  <c r="E53" i="67" s="1"/>
  <c r="G53" i="67" s="1"/>
  <c r="J53" i="33"/>
  <c r="M53" i="33" s="1"/>
  <c r="E54" i="33"/>
  <c r="G54" i="33" s="1"/>
  <c r="C54" i="66" s="1"/>
  <c r="E54" i="66" s="1"/>
  <c r="G54" i="66" s="1"/>
  <c r="C54" i="67" s="1"/>
  <c r="E54" i="67" s="1"/>
  <c r="G54" i="67" s="1"/>
  <c r="J54" i="33"/>
  <c r="M54" i="33" s="1"/>
  <c r="E55" i="33"/>
  <c r="G55" i="33" s="1"/>
  <c r="C55" i="66" s="1"/>
  <c r="E55" i="66" s="1"/>
  <c r="G55" i="66" s="1"/>
  <c r="C55" i="67" s="1"/>
  <c r="E55" i="67" s="1"/>
  <c r="G55" i="67" s="1"/>
  <c r="J55" i="33"/>
  <c r="M55" i="33" s="1"/>
  <c r="E56" i="33"/>
  <c r="G56" i="33" s="1"/>
  <c r="C56" i="66" s="1"/>
  <c r="E56" i="66" s="1"/>
  <c r="G56" i="66" s="1"/>
  <c r="C56" i="67" s="1"/>
  <c r="E56" i="67" s="1"/>
  <c r="G56" i="67" s="1"/>
  <c r="J56" i="33"/>
  <c r="M56" i="33" s="1"/>
  <c r="E57" i="33"/>
  <c r="G57" i="33" s="1"/>
  <c r="C57" i="66" s="1"/>
  <c r="E57" i="66" s="1"/>
  <c r="G57" i="66" s="1"/>
  <c r="C57" i="67" s="1"/>
  <c r="E57" i="67" s="1"/>
  <c r="G57" i="67" s="1"/>
  <c r="J57" i="33"/>
  <c r="M57" i="33" s="1"/>
  <c r="E58" i="33"/>
  <c r="G58" i="33" s="1"/>
  <c r="C58" i="66" s="1"/>
  <c r="E58" i="66" s="1"/>
  <c r="G58" i="66" s="1"/>
  <c r="C58" i="67" s="1"/>
  <c r="E58" i="67" s="1"/>
  <c r="G58" i="67" s="1"/>
  <c r="J58" i="33"/>
  <c r="M58" i="33" s="1"/>
  <c r="E59" i="33"/>
  <c r="G59" i="33" s="1"/>
  <c r="C59" i="66" s="1"/>
  <c r="E59" i="66" s="1"/>
  <c r="G59" i="66" s="1"/>
  <c r="C59" i="67" s="1"/>
  <c r="E59" i="67" s="1"/>
  <c r="G59" i="67" s="1"/>
  <c r="J59" i="33"/>
  <c r="M59" i="33" s="1"/>
  <c r="E60" i="33"/>
  <c r="G60" i="33" s="1"/>
  <c r="C60" i="66" s="1"/>
  <c r="E60" i="66" s="1"/>
  <c r="G60" i="66" s="1"/>
  <c r="C60" i="67" s="1"/>
  <c r="E60" i="67" s="1"/>
  <c r="G60" i="67" s="1"/>
  <c r="J60" i="33"/>
  <c r="M60" i="33" s="1"/>
  <c r="E61" i="33"/>
  <c r="G61" i="33" s="1"/>
  <c r="C61" i="66" s="1"/>
  <c r="E61" i="66" s="1"/>
  <c r="G61" i="66" s="1"/>
  <c r="C61" i="67" s="1"/>
  <c r="E61" i="67" s="1"/>
  <c r="G61" i="67" s="1"/>
  <c r="J61" i="33"/>
  <c r="M61" i="33" s="1"/>
  <c r="E62" i="33"/>
  <c r="G62" i="33" s="1"/>
  <c r="C62" i="66" s="1"/>
  <c r="E62" i="66" s="1"/>
  <c r="G62" i="66" s="1"/>
  <c r="C62" i="67" s="1"/>
  <c r="E62" i="67" s="1"/>
  <c r="G62" i="67" s="1"/>
  <c r="J62" i="33"/>
  <c r="M62" i="33" s="1"/>
  <c r="E63" i="33"/>
  <c r="G63" i="33" s="1"/>
  <c r="C63" i="66" s="1"/>
  <c r="E63" i="66" s="1"/>
  <c r="G63" i="66" s="1"/>
  <c r="C63" i="67" s="1"/>
  <c r="E63" i="67" s="1"/>
  <c r="G63" i="67" s="1"/>
  <c r="J63" i="33"/>
  <c r="M63" i="33" s="1"/>
  <c r="E64" i="33"/>
  <c r="G64" i="33" s="1"/>
  <c r="C64" i="66" s="1"/>
  <c r="E64" i="66" s="1"/>
  <c r="G64" i="66" s="1"/>
  <c r="C64" i="67" s="1"/>
  <c r="E64" i="67" s="1"/>
  <c r="G64" i="67" s="1"/>
  <c r="J64" i="33"/>
  <c r="M64" i="33" s="1"/>
  <c r="E65" i="33"/>
  <c r="G65" i="33" s="1"/>
  <c r="C65" i="66" s="1"/>
  <c r="E65" i="66" s="1"/>
  <c r="G65" i="66" s="1"/>
  <c r="C65" i="67" s="1"/>
  <c r="E65" i="67" s="1"/>
  <c r="G65" i="67" s="1"/>
  <c r="J65" i="33"/>
  <c r="M65" i="33" s="1"/>
  <c r="E66" i="33"/>
  <c r="G66" i="33" s="1"/>
  <c r="C66" i="66" s="1"/>
  <c r="E66" i="66" s="1"/>
  <c r="G66" i="66" s="1"/>
  <c r="C66" i="67" s="1"/>
  <c r="E66" i="67" s="1"/>
  <c r="G66" i="67" s="1"/>
  <c r="J66" i="33"/>
  <c r="M66" i="33" s="1"/>
  <c r="E67" i="33"/>
  <c r="G67" i="33" s="1"/>
  <c r="C67" i="66" s="1"/>
  <c r="E67" i="66" s="1"/>
  <c r="G67" i="66" s="1"/>
  <c r="C67" i="67" s="1"/>
  <c r="E67" i="67" s="1"/>
  <c r="G67" i="67" s="1"/>
  <c r="J67" i="33"/>
  <c r="M67" i="33" s="1"/>
  <c r="E68" i="33"/>
  <c r="G68" i="33" s="1"/>
  <c r="C68" i="66" s="1"/>
  <c r="E68" i="66" s="1"/>
  <c r="G68" i="66" s="1"/>
  <c r="C68" i="67" s="1"/>
  <c r="E68" i="67" s="1"/>
  <c r="G68" i="67" s="1"/>
  <c r="J68" i="33"/>
  <c r="M68" i="33" s="1"/>
  <c r="E69" i="33"/>
  <c r="G69" i="33" s="1"/>
  <c r="C69" i="66" s="1"/>
  <c r="E69" i="66" s="1"/>
  <c r="G69" i="66" s="1"/>
  <c r="C69" i="67" s="1"/>
  <c r="E69" i="67" s="1"/>
  <c r="G69" i="67" s="1"/>
  <c r="J69" i="33"/>
  <c r="M69" i="33" s="1"/>
  <c r="E70" i="33"/>
  <c r="G70" i="33" s="1"/>
  <c r="C70" i="66" s="1"/>
  <c r="E70" i="66" s="1"/>
  <c r="G70" i="66" s="1"/>
  <c r="C70" i="67" s="1"/>
  <c r="E70" i="67" s="1"/>
  <c r="G70" i="67" s="1"/>
  <c r="J70" i="33"/>
  <c r="M70" i="33" s="1"/>
  <c r="E71" i="33"/>
  <c r="G71" i="33" s="1"/>
  <c r="C71" i="66" s="1"/>
  <c r="E71" i="66" s="1"/>
  <c r="G71" i="66" s="1"/>
  <c r="C71" i="67" s="1"/>
  <c r="E71" i="67" s="1"/>
  <c r="G71" i="67" s="1"/>
  <c r="J71" i="33"/>
  <c r="M71" i="33" s="1"/>
  <c r="E72" i="33"/>
  <c r="G72" i="33" s="1"/>
  <c r="C72" i="66" s="1"/>
  <c r="E72" i="66" s="1"/>
  <c r="G72" i="66" s="1"/>
  <c r="C72" i="67" s="1"/>
  <c r="E72" i="67" s="1"/>
  <c r="G72" i="67" s="1"/>
  <c r="J72" i="33"/>
  <c r="M72" i="33" s="1"/>
  <c r="E73" i="33"/>
  <c r="G73" i="33" s="1"/>
  <c r="C73" i="66" s="1"/>
  <c r="E73" i="66" s="1"/>
  <c r="G73" i="66" s="1"/>
  <c r="C73" i="67" s="1"/>
  <c r="E73" i="67" s="1"/>
  <c r="G73" i="67" s="1"/>
  <c r="J73" i="33"/>
  <c r="M73" i="33" s="1"/>
  <c r="E74" i="33"/>
  <c r="G74" i="33" s="1"/>
  <c r="C74" i="66" s="1"/>
  <c r="E74" i="66" s="1"/>
  <c r="G74" i="66" s="1"/>
  <c r="C74" i="67" s="1"/>
  <c r="E74" i="67" s="1"/>
  <c r="G74" i="67" s="1"/>
  <c r="J74" i="33"/>
  <c r="M74" i="33" s="1"/>
  <c r="E75" i="33"/>
  <c r="G75" i="33" s="1"/>
  <c r="C75" i="66" s="1"/>
  <c r="E75" i="66" s="1"/>
  <c r="G75" i="66" s="1"/>
  <c r="C75" i="67" s="1"/>
  <c r="E75" i="67" s="1"/>
  <c r="G75" i="67" s="1"/>
  <c r="J75" i="33"/>
  <c r="M75" i="33" s="1"/>
  <c r="E76" i="33"/>
  <c r="G76" i="33" s="1"/>
  <c r="C76" i="66" s="1"/>
  <c r="E76" i="66" s="1"/>
  <c r="G76" i="66" s="1"/>
  <c r="C76" i="67" s="1"/>
  <c r="E76" i="67" s="1"/>
  <c r="G76" i="67" s="1"/>
  <c r="J76" i="33"/>
  <c r="M76" i="33" s="1"/>
  <c r="E77" i="33"/>
  <c r="G77" i="33" s="1"/>
  <c r="C77" i="66" s="1"/>
  <c r="E77" i="66" s="1"/>
  <c r="G77" i="66" s="1"/>
  <c r="C77" i="67" s="1"/>
  <c r="E77" i="67" s="1"/>
  <c r="G77" i="67" s="1"/>
  <c r="J77" i="33"/>
  <c r="M77" i="33" s="1"/>
  <c r="E78" i="33"/>
  <c r="G78" i="33" s="1"/>
  <c r="C78" i="66" s="1"/>
  <c r="E78" i="66" s="1"/>
  <c r="G78" i="66" s="1"/>
  <c r="C78" i="67" s="1"/>
  <c r="E78" i="67" s="1"/>
  <c r="G78" i="67" s="1"/>
  <c r="J78" i="33"/>
  <c r="M78" i="33" s="1"/>
  <c r="E80" i="33"/>
  <c r="G80" i="33" s="1"/>
  <c r="C80" i="66" s="1"/>
  <c r="E80" i="66" s="1"/>
  <c r="G80" i="66" s="1"/>
  <c r="C80" i="67" s="1"/>
  <c r="E80" i="67" s="1"/>
  <c r="G80" i="67" s="1"/>
  <c r="C80" i="70" s="1"/>
  <c r="J80" i="33"/>
  <c r="M80" i="33" s="1"/>
  <c r="E81" i="33"/>
  <c r="G81" i="33" s="1"/>
  <c r="C81" i="66" s="1"/>
  <c r="E81" i="66" s="1"/>
  <c r="G81" i="66" s="1"/>
  <c r="C81" i="67" s="1"/>
  <c r="E81" i="67" s="1"/>
  <c r="G81" i="67" s="1"/>
  <c r="J81" i="33"/>
  <c r="M81" i="33" s="1"/>
  <c r="E82" i="33"/>
  <c r="G82" i="33" s="1"/>
  <c r="C82" i="66" s="1"/>
  <c r="E82" i="66" s="1"/>
  <c r="G82" i="66" s="1"/>
  <c r="C82" i="67" s="1"/>
  <c r="E82" i="67" s="1"/>
  <c r="G82" i="67" s="1"/>
  <c r="C82" i="70" s="1"/>
  <c r="J82" i="33"/>
  <c r="M82" i="33" s="1"/>
  <c r="E83" i="33"/>
  <c r="G83" i="33" s="1"/>
  <c r="C83" i="66" s="1"/>
  <c r="E83" i="66" s="1"/>
  <c r="G83" i="66" s="1"/>
  <c r="C83" i="67" s="1"/>
  <c r="E83" i="67" s="1"/>
  <c r="G83" i="67" s="1"/>
  <c r="C83" i="70" s="1"/>
  <c r="J83" i="33"/>
  <c r="M83" i="33" s="1"/>
  <c r="E84" i="33"/>
  <c r="G84" i="33" s="1"/>
  <c r="C84" i="66" s="1"/>
  <c r="E84" i="66" s="1"/>
  <c r="G84" i="66" s="1"/>
  <c r="C84" i="67" s="1"/>
  <c r="E84" i="67" s="1"/>
  <c r="G84" i="67" s="1"/>
  <c r="J84" i="33"/>
  <c r="M84" i="33" s="1"/>
  <c r="E85" i="33"/>
  <c r="G85" i="33" s="1"/>
  <c r="C85" i="66" s="1"/>
  <c r="E85" i="66" s="1"/>
  <c r="G85" i="66" s="1"/>
  <c r="C85" i="67" s="1"/>
  <c r="E85" i="67" s="1"/>
  <c r="G85" i="67" s="1"/>
  <c r="J85" i="33"/>
  <c r="M85" i="33" s="1"/>
  <c r="E86" i="33"/>
  <c r="G86" i="33" s="1"/>
  <c r="C86" i="66" s="1"/>
  <c r="E86" i="66" s="1"/>
  <c r="G86" i="66" s="1"/>
  <c r="C86" i="67" s="1"/>
  <c r="E86" i="67" s="1"/>
  <c r="G86" i="67" s="1"/>
  <c r="C86" i="70" s="1"/>
  <c r="J86" i="33"/>
  <c r="M86" i="33" s="1"/>
  <c r="E87" i="33"/>
  <c r="G87" i="33" s="1"/>
  <c r="C87" i="66" s="1"/>
  <c r="E87" i="66" s="1"/>
  <c r="G87" i="66" s="1"/>
  <c r="C87" i="67" s="1"/>
  <c r="E87" i="67" s="1"/>
  <c r="G87" i="67" s="1"/>
  <c r="C87" i="70" s="1"/>
  <c r="J87" i="33"/>
  <c r="M87" i="33" s="1"/>
  <c r="E88" i="33"/>
  <c r="G88" i="33" s="1"/>
  <c r="C88" i="66" s="1"/>
  <c r="E88" i="66" s="1"/>
  <c r="G88" i="66" s="1"/>
  <c r="C88" i="67" s="1"/>
  <c r="E88" i="67" s="1"/>
  <c r="G88" i="67" s="1"/>
  <c r="J88" i="33"/>
  <c r="M88" i="33" s="1"/>
  <c r="E89" i="33"/>
  <c r="G89" i="33" s="1"/>
  <c r="C89" i="66" s="1"/>
  <c r="E89" i="66" s="1"/>
  <c r="G89" i="66" s="1"/>
  <c r="C89" i="67" s="1"/>
  <c r="E89" i="67" s="1"/>
  <c r="G89" i="67" s="1"/>
  <c r="C89" i="70" s="1"/>
  <c r="J89" i="33"/>
  <c r="M89" i="33" s="1"/>
  <c r="E90" i="33"/>
  <c r="G90" i="33" s="1"/>
  <c r="C90" i="66" s="1"/>
  <c r="E90" i="66" s="1"/>
  <c r="G90" i="66" s="1"/>
  <c r="C90" i="67" s="1"/>
  <c r="E90" i="67" s="1"/>
  <c r="G90" i="67" s="1"/>
  <c r="J90" i="33"/>
  <c r="M90" i="33" s="1"/>
  <c r="E91" i="33"/>
  <c r="G91" i="33" s="1"/>
  <c r="C91" i="66" s="1"/>
  <c r="E91" i="66" s="1"/>
  <c r="G91" i="66" s="1"/>
  <c r="C91" i="67" s="1"/>
  <c r="E91" i="67" s="1"/>
  <c r="G91" i="67" s="1"/>
  <c r="J91" i="33"/>
  <c r="M91" i="33" s="1"/>
  <c r="E92" i="33"/>
  <c r="G92" i="33" s="1"/>
  <c r="C92" i="66" s="1"/>
  <c r="E92" i="66" s="1"/>
  <c r="G92" i="66" s="1"/>
  <c r="C92" i="67" s="1"/>
  <c r="E92" i="67" s="1"/>
  <c r="G92" i="67" s="1"/>
  <c r="J92" i="33"/>
  <c r="M92" i="33" s="1"/>
  <c r="E93" i="33"/>
  <c r="G93" i="33" s="1"/>
  <c r="C93" i="66" s="1"/>
  <c r="E93" i="66" s="1"/>
  <c r="G93" i="66" s="1"/>
  <c r="C93" i="67" s="1"/>
  <c r="E93" i="67" s="1"/>
  <c r="G93" i="67" s="1"/>
  <c r="J93" i="33"/>
  <c r="M93" i="33" s="1"/>
  <c r="E94" i="33"/>
  <c r="G94" i="33" s="1"/>
  <c r="C94" i="66" s="1"/>
  <c r="E94" i="66" s="1"/>
  <c r="G94" i="66" s="1"/>
  <c r="C94" i="67" s="1"/>
  <c r="E94" i="67" s="1"/>
  <c r="G94" i="67" s="1"/>
  <c r="J94" i="33"/>
  <c r="M94" i="33" s="1"/>
  <c r="E95" i="33"/>
  <c r="G95" i="33" s="1"/>
  <c r="C95" i="66" s="1"/>
  <c r="E95" i="66" s="1"/>
  <c r="G95" i="66" s="1"/>
  <c r="C95" i="67" s="1"/>
  <c r="E95" i="67" s="1"/>
  <c r="G95" i="67" s="1"/>
  <c r="J95" i="33"/>
  <c r="M95" i="33" s="1"/>
  <c r="E96" i="33"/>
  <c r="G96" i="33" s="1"/>
  <c r="C96" i="66" s="1"/>
  <c r="E96" i="66" s="1"/>
  <c r="G96" i="66" s="1"/>
  <c r="C96" i="67" s="1"/>
  <c r="E96" i="67" s="1"/>
  <c r="G96" i="67" s="1"/>
  <c r="J96" i="33"/>
  <c r="M96" i="33" s="1"/>
  <c r="E97" i="33"/>
  <c r="G97" i="33" s="1"/>
  <c r="C97" i="66" s="1"/>
  <c r="E97" i="66" s="1"/>
  <c r="G97" i="66" s="1"/>
  <c r="C97" i="67" s="1"/>
  <c r="E97" i="67" s="1"/>
  <c r="G97" i="67" s="1"/>
  <c r="J97" i="33"/>
  <c r="M97" i="33" s="1"/>
  <c r="E98" i="33"/>
  <c r="G98" i="33" s="1"/>
  <c r="C98" i="66" s="1"/>
  <c r="E98" i="66" s="1"/>
  <c r="G98" i="66" s="1"/>
  <c r="C98" i="67" s="1"/>
  <c r="E98" i="67" s="1"/>
  <c r="G98" i="67" s="1"/>
  <c r="J98" i="33"/>
  <c r="M98" i="33" s="1"/>
  <c r="E99" i="33"/>
  <c r="G99" i="33" s="1"/>
  <c r="C99" i="66" s="1"/>
  <c r="E99" i="66" s="1"/>
  <c r="G99" i="66" s="1"/>
  <c r="C99" i="67" s="1"/>
  <c r="E99" i="67" s="1"/>
  <c r="G99" i="67" s="1"/>
  <c r="J99" i="33"/>
  <c r="M99" i="33" s="1"/>
  <c r="E100" i="33"/>
  <c r="G100" i="33" s="1"/>
  <c r="C100" i="66" s="1"/>
  <c r="E100" i="66" s="1"/>
  <c r="G100" i="66" s="1"/>
  <c r="C100" i="67" s="1"/>
  <c r="E100" i="67" s="1"/>
  <c r="G100" i="67" s="1"/>
  <c r="J100" i="33"/>
  <c r="M100" i="33" s="1"/>
  <c r="E101" i="33"/>
  <c r="G101" i="33" s="1"/>
  <c r="C101" i="66" s="1"/>
  <c r="E101" i="66" s="1"/>
  <c r="G101" i="66" s="1"/>
  <c r="C101" i="67" s="1"/>
  <c r="E101" i="67" s="1"/>
  <c r="G101" i="67" s="1"/>
  <c r="J101" i="33"/>
  <c r="M101" i="33" s="1"/>
  <c r="E102" i="33"/>
  <c r="G102" i="33" s="1"/>
  <c r="C102" i="66" s="1"/>
  <c r="E102" i="66" s="1"/>
  <c r="G102" i="66" s="1"/>
  <c r="C102" i="67" s="1"/>
  <c r="E102" i="67" s="1"/>
  <c r="G102" i="67" s="1"/>
  <c r="J102" i="33"/>
  <c r="M102" i="33" s="1"/>
  <c r="E103" i="33"/>
  <c r="G103" i="33" s="1"/>
  <c r="C103" i="66" s="1"/>
  <c r="E103" i="66" s="1"/>
  <c r="G103" i="66" s="1"/>
  <c r="C103" i="67" s="1"/>
  <c r="E103" i="67" s="1"/>
  <c r="G103" i="67" s="1"/>
  <c r="J103" i="33"/>
  <c r="M103" i="33" s="1"/>
  <c r="E104" i="33"/>
  <c r="G104" i="33" s="1"/>
  <c r="C104" i="66" s="1"/>
  <c r="E104" i="66" s="1"/>
  <c r="G104" i="66" s="1"/>
  <c r="C104" i="67" s="1"/>
  <c r="E104" i="67" s="1"/>
  <c r="G104" i="67" s="1"/>
  <c r="J104" i="33"/>
  <c r="M104" i="33" s="1"/>
  <c r="E105" i="33"/>
  <c r="G105" i="33" s="1"/>
  <c r="C105" i="66" s="1"/>
  <c r="E105" i="66" s="1"/>
  <c r="G105" i="66" s="1"/>
  <c r="C105" i="67" s="1"/>
  <c r="E105" i="67" s="1"/>
  <c r="G105" i="67" s="1"/>
  <c r="J105" i="33"/>
  <c r="M105" i="33" s="1"/>
  <c r="E106" i="33"/>
  <c r="G106" i="33" s="1"/>
  <c r="C106" i="66" s="1"/>
  <c r="E106" i="66" s="1"/>
  <c r="G106" i="66" s="1"/>
  <c r="C106" i="67" s="1"/>
  <c r="E106" i="67" s="1"/>
  <c r="G106" i="67" s="1"/>
  <c r="J106" i="33"/>
  <c r="M106" i="33" s="1"/>
  <c r="E107" i="33"/>
  <c r="G107" i="33" s="1"/>
  <c r="C107" i="66" s="1"/>
  <c r="E107" i="66" s="1"/>
  <c r="G107" i="66" s="1"/>
  <c r="C107" i="67" s="1"/>
  <c r="E107" i="67" s="1"/>
  <c r="G107" i="67" s="1"/>
  <c r="J107" i="33"/>
  <c r="M107" i="33" s="1"/>
  <c r="E108" i="33"/>
  <c r="G108" i="33" s="1"/>
  <c r="C108" i="66" s="1"/>
  <c r="E108" i="66" s="1"/>
  <c r="G108" i="66" s="1"/>
  <c r="C108" i="67" s="1"/>
  <c r="E108" i="67" s="1"/>
  <c r="G108" i="67" s="1"/>
  <c r="J108" i="33"/>
  <c r="M108" i="33" s="1"/>
  <c r="E109" i="33"/>
  <c r="G109" i="33" s="1"/>
  <c r="C109" i="66" s="1"/>
  <c r="E109" i="66" s="1"/>
  <c r="G109" i="66" s="1"/>
  <c r="C109" i="67" s="1"/>
  <c r="E109" i="67" s="1"/>
  <c r="G109" i="67" s="1"/>
  <c r="J109" i="33"/>
  <c r="M109" i="33" s="1"/>
  <c r="E110" i="33"/>
  <c r="G110" i="33" s="1"/>
  <c r="C110" i="66" s="1"/>
  <c r="E110" i="66" s="1"/>
  <c r="G110" i="66" s="1"/>
  <c r="C110" i="67" s="1"/>
  <c r="E110" i="67" s="1"/>
  <c r="G110" i="67" s="1"/>
  <c r="J110" i="33"/>
  <c r="M110" i="33" s="1"/>
  <c r="E111" i="33"/>
  <c r="G111" i="33" s="1"/>
  <c r="C111" i="66" s="1"/>
  <c r="E111" i="66" s="1"/>
  <c r="G111" i="66" s="1"/>
  <c r="C111" i="67" s="1"/>
  <c r="E111" i="67" s="1"/>
  <c r="G111" i="67" s="1"/>
  <c r="J111" i="33"/>
  <c r="M111" i="33" s="1"/>
  <c r="E112" i="33"/>
  <c r="G112" i="33" s="1"/>
  <c r="C112" i="66" s="1"/>
  <c r="E112" i="66" s="1"/>
  <c r="G112" i="66" s="1"/>
  <c r="C112" i="67" s="1"/>
  <c r="E112" i="67" s="1"/>
  <c r="G112" i="67" s="1"/>
  <c r="J112" i="33"/>
  <c r="M112" i="33" s="1"/>
  <c r="E113" i="33"/>
  <c r="G113" i="33" s="1"/>
  <c r="C113" i="66" s="1"/>
  <c r="E113" i="66" s="1"/>
  <c r="G113" i="66" s="1"/>
  <c r="C113" i="67" s="1"/>
  <c r="E113" i="67" s="1"/>
  <c r="G113" i="67" s="1"/>
  <c r="J113" i="33"/>
  <c r="M113" i="33" s="1"/>
  <c r="E114" i="33"/>
  <c r="G114" i="33" s="1"/>
  <c r="C114" i="66" s="1"/>
  <c r="E114" i="66" s="1"/>
  <c r="G114" i="66" s="1"/>
  <c r="C114" i="67" s="1"/>
  <c r="E114" i="67" s="1"/>
  <c r="G114" i="67" s="1"/>
  <c r="J114" i="33"/>
  <c r="M114" i="33" s="1"/>
  <c r="E115" i="33"/>
  <c r="G115" i="33" s="1"/>
  <c r="C115" i="66" s="1"/>
  <c r="E115" i="66" s="1"/>
  <c r="G115" i="66" s="1"/>
  <c r="C115" i="67" s="1"/>
  <c r="E115" i="67" s="1"/>
  <c r="G115" i="67" s="1"/>
  <c r="J115" i="33"/>
  <c r="M115" i="33" s="1"/>
  <c r="E116" i="33"/>
  <c r="G116" i="33" s="1"/>
  <c r="C116" i="66" s="1"/>
  <c r="E116" i="66" s="1"/>
  <c r="G116" i="66" s="1"/>
  <c r="C116" i="67" s="1"/>
  <c r="E116" i="67" s="1"/>
  <c r="G116" i="67" s="1"/>
  <c r="J116" i="33"/>
  <c r="M116" i="33" s="1"/>
  <c r="E117" i="33"/>
  <c r="G117" i="33" s="1"/>
  <c r="C117" i="66" s="1"/>
  <c r="E117" i="66" s="1"/>
  <c r="G117" i="66" s="1"/>
  <c r="C117" i="67" s="1"/>
  <c r="E117" i="67" s="1"/>
  <c r="G117" i="67" s="1"/>
  <c r="J117" i="33"/>
  <c r="M117" i="33" s="1"/>
  <c r="E118" i="33"/>
  <c r="G118" i="33" s="1"/>
  <c r="C118" i="66" s="1"/>
  <c r="E118" i="66" s="1"/>
  <c r="G118" i="66" s="1"/>
  <c r="C118" i="67" s="1"/>
  <c r="E118" i="67" s="1"/>
  <c r="G118" i="67" s="1"/>
  <c r="J118" i="33"/>
  <c r="M118" i="33" s="1"/>
  <c r="E119" i="33"/>
  <c r="G119" i="33" s="1"/>
  <c r="C119" i="66" s="1"/>
  <c r="E119" i="66" s="1"/>
  <c r="G119" i="66" s="1"/>
  <c r="C119" i="67" s="1"/>
  <c r="E119" i="67" s="1"/>
  <c r="G119" i="67" s="1"/>
  <c r="J119" i="33"/>
  <c r="M119" i="33" s="1"/>
  <c r="E120" i="33"/>
  <c r="G120" i="33" s="1"/>
  <c r="C120" i="66" s="1"/>
  <c r="E120" i="66" s="1"/>
  <c r="G120" i="66" s="1"/>
  <c r="C120" i="67" s="1"/>
  <c r="E120" i="67" s="1"/>
  <c r="G120" i="67" s="1"/>
  <c r="J120" i="33"/>
  <c r="M120" i="33" s="1"/>
  <c r="E121" i="33"/>
  <c r="G121" i="33" s="1"/>
  <c r="C121" i="66" s="1"/>
  <c r="E121" i="66" s="1"/>
  <c r="G121" i="66" s="1"/>
  <c r="C121" i="67" s="1"/>
  <c r="E121" i="67" s="1"/>
  <c r="G121" i="67" s="1"/>
  <c r="J121" i="33"/>
  <c r="M121" i="33" s="1"/>
  <c r="E122" i="33"/>
  <c r="G122" i="33" s="1"/>
  <c r="C122" i="66" s="1"/>
  <c r="E122" i="66" s="1"/>
  <c r="G122" i="66" s="1"/>
  <c r="C122" i="67" s="1"/>
  <c r="E122" i="67" s="1"/>
  <c r="G122" i="67" s="1"/>
  <c r="J122" i="33"/>
  <c r="M122" i="33" s="1"/>
  <c r="E123" i="33"/>
  <c r="G123" i="33" s="1"/>
  <c r="C123" i="66" s="1"/>
  <c r="E123" i="66" s="1"/>
  <c r="G123" i="66" s="1"/>
  <c r="C123" i="67" s="1"/>
  <c r="E123" i="67" s="1"/>
  <c r="G123" i="67" s="1"/>
  <c r="J123" i="33"/>
  <c r="M123" i="33" s="1"/>
  <c r="E124" i="33"/>
  <c r="G124" i="33" s="1"/>
  <c r="C124" i="66" s="1"/>
  <c r="E124" i="66" s="1"/>
  <c r="G124" i="66" s="1"/>
  <c r="C124" i="67" s="1"/>
  <c r="E124" i="67" s="1"/>
  <c r="G124" i="67" s="1"/>
  <c r="J124" i="33"/>
  <c r="M124" i="33" s="1"/>
  <c r="E125" i="33"/>
  <c r="G125" i="33" s="1"/>
  <c r="C125" i="66" s="1"/>
  <c r="E125" i="66" s="1"/>
  <c r="G125" i="66" s="1"/>
  <c r="C125" i="67" s="1"/>
  <c r="E125" i="67" s="1"/>
  <c r="G125" i="67" s="1"/>
  <c r="J125" i="33"/>
  <c r="M125" i="33" s="1"/>
  <c r="E126" i="33"/>
  <c r="G126" i="33" s="1"/>
  <c r="C126" i="66" s="1"/>
  <c r="E126" i="66" s="1"/>
  <c r="G126" i="66" s="1"/>
  <c r="C126" i="67" s="1"/>
  <c r="E126" i="67" s="1"/>
  <c r="G126" i="67" s="1"/>
  <c r="J126" i="33"/>
  <c r="M126" i="33" s="1"/>
  <c r="E127" i="33"/>
  <c r="G127" i="33" s="1"/>
  <c r="C127" i="66" s="1"/>
  <c r="E127" i="66" s="1"/>
  <c r="G127" i="66" s="1"/>
  <c r="C127" i="67" s="1"/>
  <c r="E127" i="67" s="1"/>
  <c r="G127" i="67" s="1"/>
  <c r="J127" i="33"/>
  <c r="M127" i="33" s="1"/>
  <c r="E128" i="33"/>
  <c r="G128" i="33" s="1"/>
  <c r="C128" i="66" s="1"/>
  <c r="E128" i="66" s="1"/>
  <c r="G128" i="66" s="1"/>
  <c r="C128" i="67" s="1"/>
  <c r="E128" i="67" s="1"/>
  <c r="G128" i="67" s="1"/>
  <c r="J128" i="33"/>
  <c r="M128" i="33" s="1"/>
  <c r="E129" i="33"/>
  <c r="G129" i="33" s="1"/>
  <c r="C129" i="66" s="1"/>
  <c r="E129" i="66" s="1"/>
  <c r="G129" i="66" s="1"/>
  <c r="C129" i="67" s="1"/>
  <c r="E129" i="67" s="1"/>
  <c r="G129" i="67" s="1"/>
  <c r="J129" i="33"/>
  <c r="M129" i="33" s="1"/>
  <c r="E130" i="33"/>
  <c r="G130" i="33" s="1"/>
  <c r="C130" i="66" s="1"/>
  <c r="E130" i="66" s="1"/>
  <c r="G130" i="66" s="1"/>
  <c r="C130" i="67" s="1"/>
  <c r="E130" i="67" s="1"/>
  <c r="G130" i="67" s="1"/>
  <c r="J130" i="33"/>
  <c r="M130" i="33" s="1"/>
  <c r="E131" i="33"/>
  <c r="G131" i="33" s="1"/>
  <c r="C131" i="66" s="1"/>
  <c r="E131" i="66" s="1"/>
  <c r="G131" i="66" s="1"/>
  <c r="C131" i="67" s="1"/>
  <c r="E131" i="67" s="1"/>
  <c r="G131" i="67" s="1"/>
  <c r="J131" i="33"/>
  <c r="M131" i="33" s="1"/>
  <c r="E132" i="33"/>
  <c r="G132" i="33" s="1"/>
  <c r="C132" i="66" s="1"/>
  <c r="E132" i="66" s="1"/>
  <c r="G132" i="66" s="1"/>
  <c r="C132" i="67" s="1"/>
  <c r="E132" i="67" s="1"/>
  <c r="G132" i="67" s="1"/>
  <c r="J132" i="33"/>
  <c r="M132" i="33" s="1"/>
  <c r="E133" i="33"/>
  <c r="G133" i="33" s="1"/>
  <c r="C133" i="66" s="1"/>
  <c r="E133" i="66" s="1"/>
  <c r="G133" i="66" s="1"/>
  <c r="C133" i="67" s="1"/>
  <c r="E133" i="67" s="1"/>
  <c r="G133" i="67" s="1"/>
  <c r="J133" i="33"/>
  <c r="M133" i="33" s="1"/>
  <c r="E134" i="33"/>
  <c r="G134" i="33" s="1"/>
  <c r="C134" i="66" s="1"/>
  <c r="E134" i="66" s="1"/>
  <c r="G134" i="66" s="1"/>
  <c r="C134" i="67" s="1"/>
  <c r="E134" i="67" s="1"/>
  <c r="G134" i="67" s="1"/>
  <c r="J134" i="33"/>
  <c r="M134" i="33" s="1"/>
  <c r="E135" i="33"/>
  <c r="G135" i="33" s="1"/>
  <c r="C135" i="66" s="1"/>
  <c r="E135" i="66" s="1"/>
  <c r="G135" i="66" s="1"/>
  <c r="C135" i="67" s="1"/>
  <c r="E135" i="67" s="1"/>
  <c r="G135" i="67" s="1"/>
  <c r="J135" i="33"/>
  <c r="M135" i="33" s="1"/>
  <c r="E136" i="33"/>
  <c r="G136" i="33" s="1"/>
  <c r="C136" i="66" s="1"/>
  <c r="E136" i="66" s="1"/>
  <c r="G136" i="66" s="1"/>
  <c r="C136" i="67" s="1"/>
  <c r="E136" i="67" s="1"/>
  <c r="G136" i="67" s="1"/>
  <c r="J136" i="33"/>
  <c r="M136" i="33" s="1"/>
  <c r="E137" i="33"/>
  <c r="G137" i="33" s="1"/>
  <c r="C137" i="66" s="1"/>
  <c r="E137" i="66" s="1"/>
  <c r="G137" i="66" s="1"/>
  <c r="C137" i="67" s="1"/>
  <c r="E137" i="67" s="1"/>
  <c r="G137" i="67" s="1"/>
  <c r="J137" i="33"/>
  <c r="M137" i="33" s="1"/>
  <c r="E138" i="33"/>
  <c r="G138" i="33" s="1"/>
  <c r="C138" i="66" s="1"/>
  <c r="E138" i="66" s="1"/>
  <c r="G138" i="66" s="1"/>
  <c r="C138" i="67" s="1"/>
  <c r="E138" i="67" s="1"/>
  <c r="G138" i="67" s="1"/>
  <c r="J138" i="33"/>
  <c r="M138" i="33" s="1"/>
  <c r="E139" i="33"/>
  <c r="G139" i="33" s="1"/>
  <c r="C139" i="66" s="1"/>
  <c r="E139" i="66" s="1"/>
  <c r="G139" i="66" s="1"/>
  <c r="C139" i="67" s="1"/>
  <c r="E139" i="67" s="1"/>
  <c r="G139" i="67" s="1"/>
  <c r="J139" i="33"/>
  <c r="M139" i="33" s="1"/>
  <c r="E140" i="33"/>
  <c r="G140" i="33" s="1"/>
  <c r="C140" i="66" s="1"/>
  <c r="E140" i="66" s="1"/>
  <c r="G140" i="66" s="1"/>
  <c r="C140" i="67" s="1"/>
  <c r="E140" i="67" s="1"/>
  <c r="G140" i="67" s="1"/>
  <c r="J140" i="33"/>
  <c r="M140" i="33" s="1"/>
  <c r="E141" i="33"/>
  <c r="G141" i="33" s="1"/>
  <c r="C141" i="66" s="1"/>
  <c r="E141" i="66" s="1"/>
  <c r="G141" i="66" s="1"/>
  <c r="C141" i="67" s="1"/>
  <c r="E141" i="67" s="1"/>
  <c r="G141" i="67" s="1"/>
  <c r="J141" i="33"/>
  <c r="M141" i="33" s="1"/>
  <c r="E142" i="33"/>
  <c r="G142" i="33" s="1"/>
  <c r="C142" i="66" s="1"/>
  <c r="E142" i="66" s="1"/>
  <c r="G142" i="66" s="1"/>
  <c r="C142" i="67" s="1"/>
  <c r="E142" i="67" s="1"/>
  <c r="G142" i="67" s="1"/>
  <c r="J142" i="33"/>
  <c r="M142" i="33" s="1"/>
  <c r="E143" i="33"/>
  <c r="G143" i="33" s="1"/>
  <c r="C143" i="66" s="1"/>
  <c r="E143" i="66" s="1"/>
  <c r="G143" i="66" s="1"/>
  <c r="C143" i="67" s="1"/>
  <c r="E143" i="67" s="1"/>
  <c r="G143" i="67" s="1"/>
  <c r="J143" i="33"/>
  <c r="M143" i="33" s="1"/>
  <c r="E144" i="33"/>
  <c r="G144" i="33" s="1"/>
  <c r="C144" i="66" s="1"/>
  <c r="E144" i="66" s="1"/>
  <c r="G144" i="66" s="1"/>
  <c r="C144" i="67" s="1"/>
  <c r="E144" i="67" s="1"/>
  <c r="G144" i="67" s="1"/>
  <c r="J144" i="33"/>
  <c r="M144" i="33" s="1"/>
  <c r="E145" i="33"/>
  <c r="G145" i="33" s="1"/>
  <c r="C145" i="66" s="1"/>
  <c r="E145" i="66" s="1"/>
  <c r="G145" i="66" s="1"/>
  <c r="C145" i="67" s="1"/>
  <c r="E145" i="67" s="1"/>
  <c r="G145" i="67" s="1"/>
  <c r="J145" i="33"/>
  <c r="M145" i="33" s="1"/>
  <c r="E146" i="33"/>
  <c r="G146" i="33" s="1"/>
  <c r="C146" i="66" s="1"/>
  <c r="E146" i="66" s="1"/>
  <c r="G146" i="66" s="1"/>
  <c r="C146" i="67" s="1"/>
  <c r="E146" i="67" s="1"/>
  <c r="G146" i="67" s="1"/>
  <c r="J146" i="33"/>
  <c r="M146" i="33" s="1"/>
  <c r="E147" i="33"/>
  <c r="G147" i="33" s="1"/>
  <c r="C147" i="66" s="1"/>
  <c r="E147" i="66" s="1"/>
  <c r="G147" i="66" s="1"/>
  <c r="C147" i="67" s="1"/>
  <c r="E147" i="67" s="1"/>
  <c r="G147" i="67" s="1"/>
  <c r="J147" i="33"/>
  <c r="M147" i="33" s="1"/>
  <c r="E148" i="33"/>
  <c r="G148" i="33" s="1"/>
  <c r="C148" i="66" s="1"/>
  <c r="E148" i="66" s="1"/>
  <c r="G148" i="66" s="1"/>
  <c r="C148" i="67" s="1"/>
  <c r="E148" i="67" s="1"/>
  <c r="G148" i="67" s="1"/>
  <c r="J148" i="33"/>
  <c r="M148" i="33" s="1"/>
  <c r="E149" i="33"/>
  <c r="G149" i="33" s="1"/>
  <c r="C149" i="66" s="1"/>
  <c r="E149" i="66" s="1"/>
  <c r="G149" i="66" s="1"/>
  <c r="C149" i="67" s="1"/>
  <c r="E149" i="67" s="1"/>
  <c r="G149" i="67" s="1"/>
  <c r="J149" i="33"/>
  <c r="M149" i="33" s="1"/>
  <c r="E150" i="33"/>
  <c r="G150" i="33" s="1"/>
  <c r="C150" i="66" s="1"/>
  <c r="E150" i="66" s="1"/>
  <c r="G150" i="66" s="1"/>
  <c r="C150" i="67" s="1"/>
  <c r="E150" i="67" s="1"/>
  <c r="G150" i="67" s="1"/>
  <c r="J150" i="33"/>
  <c r="M150" i="33" s="1"/>
  <c r="E151" i="33"/>
  <c r="G151" i="33" s="1"/>
  <c r="C151" i="66" s="1"/>
  <c r="E151" i="66" s="1"/>
  <c r="G151" i="66" s="1"/>
  <c r="C151" i="67" s="1"/>
  <c r="E151" i="67" s="1"/>
  <c r="G151" i="67" s="1"/>
  <c r="J151" i="33"/>
  <c r="M151" i="33" s="1"/>
  <c r="E152" i="33"/>
  <c r="G152" i="33" s="1"/>
  <c r="C152" i="66" s="1"/>
  <c r="E152" i="66" s="1"/>
  <c r="G152" i="66" s="1"/>
  <c r="C152" i="67" s="1"/>
  <c r="E152" i="67" s="1"/>
  <c r="G152" i="67" s="1"/>
  <c r="J152" i="33"/>
  <c r="M152" i="33" s="1"/>
  <c r="E153" i="33"/>
  <c r="G153" i="33" s="1"/>
  <c r="C153" i="66" s="1"/>
  <c r="E153" i="66" s="1"/>
  <c r="G153" i="66" s="1"/>
  <c r="C153" i="67" s="1"/>
  <c r="E153" i="67" s="1"/>
  <c r="G153" i="67" s="1"/>
  <c r="J153" i="33"/>
  <c r="M153" i="33" s="1"/>
  <c r="E154" i="33"/>
  <c r="G154" i="33" s="1"/>
  <c r="C154" i="66" s="1"/>
  <c r="E154" i="66" s="1"/>
  <c r="G154" i="66" s="1"/>
  <c r="C154" i="67" s="1"/>
  <c r="E154" i="67" s="1"/>
  <c r="G154" i="67" s="1"/>
  <c r="J154" i="33"/>
  <c r="M154" i="33" s="1"/>
  <c r="E155" i="33"/>
  <c r="G155" i="33" s="1"/>
  <c r="C155" i="66" s="1"/>
  <c r="E155" i="66" s="1"/>
  <c r="G155" i="66" s="1"/>
  <c r="C155" i="67" s="1"/>
  <c r="E155" i="67" s="1"/>
  <c r="G155" i="67" s="1"/>
  <c r="J155" i="33"/>
  <c r="M155" i="33" s="1"/>
  <c r="E156" i="33"/>
  <c r="G156" i="33" s="1"/>
  <c r="C156" i="66" s="1"/>
  <c r="E156" i="66" s="1"/>
  <c r="G156" i="66" s="1"/>
  <c r="C156" i="67" s="1"/>
  <c r="E156" i="67" s="1"/>
  <c r="G156" i="67" s="1"/>
  <c r="J156" i="33"/>
  <c r="M156" i="33" s="1"/>
  <c r="E157" i="33"/>
  <c r="G157" i="33" s="1"/>
  <c r="C157" i="66" s="1"/>
  <c r="E157" i="66" s="1"/>
  <c r="G157" i="66" s="1"/>
  <c r="C157" i="67" s="1"/>
  <c r="E157" i="67" s="1"/>
  <c r="G157" i="67" s="1"/>
  <c r="J157" i="33"/>
  <c r="M157" i="33" s="1"/>
  <c r="E158" i="33"/>
  <c r="G158" i="33" s="1"/>
  <c r="C158" i="66" s="1"/>
  <c r="E158" i="66" s="1"/>
  <c r="G158" i="66" s="1"/>
  <c r="C158" i="67" s="1"/>
  <c r="E158" i="67" s="1"/>
  <c r="G158" i="67" s="1"/>
  <c r="J158" i="33"/>
  <c r="M158" i="33" s="1"/>
  <c r="E159" i="33"/>
  <c r="G159" i="33" s="1"/>
  <c r="C159" i="66" s="1"/>
  <c r="E159" i="66" s="1"/>
  <c r="G159" i="66" s="1"/>
  <c r="C159" i="67" s="1"/>
  <c r="E159" i="67" s="1"/>
  <c r="G159" i="67" s="1"/>
  <c r="J159" i="33"/>
  <c r="M159" i="33" s="1"/>
  <c r="E160" i="33"/>
  <c r="G160" i="33" s="1"/>
  <c r="C160" i="66" s="1"/>
  <c r="E160" i="66" s="1"/>
  <c r="G160" i="66" s="1"/>
  <c r="C160" i="67" s="1"/>
  <c r="E160" i="67" s="1"/>
  <c r="G160" i="67" s="1"/>
  <c r="J160" i="33"/>
  <c r="M160" i="33" s="1"/>
  <c r="E161" i="33"/>
  <c r="G161" i="33" s="1"/>
  <c r="C161" i="66" s="1"/>
  <c r="E161" i="66" s="1"/>
  <c r="G161" i="66" s="1"/>
  <c r="C161" i="67" s="1"/>
  <c r="E161" i="67" s="1"/>
  <c r="G161" i="67" s="1"/>
  <c r="J161" i="33"/>
  <c r="M161" i="33" s="1"/>
  <c r="E162" i="33"/>
  <c r="G162" i="33" s="1"/>
  <c r="C162" i="66" s="1"/>
  <c r="E162" i="66" s="1"/>
  <c r="G162" i="66" s="1"/>
  <c r="C162" i="67" s="1"/>
  <c r="E162" i="67" s="1"/>
  <c r="G162" i="67" s="1"/>
  <c r="J162" i="33"/>
  <c r="M162" i="33" s="1"/>
  <c r="E163" i="33"/>
  <c r="G163" i="33" s="1"/>
  <c r="C163" i="66" s="1"/>
  <c r="E163" i="66" s="1"/>
  <c r="G163" i="66" s="1"/>
  <c r="C163" i="67" s="1"/>
  <c r="E163" i="67" s="1"/>
  <c r="G163" i="67" s="1"/>
  <c r="J163" i="33"/>
  <c r="M163" i="33" s="1"/>
  <c r="E164" i="33"/>
  <c r="G164" i="33" s="1"/>
  <c r="C164" i="66" s="1"/>
  <c r="E164" i="66" s="1"/>
  <c r="G164" i="66" s="1"/>
  <c r="C164" i="67" s="1"/>
  <c r="E164" i="67" s="1"/>
  <c r="G164" i="67" s="1"/>
  <c r="J164" i="33"/>
  <c r="M164" i="33" s="1"/>
  <c r="E165" i="33"/>
  <c r="G165" i="33" s="1"/>
  <c r="C165" i="66" s="1"/>
  <c r="E165" i="66" s="1"/>
  <c r="G165" i="66" s="1"/>
  <c r="C165" i="67" s="1"/>
  <c r="E165" i="67" s="1"/>
  <c r="G165" i="67" s="1"/>
  <c r="J165" i="33"/>
  <c r="M165" i="33"/>
  <c r="E166" i="33"/>
  <c r="G166" i="33" s="1"/>
  <c r="C166" i="66" s="1"/>
  <c r="E166" i="66" s="1"/>
  <c r="G166" i="66" s="1"/>
  <c r="C166" i="67" s="1"/>
  <c r="E166" i="67" s="1"/>
  <c r="G166" i="67" s="1"/>
  <c r="J166" i="33"/>
  <c r="M166" i="33" s="1"/>
  <c r="E167" i="33"/>
  <c r="G167" i="33" s="1"/>
  <c r="C167" i="66" s="1"/>
  <c r="E167" i="66" s="1"/>
  <c r="G167" i="66" s="1"/>
  <c r="C167" i="67" s="1"/>
  <c r="E167" i="67" s="1"/>
  <c r="G167" i="67" s="1"/>
  <c r="J167" i="33"/>
  <c r="M167" i="33" s="1"/>
  <c r="E168" i="33"/>
  <c r="G168" i="33" s="1"/>
  <c r="C168" i="66" s="1"/>
  <c r="E168" i="66" s="1"/>
  <c r="G168" i="66" s="1"/>
  <c r="C168" i="67" s="1"/>
  <c r="E168" i="67" s="1"/>
  <c r="G168" i="67" s="1"/>
  <c r="J168" i="33"/>
  <c r="M168" i="33" s="1"/>
  <c r="E169" i="33"/>
  <c r="G169" i="33" s="1"/>
  <c r="C169" i="66" s="1"/>
  <c r="E169" i="66" s="1"/>
  <c r="G169" i="66" s="1"/>
  <c r="C169" i="67" s="1"/>
  <c r="E169" i="67" s="1"/>
  <c r="G169" i="67" s="1"/>
  <c r="J169" i="33"/>
  <c r="M169" i="33" s="1"/>
  <c r="E170" i="33"/>
  <c r="G170" i="33" s="1"/>
  <c r="C170" i="66" s="1"/>
  <c r="E170" i="66" s="1"/>
  <c r="G170" i="66" s="1"/>
  <c r="C170" i="67" s="1"/>
  <c r="E170" i="67" s="1"/>
  <c r="G170" i="67" s="1"/>
  <c r="J170" i="33"/>
  <c r="M170" i="33" s="1"/>
  <c r="E171" i="33"/>
  <c r="G171" i="33" s="1"/>
  <c r="C171" i="66" s="1"/>
  <c r="E171" i="66" s="1"/>
  <c r="G171" i="66" s="1"/>
  <c r="C171" i="67" s="1"/>
  <c r="E171" i="67" s="1"/>
  <c r="G171" i="67" s="1"/>
  <c r="J171" i="33"/>
  <c r="M171" i="33" s="1"/>
  <c r="E172" i="33"/>
  <c r="G172" i="33" s="1"/>
  <c r="C172" i="66" s="1"/>
  <c r="E172" i="66" s="1"/>
  <c r="G172" i="66" s="1"/>
  <c r="C172" i="67" s="1"/>
  <c r="E172" i="67" s="1"/>
  <c r="G172" i="67" s="1"/>
  <c r="J172" i="33"/>
  <c r="M172" i="33" s="1"/>
  <c r="E173" i="33"/>
  <c r="G173" i="33"/>
  <c r="C173" i="66" s="1"/>
  <c r="E173" i="66" s="1"/>
  <c r="G173" i="66" s="1"/>
  <c r="C173" i="67" s="1"/>
  <c r="E173" i="67" s="1"/>
  <c r="G173" i="67" s="1"/>
  <c r="J173" i="33"/>
  <c r="M173" i="33" s="1"/>
  <c r="E174" i="33"/>
  <c r="G174" i="33" s="1"/>
  <c r="C174" i="66" s="1"/>
  <c r="E174" i="66" s="1"/>
  <c r="G174" i="66" s="1"/>
  <c r="C174" i="67" s="1"/>
  <c r="E174" i="67" s="1"/>
  <c r="G174" i="67" s="1"/>
  <c r="J174" i="33"/>
  <c r="M174" i="33" s="1"/>
  <c r="E175" i="33"/>
  <c r="G175" i="33" s="1"/>
  <c r="C175" i="66" s="1"/>
  <c r="E175" i="66" s="1"/>
  <c r="G175" i="66" s="1"/>
  <c r="C175" i="67" s="1"/>
  <c r="E175" i="67" s="1"/>
  <c r="G175" i="67" s="1"/>
  <c r="J175" i="33"/>
  <c r="M175" i="33" s="1"/>
  <c r="E176" i="33"/>
  <c r="G176" i="33" s="1"/>
  <c r="C176" i="66" s="1"/>
  <c r="E176" i="66" s="1"/>
  <c r="G176" i="66" s="1"/>
  <c r="C176" i="67" s="1"/>
  <c r="E176" i="67" s="1"/>
  <c r="G176" i="67" s="1"/>
  <c r="J176" i="33"/>
  <c r="M176" i="33" s="1"/>
  <c r="E177" i="33"/>
  <c r="G177" i="33" s="1"/>
  <c r="C177" i="66" s="1"/>
  <c r="E177" i="66" s="1"/>
  <c r="G177" i="66" s="1"/>
  <c r="C177" i="67" s="1"/>
  <c r="E177" i="67" s="1"/>
  <c r="G177" i="67" s="1"/>
  <c r="J177" i="33"/>
  <c r="M177" i="33" s="1"/>
  <c r="E178" i="33"/>
  <c r="G178" i="33" s="1"/>
  <c r="C178" i="66" s="1"/>
  <c r="E178" i="66" s="1"/>
  <c r="G178" i="66" s="1"/>
  <c r="C178" i="67" s="1"/>
  <c r="E178" i="67" s="1"/>
  <c r="G178" i="67" s="1"/>
  <c r="J178" i="33"/>
  <c r="M178" i="33" s="1"/>
  <c r="E179" i="33"/>
  <c r="G179" i="33" s="1"/>
  <c r="C179" i="66" s="1"/>
  <c r="E179" i="66" s="1"/>
  <c r="G179" i="66" s="1"/>
  <c r="C179" i="67" s="1"/>
  <c r="E179" i="67" s="1"/>
  <c r="G179" i="67" s="1"/>
  <c r="J179" i="33"/>
  <c r="M179" i="33" s="1"/>
  <c r="E180" i="33"/>
  <c r="G180" i="33" s="1"/>
  <c r="C180" i="66" s="1"/>
  <c r="E180" i="66" s="1"/>
  <c r="G180" i="66" s="1"/>
  <c r="C180" i="67" s="1"/>
  <c r="E180" i="67" s="1"/>
  <c r="G180" i="67" s="1"/>
  <c r="J180" i="33"/>
  <c r="M180" i="33" s="1"/>
  <c r="E181" i="33"/>
  <c r="G181" i="33" s="1"/>
  <c r="C181" i="66" s="1"/>
  <c r="E181" i="66" s="1"/>
  <c r="G181" i="66" s="1"/>
  <c r="C181" i="67" s="1"/>
  <c r="E181" i="67" s="1"/>
  <c r="G181" i="67" s="1"/>
  <c r="J181" i="33"/>
  <c r="M181" i="33" s="1"/>
  <c r="E182" i="33"/>
  <c r="G182" i="33" s="1"/>
  <c r="C182" i="66" s="1"/>
  <c r="E182" i="66" s="1"/>
  <c r="G182" i="66" s="1"/>
  <c r="C182" i="67" s="1"/>
  <c r="E182" i="67" s="1"/>
  <c r="G182" i="67" s="1"/>
  <c r="J182" i="33"/>
  <c r="M182" i="33" s="1"/>
  <c r="E183" i="33"/>
  <c r="G183" i="33"/>
  <c r="C183" i="66" s="1"/>
  <c r="E183" i="66" s="1"/>
  <c r="G183" i="66" s="1"/>
  <c r="C183" i="67" s="1"/>
  <c r="E183" i="67" s="1"/>
  <c r="G183" i="67" s="1"/>
  <c r="J183" i="33"/>
  <c r="M183" i="33" s="1"/>
  <c r="E184" i="33"/>
  <c r="G184" i="33" s="1"/>
  <c r="C184" i="66" s="1"/>
  <c r="E184" i="66" s="1"/>
  <c r="G184" i="66" s="1"/>
  <c r="C184" i="67" s="1"/>
  <c r="E184" i="67" s="1"/>
  <c r="G184" i="67" s="1"/>
  <c r="J184" i="33"/>
  <c r="M184" i="33" s="1"/>
  <c r="E185" i="33"/>
  <c r="G185" i="33" s="1"/>
  <c r="C185" i="66" s="1"/>
  <c r="E185" i="66" s="1"/>
  <c r="G185" i="66" s="1"/>
  <c r="C185" i="67" s="1"/>
  <c r="E185" i="67" s="1"/>
  <c r="G185" i="67" s="1"/>
  <c r="J185" i="33"/>
  <c r="M185" i="33" s="1"/>
  <c r="E186" i="33"/>
  <c r="G186" i="33" s="1"/>
  <c r="C186" i="66" s="1"/>
  <c r="E186" i="66" s="1"/>
  <c r="G186" i="66" s="1"/>
  <c r="C186" i="67" s="1"/>
  <c r="E186" i="67" s="1"/>
  <c r="G186" i="67" s="1"/>
  <c r="J186" i="33"/>
  <c r="M186" i="33" s="1"/>
  <c r="E187" i="33"/>
  <c r="G187" i="33" s="1"/>
  <c r="C187" i="66" s="1"/>
  <c r="E187" i="66" s="1"/>
  <c r="G187" i="66" s="1"/>
  <c r="C187" i="67" s="1"/>
  <c r="E187" i="67" s="1"/>
  <c r="G187" i="67" s="1"/>
  <c r="J187" i="33"/>
  <c r="M187" i="33" s="1"/>
  <c r="E188" i="33"/>
  <c r="G188" i="33" s="1"/>
  <c r="C188" i="66" s="1"/>
  <c r="E188" i="66" s="1"/>
  <c r="G188" i="66" s="1"/>
  <c r="C188" i="67" s="1"/>
  <c r="E188" i="67" s="1"/>
  <c r="G188" i="67" s="1"/>
  <c r="J188" i="33"/>
  <c r="M188" i="33" s="1"/>
  <c r="E189" i="33"/>
  <c r="G189" i="33" s="1"/>
  <c r="C189" i="66" s="1"/>
  <c r="E189" i="66" s="1"/>
  <c r="G189" i="66" s="1"/>
  <c r="C189" i="67" s="1"/>
  <c r="E189" i="67" s="1"/>
  <c r="G189" i="67" s="1"/>
  <c r="J189" i="33"/>
  <c r="M189" i="33" s="1"/>
  <c r="E190" i="33"/>
  <c r="G190" i="33" s="1"/>
  <c r="C190" i="66" s="1"/>
  <c r="E190" i="66" s="1"/>
  <c r="G190" i="66" s="1"/>
  <c r="C190" i="67" s="1"/>
  <c r="E190" i="67" s="1"/>
  <c r="G190" i="67" s="1"/>
  <c r="J190" i="33"/>
  <c r="M190" i="33" s="1"/>
  <c r="E191" i="33"/>
  <c r="G191" i="33" s="1"/>
  <c r="C191" i="66" s="1"/>
  <c r="E191" i="66" s="1"/>
  <c r="G191" i="66" s="1"/>
  <c r="C191" i="67" s="1"/>
  <c r="E191" i="67" s="1"/>
  <c r="G191" i="67" s="1"/>
  <c r="J191" i="33"/>
  <c r="M191" i="33" s="1"/>
  <c r="E192" i="33"/>
  <c r="G192" i="33" s="1"/>
  <c r="C192" i="66" s="1"/>
  <c r="E192" i="66" s="1"/>
  <c r="G192" i="66" s="1"/>
  <c r="C192" i="67" s="1"/>
  <c r="E192" i="67" s="1"/>
  <c r="G192" i="67" s="1"/>
  <c r="J192" i="33"/>
  <c r="M192" i="33" s="1"/>
  <c r="E193" i="33"/>
  <c r="G193" i="33" s="1"/>
  <c r="C193" i="66" s="1"/>
  <c r="E193" i="66" s="1"/>
  <c r="G193" i="66" s="1"/>
  <c r="C193" i="67" s="1"/>
  <c r="E193" i="67" s="1"/>
  <c r="G193" i="67" s="1"/>
  <c r="J193" i="33"/>
  <c r="M193" i="33" s="1"/>
  <c r="E194" i="33"/>
  <c r="G194" i="33" s="1"/>
  <c r="C194" i="66" s="1"/>
  <c r="E194" i="66" s="1"/>
  <c r="G194" i="66" s="1"/>
  <c r="C194" i="67" s="1"/>
  <c r="E194" i="67" s="1"/>
  <c r="G194" i="67" s="1"/>
  <c r="J194" i="33"/>
  <c r="M194" i="33" s="1"/>
  <c r="E195" i="33"/>
  <c r="G195" i="33" s="1"/>
  <c r="C195" i="66" s="1"/>
  <c r="E195" i="66" s="1"/>
  <c r="G195" i="66" s="1"/>
  <c r="C195" i="67" s="1"/>
  <c r="E195" i="67" s="1"/>
  <c r="G195" i="67" s="1"/>
  <c r="J195" i="33"/>
  <c r="M195" i="33" s="1"/>
  <c r="E196" i="33"/>
  <c r="G196" i="33" s="1"/>
  <c r="C196" i="66" s="1"/>
  <c r="E196" i="66" s="1"/>
  <c r="G196" i="66" s="1"/>
  <c r="C196" i="67" s="1"/>
  <c r="E196" i="67" s="1"/>
  <c r="G196" i="67" s="1"/>
  <c r="J196" i="33"/>
  <c r="M196" i="33" s="1"/>
  <c r="E197" i="33"/>
  <c r="G197" i="33" s="1"/>
  <c r="C197" i="66" s="1"/>
  <c r="E197" i="66" s="1"/>
  <c r="G197" i="66" s="1"/>
  <c r="C197" i="67" s="1"/>
  <c r="E197" i="67" s="1"/>
  <c r="G197" i="67" s="1"/>
  <c r="J197" i="33"/>
  <c r="M197" i="33" s="1"/>
  <c r="E198" i="33"/>
  <c r="G198" i="33" s="1"/>
  <c r="C198" i="66" s="1"/>
  <c r="E198" i="66" s="1"/>
  <c r="G198" i="66" s="1"/>
  <c r="C198" i="67" s="1"/>
  <c r="E198" i="67" s="1"/>
  <c r="G198" i="67" s="1"/>
  <c r="J198" i="33"/>
  <c r="M198" i="33" s="1"/>
  <c r="E199" i="33"/>
  <c r="G199" i="33" s="1"/>
  <c r="C199" i="66" s="1"/>
  <c r="E199" i="66" s="1"/>
  <c r="G199" i="66" s="1"/>
  <c r="C199" i="67" s="1"/>
  <c r="E199" i="67" s="1"/>
  <c r="G199" i="67" s="1"/>
  <c r="J199" i="33"/>
  <c r="M199" i="33" s="1"/>
  <c r="E200" i="33"/>
  <c r="G200" i="33" s="1"/>
  <c r="C200" i="66" s="1"/>
  <c r="E200" i="66" s="1"/>
  <c r="G200" i="66" s="1"/>
  <c r="C200" i="67" s="1"/>
  <c r="E200" i="67" s="1"/>
  <c r="G200" i="67" s="1"/>
  <c r="J200" i="33"/>
  <c r="M200" i="33" s="1"/>
  <c r="E201" i="33"/>
  <c r="G201" i="33" s="1"/>
  <c r="C201" i="66" s="1"/>
  <c r="E201" i="66" s="1"/>
  <c r="G201" i="66" s="1"/>
  <c r="C201" i="67" s="1"/>
  <c r="E201" i="67" s="1"/>
  <c r="G201" i="67" s="1"/>
  <c r="J201" i="33"/>
  <c r="M201" i="33" s="1"/>
  <c r="E202" i="33"/>
  <c r="G202" i="33" s="1"/>
  <c r="C202" i="66" s="1"/>
  <c r="E202" i="66" s="1"/>
  <c r="G202" i="66" s="1"/>
  <c r="C202" i="67" s="1"/>
  <c r="E202" i="67" s="1"/>
  <c r="G202" i="67" s="1"/>
  <c r="J202" i="33"/>
  <c r="M202" i="33" s="1"/>
  <c r="E203" i="33"/>
  <c r="G203" i="33" s="1"/>
  <c r="C203" i="66" s="1"/>
  <c r="E203" i="66" s="1"/>
  <c r="G203" i="66" s="1"/>
  <c r="C203" i="67" s="1"/>
  <c r="E203" i="67" s="1"/>
  <c r="G203" i="67" s="1"/>
  <c r="J203" i="33"/>
  <c r="M203" i="33" s="1"/>
  <c r="E204" i="33"/>
  <c r="G204" i="33" s="1"/>
  <c r="C204" i="66" s="1"/>
  <c r="E204" i="66" s="1"/>
  <c r="G204" i="66" s="1"/>
  <c r="C204" i="67" s="1"/>
  <c r="E204" i="67" s="1"/>
  <c r="G204" i="67" s="1"/>
  <c r="J204" i="33"/>
  <c r="M204" i="33" s="1"/>
  <c r="E205" i="33"/>
  <c r="G205" i="33" s="1"/>
  <c r="C205" i="66" s="1"/>
  <c r="E205" i="66" s="1"/>
  <c r="G205" i="66" s="1"/>
  <c r="C205" i="67" s="1"/>
  <c r="E205" i="67" s="1"/>
  <c r="G205" i="67" s="1"/>
  <c r="J205" i="33"/>
  <c r="M205" i="33" s="1"/>
  <c r="E206" i="33"/>
  <c r="G206" i="33" s="1"/>
  <c r="C206" i="66" s="1"/>
  <c r="E206" i="66" s="1"/>
  <c r="G206" i="66" s="1"/>
  <c r="C206" i="67" s="1"/>
  <c r="E206" i="67" s="1"/>
  <c r="G206" i="67" s="1"/>
  <c r="J206" i="33"/>
  <c r="M206" i="33" s="1"/>
  <c r="E207" i="33"/>
  <c r="G207" i="33" s="1"/>
  <c r="C207" i="66" s="1"/>
  <c r="E207" i="66" s="1"/>
  <c r="G207" i="66" s="1"/>
  <c r="C207" i="67" s="1"/>
  <c r="E207" i="67" s="1"/>
  <c r="G207" i="67" s="1"/>
  <c r="J207" i="33"/>
  <c r="M207" i="33" s="1"/>
  <c r="E208" i="33"/>
  <c r="G208" i="33" s="1"/>
  <c r="C208" i="66" s="1"/>
  <c r="E208" i="66" s="1"/>
  <c r="G208" i="66" s="1"/>
  <c r="C208" i="67" s="1"/>
  <c r="E208" i="67" s="1"/>
  <c r="G208" i="67" s="1"/>
  <c r="J208" i="33"/>
  <c r="M208" i="33" s="1"/>
  <c r="E209" i="33"/>
  <c r="G209" i="33" s="1"/>
  <c r="C209" i="66" s="1"/>
  <c r="E209" i="66" s="1"/>
  <c r="G209" i="66" s="1"/>
  <c r="C209" i="67" s="1"/>
  <c r="E209" i="67" s="1"/>
  <c r="G209" i="67" s="1"/>
  <c r="J209" i="33"/>
  <c r="M209" i="33" s="1"/>
  <c r="E210" i="33"/>
  <c r="G210" i="33" s="1"/>
  <c r="C210" i="66" s="1"/>
  <c r="E210" i="66" s="1"/>
  <c r="G210" i="66" s="1"/>
  <c r="C210" i="67" s="1"/>
  <c r="E210" i="67" s="1"/>
  <c r="G210" i="67" s="1"/>
  <c r="J210" i="33"/>
  <c r="M210" i="33" s="1"/>
  <c r="E211" i="33"/>
  <c r="G211" i="33" s="1"/>
  <c r="C211" i="66" s="1"/>
  <c r="E211" i="66" s="1"/>
  <c r="G211" i="66" s="1"/>
  <c r="C211" i="67" s="1"/>
  <c r="E211" i="67" s="1"/>
  <c r="G211" i="67" s="1"/>
  <c r="J211" i="33"/>
  <c r="M211" i="33" s="1"/>
  <c r="E212" i="33"/>
  <c r="G212" i="33" s="1"/>
  <c r="C212" i="66" s="1"/>
  <c r="E212" i="66" s="1"/>
  <c r="G212" i="66" s="1"/>
  <c r="C212" i="67" s="1"/>
  <c r="E212" i="67" s="1"/>
  <c r="G212" i="67" s="1"/>
  <c r="J212" i="33"/>
  <c r="M212" i="33" s="1"/>
  <c r="E213" i="33"/>
  <c r="G213" i="33" s="1"/>
  <c r="C213" i="66" s="1"/>
  <c r="E213" i="66" s="1"/>
  <c r="G213" i="66" s="1"/>
  <c r="C213" i="67" s="1"/>
  <c r="E213" i="67" s="1"/>
  <c r="G213" i="67" s="1"/>
  <c r="J213" i="33"/>
  <c r="M213" i="33" s="1"/>
  <c r="E214" i="33"/>
  <c r="G214" i="33" s="1"/>
  <c r="C214" i="66" s="1"/>
  <c r="E214" i="66" s="1"/>
  <c r="G214" i="66" s="1"/>
  <c r="C214" i="67" s="1"/>
  <c r="E214" i="67" s="1"/>
  <c r="G214" i="67" s="1"/>
  <c r="J214" i="33"/>
  <c r="M214" i="33" s="1"/>
  <c r="E215" i="33"/>
  <c r="G215" i="33" s="1"/>
  <c r="C215" i="66" s="1"/>
  <c r="E215" i="66" s="1"/>
  <c r="G215" i="66" s="1"/>
  <c r="C215" i="67" s="1"/>
  <c r="E215" i="67" s="1"/>
  <c r="G215" i="67" s="1"/>
  <c r="J215" i="33"/>
  <c r="M215" i="33" s="1"/>
  <c r="E216" i="33"/>
  <c r="G216" i="33" s="1"/>
  <c r="C216" i="66" s="1"/>
  <c r="E216" i="66" s="1"/>
  <c r="G216" i="66" s="1"/>
  <c r="C216" i="67" s="1"/>
  <c r="E216" i="67" s="1"/>
  <c r="G216" i="67" s="1"/>
  <c r="J216" i="33"/>
  <c r="M216" i="33" s="1"/>
  <c r="E217" i="33"/>
  <c r="G217" i="33" s="1"/>
  <c r="C217" i="66" s="1"/>
  <c r="E217" i="66" s="1"/>
  <c r="G217" i="66" s="1"/>
  <c r="C217" i="67" s="1"/>
  <c r="E217" i="67" s="1"/>
  <c r="G217" i="67" s="1"/>
  <c r="J217" i="33"/>
  <c r="M217" i="33" s="1"/>
  <c r="E218" i="33"/>
  <c r="G218" i="33" s="1"/>
  <c r="C218" i="66" s="1"/>
  <c r="E218" i="66" s="1"/>
  <c r="G218" i="66" s="1"/>
  <c r="C218" i="67" s="1"/>
  <c r="E218" i="67" s="1"/>
  <c r="G218" i="67" s="1"/>
  <c r="J218" i="33"/>
  <c r="M218" i="33" s="1"/>
  <c r="E219" i="33"/>
  <c r="G219" i="33" s="1"/>
  <c r="C219" i="66" s="1"/>
  <c r="E219" i="66" s="1"/>
  <c r="G219" i="66" s="1"/>
  <c r="C219" i="67" s="1"/>
  <c r="E219" i="67" s="1"/>
  <c r="G219" i="67" s="1"/>
  <c r="J219" i="33"/>
  <c r="M219" i="33" s="1"/>
  <c r="E220" i="33"/>
  <c r="G220" i="33" s="1"/>
  <c r="C220" i="66" s="1"/>
  <c r="E220" i="66" s="1"/>
  <c r="G220" i="66" s="1"/>
  <c r="C220" i="67" s="1"/>
  <c r="E220" i="67" s="1"/>
  <c r="G220" i="67" s="1"/>
  <c r="J220" i="33"/>
  <c r="M220" i="33" s="1"/>
  <c r="E221" i="33"/>
  <c r="G221" i="33" s="1"/>
  <c r="C221" i="66" s="1"/>
  <c r="E221" i="66" s="1"/>
  <c r="G221" i="66" s="1"/>
  <c r="C221" i="67" s="1"/>
  <c r="E221" i="67" s="1"/>
  <c r="G221" i="67" s="1"/>
  <c r="J221" i="33"/>
  <c r="M221" i="33" s="1"/>
  <c r="E79" i="33"/>
  <c r="G79" i="33" s="1"/>
  <c r="C79" i="66" s="1"/>
  <c r="E79" i="66" s="1"/>
  <c r="G79" i="66" s="1"/>
  <c r="C79" i="67" s="1"/>
  <c r="E79" i="67" s="1"/>
  <c r="G79" i="67" s="1"/>
  <c r="J79" i="33"/>
  <c r="M79" i="33" s="1"/>
  <c r="E222" i="33"/>
  <c r="G222" i="33" s="1"/>
  <c r="C222" i="66" s="1"/>
  <c r="E222" i="66" s="1"/>
  <c r="G222" i="66" s="1"/>
  <c r="C222" i="67" s="1"/>
  <c r="E222" i="67" s="1"/>
  <c r="G222" i="67" s="1"/>
  <c r="J222" i="33"/>
  <c r="M222" i="33" s="1"/>
  <c r="E223" i="33"/>
  <c r="G223" i="33" s="1"/>
  <c r="C223" i="66" s="1"/>
  <c r="E223" i="66" s="1"/>
  <c r="G223" i="66" s="1"/>
  <c r="C223" i="67" s="1"/>
  <c r="E223" i="67" s="1"/>
  <c r="G223" i="67" s="1"/>
  <c r="J223" i="33"/>
  <c r="M223" i="33" s="1"/>
  <c r="E224" i="33"/>
  <c r="G224" i="33" s="1"/>
  <c r="C224" i="66" s="1"/>
  <c r="E224" i="66" s="1"/>
  <c r="G224" i="66" s="1"/>
  <c r="C224" i="67" s="1"/>
  <c r="E224" i="67" s="1"/>
  <c r="G224" i="67" s="1"/>
  <c r="J224" i="33"/>
  <c r="M224" i="33" s="1"/>
  <c r="E225" i="33"/>
  <c r="G225" i="33" s="1"/>
  <c r="C225" i="66" s="1"/>
  <c r="E225" i="66" s="1"/>
  <c r="G225" i="66" s="1"/>
  <c r="C225" i="67" s="1"/>
  <c r="E225" i="67" s="1"/>
  <c r="G225" i="67" s="1"/>
  <c r="J225" i="33"/>
  <c r="M225" i="33" s="1"/>
  <c r="E226" i="33"/>
  <c r="G226" i="33" s="1"/>
  <c r="C226" i="66" s="1"/>
  <c r="E226" i="66" s="1"/>
  <c r="G226" i="66" s="1"/>
  <c r="C226" i="67" s="1"/>
  <c r="E226" i="67" s="1"/>
  <c r="G226" i="67" s="1"/>
  <c r="J226" i="33"/>
  <c r="M226" i="33" s="1"/>
  <c r="E227" i="33"/>
  <c r="G227" i="33" s="1"/>
  <c r="C227" i="66" s="1"/>
  <c r="E227" i="66" s="1"/>
  <c r="G227" i="66" s="1"/>
  <c r="C227" i="67" s="1"/>
  <c r="E227" i="67" s="1"/>
  <c r="G227" i="67" s="1"/>
  <c r="J227" i="33"/>
  <c r="M227" i="33" s="1"/>
  <c r="E228" i="33"/>
  <c r="G228" i="33" s="1"/>
  <c r="C228" i="66" s="1"/>
  <c r="E228" i="66" s="1"/>
  <c r="G228" i="66" s="1"/>
  <c r="C228" i="67" s="1"/>
  <c r="E228" i="67" s="1"/>
  <c r="G228" i="67" s="1"/>
  <c r="J228" i="33"/>
  <c r="M228" i="33" s="1"/>
  <c r="E229" i="33"/>
  <c r="G229" i="33" s="1"/>
  <c r="C229" i="66" s="1"/>
  <c r="E229" i="66" s="1"/>
  <c r="G229" i="66" s="1"/>
  <c r="C229" i="67" s="1"/>
  <c r="E229" i="67" s="1"/>
  <c r="G229" i="67" s="1"/>
  <c r="J229" i="33"/>
  <c r="M229" i="33" s="1"/>
  <c r="E230" i="33"/>
  <c r="G230" i="33" s="1"/>
  <c r="C230" i="66" s="1"/>
  <c r="E230" i="66" s="1"/>
  <c r="G230" i="66" s="1"/>
  <c r="C230" i="67" s="1"/>
  <c r="E230" i="67" s="1"/>
  <c r="G230" i="67" s="1"/>
  <c r="J230" i="33"/>
  <c r="M230" i="33" s="1"/>
  <c r="E231" i="33"/>
  <c r="G231" i="33" s="1"/>
  <c r="C231" i="66" s="1"/>
  <c r="E231" i="66" s="1"/>
  <c r="G231" i="66" s="1"/>
  <c r="C231" i="67" s="1"/>
  <c r="E231" i="67" s="1"/>
  <c r="G231" i="67" s="1"/>
  <c r="J231" i="33"/>
  <c r="M231" i="33" s="1"/>
  <c r="E232" i="33"/>
  <c r="G232" i="33" s="1"/>
  <c r="C232" i="66" s="1"/>
  <c r="E232" i="66" s="1"/>
  <c r="G232" i="66" s="1"/>
  <c r="C232" i="67" s="1"/>
  <c r="E232" i="67" s="1"/>
  <c r="G232" i="67" s="1"/>
  <c r="J232" i="33"/>
  <c r="M232" i="33" s="1"/>
  <c r="E233" i="33"/>
  <c r="G233" i="33" s="1"/>
  <c r="C233" i="66" s="1"/>
  <c r="E233" i="66" s="1"/>
  <c r="G233" i="66" s="1"/>
  <c r="C233" i="67" s="1"/>
  <c r="E233" i="67" s="1"/>
  <c r="G233" i="67" s="1"/>
  <c r="J233" i="33"/>
  <c r="M233" i="33" s="1"/>
  <c r="E234" i="33"/>
  <c r="G234" i="33" s="1"/>
  <c r="C234" i="66" s="1"/>
  <c r="E234" i="66" s="1"/>
  <c r="G234" i="66" s="1"/>
  <c r="C234" i="67" s="1"/>
  <c r="E234" i="67" s="1"/>
  <c r="G234" i="67" s="1"/>
  <c r="J234" i="33"/>
  <c r="M234" i="33" s="1"/>
  <c r="E235" i="33"/>
  <c r="G235" i="33" s="1"/>
  <c r="C235" i="66" s="1"/>
  <c r="E235" i="66" s="1"/>
  <c r="G235" i="66" s="1"/>
  <c r="C235" i="67" s="1"/>
  <c r="E235" i="67" s="1"/>
  <c r="G235" i="67" s="1"/>
  <c r="J235" i="33"/>
  <c r="M235" i="33" s="1"/>
  <c r="E236" i="33"/>
  <c r="G236" i="33" s="1"/>
  <c r="C236" i="66" s="1"/>
  <c r="E236" i="66" s="1"/>
  <c r="G236" i="66" s="1"/>
  <c r="C236" i="67" s="1"/>
  <c r="E236" i="67" s="1"/>
  <c r="G236" i="67" s="1"/>
  <c r="J236" i="33"/>
  <c r="M236" i="33" s="1"/>
  <c r="E237" i="33"/>
  <c r="G237" i="33" s="1"/>
  <c r="C237" i="66" s="1"/>
  <c r="E237" i="66" s="1"/>
  <c r="G237" i="66" s="1"/>
  <c r="C237" i="67" s="1"/>
  <c r="E237" i="67" s="1"/>
  <c r="G237" i="67" s="1"/>
  <c r="J237" i="33"/>
  <c r="M237" i="33" s="1"/>
  <c r="E238" i="33"/>
  <c r="G238" i="33" s="1"/>
  <c r="C238" i="66" s="1"/>
  <c r="E238" i="66" s="1"/>
  <c r="G238" i="66" s="1"/>
  <c r="C238" i="67" s="1"/>
  <c r="E238" i="67" s="1"/>
  <c r="G238" i="67" s="1"/>
  <c r="J238" i="33"/>
  <c r="M238" i="33" s="1"/>
  <c r="E239" i="33"/>
  <c r="G239" i="33" s="1"/>
  <c r="C239" i="66" s="1"/>
  <c r="E239" i="66" s="1"/>
  <c r="G239" i="66" s="1"/>
  <c r="C239" i="67" s="1"/>
  <c r="E239" i="67" s="1"/>
  <c r="G239" i="67" s="1"/>
  <c r="J239" i="33"/>
  <c r="M239" i="33" s="1"/>
  <c r="E240" i="33"/>
  <c r="G240" i="33" s="1"/>
  <c r="C240" i="66" s="1"/>
  <c r="E240" i="66" s="1"/>
  <c r="G240" i="66" s="1"/>
  <c r="C240" i="67" s="1"/>
  <c r="E240" i="67" s="1"/>
  <c r="G240" i="67" s="1"/>
  <c r="J240" i="33"/>
  <c r="M240" i="33" s="1"/>
  <c r="E241" i="33"/>
  <c r="G241" i="33" s="1"/>
  <c r="C241" i="66" s="1"/>
  <c r="E241" i="66" s="1"/>
  <c r="G241" i="66" s="1"/>
  <c r="C241" i="67" s="1"/>
  <c r="E241" i="67" s="1"/>
  <c r="G241" i="67" s="1"/>
  <c r="J241" i="33"/>
  <c r="M241" i="33" s="1"/>
  <c r="E242" i="33"/>
  <c r="G242" i="33" s="1"/>
  <c r="C242" i="66" s="1"/>
  <c r="E242" i="66" s="1"/>
  <c r="G242" i="66" s="1"/>
  <c r="C242" i="67" s="1"/>
  <c r="E242" i="67" s="1"/>
  <c r="G242" i="67" s="1"/>
  <c r="J242" i="33"/>
  <c r="M242" i="33" s="1"/>
  <c r="E243" i="33"/>
  <c r="G243" i="33" s="1"/>
  <c r="C243" i="66" s="1"/>
  <c r="E243" i="66" s="1"/>
  <c r="G243" i="66" s="1"/>
  <c r="C243" i="67" s="1"/>
  <c r="E243" i="67" s="1"/>
  <c r="G243" i="67" s="1"/>
  <c r="J243" i="33"/>
  <c r="M243" i="33" s="1"/>
  <c r="E244" i="33"/>
  <c r="G244" i="33" s="1"/>
  <c r="C244" i="66" s="1"/>
  <c r="E244" i="66" s="1"/>
  <c r="G244" i="66" s="1"/>
  <c r="C244" i="67" s="1"/>
  <c r="E244" i="67" s="1"/>
  <c r="G244" i="67" s="1"/>
  <c r="J244" i="33"/>
  <c r="M244" i="33" s="1"/>
  <c r="E245" i="33"/>
  <c r="G245" i="33" s="1"/>
  <c r="C245" i="66" s="1"/>
  <c r="E245" i="66" s="1"/>
  <c r="G245" i="66" s="1"/>
  <c r="C245" i="67" s="1"/>
  <c r="E245" i="67" s="1"/>
  <c r="G245" i="67" s="1"/>
  <c r="J245" i="33"/>
  <c r="M245" i="33" s="1"/>
  <c r="E246" i="33"/>
  <c r="G246" i="33" s="1"/>
  <c r="C246" i="66" s="1"/>
  <c r="E246" i="66" s="1"/>
  <c r="G246" i="66" s="1"/>
  <c r="C246" i="67" s="1"/>
  <c r="E246" i="67" s="1"/>
  <c r="G246" i="67" s="1"/>
  <c r="J246" i="33"/>
  <c r="M246" i="33" s="1"/>
  <c r="E247" i="33"/>
  <c r="G247" i="33" s="1"/>
  <c r="C247" i="66" s="1"/>
  <c r="E247" i="66" s="1"/>
  <c r="G247" i="66" s="1"/>
  <c r="C247" i="67" s="1"/>
  <c r="E247" i="67" s="1"/>
  <c r="G247" i="67" s="1"/>
  <c r="J247" i="33"/>
  <c r="M247" i="33" s="1"/>
  <c r="E248" i="33"/>
  <c r="G248" i="33" s="1"/>
  <c r="C248" i="66" s="1"/>
  <c r="E248" i="66" s="1"/>
  <c r="G248" i="66" s="1"/>
  <c r="C248" i="67" s="1"/>
  <c r="E248" i="67" s="1"/>
  <c r="G248" i="67" s="1"/>
  <c r="J248" i="33"/>
  <c r="M248" i="33" s="1"/>
  <c r="E249" i="33"/>
  <c r="G249" i="33" s="1"/>
  <c r="C249" i="66" s="1"/>
  <c r="E249" i="66" s="1"/>
  <c r="G249" i="66" s="1"/>
  <c r="C249" i="67" s="1"/>
  <c r="E249" i="67" s="1"/>
  <c r="G249" i="67" s="1"/>
  <c r="J249" i="33"/>
  <c r="M249" i="33" s="1"/>
  <c r="E250" i="33"/>
  <c r="G250" i="33" s="1"/>
  <c r="C250" i="66" s="1"/>
  <c r="E250" i="66" s="1"/>
  <c r="G250" i="66" s="1"/>
  <c r="C250" i="67" s="1"/>
  <c r="E250" i="67" s="1"/>
  <c r="G250" i="67" s="1"/>
  <c r="J250" i="33"/>
  <c r="M250" i="33" s="1"/>
  <c r="E251" i="33"/>
  <c r="G251" i="33" s="1"/>
  <c r="C251" i="66" s="1"/>
  <c r="E251" i="66" s="1"/>
  <c r="G251" i="66" s="1"/>
  <c r="C251" i="67" s="1"/>
  <c r="E251" i="67" s="1"/>
  <c r="G251" i="67" s="1"/>
  <c r="J251" i="33"/>
  <c r="M251" i="33" s="1"/>
  <c r="E252" i="33"/>
  <c r="G252" i="33" s="1"/>
  <c r="C252" i="66" s="1"/>
  <c r="E252" i="66" s="1"/>
  <c r="G252" i="66" s="1"/>
  <c r="C252" i="67" s="1"/>
  <c r="E252" i="67" s="1"/>
  <c r="G252" i="67" s="1"/>
  <c r="J252" i="33"/>
  <c r="M252" i="33" s="1"/>
  <c r="E253" i="33"/>
  <c r="G253" i="33" s="1"/>
  <c r="C253" i="66" s="1"/>
  <c r="E253" i="66" s="1"/>
  <c r="G253" i="66" s="1"/>
  <c r="C253" i="67" s="1"/>
  <c r="E253" i="67" s="1"/>
  <c r="G253" i="67" s="1"/>
  <c r="J253" i="33"/>
  <c r="M253" i="33" s="1"/>
  <c r="E254" i="33"/>
  <c r="G254" i="33" s="1"/>
  <c r="C254" i="66" s="1"/>
  <c r="E254" i="66" s="1"/>
  <c r="G254" i="66" s="1"/>
  <c r="C254" i="67" s="1"/>
  <c r="E254" i="67" s="1"/>
  <c r="G254" i="67" s="1"/>
  <c r="J254" i="33"/>
  <c r="M254" i="33" s="1"/>
  <c r="C238" i="8"/>
  <c r="E238" i="8" s="1"/>
  <c r="C239" i="8"/>
  <c r="C240" i="8"/>
  <c r="C241" i="8"/>
  <c r="C242" i="8"/>
  <c r="C243" i="8"/>
  <c r="C244" i="8"/>
  <c r="C245" i="8"/>
  <c r="C246" i="8"/>
  <c r="C247" i="8"/>
  <c r="C248" i="8"/>
  <c r="E248" i="8" s="1"/>
  <c r="C249" i="8"/>
  <c r="C250" i="8"/>
  <c r="C251" i="8"/>
  <c r="E251" i="8"/>
  <c r="C252" i="8"/>
  <c r="C253" i="8"/>
  <c r="C254" i="8"/>
  <c r="E254" i="8" s="1"/>
  <c r="E129" i="8" l="1"/>
  <c r="G224" i="8"/>
  <c r="E193" i="8"/>
  <c r="E153" i="8"/>
  <c r="E145" i="8"/>
  <c r="E137" i="8"/>
  <c r="E121" i="8"/>
  <c r="E113" i="8"/>
  <c r="E97" i="8"/>
  <c r="E81" i="8"/>
  <c r="E72" i="8"/>
  <c r="E56" i="8"/>
  <c r="E16" i="8"/>
  <c r="E8" i="8"/>
  <c r="E230" i="8"/>
  <c r="E183" i="8"/>
  <c r="E175" i="8"/>
  <c r="E167" i="8"/>
  <c r="E159" i="8"/>
  <c r="E151" i="8"/>
  <c r="E143" i="8"/>
  <c r="E135" i="8"/>
  <c r="S29" i="8"/>
  <c r="E205" i="8"/>
  <c r="E189" i="8"/>
  <c r="E165" i="8"/>
  <c r="E157" i="8"/>
  <c r="E149" i="8"/>
  <c r="E141" i="8"/>
  <c r="E127" i="8"/>
  <c r="E119" i="8"/>
  <c r="E111" i="8"/>
  <c r="G31" i="8"/>
  <c r="E187" i="8"/>
  <c r="E179" i="8"/>
  <c r="E147" i="8"/>
  <c r="E123" i="8"/>
  <c r="E133" i="8"/>
  <c r="E95" i="8"/>
  <c r="E87" i="8"/>
  <c r="E78" i="8"/>
  <c r="E62" i="8"/>
  <c r="E54" i="8"/>
  <c r="E30" i="8"/>
  <c r="E125" i="8"/>
  <c r="E117" i="8"/>
  <c r="E109" i="8"/>
  <c r="E21" i="8"/>
  <c r="E224" i="8"/>
  <c r="G210" i="8"/>
  <c r="E101" i="8"/>
  <c r="E93" i="8"/>
  <c r="E85" i="8"/>
  <c r="E76" i="8"/>
  <c r="E68" i="8"/>
  <c r="E60" i="8"/>
  <c r="E52" i="8"/>
  <c r="E19" i="8"/>
  <c r="C160" i="70"/>
  <c r="E160" i="70" s="1"/>
  <c r="G160" i="70" s="1"/>
  <c r="C160" i="71" s="1"/>
  <c r="E160" i="71" s="1"/>
  <c r="G160" i="71" s="1"/>
  <c r="C160" i="68" s="1"/>
  <c r="E160" i="68" s="1"/>
  <c r="G160" i="68" s="1"/>
  <c r="C160" i="69" s="1"/>
  <c r="C34" i="70"/>
  <c r="E34" i="70" s="1"/>
  <c r="G34" i="70" s="1"/>
  <c r="C34" i="71" s="1"/>
  <c r="E34" i="71" s="1"/>
  <c r="G34" i="71" s="1"/>
  <c r="C34" i="68" s="1"/>
  <c r="E34" i="68" s="1"/>
  <c r="G34" i="68" s="1"/>
  <c r="C34" i="69" s="1"/>
  <c r="C243" i="70"/>
  <c r="E243" i="70" s="1"/>
  <c r="G243" i="70" s="1"/>
  <c r="C220" i="70"/>
  <c r="E220" i="70" s="1"/>
  <c r="G220" i="70" s="1"/>
  <c r="C220" i="71" s="1"/>
  <c r="E220" i="71" s="1"/>
  <c r="G220" i="71" s="1"/>
  <c r="C220" i="68" s="1"/>
  <c r="E220" i="68" s="1"/>
  <c r="G220" i="68" s="1"/>
  <c r="C220" i="69" s="1"/>
  <c r="C196" i="70"/>
  <c r="E196" i="70" s="1"/>
  <c r="G196" i="70" s="1"/>
  <c r="C196" i="71" s="1"/>
  <c r="E196" i="71" s="1"/>
  <c r="G196" i="71" s="1"/>
  <c r="C196" i="68" s="1"/>
  <c r="E196" i="68" s="1"/>
  <c r="G196" i="68" s="1"/>
  <c r="C196" i="69" s="1"/>
  <c r="C166" i="70"/>
  <c r="E166" i="70" s="1"/>
  <c r="G166" i="70" s="1"/>
  <c r="C136" i="70"/>
  <c r="E136" i="70" s="1"/>
  <c r="G136" i="70" s="1"/>
  <c r="C136" i="71" s="1"/>
  <c r="E136" i="71" s="1"/>
  <c r="G136" i="71" s="1"/>
  <c r="C136" i="68" s="1"/>
  <c r="E136" i="68" s="1"/>
  <c r="G136" i="68" s="1"/>
  <c r="C136" i="69" s="1"/>
  <c r="C112" i="70"/>
  <c r="E112" i="70" s="1"/>
  <c r="G112" i="70" s="1"/>
  <c r="C112" i="71" s="1"/>
  <c r="E112" i="71" s="1"/>
  <c r="G112" i="71" s="1"/>
  <c r="C112" i="68" s="1"/>
  <c r="E112" i="68" s="1"/>
  <c r="G112" i="68" s="1"/>
  <c r="C112" i="69" s="1"/>
  <c r="C84" i="70"/>
  <c r="E84" i="70" s="1"/>
  <c r="G84" i="70" s="1"/>
  <c r="C59" i="70"/>
  <c r="E59" i="70" s="1"/>
  <c r="G59" i="70" s="1"/>
  <c r="C21" i="70"/>
  <c r="E21" i="70" s="1"/>
  <c r="G21" i="70" s="1"/>
  <c r="E219" i="8"/>
  <c r="G219" i="8"/>
  <c r="C32" i="70"/>
  <c r="E32" i="70" s="1"/>
  <c r="G32" i="70" s="1"/>
  <c r="C32" i="71" s="1"/>
  <c r="E32" i="71" s="1"/>
  <c r="G32" i="71" s="1"/>
  <c r="C32" i="68" s="1"/>
  <c r="E32" i="68" s="1"/>
  <c r="G32" i="68" s="1"/>
  <c r="C32" i="69" s="1"/>
  <c r="C239" i="70"/>
  <c r="E239" i="70" s="1"/>
  <c r="G239" i="70" s="1"/>
  <c r="C216" i="70"/>
  <c r="E216" i="70" s="1"/>
  <c r="G216" i="70" s="1"/>
  <c r="C216" i="71" s="1"/>
  <c r="E216" i="71" s="1"/>
  <c r="G216" i="71" s="1"/>
  <c r="C216" i="68" s="1"/>
  <c r="E216" i="68" s="1"/>
  <c r="G216" i="68" s="1"/>
  <c r="C216" i="69" s="1"/>
  <c r="C192" i="70"/>
  <c r="E192" i="70" s="1"/>
  <c r="G192" i="70" s="1"/>
  <c r="C144" i="70"/>
  <c r="E144" i="70" s="1"/>
  <c r="G144" i="70" s="1"/>
  <c r="C120" i="70"/>
  <c r="E120" i="70" s="1"/>
  <c r="G120" i="70" s="1"/>
  <c r="C120" i="71" s="1"/>
  <c r="E120" i="71" s="1"/>
  <c r="G120" i="71" s="1"/>
  <c r="C120" i="68" s="1"/>
  <c r="E120" i="68" s="1"/>
  <c r="G120" i="68" s="1"/>
  <c r="C120" i="69" s="1"/>
  <c r="C96" i="70"/>
  <c r="E96" i="70" s="1"/>
  <c r="G96" i="70" s="1"/>
  <c r="C96" i="71" s="1"/>
  <c r="E96" i="71" s="1"/>
  <c r="G96" i="71" s="1"/>
  <c r="C96" i="68" s="1"/>
  <c r="E96" i="68" s="1"/>
  <c r="G96" i="68" s="1"/>
  <c r="C96" i="69" s="1"/>
  <c r="C71" i="70"/>
  <c r="E71" i="70" s="1"/>
  <c r="G71" i="70" s="1"/>
  <c r="C71" i="71" s="1"/>
  <c r="E71" i="71" s="1"/>
  <c r="G71" i="71" s="1"/>
  <c r="C71" i="68" s="1"/>
  <c r="E71" i="68" s="1"/>
  <c r="G71" i="68" s="1"/>
  <c r="C71" i="69" s="1"/>
  <c r="C55" i="70"/>
  <c r="E55" i="70" s="1"/>
  <c r="G55" i="70" s="1"/>
  <c r="C47" i="70"/>
  <c r="E47" i="70" s="1"/>
  <c r="G47" i="70" s="1"/>
  <c r="C250" i="70"/>
  <c r="E250" i="70" s="1"/>
  <c r="G250" i="70" s="1"/>
  <c r="C250" i="71" s="1"/>
  <c r="E250" i="71" s="1"/>
  <c r="G250" i="71" s="1"/>
  <c r="C250" i="68" s="1"/>
  <c r="E250" i="68" s="1"/>
  <c r="G250" i="68" s="1"/>
  <c r="C250" i="69" s="1"/>
  <c r="C226" i="70"/>
  <c r="E226" i="70" s="1"/>
  <c r="G226" i="70" s="1"/>
  <c r="C226" i="71" s="1"/>
  <c r="E226" i="71" s="1"/>
  <c r="G226" i="71" s="1"/>
  <c r="C226" i="68" s="1"/>
  <c r="E226" i="68" s="1"/>
  <c r="G226" i="68" s="1"/>
  <c r="C226" i="69" s="1"/>
  <c r="C207" i="70"/>
  <c r="E207" i="70" s="1"/>
  <c r="G207" i="70" s="1"/>
  <c r="C187" i="70"/>
  <c r="E187" i="70" s="1"/>
  <c r="G187" i="70" s="1"/>
  <c r="C187" i="71" s="1"/>
  <c r="E187" i="71" s="1"/>
  <c r="G187" i="71" s="1"/>
  <c r="C187" i="68" s="1"/>
  <c r="E187" i="68" s="1"/>
  <c r="G187" i="68" s="1"/>
  <c r="C187" i="69" s="1"/>
  <c r="C147" i="70"/>
  <c r="E147" i="70" s="1"/>
  <c r="G147" i="70" s="1"/>
  <c r="C147" i="71" s="1"/>
  <c r="E147" i="71" s="1"/>
  <c r="G147" i="71" s="1"/>
  <c r="C147" i="68" s="1"/>
  <c r="E147" i="68" s="1"/>
  <c r="G147" i="68" s="1"/>
  <c r="C147" i="69" s="1"/>
  <c r="C127" i="70"/>
  <c r="E127" i="70" s="1"/>
  <c r="G127" i="70" s="1"/>
  <c r="C127" i="71" s="1"/>
  <c r="E127" i="71" s="1"/>
  <c r="G127" i="71" s="1"/>
  <c r="C127" i="68" s="1"/>
  <c r="E127" i="68" s="1"/>
  <c r="G127" i="68" s="1"/>
  <c r="C127" i="69" s="1"/>
  <c r="C107" i="70"/>
  <c r="E107" i="70" s="1"/>
  <c r="G107" i="70" s="1"/>
  <c r="C107" i="71" s="1"/>
  <c r="E107" i="71" s="1"/>
  <c r="G107" i="71" s="1"/>
  <c r="C107" i="68" s="1"/>
  <c r="E107" i="68" s="1"/>
  <c r="G107" i="68" s="1"/>
  <c r="C107" i="69" s="1"/>
  <c r="C66" i="70"/>
  <c r="E66" i="70" s="1"/>
  <c r="G66" i="70" s="1"/>
  <c r="C39" i="70"/>
  <c r="E39" i="70" s="1"/>
  <c r="G39" i="70" s="1"/>
  <c r="C39" i="71" s="1"/>
  <c r="E39" i="71" s="1"/>
  <c r="G39" i="71" s="1"/>
  <c r="C39" i="68" s="1"/>
  <c r="E39" i="68" s="1"/>
  <c r="G39" i="68" s="1"/>
  <c r="C39" i="69" s="1"/>
  <c r="C179" i="70"/>
  <c r="E179" i="70" s="1"/>
  <c r="G179" i="70" s="1"/>
  <c r="C179" i="71" s="1"/>
  <c r="E179" i="71" s="1"/>
  <c r="G179" i="71" s="1"/>
  <c r="C179" i="68" s="1"/>
  <c r="E179" i="68" s="1"/>
  <c r="G179" i="68" s="1"/>
  <c r="C179" i="69" s="1"/>
  <c r="C162" i="70"/>
  <c r="E162" i="70" s="1"/>
  <c r="G162" i="70" s="1"/>
  <c r="C162" i="71" s="1"/>
  <c r="E162" i="71" s="1"/>
  <c r="G162" i="71" s="1"/>
  <c r="C162" i="68" s="1"/>
  <c r="C46" i="70"/>
  <c r="E46" i="70" s="1"/>
  <c r="G46" i="70" s="1"/>
  <c r="C46" i="71" s="1"/>
  <c r="E46" i="71" s="1"/>
  <c r="G46" i="71" s="1"/>
  <c r="C46" i="68" s="1"/>
  <c r="E46" i="68" s="1"/>
  <c r="G46" i="68" s="1"/>
  <c r="C46" i="69" s="1"/>
  <c r="C42" i="70"/>
  <c r="E42" i="70" s="1"/>
  <c r="G42" i="70" s="1"/>
  <c r="C42" i="71" s="1"/>
  <c r="E42" i="71" s="1"/>
  <c r="G42" i="71" s="1"/>
  <c r="C42" i="68" s="1"/>
  <c r="E42" i="68" s="1"/>
  <c r="G42" i="68" s="1"/>
  <c r="C42" i="69" s="1"/>
  <c r="C31" i="70"/>
  <c r="E31" i="70" s="1"/>
  <c r="G31" i="70" s="1"/>
  <c r="C31" i="71" s="1"/>
  <c r="E31" i="71" s="1"/>
  <c r="G31" i="71" s="1"/>
  <c r="C31" i="68" s="1"/>
  <c r="E31" i="68" s="1"/>
  <c r="G31" i="68" s="1"/>
  <c r="C31" i="69" s="1"/>
  <c r="C27" i="70"/>
  <c r="E27" i="70" s="1"/>
  <c r="G27" i="70" s="1"/>
  <c r="C27" i="71" s="1"/>
  <c r="E27" i="71" s="1"/>
  <c r="G27" i="71" s="1"/>
  <c r="C27" i="68" s="1"/>
  <c r="E27" i="68" s="1"/>
  <c r="G27" i="68" s="1"/>
  <c r="C27" i="69" s="1"/>
  <c r="C16" i="70"/>
  <c r="E16" i="70" s="1"/>
  <c r="G16" i="70" s="1"/>
  <c r="C16" i="71" s="1"/>
  <c r="E16" i="71" s="1"/>
  <c r="G16" i="71" s="1"/>
  <c r="C16" i="68" s="1"/>
  <c r="E16" i="68" s="1"/>
  <c r="G16" i="68" s="1"/>
  <c r="C16" i="69" s="1"/>
  <c r="E115" i="8"/>
  <c r="E107" i="8"/>
  <c r="C247" i="70"/>
  <c r="E247" i="70" s="1"/>
  <c r="G247" i="70" s="1"/>
  <c r="C247" i="71" s="1"/>
  <c r="E247" i="71" s="1"/>
  <c r="G247" i="71" s="1"/>
  <c r="C247" i="68" s="1"/>
  <c r="E247" i="68" s="1"/>
  <c r="G247" i="68" s="1"/>
  <c r="C247" i="69" s="1"/>
  <c r="C223" i="70"/>
  <c r="E223" i="70" s="1"/>
  <c r="G223" i="70" s="1"/>
  <c r="C223" i="71" s="1"/>
  <c r="E223" i="71" s="1"/>
  <c r="G223" i="71" s="1"/>
  <c r="C223" i="68" s="1"/>
  <c r="E223" i="68" s="1"/>
  <c r="G223" i="68" s="1"/>
  <c r="C223" i="69" s="1"/>
  <c r="C200" i="70"/>
  <c r="E200" i="70" s="1"/>
  <c r="G200" i="70" s="1"/>
  <c r="C170" i="70"/>
  <c r="E170" i="70" s="1"/>
  <c r="G170" i="70" s="1"/>
  <c r="C170" i="71" s="1"/>
  <c r="E170" i="71" s="1"/>
  <c r="G170" i="71" s="1"/>
  <c r="C170" i="68" s="1"/>
  <c r="E170" i="68" s="1"/>
  <c r="G170" i="68" s="1"/>
  <c r="C170" i="69" s="1"/>
  <c r="C140" i="70"/>
  <c r="E140" i="70" s="1"/>
  <c r="G140" i="70" s="1"/>
  <c r="C140" i="71" s="1"/>
  <c r="E140" i="71" s="1"/>
  <c r="G140" i="71" s="1"/>
  <c r="C140" i="68" s="1"/>
  <c r="E140" i="68" s="1"/>
  <c r="G140" i="68" s="1"/>
  <c r="C140" i="69" s="1"/>
  <c r="C116" i="70"/>
  <c r="E116" i="70" s="1"/>
  <c r="G116" i="70" s="1"/>
  <c r="C92" i="70"/>
  <c r="E92" i="70" s="1"/>
  <c r="G92" i="70" s="1"/>
  <c r="C92" i="71" s="1"/>
  <c r="E92" i="71" s="1"/>
  <c r="G92" i="71" s="1"/>
  <c r="C92" i="68" s="1"/>
  <c r="E92" i="68" s="1"/>
  <c r="G92" i="68" s="1"/>
  <c r="C92" i="69" s="1"/>
  <c r="C67" i="70"/>
  <c r="E67" i="70" s="1"/>
  <c r="G67" i="70" s="1"/>
  <c r="C67" i="71" s="1"/>
  <c r="E67" i="71" s="1"/>
  <c r="G67" i="71" s="1"/>
  <c r="C67" i="68" s="1"/>
  <c r="E67" i="68" s="1"/>
  <c r="G67" i="68" s="1"/>
  <c r="C67" i="69" s="1"/>
  <c r="C36" i="70"/>
  <c r="E36" i="70" s="1"/>
  <c r="G36" i="70" s="1"/>
  <c r="C163" i="70"/>
  <c r="E163" i="70" s="1"/>
  <c r="G163" i="70" s="1"/>
  <c r="C163" i="71" s="1"/>
  <c r="E163" i="71" s="1"/>
  <c r="G163" i="71" s="1"/>
  <c r="C163" i="68" s="1"/>
  <c r="E163" i="68" s="1"/>
  <c r="G163" i="68" s="1"/>
  <c r="C163" i="69" s="1"/>
  <c r="C246" i="70"/>
  <c r="E246" i="70" s="1"/>
  <c r="G246" i="70" s="1"/>
  <c r="C246" i="71" s="1"/>
  <c r="E246" i="71" s="1"/>
  <c r="G246" i="71" s="1"/>
  <c r="C246" i="68" s="1"/>
  <c r="E246" i="68" s="1"/>
  <c r="G246" i="68" s="1"/>
  <c r="C246" i="69" s="1"/>
  <c r="C230" i="70"/>
  <c r="E230" i="70" s="1"/>
  <c r="G230" i="70" s="1"/>
  <c r="C230" i="71" s="1"/>
  <c r="E230" i="71" s="1"/>
  <c r="G230" i="71" s="1"/>
  <c r="C230" i="68" s="1"/>
  <c r="E230" i="68" s="1"/>
  <c r="G230" i="68" s="1"/>
  <c r="C230" i="69" s="1"/>
  <c r="C211" i="70"/>
  <c r="E211" i="70" s="1"/>
  <c r="G211" i="70" s="1"/>
  <c r="C211" i="71" s="1"/>
  <c r="E211" i="71" s="1"/>
  <c r="G211" i="71" s="1"/>
  <c r="C211" i="68" s="1"/>
  <c r="C191" i="70"/>
  <c r="E191" i="70" s="1"/>
  <c r="G191" i="70" s="1"/>
  <c r="C191" i="71" s="1"/>
  <c r="E191" i="71" s="1"/>
  <c r="G191" i="71" s="1"/>
  <c r="C191" i="68" s="1"/>
  <c r="E191" i="68" s="1"/>
  <c r="G191" i="68" s="1"/>
  <c r="C191" i="69" s="1"/>
  <c r="C159" i="70"/>
  <c r="E159" i="70" s="1"/>
  <c r="G159" i="70" s="1"/>
  <c r="C159" i="71" s="1"/>
  <c r="E159" i="71" s="1"/>
  <c r="G159" i="71" s="1"/>
  <c r="C159" i="68" s="1"/>
  <c r="E159" i="68" s="1"/>
  <c r="G159" i="68" s="1"/>
  <c r="C159" i="69" s="1"/>
  <c r="C143" i="70"/>
  <c r="E143" i="70" s="1"/>
  <c r="G143" i="70" s="1"/>
  <c r="C143" i="71" s="1"/>
  <c r="E143" i="71" s="1"/>
  <c r="G143" i="71" s="1"/>
  <c r="C143" i="68" s="1"/>
  <c r="E143" i="68" s="1"/>
  <c r="G143" i="68" s="1"/>
  <c r="C143" i="69" s="1"/>
  <c r="C123" i="70"/>
  <c r="E123" i="70" s="1"/>
  <c r="G123" i="70" s="1"/>
  <c r="C123" i="71" s="1"/>
  <c r="E123" i="71" s="1"/>
  <c r="G123" i="71" s="1"/>
  <c r="C123" i="68" s="1"/>
  <c r="E123" i="68" s="1"/>
  <c r="G123" i="68" s="1"/>
  <c r="C123" i="69" s="1"/>
  <c r="C103" i="70"/>
  <c r="E103" i="70" s="1"/>
  <c r="G103" i="70" s="1"/>
  <c r="C103" i="71" s="1"/>
  <c r="E103" i="71" s="1"/>
  <c r="G103" i="71" s="1"/>
  <c r="C103" i="68" s="1"/>
  <c r="E103" i="68" s="1"/>
  <c r="G103" i="68" s="1"/>
  <c r="C103" i="69" s="1"/>
  <c r="C62" i="70"/>
  <c r="E62" i="70" s="1"/>
  <c r="G62" i="70" s="1"/>
  <c r="C62" i="71" s="1"/>
  <c r="E62" i="71" s="1"/>
  <c r="G62" i="71" s="1"/>
  <c r="C62" i="68" s="1"/>
  <c r="E62" i="68" s="1"/>
  <c r="G62" i="68" s="1"/>
  <c r="C62" i="69" s="1"/>
  <c r="C35" i="70"/>
  <c r="E35" i="70" s="1"/>
  <c r="G35" i="70" s="1"/>
  <c r="C35" i="71" s="1"/>
  <c r="E35" i="71" s="1"/>
  <c r="G35" i="71" s="1"/>
  <c r="C35" i="68" s="1"/>
  <c r="E35" i="68" s="1"/>
  <c r="G35" i="68" s="1"/>
  <c r="C35" i="69" s="1"/>
  <c r="C249" i="70"/>
  <c r="E249" i="70" s="1"/>
  <c r="G249" i="70" s="1"/>
  <c r="C249" i="71" s="1"/>
  <c r="E249" i="71" s="1"/>
  <c r="G249" i="71" s="1"/>
  <c r="C249" i="68" s="1"/>
  <c r="E249" i="68" s="1"/>
  <c r="G249" i="68" s="1"/>
  <c r="C249" i="69" s="1"/>
  <c r="C241" i="70"/>
  <c r="E241" i="70" s="1"/>
  <c r="G241" i="70" s="1"/>
  <c r="C241" i="71" s="1"/>
  <c r="E241" i="71" s="1"/>
  <c r="G241" i="71" s="1"/>
  <c r="C241" i="68" s="1"/>
  <c r="E241" i="68" s="1"/>
  <c r="G241" i="68" s="1"/>
  <c r="C241" i="69" s="1"/>
  <c r="C233" i="70"/>
  <c r="E233" i="70" s="1"/>
  <c r="G233" i="70" s="1"/>
  <c r="C233" i="71" s="1"/>
  <c r="E233" i="71" s="1"/>
  <c r="G233" i="71" s="1"/>
  <c r="C233" i="68" s="1"/>
  <c r="E233" i="68" s="1"/>
  <c r="G233" i="68" s="1"/>
  <c r="C233" i="69" s="1"/>
  <c r="C225" i="70"/>
  <c r="E225" i="70" s="1"/>
  <c r="G225" i="70" s="1"/>
  <c r="C225" i="71" s="1"/>
  <c r="E225" i="71" s="1"/>
  <c r="G225" i="71" s="1"/>
  <c r="C225" i="68" s="1"/>
  <c r="E225" i="68" s="1"/>
  <c r="G225" i="68" s="1"/>
  <c r="C225" i="69" s="1"/>
  <c r="C218" i="70"/>
  <c r="E218" i="70" s="1"/>
  <c r="G218" i="70" s="1"/>
  <c r="C218" i="71" s="1"/>
  <c r="E218" i="71" s="1"/>
  <c r="G218" i="71" s="1"/>
  <c r="C218" i="68" s="1"/>
  <c r="E218" i="68" s="1"/>
  <c r="G218" i="68" s="1"/>
  <c r="C218" i="69" s="1"/>
  <c r="C210" i="70"/>
  <c r="E210" i="70" s="1"/>
  <c r="G210" i="70" s="1"/>
  <c r="C210" i="71" s="1"/>
  <c r="E210" i="71" s="1"/>
  <c r="G210" i="71" s="1"/>
  <c r="C210" i="68" s="1"/>
  <c r="E210" i="68" s="1"/>
  <c r="G210" i="68" s="1"/>
  <c r="C210" i="69" s="1"/>
  <c r="C202" i="70"/>
  <c r="E202" i="70" s="1"/>
  <c r="G202" i="70" s="1"/>
  <c r="C202" i="71" s="1"/>
  <c r="E202" i="71" s="1"/>
  <c r="G202" i="71" s="1"/>
  <c r="C202" i="68" s="1"/>
  <c r="E202" i="68" s="1"/>
  <c r="G202" i="68" s="1"/>
  <c r="C202" i="69" s="1"/>
  <c r="C194" i="70"/>
  <c r="E194" i="70" s="1"/>
  <c r="G194" i="70" s="1"/>
  <c r="C194" i="71" s="1"/>
  <c r="E194" i="71" s="1"/>
  <c r="G194" i="71" s="1"/>
  <c r="C194" i="68" s="1"/>
  <c r="E194" i="68" s="1"/>
  <c r="G194" i="68" s="1"/>
  <c r="C194" i="69" s="1"/>
  <c r="C186" i="70"/>
  <c r="E186" i="70" s="1"/>
  <c r="G186" i="70" s="1"/>
  <c r="C186" i="71" s="1"/>
  <c r="E186" i="71" s="1"/>
  <c r="G186" i="71" s="1"/>
  <c r="C186" i="68" s="1"/>
  <c r="E186" i="68" s="1"/>
  <c r="G186" i="68" s="1"/>
  <c r="C186" i="69" s="1"/>
  <c r="C172" i="70"/>
  <c r="E172" i="70" s="1"/>
  <c r="G172" i="70" s="1"/>
  <c r="C172" i="71" s="1"/>
  <c r="E172" i="71" s="1"/>
  <c r="G172" i="71" s="1"/>
  <c r="C172" i="68" s="1"/>
  <c r="E172" i="68" s="1"/>
  <c r="G172" i="68" s="1"/>
  <c r="C172" i="69" s="1"/>
  <c r="C165" i="70"/>
  <c r="E165" i="70" s="1"/>
  <c r="G165" i="70" s="1"/>
  <c r="C165" i="71" s="1"/>
  <c r="E165" i="71" s="1"/>
  <c r="G165" i="71" s="1"/>
  <c r="C165" i="68" s="1"/>
  <c r="C154" i="70"/>
  <c r="E154" i="70" s="1"/>
  <c r="G154" i="70" s="1"/>
  <c r="C154" i="71" s="1"/>
  <c r="E154" i="71" s="1"/>
  <c r="G154" i="71" s="1"/>
  <c r="C154" i="68" s="1"/>
  <c r="E154" i="68" s="1"/>
  <c r="G154" i="68" s="1"/>
  <c r="C154" i="69" s="1"/>
  <c r="C138" i="70"/>
  <c r="E138" i="70" s="1"/>
  <c r="G138" i="70" s="1"/>
  <c r="C138" i="71" s="1"/>
  <c r="E138" i="71" s="1"/>
  <c r="G138" i="71" s="1"/>
  <c r="C138" i="68" s="1"/>
  <c r="E138" i="68" s="1"/>
  <c r="G138" i="68" s="1"/>
  <c r="C138" i="69" s="1"/>
  <c r="C134" i="70"/>
  <c r="E134" i="70" s="1"/>
  <c r="G134" i="70" s="1"/>
  <c r="C134" i="71" s="1"/>
  <c r="E134" i="71" s="1"/>
  <c r="G134" i="71" s="1"/>
  <c r="C134" i="68" s="1"/>
  <c r="E134" i="68" s="1"/>
  <c r="G134" i="68" s="1"/>
  <c r="C134" i="69" s="1"/>
  <c r="C126" i="70"/>
  <c r="E126" i="70" s="1"/>
  <c r="G126" i="70" s="1"/>
  <c r="C126" i="71" s="1"/>
  <c r="E126" i="71" s="1"/>
  <c r="G126" i="71" s="1"/>
  <c r="C126" i="68" s="1"/>
  <c r="C122" i="70"/>
  <c r="E122" i="70" s="1"/>
  <c r="G122" i="70" s="1"/>
  <c r="C122" i="71" s="1"/>
  <c r="E122" i="71" s="1"/>
  <c r="G122" i="71" s="1"/>
  <c r="C122" i="68" s="1"/>
  <c r="E122" i="68" s="1"/>
  <c r="G122" i="68" s="1"/>
  <c r="C122" i="69" s="1"/>
  <c r="C118" i="70"/>
  <c r="E118" i="70" s="1"/>
  <c r="G118" i="70" s="1"/>
  <c r="C118" i="71" s="1"/>
  <c r="E118" i="71" s="1"/>
  <c r="G118" i="71" s="1"/>
  <c r="C118" i="68" s="1"/>
  <c r="E118" i="68" s="1"/>
  <c r="G118" i="68" s="1"/>
  <c r="C118" i="69" s="1"/>
  <c r="C114" i="70"/>
  <c r="E114" i="70" s="1"/>
  <c r="G114" i="70" s="1"/>
  <c r="C114" i="71" s="1"/>
  <c r="E114" i="71" s="1"/>
  <c r="G114" i="71" s="1"/>
  <c r="C114" i="68" s="1"/>
  <c r="E114" i="68" s="1"/>
  <c r="G114" i="68" s="1"/>
  <c r="C114" i="69" s="1"/>
  <c r="C110" i="70"/>
  <c r="E110" i="70" s="1"/>
  <c r="G110" i="70" s="1"/>
  <c r="C110" i="71" s="1"/>
  <c r="E110" i="71" s="1"/>
  <c r="G110" i="71" s="1"/>
  <c r="C110" i="68" s="1"/>
  <c r="E110" i="68" s="1"/>
  <c r="G110" i="68" s="1"/>
  <c r="C110" i="69" s="1"/>
  <c r="C106" i="70"/>
  <c r="E106" i="70" s="1"/>
  <c r="G106" i="70" s="1"/>
  <c r="C106" i="71" s="1"/>
  <c r="E106" i="71" s="1"/>
  <c r="G106" i="71" s="1"/>
  <c r="C106" i="68" s="1"/>
  <c r="E106" i="68" s="1"/>
  <c r="G106" i="68" s="1"/>
  <c r="C106" i="69" s="1"/>
  <c r="C102" i="70"/>
  <c r="E102" i="70" s="1"/>
  <c r="G102" i="70" s="1"/>
  <c r="C102" i="71" s="1"/>
  <c r="E102" i="71" s="1"/>
  <c r="G102" i="71" s="1"/>
  <c r="C102" i="68" s="1"/>
  <c r="E102" i="68" s="1"/>
  <c r="G102" i="68" s="1"/>
  <c r="C102" i="69" s="1"/>
  <c r="C98" i="70"/>
  <c r="E98" i="70" s="1"/>
  <c r="G98" i="70" s="1"/>
  <c r="C98" i="71" s="1"/>
  <c r="E98" i="71" s="1"/>
  <c r="G98" i="71" s="1"/>
  <c r="C98" i="68" s="1"/>
  <c r="E98" i="68" s="1"/>
  <c r="G98" i="68" s="1"/>
  <c r="C98" i="69" s="1"/>
  <c r="C94" i="70"/>
  <c r="E94" i="70" s="1"/>
  <c r="G94" i="70" s="1"/>
  <c r="C94" i="71" s="1"/>
  <c r="E94" i="71" s="1"/>
  <c r="G94" i="71" s="1"/>
  <c r="C94" i="68" s="1"/>
  <c r="E94" i="68" s="1"/>
  <c r="G94" i="68" s="1"/>
  <c r="C94" i="69" s="1"/>
  <c r="C90" i="70"/>
  <c r="E90" i="70" s="1"/>
  <c r="G90" i="70" s="1"/>
  <c r="C90" i="71" s="1"/>
  <c r="E90" i="71" s="1"/>
  <c r="G90" i="71" s="1"/>
  <c r="C90" i="68" s="1"/>
  <c r="E90" i="68" s="1"/>
  <c r="G90" i="68" s="1"/>
  <c r="C90" i="69" s="1"/>
  <c r="C77" i="70"/>
  <c r="E77" i="70" s="1"/>
  <c r="G77" i="70" s="1"/>
  <c r="C73" i="70"/>
  <c r="E73" i="70" s="1"/>
  <c r="G73" i="70" s="1"/>
  <c r="C69" i="70"/>
  <c r="E69" i="70" s="1"/>
  <c r="G69" i="70" s="1"/>
  <c r="C69" i="71" s="1"/>
  <c r="E69" i="71" s="1"/>
  <c r="G69" i="71" s="1"/>
  <c r="C69" i="68" s="1"/>
  <c r="E69" i="68" s="1"/>
  <c r="G69" i="68" s="1"/>
  <c r="C69" i="69" s="1"/>
  <c r="C65" i="70"/>
  <c r="E65" i="70" s="1"/>
  <c r="G65" i="70" s="1"/>
  <c r="C65" i="71" s="1"/>
  <c r="E65" i="71" s="1"/>
  <c r="G65" i="71" s="1"/>
  <c r="C65" i="68" s="1"/>
  <c r="E65" i="68" s="1"/>
  <c r="G65" i="68" s="1"/>
  <c r="C65" i="69" s="1"/>
  <c r="C61" i="70"/>
  <c r="E61" i="70" s="1"/>
  <c r="G61" i="70" s="1"/>
  <c r="C61" i="71" s="1"/>
  <c r="E61" i="71" s="1"/>
  <c r="G61" i="71" s="1"/>
  <c r="C61" i="68" s="1"/>
  <c r="E61" i="68" s="1"/>
  <c r="G61" i="68" s="1"/>
  <c r="C61" i="69" s="1"/>
  <c r="C57" i="70"/>
  <c r="E57" i="70" s="1"/>
  <c r="G57" i="70" s="1"/>
  <c r="C57" i="71" s="1"/>
  <c r="E57" i="71" s="1"/>
  <c r="G57" i="71" s="1"/>
  <c r="C57" i="68" s="1"/>
  <c r="E57" i="68" s="1"/>
  <c r="G57" i="68" s="1"/>
  <c r="C57" i="69" s="1"/>
  <c r="C53" i="70"/>
  <c r="E53" i="70" s="1"/>
  <c r="G53" i="70" s="1"/>
  <c r="C38" i="70"/>
  <c r="E38" i="70" s="1"/>
  <c r="G38" i="70" s="1"/>
  <c r="C38" i="71" s="1"/>
  <c r="E38" i="71" s="1"/>
  <c r="G38" i="71" s="1"/>
  <c r="C38" i="68" s="1"/>
  <c r="E38" i="68" s="1"/>
  <c r="G38" i="68" s="1"/>
  <c r="C38" i="69" s="1"/>
  <c r="C23" i="70"/>
  <c r="E23" i="70" s="1"/>
  <c r="G23" i="70" s="1"/>
  <c r="C23" i="71" s="1"/>
  <c r="E23" i="71" s="1"/>
  <c r="G23" i="71" s="1"/>
  <c r="C23" i="68" s="1"/>
  <c r="E23" i="68" s="1"/>
  <c r="G23" i="68" s="1"/>
  <c r="C23" i="69" s="1"/>
  <c r="E99" i="8"/>
  <c r="C235" i="70"/>
  <c r="E235" i="70" s="1"/>
  <c r="G235" i="70" s="1"/>
  <c r="C235" i="71" s="1"/>
  <c r="E235" i="71" s="1"/>
  <c r="G235" i="71" s="1"/>
  <c r="C235" i="68" s="1"/>
  <c r="E235" i="68" s="1"/>
  <c r="G235" i="68" s="1"/>
  <c r="C235" i="69" s="1"/>
  <c r="C212" i="70"/>
  <c r="E212" i="70" s="1"/>
  <c r="G212" i="70" s="1"/>
  <c r="C188" i="70"/>
  <c r="E188" i="70" s="1"/>
  <c r="G188" i="70" s="1"/>
  <c r="C188" i="71" s="1"/>
  <c r="E188" i="71" s="1"/>
  <c r="G188" i="71" s="1"/>
  <c r="C188" i="68" s="1"/>
  <c r="E188" i="68" s="1"/>
  <c r="G188" i="68" s="1"/>
  <c r="C188" i="69" s="1"/>
  <c r="C152" i="70"/>
  <c r="E152" i="70" s="1"/>
  <c r="G152" i="70" s="1"/>
  <c r="C152" i="71" s="1"/>
  <c r="E152" i="71" s="1"/>
  <c r="G152" i="71" s="1"/>
  <c r="C152" i="68" s="1"/>
  <c r="E152" i="68" s="1"/>
  <c r="G152" i="68" s="1"/>
  <c r="C152" i="69" s="1"/>
  <c r="C128" i="70"/>
  <c r="E128" i="70" s="1"/>
  <c r="G128" i="70" s="1"/>
  <c r="C128" i="71" s="1"/>
  <c r="E128" i="71" s="1"/>
  <c r="G128" i="71" s="1"/>
  <c r="C128" i="68" s="1"/>
  <c r="E128" i="68" s="1"/>
  <c r="G128" i="68" s="1"/>
  <c r="C128" i="69" s="1"/>
  <c r="C104" i="70"/>
  <c r="E104" i="70" s="1"/>
  <c r="G104" i="70" s="1"/>
  <c r="C104" i="71" s="1"/>
  <c r="E104" i="71" s="1"/>
  <c r="G104" i="71" s="1"/>
  <c r="C104" i="68" s="1"/>
  <c r="E104" i="68" s="1"/>
  <c r="G104" i="68" s="1"/>
  <c r="C104" i="69" s="1"/>
  <c r="C40" i="70"/>
  <c r="E40" i="70" s="1"/>
  <c r="G40" i="70" s="1"/>
  <c r="C40" i="71" s="1"/>
  <c r="E40" i="71" s="1"/>
  <c r="G40" i="71" s="1"/>
  <c r="C40" i="68" s="1"/>
  <c r="E40" i="68" s="1"/>
  <c r="G40" i="68" s="1"/>
  <c r="C40" i="69" s="1"/>
  <c r="C173" i="70"/>
  <c r="E173" i="70" s="1"/>
  <c r="G173" i="70" s="1"/>
  <c r="C173" i="71" s="1"/>
  <c r="E173" i="71" s="1"/>
  <c r="G173" i="71" s="1"/>
  <c r="C173" i="68" s="1"/>
  <c r="E173" i="68" s="1"/>
  <c r="G173" i="68" s="1"/>
  <c r="C173" i="69" s="1"/>
  <c r="C43" i="70"/>
  <c r="E43" i="70" s="1"/>
  <c r="G43" i="70" s="1"/>
  <c r="C43" i="71" s="1"/>
  <c r="E43" i="71" s="1"/>
  <c r="G43" i="71" s="1"/>
  <c r="C43" i="68" s="1"/>
  <c r="E43" i="68" s="1"/>
  <c r="G43" i="68" s="1"/>
  <c r="C43" i="69" s="1"/>
  <c r="C254" i="70"/>
  <c r="E254" i="70" s="1"/>
  <c r="G254" i="70" s="1"/>
  <c r="C254" i="71" s="1"/>
  <c r="E254" i="71" s="1"/>
  <c r="G254" i="71" s="1"/>
  <c r="C254" i="68" s="1"/>
  <c r="E254" i="68" s="1"/>
  <c r="G254" i="68" s="1"/>
  <c r="C254" i="69" s="1"/>
  <c r="C234" i="70"/>
  <c r="E234" i="70" s="1"/>
  <c r="G234" i="70" s="1"/>
  <c r="C234" i="71" s="1"/>
  <c r="E234" i="71" s="1"/>
  <c r="G234" i="71" s="1"/>
  <c r="C234" i="68" s="1"/>
  <c r="E234" i="68" s="1"/>
  <c r="G234" i="68" s="1"/>
  <c r="C234" i="69" s="1"/>
  <c r="C215" i="70"/>
  <c r="E215" i="70" s="1"/>
  <c r="G215" i="70" s="1"/>
  <c r="C215" i="71" s="1"/>
  <c r="E215" i="71" s="1"/>
  <c r="G215" i="71" s="1"/>
  <c r="C215" i="68" s="1"/>
  <c r="E215" i="68" s="1"/>
  <c r="G215" i="68" s="1"/>
  <c r="C215" i="69" s="1"/>
  <c r="C195" i="70"/>
  <c r="E195" i="70" s="1"/>
  <c r="G195" i="70" s="1"/>
  <c r="C195" i="71" s="1"/>
  <c r="E195" i="71" s="1"/>
  <c r="G195" i="71" s="1"/>
  <c r="C195" i="68" s="1"/>
  <c r="E195" i="68" s="1"/>
  <c r="G195" i="68" s="1"/>
  <c r="C195" i="69" s="1"/>
  <c r="C169" i="70"/>
  <c r="E169" i="70" s="1"/>
  <c r="G169" i="70" s="1"/>
  <c r="C169" i="71" s="1"/>
  <c r="E169" i="71" s="1"/>
  <c r="G169" i="71" s="1"/>
  <c r="C169" i="68" s="1"/>
  <c r="E169" i="68" s="1"/>
  <c r="G169" i="68" s="1"/>
  <c r="C169" i="69" s="1"/>
  <c r="C139" i="70"/>
  <c r="E139" i="70" s="1"/>
  <c r="G139" i="70" s="1"/>
  <c r="C139" i="71" s="1"/>
  <c r="E139" i="71" s="1"/>
  <c r="G139" i="71" s="1"/>
  <c r="C139" i="68" s="1"/>
  <c r="E139" i="68" s="1"/>
  <c r="G139" i="68" s="1"/>
  <c r="C139" i="69" s="1"/>
  <c r="C119" i="70"/>
  <c r="E119" i="70" s="1"/>
  <c r="G119" i="70" s="1"/>
  <c r="C119" i="71" s="1"/>
  <c r="E119" i="71" s="1"/>
  <c r="G119" i="71" s="1"/>
  <c r="C119" i="68" s="1"/>
  <c r="E119" i="68" s="1"/>
  <c r="G119" i="68" s="1"/>
  <c r="C119" i="69" s="1"/>
  <c r="C99" i="70"/>
  <c r="E99" i="70" s="1"/>
  <c r="G99" i="70" s="1"/>
  <c r="C99" i="71" s="1"/>
  <c r="E99" i="71" s="1"/>
  <c r="G99" i="71" s="1"/>
  <c r="C99" i="68" s="1"/>
  <c r="E99" i="68" s="1"/>
  <c r="G99" i="68" s="1"/>
  <c r="C99" i="69" s="1"/>
  <c r="C78" i="70"/>
  <c r="E78" i="70" s="1"/>
  <c r="G78" i="70" s="1"/>
  <c r="C78" i="71" s="1"/>
  <c r="E78" i="71" s="1"/>
  <c r="G78" i="71" s="1"/>
  <c r="C78" i="68" s="1"/>
  <c r="E78" i="68" s="1"/>
  <c r="G78" i="68" s="1"/>
  <c r="C78" i="69" s="1"/>
  <c r="C54" i="70"/>
  <c r="E54" i="70" s="1"/>
  <c r="G54" i="70" s="1"/>
  <c r="C54" i="71" s="1"/>
  <c r="E54" i="71" s="1"/>
  <c r="G54" i="71" s="1"/>
  <c r="C54" i="68" s="1"/>
  <c r="E54" i="68" s="1"/>
  <c r="G54" i="68" s="1"/>
  <c r="C54" i="69" s="1"/>
  <c r="C20" i="70"/>
  <c r="E20" i="70" s="1"/>
  <c r="G20" i="70" s="1"/>
  <c r="C20" i="71" s="1"/>
  <c r="E20" i="71" s="1"/>
  <c r="G20" i="71" s="1"/>
  <c r="C20" i="68" s="1"/>
  <c r="E20" i="68" s="1"/>
  <c r="G20" i="68" s="1"/>
  <c r="C20" i="69" s="1"/>
  <c r="C253" i="70"/>
  <c r="E253" i="70" s="1"/>
  <c r="G253" i="70" s="1"/>
  <c r="C253" i="71" s="1"/>
  <c r="E253" i="71" s="1"/>
  <c r="G253" i="71" s="1"/>
  <c r="C253" i="68" s="1"/>
  <c r="E253" i="68" s="1"/>
  <c r="G253" i="68" s="1"/>
  <c r="C253" i="69" s="1"/>
  <c r="C245" i="70"/>
  <c r="E245" i="70" s="1"/>
  <c r="G245" i="70" s="1"/>
  <c r="C245" i="71" s="1"/>
  <c r="E245" i="71" s="1"/>
  <c r="G245" i="71" s="1"/>
  <c r="C245" i="68" s="1"/>
  <c r="E245" i="68" s="1"/>
  <c r="G245" i="68" s="1"/>
  <c r="C245" i="69" s="1"/>
  <c r="C237" i="70"/>
  <c r="E237" i="70" s="1"/>
  <c r="G237" i="70" s="1"/>
  <c r="C237" i="71" s="1"/>
  <c r="E237" i="71" s="1"/>
  <c r="G237" i="71" s="1"/>
  <c r="C237" i="68" s="1"/>
  <c r="E237" i="68" s="1"/>
  <c r="G237" i="68" s="1"/>
  <c r="C237" i="69" s="1"/>
  <c r="C229" i="70"/>
  <c r="E229" i="70" s="1"/>
  <c r="G229" i="70" s="1"/>
  <c r="C229" i="71" s="1"/>
  <c r="E229" i="71" s="1"/>
  <c r="G229" i="71" s="1"/>
  <c r="C229" i="68" s="1"/>
  <c r="E229" i="68" s="1"/>
  <c r="G229" i="68" s="1"/>
  <c r="C229" i="69" s="1"/>
  <c r="C79" i="70"/>
  <c r="E79" i="70" s="1"/>
  <c r="G79" i="70" s="1"/>
  <c r="C79" i="71" s="1"/>
  <c r="E79" i="71" s="1"/>
  <c r="G79" i="71" s="1"/>
  <c r="C79" i="68" s="1"/>
  <c r="E79" i="68" s="1"/>
  <c r="G79" i="68" s="1"/>
  <c r="C79" i="69" s="1"/>
  <c r="C214" i="70"/>
  <c r="E214" i="70" s="1"/>
  <c r="G214" i="70" s="1"/>
  <c r="C214" i="71" s="1"/>
  <c r="E214" i="71" s="1"/>
  <c r="G214" i="71" s="1"/>
  <c r="C214" i="68" s="1"/>
  <c r="E214" i="68" s="1"/>
  <c r="G214" i="68" s="1"/>
  <c r="C214" i="69" s="1"/>
  <c r="C206" i="70"/>
  <c r="E206" i="70" s="1"/>
  <c r="G206" i="70" s="1"/>
  <c r="C206" i="71" s="1"/>
  <c r="E206" i="71" s="1"/>
  <c r="G206" i="71" s="1"/>
  <c r="C206" i="68" s="1"/>
  <c r="E206" i="68" s="1"/>
  <c r="G206" i="68" s="1"/>
  <c r="C206" i="69" s="1"/>
  <c r="C198" i="70"/>
  <c r="E198" i="70" s="1"/>
  <c r="G198" i="70" s="1"/>
  <c r="C198" i="71" s="1"/>
  <c r="E198" i="71" s="1"/>
  <c r="G198" i="71" s="1"/>
  <c r="C198" i="68" s="1"/>
  <c r="E198" i="68" s="1"/>
  <c r="G198" i="68" s="1"/>
  <c r="C198" i="69" s="1"/>
  <c r="C190" i="70"/>
  <c r="E190" i="70" s="1"/>
  <c r="G190" i="70" s="1"/>
  <c r="C190" i="71" s="1"/>
  <c r="E190" i="71" s="1"/>
  <c r="G190" i="71" s="1"/>
  <c r="C190" i="68" s="1"/>
  <c r="E190" i="68" s="1"/>
  <c r="G190" i="68" s="1"/>
  <c r="C190" i="69" s="1"/>
  <c r="C175" i="70"/>
  <c r="E175" i="70" s="1"/>
  <c r="G175" i="70" s="1"/>
  <c r="C168" i="70"/>
  <c r="E168" i="70" s="1"/>
  <c r="G168" i="70" s="1"/>
  <c r="C168" i="71" s="1"/>
  <c r="E168" i="71" s="1"/>
  <c r="G168" i="71" s="1"/>
  <c r="C168" i="68" s="1"/>
  <c r="E168" i="68" s="1"/>
  <c r="G168" i="68" s="1"/>
  <c r="C168" i="69" s="1"/>
  <c r="C158" i="70"/>
  <c r="E158" i="70" s="1"/>
  <c r="G158" i="70" s="1"/>
  <c r="C158" i="71" s="1"/>
  <c r="E158" i="71" s="1"/>
  <c r="G158" i="71" s="1"/>
  <c r="C158" i="68" s="1"/>
  <c r="E158" i="68" s="1"/>
  <c r="G158" i="68" s="1"/>
  <c r="C158" i="69" s="1"/>
  <c r="C150" i="70"/>
  <c r="E150" i="70" s="1"/>
  <c r="G150" i="70" s="1"/>
  <c r="C150" i="71" s="1"/>
  <c r="E150" i="71" s="1"/>
  <c r="G150" i="71" s="1"/>
  <c r="C150" i="68" s="1"/>
  <c r="E150" i="68" s="1"/>
  <c r="G150" i="68" s="1"/>
  <c r="C150" i="69" s="1"/>
  <c r="C146" i="70"/>
  <c r="E146" i="70" s="1"/>
  <c r="G146" i="70" s="1"/>
  <c r="C146" i="71" s="1"/>
  <c r="E146" i="71" s="1"/>
  <c r="G146" i="71" s="1"/>
  <c r="C146" i="68" s="1"/>
  <c r="E146" i="68" s="1"/>
  <c r="G146" i="68" s="1"/>
  <c r="C146" i="69" s="1"/>
  <c r="C142" i="70"/>
  <c r="E142" i="70" s="1"/>
  <c r="G142" i="70" s="1"/>
  <c r="C142" i="71" s="1"/>
  <c r="E142" i="71" s="1"/>
  <c r="G142" i="71" s="1"/>
  <c r="C142" i="68" s="1"/>
  <c r="E142" i="68" s="1"/>
  <c r="G142" i="68" s="1"/>
  <c r="C142" i="69" s="1"/>
  <c r="C130" i="70"/>
  <c r="E130" i="70" s="1"/>
  <c r="G130" i="70" s="1"/>
  <c r="C130" i="71" s="1"/>
  <c r="E130" i="71" s="1"/>
  <c r="G130" i="71" s="1"/>
  <c r="C130" i="68" s="1"/>
  <c r="E130" i="68" s="1"/>
  <c r="G130" i="68" s="1"/>
  <c r="C130" i="69" s="1"/>
  <c r="C182" i="70"/>
  <c r="E182" i="70" s="1"/>
  <c r="G182" i="70" s="1"/>
  <c r="C182" i="71" s="1"/>
  <c r="E182" i="71" s="1"/>
  <c r="G182" i="71" s="1"/>
  <c r="C182" i="68" s="1"/>
  <c r="E182" i="68" s="1"/>
  <c r="G182" i="68" s="1"/>
  <c r="C182" i="69" s="1"/>
  <c r="C178" i="70"/>
  <c r="E178" i="70" s="1"/>
  <c r="G178" i="70" s="1"/>
  <c r="C178" i="71" s="1"/>
  <c r="E178" i="71" s="1"/>
  <c r="G178" i="71" s="1"/>
  <c r="C178" i="68" s="1"/>
  <c r="E178" i="68" s="1"/>
  <c r="G178" i="68" s="1"/>
  <c r="C178" i="69" s="1"/>
  <c r="C161" i="70"/>
  <c r="E161" i="70" s="1"/>
  <c r="G161" i="70" s="1"/>
  <c r="C161" i="71" s="1"/>
  <c r="E161" i="71" s="1"/>
  <c r="G161" i="71" s="1"/>
  <c r="C161" i="68" s="1"/>
  <c r="E161" i="68" s="1"/>
  <c r="G161" i="68" s="1"/>
  <c r="C161" i="69" s="1"/>
  <c r="C49" i="70"/>
  <c r="E49" i="70" s="1"/>
  <c r="G49" i="70" s="1"/>
  <c r="C49" i="71" s="1"/>
  <c r="E49" i="71" s="1"/>
  <c r="G49" i="71" s="1"/>
  <c r="C49" i="68" s="1"/>
  <c r="E49" i="68" s="1"/>
  <c r="G49" i="68" s="1"/>
  <c r="C49" i="69" s="1"/>
  <c r="C45" i="70"/>
  <c r="E45" i="70" s="1"/>
  <c r="G45" i="70" s="1"/>
  <c r="C45" i="71" s="1"/>
  <c r="E45" i="71" s="1"/>
  <c r="G45" i="71" s="1"/>
  <c r="C45" i="68" s="1"/>
  <c r="E45" i="68" s="1"/>
  <c r="G45" i="68" s="1"/>
  <c r="C45" i="69" s="1"/>
  <c r="C30" i="70"/>
  <c r="E30" i="70" s="1"/>
  <c r="G30" i="70" s="1"/>
  <c r="C26" i="70"/>
  <c r="E26" i="70" s="1"/>
  <c r="G26" i="70" s="1"/>
  <c r="C26" i="71" s="1"/>
  <c r="E26" i="71" s="1"/>
  <c r="G26" i="71" s="1"/>
  <c r="C26" i="68" s="1"/>
  <c r="E26" i="68" s="1"/>
  <c r="G26" i="68" s="1"/>
  <c r="C26" i="69" s="1"/>
  <c r="C15" i="70"/>
  <c r="E15" i="70" s="1"/>
  <c r="G15" i="70" s="1"/>
  <c r="C15" i="71" s="1"/>
  <c r="E15" i="71" s="1"/>
  <c r="G15" i="71" s="1"/>
  <c r="C15" i="68" s="1"/>
  <c r="E15" i="68" s="1"/>
  <c r="G15" i="68" s="1"/>
  <c r="C15" i="69" s="1"/>
  <c r="E42" i="8"/>
  <c r="G34" i="8"/>
  <c r="E26" i="8"/>
  <c r="E18" i="8"/>
  <c r="C231" i="70"/>
  <c r="E231" i="70" s="1"/>
  <c r="G231" i="70" s="1"/>
  <c r="C231" i="71" s="1"/>
  <c r="E231" i="71" s="1"/>
  <c r="G231" i="71" s="1"/>
  <c r="C231" i="68" s="1"/>
  <c r="E231" i="68" s="1"/>
  <c r="G231" i="68" s="1"/>
  <c r="C231" i="69" s="1"/>
  <c r="C204" i="70"/>
  <c r="E204" i="70" s="1"/>
  <c r="G204" i="70" s="1"/>
  <c r="C204" i="71" s="1"/>
  <c r="E204" i="71" s="1"/>
  <c r="G204" i="71" s="1"/>
  <c r="C204" i="68" s="1"/>
  <c r="E204" i="68" s="1"/>
  <c r="G204" i="68" s="1"/>
  <c r="C204" i="69" s="1"/>
  <c r="C177" i="70"/>
  <c r="E177" i="70" s="1"/>
  <c r="G177" i="70" s="1"/>
  <c r="C177" i="71" s="1"/>
  <c r="E177" i="71" s="1"/>
  <c r="G177" i="71" s="1"/>
  <c r="C177" i="68" s="1"/>
  <c r="E177" i="68" s="1"/>
  <c r="G177" i="68" s="1"/>
  <c r="C177" i="69" s="1"/>
  <c r="C148" i="70"/>
  <c r="E148" i="70" s="1"/>
  <c r="G148" i="70" s="1"/>
  <c r="C148" i="71" s="1"/>
  <c r="E148" i="71" s="1"/>
  <c r="G148" i="71" s="1"/>
  <c r="C148" i="68" s="1"/>
  <c r="E148" i="68" s="1"/>
  <c r="G148" i="68" s="1"/>
  <c r="C148" i="69" s="1"/>
  <c r="C124" i="70"/>
  <c r="E124" i="70" s="1"/>
  <c r="G124" i="70" s="1"/>
  <c r="C124" i="71" s="1"/>
  <c r="E124" i="71" s="1"/>
  <c r="G124" i="71" s="1"/>
  <c r="C124" i="68" s="1"/>
  <c r="E124" i="68" s="1"/>
  <c r="G124" i="68" s="1"/>
  <c r="C124" i="69" s="1"/>
  <c r="C100" i="70"/>
  <c r="E100" i="70" s="1"/>
  <c r="G100" i="70" s="1"/>
  <c r="C100" i="71" s="1"/>
  <c r="E100" i="71" s="1"/>
  <c r="G100" i="71" s="1"/>
  <c r="C100" i="68" s="1"/>
  <c r="E100" i="68" s="1"/>
  <c r="G100" i="68" s="1"/>
  <c r="C100" i="69" s="1"/>
  <c r="C75" i="70"/>
  <c r="E75" i="70" s="1"/>
  <c r="G75" i="70" s="1"/>
  <c r="C75" i="71" s="1"/>
  <c r="E75" i="71" s="1"/>
  <c r="G75" i="71" s="1"/>
  <c r="C75" i="68" s="1"/>
  <c r="E75" i="68" s="1"/>
  <c r="G75" i="68" s="1"/>
  <c r="C75" i="69" s="1"/>
  <c r="C51" i="70"/>
  <c r="E51" i="70" s="1"/>
  <c r="G51" i="70" s="1"/>
  <c r="C51" i="71" s="1"/>
  <c r="E51" i="71" s="1"/>
  <c r="G51" i="71" s="1"/>
  <c r="C51" i="68" s="1"/>
  <c r="E51" i="68" s="1"/>
  <c r="G51" i="68" s="1"/>
  <c r="C51" i="69" s="1"/>
  <c r="C180" i="70"/>
  <c r="E180" i="70" s="1"/>
  <c r="G180" i="70" s="1"/>
  <c r="C180" i="71" s="1"/>
  <c r="E180" i="71" s="1"/>
  <c r="G180" i="71" s="1"/>
  <c r="C180" i="68" s="1"/>
  <c r="E180" i="68" s="1"/>
  <c r="G180" i="68" s="1"/>
  <c r="C180" i="69" s="1"/>
  <c r="C28" i="70"/>
  <c r="E28" i="70" s="1"/>
  <c r="G28" i="70" s="1"/>
  <c r="C28" i="71" s="1"/>
  <c r="E28" i="71" s="1"/>
  <c r="G28" i="71" s="1"/>
  <c r="C28" i="68" s="1"/>
  <c r="E28" i="68" s="1"/>
  <c r="G28" i="68" s="1"/>
  <c r="C28" i="69" s="1"/>
  <c r="C238" i="70"/>
  <c r="E238" i="70" s="1"/>
  <c r="G238" i="70" s="1"/>
  <c r="C238" i="71" s="1"/>
  <c r="E238" i="71" s="1"/>
  <c r="G238" i="71" s="1"/>
  <c r="C238" i="68" s="1"/>
  <c r="E238" i="68" s="1"/>
  <c r="G238" i="68" s="1"/>
  <c r="C238" i="69" s="1"/>
  <c r="C219" i="70"/>
  <c r="E219" i="70" s="1"/>
  <c r="G219" i="70" s="1"/>
  <c r="C219" i="71" s="1"/>
  <c r="E219" i="71" s="1"/>
  <c r="G219" i="71" s="1"/>
  <c r="C219" i="68" s="1"/>
  <c r="E219" i="68" s="1"/>
  <c r="G219" i="68" s="1"/>
  <c r="C219" i="69" s="1"/>
  <c r="C199" i="70"/>
  <c r="E199" i="70" s="1"/>
  <c r="G199" i="70" s="1"/>
  <c r="C199" i="71" s="1"/>
  <c r="E199" i="71" s="1"/>
  <c r="G199" i="71" s="1"/>
  <c r="C199" i="68" s="1"/>
  <c r="E199" i="68" s="1"/>
  <c r="G199" i="68" s="1"/>
  <c r="C199" i="69" s="1"/>
  <c r="C176" i="70"/>
  <c r="E176" i="70" s="1"/>
  <c r="G176" i="70" s="1"/>
  <c r="C176" i="71" s="1"/>
  <c r="E176" i="71" s="1"/>
  <c r="G176" i="71" s="1"/>
  <c r="C176" i="68" s="1"/>
  <c r="E176" i="68" s="1"/>
  <c r="G176" i="68" s="1"/>
  <c r="C176" i="69" s="1"/>
  <c r="C151" i="70"/>
  <c r="E151" i="70" s="1"/>
  <c r="G151" i="70" s="1"/>
  <c r="C151" i="71" s="1"/>
  <c r="E151" i="71" s="1"/>
  <c r="G151" i="71" s="1"/>
  <c r="C151" i="68" s="1"/>
  <c r="E151" i="68" s="1"/>
  <c r="G151" i="68" s="1"/>
  <c r="C151" i="69" s="1"/>
  <c r="C135" i="70"/>
  <c r="E135" i="70" s="1"/>
  <c r="G135" i="70" s="1"/>
  <c r="C135" i="71" s="1"/>
  <c r="E135" i="71" s="1"/>
  <c r="G135" i="71" s="1"/>
  <c r="C135" i="68" s="1"/>
  <c r="E135" i="68" s="1"/>
  <c r="G135" i="68" s="1"/>
  <c r="C135" i="69" s="1"/>
  <c r="C115" i="70"/>
  <c r="E115" i="70" s="1"/>
  <c r="G115" i="70" s="1"/>
  <c r="C115" i="71" s="1"/>
  <c r="E115" i="71" s="1"/>
  <c r="G115" i="71" s="1"/>
  <c r="C115" i="68" s="1"/>
  <c r="E115" i="68" s="1"/>
  <c r="G115" i="68" s="1"/>
  <c r="C115" i="69" s="1"/>
  <c r="C95" i="70"/>
  <c r="E95" i="70" s="1"/>
  <c r="G95" i="70" s="1"/>
  <c r="C95" i="71" s="1"/>
  <c r="E95" i="71" s="1"/>
  <c r="G95" i="71" s="1"/>
  <c r="C95" i="68" s="1"/>
  <c r="E95" i="68" s="1"/>
  <c r="G95" i="68" s="1"/>
  <c r="C95" i="69" s="1"/>
  <c r="C74" i="70"/>
  <c r="E74" i="70" s="1"/>
  <c r="G74" i="70" s="1"/>
  <c r="C74" i="71" s="1"/>
  <c r="E74" i="71" s="1"/>
  <c r="G74" i="71" s="1"/>
  <c r="C74" i="68" s="1"/>
  <c r="E74" i="68" s="1"/>
  <c r="G74" i="68" s="1"/>
  <c r="C74" i="69" s="1"/>
  <c r="C58" i="70"/>
  <c r="E58" i="70" s="1"/>
  <c r="G58" i="70" s="1"/>
  <c r="C58" i="71" s="1"/>
  <c r="E58" i="71" s="1"/>
  <c r="G58" i="71" s="1"/>
  <c r="C58" i="68" s="1"/>
  <c r="C24" i="70"/>
  <c r="E24" i="70" s="1"/>
  <c r="G24" i="70" s="1"/>
  <c r="C24" i="71" s="1"/>
  <c r="E24" i="71" s="1"/>
  <c r="G24" i="71" s="1"/>
  <c r="C24" i="68" s="1"/>
  <c r="E24" i="68" s="1"/>
  <c r="G24" i="68" s="1"/>
  <c r="C24" i="69" s="1"/>
  <c r="C248" i="70"/>
  <c r="E248" i="70" s="1"/>
  <c r="G248" i="70" s="1"/>
  <c r="C248" i="71" s="1"/>
  <c r="E248" i="71" s="1"/>
  <c r="G248" i="71" s="1"/>
  <c r="C248" i="68" s="1"/>
  <c r="E248" i="68" s="1"/>
  <c r="G248" i="68" s="1"/>
  <c r="C248" i="69" s="1"/>
  <c r="C240" i="70"/>
  <c r="E240" i="70" s="1"/>
  <c r="G240" i="70" s="1"/>
  <c r="C240" i="71" s="1"/>
  <c r="E240" i="71" s="1"/>
  <c r="G240" i="71" s="1"/>
  <c r="C240" i="68" s="1"/>
  <c r="E240" i="68" s="1"/>
  <c r="G240" i="68" s="1"/>
  <c r="C240" i="69" s="1"/>
  <c r="C232" i="70"/>
  <c r="E232" i="70" s="1"/>
  <c r="G232" i="70" s="1"/>
  <c r="C232" i="71" s="1"/>
  <c r="E232" i="71" s="1"/>
  <c r="G232" i="71" s="1"/>
  <c r="C232" i="68" s="1"/>
  <c r="E232" i="68" s="1"/>
  <c r="G232" i="68" s="1"/>
  <c r="C232" i="69" s="1"/>
  <c r="C224" i="70"/>
  <c r="E224" i="70" s="1"/>
  <c r="G224" i="70" s="1"/>
  <c r="C224" i="71" s="1"/>
  <c r="E224" i="71" s="1"/>
  <c r="G224" i="71" s="1"/>
  <c r="C224" i="68" s="1"/>
  <c r="E224" i="68" s="1"/>
  <c r="G224" i="68" s="1"/>
  <c r="C224" i="69" s="1"/>
  <c r="C217" i="70"/>
  <c r="E217" i="70" s="1"/>
  <c r="G217" i="70" s="1"/>
  <c r="C217" i="71" s="1"/>
  <c r="E217" i="71" s="1"/>
  <c r="G217" i="71" s="1"/>
  <c r="C217" i="68" s="1"/>
  <c r="E217" i="68" s="1"/>
  <c r="G217" i="68" s="1"/>
  <c r="C217" i="69" s="1"/>
  <c r="C201" i="70"/>
  <c r="E201" i="70" s="1"/>
  <c r="G201" i="70" s="1"/>
  <c r="C201" i="71" s="1"/>
  <c r="E201" i="71" s="1"/>
  <c r="G201" i="71" s="1"/>
  <c r="C201" i="68" s="1"/>
  <c r="E201" i="68" s="1"/>
  <c r="G201" i="68" s="1"/>
  <c r="C201" i="69" s="1"/>
  <c r="C193" i="70"/>
  <c r="E193" i="70" s="1"/>
  <c r="G193" i="70" s="1"/>
  <c r="C193" i="71" s="1"/>
  <c r="E193" i="71" s="1"/>
  <c r="G193" i="71" s="1"/>
  <c r="C193" i="68" s="1"/>
  <c r="E193" i="68" s="1"/>
  <c r="G193" i="68" s="1"/>
  <c r="C193" i="69" s="1"/>
  <c r="C185" i="70"/>
  <c r="E185" i="70" s="1"/>
  <c r="G185" i="70" s="1"/>
  <c r="C185" i="71" s="1"/>
  <c r="E185" i="71" s="1"/>
  <c r="G185" i="71" s="1"/>
  <c r="C185" i="68" s="1"/>
  <c r="E185" i="68" s="1"/>
  <c r="G185" i="68" s="1"/>
  <c r="C185" i="69" s="1"/>
  <c r="C167" i="70"/>
  <c r="E167" i="70" s="1"/>
  <c r="G167" i="70" s="1"/>
  <c r="C167" i="71" s="1"/>
  <c r="E167" i="71" s="1"/>
  <c r="G167" i="71" s="1"/>
  <c r="C167" i="68" s="1"/>
  <c r="E167" i="68" s="1"/>
  <c r="G167" i="68" s="1"/>
  <c r="C167" i="69" s="1"/>
  <c r="C153" i="70"/>
  <c r="E153" i="70" s="1"/>
  <c r="G153" i="70" s="1"/>
  <c r="C153" i="71" s="1"/>
  <c r="E153" i="71" s="1"/>
  <c r="G153" i="71" s="1"/>
  <c r="C153" i="68" s="1"/>
  <c r="E153" i="68" s="1"/>
  <c r="G153" i="68" s="1"/>
  <c r="C153" i="69" s="1"/>
  <c r="C145" i="70"/>
  <c r="E145" i="70" s="1"/>
  <c r="G145" i="70" s="1"/>
  <c r="C145" i="71" s="1"/>
  <c r="E145" i="71" s="1"/>
  <c r="G145" i="71" s="1"/>
  <c r="C145" i="68" s="1"/>
  <c r="E145" i="68" s="1"/>
  <c r="G145" i="68" s="1"/>
  <c r="C145" i="69" s="1"/>
  <c r="C137" i="70"/>
  <c r="E137" i="70" s="1"/>
  <c r="G137" i="70" s="1"/>
  <c r="C137" i="71" s="1"/>
  <c r="E137" i="71" s="1"/>
  <c r="G137" i="71" s="1"/>
  <c r="C137" i="68" s="1"/>
  <c r="E137" i="68" s="1"/>
  <c r="G137" i="68" s="1"/>
  <c r="C137" i="69" s="1"/>
  <c r="C129" i="70"/>
  <c r="E129" i="70" s="1"/>
  <c r="G129" i="70" s="1"/>
  <c r="C129" i="71" s="1"/>
  <c r="E129" i="71" s="1"/>
  <c r="G129" i="71" s="1"/>
  <c r="C129" i="68" s="1"/>
  <c r="E129" i="68" s="1"/>
  <c r="G129" i="68" s="1"/>
  <c r="C129" i="69" s="1"/>
  <c r="C121" i="70"/>
  <c r="E121" i="70" s="1"/>
  <c r="G121" i="70" s="1"/>
  <c r="C121" i="71" s="1"/>
  <c r="E121" i="71" s="1"/>
  <c r="G121" i="71" s="1"/>
  <c r="C121" i="68" s="1"/>
  <c r="E121" i="68" s="1"/>
  <c r="G121" i="68" s="1"/>
  <c r="C121" i="69" s="1"/>
  <c r="C113" i="70"/>
  <c r="E113" i="70" s="1"/>
  <c r="G113" i="70" s="1"/>
  <c r="C113" i="71" s="1"/>
  <c r="E113" i="71" s="1"/>
  <c r="G113" i="71" s="1"/>
  <c r="C113" i="68" s="1"/>
  <c r="E113" i="68" s="1"/>
  <c r="G113" i="68" s="1"/>
  <c r="C113" i="69" s="1"/>
  <c r="C109" i="70"/>
  <c r="E109" i="70" s="1"/>
  <c r="G109" i="70" s="1"/>
  <c r="C109" i="71" s="1"/>
  <c r="E109" i="71" s="1"/>
  <c r="G109" i="71" s="1"/>
  <c r="C109" i="68" s="1"/>
  <c r="E109" i="68" s="1"/>
  <c r="G109" i="68" s="1"/>
  <c r="C109" i="69" s="1"/>
  <c r="C105" i="70"/>
  <c r="E105" i="70" s="1"/>
  <c r="G105" i="70" s="1"/>
  <c r="C105" i="71" s="1"/>
  <c r="E105" i="71" s="1"/>
  <c r="G105" i="71" s="1"/>
  <c r="C105" i="68" s="1"/>
  <c r="E105" i="68" s="1"/>
  <c r="G105" i="68" s="1"/>
  <c r="C105" i="69" s="1"/>
  <c r="C101" i="70"/>
  <c r="E101" i="70" s="1"/>
  <c r="G101" i="70" s="1"/>
  <c r="C101" i="71" s="1"/>
  <c r="E101" i="71" s="1"/>
  <c r="G101" i="71" s="1"/>
  <c r="C101" i="68" s="1"/>
  <c r="E101" i="68" s="1"/>
  <c r="G101" i="68" s="1"/>
  <c r="C101" i="69" s="1"/>
  <c r="C97" i="70"/>
  <c r="E97" i="70" s="1"/>
  <c r="G97" i="70" s="1"/>
  <c r="C93" i="70"/>
  <c r="E93" i="70" s="1"/>
  <c r="G93" i="70" s="1"/>
  <c r="C93" i="71" s="1"/>
  <c r="E93" i="71" s="1"/>
  <c r="G93" i="71" s="1"/>
  <c r="C93" i="68" s="1"/>
  <c r="E93" i="68" s="1"/>
  <c r="G93" i="68" s="1"/>
  <c r="C93" i="69" s="1"/>
  <c r="C85" i="70"/>
  <c r="E85" i="70" s="1"/>
  <c r="G85" i="70" s="1"/>
  <c r="C85" i="71" s="1"/>
  <c r="E85" i="71" s="1"/>
  <c r="G85" i="71" s="1"/>
  <c r="C85" i="68" s="1"/>
  <c r="E85" i="68" s="1"/>
  <c r="G85" i="68" s="1"/>
  <c r="C85" i="69" s="1"/>
  <c r="C81" i="70"/>
  <c r="E81" i="70" s="1"/>
  <c r="G81" i="70" s="1"/>
  <c r="C81" i="71" s="1"/>
  <c r="E81" i="71" s="1"/>
  <c r="G81" i="71" s="1"/>
  <c r="C81" i="68" s="1"/>
  <c r="E81" i="68" s="1"/>
  <c r="G81" i="68" s="1"/>
  <c r="C81" i="69" s="1"/>
  <c r="C76" i="70"/>
  <c r="E76" i="70" s="1"/>
  <c r="G76" i="70" s="1"/>
  <c r="C76" i="71" s="1"/>
  <c r="E76" i="71" s="1"/>
  <c r="G76" i="71" s="1"/>
  <c r="C76" i="68" s="1"/>
  <c r="E76" i="68" s="1"/>
  <c r="G76" i="68" s="1"/>
  <c r="C76" i="69" s="1"/>
  <c r="C72" i="70"/>
  <c r="E72" i="70" s="1"/>
  <c r="G72" i="70" s="1"/>
  <c r="C72" i="71" s="1"/>
  <c r="E72" i="71" s="1"/>
  <c r="G72" i="71" s="1"/>
  <c r="C72" i="68" s="1"/>
  <c r="E72" i="68" s="1"/>
  <c r="G72" i="68" s="1"/>
  <c r="C72" i="69" s="1"/>
  <c r="C68" i="70"/>
  <c r="E68" i="70" s="1"/>
  <c r="G68" i="70" s="1"/>
  <c r="C68" i="71" s="1"/>
  <c r="E68" i="71" s="1"/>
  <c r="G68" i="71" s="1"/>
  <c r="C68" i="68" s="1"/>
  <c r="E68" i="68" s="1"/>
  <c r="G68" i="68" s="1"/>
  <c r="C68" i="69" s="1"/>
  <c r="C64" i="70"/>
  <c r="E64" i="70" s="1"/>
  <c r="G64" i="70" s="1"/>
  <c r="C64" i="71" s="1"/>
  <c r="E64" i="71" s="1"/>
  <c r="G64" i="71" s="1"/>
  <c r="C64" i="68" s="1"/>
  <c r="E64" i="68" s="1"/>
  <c r="G64" i="68" s="1"/>
  <c r="C64" i="69" s="1"/>
  <c r="C60" i="70"/>
  <c r="E60" i="70" s="1"/>
  <c r="G60" i="70" s="1"/>
  <c r="C60" i="71" s="1"/>
  <c r="E60" i="71" s="1"/>
  <c r="G60" i="71" s="1"/>
  <c r="C60" i="68" s="1"/>
  <c r="E60" i="68" s="1"/>
  <c r="G60" i="68" s="1"/>
  <c r="C60" i="69" s="1"/>
  <c r="C56" i="70"/>
  <c r="E56" i="70" s="1"/>
  <c r="G56" i="70" s="1"/>
  <c r="C56" i="71" s="1"/>
  <c r="E56" i="71" s="1"/>
  <c r="G56" i="71" s="1"/>
  <c r="C56" i="68" s="1"/>
  <c r="E56" i="68" s="1"/>
  <c r="G56" i="68" s="1"/>
  <c r="C56" i="69" s="1"/>
  <c r="C52" i="70"/>
  <c r="E52" i="70" s="1"/>
  <c r="G52" i="70" s="1"/>
  <c r="C52" i="71" s="1"/>
  <c r="E52" i="71" s="1"/>
  <c r="G52" i="71" s="1"/>
  <c r="C52" i="68" s="1"/>
  <c r="E52" i="68" s="1"/>
  <c r="G52" i="68" s="1"/>
  <c r="C52" i="69" s="1"/>
  <c r="C41" i="70"/>
  <c r="E41" i="70" s="1"/>
  <c r="G41" i="70" s="1"/>
  <c r="C41" i="71" s="1"/>
  <c r="E41" i="71" s="1"/>
  <c r="G41" i="71" s="1"/>
  <c r="C41" i="68" s="1"/>
  <c r="E41" i="68" s="1"/>
  <c r="G41" i="68" s="1"/>
  <c r="C41" i="69" s="1"/>
  <c r="C37" i="70"/>
  <c r="E37" i="70" s="1"/>
  <c r="G37" i="70" s="1"/>
  <c r="C22" i="70"/>
  <c r="E22" i="70" s="1"/>
  <c r="G22" i="70" s="1"/>
  <c r="C22" i="71" s="1"/>
  <c r="E22" i="71" s="1"/>
  <c r="G22" i="71" s="1"/>
  <c r="C22" i="68" s="1"/>
  <c r="E22" i="68" s="1"/>
  <c r="G22" i="68" s="1"/>
  <c r="C22" i="69" s="1"/>
  <c r="E234" i="8"/>
  <c r="E25" i="8"/>
  <c r="E9" i="8"/>
  <c r="C251" i="70"/>
  <c r="E251" i="70" s="1"/>
  <c r="G251" i="70" s="1"/>
  <c r="C251" i="71" s="1"/>
  <c r="E251" i="71" s="1"/>
  <c r="G251" i="71" s="1"/>
  <c r="C251" i="68" s="1"/>
  <c r="E251" i="68" s="1"/>
  <c r="G251" i="68" s="1"/>
  <c r="C251" i="69" s="1"/>
  <c r="E227" i="70"/>
  <c r="G227" i="70" s="1"/>
  <c r="C227" i="71" s="1"/>
  <c r="E227" i="71" s="1"/>
  <c r="G227" i="71" s="1"/>
  <c r="C227" i="68" s="1"/>
  <c r="E227" i="68" s="1"/>
  <c r="G227" i="68" s="1"/>
  <c r="C227" i="69" s="1"/>
  <c r="C227" i="70"/>
  <c r="C208" i="70"/>
  <c r="E208" i="70" s="1"/>
  <c r="G208" i="70" s="1"/>
  <c r="C184" i="70"/>
  <c r="E184" i="70" s="1"/>
  <c r="G184" i="70" s="1"/>
  <c r="C184" i="71" s="1"/>
  <c r="E184" i="71" s="1"/>
  <c r="G184" i="71" s="1"/>
  <c r="C184" i="68" s="1"/>
  <c r="E184" i="68" s="1"/>
  <c r="G184" i="68" s="1"/>
  <c r="C184" i="69" s="1"/>
  <c r="C156" i="70"/>
  <c r="E156" i="70" s="1"/>
  <c r="G156" i="70" s="1"/>
  <c r="C156" i="71" s="1"/>
  <c r="E156" i="71" s="1"/>
  <c r="G156" i="71" s="1"/>
  <c r="C156" i="68" s="1"/>
  <c r="E156" i="68" s="1"/>
  <c r="G156" i="68" s="1"/>
  <c r="C156" i="69" s="1"/>
  <c r="C132" i="70"/>
  <c r="E132" i="70" s="1"/>
  <c r="G132" i="70" s="1"/>
  <c r="C132" i="71" s="1"/>
  <c r="E132" i="71" s="1"/>
  <c r="G132" i="71" s="1"/>
  <c r="C132" i="68" s="1"/>
  <c r="E132" i="68" s="1"/>
  <c r="G132" i="68" s="1"/>
  <c r="C132" i="69" s="1"/>
  <c r="C108" i="70"/>
  <c r="E108" i="70" s="1"/>
  <c r="G108" i="70" s="1"/>
  <c r="C108" i="71" s="1"/>
  <c r="E108" i="71" s="1"/>
  <c r="G108" i="71" s="1"/>
  <c r="C108" i="68" s="1"/>
  <c r="E108" i="68" s="1"/>
  <c r="G108" i="68" s="1"/>
  <c r="C108" i="69" s="1"/>
  <c r="C88" i="70"/>
  <c r="E88" i="70" s="1"/>
  <c r="G88" i="70" s="1"/>
  <c r="C88" i="71" s="1"/>
  <c r="E88" i="71" s="1"/>
  <c r="G88" i="71" s="1"/>
  <c r="C88" i="68" s="1"/>
  <c r="E88" i="68" s="1"/>
  <c r="G88" i="68" s="1"/>
  <c r="C88" i="69" s="1"/>
  <c r="C63" i="70"/>
  <c r="E63" i="70" s="1"/>
  <c r="G63" i="70" s="1"/>
  <c r="C63" i="71" s="1"/>
  <c r="E63" i="71" s="1"/>
  <c r="G63" i="71" s="1"/>
  <c r="C63" i="68" s="1"/>
  <c r="E63" i="68" s="1"/>
  <c r="G63" i="68" s="1"/>
  <c r="C63" i="69" s="1"/>
  <c r="C25" i="70"/>
  <c r="E25" i="70" s="1"/>
  <c r="G25" i="70" s="1"/>
  <c r="C25" i="71" s="1"/>
  <c r="E25" i="71" s="1"/>
  <c r="G25" i="71" s="1"/>
  <c r="C25" i="68" s="1"/>
  <c r="E25" i="68" s="1"/>
  <c r="G25" i="68" s="1"/>
  <c r="C25" i="69" s="1"/>
  <c r="C242" i="70"/>
  <c r="E242" i="70" s="1"/>
  <c r="G242" i="70" s="1"/>
  <c r="C242" i="71" s="1"/>
  <c r="E242" i="71" s="1"/>
  <c r="G242" i="71" s="1"/>
  <c r="C242" i="68" s="1"/>
  <c r="E242" i="68" s="1"/>
  <c r="G242" i="68" s="1"/>
  <c r="C242" i="69" s="1"/>
  <c r="C222" i="70"/>
  <c r="E222" i="70" s="1"/>
  <c r="G222" i="70" s="1"/>
  <c r="C222" i="71" s="1"/>
  <c r="E222" i="71" s="1"/>
  <c r="G222" i="71" s="1"/>
  <c r="C222" i="68" s="1"/>
  <c r="C203" i="70"/>
  <c r="E203" i="70" s="1"/>
  <c r="G203" i="70" s="1"/>
  <c r="C203" i="71" s="1"/>
  <c r="E203" i="71" s="1"/>
  <c r="G203" i="71" s="1"/>
  <c r="C203" i="68" s="1"/>
  <c r="E203" i="68" s="1"/>
  <c r="G203" i="68" s="1"/>
  <c r="C203" i="69" s="1"/>
  <c r="C183" i="70"/>
  <c r="E183" i="70" s="1"/>
  <c r="G183" i="70" s="1"/>
  <c r="C183" i="71" s="1"/>
  <c r="E183" i="71" s="1"/>
  <c r="G183" i="71" s="1"/>
  <c r="C183" i="68" s="1"/>
  <c r="E183" i="68" s="1"/>
  <c r="G183" i="68" s="1"/>
  <c r="C183" i="69" s="1"/>
  <c r="C155" i="70"/>
  <c r="E155" i="70" s="1"/>
  <c r="G155" i="70" s="1"/>
  <c r="C155" i="71" s="1"/>
  <c r="E155" i="71" s="1"/>
  <c r="G155" i="71" s="1"/>
  <c r="C155" i="68" s="1"/>
  <c r="E155" i="68" s="1"/>
  <c r="G155" i="68" s="1"/>
  <c r="C155" i="69" s="1"/>
  <c r="C131" i="70"/>
  <c r="E131" i="70" s="1"/>
  <c r="G131" i="70" s="1"/>
  <c r="C131" i="71" s="1"/>
  <c r="E131" i="71" s="1"/>
  <c r="G131" i="71" s="1"/>
  <c r="C131" i="68" s="1"/>
  <c r="E131" i="68" s="1"/>
  <c r="G131" i="68" s="1"/>
  <c r="C131" i="69" s="1"/>
  <c r="C111" i="70"/>
  <c r="E111" i="70" s="1"/>
  <c r="G111" i="70" s="1"/>
  <c r="C111" i="71" s="1"/>
  <c r="E111" i="71" s="1"/>
  <c r="G111" i="71" s="1"/>
  <c r="C111" i="68" s="1"/>
  <c r="E111" i="68" s="1"/>
  <c r="G111" i="68" s="1"/>
  <c r="C111" i="69" s="1"/>
  <c r="C91" i="70"/>
  <c r="E91" i="70" s="1"/>
  <c r="G91" i="70" s="1"/>
  <c r="C91" i="71" s="1"/>
  <c r="E91" i="71" s="1"/>
  <c r="G91" i="71" s="1"/>
  <c r="C91" i="68" s="1"/>
  <c r="E91" i="68" s="1"/>
  <c r="G91" i="68" s="1"/>
  <c r="C91" i="69" s="1"/>
  <c r="C70" i="70"/>
  <c r="E70" i="70" s="1"/>
  <c r="G70" i="70" s="1"/>
  <c r="C70" i="71" s="1"/>
  <c r="E70" i="71" s="1"/>
  <c r="G70" i="71" s="1"/>
  <c r="C70" i="68" s="1"/>
  <c r="E70" i="68" s="1"/>
  <c r="G70" i="68" s="1"/>
  <c r="C70" i="69" s="1"/>
  <c r="C50" i="70"/>
  <c r="E50" i="70" s="1"/>
  <c r="G50" i="70" s="1"/>
  <c r="C50" i="71" s="1"/>
  <c r="E50" i="71" s="1"/>
  <c r="G50" i="71" s="1"/>
  <c r="C50" i="68" s="1"/>
  <c r="E50" i="68" s="1"/>
  <c r="G50" i="68" s="1"/>
  <c r="C50" i="69" s="1"/>
  <c r="C252" i="70"/>
  <c r="E252" i="70" s="1"/>
  <c r="G252" i="70" s="1"/>
  <c r="C252" i="71" s="1"/>
  <c r="E252" i="71" s="1"/>
  <c r="G252" i="71" s="1"/>
  <c r="C252" i="68" s="1"/>
  <c r="E252" i="68" s="1"/>
  <c r="G252" i="68" s="1"/>
  <c r="C252" i="69" s="1"/>
  <c r="C244" i="70"/>
  <c r="E244" i="70" s="1"/>
  <c r="G244" i="70" s="1"/>
  <c r="C244" i="71" s="1"/>
  <c r="E244" i="71" s="1"/>
  <c r="G244" i="71" s="1"/>
  <c r="C244" i="68" s="1"/>
  <c r="E244" i="68" s="1"/>
  <c r="G244" i="68" s="1"/>
  <c r="C244" i="69" s="1"/>
  <c r="C236" i="70"/>
  <c r="E236" i="70" s="1"/>
  <c r="G236" i="70" s="1"/>
  <c r="C236" i="71" s="1"/>
  <c r="E236" i="71" s="1"/>
  <c r="G236" i="71" s="1"/>
  <c r="C236" i="68" s="1"/>
  <c r="E236" i="68" s="1"/>
  <c r="G236" i="68" s="1"/>
  <c r="C236" i="69" s="1"/>
  <c r="C228" i="70"/>
  <c r="E228" i="70" s="1"/>
  <c r="G228" i="70" s="1"/>
  <c r="C228" i="71" s="1"/>
  <c r="E228" i="71" s="1"/>
  <c r="G228" i="71" s="1"/>
  <c r="C228" i="68" s="1"/>
  <c r="E228" i="68" s="1"/>
  <c r="G228" i="68" s="1"/>
  <c r="C228" i="69" s="1"/>
  <c r="C221" i="70"/>
  <c r="E221" i="70" s="1"/>
  <c r="G221" i="70" s="1"/>
  <c r="C221" i="71" s="1"/>
  <c r="E221" i="71" s="1"/>
  <c r="G221" i="71" s="1"/>
  <c r="C221" i="68" s="1"/>
  <c r="E221" i="68" s="1"/>
  <c r="G221" i="68" s="1"/>
  <c r="C221" i="69" s="1"/>
  <c r="C213" i="70"/>
  <c r="E213" i="70" s="1"/>
  <c r="G213" i="70" s="1"/>
  <c r="C213" i="71" s="1"/>
  <c r="E213" i="71" s="1"/>
  <c r="G213" i="71" s="1"/>
  <c r="C213" i="68" s="1"/>
  <c r="E213" i="68" s="1"/>
  <c r="G213" i="68" s="1"/>
  <c r="C213" i="69" s="1"/>
  <c r="C209" i="70"/>
  <c r="E209" i="70" s="1"/>
  <c r="G209" i="70" s="1"/>
  <c r="C209" i="71" s="1"/>
  <c r="E209" i="71" s="1"/>
  <c r="G209" i="71" s="1"/>
  <c r="C209" i="68" s="1"/>
  <c r="E209" i="68" s="1"/>
  <c r="G209" i="68" s="1"/>
  <c r="C209" i="69" s="1"/>
  <c r="C205" i="70"/>
  <c r="E205" i="70" s="1"/>
  <c r="G205" i="70" s="1"/>
  <c r="C205" i="71" s="1"/>
  <c r="E205" i="71" s="1"/>
  <c r="G205" i="71" s="1"/>
  <c r="C205" i="68" s="1"/>
  <c r="E205" i="68" s="1"/>
  <c r="G205" i="68" s="1"/>
  <c r="C205" i="69" s="1"/>
  <c r="C197" i="70"/>
  <c r="E197" i="70" s="1"/>
  <c r="G197" i="70" s="1"/>
  <c r="C197" i="71" s="1"/>
  <c r="E197" i="71" s="1"/>
  <c r="G197" i="71" s="1"/>
  <c r="C197" i="68" s="1"/>
  <c r="E197" i="68" s="1"/>
  <c r="G197" i="68" s="1"/>
  <c r="C197" i="69" s="1"/>
  <c r="C189" i="70"/>
  <c r="E189" i="70" s="1"/>
  <c r="G189" i="70" s="1"/>
  <c r="C189" i="71" s="1"/>
  <c r="E189" i="71" s="1"/>
  <c r="G189" i="71" s="1"/>
  <c r="C189" i="68" s="1"/>
  <c r="E189" i="68" s="1"/>
  <c r="G189" i="68" s="1"/>
  <c r="C189" i="69" s="1"/>
  <c r="C174" i="70"/>
  <c r="E174" i="70" s="1"/>
  <c r="G174" i="70" s="1"/>
  <c r="C174" i="71" s="1"/>
  <c r="E174" i="71" s="1"/>
  <c r="G174" i="71" s="1"/>
  <c r="C174" i="68" s="1"/>
  <c r="E174" i="68" s="1"/>
  <c r="G174" i="68" s="1"/>
  <c r="C174" i="69" s="1"/>
  <c r="C171" i="70"/>
  <c r="E171" i="70" s="1"/>
  <c r="G171" i="70" s="1"/>
  <c r="C157" i="70"/>
  <c r="E157" i="70" s="1"/>
  <c r="G157" i="70" s="1"/>
  <c r="C157" i="71" s="1"/>
  <c r="E157" i="71" s="1"/>
  <c r="G157" i="71" s="1"/>
  <c r="C157" i="68" s="1"/>
  <c r="E157" i="68" s="1"/>
  <c r="G157" i="68" s="1"/>
  <c r="C157" i="69" s="1"/>
  <c r="E149" i="70"/>
  <c r="G149" i="70" s="1"/>
  <c r="C149" i="71" s="1"/>
  <c r="E149" i="71" s="1"/>
  <c r="G149" i="71" s="1"/>
  <c r="C149" i="68" s="1"/>
  <c r="E149" i="68" s="1"/>
  <c r="G149" i="68" s="1"/>
  <c r="C149" i="69" s="1"/>
  <c r="C149" i="70"/>
  <c r="C141" i="70"/>
  <c r="E141" i="70" s="1"/>
  <c r="G141" i="70" s="1"/>
  <c r="C141" i="71" s="1"/>
  <c r="E141" i="71" s="1"/>
  <c r="G141" i="71" s="1"/>
  <c r="C141" i="68" s="1"/>
  <c r="E141" i="68" s="1"/>
  <c r="G141" i="68" s="1"/>
  <c r="C141" i="69" s="1"/>
  <c r="C133" i="70"/>
  <c r="E133" i="70" s="1"/>
  <c r="G133" i="70" s="1"/>
  <c r="C133" i="71" s="1"/>
  <c r="E133" i="71" s="1"/>
  <c r="G133" i="71" s="1"/>
  <c r="C133" i="68" s="1"/>
  <c r="E133" i="68" s="1"/>
  <c r="G133" i="68" s="1"/>
  <c r="C133" i="69" s="1"/>
  <c r="C125" i="70"/>
  <c r="E125" i="70" s="1"/>
  <c r="G125" i="70" s="1"/>
  <c r="C125" i="71" s="1"/>
  <c r="E125" i="71" s="1"/>
  <c r="G125" i="71" s="1"/>
  <c r="C125" i="68" s="1"/>
  <c r="E125" i="68" s="1"/>
  <c r="G125" i="68" s="1"/>
  <c r="C125" i="69" s="1"/>
  <c r="C117" i="70"/>
  <c r="E117" i="70" s="1"/>
  <c r="G117" i="70" s="1"/>
  <c r="C117" i="71" s="1"/>
  <c r="E117" i="71" s="1"/>
  <c r="G117" i="71" s="1"/>
  <c r="C117" i="68" s="1"/>
  <c r="E117" i="68" s="1"/>
  <c r="G117" i="68" s="1"/>
  <c r="C117" i="69" s="1"/>
  <c r="C181" i="70"/>
  <c r="E181" i="70" s="1"/>
  <c r="G181" i="70" s="1"/>
  <c r="C181" i="71" s="1"/>
  <c r="E181" i="71" s="1"/>
  <c r="G181" i="71" s="1"/>
  <c r="C181" i="68" s="1"/>
  <c r="E181" i="68" s="1"/>
  <c r="G181" i="68" s="1"/>
  <c r="C181" i="69" s="1"/>
  <c r="C164" i="70"/>
  <c r="E164" i="70" s="1"/>
  <c r="G164" i="70" s="1"/>
  <c r="C164" i="71" s="1"/>
  <c r="E164" i="71" s="1"/>
  <c r="G164" i="71" s="1"/>
  <c r="C164" i="68" s="1"/>
  <c r="E164" i="68" s="1"/>
  <c r="G164" i="68" s="1"/>
  <c r="C164" i="69" s="1"/>
  <c r="C48" i="70"/>
  <c r="E48" i="70" s="1"/>
  <c r="G48" i="70" s="1"/>
  <c r="C48" i="71" s="1"/>
  <c r="E48" i="71" s="1"/>
  <c r="G48" i="71" s="1"/>
  <c r="C48" i="68" s="1"/>
  <c r="E48" i="68" s="1"/>
  <c r="G48" i="68" s="1"/>
  <c r="C48" i="69" s="1"/>
  <c r="C44" i="70"/>
  <c r="E44" i="70" s="1"/>
  <c r="G44" i="70" s="1"/>
  <c r="C44" i="71" s="1"/>
  <c r="E44" i="71" s="1"/>
  <c r="G44" i="71" s="1"/>
  <c r="C44" i="68" s="1"/>
  <c r="E44" i="68" s="1"/>
  <c r="G44" i="68" s="1"/>
  <c r="C44" i="69" s="1"/>
  <c r="C33" i="70"/>
  <c r="E33" i="70" s="1"/>
  <c r="G33" i="70" s="1"/>
  <c r="C33" i="71" s="1"/>
  <c r="E33" i="71" s="1"/>
  <c r="G33" i="71" s="1"/>
  <c r="C33" i="68" s="1"/>
  <c r="E33" i="68" s="1"/>
  <c r="G33" i="68" s="1"/>
  <c r="C33" i="69" s="1"/>
  <c r="C29" i="70"/>
  <c r="E29" i="70" s="1"/>
  <c r="G29" i="70" s="1"/>
  <c r="C29" i="71" s="1"/>
  <c r="E29" i="71" s="1"/>
  <c r="G29" i="71" s="1"/>
  <c r="C29" i="68" s="1"/>
  <c r="E29" i="68" s="1"/>
  <c r="G29" i="68" s="1"/>
  <c r="C29" i="69" s="1"/>
  <c r="E195" i="8"/>
  <c r="G234" i="8"/>
  <c r="E171" i="8"/>
  <c r="E89" i="8"/>
  <c r="E64" i="8"/>
  <c r="E48" i="8"/>
  <c r="E24" i="8"/>
  <c r="S35" i="8"/>
  <c r="E215" i="8"/>
  <c r="E207" i="8"/>
  <c r="E199" i="8"/>
  <c r="E231" i="8"/>
  <c r="E216" i="8"/>
  <c r="E192" i="8"/>
  <c r="E176" i="8"/>
  <c r="E144" i="8"/>
  <c r="E104" i="8"/>
  <c r="E63" i="8"/>
  <c r="S34" i="8"/>
  <c r="E226" i="8"/>
  <c r="G10" i="8"/>
  <c r="G18" i="8"/>
  <c r="G233" i="8"/>
  <c r="G225" i="8"/>
  <c r="E191" i="8"/>
  <c r="E139" i="8"/>
  <c r="E198" i="8"/>
  <c r="E158" i="8"/>
  <c r="E134" i="8"/>
  <c r="E110" i="8"/>
  <c r="E45" i="8"/>
  <c r="E37" i="8"/>
  <c r="G146" i="8"/>
  <c r="G9" i="8"/>
  <c r="E203" i="8"/>
  <c r="G131" i="8"/>
  <c r="E58" i="8"/>
  <c r="S30" i="8"/>
  <c r="E22" i="8"/>
  <c r="C19" i="70"/>
  <c r="E19" i="70" s="1"/>
  <c r="G19" i="70" s="1"/>
  <c r="C19" i="71" s="1"/>
  <c r="E19" i="71" s="1"/>
  <c r="G19" i="71" s="1"/>
  <c r="C19" i="68" s="1"/>
  <c r="E19" i="68" s="1"/>
  <c r="G19" i="68" s="1"/>
  <c r="C19" i="69" s="1"/>
  <c r="C47" i="71"/>
  <c r="E47" i="71" s="1"/>
  <c r="G47" i="71" s="1"/>
  <c r="C47" i="68" s="1"/>
  <c r="E47" i="68" s="1"/>
  <c r="G47" i="68" s="1"/>
  <c r="C47" i="69" s="1"/>
  <c r="C207" i="71"/>
  <c r="E207" i="71" s="1"/>
  <c r="G207" i="71" s="1"/>
  <c r="C207" i="68" s="1"/>
  <c r="E207" i="68" s="1"/>
  <c r="G207" i="68" s="1"/>
  <c r="C207" i="69" s="1"/>
  <c r="C66" i="71"/>
  <c r="E66" i="71" s="1"/>
  <c r="G66" i="71" s="1"/>
  <c r="C66" i="68" s="1"/>
  <c r="E66" i="68" s="1"/>
  <c r="G66" i="68" s="1"/>
  <c r="C66" i="69" s="1"/>
  <c r="C175" i="71"/>
  <c r="E175" i="71" s="1"/>
  <c r="G175" i="71" s="1"/>
  <c r="C175" i="68" s="1"/>
  <c r="E175" i="68" s="1"/>
  <c r="G175" i="68" s="1"/>
  <c r="C175" i="69" s="1"/>
  <c r="C77" i="71"/>
  <c r="E77" i="71" s="1"/>
  <c r="G77" i="71" s="1"/>
  <c r="C77" i="68" s="1"/>
  <c r="E77" i="68" s="1"/>
  <c r="G77" i="68" s="1"/>
  <c r="C77" i="69" s="1"/>
  <c r="C73" i="71"/>
  <c r="E73" i="71" s="1"/>
  <c r="G73" i="71" s="1"/>
  <c r="C73" i="68" s="1"/>
  <c r="E73" i="68" s="1"/>
  <c r="G73" i="68" s="1"/>
  <c r="C73" i="69" s="1"/>
  <c r="C53" i="71"/>
  <c r="E53" i="71" s="1"/>
  <c r="G53" i="71" s="1"/>
  <c r="C53" i="68" s="1"/>
  <c r="E53" i="68" s="1"/>
  <c r="G53" i="68" s="1"/>
  <c r="C53" i="69" s="1"/>
  <c r="C30" i="71"/>
  <c r="E30" i="71" s="1"/>
  <c r="G30" i="71" s="1"/>
  <c r="C30" i="68" s="1"/>
  <c r="E30" i="68" s="1"/>
  <c r="G30" i="68" s="1"/>
  <c r="C30" i="69" s="1"/>
  <c r="C171" i="71"/>
  <c r="E171" i="71" s="1"/>
  <c r="G171" i="71" s="1"/>
  <c r="C171" i="68" s="1"/>
  <c r="E171" i="68" s="1"/>
  <c r="G171" i="68" s="1"/>
  <c r="C171" i="69" s="1"/>
  <c r="C97" i="71"/>
  <c r="E97" i="71" s="1"/>
  <c r="G97" i="71" s="1"/>
  <c r="C97" i="68" s="1"/>
  <c r="E97" i="68" s="1"/>
  <c r="G97" i="68" s="1"/>
  <c r="C97" i="69" s="1"/>
  <c r="C37" i="71"/>
  <c r="E37" i="71" s="1"/>
  <c r="G37" i="71" s="1"/>
  <c r="C37" i="68" s="1"/>
  <c r="E37" i="68" s="1"/>
  <c r="G37" i="68" s="1"/>
  <c r="C37" i="69" s="1"/>
  <c r="C243" i="71"/>
  <c r="E243" i="71" s="1"/>
  <c r="G243" i="71" s="1"/>
  <c r="C243" i="68" s="1"/>
  <c r="C239" i="71"/>
  <c r="E239" i="71" s="1"/>
  <c r="G239" i="71" s="1"/>
  <c r="C239" i="68" s="1"/>
  <c r="E239" i="68" s="1"/>
  <c r="G239" i="68" s="1"/>
  <c r="C239" i="69" s="1"/>
  <c r="C212" i="71"/>
  <c r="E212" i="71" s="1"/>
  <c r="G212" i="71" s="1"/>
  <c r="C212" i="68" s="1"/>
  <c r="E212" i="68" s="1"/>
  <c r="G212" i="68" s="1"/>
  <c r="C212" i="69" s="1"/>
  <c r="C208" i="71"/>
  <c r="E208" i="71" s="1"/>
  <c r="G208" i="71" s="1"/>
  <c r="C208" i="68" s="1"/>
  <c r="E208" i="68" s="1"/>
  <c r="G208" i="68" s="1"/>
  <c r="C208" i="69" s="1"/>
  <c r="C200" i="71"/>
  <c r="E200" i="71" s="1"/>
  <c r="G200" i="71" s="1"/>
  <c r="C200" i="68" s="1"/>
  <c r="E200" i="68" s="1"/>
  <c r="G200" i="68" s="1"/>
  <c r="C200" i="69" s="1"/>
  <c r="C192" i="71"/>
  <c r="E192" i="71" s="1"/>
  <c r="G192" i="71" s="1"/>
  <c r="C192" i="68" s="1"/>
  <c r="E192" i="68" s="1"/>
  <c r="G192" i="68" s="1"/>
  <c r="C192" i="69" s="1"/>
  <c r="C166" i="71"/>
  <c r="E166" i="71" s="1"/>
  <c r="G166" i="71" s="1"/>
  <c r="C166" i="68" s="1"/>
  <c r="E166" i="68" s="1"/>
  <c r="G166" i="68" s="1"/>
  <c r="C166" i="69" s="1"/>
  <c r="C144" i="71"/>
  <c r="E144" i="71" s="1"/>
  <c r="G144" i="71" s="1"/>
  <c r="C144" i="68" s="1"/>
  <c r="E144" i="68" s="1"/>
  <c r="G144" i="68" s="1"/>
  <c r="C144" i="69" s="1"/>
  <c r="C116" i="71"/>
  <c r="E116" i="71" s="1"/>
  <c r="G116" i="71" s="1"/>
  <c r="C116" i="68" s="1"/>
  <c r="C84" i="71"/>
  <c r="E84" i="71" s="1"/>
  <c r="G84" i="71" s="1"/>
  <c r="C84" i="68" s="1"/>
  <c r="E84" i="68" s="1"/>
  <c r="G84" i="68" s="1"/>
  <c r="C84" i="69" s="1"/>
  <c r="C59" i="71"/>
  <c r="E59" i="71" s="1"/>
  <c r="G59" i="71" s="1"/>
  <c r="C59" i="68" s="1"/>
  <c r="E59" i="68" s="1"/>
  <c r="G59" i="68" s="1"/>
  <c r="C59" i="69" s="1"/>
  <c r="C55" i="71"/>
  <c r="E55" i="71" s="1"/>
  <c r="G55" i="71" s="1"/>
  <c r="C55" i="68" s="1"/>
  <c r="E55" i="68" s="1"/>
  <c r="G55" i="68" s="1"/>
  <c r="C55" i="69" s="1"/>
  <c r="C36" i="71"/>
  <c r="E36" i="71" s="1"/>
  <c r="G36" i="71" s="1"/>
  <c r="C36" i="68" s="1"/>
  <c r="E36" i="68" s="1"/>
  <c r="G36" i="68" s="1"/>
  <c r="C36" i="69" s="1"/>
  <c r="C21" i="71"/>
  <c r="E21" i="71" s="1"/>
  <c r="G21" i="71" s="1"/>
  <c r="C21" i="68" s="1"/>
  <c r="E21" i="68" s="1"/>
  <c r="G21" i="68" s="1"/>
  <c r="C21" i="69" s="1"/>
  <c r="E58" i="68"/>
  <c r="G58" i="68" s="1"/>
  <c r="C58" i="69" s="1"/>
  <c r="E211" i="68"/>
  <c r="G211" i="68" s="1"/>
  <c r="C211" i="69" s="1"/>
  <c r="E162" i="68"/>
  <c r="G162" i="68" s="1"/>
  <c r="C162" i="69" s="1"/>
  <c r="E165" i="68"/>
  <c r="G165" i="68" s="1"/>
  <c r="C165" i="69" s="1"/>
  <c r="E126" i="68"/>
  <c r="G126" i="68" s="1"/>
  <c r="C126" i="69" s="1"/>
  <c r="E243" i="68"/>
  <c r="G243" i="68" s="1"/>
  <c r="C243" i="69" s="1"/>
  <c r="E116" i="68"/>
  <c r="G116" i="68" s="1"/>
  <c r="C116" i="69" s="1"/>
  <c r="E222" i="8"/>
  <c r="E222" i="68"/>
  <c r="G222" i="68" s="1"/>
  <c r="C222" i="69" s="1"/>
  <c r="E89" i="70"/>
  <c r="G89" i="70" s="1"/>
  <c r="C89" i="71" s="1"/>
  <c r="E87" i="70"/>
  <c r="G87" i="70" s="1"/>
  <c r="C87" i="71" s="1"/>
  <c r="E86" i="70"/>
  <c r="G86" i="70" s="1"/>
  <c r="C86" i="71" s="1"/>
  <c r="E83" i="70"/>
  <c r="G83" i="70" s="1"/>
  <c r="C83" i="71" s="1"/>
  <c r="E82" i="70"/>
  <c r="G82" i="70" s="1"/>
  <c r="C82" i="71" s="1"/>
  <c r="E80" i="70"/>
  <c r="G80" i="70" s="1"/>
  <c r="C80" i="71" s="1"/>
  <c r="E83" i="8"/>
  <c r="E103" i="8"/>
  <c r="E177" i="8"/>
  <c r="E74" i="8"/>
  <c r="E67" i="8"/>
  <c r="G55" i="8"/>
  <c r="E51" i="8"/>
  <c r="E50" i="8"/>
  <c r="E15" i="8"/>
  <c r="E14" i="8"/>
  <c r="E12" i="8"/>
  <c r="E169" i="8"/>
  <c r="E163" i="8"/>
  <c r="E18" i="70"/>
  <c r="G18" i="70" s="1"/>
  <c r="E17" i="70"/>
  <c r="G17" i="70" s="1"/>
  <c r="G82" i="8"/>
  <c r="G66" i="8"/>
  <c r="G23" i="8"/>
  <c r="G218" i="8"/>
  <c r="G217" i="8"/>
  <c r="E211" i="8"/>
  <c r="E91" i="8"/>
  <c r="E70" i="8"/>
  <c r="E66" i="8"/>
  <c r="E47" i="8"/>
  <c r="E46" i="8"/>
  <c r="E44" i="8"/>
  <c r="E43" i="8"/>
  <c r="E41" i="8"/>
  <c r="E40" i="8"/>
  <c r="E39" i="8"/>
  <c r="E38" i="8"/>
  <c r="E33" i="8"/>
  <c r="E32" i="8"/>
  <c r="E23" i="8"/>
  <c r="E17" i="8"/>
  <c r="E6" i="8"/>
  <c r="E120" i="8"/>
  <c r="E80" i="8"/>
  <c r="G39" i="8"/>
  <c r="E131" i="8"/>
  <c r="E34" i="8"/>
  <c r="G19" i="8"/>
  <c r="E10" i="8"/>
  <c r="E232" i="8"/>
  <c r="E217" i="8"/>
  <c r="E209" i="8"/>
  <c r="E201" i="8"/>
  <c r="E185" i="8"/>
  <c r="E161" i="8"/>
  <c r="E223" i="8"/>
  <c r="E208" i="8"/>
  <c r="E200" i="8"/>
  <c r="E184" i="8"/>
  <c r="E168" i="8"/>
  <c r="E160" i="8"/>
  <c r="E128" i="8"/>
  <c r="E88" i="8"/>
  <c r="E71" i="8"/>
  <c r="E229" i="8"/>
  <c r="E79" i="8"/>
  <c r="E214" i="8"/>
  <c r="E206" i="8"/>
  <c r="E190" i="8"/>
  <c r="E182" i="8"/>
  <c r="E174" i="8"/>
  <c r="E166" i="8"/>
  <c r="E150" i="8"/>
  <c r="E142" i="8"/>
  <c r="E126" i="8"/>
  <c r="E118" i="8"/>
  <c r="E102" i="8"/>
  <c r="E94" i="8"/>
  <c r="E86" i="8"/>
  <c r="E77" i="8"/>
  <c r="E69" i="8"/>
  <c r="E61" i="8"/>
  <c r="E53" i="8"/>
  <c r="E29" i="8"/>
  <c r="E13" i="8"/>
  <c r="G211" i="8"/>
  <c r="G26" i="8"/>
  <c r="G47" i="8"/>
  <c r="G11" i="8"/>
  <c r="X32" i="66"/>
  <c r="J256" i="66" s="1"/>
  <c r="K257" i="66" s="1"/>
  <c r="E221" i="8"/>
  <c r="E173" i="8"/>
  <c r="E132" i="8"/>
  <c r="E31" i="8"/>
  <c r="E7" i="8"/>
  <c r="E220" i="8"/>
  <c r="G203" i="8"/>
  <c r="G165" i="8"/>
  <c r="G157" i="8"/>
  <c r="G141" i="8"/>
  <c r="G133" i="8"/>
  <c r="G125" i="8"/>
  <c r="G117" i="8"/>
  <c r="G109" i="8"/>
  <c r="G101" i="8"/>
  <c r="G93" i="8"/>
  <c r="G85" i="8"/>
  <c r="G76" i="8"/>
  <c r="G68" i="8"/>
  <c r="G60" i="8"/>
  <c r="G52" i="8"/>
  <c r="G44" i="8"/>
  <c r="E188" i="8"/>
  <c r="E164" i="8"/>
  <c r="E124" i="8"/>
  <c r="E55" i="8"/>
  <c r="G195" i="8"/>
  <c r="G179" i="8"/>
  <c r="G163" i="8"/>
  <c r="G155" i="8"/>
  <c r="G147" i="8"/>
  <c r="G139" i="8"/>
  <c r="G123" i="8"/>
  <c r="G115" i="8"/>
  <c r="G107" i="8"/>
  <c r="G99" i="8"/>
  <c r="G91" i="8"/>
  <c r="G83" i="8"/>
  <c r="G74" i="8"/>
  <c r="G58" i="8"/>
  <c r="G50" i="8"/>
  <c r="G42" i="8"/>
  <c r="G32" i="8"/>
  <c r="G24" i="8"/>
  <c r="G16" i="8"/>
  <c r="G5" i="8"/>
  <c r="K257" i="79"/>
  <c r="J250" i="8"/>
  <c r="J242" i="8"/>
  <c r="J234" i="8"/>
  <c r="J226" i="8"/>
  <c r="J219" i="8"/>
  <c r="J211" i="8"/>
  <c r="J203" i="8"/>
  <c r="J249" i="8"/>
  <c r="J241" i="8"/>
  <c r="J233" i="8"/>
  <c r="J225" i="8"/>
  <c r="J218" i="8"/>
  <c r="J210" i="8"/>
  <c r="J248" i="8"/>
  <c r="J240" i="8"/>
  <c r="J232" i="8"/>
  <c r="J224" i="8"/>
  <c r="J217" i="8"/>
  <c r="J209" i="8"/>
  <c r="G228" i="8"/>
  <c r="G213" i="8"/>
  <c r="J247" i="8"/>
  <c r="J239" i="8"/>
  <c r="J231" i="8"/>
  <c r="J223" i="8"/>
  <c r="J216" i="8"/>
  <c r="J208" i="8"/>
  <c r="J254" i="8"/>
  <c r="J246" i="8"/>
  <c r="J238" i="8"/>
  <c r="J230" i="8"/>
  <c r="J222" i="8"/>
  <c r="J215" i="8"/>
  <c r="J207" i="8"/>
  <c r="J253" i="8"/>
  <c r="J245" i="8"/>
  <c r="J237" i="8"/>
  <c r="J229" i="8"/>
  <c r="J79" i="8"/>
  <c r="J214" i="8"/>
  <c r="J206" i="8"/>
  <c r="J252" i="8"/>
  <c r="J244" i="8"/>
  <c r="J236" i="8"/>
  <c r="J228" i="8"/>
  <c r="J221" i="8"/>
  <c r="J213" i="8"/>
  <c r="J205" i="8"/>
  <c r="J251" i="8"/>
  <c r="J243" i="8"/>
  <c r="J235" i="8"/>
  <c r="J227" i="8"/>
  <c r="J220" i="8"/>
  <c r="J212" i="8"/>
  <c r="J204" i="8"/>
  <c r="N254" i="78"/>
  <c r="G197" i="8"/>
  <c r="G181" i="8"/>
  <c r="G149" i="8"/>
  <c r="G187" i="8"/>
  <c r="G171" i="8"/>
  <c r="G194" i="8"/>
  <c r="G106" i="8"/>
  <c r="G170" i="8"/>
  <c r="G130" i="8"/>
  <c r="G65" i="8"/>
  <c r="G41" i="8"/>
  <c r="G90" i="8"/>
  <c r="G17" i="8"/>
  <c r="G186" i="8"/>
  <c r="G154" i="8"/>
  <c r="G114" i="8"/>
  <c r="G49" i="8"/>
  <c r="G25" i="8"/>
  <c r="G138" i="8"/>
  <c r="G73" i="8"/>
  <c r="G202" i="8"/>
  <c r="G98" i="8"/>
  <c r="G178" i="8"/>
  <c r="G162" i="8"/>
  <c r="G122" i="8"/>
  <c r="G57" i="8"/>
  <c r="G33" i="8"/>
  <c r="G169" i="8"/>
  <c r="G129" i="8"/>
  <c r="G64" i="8"/>
  <c r="G40" i="8"/>
  <c r="G185" i="8"/>
  <c r="G89" i="8"/>
  <c r="G8" i="8"/>
  <c r="G153" i="8"/>
  <c r="G113" i="8"/>
  <c r="G48" i="8"/>
  <c r="G137" i="8"/>
  <c r="G72" i="8"/>
  <c r="G97" i="8"/>
  <c r="G177" i="8"/>
  <c r="G161" i="8"/>
  <c r="G121" i="8"/>
  <c r="G56" i="8"/>
  <c r="G145" i="8"/>
  <c r="G81" i="8"/>
  <c r="G193" i="8"/>
  <c r="G105" i="8"/>
  <c r="N254" i="80"/>
  <c r="K257" i="85"/>
  <c r="K257" i="89"/>
  <c r="M5" i="89"/>
  <c r="N254" i="89" s="1"/>
  <c r="J5" i="8"/>
  <c r="J100" i="8"/>
  <c r="J159" i="8"/>
  <c r="J183" i="8"/>
  <c r="J190" i="8"/>
  <c r="J174" i="8"/>
  <c r="J36" i="8"/>
  <c r="J42" i="8"/>
  <c r="J117" i="8"/>
  <c r="M190" i="95"/>
  <c r="J85" i="8"/>
  <c r="J112" i="8"/>
  <c r="J136" i="8"/>
  <c r="J139" i="8"/>
  <c r="J142" i="8"/>
  <c r="J145" i="8"/>
  <c r="J200" i="8"/>
  <c r="J30" i="8"/>
  <c r="J124" i="8"/>
  <c r="J151" i="8"/>
  <c r="J157" i="8"/>
  <c r="J163" i="8"/>
  <c r="J169" i="8"/>
  <c r="J172" i="8"/>
  <c r="J178" i="8"/>
  <c r="J184" i="8"/>
  <c r="J188" i="8"/>
  <c r="J194" i="8"/>
  <c r="J40" i="8"/>
  <c r="J104" i="8"/>
  <c r="J109" i="8"/>
  <c r="J146" i="8"/>
  <c r="J149" i="8"/>
  <c r="J175" i="8"/>
  <c r="J191" i="8"/>
  <c r="J201" i="8"/>
  <c r="J193" i="8"/>
  <c r="J28" i="8"/>
  <c r="J84" i="8"/>
  <c r="J133" i="8"/>
  <c r="J143" i="8"/>
  <c r="J152" i="8"/>
  <c r="J155" i="8"/>
  <c r="J161" i="8"/>
  <c r="J167" i="8"/>
  <c r="J182" i="8"/>
  <c r="J185" i="8"/>
  <c r="J22" i="8"/>
  <c r="J44" i="8"/>
  <c r="J96" i="8"/>
  <c r="J108" i="8"/>
  <c r="J116" i="8"/>
  <c r="J137" i="8"/>
  <c r="J158" i="8"/>
  <c r="J173" i="8"/>
  <c r="J179" i="8"/>
  <c r="J189" i="8"/>
  <c r="J195" i="8"/>
  <c r="J198" i="8"/>
  <c r="J16" i="8"/>
  <c r="J38" i="8"/>
  <c r="J76" i="8"/>
  <c r="J80" i="8"/>
  <c r="J128" i="8"/>
  <c r="J147" i="8"/>
  <c r="J150" i="8"/>
  <c r="J26" i="8"/>
  <c r="J88" i="8"/>
  <c r="J120" i="8"/>
  <c r="J153" i="8"/>
  <c r="J162" i="8"/>
  <c r="J168" i="8"/>
  <c r="J177" i="8"/>
  <c r="J199" i="8"/>
  <c r="J180" i="8"/>
  <c r="J166" i="8"/>
  <c r="J134" i="8"/>
  <c r="J126" i="8"/>
  <c r="J118" i="8"/>
  <c r="J110" i="8"/>
  <c r="J102" i="8"/>
  <c r="J94" i="8"/>
  <c r="J86" i="8"/>
  <c r="J77" i="8"/>
  <c r="J69" i="8"/>
  <c r="J61" i="8"/>
  <c r="J53" i="8"/>
  <c r="J45" i="8"/>
  <c r="J37" i="8"/>
  <c r="J29" i="8"/>
  <c r="J21" i="8"/>
  <c r="J13" i="8"/>
  <c r="M22" i="96"/>
  <c r="M36" i="96"/>
  <c r="M133" i="96"/>
  <c r="M145" i="96"/>
  <c r="M172" i="96"/>
  <c r="M185" i="96"/>
  <c r="M188" i="96"/>
  <c r="M193" i="96"/>
  <c r="M201" i="96"/>
  <c r="J197" i="8"/>
  <c r="J181" i="8"/>
  <c r="J165" i="8"/>
  <c r="J141" i="8"/>
  <c r="J125" i="8"/>
  <c r="J101" i="8"/>
  <c r="J93" i="8"/>
  <c r="J68" i="8"/>
  <c r="J60" i="8"/>
  <c r="J52" i="8"/>
  <c r="J20" i="8"/>
  <c r="J12" i="8"/>
  <c r="J196" i="8"/>
  <c r="J164" i="8"/>
  <c r="J156" i="8"/>
  <c r="J148" i="8"/>
  <c r="J140" i="8"/>
  <c r="J132" i="8"/>
  <c r="J92" i="8"/>
  <c r="J75" i="8"/>
  <c r="J67" i="8"/>
  <c r="J59" i="8"/>
  <c r="J51" i="8"/>
  <c r="J43" i="8"/>
  <c r="J35" i="8"/>
  <c r="J27" i="8"/>
  <c r="J19" i="8"/>
  <c r="J11" i="8"/>
  <c r="M42" i="96"/>
  <c r="M88" i="96"/>
  <c r="M112" i="96"/>
  <c r="M137" i="96"/>
  <c r="M143" i="96"/>
  <c r="M159" i="96"/>
  <c r="M162" i="96"/>
  <c r="M175" i="96"/>
  <c r="M178" i="96"/>
  <c r="M183" i="96"/>
  <c r="M191" i="96"/>
  <c r="M199" i="96"/>
  <c r="J187" i="8"/>
  <c r="J171" i="8"/>
  <c r="J131" i="8"/>
  <c r="J123" i="8"/>
  <c r="J115" i="8"/>
  <c r="J107" i="8"/>
  <c r="J99" i="8"/>
  <c r="J91" i="8"/>
  <c r="J83" i="8"/>
  <c r="J74" i="8"/>
  <c r="J66" i="8"/>
  <c r="J58" i="8"/>
  <c r="J50" i="8"/>
  <c r="J34" i="8"/>
  <c r="J18" i="8"/>
  <c r="J10" i="8"/>
  <c r="M96" i="96"/>
  <c r="M104" i="96"/>
  <c r="M146" i="96"/>
  <c r="M151" i="96"/>
  <c r="M194" i="96"/>
  <c r="J202" i="8"/>
  <c r="J186" i="8"/>
  <c r="J170" i="8"/>
  <c r="J154" i="8"/>
  <c r="J138" i="8"/>
  <c r="J130" i="8"/>
  <c r="J122" i="8"/>
  <c r="J114" i="8"/>
  <c r="J106" i="8"/>
  <c r="J98" i="8"/>
  <c r="J90" i="8"/>
  <c r="J82" i="8"/>
  <c r="J73" i="8"/>
  <c r="J65" i="8"/>
  <c r="J57" i="8"/>
  <c r="J49" i="8"/>
  <c r="J41" i="8"/>
  <c r="J33" i="8"/>
  <c r="J25" i="8"/>
  <c r="J17" i="8"/>
  <c r="J9" i="8"/>
  <c r="J129" i="8"/>
  <c r="J121" i="8"/>
  <c r="J113" i="8"/>
  <c r="J105" i="8"/>
  <c r="J97" i="8"/>
  <c r="J89" i="8"/>
  <c r="J81" i="8"/>
  <c r="J72" i="8"/>
  <c r="J64" i="8"/>
  <c r="J56" i="8"/>
  <c r="J48" i="8"/>
  <c r="J32" i="8"/>
  <c r="J24" i="8"/>
  <c r="J8" i="8"/>
  <c r="M184" i="96"/>
  <c r="M200" i="96"/>
  <c r="J192" i="8"/>
  <c r="J176" i="8"/>
  <c r="J160" i="8"/>
  <c r="J144" i="8"/>
  <c r="J71" i="8"/>
  <c r="J63" i="8"/>
  <c r="J55" i="8"/>
  <c r="J47" i="8"/>
  <c r="J39" i="8"/>
  <c r="J31" i="8"/>
  <c r="J23" i="8"/>
  <c r="J15" i="8"/>
  <c r="J7" i="8"/>
  <c r="M38" i="96"/>
  <c r="J135" i="8"/>
  <c r="J127" i="8"/>
  <c r="J119" i="8"/>
  <c r="J111" i="8"/>
  <c r="J103" i="8"/>
  <c r="J95" i="8"/>
  <c r="J87" i="8"/>
  <c r="J78" i="8"/>
  <c r="J70" i="8"/>
  <c r="J62" i="8"/>
  <c r="J54" i="8"/>
  <c r="J46" i="8"/>
  <c r="J14" i="8"/>
  <c r="J6" i="8"/>
  <c r="G226" i="8"/>
  <c r="G209" i="8"/>
  <c r="G221" i="8"/>
  <c r="G205" i="8"/>
  <c r="G189" i="8"/>
  <c r="G173" i="8"/>
  <c r="E227" i="8"/>
  <c r="E213" i="8"/>
  <c r="E181" i="8"/>
  <c r="G232" i="8"/>
  <c r="G201" i="8"/>
  <c r="E228" i="8"/>
  <c r="E212" i="8"/>
  <c r="E197" i="8"/>
  <c r="E5" i="8"/>
  <c r="G235" i="8"/>
  <c r="E233" i="8"/>
  <c r="G227" i="8"/>
  <c r="E225" i="8"/>
  <c r="G220" i="8"/>
  <c r="E218" i="8"/>
  <c r="G212" i="8"/>
  <c r="E210" i="8"/>
  <c r="G204" i="8"/>
  <c r="E202" i="8"/>
  <c r="G196" i="8"/>
  <c r="E194" i="8"/>
  <c r="G188" i="8"/>
  <c r="E186" i="8"/>
  <c r="G180" i="8"/>
  <c r="E178" i="8"/>
  <c r="G172" i="8"/>
  <c r="E170" i="8"/>
  <c r="G164" i="8"/>
  <c r="E162" i="8"/>
  <c r="G156" i="8"/>
  <c r="E154" i="8"/>
  <c r="G148" i="8"/>
  <c r="E146" i="8"/>
  <c r="G140" i="8"/>
  <c r="E138" i="8"/>
  <c r="G132" i="8"/>
  <c r="E130" i="8"/>
  <c r="G124" i="8"/>
  <c r="E122" i="8"/>
  <c r="G116" i="8"/>
  <c r="E114" i="8"/>
  <c r="G108" i="8"/>
  <c r="E106" i="8"/>
  <c r="G100" i="8"/>
  <c r="E98" i="8"/>
  <c r="G92" i="8"/>
  <c r="E90" i="8"/>
  <c r="G84" i="8"/>
  <c r="E82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79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7" i="8"/>
  <c r="G69" i="8"/>
  <c r="G61" i="8"/>
  <c r="G53" i="8"/>
  <c r="G45" i="8"/>
  <c r="G37" i="8"/>
  <c r="G29" i="8"/>
  <c r="G21" i="8"/>
  <c r="G13" i="8"/>
  <c r="G230" i="8"/>
  <c r="G222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8" i="8"/>
  <c r="G70" i="8"/>
  <c r="G62" i="8"/>
  <c r="G54" i="8"/>
  <c r="G46" i="8"/>
  <c r="G38" i="8"/>
  <c r="G30" i="8"/>
  <c r="G22" i="8"/>
  <c r="G14" i="8"/>
  <c r="G6" i="8"/>
  <c r="G231" i="8"/>
  <c r="G223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71" i="8"/>
  <c r="G63" i="8"/>
  <c r="G15" i="8"/>
  <c r="G7" i="8"/>
  <c r="N254" i="90"/>
  <c r="J256" i="91"/>
  <c r="K257" i="91" s="1"/>
  <c r="K263" i="91" s="1"/>
  <c r="J256" i="90"/>
  <c r="K257" i="90" s="1"/>
  <c r="K263" i="90" s="1"/>
  <c r="N254" i="91"/>
  <c r="M5" i="92"/>
  <c r="N254" i="92" s="1"/>
  <c r="K257" i="92"/>
  <c r="K257" i="93"/>
  <c r="M5" i="93"/>
  <c r="N254" i="93" s="1"/>
  <c r="K257" i="94"/>
  <c r="N254" i="94"/>
  <c r="J256" i="95"/>
  <c r="K257" i="95" s="1"/>
  <c r="K263" i="95" s="1"/>
  <c r="N254" i="95"/>
  <c r="M5" i="96"/>
  <c r="J256" i="96"/>
  <c r="K257" i="96" s="1"/>
  <c r="K263" i="96" s="1"/>
  <c r="M5" i="79"/>
  <c r="N254" i="79" s="1"/>
  <c r="K257" i="80"/>
  <c r="K257" i="81"/>
  <c r="N254" i="81"/>
  <c r="K257" i="82"/>
  <c r="N254" i="82"/>
  <c r="K257" i="83"/>
  <c r="M5" i="83"/>
  <c r="N254" i="83" s="1"/>
  <c r="N254" i="84"/>
  <c r="J256" i="84"/>
  <c r="K257" i="84" s="1"/>
  <c r="N254" i="85"/>
  <c r="N254" i="86"/>
  <c r="K257" i="87"/>
  <c r="M26" i="8" s="1"/>
  <c r="M5" i="87"/>
  <c r="N254" i="87" s="1"/>
  <c r="K257" i="86"/>
  <c r="N254" i="88"/>
  <c r="J256" i="88"/>
  <c r="K257" i="88" s="1"/>
  <c r="J256" i="72"/>
  <c r="K257" i="72" s="1"/>
  <c r="M139" i="72"/>
  <c r="N254" i="72" s="1"/>
  <c r="N254" i="74"/>
  <c r="J256" i="74"/>
  <c r="K257" i="74" s="1"/>
  <c r="K257" i="73"/>
  <c r="N254" i="73"/>
  <c r="N254" i="75"/>
  <c r="J256" i="75"/>
  <c r="K257" i="75" s="1"/>
  <c r="N254" i="77"/>
  <c r="K257" i="76"/>
  <c r="N254" i="76"/>
  <c r="J256" i="77"/>
  <c r="K257" i="77" s="1"/>
  <c r="J256" i="78"/>
  <c r="K257" i="78" s="1"/>
  <c r="K257" i="70"/>
  <c r="M5" i="70"/>
  <c r="N254" i="70" s="1"/>
  <c r="J256" i="71"/>
  <c r="K257" i="71"/>
  <c r="M5" i="71"/>
  <c r="N254" i="71" s="1"/>
  <c r="K257" i="68"/>
  <c r="N254" i="68"/>
  <c r="N254" i="69"/>
  <c r="J256" i="69"/>
  <c r="K257" i="69"/>
  <c r="E244" i="8"/>
  <c r="J256" i="67"/>
  <c r="K257" i="67" s="1"/>
  <c r="G240" i="8"/>
  <c r="G243" i="8"/>
  <c r="E240" i="8"/>
  <c r="G254" i="8"/>
  <c r="G249" i="8"/>
  <c r="E241" i="8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3" i="94" l="1"/>
  <c r="K265" i="94" s="1"/>
  <c r="M33" i="8"/>
  <c r="S33" i="8" s="1"/>
  <c r="K263" i="93"/>
  <c r="K265" i="93" s="1"/>
  <c r="M32" i="8"/>
  <c r="S32" i="8" s="1"/>
  <c r="K263" i="92"/>
  <c r="K265" i="92" s="1"/>
  <c r="M31" i="8"/>
  <c r="S31" i="8" s="1"/>
  <c r="K263" i="89"/>
  <c r="K266" i="89" s="1"/>
  <c r="S28" i="8"/>
  <c r="K263" i="88"/>
  <c r="M27" i="8"/>
  <c r="S27" i="8" s="1"/>
  <c r="K263" i="87"/>
  <c r="S26" i="8"/>
  <c r="K263" i="85"/>
  <c r="K266" i="85" s="1"/>
  <c r="M24" i="8"/>
  <c r="S24" i="8" s="1"/>
  <c r="K263" i="86"/>
  <c r="M25" i="8"/>
  <c r="S25" i="8" s="1"/>
  <c r="K263" i="83"/>
  <c r="K266" i="83" s="1"/>
  <c r="M22" i="8"/>
  <c r="S22" i="8" s="1"/>
  <c r="K263" i="82"/>
  <c r="K266" i="82" s="1"/>
  <c r="M21" i="8"/>
  <c r="S21" i="8" s="1"/>
  <c r="K263" i="84"/>
  <c r="K265" i="84" s="1"/>
  <c r="M23" i="8"/>
  <c r="S23" i="8" s="1"/>
  <c r="K263" i="81"/>
  <c r="K266" i="81" s="1"/>
  <c r="M20" i="8"/>
  <c r="S20" i="8" s="1"/>
  <c r="K263" i="79"/>
  <c r="K266" i="79" s="1"/>
  <c r="M18" i="8"/>
  <c r="S18" i="8" s="1"/>
  <c r="K263" i="80"/>
  <c r="K265" i="80" s="1"/>
  <c r="M19" i="8"/>
  <c r="S19" i="8" s="1"/>
  <c r="K263" i="78"/>
  <c r="M17" i="8"/>
  <c r="S17" i="8" s="1"/>
  <c r="K263" i="76"/>
  <c r="K265" i="76" s="1"/>
  <c r="M15" i="8"/>
  <c r="K263" i="72"/>
  <c r="K266" i="72" s="1"/>
  <c r="M11" i="8"/>
  <c r="K263" i="69"/>
  <c r="K266" i="69" s="1"/>
  <c r="M10" i="8"/>
  <c r="K263" i="73"/>
  <c r="K265" i="73" s="1"/>
  <c r="M12" i="8"/>
  <c r="S12" i="8" s="1"/>
  <c r="K263" i="77"/>
  <c r="K266" i="77" s="1"/>
  <c r="M16" i="8"/>
  <c r="S16" i="8" s="1"/>
  <c r="K263" i="74"/>
  <c r="K266" i="74" s="1"/>
  <c r="M13" i="8"/>
  <c r="K263" i="75"/>
  <c r="K265" i="75" s="1"/>
  <c r="M14" i="8"/>
  <c r="K263" i="68"/>
  <c r="M9" i="8"/>
  <c r="C17" i="71"/>
  <c r="E17" i="71" s="1"/>
  <c r="G17" i="71" s="1"/>
  <c r="C17" i="68" s="1"/>
  <c r="E17" i="68" s="1"/>
  <c r="G17" i="68" s="1"/>
  <c r="C17" i="69" s="1"/>
  <c r="C18" i="71"/>
  <c r="E18" i="71" s="1"/>
  <c r="G18" i="71" s="1"/>
  <c r="C18" i="68" s="1"/>
  <c r="E18" i="68" s="1"/>
  <c r="G18" i="68" s="1"/>
  <c r="C18" i="69" s="1"/>
  <c r="E59" i="69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E204" i="69"/>
  <c r="G204" i="69" s="1"/>
  <c r="C204" i="72" s="1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E157" i="69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E174" i="69"/>
  <c r="G174" i="69" s="1"/>
  <c r="C174" i="72" s="1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E214" i="69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E210" i="69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E180" i="69"/>
  <c r="G180" i="69" s="1"/>
  <c r="C180" i="72" s="1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E235" i="69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E163" i="69"/>
  <c r="G163" i="69" s="1"/>
  <c r="C163" i="72" s="1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E31" i="69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E197" i="69"/>
  <c r="G197" i="69" s="1"/>
  <c r="C197" i="72" s="1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E241" i="69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E39" i="69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E39" i="77" s="1"/>
  <c r="G39" i="77" s="1"/>
  <c r="E36" i="69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E188" i="69"/>
  <c r="G188" i="69" s="1"/>
  <c r="C188" i="72" s="1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E129" i="69"/>
  <c r="G129" i="69" s="1"/>
  <c r="C129" i="72" s="1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E133" i="69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E175" i="69"/>
  <c r="G175" i="69" s="1"/>
  <c r="C175" i="72" s="1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E172" i="69"/>
  <c r="G172" i="69" s="1"/>
  <c r="C172" i="72" s="1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E215" i="69"/>
  <c r="G215" i="69" s="1"/>
  <c r="C215" i="72" s="1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E234" i="69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E166" i="69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E105" i="69"/>
  <c r="G105" i="69" s="1"/>
  <c r="C105" i="72" s="1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E81" i="69"/>
  <c r="G81" i="69" s="1"/>
  <c r="C81" i="72" s="1"/>
  <c r="E81" i="72" s="1"/>
  <c r="G81" i="72" s="1"/>
  <c r="C81" i="73" s="1"/>
  <c r="E81" i="73" s="1"/>
  <c r="E142" i="69"/>
  <c r="G142" i="69" s="1"/>
  <c r="C142" i="72" s="1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E134" i="69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E183" i="69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E199" i="69"/>
  <c r="G199" i="69" s="1"/>
  <c r="C199" i="72" s="1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E96" i="69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E224" i="69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E19" i="69"/>
  <c r="G19" i="69" s="1"/>
  <c r="C19" i="72" s="1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E75" i="69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E220" i="69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E245" i="69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E144" i="69"/>
  <c r="G144" i="69" s="1"/>
  <c r="C144" i="72" s="1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E76" i="69"/>
  <c r="G76" i="69" s="1"/>
  <c r="C76" i="72" s="1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E60" i="69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E114" i="69"/>
  <c r="G114" i="69" s="1"/>
  <c r="C114" i="72" s="1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E102" i="69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E139" i="69"/>
  <c r="G139" i="69" s="1"/>
  <c r="C139" i="72" s="1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E159" i="69"/>
  <c r="G159" i="69" s="1"/>
  <c r="C159" i="72" s="1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E128" i="69"/>
  <c r="G128" i="69" s="1"/>
  <c r="C128" i="72" s="1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E48" i="69"/>
  <c r="G48" i="69" s="1"/>
  <c r="C48" i="72" s="1"/>
  <c r="E48" i="72" s="1"/>
  <c r="G48" i="72" s="1"/>
  <c r="C48" i="73" s="1"/>
  <c r="E48" i="73" s="1"/>
  <c r="G48" i="73" s="1"/>
  <c r="E48" i="74" s="1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E37" i="69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37" i="77" s="1"/>
  <c r="E37" i="77" s="1"/>
  <c r="G37" i="77" s="1"/>
  <c r="E182" i="69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E69" i="69"/>
  <c r="G69" i="69" s="1"/>
  <c r="C69" i="72" s="1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E107" i="69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E123" i="69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E228" i="69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E112" i="69"/>
  <c r="G112" i="69" s="1"/>
  <c r="C112" i="72" s="1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E251" i="69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E252" i="69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E45" i="69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E53" i="69"/>
  <c r="G53" i="69" s="1"/>
  <c r="C53" i="72" s="1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E179" i="69"/>
  <c r="G179" i="69" s="1"/>
  <c r="C179" i="72" s="1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E91" i="69"/>
  <c r="G91" i="69" s="1"/>
  <c r="C91" i="72" s="1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E62" i="69"/>
  <c r="G62" i="69" s="1"/>
  <c r="C62" i="72" s="1"/>
  <c r="E62" i="72" s="1"/>
  <c r="G62" i="72" s="1"/>
  <c r="C62" i="73" s="1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C62" i="77" s="1"/>
  <c r="E62" i="77" s="1"/>
  <c r="G62" i="77" s="1"/>
  <c r="E28" i="69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E92" i="69"/>
  <c r="G92" i="69" s="1"/>
  <c r="C92" i="72" s="1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E222" i="69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E108" i="69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E124" i="69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E63" i="69"/>
  <c r="G63" i="69" s="1"/>
  <c r="C63" i="72" s="1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E116" i="69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E170" i="69"/>
  <c r="G170" i="69" s="1"/>
  <c r="C170" i="72" s="1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E223" i="69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E29" i="69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E85" i="69"/>
  <c r="G85" i="69" s="1"/>
  <c r="C85" i="72" s="1"/>
  <c r="E85" i="72" s="1"/>
  <c r="G85" i="72" s="1"/>
  <c r="C85" i="73" s="1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E113" i="69"/>
  <c r="G113" i="69" s="1"/>
  <c r="C113" i="72" s="1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E137" i="69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E205" i="69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E232" i="69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E43" i="69"/>
  <c r="G43" i="69" s="1"/>
  <c r="C43" i="72" s="1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E41" i="69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E64" i="69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E101" i="69"/>
  <c r="G101" i="69" s="1"/>
  <c r="C101" i="72" s="1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E141" i="69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E189" i="69"/>
  <c r="G189" i="69" s="1"/>
  <c r="C189" i="72" s="1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E240" i="69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E15" i="69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E49" i="69"/>
  <c r="G49" i="69" s="1"/>
  <c r="C49" i="72" s="1"/>
  <c r="E49" i="72" s="1"/>
  <c r="G49" i="72" s="1"/>
  <c r="C49" i="73" s="1"/>
  <c r="E49" i="73" s="1"/>
  <c r="G49" i="73" s="1"/>
  <c r="E49" i="74" s="1"/>
  <c r="G49" i="74" s="1"/>
  <c r="C49" i="75" s="1"/>
  <c r="E49" i="75" s="1"/>
  <c r="G49" i="75" s="1"/>
  <c r="C49" i="76" s="1"/>
  <c r="E49" i="76" s="1"/>
  <c r="G49" i="76" s="1"/>
  <c r="C49" i="77" s="1"/>
  <c r="E49" i="77" s="1"/>
  <c r="G49" i="77" s="1"/>
  <c r="E94" i="69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E122" i="69"/>
  <c r="G122" i="69" s="1"/>
  <c r="C122" i="72" s="1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E150" i="69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E190" i="69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E79" i="69"/>
  <c r="G79" i="69" s="1"/>
  <c r="C79" i="72" s="1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E79" i="78" s="1"/>
  <c r="G79" i="78" s="1"/>
  <c r="E249" i="69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E23" i="69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E57" i="69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E73" i="69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73" i="77" s="1"/>
  <c r="G73" i="77" s="1"/>
  <c r="E106" i="69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E146" i="69"/>
  <c r="G146" i="69" s="1"/>
  <c r="C146" i="72" s="1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E186" i="69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E218" i="69"/>
  <c r="G218" i="69" s="1"/>
  <c r="C218" i="72" s="1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E253" i="69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E42" i="69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E74" i="69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E119" i="69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E147" i="69"/>
  <c r="G147" i="69" s="1"/>
  <c r="C147" i="72" s="1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E191" i="69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E230" i="69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E20" i="69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E50" i="69"/>
  <c r="G50" i="69" s="1"/>
  <c r="C50" i="72" s="1"/>
  <c r="E50" i="72" s="1"/>
  <c r="G50" i="72" s="1"/>
  <c r="C50" i="73" s="1"/>
  <c r="E50" i="73" s="1"/>
  <c r="G50" i="73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E66" i="69"/>
  <c r="G66" i="69" s="1"/>
  <c r="C66" i="72" s="1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E99" i="69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E131" i="69"/>
  <c r="G131" i="69" s="1"/>
  <c r="C131" i="72" s="1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E176" i="69"/>
  <c r="G176" i="69" s="1"/>
  <c r="C176" i="72" s="1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E207" i="69"/>
  <c r="G207" i="69" s="1"/>
  <c r="C207" i="72" s="1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E242" i="69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E25" i="69"/>
  <c r="G25" i="69" s="1"/>
  <c r="C25" i="72" s="1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E71" i="69"/>
  <c r="G71" i="69" s="1"/>
  <c r="C71" i="72" s="1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C71" i="77" s="1"/>
  <c r="E71" i="77" s="1"/>
  <c r="G71" i="77" s="1"/>
  <c r="E156" i="69"/>
  <c r="G156" i="69" s="1"/>
  <c r="C156" i="72" s="1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E40" i="69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40" i="77" s="1"/>
  <c r="E40" i="77" s="1"/>
  <c r="G40" i="77" s="1"/>
  <c r="E84" i="69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4" i="77" s="1"/>
  <c r="G84" i="77" s="1"/>
  <c r="E100" i="69"/>
  <c r="G100" i="69" s="1"/>
  <c r="C100" i="72" s="1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E132" i="69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E148" i="69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E192" i="69"/>
  <c r="G192" i="69" s="1"/>
  <c r="C192" i="72" s="1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E208" i="69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E239" i="69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E160" i="69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E171" i="69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E140" i="69"/>
  <c r="G140" i="69" s="1"/>
  <c r="C140" i="72" s="1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E21" i="69"/>
  <c r="G21" i="69" s="1"/>
  <c r="C21" i="72" s="1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E88" i="69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E136" i="69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E177" i="69"/>
  <c r="G177" i="69" s="1"/>
  <c r="C177" i="72" s="1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E196" i="69"/>
  <c r="G196" i="69" s="1"/>
  <c r="C196" i="72" s="1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E212" i="69"/>
  <c r="G212" i="69" s="1"/>
  <c r="C212" i="72" s="1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E227" i="69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E33" i="69"/>
  <c r="G33" i="69" s="1"/>
  <c r="C33" i="72" s="1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E164" i="69"/>
  <c r="G164" i="69" s="1"/>
  <c r="C164" i="72" s="1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E93" i="69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E117" i="69"/>
  <c r="G117" i="69" s="1"/>
  <c r="C117" i="72" s="1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E145" i="69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E185" i="69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185" i="77" s="1"/>
  <c r="G185" i="77" s="1"/>
  <c r="E213" i="69"/>
  <c r="G213" i="69" s="1"/>
  <c r="C213" i="72" s="1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E236" i="69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E173" i="69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E52" i="69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E68" i="69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E109" i="69"/>
  <c r="G109" i="69" s="1"/>
  <c r="C109" i="72" s="1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E149" i="69"/>
  <c r="G149" i="69" s="1"/>
  <c r="C149" i="72" s="1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E201" i="69"/>
  <c r="G201" i="69" s="1"/>
  <c r="C201" i="72" s="1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E248" i="69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E26" i="69"/>
  <c r="G26" i="69" s="1"/>
  <c r="C26" i="72" s="1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E161" i="69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E98" i="69"/>
  <c r="G98" i="69" s="1"/>
  <c r="C98" i="72" s="1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E130" i="69"/>
  <c r="G130" i="69" s="1"/>
  <c r="C130" i="72" s="1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E158" i="69"/>
  <c r="G158" i="69" s="1"/>
  <c r="C158" i="72" s="1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E198" i="69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E229" i="69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E254" i="69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E34" i="69"/>
  <c r="G34" i="69" s="1"/>
  <c r="C34" i="72" s="1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E61" i="69"/>
  <c r="G61" i="69" s="1"/>
  <c r="C61" i="72" s="1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E77" i="69"/>
  <c r="G77" i="69" s="1"/>
  <c r="C77" i="72" s="1"/>
  <c r="E77" i="72" s="1"/>
  <c r="G77" i="72" s="1"/>
  <c r="C77" i="73" s="1"/>
  <c r="E77" i="73" s="1"/>
  <c r="E118" i="69"/>
  <c r="G118" i="69" s="1"/>
  <c r="C118" i="72" s="1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E154" i="69"/>
  <c r="G154" i="69" s="1"/>
  <c r="C154" i="72" s="1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E194" i="69"/>
  <c r="G194" i="69" s="1"/>
  <c r="C194" i="72" s="1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E225" i="69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E16" i="69"/>
  <c r="G16" i="69" s="1"/>
  <c r="C16" i="72" s="1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E46" i="69"/>
  <c r="G46" i="69" s="1"/>
  <c r="C46" i="72" s="1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E95" i="69"/>
  <c r="G95" i="69" s="1"/>
  <c r="C95" i="72" s="1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E127" i="69"/>
  <c r="G127" i="69" s="1"/>
  <c r="C127" i="72" s="1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E155" i="69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E203" i="69"/>
  <c r="G203" i="69" s="1"/>
  <c r="C203" i="72" s="1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E238" i="69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E24" i="69"/>
  <c r="G24" i="69" s="1"/>
  <c r="C24" i="72" s="1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E54" i="69"/>
  <c r="G54" i="69" s="1"/>
  <c r="C54" i="72" s="1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E70" i="69"/>
  <c r="G70" i="69" s="1"/>
  <c r="C70" i="72" s="1"/>
  <c r="E70" i="72" s="1"/>
  <c r="G70" i="72" s="1"/>
  <c r="C70" i="73" s="1"/>
  <c r="E70" i="73" s="1"/>
  <c r="G70" i="73" s="1"/>
  <c r="C70" i="74" s="1"/>
  <c r="E70" i="74" s="1"/>
  <c r="G70" i="74" s="1"/>
  <c r="E70" i="75" s="1"/>
  <c r="G70" i="75" s="1"/>
  <c r="C70" i="76" s="1"/>
  <c r="E70" i="76" s="1"/>
  <c r="G70" i="76" s="1"/>
  <c r="C70" i="77" s="1"/>
  <c r="E70" i="77" s="1"/>
  <c r="G70" i="77" s="1"/>
  <c r="E111" i="69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E143" i="69"/>
  <c r="G143" i="69" s="1"/>
  <c r="C143" i="72" s="1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E187" i="69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E219" i="69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E250" i="69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E55" i="69"/>
  <c r="G55" i="69" s="1"/>
  <c r="C55" i="72" s="1"/>
  <c r="E55" i="72" s="1"/>
  <c r="G55" i="72" s="1"/>
  <c r="C55" i="73" s="1"/>
  <c r="E55" i="73" s="1"/>
  <c r="G55" i="73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E184" i="69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E221" i="69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E51" i="69"/>
  <c r="G51" i="69" s="1"/>
  <c r="C51" i="72" s="1"/>
  <c r="E51" i="72" s="1"/>
  <c r="G51" i="72" s="1"/>
  <c r="C51" i="73" s="1"/>
  <c r="E51" i="73" s="1"/>
  <c r="G51" i="73" s="1"/>
  <c r="E51" i="74" s="1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E67" i="69"/>
  <c r="G67" i="69" s="1"/>
  <c r="C67" i="72" s="1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E104" i="69"/>
  <c r="G104" i="69" s="1"/>
  <c r="C104" i="72" s="1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E120" i="69"/>
  <c r="G120" i="69" s="1"/>
  <c r="C120" i="72" s="1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E152" i="69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E243" i="69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E200" i="69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E216" i="69"/>
  <c r="G216" i="69" s="1"/>
  <c r="C216" i="72" s="1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E231" i="69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E247" i="69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E44" i="69"/>
  <c r="G44" i="69" s="1"/>
  <c r="C44" i="72" s="1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E181" i="69"/>
  <c r="G181" i="69" s="1"/>
  <c r="C181" i="72" s="1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E97" i="69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E125" i="69"/>
  <c r="G125" i="69" s="1"/>
  <c r="C125" i="72" s="1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E153" i="69"/>
  <c r="G153" i="69" s="1"/>
  <c r="C153" i="72" s="1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E193" i="69"/>
  <c r="G193" i="69" s="1"/>
  <c r="C193" i="72" s="1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E217" i="69"/>
  <c r="G217" i="69" s="1"/>
  <c r="C217" i="72" s="1"/>
  <c r="E217" i="72" s="1"/>
  <c r="G217" i="72" s="1"/>
  <c r="C217" i="73" s="1"/>
  <c r="E217" i="73" s="1"/>
  <c r="G217" i="73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E244" i="69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E22" i="69"/>
  <c r="G22" i="69" s="1"/>
  <c r="C22" i="72" s="1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E56" i="69"/>
  <c r="G56" i="69" s="1"/>
  <c r="C56" i="72" s="1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E72" i="69"/>
  <c r="G72" i="69" s="1"/>
  <c r="C72" i="72" s="1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E121" i="69"/>
  <c r="G121" i="69" s="1"/>
  <c r="C121" i="72" s="1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E167" i="69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E209" i="69"/>
  <c r="G209" i="69" s="1"/>
  <c r="C209" i="72" s="1"/>
  <c r="E209" i="72" s="1"/>
  <c r="G209" i="72" s="1"/>
  <c r="C209" i="73" s="1"/>
  <c r="E209" i="73" s="1"/>
  <c r="G209" i="73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E32" i="69"/>
  <c r="G32" i="69" s="1"/>
  <c r="C32" i="72" s="1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E30" i="69"/>
  <c r="G30" i="69" s="1"/>
  <c r="C30" i="72" s="1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E178" i="69"/>
  <c r="G178" i="69" s="1"/>
  <c r="C178" i="72" s="1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E110" i="69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E138" i="69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E168" i="69"/>
  <c r="G168" i="69" s="1"/>
  <c r="C168" i="72" s="1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E206" i="69"/>
  <c r="G206" i="69" s="1"/>
  <c r="C206" i="72" s="1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E233" i="69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E47" i="69"/>
  <c r="G47" i="69" s="1"/>
  <c r="C47" i="72" s="1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E38" i="69"/>
  <c r="G38" i="69" s="1"/>
  <c r="C38" i="72" s="1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38" i="77" s="1"/>
  <c r="E38" i="77" s="1"/>
  <c r="G38" i="77" s="1"/>
  <c r="E65" i="69"/>
  <c r="G65" i="69" s="1"/>
  <c r="C65" i="72" s="1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E90" i="69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E126" i="69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E165" i="69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E202" i="69"/>
  <c r="G202" i="69" s="1"/>
  <c r="C202" i="72" s="1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E237" i="69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E27" i="69"/>
  <c r="G27" i="69" s="1"/>
  <c r="C27" i="72" s="1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E162" i="69"/>
  <c r="G162" i="69" s="1"/>
  <c r="C162" i="72" s="1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E103" i="69"/>
  <c r="G103" i="69" s="1"/>
  <c r="C103" i="72" s="1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E135" i="69"/>
  <c r="G135" i="69" s="1"/>
  <c r="C135" i="72" s="1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E169" i="69"/>
  <c r="G169" i="69" s="1"/>
  <c r="C169" i="72" s="1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E211" i="69"/>
  <c r="G211" i="69" s="1"/>
  <c r="C211" i="72" s="1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E246" i="69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E35" i="69"/>
  <c r="G35" i="69" s="1"/>
  <c r="C35" i="72" s="1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E58" i="69"/>
  <c r="G58" i="69" s="1"/>
  <c r="C58" i="72" s="1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E78" i="69"/>
  <c r="G78" i="69" s="1"/>
  <c r="C78" i="72" s="1"/>
  <c r="E78" i="72" s="1"/>
  <c r="G78" i="72" s="1"/>
  <c r="C78" i="73" s="1"/>
  <c r="E78" i="73" s="1"/>
  <c r="E115" i="69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E151" i="69"/>
  <c r="G151" i="69" s="1"/>
  <c r="C151" i="72" s="1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E195" i="69"/>
  <c r="G195" i="69" s="1"/>
  <c r="C195" i="72" s="1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E226" i="69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K263" i="71"/>
  <c r="K265" i="71" s="1"/>
  <c r="M8" i="8"/>
  <c r="S8" i="8" s="1"/>
  <c r="E89" i="71"/>
  <c r="G89" i="71" s="1"/>
  <c r="C89" i="68" s="1"/>
  <c r="E87" i="71"/>
  <c r="G87" i="71" s="1"/>
  <c r="C87" i="68" s="1"/>
  <c r="E86" i="71"/>
  <c r="G86" i="71" s="1"/>
  <c r="C86" i="68" s="1"/>
  <c r="E83" i="71"/>
  <c r="G83" i="71" s="1"/>
  <c r="C83" i="68" s="1"/>
  <c r="E82" i="71"/>
  <c r="G82" i="71" s="1"/>
  <c r="C82" i="68" s="1"/>
  <c r="E80" i="71"/>
  <c r="G80" i="71" s="1"/>
  <c r="C80" i="68" s="1"/>
  <c r="K263" i="70"/>
  <c r="K266" i="70" s="1"/>
  <c r="M7" i="8"/>
  <c r="S7" i="8" s="1"/>
  <c r="K265" i="79"/>
  <c r="K265" i="89"/>
  <c r="K265" i="85"/>
  <c r="K263" i="67"/>
  <c r="M6" i="8"/>
  <c r="K263" i="66"/>
  <c r="K266" i="66" s="1"/>
  <c r="M5" i="8"/>
  <c r="S5" i="8" s="1"/>
  <c r="N254" i="96"/>
  <c r="K265" i="95"/>
  <c r="K266" i="95"/>
  <c r="K265" i="90"/>
  <c r="K266" i="90"/>
  <c r="K265" i="91"/>
  <c r="K266" i="91"/>
  <c r="K266" i="94"/>
  <c r="K266" i="93"/>
  <c r="K265" i="96"/>
  <c r="K266" i="96"/>
  <c r="K266" i="88"/>
  <c r="K265" i="88"/>
  <c r="K266" i="86"/>
  <c r="K265" i="86"/>
  <c r="K266" i="87"/>
  <c r="K265" i="87"/>
  <c r="K265" i="82"/>
  <c r="K266" i="78"/>
  <c r="K265" i="78"/>
  <c r="K265" i="72"/>
  <c r="K265" i="68"/>
  <c r="K266" i="68"/>
  <c r="K266" i="92" l="1"/>
  <c r="K265" i="69"/>
  <c r="K266" i="76"/>
  <c r="S15" i="8" s="1"/>
  <c r="K265" i="81"/>
  <c r="K266" i="75"/>
  <c r="K266" i="84"/>
  <c r="K265" i="74"/>
  <c r="K266" i="73"/>
  <c r="K265" i="83"/>
  <c r="K265" i="77"/>
  <c r="K266" i="80"/>
  <c r="E162" i="78"/>
  <c r="G162" i="78" s="1"/>
  <c r="C162" i="79" s="1"/>
  <c r="E162" i="79" s="1"/>
  <c r="G162" i="79" s="1"/>
  <c r="C162" i="78"/>
  <c r="C21" i="78"/>
  <c r="E21" i="78" s="1"/>
  <c r="G21" i="78" s="1"/>
  <c r="C21" i="79" s="1"/>
  <c r="E21" i="79" s="1"/>
  <c r="G21" i="79" s="1"/>
  <c r="C113" i="78"/>
  <c r="E113" i="78" s="1"/>
  <c r="G113" i="78" s="1"/>
  <c r="C113" i="79" s="1"/>
  <c r="E113" i="79" s="1"/>
  <c r="G113" i="79" s="1"/>
  <c r="C182" i="78"/>
  <c r="E182" i="78" s="1"/>
  <c r="G182" i="78" s="1"/>
  <c r="C182" i="79" s="1"/>
  <c r="E182" i="79" s="1"/>
  <c r="G182" i="79" s="1"/>
  <c r="C39" i="78"/>
  <c r="E39" i="78" s="1"/>
  <c r="G39" i="78" s="1"/>
  <c r="C39" i="79" s="1"/>
  <c r="E39" i="79" s="1"/>
  <c r="G39" i="79" s="1"/>
  <c r="C214" i="78"/>
  <c r="E214" i="78" s="1"/>
  <c r="G214" i="78" s="1"/>
  <c r="C58" i="78"/>
  <c r="E58" i="78" s="1"/>
  <c r="G58" i="78" s="1"/>
  <c r="C58" i="79" s="1"/>
  <c r="E58" i="79" s="1"/>
  <c r="G58" i="79" s="1"/>
  <c r="C27" i="78"/>
  <c r="E27" i="78" s="1"/>
  <c r="G27" i="78" s="1"/>
  <c r="C27" i="79" s="1"/>
  <c r="E27" i="79" s="1"/>
  <c r="G27" i="79" s="1"/>
  <c r="C47" i="78"/>
  <c r="E47" i="78" s="1"/>
  <c r="G47" i="78" s="1"/>
  <c r="C47" i="79" s="1"/>
  <c r="E47" i="79" s="1"/>
  <c r="G47" i="79" s="1"/>
  <c r="C32" i="78"/>
  <c r="E32" i="78" s="1"/>
  <c r="G32" i="78" s="1"/>
  <c r="C32" i="79" s="1"/>
  <c r="E32" i="79" s="1"/>
  <c r="G32" i="79" s="1"/>
  <c r="E217" i="78"/>
  <c r="G217" i="78" s="1"/>
  <c r="C217" i="78"/>
  <c r="C231" i="78"/>
  <c r="E231" i="78" s="1"/>
  <c r="G231" i="78" s="1"/>
  <c r="C231" i="79" s="1"/>
  <c r="E231" i="79" s="1"/>
  <c r="G231" i="79" s="1"/>
  <c r="C51" i="78"/>
  <c r="E51" i="78" s="1"/>
  <c r="G51" i="78" s="1"/>
  <c r="C51" i="79" s="1"/>
  <c r="E51" i="79" s="1"/>
  <c r="G51" i="79" s="1"/>
  <c r="C111" i="78"/>
  <c r="E111" i="78" s="1"/>
  <c r="G111" i="78" s="1"/>
  <c r="C111" i="79" s="1"/>
  <c r="E111" i="79" s="1"/>
  <c r="G111" i="79" s="1"/>
  <c r="C95" i="78"/>
  <c r="E95" i="78" s="1"/>
  <c r="G95" i="78" s="1"/>
  <c r="C95" i="79" s="1"/>
  <c r="E95" i="79" s="1"/>
  <c r="G95" i="79" s="1"/>
  <c r="C61" i="78"/>
  <c r="E61" i="78" s="1"/>
  <c r="G61" i="78" s="1"/>
  <c r="C61" i="79" s="1"/>
  <c r="E61" i="79" s="1"/>
  <c r="G61" i="79" s="1"/>
  <c r="E161" i="78"/>
  <c r="G161" i="78" s="1"/>
  <c r="C161" i="79" s="1"/>
  <c r="E161" i="79" s="1"/>
  <c r="G161" i="79" s="1"/>
  <c r="C161" i="78"/>
  <c r="C173" i="78"/>
  <c r="E173" i="78" s="1"/>
  <c r="G173" i="78" s="1"/>
  <c r="C173" i="79" s="1"/>
  <c r="E173" i="79" s="1"/>
  <c r="G173" i="79" s="1"/>
  <c r="C33" i="78"/>
  <c r="E33" i="78" s="1"/>
  <c r="G33" i="78" s="1"/>
  <c r="C33" i="79" s="1"/>
  <c r="E33" i="79" s="1"/>
  <c r="G33" i="79" s="1"/>
  <c r="C140" i="78"/>
  <c r="E140" i="78" s="1"/>
  <c r="G140" i="78" s="1"/>
  <c r="C140" i="79" s="1"/>
  <c r="E140" i="79" s="1"/>
  <c r="G140" i="79" s="1"/>
  <c r="E132" i="78"/>
  <c r="G132" i="78" s="1"/>
  <c r="C132" i="79" s="1"/>
  <c r="E132" i="79" s="1"/>
  <c r="G132" i="79" s="1"/>
  <c r="C132" i="78"/>
  <c r="C207" i="78"/>
  <c r="E207" i="78" s="1"/>
  <c r="G207" i="78" s="1"/>
  <c r="C207" i="79" s="1"/>
  <c r="E207" i="79" s="1"/>
  <c r="G207" i="79" s="1"/>
  <c r="C191" i="78"/>
  <c r="E191" i="78" s="1"/>
  <c r="G191" i="78" s="1"/>
  <c r="C191" i="79" s="1"/>
  <c r="E191" i="79" s="1"/>
  <c r="G191" i="79" s="1"/>
  <c r="C146" i="78"/>
  <c r="E146" i="78" s="1"/>
  <c r="G146" i="78" s="1"/>
  <c r="C146" i="79" s="1"/>
  <c r="E146" i="79" s="1"/>
  <c r="G146" i="79" s="1"/>
  <c r="C150" i="78"/>
  <c r="E150" i="78" s="1"/>
  <c r="G150" i="78" s="1"/>
  <c r="C150" i="79" s="1"/>
  <c r="E150" i="79" s="1"/>
  <c r="G150" i="79" s="1"/>
  <c r="C101" i="78"/>
  <c r="E101" i="78" s="1"/>
  <c r="G101" i="78" s="1"/>
  <c r="C101" i="79" s="1"/>
  <c r="E101" i="79" s="1"/>
  <c r="G101" i="79" s="1"/>
  <c r="C85" i="78"/>
  <c r="E85" i="78" s="1"/>
  <c r="G85" i="78" s="1"/>
  <c r="C85" i="79" s="1"/>
  <c r="E85" i="79" s="1"/>
  <c r="G85" i="79" s="1"/>
  <c r="C222" i="78"/>
  <c r="E222" i="78" s="1"/>
  <c r="G222" i="78" s="1"/>
  <c r="C222" i="79" s="1"/>
  <c r="E222" i="79" s="1"/>
  <c r="G222" i="79" s="1"/>
  <c r="C252" i="78"/>
  <c r="E252" i="78" s="1"/>
  <c r="G252" i="78" s="1"/>
  <c r="C252" i="79" s="1"/>
  <c r="E252" i="79" s="1"/>
  <c r="G252" i="79" s="1"/>
  <c r="C37" i="78"/>
  <c r="E37" i="78" s="1"/>
  <c r="G37" i="78" s="1"/>
  <c r="C76" i="78"/>
  <c r="E76" i="78" s="1"/>
  <c r="G76" i="78" s="1"/>
  <c r="C76" i="79" s="1"/>
  <c r="E76" i="79" s="1"/>
  <c r="G76" i="79" s="1"/>
  <c r="C199" i="78"/>
  <c r="E199" i="78" s="1"/>
  <c r="G199" i="78" s="1"/>
  <c r="C199" i="79" s="1"/>
  <c r="E199" i="79" s="1"/>
  <c r="G199" i="79" s="1"/>
  <c r="C215" i="78"/>
  <c r="E215" i="78" s="1"/>
  <c r="G215" i="78" s="1"/>
  <c r="C215" i="79" s="1"/>
  <c r="E215" i="79" s="1"/>
  <c r="G215" i="79" s="1"/>
  <c r="C241" i="78"/>
  <c r="E241" i="78" s="1"/>
  <c r="G241" i="78" s="1"/>
  <c r="C174" i="78"/>
  <c r="E174" i="78" s="1"/>
  <c r="G174" i="78" s="1"/>
  <c r="C174" i="79" s="1"/>
  <c r="E174" i="79" s="1"/>
  <c r="G174" i="79" s="1"/>
  <c r="C143" i="78"/>
  <c r="E143" i="78" s="1"/>
  <c r="G143" i="78" s="1"/>
  <c r="C143" i="79" s="1"/>
  <c r="E143" i="79" s="1"/>
  <c r="G143" i="79" s="1"/>
  <c r="C242" i="78"/>
  <c r="E242" i="78" s="1"/>
  <c r="G242" i="78" s="1"/>
  <c r="C242" i="79" s="1"/>
  <c r="E242" i="79" s="1"/>
  <c r="G242" i="79" s="1"/>
  <c r="C108" i="78"/>
  <c r="E108" i="78" s="1"/>
  <c r="G108" i="78" s="1"/>
  <c r="C234" i="78"/>
  <c r="E234" i="78" s="1"/>
  <c r="G234" i="78" s="1"/>
  <c r="C234" i="79" s="1"/>
  <c r="E234" i="79" s="1"/>
  <c r="G234" i="79" s="1"/>
  <c r="C233" i="78"/>
  <c r="E233" i="78" s="1"/>
  <c r="G233" i="78" s="1"/>
  <c r="C233" i="79" s="1"/>
  <c r="E233" i="79" s="1"/>
  <c r="G233" i="79" s="1"/>
  <c r="C70" i="78"/>
  <c r="E70" i="78" s="1"/>
  <c r="G70" i="78" s="1"/>
  <c r="C70" i="79" s="1"/>
  <c r="E70" i="79" s="1"/>
  <c r="G70" i="79" s="1"/>
  <c r="C227" i="78"/>
  <c r="E227" i="78" s="1"/>
  <c r="G227" i="78" s="1"/>
  <c r="C227" i="79" s="1"/>
  <c r="E227" i="79" s="1"/>
  <c r="G227" i="79" s="1"/>
  <c r="E122" i="78"/>
  <c r="G122" i="78" s="1"/>
  <c r="C122" i="79" s="1"/>
  <c r="E122" i="79" s="1"/>
  <c r="G122" i="79" s="1"/>
  <c r="C122" i="78"/>
  <c r="C48" i="78"/>
  <c r="E48" i="78" s="1"/>
  <c r="G48" i="78" s="1"/>
  <c r="C48" i="79" s="1"/>
  <c r="E48" i="79" s="1"/>
  <c r="G48" i="79" s="1"/>
  <c r="C172" i="78"/>
  <c r="E172" i="78" s="1"/>
  <c r="G172" i="78" s="1"/>
  <c r="C172" i="79" s="1"/>
  <c r="E172" i="79" s="1"/>
  <c r="G172" i="79" s="1"/>
  <c r="C206" i="78"/>
  <c r="E206" i="78" s="1"/>
  <c r="G206" i="78" s="1"/>
  <c r="C206" i="79" s="1"/>
  <c r="E206" i="79" s="1"/>
  <c r="G206" i="79" s="1"/>
  <c r="E54" i="78"/>
  <c r="G54" i="78" s="1"/>
  <c r="C54" i="78"/>
  <c r="C171" i="78"/>
  <c r="E171" i="78" s="1"/>
  <c r="G171" i="78" s="1"/>
  <c r="C171" i="79" s="1"/>
  <c r="E171" i="79" s="1"/>
  <c r="G171" i="79" s="1"/>
  <c r="C94" i="78"/>
  <c r="E94" i="78" s="1"/>
  <c r="G94" i="78" s="1"/>
  <c r="C94" i="79" s="1"/>
  <c r="E94" i="79" s="1"/>
  <c r="G94" i="79" s="1"/>
  <c r="C28" i="78"/>
  <c r="E28" i="78" s="1"/>
  <c r="G28" i="78" s="1"/>
  <c r="C28" i="79" s="1"/>
  <c r="E28" i="79" s="1"/>
  <c r="G28" i="79" s="1"/>
  <c r="C245" i="78"/>
  <c r="E245" i="78" s="1"/>
  <c r="G245" i="78" s="1"/>
  <c r="C245" i="79" s="1"/>
  <c r="E245" i="79" s="1"/>
  <c r="G245" i="79" s="1"/>
  <c r="C134" i="78"/>
  <c r="E134" i="78" s="1"/>
  <c r="G134" i="78" s="1"/>
  <c r="C134" i="79" s="1"/>
  <c r="E134" i="79" s="1"/>
  <c r="G134" i="79" s="1"/>
  <c r="E175" i="78"/>
  <c r="G175" i="78" s="1"/>
  <c r="C175" i="78"/>
  <c r="C31" i="78"/>
  <c r="E31" i="78" s="1"/>
  <c r="G31" i="78" s="1"/>
  <c r="C31" i="79" s="1"/>
  <c r="E31" i="79" s="1"/>
  <c r="G31" i="79" s="1"/>
  <c r="C204" i="78"/>
  <c r="E204" i="78" s="1"/>
  <c r="G204" i="78" s="1"/>
  <c r="C204" i="79" s="1"/>
  <c r="E204" i="79" s="1"/>
  <c r="G204" i="79" s="1"/>
  <c r="C38" i="78"/>
  <c r="E38" i="78" s="1"/>
  <c r="G38" i="78" s="1"/>
  <c r="C38" i="79" s="1"/>
  <c r="E38" i="79" s="1"/>
  <c r="G38" i="79" s="1"/>
  <c r="C127" i="78"/>
  <c r="E127" i="78" s="1"/>
  <c r="G127" i="78" s="1"/>
  <c r="C127" i="79" s="1"/>
  <c r="E127" i="79" s="1"/>
  <c r="G127" i="79" s="1"/>
  <c r="C148" i="78"/>
  <c r="E148" i="78" s="1"/>
  <c r="G148" i="78" s="1"/>
  <c r="C148" i="79" s="1"/>
  <c r="E148" i="79" s="1"/>
  <c r="G148" i="79" s="1"/>
  <c r="C141" i="78"/>
  <c r="E141" i="78" s="1"/>
  <c r="G141" i="78" s="1"/>
  <c r="C141" i="79" s="1"/>
  <c r="E141" i="79" s="1"/>
  <c r="G141" i="79" s="1"/>
  <c r="C60" i="78"/>
  <c r="E60" i="78" s="1"/>
  <c r="G60" i="78" s="1"/>
  <c r="C60" i="79" s="1"/>
  <c r="E60" i="79" s="1"/>
  <c r="G60" i="79" s="1"/>
  <c r="E237" i="78"/>
  <c r="G237" i="78" s="1"/>
  <c r="C237" i="79" s="1"/>
  <c r="E237" i="79" s="1"/>
  <c r="G237" i="79" s="1"/>
  <c r="C237" i="78"/>
  <c r="C221" i="78"/>
  <c r="E221" i="78" s="1"/>
  <c r="G221" i="78" s="1"/>
  <c r="C221" i="79" s="1"/>
  <c r="E221" i="79" s="1"/>
  <c r="G221" i="79" s="1"/>
  <c r="C236" i="78"/>
  <c r="E236" i="78" s="1"/>
  <c r="G236" i="78" s="1"/>
  <c r="C236" i="79" s="1"/>
  <c r="E236" i="79" s="1"/>
  <c r="G236" i="79" s="1"/>
  <c r="C106" i="78"/>
  <c r="E106" i="78" s="1"/>
  <c r="G106" i="78" s="1"/>
  <c r="C106" i="79" s="1"/>
  <c r="E106" i="79" s="1"/>
  <c r="G106" i="79" s="1"/>
  <c r="E29" i="78"/>
  <c r="G29" i="78" s="1"/>
  <c r="C29" i="79" s="1"/>
  <c r="C29" i="78"/>
  <c r="C144" i="78"/>
  <c r="E144" i="78" s="1"/>
  <c r="G144" i="78" s="1"/>
  <c r="C167" i="78"/>
  <c r="E167" i="78" s="1"/>
  <c r="G167" i="78" s="1"/>
  <c r="C167" i="79" s="1"/>
  <c r="E167" i="79" s="1"/>
  <c r="G167" i="79" s="1"/>
  <c r="C16" i="78"/>
  <c r="E16" i="78" s="1"/>
  <c r="G16" i="78" s="1"/>
  <c r="C16" i="79" s="1"/>
  <c r="E16" i="79" s="1"/>
  <c r="G16" i="79" s="1"/>
  <c r="C212" i="78"/>
  <c r="E212" i="78" s="1"/>
  <c r="G212" i="78" s="1"/>
  <c r="C212" i="79" s="1"/>
  <c r="E212" i="79" s="1"/>
  <c r="G212" i="79" s="1"/>
  <c r="C73" i="78"/>
  <c r="E73" i="78" s="1"/>
  <c r="G73" i="78" s="1"/>
  <c r="C73" i="79" s="1"/>
  <c r="E73" i="79" s="1"/>
  <c r="G73" i="79" s="1"/>
  <c r="C223" i="78"/>
  <c r="E223" i="78" s="1"/>
  <c r="G223" i="78" s="1"/>
  <c r="C223" i="79" s="1"/>
  <c r="E223" i="79" s="1"/>
  <c r="G223" i="79" s="1"/>
  <c r="C112" i="78"/>
  <c r="E112" i="78" s="1"/>
  <c r="G112" i="78" s="1"/>
  <c r="C112" i="79" s="1"/>
  <c r="E112" i="79" s="1"/>
  <c r="G112" i="79" s="1"/>
  <c r="C226" i="78"/>
  <c r="E226" i="78" s="1"/>
  <c r="G226" i="78" s="1"/>
  <c r="C226" i="79" s="1"/>
  <c r="E226" i="79" s="1"/>
  <c r="G226" i="79" s="1"/>
  <c r="C211" i="78"/>
  <c r="E211" i="78" s="1"/>
  <c r="G211" i="78" s="1"/>
  <c r="C211" i="79" s="1"/>
  <c r="E211" i="79" s="1"/>
  <c r="G211" i="79" s="1"/>
  <c r="E165" i="78"/>
  <c r="G165" i="78" s="1"/>
  <c r="C165" i="79" s="1"/>
  <c r="E165" i="79" s="1"/>
  <c r="G165" i="79" s="1"/>
  <c r="C165" i="78"/>
  <c r="C168" i="78"/>
  <c r="E168" i="78" s="1"/>
  <c r="G168" i="78" s="1"/>
  <c r="C168" i="79" s="1"/>
  <c r="E168" i="79" s="1"/>
  <c r="G168" i="79" s="1"/>
  <c r="C121" i="78"/>
  <c r="E121" i="78" s="1"/>
  <c r="G121" i="78" s="1"/>
  <c r="C121" i="79" s="1"/>
  <c r="E121" i="79" s="1"/>
  <c r="G121" i="79" s="1"/>
  <c r="C125" i="78"/>
  <c r="E125" i="78" s="1"/>
  <c r="G125" i="78" s="1"/>
  <c r="C125" i="79" s="1"/>
  <c r="E125" i="79" s="1"/>
  <c r="G125" i="79" s="1"/>
  <c r="C243" i="78"/>
  <c r="E243" i="78" s="1"/>
  <c r="G243" i="78" s="1"/>
  <c r="C243" i="79" s="1"/>
  <c r="E243" i="79" s="1"/>
  <c r="G243" i="79" s="1"/>
  <c r="C55" i="78"/>
  <c r="E55" i="78" s="1"/>
  <c r="G55" i="78" s="1"/>
  <c r="C55" i="79" s="1"/>
  <c r="E55" i="79" s="1"/>
  <c r="G55" i="79" s="1"/>
  <c r="C24" i="78"/>
  <c r="E24" i="78" s="1"/>
  <c r="G24" i="78" s="1"/>
  <c r="C24" i="79" s="1"/>
  <c r="E24" i="79" s="1"/>
  <c r="G24" i="79" s="1"/>
  <c r="C225" i="78"/>
  <c r="E225" i="78" s="1"/>
  <c r="G225" i="78" s="1"/>
  <c r="C225" i="79" s="1"/>
  <c r="E225" i="79" s="1"/>
  <c r="G225" i="79" s="1"/>
  <c r="C229" i="78"/>
  <c r="E229" i="78" s="1"/>
  <c r="G229" i="78" s="1"/>
  <c r="C229" i="79" s="1"/>
  <c r="E229" i="79" s="1"/>
  <c r="G229" i="79" s="1"/>
  <c r="C201" i="78"/>
  <c r="E201" i="78" s="1"/>
  <c r="G201" i="78" s="1"/>
  <c r="C201" i="79" s="1"/>
  <c r="E201" i="79" s="1"/>
  <c r="G201" i="79" s="1"/>
  <c r="C185" i="78"/>
  <c r="E185" i="78" s="1"/>
  <c r="G185" i="78" s="1"/>
  <c r="C185" i="79" s="1"/>
  <c r="E185" i="79" s="1"/>
  <c r="G185" i="79" s="1"/>
  <c r="C196" i="78"/>
  <c r="E196" i="78" s="1"/>
  <c r="G196" i="78" s="1"/>
  <c r="C160" i="78"/>
  <c r="E160" i="78" s="1"/>
  <c r="G160" i="78" s="1"/>
  <c r="C160" i="79" s="1"/>
  <c r="E160" i="79" s="1"/>
  <c r="G160" i="79" s="1"/>
  <c r="E40" i="78"/>
  <c r="G40" i="78" s="1"/>
  <c r="C40" i="79" s="1"/>
  <c r="E40" i="79" s="1"/>
  <c r="G40" i="79" s="1"/>
  <c r="C40" i="78"/>
  <c r="C99" i="78"/>
  <c r="E99" i="78" s="1"/>
  <c r="G99" i="78" s="1"/>
  <c r="C99" i="79" s="1"/>
  <c r="E99" i="79" s="1"/>
  <c r="G99" i="79" s="1"/>
  <c r="C74" i="78"/>
  <c r="E74" i="78" s="1"/>
  <c r="G74" i="78" s="1"/>
  <c r="C74" i="79" s="1"/>
  <c r="E74" i="79" s="1"/>
  <c r="G74" i="79" s="1"/>
  <c r="C57" i="78"/>
  <c r="E57" i="78" s="1"/>
  <c r="G57" i="78" s="1"/>
  <c r="C57" i="79" s="1"/>
  <c r="E57" i="79" s="1"/>
  <c r="G57" i="79" s="1"/>
  <c r="C49" i="78"/>
  <c r="E49" i="78" s="1"/>
  <c r="G49" i="78" s="1"/>
  <c r="C49" i="79" s="1"/>
  <c r="E49" i="79" s="1"/>
  <c r="G49" i="79" s="1"/>
  <c r="C43" i="78"/>
  <c r="E43" i="78" s="1"/>
  <c r="G43" i="78" s="1"/>
  <c r="C43" i="79" s="1"/>
  <c r="E43" i="79" s="1"/>
  <c r="G43" i="79" s="1"/>
  <c r="C170" i="78"/>
  <c r="E170" i="78" s="1"/>
  <c r="G170" i="78" s="1"/>
  <c r="C170" i="79" s="1"/>
  <c r="E170" i="79" s="1"/>
  <c r="G170" i="79" s="1"/>
  <c r="E62" i="78"/>
  <c r="G62" i="78" s="1"/>
  <c r="C62" i="79" s="1"/>
  <c r="E62" i="79" s="1"/>
  <c r="G62" i="79" s="1"/>
  <c r="C62" i="78"/>
  <c r="C228" i="78"/>
  <c r="E228" i="78" s="1"/>
  <c r="G228" i="78" s="1"/>
  <c r="C228" i="79" s="1"/>
  <c r="E228" i="79" s="1"/>
  <c r="G228" i="79" s="1"/>
  <c r="C159" i="78"/>
  <c r="E159" i="78" s="1"/>
  <c r="G159" i="78" s="1"/>
  <c r="C159" i="79" s="1"/>
  <c r="E159" i="79" s="1"/>
  <c r="G159" i="79" s="1"/>
  <c r="C220" i="78"/>
  <c r="E220" i="78" s="1"/>
  <c r="G220" i="78" s="1"/>
  <c r="C220" i="79" s="1"/>
  <c r="E220" i="79" s="1"/>
  <c r="G220" i="79" s="1"/>
  <c r="C142" i="78"/>
  <c r="E142" i="78" s="1"/>
  <c r="G142" i="78" s="1"/>
  <c r="C142" i="79" s="1"/>
  <c r="E142" i="79" s="1"/>
  <c r="G142" i="79" s="1"/>
  <c r="C133" i="78"/>
  <c r="E133" i="78" s="1"/>
  <c r="G133" i="78" s="1"/>
  <c r="C133" i="79" s="1"/>
  <c r="E133" i="79" s="1"/>
  <c r="G133" i="79" s="1"/>
  <c r="C163" i="78"/>
  <c r="E163" i="78" s="1"/>
  <c r="G163" i="78" s="1"/>
  <c r="C163" i="79" s="1"/>
  <c r="E163" i="79" s="1"/>
  <c r="G163" i="79" s="1"/>
  <c r="C59" i="78"/>
  <c r="E59" i="78" s="1"/>
  <c r="G59" i="78" s="1"/>
  <c r="C59" i="79" s="1"/>
  <c r="E59" i="79" s="1"/>
  <c r="G59" i="79" s="1"/>
  <c r="C247" i="78"/>
  <c r="E247" i="78" s="1"/>
  <c r="G247" i="78" s="1"/>
  <c r="C247" i="79" s="1"/>
  <c r="E247" i="79" s="1"/>
  <c r="G247" i="79" s="1"/>
  <c r="C52" i="78"/>
  <c r="E52" i="78" s="1"/>
  <c r="G52" i="78" s="1"/>
  <c r="C52" i="79" s="1"/>
  <c r="E52" i="79" s="1"/>
  <c r="G52" i="79" s="1"/>
  <c r="C190" i="78"/>
  <c r="E190" i="78" s="1"/>
  <c r="G190" i="78" s="1"/>
  <c r="C190" i="79" s="1"/>
  <c r="E190" i="79" s="1"/>
  <c r="G190" i="79" s="1"/>
  <c r="C96" i="78"/>
  <c r="E96" i="78" s="1"/>
  <c r="G96" i="78" s="1"/>
  <c r="C96" i="79" s="1"/>
  <c r="E96" i="79" s="1"/>
  <c r="G96" i="79" s="1"/>
  <c r="C209" i="78"/>
  <c r="E209" i="78" s="1"/>
  <c r="G209" i="78" s="1"/>
  <c r="C209" i="79" s="1"/>
  <c r="E209" i="79" s="1"/>
  <c r="G209" i="79" s="1"/>
  <c r="C34" i="78"/>
  <c r="E34" i="78" s="1"/>
  <c r="G34" i="78" s="1"/>
  <c r="C34" i="79" s="1"/>
  <c r="E34" i="79" s="1"/>
  <c r="G34" i="79" s="1"/>
  <c r="C176" i="78"/>
  <c r="E176" i="78" s="1"/>
  <c r="G176" i="78" s="1"/>
  <c r="C176" i="79" s="1"/>
  <c r="E176" i="79" s="1"/>
  <c r="G176" i="79" s="1"/>
  <c r="C92" i="78"/>
  <c r="E92" i="78" s="1"/>
  <c r="G92" i="78" s="1"/>
  <c r="C92" i="79" s="1"/>
  <c r="E92" i="79" s="1"/>
  <c r="G92" i="79" s="1"/>
  <c r="C157" i="78"/>
  <c r="E157" i="78" s="1"/>
  <c r="G157" i="78" s="1"/>
  <c r="C157" i="79" s="1"/>
  <c r="E157" i="79" s="1"/>
  <c r="G157" i="79" s="1"/>
  <c r="C246" i="78"/>
  <c r="E246" i="78" s="1"/>
  <c r="G246" i="78" s="1"/>
  <c r="C246" i="79" s="1"/>
  <c r="E246" i="79" s="1"/>
  <c r="G246" i="79" s="1"/>
  <c r="E200" i="78"/>
  <c r="G200" i="78" s="1"/>
  <c r="C200" i="79" s="1"/>
  <c r="E200" i="79" s="1"/>
  <c r="G200" i="79" s="1"/>
  <c r="C200" i="78"/>
  <c r="C248" i="78"/>
  <c r="E248" i="78" s="1"/>
  <c r="G248" i="78" s="1"/>
  <c r="C248" i="79" s="1"/>
  <c r="E248" i="79" s="1"/>
  <c r="G248" i="79" s="1"/>
  <c r="C84" i="78"/>
  <c r="E84" i="78" s="1"/>
  <c r="G84" i="78" s="1"/>
  <c r="C84" i="79" s="1"/>
  <c r="E84" i="79" s="1"/>
  <c r="G84" i="79" s="1"/>
  <c r="C41" i="78"/>
  <c r="E41" i="78" s="1"/>
  <c r="G41" i="78" s="1"/>
  <c r="C41" i="79" s="1"/>
  <c r="E41" i="79" s="1"/>
  <c r="G41" i="79" s="1"/>
  <c r="E128" i="78"/>
  <c r="G128" i="78" s="1"/>
  <c r="C128" i="79" s="1"/>
  <c r="E128" i="79" s="1"/>
  <c r="G128" i="79" s="1"/>
  <c r="C128" i="78"/>
  <c r="C195" i="78"/>
  <c r="E195" i="78" s="1"/>
  <c r="G195" i="78" s="1"/>
  <c r="C195" i="79" s="1"/>
  <c r="E195" i="79" s="1"/>
  <c r="G195" i="79" s="1"/>
  <c r="C169" i="78"/>
  <c r="E169" i="78" s="1"/>
  <c r="G169" i="78" s="1"/>
  <c r="C169" i="79" s="1"/>
  <c r="E169" i="79" s="1"/>
  <c r="G169" i="79" s="1"/>
  <c r="C126" i="78"/>
  <c r="E126" i="78" s="1"/>
  <c r="G126" i="78" s="1"/>
  <c r="C126" i="79" s="1"/>
  <c r="E126" i="79" s="1"/>
  <c r="G126" i="79" s="1"/>
  <c r="C138" i="78"/>
  <c r="E138" i="78" s="1"/>
  <c r="G138" i="78" s="1"/>
  <c r="C138" i="79" s="1"/>
  <c r="E138" i="79" s="1"/>
  <c r="G138" i="79" s="1"/>
  <c r="C72" i="78"/>
  <c r="E72" i="78" s="1"/>
  <c r="G72" i="78" s="1"/>
  <c r="C72" i="79" s="1"/>
  <c r="E72" i="79" s="1"/>
  <c r="G72" i="79" s="1"/>
  <c r="C97" i="78"/>
  <c r="E97" i="78" s="1"/>
  <c r="G97" i="78" s="1"/>
  <c r="C97" i="79" s="1"/>
  <c r="E97" i="79" s="1"/>
  <c r="G97" i="79" s="1"/>
  <c r="C152" i="78"/>
  <c r="E152" i="78" s="1"/>
  <c r="G152" i="78" s="1"/>
  <c r="C152" i="79" s="1"/>
  <c r="E152" i="79" s="1"/>
  <c r="G152" i="79" s="1"/>
  <c r="C250" i="78"/>
  <c r="E250" i="78" s="1"/>
  <c r="G250" i="78" s="1"/>
  <c r="C250" i="79" s="1"/>
  <c r="E250" i="79" s="1"/>
  <c r="G250" i="79" s="1"/>
  <c r="C238" i="78"/>
  <c r="E238" i="78" s="1"/>
  <c r="G238" i="78" s="1"/>
  <c r="C238" i="79" s="1"/>
  <c r="E238" i="79" s="1"/>
  <c r="G238" i="79" s="1"/>
  <c r="C194" i="78"/>
  <c r="E194" i="78" s="1"/>
  <c r="G194" i="78" s="1"/>
  <c r="C194" i="79" s="1"/>
  <c r="E194" i="79" s="1"/>
  <c r="G194" i="79" s="1"/>
  <c r="C198" i="78"/>
  <c r="E198" i="78" s="1"/>
  <c r="G198" i="78" s="1"/>
  <c r="C198" i="79" s="1"/>
  <c r="E198" i="79" s="1"/>
  <c r="G198" i="79" s="1"/>
  <c r="C149" i="78"/>
  <c r="E149" i="78" s="1"/>
  <c r="G149" i="78" s="1"/>
  <c r="C149" i="79" s="1"/>
  <c r="E149" i="79" s="1"/>
  <c r="G149" i="79" s="1"/>
  <c r="C145" i="78"/>
  <c r="E145" i="78" s="1"/>
  <c r="G145" i="78" s="1"/>
  <c r="C145" i="79" s="1"/>
  <c r="E145" i="79" s="1"/>
  <c r="G145" i="79" s="1"/>
  <c r="C177" i="78"/>
  <c r="E177" i="78" s="1"/>
  <c r="G177" i="78" s="1"/>
  <c r="C177" i="79" s="1"/>
  <c r="E177" i="79" s="1"/>
  <c r="G177" i="79" s="1"/>
  <c r="C239" i="78"/>
  <c r="E239" i="78" s="1"/>
  <c r="G239" i="78" s="1"/>
  <c r="C239" i="79" s="1"/>
  <c r="E239" i="79" s="1"/>
  <c r="G239" i="79" s="1"/>
  <c r="E156" i="78"/>
  <c r="G156" i="78" s="1"/>
  <c r="C156" i="79" s="1"/>
  <c r="E156" i="79" s="1"/>
  <c r="G156" i="79" s="1"/>
  <c r="C156" i="78"/>
  <c r="C42" i="78"/>
  <c r="E42" i="78" s="1"/>
  <c r="G42" i="78" s="1"/>
  <c r="C42" i="79" s="1"/>
  <c r="C23" i="78"/>
  <c r="E23" i="78" s="1"/>
  <c r="G23" i="78" s="1"/>
  <c r="C23" i="79" s="1"/>
  <c r="E23" i="79" s="1"/>
  <c r="G23" i="79" s="1"/>
  <c r="C15" i="78"/>
  <c r="E15" i="78" s="1"/>
  <c r="G15" i="78" s="1"/>
  <c r="C15" i="79" s="1"/>
  <c r="E15" i="79" s="1"/>
  <c r="G15" i="79" s="1"/>
  <c r="C232" i="78"/>
  <c r="E232" i="78" s="1"/>
  <c r="G232" i="78" s="1"/>
  <c r="C232" i="79" s="1"/>
  <c r="E232" i="79" s="1"/>
  <c r="G232" i="79" s="1"/>
  <c r="C116" i="78"/>
  <c r="E116" i="78" s="1"/>
  <c r="G116" i="78" s="1"/>
  <c r="C116" i="79" s="1"/>
  <c r="E116" i="79" s="1"/>
  <c r="G116" i="79" s="1"/>
  <c r="C91" i="78"/>
  <c r="E91" i="78" s="1"/>
  <c r="G91" i="78" s="1"/>
  <c r="C91" i="79" s="1"/>
  <c r="E91" i="79" s="1"/>
  <c r="G91" i="79" s="1"/>
  <c r="C123" i="78"/>
  <c r="E123" i="78" s="1"/>
  <c r="G123" i="78" s="1"/>
  <c r="C123" i="79" s="1"/>
  <c r="E123" i="79" s="1"/>
  <c r="G123" i="79" s="1"/>
  <c r="C139" i="78"/>
  <c r="E139" i="78" s="1"/>
  <c r="G139" i="78" s="1"/>
  <c r="C139" i="79" s="1"/>
  <c r="E139" i="79" s="1"/>
  <c r="G139" i="79" s="1"/>
  <c r="C75" i="78"/>
  <c r="E75" i="78" s="1"/>
  <c r="G75" i="78" s="1"/>
  <c r="C75" i="79" s="1"/>
  <c r="E75" i="79" s="1"/>
  <c r="G75" i="79" s="1"/>
  <c r="E129" i="78"/>
  <c r="G129" i="78" s="1"/>
  <c r="C129" i="79" s="1"/>
  <c r="E129" i="79" s="1"/>
  <c r="G129" i="79" s="1"/>
  <c r="C129" i="78"/>
  <c r="C235" i="78"/>
  <c r="E235" i="78" s="1"/>
  <c r="G235" i="78" s="1"/>
  <c r="C235" i="79" s="1"/>
  <c r="E235" i="79" s="1"/>
  <c r="G235" i="79" s="1"/>
  <c r="C244" i="78"/>
  <c r="E244" i="78" s="1"/>
  <c r="G244" i="78" s="1"/>
  <c r="C244" i="79" s="1"/>
  <c r="E244" i="79" s="1"/>
  <c r="G244" i="79" s="1"/>
  <c r="C164" i="78"/>
  <c r="E164" i="78" s="1"/>
  <c r="G164" i="78" s="1"/>
  <c r="C164" i="79" s="1"/>
  <c r="E186" i="78"/>
  <c r="G186" i="78" s="1"/>
  <c r="C186" i="79" s="1"/>
  <c r="E186" i="79" s="1"/>
  <c r="G186" i="79" s="1"/>
  <c r="C186" i="78"/>
  <c r="C45" i="78"/>
  <c r="E45" i="78" s="1"/>
  <c r="G45" i="78" s="1"/>
  <c r="C45" i="79" s="1"/>
  <c r="E45" i="79" s="1"/>
  <c r="G45" i="79" s="1"/>
  <c r="C35" i="78"/>
  <c r="E35" i="78" s="1"/>
  <c r="G35" i="78" s="1"/>
  <c r="C35" i="79" s="1"/>
  <c r="E35" i="79" s="1"/>
  <c r="G35" i="79" s="1"/>
  <c r="C216" i="78"/>
  <c r="E216" i="78" s="1"/>
  <c r="G216" i="78" s="1"/>
  <c r="C216" i="79" s="1"/>
  <c r="E216" i="79" s="1"/>
  <c r="G216" i="79" s="1"/>
  <c r="E26" i="78"/>
  <c r="G26" i="78" s="1"/>
  <c r="C26" i="79" s="1"/>
  <c r="E26" i="79" s="1"/>
  <c r="G26" i="79" s="1"/>
  <c r="C26" i="78"/>
  <c r="C147" i="78"/>
  <c r="E147" i="78" s="1"/>
  <c r="G147" i="78" s="1"/>
  <c r="C147" i="79" s="1"/>
  <c r="E147" i="79" s="1"/>
  <c r="G147" i="79" s="1"/>
  <c r="C251" i="78"/>
  <c r="E251" i="78" s="1"/>
  <c r="G251" i="78" s="1"/>
  <c r="C251" i="79" s="1"/>
  <c r="E251" i="79" s="1"/>
  <c r="G251" i="79" s="1"/>
  <c r="C197" i="78"/>
  <c r="E197" i="78" s="1"/>
  <c r="G197" i="78" s="1"/>
  <c r="C197" i="79" s="1"/>
  <c r="E197" i="79" s="1"/>
  <c r="G197" i="79" s="1"/>
  <c r="C202" i="78"/>
  <c r="E202" i="78" s="1"/>
  <c r="G202" i="78" s="1"/>
  <c r="C202" i="79" s="1"/>
  <c r="E202" i="79" s="1"/>
  <c r="G202" i="79" s="1"/>
  <c r="C184" i="78"/>
  <c r="E184" i="78" s="1"/>
  <c r="G184" i="78" s="1"/>
  <c r="C184" i="79" s="1"/>
  <c r="E184" i="79" s="1"/>
  <c r="G184" i="79" s="1"/>
  <c r="C213" i="78"/>
  <c r="E213" i="78" s="1"/>
  <c r="G213" i="78" s="1"/>
  <c r="C213" i="79" s="1"/>
  <c r="E213" i="79" s="1"/>
  <c r="G213" i="79" s="1"/>
  <c r="C131" i="78"/>
  <c r="E131" i="78" s="1"/>
  <c r="G131" i="78" s="1"/>
  <c r="C131" i="79" s="1"/>
  <c r="C135" i="78"/>
  <c r="E135" i="78" s="1"/>
  <c r="G135" i="78" s="1"/>
  <c r="C135" i="79" s="1"/>
  <c r="E135" i="79" s="1"/>
  <c r="G135" i="79" s="1"/>
  <c r="C110" i="78"/>
  <c r="E110" i="78" s="1"/>
  <c r="G110" i="78" s="1"/>
  <c r="C110" i="79" s="1"/>
  <c r="E110" i="79" s="1"/>
  <c r="G110" i="79" s="1"/>
  <c r="C56" i="78"/>
  <c r="E56" i="78" s="1"/>
  <c r="G56" i="78" s="1"/>
  <c r="C56" i="79" s="1"/>
  <c r="E56" i="79" s="1"/>
  <c r="G56" i="79" s="1"/>
  <c r="C181" i="78"/>
  <c r="E181" i="78" s="1"/>
  <c r="G181" i="78" s="1"/>
  <c r="C181" i="79" s="1"/>
  <c r="E181" i="79" s="1"/>
  <c r="G181" i="79" s="1"/>
  <c r="C120" i="78"/>
  <c r="E120" i="78" s="1"/>
  <c r="G120" i="78" s="1"/>
  <c r="C120" i="79" s="1"/>
  <c r="E120" i="79" s="1"/>
  <c r="G120" i="79" s="1"/>
  <c r="C219" i="78"/>
  <c r="E219" i="78" s="1"/>
  <c r="G219" i="78" s="1"/>
  <c r="C219" i="79" s="1"/>
  <c r="E219" i="79" s="1"/>
  <c r="G219" i="79" s="1"/>
  <c r="C203" i="78"/>
  <c r="E203" i="78" s="1"/>
  <c r="G203" i="78" s="1"/>
  <c r="C203" i="79" s="1"/>
  <c r="E203" i="79" s="1"/>
  <c r="G203" i="79" s="1"/>
  <c r="C154" i="78"/>
  <c r="E154" i="78" s="1"/>
  <c r="G154" i="78" s="1"/>
  <c r="C158" i="78"/>
  <c r="E158" i="78" s="1"/>
  <c r="G158" i="78" s="1"/>
  <c r="C158" i="79" s="1"/>
  <c r="E158" i="79" s="1"/>
  <c r="G158" i="79" s="1"/>
  <c r="E109" i="78"/>
  <c r="G109" i="78" s="1"/>
  <c r="C109" i="79" s="1"/>
  <c r="E109" i="79" s="1"/>
  <c r="G109" i="79" s="1"/>
  <c r="C109" i="78"/>
  <c r="C117" i="78"/>
  <c r="E117" i="78" s="1"/>
  <c r="G117" i="78" s="1"/>
  <c r="C117" i="79" s="1"/>
  <c r="E117" i="79" s="1"/>
  <c r="G117" i="79" s="1"/>
  <c r="C136" i="78"/>
  <c r="E136" i="78" s="1"/>
  <c r="G136" i="78" s="1"/>
  <c r="C136" i="79" s="1"/>
  <c r="E136" i="79" s="1"/>
  <c r="G136" i="79" s="1"/>
  <c r="C208" i="78"/>
  <c r="E208" i="78" s="1"/>
  <c r="G208" i="78" s="1"/>
  <c r="C208" i="79" s="1"/>
  <c r="E208" i="79" s="1"/>
  <c r="G208" i="79" s="1"/>
  <c r="C71" i="78"/>
  <c r="E71" i="78" s="1"/>
  <c r="G71" i="78" s="1"/>
  <c r="C71" i="79" s="1"/>
  <c r="E71" i="79" s="1"/>
  <c r="G71" i="79" s="1"/>
  <c r="C50" i="78"/>
  <c r="E50" i="78" s="1"/>
  <c r="G50" i="78" s="1"/>
  <c r="C50" i="79" s="1"/>
  <c r="E50" i="79" s="1"/>
  <c r="G50" i="79" s="1"/>
  <c r="C253" i="78"/>
  <c r="E253" i="78" s="1"/>
  <c r="G253" i="78" s="1"/>
  <c r="C249" i="78"/>
  <c r="E249" i="78" s="1"/>
  <c r="G249" i="78" s="1"/>
  <c r="C249" i="79" s="1"/>
  <c r="E249" i="79" s="1"/>
  <c r="G249" i="79" s="1"/>
  <c r="C240" i="78"/>
  <c r="E240" i="78" s="1"/>
  <c r="G240" i="78" s="1"/>
  <c r="C240" i="79" s="1"/>
  <c r="E240" i="79" s="1"/>
  <c r="G240" i="79" s="1"/>
  <c r="E205" i="78"/>
  <c r="G205" i="78" s="1"/>
  <c r="C205" i="79" s="1"/>
  <c r="E205" i="79" s="1"/>
  <c r="G205" i="79" s="1"/>
  <c r="C205" i="78"/>
  <c r="C63" i="78"/>
  <c r="E63" i="78" s="1"/>
  <c r="G63" i="78" s="1"/>
  <c r="C63" i="79" s="1"/>
  <c r="E63" i="79" s="1"/>
  <c r="G63" i="79" s="1"/>
  <c r="C179" i="78"/>
  <c r="E179" i="78" s="1"/>
  <c r="G179" i="78" s="1"/>
  <c r="C179" i="79" s="1"/>
  <c r="E179" i="79" s="1"/>
  <c r="G179" i="79" s="1"/>
  <c r="C107" i="78"/>
  <c r="E107" i="78" s="1"/>
  <c r="G107" i="78" s="1"/>
  <c r="C107" i="79" s="1"/>
  <c r="E107" i="79" s="1"/>
  <c r="G107" i="79" s="1"/>
  <c r="E102" i="78"/>
  <c r="G102" i="78" s="1"/>
  <c r="C102" i="79" s="1"/>
  <c r="E102" i="79" s="1"/>
  <c r="G102" i="79" s="1"/>
  <c r="C102" i="78"/>
  <c r="C19" i="78"/>
  <c r="E19" i="78" s="1"/>
  <c r="G19" i="78" s="1"/>
  <c r="C105" i="78"/>
  <c r="E105" i="78" s="1"/>
  <c r="G105" i="78" s="1"/>
  <c r="C105" i="79" s="1"/>
  <c r="E105" i="79" s="1"/>
  <c r="G105" i="79" s="1"/>
  <c r="C188" i="78"/>
  <c r="E188" i="78" s="1"/>
  <c r="G188" i="78" s="1"/>
  <c r="C188" i="79" s="1"/>
  <c r="E188" i="79" s="1"/>
  <c r="G188" i="79" s="1"/>
  <c r="C180" i="78"/>
  <c r="E180" i="78" s="1"/>
  <c r="G180" i="78" s="1"/>
  <c r="C180" i="79" s="1"/>
  <c r="E180" i="79" s="1"/>
  <c r="G180" i="79" s="1"/>
  <c r="C30" i="78"/>
  <c r="E30" i="78" s="1"/>
  <c r="G30" i="78" s="1"/>
  <c r="C98" i="78"/>
  <c r="E98" i="78" s="1"/>
  <c r="G98" i="78" s="1"/>
  <c r="C98" i="79" s="1"/>
  <c r="E98" i="79" s="1"/>
  <c r="G98" i="79" s="1"/>
  <c r="C230" i="78"/>
  <c r="E230" i="78" s="1"/>
  <c r="G230" i="78" s="1"/>
  <c r="C230" i="79" s="1"/>
  <c r="E230" i="79" s="1"/>
  <c r="G230" i="79" s="1"/>
  <c r="C193" i="78"/>
  <c r="E193" i="78" s="1"/>
  <c r="G193" i="78" s="1"/>
  <c r="C193" i="79" s="1"/>
  <c r="E193" i="79" s="1"/>
  <c r="G193" i="79" s="1"/>
  <c r="C46" i="78"/>
  <c r="E46" i="78" s="1"/>
  <c r="G46" i="78" s="1"/>
  <c r="C46" i="79" s="1"/>
  <c r="E46" i="79" s="1"/>
  <c r="G46" i="79" s="1"/>
  <c r="C100" i="78"/>
  <c r="E100" i="78" s="1"/>
  <c r="G100" i="78" s="1"/>
  <c r="C100" i="79" s="1"/>
  <c r="E100" i="79" s="1"/>
  <c r="G100" i="79" s="1"/>
  <c r="C64" i="78"/>
  <c r="E64" i="78" s="1"/>
  <c r="G64" i="78" s="1"/>
  <c r="C64" i="79" s="1"/>
  <c r="E64" i="79" s="1"/>
  <c r="G64" i="79" s="1"/>
  <c r="C183" i="78"/>
  <c r="E183" i="78" s="1"/>
  <c r="G183" i="78" s="1"/>
  <c r="C183" i="79" s="1"/>
  <c r="E183" i="79" s="1"/>
  <c r="G183" i="79" s="1"/>
  <c r="C153" i="78"/>
  <c r="E153" i="78" s="1"/>
  <c r="G153" i="78" s="1"/>
  <c r="C153" i="79" s="1"/>
  <c r="C254" i="78"/>
  <c r="E254" i="78" s="1"/>
  <c r="G254" i="78" s="1"/>
  <c r="C254" i="79" s="1"/>
  <c r="E254" i="79" s="1"/>
  <c r="G254" i="79" s="1"/>
  <c r="C119" i="78"/>
  <c r="E119" i="78" s="1"/>
  <c r="G119" i="78" s="1"/>
  <c r="C119" i="79" s="1"/>
  <c r="E119" i="79" s="1"/>
  <c r="G119" i="79" s="1"/>
  <c r="C151" i="78"/>
  <c r="E151" i="78" s="1"/>
  <c r="G151" i="78" s="1"/>
  <c r="C151" i="79" s="1"/>
  <c r="E151" i="79" s="1"/>
  <c r="G151" i="79" s="1"/>
  <c r="C90" i="78"/>
  <c r="E90" i="78" s="1"/>
  <c r="G90" i="78" s="1"/>
  <c r="C90" i="79" s="1"/>
  <c r="E90" i="79" s="1"/>
  <c r="G90" i="79" s="1"/>
  <c r="C115" i="78"/>
  <c r="E115" i="78" s="1"/>
  <c r="G115" i="78" s="1"/>
  <c r="C115" i="79" s="1"/>
  <c r="E115" i="79" s="1"/>
  <c r="G115" i="79" s="1"/>
  <c r="C103" i="78"/>
  <c r="E103" i="78" s="1"/>
  <c r="G103" i="78" s="1"/>
  <c r="C103" i="79" s="1"/>
  <c r="E103" i="79" s="1"/>
  <c r="G103" i="79" s="1"/>
  <c r="C65" i="78"/>
  <c r="E65" i="78" s="1"/>
  <c r="G65" i="78" s="1"/>
  <c r="C65" i="79" s="1"/>
  <c r="E65" i="79" s="1"/>
  <c r="G65" i="79" s="1"/>
  <c r="C178" i="78"/>
  <c r="E178" i="78" s="1"/>
  <c r="G178" i="78" s="1"/>
  <c r="C178" i="79" s="1"/>
  <c r="E178" i="79" s="1"/>
  <c r="G178" i="79" s="1"/>
  <c r="E22" i="78"/>
  <c r="G22" i="78" s="1"/>
  <c r="C22" i="79" s="1"/>
  <c r="E22" i="79" s="1"/>
  <c r="G22" i="79" s="1"/>
  <c r="C22" i="78"/>
  <c r="C44" i="78"/>
  <c r="E44" i="78" s="1"/>
  <c r="G44" i="78" s="1"/>
  <c r="C44" i="79" s="1"/>
  <c r="E44" i="79" s="1"/>
  <c r="G44" i="79" s="1"/>
  <c r="C104" i="78"/>
  <c r="E104" i="78" s="1"/>
  <c r="G104" i="78" s="1"/>
  <c r="C104" i="79" s="1"/>
  <c r="E104" i="79" s="1"/>
  <c r="G104" i="79" s="1"/>
  <c r="C187" i="78"/>
  <c r="E187" i="78" s="1"/>
  <c r="G187" i="78" s="1"/>
  <c r="C187" i="79" s="1"/>
  <c r="E187" i="79" s="1"/>
  <c r="G187" i="79" s="1"/>
  <c r="E155" i="78"/>
  <c r="G155" i="78" s="1"/>
  <c r="C155" i="79" s="1"/>
  <c r="E155" i="79" s="1"/>
  <c r="G155" i="79" s="1"/>
  <c r="C155" i="78"/>
  <c r="C118" i="78"/>
  <c r="E118" i="78" s="1"/>
  <c r="G118" i="78" s="1"/>
  <c r="C118" i="79" s="1"/>
  <c r="E118" i="79" s="1"/>
  <c r="G118" i="79" s="1"/>
  <c r="C130" i="78"/>
  <c r="E130" i="78" s="1"/>
  <c r="G130" i="78" s="1"/>
  <c r="C130" i="79" s="1"/>
  <c r="E130" i="79" s="1"/>
  <c r="G130" i="79" s="1"/>
  <c r="C68" i="78"/>
  <c r="E68" i="78" s="1"/>
  <c r="G68" i="78" s="1"/>
  <c r="E93" i="78"/>
  <c r="G93" i="78" s="1"/>
  <c r="C93" i="79" s="1"/>
  <c r="E93" i="79" s="1"/>
  <c r="G93" i="79" s="1"/>
  <c r="C93" i="78"/>
  <c r="C88" i="78"/>
  <c r="E88" i="78" s="1"/>
  <c r="G88" i="78" s="1"/>
  <c r="C88" i="79" s="1"/>
  <c r="E88" i="79" s="1"/>
  <c r="G88" i="79" s="1"/>
  <c r="C192" i="78"/>
  <c r="E192" i="78" s="1"/>
  <c r="G192" i="78" s="1"/>
  <c r="C192" i="79" s="1"/>
  <c r="E192" i="79" s="1"/>
  <c r="G192" i="79" s="1"/>
  <c r="C25" i="78"/>
  <c r="E25" i="78" s="1"/>
  <c r="G25" i="78" s="1"/>
  <c r="C20" i="78"/>
  <c r="E20" i="78" s="1"/>
  <c r="G20" i="78" s="1"/>
  <c r="C20" i="79" s="1"/>
  <c r="E20" i="79" s="1"/>
  <c r="G20" i="79" s="1"/>
  <c r="E218" i="78"/>
  <c r="G218" i="78" s="1"/>
  <c r="C218" i="79" s="1"/>
  <c r="E218" i="79" s="1"/>
  <c r="G218" i="79" s="1"/>
  <c r="C218" i="78"/>
  <c r="E189" i="78"/>
  <c r="G189" i="78" s="1"/>
  <c r="C189" i="78"/>
  <c r="C137" i="78"/>
  <c r="E137" i="78" s="1"/>
  <c r="G137" i="78" s="1"/>
  <c r="C137" i="79" s="1"/>
  <c r="E137" i="79" s="1"/>
  <c r="G137" i="79" s="1"/>
  <c r="C124" i="78"/>
  <c r="E124" i="78" s="1"/>
  <c r="G124" i="78" s="1"/>
  <c r="C124" i="79" s="1"/>
  <c r="E124" i="79" s="1"/>
  <c r="G124" i="79" s="1"/>
  <c r="C53" i="78"/>
  <c r="E53" i="78" s="1"/>
  <c r="G53" i="78" s="1"/>
  <c r="C53" i="79" s="1"/>
  <c r="E53" i="79" s="1"/>
  <c r="G53" i="79" s="1"/>
  <c r="C69" i="78"/>
  <c r="E69" i="78" s="1"/>
  <c r="G69" i="78" s="1"/>
  <c r="C69" i="79" s="1"/>
  <c r="E69" i="79" s="1"/>
  <c r="G69" i="79" s="1"/>
  <c r="C114" i="78"/>
  <c r="E114" i="78" s="1"/>
  <c r="G114" i="78" s="1"/>
  <c r="C114" i="79" s="1"/>
  <c r="E114" i="79" s="1"/>
  <c r="G114" i="79" s="1"/>
  <c r="C224" i="78"/>
  <c r="E224" i="78" s="1"/>
  <c r="G224" i="78" s="1"/>
  <c r="C224" i="79" s="1"/>
  <c r="E224" i="79" s="1"/>
  <c r="G224" i="79" s="1"/>
  <c r="C166" i="78"/>
  <c r="E166" i="78" s="1"/>
  <c r="G166" i="78" s="1"/>
  <c r="C166" i="79" s="1"/>
  <c r="E166" i="79" s="1"/>
  <c r="G166" i="79" s="1"/>
  <c r="C36" i="78"/>
  <c r="E36" i="78" s="1"/>
  <c r="G36" i="78" s="1"/>
  <c r="C36" i="79" s="1"/>
  <c r="E36" i="79" s="1"/>
  <c r="G36" i="79" s="1"/>
  <c r="C210" i="78"/>
  <c r="E210" i="78" s="1"/>
  <c r="G210" i="78" s="1"/>
  <c r="C210" i="79" s="1"/>
  <c r="E210" i="79" s="1"/>
  <c r="G210" i="79" s="1"/>
  <c r="C108" i="79"/>
  <c r="E108" i="79" s="1"/>
  <c r="G108" i="79" s="1"/>
  <c r="C214" i="79"/>
  <c r="E214" i="79" s="1"/>
  <c r="G214" i="79" s="1"/>
  <c r="C217" i="79"/>
  <c r="E217" i="79" s="1"/>
  <c r="G217" i="79" s="1"/>
  <c r="C241" i="79"/>
  <c r="E241" i="79" s="1"/>
  <c r="G241" i="79" s="1"/>
  <c r="C30" i="79"/>
  <c r="E30" i="79" s="1"/>
  <c r="G30" i="79" s="1"/>
  <c r="E29" i="79"/>
  <c r="G29" i="79" s="1"/>
  <c r="C144" i="79"/>
  <c r="E144" i="79" s="1"/>
  <c r="G144" i="79" s="1"/>
  <c r="E131" i="79"/>
  <c r="G131" i="79" s="1"/>
  <c r="C175" i="79"/>
  <c r="E175" i="79" s="1"/>
  <c r="G175" i="79" s="1"/>
  <c r="E164" i="79"/>
  <c r="G164" i="79" s="1"/>
  <c r="C196" i="79"/>
  <c r="E196" i="79" s="1"/>
  <c r="G196" i="79" s="1"/>
  <c r="E153" i="79"/>
  <c r="G153" i="79" s="1"/>
  <c r="C54" i="79"/>
  <c r="E54" i="79" s="1"/>
  <c r="G54" i="79" s="1"/>
  <c r="E42" i="79"/>
  <c r="G42" i="79" s="1"/>
  <c r="C253" i="79"/>
  <c r="E253" i="79" s="1"/>
  <c r="G253" i="79" s="1"/>
  <c r="C19" i="79"/>
  <c r="E19" i="79" s="1"/>
  <c r="G19" i="79" s="1"/>
  <c r="C154" i="79"/>
  <c r="E154" i="79" s="1"/>
  <c r="G154" i="79" s="1"/>
  <c r="C68" i="79"/>
  <c r="E68" i="79" s="1"/>
  <c r="G68" i="79" s="1"/>
  <c r="C25" i="79"/>
  <c r="E25" i="79" s="1"/>
  <c r="G25" i="79" s="1"/>
  <c r="C79" i="79"/>
  <c r="E79" i="79" s="1"/>
  <c r="G79" i="79" s="1"/>
  <c r="C189" i="79"/>
  <c r="E189" i="79" s="1"/>
  <c r="G189" i="79" s="1"/>
  <c r="C37" i="79"/>
  <c r="E37" i="79" s="1"/>
  <c r="G37" i="79" s="1"/>
  <c r="G78" i="73"/>
  <c r="C78" i="74" s="1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C67" i="76"/>
  <c r="E67" i="76" s="1"/>
  <c r="G67" i="76" s="1"/>
  <c r="C67" i="77" s="1"/>
  <c r="E67" i="77" s="1"/>
  <c r="G67" i="77" s="1"/>
  <c r="K265" i="70"/>
  <c r="C66" i="76"/>
  <c r="E66" i="76" s="1"/>
  <c r="G66" i="76" s="1"/>
  <c r="C66" i="77" s="1"/>
  <c r="E66" i="77" s="1"/>
  <c r="G66" i="77" s="1"/>
  <c r="G81" i="73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81" i="77" s="1"/>
  <c r="G81" i="77" s="1"/>
  <c r="G77" i="73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E77" i="78" s="1"/>
  <c r="G77" i="78" s="1"/>
  <c r="S14" i="8"/>
  <c r="K266" i="71"/>
  <c r="E18" i="69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E17" i="69"/>
  <c r="G17" i="69" s="1"/>
  <c r="C17" i="72" s="1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E87" i="68"/>
  <c r="G87" i="68" s="1"/>
  <c r="C87" i="69" s="1"/>
  <c r="E89" i="68"/>
  <c r="G89" i="68" s="1"/>
  <c r="C89" i="69" s="1"/>
  <c r="E80" i="68"/>
  <c r="G80" i="68" s="1"/>
  <c r="C80" i="69" s="1"/>
  <c r="E82" i="68"/>
  <c r="G82" i="68" s="1"/>
  <c r="C82" i="69" s="1"/>
  <c r="E83" i="68"/>
  <c r="G83" i="68" s="1"/>
  <c r="C83" i="69" s="1"/>
  <c r="E86" i="68"/>
  <c r="G86" i="68" s="1"/>
  <c r="C86" i="69" s="1"/>
  <c r="K265" i="67"/>
  <c r="T36" i="8" s="1"/>
  <c r="K266" i="67"/>
  <c r="K265" i="66"/>
  <c r="S10" i="8"/>
  <c r="S6" i="8"/>
  <c r="N36" i="8"/>
  <c r="S9" i="8"/>
  <c r="U9" i="8" s="1"/>
  <c r="Q36" i="8"/>
  <c r="R36" i="8"/>
  <c r="O36" i="8"/>
  <c r="S11" i="8"/>
  <c r="P36" i="8"/>
  <c r="S13" i="8"/>
  <c r="C236" i="8"/>
  <c r="C237" i="8"/>
  <c r="E237" i="8" s="1"/>
  <c r="C93" i="80" l="1"/>
  <c r="E93" i="80" s="1"/>
  <c r="G93" i="80" s="1"/>
  <c r="C20" i="80"/>
  <c r="E20" i="80" s="1"/>
  <c r="G20" i="80" s="1"/>
  <c r="C55" i="80"/>
  <c r="E55" i="80" s="1"/>
  <c r="G55" i="80" s="1"/>
  <c r="C106" i="80"/>
  <c r="E106" i="80" s="1"/>
  <c r="G106" i="80" s="1"/>
  <c r="C166" i="80"/>
  <c r="E166" i="80" s="1"/>
  <c r="G166" i="80" s="1"/>
  <c r="C235" i="80"/>
  <c r="E235" i="80" s="1"/>
  <c r="G235" i="80" s="1"/>
  <c r="C48" i="80"/>
  <c r="E48" i="80" s="1"/>
  <c r="G48" i="80" s="1"/>
  <c r="C188" i="80"/>
  <c r="E188" i="80" s="1"/>
  <c r="G188" i="80" s="1"/>
  <c r="C150" i="80"/>
  <c r="E150" i="80" s="1"/>
  <c r="G150" i="80" s="1"/>
  <c r="C179" i="80"/>
  <c r="E179" i="80" s="1"/>
  <c r="G179" i="80" s="1"/>
  <c r="C116" i="80"/>
  <c r="E116" i="80" s="1"/>
  <c r="G116" i="80" s="1"/>
  <c r="C198" i="80"/>
  <c r="E198" i="80" s="1"/>
  <c r="G198" i="80" s="1"/>
  <c r="E169" i="80"/>
  <c r="G169" i="80" s="1"/>
  <c r="C169" i="80"/>
  <c r="C34" i="80"/>
  <c r="E34" i="80" s="1"/>
  <c r="G34" i="80" s="1"/>
  <c r="C125" i="80"/>
  <c r="E125" i="80" s="1"/>
  <c r="G125" i="80" s="1"/>
  <c r="C226" i="80"/>
  <c r="E226" i="80" s="1"/>
  <c r="G226" i="80" s="1"/>
  <c r="C16" i="80"/>
  <c r="E16" i="80" s="1"/>
  <c r="G16" i="80" s="1"/>
  <c r="C33" i="80"/>
  <c r="E33" i="80" s="1"/>
  <c r="G33" i="80" s="1"/>
  <c r="C111" i="80"/>
  <c r="E111" i="80" s="1"/>
  <c r="G111" i="80" s="1"/>
  <c r="C182" i="80"/>
  <c r="E182" i="80" s="1"/>
  <c r="G182" i="80" s="1"/>
  <c r="C253" i="80"/>
  <c r="E253" i="80" s="1"/>
  <c r="G253" i="80" s="1"/>
  <c r="C110" i="80"/>
  <c r="E110" i="80" s="1"/>
  <c r="G110" i="80" s="1"/>
  <c r="C62" i="80"/>
  <c r="E62" i="80" s="1"/>
  <c r="G62" i="80" s="1"/>
  <c r="C107" i="80"/>
  <c r="E107" i="80" s="1"/>
  <c r="G107" i="80" s="1"/>
  <c r="C140" i="80"/>
  <c r="E140" i="80" s="1"/>
  <c r="G140" i="80" s="1"/>
  <c r="C53" i="80"/>
  <c r="E53" i="80" s="1"/>
  <c r="G53" i="80" s="1"/>
  <c r="E117" i="80"/>
  <c r="G117" i="80" s="1"/>
  <c r="C117" i="80"/>
  <c r="C201" i="80"/>
  <c r="E201" i="80" s="1"/>
  <c r="G201" i="80" s="1"/>
  <c r="C137" i="80"/>
  <c r="E137" i="80" s="1"/>
  <c r="G137" i="80" s="1"/>
  <c r="C130" i="80"/>
  <c r="E130" i="80" s="1"/>
  <c r="G130" i="80" s="1"/>
  <c r="C224" i="80"/>
  <c r="E224" i="80" s="1"/>
  <c r="G224" i="80" s="1"/>
  <c r="C118" i="80"/>
  <c r="E118" i="80" s="1"/>
  <c r="G118" i="80" s="1"/>
  <c r="E183" i="80"/>
  <c r="G183" i="80" s="1"/>
  <c r="C183" i="80"/>
  <c r="C63" i="80"/>
  <c r="E63" i="80" s="1"/>
  <c r="G63" i="80" s="1"/>
  <c r="C109" i="80"/>
  <c r="E109" i="80" s="1"/>
  <c r="G109" i="80" s="1"/>
  <c r="C45" i="80"/>
  <c r="E45" i="80" s="1"/>
  <c r="G45" i="80" s="1"/>
  <c r="E129" i="80"/>
  <c r="G129" i="80" s="1"/>
  <c r="C129" i="80"/>
  <c r="C200" i="80"/>
  <c r="E200" i="80" s="1"/>
  <c r="G200" i="80" s="1"/>
  <c r="C40" i="80"/>
  <c r="E40" i="80" s="1"/>
  <c r="G40" i="80" s="1"/>
  <c r="C229" i="80"/>
  <c r="E229" i="80" s="1"/>
  <c r="G229" i="80" s="1"/>
  <c r="C66" i="78"/>
  <c r="E66" i="78" s="1"/>
  <c r="G66" i="78" s="1"/>
  <c r="C66" i="79" s="1"/>
  <c r="E66" i="79" s="1"/>
  <c r="G66" i="79" s="1"/>
  <c r="E58" i="80"/>
  <c r="G58" i="80" s="1"/>
  <c r="C58" i="80"/>
  <c r="E133" i="80"/>
  <c r="G133" i="80" s="1"/>
  <c r="C133" i="80"/>
  <c r="C203" i="80"/>
  <c r="E203" i="80" s="1"/>
  <c r="G203" i="80" s="1"/>
  <c r="C192" i="80"/>
  <c r="E192" i="80" s="1"/>
  <c r="G192" i="80" s="1"/>
  <c r="C64" i="80"/>
  <c r="E64" i="80" s="1"/>
  <c r="G64" i="80" s="1"/>
  <c r="C105" i="80"/>
  <c r="E105" i="80" s="1"/>
  <c r="G105" i="80" s="1"/>
  <c r="C71" i="80"/>
  <c r="E71" i="80" s="1"/>
  <c r="G71" i="80" s="1"/>
  <c r="C75" i="80"/>
  <c r="E75" i="80" s="1"/>
  <c r="G75" i="80" s="1"/>
  <c r="C232" i="80"/>
  <c r="E232" i="80" s="1"/>
  <c r="G232" i="80" s="1"/>
  <c r="E239" i="80"/>
  <c r="G239" i="80" s="1"/>
  <c r="C239" i="80"/>
  <c r="C194" i="80"/>
  <c r="E194" i="80" s="1"/>
  <c r="G194" i="80" s="1"/>
  <c r="C246" i="80"/>
  <c r="E246" i="80" s="1"/>
  <c r="G246" i="80" s="1"/>
  <c r="C49" i="80"/>
  <c r="E49" i="80" s="1"/>
  <c r="G49" i="80" s="1"/>
  <c r="C134" i="80"/>
  <c r="E134" i="80" s="1"/>
  <c r="G134" i="80" s="1"/>
  <c r="C199" i="80"/>
  <c r="E199" i="80" s="1"/>
  <c r="G199" i="80" s="1"/>
  <c r="E191" i="80"/>
  <c r="G191" i="80" s="1"/>
  <c r="C191" i="80"/>
  <c r="C114" i="80"/>
  <c r="E114" i="80" s="1"/>
  <c r="G114" i="80" s="1"/>
  <c r="C26" i="80"/>
  <c r="E26" i="80" s="1"/>
  <c r="G26" i="80" s="1"/>
  <c r="C190" i="80"/>
  <c r="E190" i="80" s="1"/>
  <c r="G190" i="80" s="1"/>
  <c r="C154" i="80"/>
  <c r="E154" i="80" s="1"/>
  <c r="G154" i="80" s="1"/>
  <c r="C103" i="80"/>
  <c r="E103" i="80" s="1"/>
  <c r="G103" i="80" s="1"/>
  <c r="C84" i="80"/>
  <c r="E84" i="80" s="1"/>
  <c r="G84" i="80" s="1"/>
  <c r="C219" i="80"/>
  <c r="E219" i="80" s="1"/>
  <c r="G219" i="80" s="1"/>
  <c r="C175" i="80"/>
  <c r="E175" i="80" s="1"/>
  <c r="G175" i="80" s="1"/>
  <c r="C254" i="80"/>
  <c r="E254" i="80" s="1"/>
  <c r="G254" i="80" s="1"/>
  <c r="C88" i="80"/>
  <c r="E88" i="80" s="1"/>
  <c r="G88" i="80" s="1"/>
  <c r="C155" i="80"/>
  <c r="E155" i="80" s="1"/>
  <c r="G155" i="80" s="1"/>
  <c r="C151" i="80"/>
  <c r="E151" i="80" s="1"/>
  <c r="G151" i="80" s="1"/>
  <c r="C205" i="80"/>
  <c r="E205" i="80" s="1"/>
  <c r="G205" i="80" s="1"/>
  <c r="C147" i="80"/>
  <c r="E147" i="80" s="1"/>
  <c r="G147" i="80" s="1"/>
  <c r="C186" i="80"/>
  <c r="E186" i="80" s="1"/>
  <c r="G186" i="80" s="1"/>
  <c r="C228" i="80"/>
  <c r="E228" i="80" s="1"/>
  <c r="G228" i="80" s="1"/>
  <c r="C160" i="80"/>
  <c r="E160" i="80" s="1"/>
  <c r="G160" i="80" s="1"/>
  <c r="C168" i="80"/>
  <c r="E168" i="80" s="1"/>
  <c r="G168" i="80" s="1"/>
  <c r="C231" i="80"/>
  <c r="E231" i="80" s="1"/>
  <c r="G231" i="80" s="1"/>
  <c r="C136" i="80"/>
  <c r="E136" i="80" s="1"/>
  <c r="G136" i="80" s="1"/>
  <c r="C123" i="80"/>
  <c r="E123" i="80" s="1"/>
  <c r="G123" i="80" s="1"/>
  <c r="C60" i="80"/>
  <c r="E60" i="80" s="1"/>
  <c r="G60" i="80" s="1"/>
  <c r="C244" i="80"/>
  <c r="E244" i="80" s="1"/>
  <c r="G244" i="80" s="1"/>
  <c r="C211" i="80"/>
  <c r="E211" i="80" s="1"/>
  <c r="G211" i="80" s="1"/>
  <c r="C44" i="80"/>
  <c r="E44" i="80" s="1"/>
  <c r="G44" i="80" s="1"/>
  <c r="C135" i="80"/>
  <c r="E135" i="80" s="1"/>
  <c r="G135" i="80" s="1"/>
  <c r="C178" i="80"/>
  <c r="E178" i="80" s="1"/>
  <c r="G178" i="80" s="1"/>
  <c r="E23" i="80"/>
  <c r="G23" i="80" s="1"/>
  <c r="C23" i="80"/>
  <c r="C187" i="80"/>
  <c r="E187" i="80" s="1"/>
  <c r="G187" i="80" s="1"/>
  <c r="C65" i="80"/>
  <c r="E65" i="80" s="1"/>
  <c r="G65" i="80" s="1"/>
  <c r="C119" i="80"/>
  <c r="E119" i="80" s="1"/>
  <c r="G119" i="80" s="1"/>
  <c r="C240" i="80"/>
  <c r="E240" i="80" s="1"/>
  <c r="G240" i="80" s="1"/>
  <c r="C41" i="80"/>
  <c r="E41" i="80" s="1"/>
  <c r="G41" i="80" s="1"/>
  <c r="C157" i="80"/>
  <c r="E157" i="80" s="1"/>
  <c r="G157" i="80" s="1"/>
  <c r="C163" i="80"/>
  <c r="E163" i="80" s="1"/>
  <c r="G163" i="80" s="1"/>
  <c r="C70" i="80"/>
  <c r="E70" i="80" s="1"/>
  <c r="G70" i="80" s="1"/>
  <c r="E143" i="80"/>
  <c r="G143" i="80" s="1"/>
  <c r="C143" i="80"/>
  <c r="C76" i="80"/>
  <c r="E76" i="80" s="1"/>
  <c r="G76" i="80" s="1"/>
  <c r="C78" i="78"/>
  <c r="E78" i="78" s="1"/>
  <c r="G78" i="78" s="1"/>
  <c r="C78" i="79" s="1"/>
  <c r="E78" i="79" s="1"/>
  <c r="G78" i="79" s="1"/>
  <c r="E104" i="80"/>
  <c r="G104" i="80" s="1"/>
  <c r="C104" i="80"/>
  <c r="E24" i="80"/>
  <c r="G24" i="80" s="1"/>
  <c r="C24" i="80"/>
  <c r="C29" i="80"/>
  <c r="E29" i="80" s="1"/>
  <c r="G29" i="80" s="1"/>
  <c r="C156" i="80"/>
  <c r="E156" i="80" s="1"/>
  <c r="G156" i="80" s="1"/>
  <c r="C242" i="80"/>
  <c r="E242" i="80" s="1"/>
  <c r="G242" i="80" s="1"/>
  <c r="C72" i="80"/>
  <c r="E72" i="80" s="1"/>
  <c r="G72" i="80" s="1"/>
  <c r="C164" i="80"/>
  <c r="E164" i="80" s="1"/>
  <c r="G164" i="80" s="1"/>
  <c r="C248" i="80"/>
  <c r="E248" i="80" s="1"/>
  <c r="G248" i="80" s="1"/>
  <c r="C204" i="80"/>
  <c r="E204" i="80" s="1"/>
  <c r="G204" i="80" s="1"/>
  <c r="E173" i="80"/>
  <c r="G173" i="80" s="1"/>
  <c r="C173" i="80"/>
  <c r="C81" i="78"/>
  <c r="E81" i="78" s="1"/>
  <c r="G81" i="78" s="1"/>
  <c r="C81" i="79" s="1"/>
  <c r="E81" i="79" s="1"/>
  <c r="G81" i="79" s="1"/>
  <c r="C22" i="80"/>
  <c r="E22" i="80" s="1"/>
  <c r="G22" i="80" s="1"/>
  <c r="C124" i="80"/>
  <c r="E124" i="80" s="1"/>
  <c r="G124" i="80" s="1"/>
  <c r="C25" i="80"/>
  <c r="E25" i="80" s="1"/>
  <c r="G25" i="80" s="1"/>
  <c r="C50" i="80"/>
  <c r="E50" i="80" s="1"/>
  <c r="G50" i="80" s="1"/>
  <c r="C138" i="80"/>
  <c r="E138" i="80" s="1"/>
  <c r="G138" i="80" s="1"/>
  <c r="C127" i="80"/>
  <c r="E127" i="80" s="1"/>
  <c r="G127" i="80" s="1"/>
  <c r="C51" i="80"/>
  <c r="E51" i="80" s="1"/>
  <c r="G51" i="80" s="1"/>
  <c r="E202" i="80"/>
  <c r="G202" i="80" s="1"/>
  <c r="C202" i="80"/>
  <c r="C216" i="80"/>
  <c r="E216" i="80" s="1"/>
  <c r="G216" i="80" s="1"/>
  <c r="E97" i="80"/>
  <c r="G97" i="80" s="1"/>
  <c r="C97" i="80"/>
  <c r="C195" i="80"/>
  <c r="E195" i="80" s="1"/>
  <c r="G195" i="80" s="1"/>
  <c r="E31" i="80"/>
  <c r="G31" i="80" s="1"/>
  <c r="C31" i="80"/>
  <c r="C172" i="80"/>
  <c r="E172" i="80" s="1"/>
  <c r="G172" i="80" s="1"/>
  <c r="C85" i="80"/>
  <c r="E85" i="80" s="1"/>
  <c r="G85" i="80" s="1"/>
  <c r="E207" i="80"/>
  <c r="G207" i="80" s="1"/>
  <c r="C207" i="80"/>
  <c r="C180" i="80"/>
  <c r="E180" i="80" s="1"/>
  <c r="G180" i="80" s="1"/>
  <c r="C42" i="80"/>
  <c r="E42" i="80" s="1"/>
  <c r="G42" i="80" s="1"/>
  <c r="C212" i="80"/>
  <c r="E212" i="80" s="1"/>
  <c r="G212" i="80" s="1"/>
  <c r="E230" i="80"/>
  <c r="G230" i="80" s="1"/>
  <c r="C230" i="80"/>
  <c r="C15" i="80"/>
  <c r="E15" i="80" s="1"/>
  <c r="G15" i="80" s="1"/>
  <c r="C28" i="80"/>
  <c r="E28" i="80" s="1"/>
  <c r="G28" i="80" s="1"/>
  <c r="C38" i="80"/>
  <c r="E38" i="80" s="1"/>
  <c r="G38" i="80" s="1"/>
  <c r="E100" i="80"/>
  <c r="G100" i="80" s="1"/>
  <c r="C100" i="80"/>
  <c r="E197" i="80"/>
  <c r="G197" i="80" s="1"/>
  <c r="C197" i="80"/>
  <c r="C74" i="80"/>
  <c r="E74" i="80" s="1"/>
  <c r="G74" i="80" s="1"/>
  <c r="E112" i="80"/>
  <c r="G112" i="80" s="1"/>
  <c r="C112" i="80"/>
  <c r="C236" i="80"/>
  <c r="E236" i="80" s="1"/>
  <c r="G236" i="80" s="1"/>
  <c r="E148" i="80"/>
  <c r="G148" i="80" s="1"/>
  <c r="C148" i="80"/>
  <c r="C94" i="80"/>
  <c r="E94" i="80" s="1"/>
  <c r="G94" i="80" s="1"/>
  <c r="C101" i="80"/>
  <c r="E101" i="80" s="1"/>
  <c r="G101" i="80" s="1"/>
  <c r="E27" i="80"/>
  <c r="G27" i="80" s="1"/>
  <c r="C27" i="80"/>
  <c r="C210" i="80"/>
  <c r="E210" i="80" s="1"/>
  <c r="G210" i="80" s="1"/>
  <c r="C247" i="80"/>
  <c r="E247" i="80" s="1"/>
  <c r="G247" i="80" s="1"/>
  <c r="C222" i="80"/>
  <c r="E222" i="80" s="1"/>
  <c r="G222" i="80" s="1"/>
  <c r="E92" i="80"/>
  <c r="G92" i="80" s="1"/>
  <c r="C92" i="80"/>
  <c r="C47" i="80"/>
  <c r="E47" i="80" s="1"/>
  <c r="G47" i="80" s="1"/>
  <c r="C139" i="80"/>
  <c r="E139" i="80" s="1"/>
  <c r="G139" i="80" s="1"/>
  <c r="C30" i="80"/>
  <c r="E30" i="80" s="1"/>
  <c r="G30" i="80" s="1"/>
  <c r="C181" i="80"/>
  <c r="E181" i="80" s="1"/>
  <c r="G181" i="80" s="1"/>
  <c r="C176" i="80"/>
  <c r="E176" i="80" s="1"/>
  <c r="G176" i="80" s="1"/>
  <c r="C223" i="80"/>
  <c r="E223" i="80" s="1"/>
  <c r="G223" i="80" s="1"/>
  <c r="E146" i="80"/>
  <c r="G146" i="80" s="1"/>
  <c r="C146" i="80"/>
  <c r="C91" i="80"/>
  <c r="E91" i="80" s="1"/>
  <c r="G91" i="80" s="1"/>
  <c r="C145" i="80"/>
  <c r="E145" i="80" s="1"/>
  <c r="G145" i="80" s="1"/>
  <c r="C142" i="80"/>
  <c r="E142" i="80" s="1"/>
  <c r="G142" i="80" s="1"/>
  <c r="E196" i="80"/>
  <c r="G196" i="80" s="1"/>
  <c r="C196" i="80"/>
  <c r="E73" i="80"/>
  <c r="G73" i="80" s="1"/>
  <c r="C73" i="80"/>
  <c r="C241" i="80"/>
  <c r="E241" i="80" s="1"/>
  <c r="G241" i="80" s="1"/>
  <c r="C217" i="80"/>
  <c r="E217" i="80" s="1"/>
  <c r="G217" i="80" s="1"/>
  <c r="C108" i="80"/>
  <c r="E108" i="80" s="1"/>
  <c r="G108" i="80" s="1"/>
  <c r="C120" i="80"/>
  <c r="E120" i="80" s="1"/>
  <c r="G120" i="80" s="1"/>
  <c r="C128" i="80"/>
  <c r="E128" i="80" s="1"/>
  <c r="G128" i="80" s="1"/>
  <c r="C170" i="80"/>
  <c r="E170" i="80" s="1"/>
  <c r="G170" i="80" s="1"/>
  <c r="E185" i="80"/>
  <c r="G185" i="80" s="1"/>
  <c r="C185" i="80"/>
  <c r="C167" i="80"/>
  <c r="E167" i="80" s="1"/>
  <c r="G167" i="80" s="1"/>
  <c r="E221" i="80"/>
  <c r="G221" i="80" s="1"/>
  <c r="C221" i="80"/>
  <c r="C174" i="80"/>
  <c r="E174" i="80" s="1"/>
  <c r="G174" i="80" s="1"/>
  <c r="C132" i="80"/>
  <c r="E132" i="80" s="1"/>
  <c r="G132" i="80" s="1"/>
  <c r="C113" i="80"/>
  <c r="E113" i="80" s="1"/>
  <c r="G113" i="80" s="1"/>
  <c r="C46" i="80"/>
  <c r="E46" i="80" s="1"/>
  <c r="G46" i="80" s="1"/>
  <c r="C153" i="80"/>
  <c r="E153" i="80" s="1"/>
  <c r="G153" i="80" s="1"/>
  <c r="C245" i="80"/>
  <c r="E245" i="80" s="1"/>
  <c r="G245" i="80" s="1"/>
  <c r="C39" i="80"/>
  <c r="E39" i="80" s="1"/>
  <c r="G39" i="80" s="1"/>
  <c r="C99" i="80"/>
  <c r="E99" i="80" s="1"/>
  <c r="G99" i="80" s="1"/>
  <c r="C98" i="80"/>
  <c r="E98" i="80" s="1"/>
  <c r="G98" i="80" s="1"/>
  <c r="C177" i="80"/>
  <c r="E177" i="80" s="1"/>
  <c r="G177" i="80" s="1"/>
  <c r="C56" i="80"/>
  <c r="E56" i="80" s="1"/>
  <c r="G56" i="80" s="1"/>
  <c r="C17" i="78"/>
  <c r="E17" i="78" s="1"/>
  <c r="G17" i="78" s="1"/>
  <c r="C17" i="79" s="1"/>
  <c r="E17" i="79" s="1"/>
  <c r="G17" i="79" s="1"/>
  <c r="C37" i="80"/>
  <c r="E37" i="80" s="1"/>
  <c r="G37" i="80" s="1"/>
  <c r="C61" i="80"/>
  <c r="E61" i="80" s="1"/>
  <c r="G61" i="80" s="1"/>
  <c r="C189" i="80"/>
  <c r="E189" i="80" s="1"/>
  <c r="G189" i="80" s="1"/>
  <c r="C19" i="80"/>
  <c r="E19" i="80" s="1"/>
  <c r="G19" i="80" s="1"/>
  <c r="C208" i="80"/>
  <c r="E208" i="80" s="1"/>
  <c r="G208" i="80" s="1"/>
  <c r="C233" i="80"/>
  <c r="E233" i="80" s="1"/>
  <c r="G233" i="80" s="1"/>
  <c r="C251" i="80"/>
  <c r="E251" i="80" s="1"/>
  <c r="G251" i="80" s="1"/>
  <c r="C131" i="80"/>
  <c r="E131" i="80" s="1"/>
  <c r="G131" i="80" s="1"/>
  <c r="C122" i="80"/>
  <c r="E122" i="80" s="1"/>
  <c r="G122" i="80" s="1"/>
  <c r="C141" i="80"/>
  <c r="E141" i="80" s="1"/>
  <c r="G141" i="80" s="1"/>
  <c r="C220" i="80"/>
  <c r="E220" i="80" s="1"/>
  <c r="G220" i="80" s="1"/>
  <c r="C234" i="80"/>
  <c r="E234" i="80" s="1"/>
  <c r="G234" i="80" s="1"/>
  <c r="C21" i="80"/>
  <c r="E21" i="80" s="1"/>
  <c r="G21" i="80" s="1"/>
  <c r="C68" i="80"/>
  <c r="E68" i="80" s="1"/>
  <c r="G68" i="80" s="1"/>
  <c r="C152" i="80"/>
  <c r="E152" i="80" s="1"/>
  <c r="G152" i="80" s="1"/>
  <c r="C193" i="80"/>
  <c r="E193" i="80" s="1"/>
  <c r="G193" i="80" s="1"/>
  <c r="C161" i="80"/>
  <c r="E161" i="80" s="1"/>
  <c r="G161" i="80" s="1"/>
  <c r="C206" i="80"/>
  <c r="E206" i="80" s="1"/>
  <c r="G206" i="80" s="1"/>
  <c r="C36" i="80"/>
  <c r="E36" i="80" s="1"/>
  <c r="G36" i="80" s="1"/>
  <c r="C126" i="80"/>
  <c r="E126" i="80" s="1"/>
  <c r="G126" i="80" s="1"/>
  <c r="C121" i="80"/>
  <c r="E121" i="80" s="1"/>
  <c r="G121" i="80" s="1"/>
  <c r="E90" i="80"/>
  <c r="G90" i="80" s="1"/>
  <c r="C90" i="80"/>
  <c r="C162" i="80"/>
  <c r="E162" i="80" s="1"/>
  <c r="G162" i="80" s="1"/>
  <c r="C18" i="78"/>
  <c r="E18" i="78" s="1"/>
  <c r="G18" i="78" s="1"/>
  <c r="C18" i="79" s="1"/>
  <c r="E18" i="79" s="1"/>
  <c r="G18" i="79" s="1"/>
  <c r="C67" i="78"/>
  <c r="E67" i="78" s="1"/>
  <c r="G67" i="78" s="1"/>
  <c r="C67" i="79" s="1"/>
  <c r="E67" i="79" s="1"/>
  <c r="G67" i="79" s="1"/>
  <c r="C79" i="80"/>
  <c r="E79" i="80" s="1"/>
  <c r="G79" i="80" s="1"/>
  <c r="C102" i="80"/>
  <c r="E102" i="80" s="1"/>
  <c r="G102" i="80" s="1"/>
  <c r="E35" i="80"/>
  <c r="G35" i="80" s="1"/>
  <c r="C35" i="80"/>
  <c r="C213" i="80"/>
  <c r="E213" i="80" s="1"/>
  <c r="G213" i="80" s="1"/>
  <c r="C250" i="80"/>
  <c r="E250" i="80" s="1"/>
  <c r="G250" i="80" s="1"/>
  <c r="C59" i="80"/>
  <c r="E59" i="80" s="1"/>
  <c r="G59" i="80" s="1"/>
  <c r="C165" i="80"/>
  <c r="E165" i="80" s="1"/>
  <c r="G165" i="80" s="1"/>
  <c r="C237" i="80"/>
  <c r="E237" i="80" s="1"/>
  <c r="G237" i="80" s="1"/>
  <c r="C158" i="80"/>
  <c r="E158" i="80" s="1"/>
  <c r="G158" i="80" s="1"/>
  <c r="C57" i="80"/>
  <c r="E57" i="80" s="1"/>
  <c r="G57" i="80" s="1"/>
  <c r="C209" i="80"/>
  <c r="E209" i="80" s="1"/>
  <c r="G209" i="80" s="1"/>
  <c r="C184" i="80"/>
  <c r="E184" i="80" s="1"/>
  <c r="G184" i="80" s="1"/>
  <c r="C43" i="80"/>
  <c r="E43" i="80" s="1"/>
  <c r="G43" i="80" s="1"/>
  <c r="C69" i="80"/>
  <c r="E69" i="80" s="1"/>
  <c r="G69" i="80" s="1"/>
  <c r="E218" i="80"/>
  <c r="G218" i="80" s="1"/>
  <c r="C218" i="80"/>
  <c r="C115" i="80"/>
  <c r="E115" i="80" s="1"/>
  <c r="G115" i="80" s="1"/>
  <c r="C249" i="80"/>
  <c r="E249" i="80" s="1"/>
  <c r="G249" i="80" s="1"/>
  <c r="C238" i="80"/>
  <c r="E238" i="80" s="1"/>
  <c r="G238" i="80" s="1"/>
  <c r="C54" i="80"/>
  <c r="E54" i="80" s="1"/>
  <c r="G54" i="80" s="1"/>
  <c r="C52" i="80"/>
  <c r="E52" i="80" s="1"/>
  <c r="G52" i="80" s="1"/>
  <c r="C225" i="80"/>
  <c r="E225" i="80" s="1"/>
  <c r="G225" i="80" s="1"/>
  <c r="C171" i="80"/>
  <c r="E171" i="80" s="1"/>
  <c r="G171" i="80" s="1"/>
  <c r="C144" i="80"/>
  <c r="E144" i="80" s="1"/>
  <c r="G144" i="80" s="1"/>
  <c r="C252" i="80"/>
  <c r="E252" i="80" s="1"/>
  <c r="G252" i="80" s="1"/>
  <c r="E214" i="80"/>
  <c r="G214" i="80" s="1"/>
  <c r="C214" i="80"/>
  <c r="E149" i="80"/>
  <c r="G149" i="80" s="1"/>
  <c r="C149" i="80"/>
  <c r="C96" i="80"/>
  <c r="E96" i="80" s="1"/>
  <c r="G96" i="80" s="1"/>
  <c r="C159" i="80"/>
  <c r="E159" i="80" s="1"/>
  <c r="G159" i="80" s="1"/>
  <c r="C243" i="80"/>
  <c r="E243" i="80" s="1"/>
  <c r="G243" i="80" s="1"/>
  <c r="C227" i="80"/>
  <c r="E227" i="80" s="1"/>
  <c r="G227" i="80" s="1"/>
  <c r="C215" i="80"/>
  <c r="E215" i="80" s="1"/>
  <c r="G215" i="80" s="1"/>
  <c r="C95" i="80"/>
  <c r="E95" i="80" s="1"/>
  <c r="G95" i="80" s="1"/>
  <c r="C32" i="80"/>
  <c r="E32" i="80" s="1"/>
  <c r="G32" i="80" s="1"/>
  <c r="C77" i="79"/>
  <c r="E77" i="79" s="1"/>
  <c r="G77" i="79" s="1"/>
  <c r="E86" i="69"/>
  <c r="G86" i="69" s="1"/>
  <c r="C86" i="72" s="1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E82" i="69"/>
  <c r="G82" i="69" s="1"/>
  <c r="C82" i="72" s="1"/>
  <c r="E82" i="72" s="1"/>
  <c r="G82" i="72" s="1"/>
  <c r="C82" i="73" s="1"/>
  <c r="E82" i="73" s="1"/>
  <c r="G82" i="73" s="1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E89" i="69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E83" i="69"/>
  <c r="G83" i="69" s="1"/>
  <c r="C83" i="72" s="1"/>
  <c r="E83" i="72" s="1"/>
  <c r="G83" i="72" s="1"/>
  <c r="C83" i="73" s="1"/>
  <c r="E83" i="73" s="1"/>
  <c r="G83" i="73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E87" i="69"/>
  <c r="G87" i="69" s="1"/>
  <c r="C87" i="72" s="1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E80" i="69"/>
  <c r="G80" i="69" s="1"/>
  <c r="C80" i="72" s="1"/>
  <c r="E80" i="72" s="1"/>
  <c r="G80" i="72" s="1"/>
  <c r="C80" i="73" s="1"/>
  <c r="E80" i="73" s="1"/>
  <c r="S36" i="8"/>
  <c r="E236" i="8"/>
  <c r="G237" i="8"/>
  <c r="G236" i="8"/>
  <c r="K262" i="33"/>
  <c r="K259" i="33"/>
  <c r="X14" i="33"/>
  <c r="S14" i="33"/>
  <c r="U14" i="33" s="1"/>
  <c r="J14" i="33"/>
  <c r="M14" i="33" s="1"/>
  <c r="E14" i="33"/>
  <c r="G14" i="33" s="1"/>
  <c r="C14" i="66" s="1"/>
  <c r="E14" i="66" s="1"/>
  <c r="G14" i="66" s="1"/>
  <c r="C14" i="67" s="1"/>
  <c r="E14" i="67" s="1"/>
  <c r="G14" i="67" s="1"/>
  <c r="X13" i="33"/>
  <c r="S13" i="33"/>
  <c r="U13" i="33" s="1"/>
  <c r="J13" i="33"/>
  <c r="M13" i="33" s="1"/>
  <c r="E13" i="33"/>
  <c r="G13" i="33" s="1"/>
  <c r="C13" i="66" s="1"/>
  <c r="E13" i="66" s="1"/>
  <c r="G13" i="66" s="1"/>
  <c r="C13" i="67" s="1"/>
  <c r="E13" i="67" s="1"/>
  <c r="G13" i="67" s="1"/>
  <c r="X12" i="33"/>
  <c r="S12" i="33"/>
  <c r="U12" i="33" s="1"/>
  <c r="J12" i="33"/>
  <c r="M12" i="33" s="1"/>
  <c r="E12" i="33"/>
  <c r="G12" i="33" s="1"/>
  <c r="C12" i="66" s="1"/>
  <c r="E12" i="66" s="1"/>
  <c r="G12" i="66" s="1"/>
  <c r="C12" i="67" s="1"/>
  <c r="E12" i="67" s="1"/>
  <c r="G12" i="67" s="1"/>
  <c r="X11" i="33"/>
  <c r="S11" i="33"/>
  <c r="U11" i="33" s="1"/>
  <c r="J11" i="33"/>
  <c r="M11" i="33" s="1"/>
  <c r="E11" i="33"/>
  <c r="G11" i="33" s="1"/>
  <c r="C11" i="66" s="1"/>
  <c r="E11" i="66" s="1"/>
  <c r="G11" i="66" s="1"/>
  <c r="C11" i="67" s="1"/>
  <c r="E11" i="67" s="1"/>
  <c r="G11" i="67" s="1"/>
  <c r="X10" i="33"/>
  <c r="S10" i="33"/>
  <c r="U10" i="33" s="1"/>
  <c r="J10" i="33"/>
  <c r="M10" i="33" s="1"/>
  <c r="E10" i="33"/>
  <c r="G10" i="33" s="1"/>
  <c r="C10" i="66" s="1"/>
  <c r="E10" i="66" s="1"/>
  <c r="G10" i="66" s="1"/>
  <c r="C10" i="67" s="1"/>
  <c r="E10" i="67" s="1"/>
  <c r="G10" i="67" s="1"/>
  <c r="X9" i="33"/>
  <c r="S9" i="33"/>
  <c r="U9" i="33" s="1"/>
  <c r="J9" i="33"/>
  <c r="M9" i="33" s="1"/>
  <c r="E9" i="33"/>
  <c r="G9" i="33" s="1"/>
  <c r="C9" i="66" s="1"/>
  <c r="E9" i="66" s="1"/>
  <c r="G9" i="66" s="1"/>
  <c r="C9" i="67" s="1"/>
  <c r="E9" i="67" s="1"/>
  <c r="G9" i="67" s="1"/>
  <c r="X8" i="33"/>
  <c r="S8" i="33"/>
  <c r="U8" i="33" s="1"/>
  <c r="J8" i="33"/>
  <c r="M8" i="33" s="1"/>
  <c r="E8" i="33"/>
  <c r="G8" i="33" s="1"/>
  <c r="C8" i="66" s="1"/>
  <c r="E8" i="66" s="1"/>
  <c r="G8" i="66" s="1"/>
  <c r="C8" i="67" s="1"/>
  <c r="E8" i="67" s="1"/>
  <c r="G8" i="67" s="1"/>
  <c r="X7" i="33"/>
  <c r="S7" i="33"/>
  <c r="U7" i="33" s="1"/>
  <c r="J7" i="33"/>
  <c r="M7" i="33" s="1"/>
  <c r="E7" i="33"/>
  <c r="G7" i="33" s="1"/>
  <c r="C7" i="66" s="1"/>
  <c r="E7" i="66" s="1"/>
  <c r="G7" i="66" s="1"/>
  <c r="C7" i="67" s="1"/>
  <c r="E7" i="67" s="1"/>
  <c r="G7" i="67" s="1"/>
  <c r="X6" i="33"/>
  <c r="S6" i="33"/>
  <c r="U6" i="33" s="1"/>
  <c r="J6" i="33"/>
  <c r="M6" i="33" s="1"/>
  <c r="E6" i="33"/>
  <c r="G6" i="33" s="1"/>
  <c r="C6" i="66" s="1"/>
  <c r="E6" i="66" s="1"/>
  <c r="G6" i="66" s="1"/>
  <c r="C6" i="67" s="1"/>
  <c r="E6" i="67" s="1"/>
  <c r="G6" i="67" s="1"/>
  <c r="X5" i="33"/>
  <c r="S5" i="33"/>
  <c r="U5" i="33" s="1"/>
  <c r="J5" i="33"/>
  <c r="E5" i="33"/>
  <c r="G5" i="33" s="1"/>
  <c r="C5" i="66" s="1"/>
  <c r="E5" i="66" s="1"/>
  <c r="G5" i="66" s="1"/>
  <c r="C5" i="67" s="1"/>
  <c r="E5" i="67" s="1"/>
  <c r="G5" i="67" s="1"/>
  <c r="C156" i="81" l="1"/>
  <c r="E156" i="81" s="1"/>
  <c r="G156" i="81" s="1"/>
  <c r="C155" i="81"/>
  <c r="E155" i="81" s="1"/>
  <c r="G155" i="81" s="1"/>
  <c r="C66" i="80"/>
  <c r="E66" i="80" s="1"/>
  <c r="G66" i="80" s="1"/>
  <c r="C45" i="81"/>
  <c r="E45" i="81" s="1"/>
  <c r="G45" i="81" s="1"/>
  <c r="C226" i="81"/>
  <c r="E226" i="81" s="1"/>
  <c r="G226" i="81" s="1"/>
  <c r="C95" i="81"/>
  <c r="E95" i="81" s="1"/>
  <c r="G95" i="81" s="1"/>
  <c r="C67" i="80"/>
  <c r="E67" i="80" s="1"/>
  <c r="G67" i="80" s="1"/>
  <c r="E67" i="81" s="1"/>
  <c r="G67" i="81" s="1"/>
  <c r="C153" i="81"/>
  <c r="E153" i="81" s="1"/>
  <c r="G153" i="81" s="1"/>
  <c r="C94" i="81"/>
  <c r="E94" i="81" s="1"/>
  <c r="G94" i="81" s="1"/>
  <c r="C248" i="81"/>
  <c r="E248" i="81" s="1"/>
  <c r="G248" i="81" s="1"/>
  <c r="C186" i="81"/>
  <c r="E186" i="81" s="1"/>
  <c r="G186" i="81" s="1"/>
  <c r="C229" i="81"/>
  <c r="E229" i="81" s="1"/>
  <c r="G229" i="81" s="1"/>
  <c r="C53" i="81"/>
  <c r="E53" i="81" s="1"/>
  <c r="G53" i="81" s="1"/>
  <c r="C179" i="81"/>
  <c r="E179" i="81" s="1"/>
  <c r="G179" i="81" s="1"/>
  <c r="E78" i="80"/>
  <c r="G78" i="80" s="1"/>
  <c r="C78" i="80"/>
  <c r="C219" i="81"/>
  <c r="E219" i="81" s="1"/>
  <c r="G219" i="81" s="1"/>
  <c r="C174" i="81"/>
  <c r="E174" i="81" s="1"/>
  <c r="G174" i="81" s="1"/>
  <c r="C22" i="81"/>
  <c r="E22" i="81" s="1"/>
  <c r="G22" i="81" s="1"/>
  <c r="E182" i="81"/>
  <c r="G182" i="81" s="1"/>
  <c r="C182" i="81"/>
  <c r="C237" i="81"/>
  <c r="E237" i="81" s="1"/>
  <c r="G237" i="81" s="1"/>
  <c r="C37" i="81"/>
  <c r="E37" i="81" s="1"/>
  <c r="G37" i="81" s="1"/>
  <c r="C34" i="81"/>
  <c r="E34" i="81" s="1"/>
  <c r="G34" i="81" s="1"/>
  <c r="C184" i="81"/>
  <c r="E184" i="81" s="1"/>
  <c r="G184" i="81" s="1"/>
  <c r="C208" i="81"/>
  <c r="E208" i="81" s="1"/>
  <c r="G208" i="81" s="1"/>
  <c r="C223" i="81"/>
  <c r="E223" i="81" s="1"/>
  <c r="G223" i="81" s="1"/>
  <c r="C216" i="81"/>
  <c r="E216" i="81" s="1"/>
  <c r="G216" i="81" s="1"/>
  <c r="E178" i="81"/>
  <c r="G178" i="81" s="1"/>
  <c r="C178" i="81"/>
  <c r="C194" i="81"/>
  <c r="E194" i="81" s="1"/>
  <c r="G194" i="81" s="1"/>
  <c r="C107" i="81"/>
  <c r="E107" i="81" s="1"/>
  <c r="G107" i="81" s="1"/>
  <c r="C188" i="81"/>
  <c r="E188" i="81" s="1"/>
  <c r="G188" i="81" s="1"/>
  <c r="C170" i="81"/>
  <c r="E170" i="81" s="1"/>
  <c r="G170" i="81" s="1"/>
  <c r="C235" i="81"/>
  <c r="E235" i="81" s="1"/>
  <c r="G235" i="81" s="1"/>
  <c r="E121" i="81"/>
  <c r="G121" i="81" s="1"/>
  <c r="C121" i="81"/>
  <c r="C98" i="81"/>
  <c r="E98" i="81" s="1"/>
  <c r="G98" i="81" s="1"/>
  <c r="C231" i="81"/>
  <c r="E231" i="81" s="1"/>
  <c r="G231" i="81" s="1"/>
  <c r="C18" i="80"/>
  <c r="E18" i="80" s="1"/>
  <c r="G18" i="80" s="1"/>
  <c r="C244" i="81"/>
  <c r="E244" i="81" s="1"/>
  <c r="G244" i="81" s="1"/>
  <c r="C122" i="81"/>
  <c r="E122" i="81" s="1"/>
  <c r="G122" i="81" s="1"/>
  <c r="C142" i="81"/>
  <c r="E142" i="81" s="1"/>
  <c r="G142" i="81" s="1"/>
  <c r="C172" i="81"/>
  <c r="E172" i="81" s="1"/>
  <c r="G172" i="81" s="1"/>
  <c r="C119" i="81"/>
  <c r="E119" i="81" s="1"/>
  <c r="G119" i="81" s="1"/>
  <c r="C199" i="81"/>
  <c r="E199" i="81" s="1"/>
  <c r="G199" i="81" s="1"/>
  <c r="E33" i="81"/>
  <c r="G33" i="81" s="1"/>
  <c r="C33" i="81"/>
  <c r="C20" i="81"/>
  <c r="E20" i="81" s="1"/>
  <c r="G20" i="81" s="1"/>
  <c r="C252" i="81"/>
  <c r="E252" i="81" s="1"/>
  <c r="G252" i="81" s="1"/>
  <c r="C161" i="81"/>
  <c r="E161" i="81" s="1"/>
  <c r="G161" i="81" s="1"/>
  <c r="C28" i="81"/>
  <c r="E28" i="81" s="1"/>
  <c r="G28" i="81" s="1"/>
  <c r="C118" i="81"/>
  <c r="E118" i="81" s="1"/>
  <c r="G118" i="81" s="1"/>
  <c r="E110" i="81"/>
  <c r="G110" i="81" s="1"/>
  <c r="C110" i="81"/>
  <c r="C159" i="81"/>
  <c r="E159" i="81" s="1"/>
  <c r="G159" i="81" s="1"/>
  <c r="C74" i="81"/>
  <c r="E74" i="81" s="1"/>
  <c r="G74" i="81" s="1"/>
  <c r="C213" i="81"/>
  <c r="E213" i="81" s="1"/>
  <c r="G213" i="81" s="1"/>
  <c r="C247" i="81"/>
  <c r="E247" i="81" s="1"/>
  <c r="G247" i="81" s="1"/>
  <c r="C203" i="81"/>
  <c r="E203" i="81" s="1"/>
  <c r="G203" i="81" s="1"/>
  <c r="C106" i="81"/>
  <c r="E106" i="81" s="1"/>
  <c r="G106" i="81" s="1"/>
  <c r="C139" i="81"/>
  <c r="E139" i="81" s="1"/>
  <c r="G139" i="81" s="1"/>
  <c r="C138" i="81"/>
  <c r="E138" i="81" s="1"/>
  <c r="G138" i="81" s="1"/>
  <c r="C71" i="81"/>
  <c r="E71" i="81" s="1"/>
  <c r="G71" i="81" s="1"/>
  <c r="E115" i="81"/>
  <c r="G115" i="81" s="1"/>
  <c r="C115" i="81"/>
  <c r="C52" i="81"/>
  <c r="E52" i="81" s="1"/>
  <c r="G52" i="81" s="1"/>
  <c r="C21" i="81"/>
  <c r="E21" i="81" s="1"/>
  <c r="G21" i="81" s="1"/>
  <c r="C217" i="81"/>
  <c r="E217" i="81" s="1"/>
  <c r="G217" i="81" s="1"/>
  <c r="C42" i="81"/>
  <c r="E42" i="81" s="1"/>
  <c r="G42" i="81" s="1"/>
  <c r="C163" i="81"/>
  <c r="E163" i="81" s="1"/>
  <c r="G163" i="81" s="1"/>
  <c r="E190" i="81"/>
  <c r="G190" i="81" s="1"/>
  <c r="C190" i="81"/>
  <c r="C201" i="81"/>
  <c r="E201" i="81" s="1"/>
  <c r="G201" i="81" s="1"/>
  <c r="C198" i="81"/>
  <c r="E198" i="81" s="1"/>
  <c r="G198" i="81" s="1"/>
  <c r="C32" i="81"/>
  <c r="E32" i="81" s="1"/>
  <c r="G32" i="81" s="1"/>
  <c r="C81" i="80"/>
  <c r="E81" i="80" s="1"/>
  <c r="G81" i="80" s="1"/>
  <c r="C77" i="80"/>
  <c r="E77" i="80" s="1"/>
  <c r="G77" i="80" s="1"/>
  <c r="C83" i="78"/>
  <c r="E83" i="78" s="1"/>
  <c r="G83" i="78" s="1"/>
  <c r="C83" i="79" s="1"/>
  <c r="E83" i="79" s="1"/>
  <c r="G83" i="79" s="1"/>
  <c r="C225" i="81"/>
  <c r="E225" i="81" s="1"/>
  <c r="G225" i="81" s="1"/>
  <c r="C215" i="81"/>
  <c r="E215" i="81" s="1"/>
  <c r="G215" i="81" s="1"/>
  <c r="C218" i="81"/>
  <c r="E218" i="81" s="1"/>
  <c r="G218" i="81" s="1"/>
  <c r="E131" i="81"/>
  <c r="G131" i="81" s="1"/>
  <c r="C131" i="81"/>
  <c r="C241" i="81"/>
  <c r="E241" i="81" s="1"/>
  <c r="G241" i="81" s="1"/>
  <c r="C148" i="81"/>
  <c r="E148" i="81" s="1"/>
  <c r="G148" i="81" s="1"/>
  <c r="C180" i="81"/>
  <c r="E180" i="81" s="1"/>
  <c r="G180" i="81" s="1"/>
  <c r="C202" i="81"/>
  <c r="E202" i="81" s="1"/>
  <c r="G202" i="81" s="1"/>
  <c r="C29" i="81"/>
  <c r="E29" i="81" s="1"/>
  <c r="G29" i="81" s="1"/>
  <c r="E157" i="81"/>
  <c r="G157" i="81" s="1"/>
  <c r="C157" i="81"/>
  <c r="C60" i="81"/>
  <c r="E60" i="81" s="1"/>
  <c r="G60" i="81" s="1"/>
  <c r="C147" i="81"/>
  <c r="E147" i="81" s="1"/>
  <c r="G147" i="81" s="1"/>
  <c r="C26" i="81"/>
  <c r="E26" i="81" s="1"/>
  <c r="G26" i="81" s="1"/>
  <c r="C239" i="81"/>
  <c r="E239" i="81" s="1"/>
  <c r="G239" i="81" s="1"/>
  <c r="C133" i="81"/>
  <c r="E133" i="81" s="1"/>
  <c r="G133" i="81" s="1"/>
  <c r="C40" i="81"/>
  <c r="E40" i="81" s="1"/>
  <c r="G40" i="81" s="1"/>
  <c r="C224" i="81"/>
  <c r="E224" i="81" s="1"/>
  <c r="G224" i="81" s="1"/>
  <c r="C117" i="81"/>
  <c r="E117" i="81" s="1"/>
  <c r="G117" i="81" s="1"/>
  <c r="C62" i="81"/>
  <c r="E62" i="81" s="1"/>
  <c r="G62" i="81" s="1"/>
  <c r="E111" i="81"/>
  <c r="G111" i="81" s="1"/>
  <c r="C111" i="81"/>
  <c r="C125" i="81"/>
  <c r="E125" i="81" s="1"/>
  <c r="G125" i="81" s="1"/>
  <c r="C116" i="81"/>
  <c r="E116" i="81" s="1"/>
  <c r="G116" i="81" s="1"/>
  <c r="C55" i="81"/>
  <c r="E55" i="81" s="1"/>
  <c r="G55" i="81" s="1"/>
  <c r="C17" i="80"/>
  <c r="E17" i="80" s="1"/>
  <c r="G17" i="80" s="1"/>
  <c r="C87" i="78"/>
  <c r="E87" i="78" s="1"/>
  <c r="G87" i="78" s="1"/>
  <c r="C87" i="79" s="1"/>
  <c r="E87" i="79" s="1"/>
  <c r="G87" i="79" s="1"/>
  <c r="E54" i="81"/>
  <c r="G54" i="81" s="1"/>
  <c r="C54" i="81"/>
  <c r="C209" i="81"/>
  <c r="E209" i="81" s="1"/>
  <c r="G209" i="81" s="1"/>
  <c r="C126" i="81"/>
  <c r="E126" i="81" s="1"/>
  <c r="G126" i="81" s="1"/>
  <c r="C19" i="81"/>
  <c r="E19" i="81" s="1"/>
  <c r="G19" i="81" s="1"/>
  <c r="C46" i="81"/>
  <c r="E46" i="81" s="1"/>
  <c r="G46" i="81" s="1"/>
  <c r="C145" i="81"/>
  <c r="E145" i="81" s="1"/>
  <c r="G145" i="81" s="1"/>
  <c r="C210" i="81"/>
  <c r="E210" i="81" s="1"/>
  <c r="G210" i="81" s="1"/>
  <c r="C197" i="81"/>
  <c r="E197" i="81" s="1"/>
  <c r="G197" i="81" s="1"/>
  <c r="C31" i="81"/>
  <c r="E31" i="81" s="1"/>
  <c r="G31" i="81" s="1"/>
  <c r="C164" i="81"/>
  <c r="E164" i="81" s="1"/>
  <c r="G164" i="81" s="1"/>
  <c r="E76" i="81"/>
  <c r="G76" i="81" s="1"/>
  <c r="C76" i="81"/>
  <c r="C65" i="81"/>
  <c r="E65" i="81" s="1"/>
  <c r="G65" i="81" s="1"/>
  <c r="C135" i="81"/>
  <c r="E135" i="81" s="1"/>
  <c r="G135" i="81" s="1"/>
  <c r="C168" i="81"/>
  <c r="E168" i="81" s="1"/>
  <c r="G168" i="81" s="1"/>
  <c r="C84" i="81"/>
  <c r="E84" i="81" s="1"/>
  <c r="G84" i="81" s="1"/>
  <c r="C134" i="81"/>
  <c r="E134" i="81" s="1"/>
  <c r="G134" i="81" s="1"/>
  <c r="E105" i="81"/>
  <c r="G105" i="81" s="1"/>
  <c r="C105" i="81"/>
  <c r="C109" i="81"/>
  <c r="E109" i="81" s="1"/>
  <c r="G109" i="81" s="1"/>
  <c r="E48" i="81"/>
  <c r="G48" i="81" s="1"/>
  <c r="C48" i="81"/>
  <c r="C82" i="78"/>
  <c r="E82" i="78" s="1"/>
  <c r="G82" i="78" s="1"/>
  <c r="C82" i="79" s="1"/>
  <c r="E82" i="79" s="1"/>
  <c r="G82" i="79" s="1"/>
  <c r="C96" i="81"/>
  <c r="E96" i="81" s="1"/>
  <c r="G96" i="81" s="1"/>
  <c r="C165" i="81"/>
  <c r="E165" i="81" s="1"/>
  <c r="G165" i="81" s="1"/>
  <c r="C193" i="81"/>
  <c r="E193" i="81" s="1"/>
  <c r="G193" i="81" s="1"/>
  <c r="C221" i="81"/>
  <c r="E221" i="81" s="1"/>
  <c r="G221" i="81" s="1"/>
  <c r="C176" i="81"/>
  <c r="E176" i="81" s="1"/>
  <c r="G176" i="81" s="1"/>
  <c r="C15" i="81"/>
  <c r="E15" i="81" s="1"/>
  <c r="G15" i="81" s="1"/>
  <c r="E50" i="81"/>
  <c r="G50" i="81" s="1"/>
  <c r="C50" i="81"/>
  <c r="C88" i="81"/>
  <c r="E88" i="81" s="1"/>
  <c r="G88" i="81" s="1"/>
  <c r="C149" i="81"/>
  <c r="E149" i="81" s="1"/>
  <c r="G149" i="81" s="1"/>
  <c r="C171" i="81"/>
  <c r="E171" i="81" s="1"/>
  <c r="G171" i="81" s="1"/>
  <c r="C69" i="81"/>
  <c r="E69" i="81" s="1"/>
  <c r="G69" i="81" s="1"/>
  <c r="C57" i="81"/>
  <c r="E57" i="81" s="1"/>
  <c r="G57" i="81" s="1"/>
  <c r="E59" i="81"/>
  <c r="G59" i="81" s="1"/>
  <c r="C59" i="81"/>
  <c r="C102" i="81"/>
  <c r="E102" i="81" s="1"/>
  <c r="G102" i="81" s="1"/>
  <c r="C162" i="81"/>
  <c r="E162" i="81" s="1"/>
  <c r="G162" i="81" s="1"/>
  <c r="C36" i="81"/>
  <c r="E36" i="81" s="1"/>
  <c r="G36" i="81" s="1"/>
  <c r="C152" i="81"/>
  <c r="E152" i="81" s="1"/>
  <c r="G152" i="81" s="1"/>
  <c r="C220" i="81"/>
  <c r="E220" i="81" s="1"/>
  <c r="G220" i="81" s="1"/>
  <c r="C251" i="81"/>
  <c r="E251" i="81" s="1"/>
  <c r="G251" i="81" s="1"/>
  <c r="C189" i="81"/>
  <c r="E189" i="81" s="1"/>
  <c r="G189" i="81" s="1"/>
  <c r="C56" i="81"/>
  <c r="E56" i="81" s="1"/>
  <c r="G56" i="81" s="1"/>
  <c r="C39" i="81"/>
  <c r="E39" i="81" s="1"/>
  <c r="G39" i="81" s="1"/>
  <c r="E113" i="81"/>
  <c r="G113" i="81" s="1"/>
  <c r="C113" i="81"/>
  <c r="C167" i="81"/>
  <c r="E167" i="81" s="1"/>
  <c r="G167" i="81" s="1"/>
  <c r="C120" i="81"/>
  <c r="E120" i="81" s="1"/>
  <c r="G120" i="81" s="1"/>
  <c r="C73" i="81"/>
  <c r="E73" i="81" s="1"/>
  <c r="G73" i="81" s="1"/>
  <c r="C91" i="81"/>
  <c r="E91" i="81" s="1"/>
  <c r="G91" i="81" s="1"/>
  <c r="C181" i="81"/>
  <c r="E181" i="81" s="1"/>
  <c r="G181" i="81" s="1"/>
  <c r="E92" i="81"/>
  <c r="G92" i="81" s="1"/>
  <c r="C92" i="81"/>
  <c r="C27" i="81"/>
  <c r="E27" i="81" s="1"/>
  <c r="G27" i="81" s="1"/>
  <c r="E236" i="81"/>
  <c r="G236" i="81" s="1"/>
  <c r="C236" i="81"/>
  <c r="C100" i="81"/>
  <c r="E100" i="81" s="1"/>
  <c r="G100" i="81" s="1"/>
  <c r="C230" i="81"/>
  <c r="E230" i="81" s="1"/>
  <c r="G230" i="81" s="1"/>
  <c r="C207" i="81"/>
  <c r="E207" i="81" s="1"/>
  <c r="G207" i="81" s="1"/>
  <c r="C195" i="81"/>
  <c r="E195" i="81" s="1"/>
  <c r="G195" i="81" s="1"/>
  <c r="C51" i="81"/>
  <c r="E51" i="81" s="1"/>
  <c r="G51" i="81" s="1"/>
  <c r="C25" i="81"/>
  <c r="E25" i="81" s="1"/>
  <c r="G25" i="81" s="1"/>
  <c r="C173" i="81"/>
  <c r="E173" i="81" s="1"/>
  <c r="G173" i="81" s="1"/>
  <c r="E72" i="81"/>
  <c r="G72" i="81" s="1"/>
  <c r="C72" i="81"/>
  <c r="C24" i="81"/>
  <c r="E24" i="81" s="1"/>
  <c r="G24" i="81" s="1"/>
  <c r="C143" i="81"/>
  <c r="E143" i="81" s="1"/>
  <c r="G143" i="81" s="1"/>
  <c r="C41" i="81"/>
  <c r="E41" i="81" s="1"/>
  <c r="G41" i="81" s="1"/>
  <c r="C187" i="81"/>
  <c r="E187" i="81" s="1"/>
  <c r="G187" i="81" s="1"/>
  <c r="C44" i="81"/>
  <c r="E44" i="81" s="1"/>
  <c r="G44" i="81" s="1"/>
  <c r="E123" i="81"/>
  <c r="G123" i="81" s="1"/>
  <c r="C123" i="81"/>
  <c r="C160" i="81"/>
  <c r="E160" i="81" s="1"/>
  <c r="G160" i="81" s="1"/>
  <c r="C205" i="81"/>
  <c r="E205" i="81" s="1"/>
  <c r="G205" i="81" s="1"/>
  <c r="C254" i="81"/>
  <c r="E254" i="81" s="1"/>
  <c r="G254" i="81" s="1"/>
  <c r="C103" i="81"/>
  <c r="E103" i="81" s="1"/>
  <c r="G103" i="81" s="1"/>
  <c r="C114" i="81"/>
  <c r="E114" i="81" s="1"/>
  <c r="G114" i="81" s="1"/>
  <c r="C49" i="81"/>
  <c r="E49" i="81" s="1"/>
  <c r="G49" i="81" s="1"/>
  <c r="C232" i="81"/>
  <c r="E232" i="81" s="1"/>
  <c r="G232" i="81" s="1"/>
  <c r="C64" i="81"/>
  <c r="E64" i="81" s="1"/>
  <c r="G64" i="81" s="1"/>
  <c r="C58" i="81"/>
  <c r="E58" i="81" s="1"/>
  <c r="G58" i="81" s="1"/>
  <c r="E200" i="81"/>
  <c r="G200" i="81" s="1"/>
  <c r="C200" i="81"/>
  <c r="C63" i="81"/>
  <c r="E63" i="81" s="1"/>
  <c r="G63" i="81" s="1"/>
  <c r="E63" i="82" s="1"/>
  <c r="G63" i="82" s="1"/>
  <c r="C63" i="83" s="1"/>
  <c r="E63" i="83" s="1"/>
  <c r="G63" i="83" s="1"/>
  <c r="C63" i="84" s="1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3" i="91" s="1"/>
  <c r="E63" i="91" s="1"/>
  <c r="G63" i="91" s="1"/>
  <c r="E63" i="92" s="1"/>
  <c r="G63" i="92" s="1"/>
  <c r="E63" i="93" s="1"/>
  <c r="G63" i="93" s="1"/>
  <c r="E63" i="94" s="1"/>
  <c r="G63" i="94" s="1"/>
  <c r="C63" i="95" s="1"/>
  <c r="E63" i="95" s="1"/>
  <c r="G63" i="95" s="1"/>
  <c r="E63" i="96" s="1"/>
  <c r="G63" i="96" s="1"/>
  <c r="C130" i="81"/>
  <c r="E130" i="81" s="1"/>
  <c r="G130" i="81" s="1"/>
  <c r="C243" i="81"/>
  <c r="E243" i="81" s="1"/>
  <c r="G243" i="81" s="1"/>
  <c r="C89" i="78"/>
  <c r="E89" i="78" s="1"/>
  <c r="G89" i="78" s="1"/>
  <c r="C89" i="79" s="1"/>
  <c r="E89" i="79" s="1"/>
  <c r="G89" i="79" s="1"/>
  <c r="C144" i="81"/>
  <c r="E144" i="81" s="1"/>
  <c r="G144" i="81" s="1"/>
  <c r="E35" i="81"/>
  <c r="G35" i="81" s="1"/>
  <c r="C35" i="81"/>
  <c r="C234" i="81"/>
  <c r="E234" i="81" s="1"/>
  <c r="G234" i="81" s="1"/>
  <c r="E99" i="81"/>
  <c r="G99" i="81" s="1"/>
  <c r="C99" i="81"/>
  <c r="C128" i="81"/>
  <c r="E128" i="81" s="1"/>
  <c r="G128" i="81" s="1"/>
  <c r="C47" i="81"/>
  <c r="E47" i="81" s="1"/>
  <c r="G47" i="81" s="1"/>
  <c r="C86" i="78"/>
  <c r="E86" i="78" s="1"/>
  <c r="G86" i="78" s="1"/>
  <c r="C86" i="79" s="1"/>
  <c r="E86" i="79" s="1"/>
  <c r="G86" i="79" s="1"/>
  <c r="E227" i="81"/>
  <c r="G227" i="81" s="1"/>
  <c r="C227" i="81"/>
  <c r="C238" i="81"/>
  <c r="E238" i="81" s="1"/>
  <c r="G238" i="81" s="1"/>
  <c r="C214" i="81"/>
  <c r="E214" i="81" s="1"/>
  <c r="G214" i="81" s="1"/>
  <c r="C249" i="81"/>
  <c r="E249" i="81" s="1"/>
  <c r="G249" i="81" s="1"/>
  <c r="C43" i="81"/>
  <c r="E43" i="81" s="1"/>
  <c r="G43" i="81" s="1"/>
  <c r="C158" i="81"/>
  <c r="E158" i="81" s="1"/>
  <c r="G158" i="81" s="1"/>
  <c r="C250" i="81"/>
  <c r="E250" i="81" s="1"/>
  <c r="G250" i="81" s="1"/>
  <c r="C79" i="81"/>
  <c r="E79" i="81" s="1"/>
  <c r="G79" i="81" s="1"/>
  <c r="E90" i="81"/>
  <c r="G90" i="81" s="1"/>
  <c r="C90" i="81"/>
  <c r="C206" i="81"/>
  <c r="E206" i="81" s="1"/>
  <c r="G206" i="81" s="1"/>
  <c r="C68" i="81"/>
  <c r="E68" i="81" s="1"/>
  <c r="G68" i="81" s="1"/>
  <c r="C141" i="81"/>
  <c r="E141" i="81" s="1"/>
  <c r="G141" i="81" s="1"/>
  <c r="E233" i="81"/>
  <c r="G233" i="81" s="1"/>
  <c r="C233" i="81"/>
  <c r="C61" i="81"/>
  <c r="E61" i="81" s="1"/>
  <c r="G61" i="81" s="1"/>
  <c r="E61" i="82" s="1"/>
  <c r="G61" i="82" s="1"/>
  <c r="C61" i="83" s="1"/>
  <c r="E61" i="83" s="1"/>
  <c r="G61" i="83" s="1"/>
  <c r="C61" i="84" s="1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61" i="89" s="1"/>
  <c r="G61" i="89" s="1"/>
  <c r="C61" i="90" s="1"/>
  <c r="E61" i="90" s="1"/>
  <c r="G61" i="90" s="1"/>
  <c r="C61" i="91" s="1"/>
  <c r="E61" i="91" s="1"/>
  <c r="G61" i="91" s="1"/>
  <c r="E61" i="92" s="1"/>
  <c r="G61" i="92" s="1"/>
  <c r="E61" i="93" s="1"/>
  <c r="G61" i="93" s="1"/>
  <c r="E61" i="94" s="1"/>
  <c r="G61" i="94" s="1"/>
  <c r="C61" i="95" s="1"/>
  <c r="E61" i="95" s="1"/>
  <c r="G61" i="95" s="1"/>
  <c r="C61" i="96" s="1"/>
  <c r="E61" i="96" s="1"/>
  <c r="G61" i="96" s="1"/>
  <c r="C177" i="81"/>
  <c r="E177" i="81" s="1"/>
  <c r="G177" i="81" s="1"/>
  <c r="C245" i="81"/>
  <c r="E245" i="81" s="1"/>
  <c r="G245" i="81" s="1"/>
  <c r="C132" i="81"/>
  <c r="E132" i="81" s="1"/>
  <c r="G132" i="81" s="1"/>
  <c r="C185" i="81"/>
  <c r="E185" i="81" s="1"/>
  <c r="G185" i="81" s="1"/>
  <c r="C108" i="81"/>
  <c r="E108" i="81" s="1"/>
  <c r="G108" i="81" s="1"/>
  <c r="C196" i="81"/>
  <c r="E196" i="81" s="1"/>
  <c r="G196" i="81" s="1"/>
  <c r="E146" i="81"/>
  <c r="G146" i="81" s="1"/>
  <c r="C146" i="81"/>
  <c r="C30" i="81"/>
  <c r="E30" i="81" s="1"/>
  <c r="G30" i="81" s="1"/>
  <c r="C222" i="81"/>
  <c r="E222" i="81" s="1"/>
  <c r="G222" i="81" s="1"/>
  <c r="C101" i="81"/>
  <c r="E101" i="81" s="1"/>
  <c r="G101" i="81" s="1"/>
  <c r="C112" i="81"/>
  <c r="E112" i="81" s="1"/>
  <c r="G112" i="81" s="1"/>
  <c r="C38" i="81"/>
  <c r="E38" i="81" s="1"/>
  <c r="G38" i="81" s="1"/>
  <c r="E212" i="81"/>
  <c r="G212" i="81" s="1"/>
  <c r="C212" i="81"/>
  <c r="C85" i="81"/>
  <c r="E85" i="81" s="1"/>
  <c r="G85" i="81" s="1"/>
  <c r="C97" i="81"/>
  <c r="E97" i="81" s="1"/>
  <c r="G97" i="81" s="1"/>
  <c r="C127" i="81"/>
  <c r="E127" i="81" s="1"/>
  <c r="G127" i="81" s="1"/>
  <c r="C124" i="81"/>
  <c r="E124" i="81" s="1"/>
  <c r="G124" i="81" s="1"/>
  <c r="C204" i="81"/>
  <c r="E204" i="81" s="1"/>
  <c r="G204" i="81" s="1"/>
  <c r="E242" i="81"/>
  <c r="G242" i="81" s="1"/>
  <c r="C242" i="81"/>
  <c r="C104" i="81"/>
  <c r="E104" i="81" s="1"/>
  <c r="G104" i="81" s="1"/>
  <c r="C70" i="81"/>
  <c r="E70" i="81" s="1"/>
  <c r="G70" i="81" s="1"/>
  <c r="C240" i="81"/>
  <c r="E240" i="81" s="1"/>
  <c r="G240" i="81" s="1"/>
  <c r="C23" i="81"/>
  <c r="E23" i="81" s="1"/>
  <c r="G23" i="81" s="1"/>
  <c r="C211" i="81"/>
  <c r="E211" i="81" s="1"/>
  <c r="G211" i="81" s="1"/>
  <c r="C136" i="81"/>
  <c r="E136" i="81" s="1"/>
  <c r="G136" i="81" s="1"/>
  <c r="C228" i="81"/>
  <c r="E228" i="81" s="1"/>
  <c r="G228" i="81" s="1"/>
  <c r="E151" i="81"/>
  <c r="G151" i="81" s="1"/>
  <c r="C151" i="81"/>
  <c r="C175" i="81"/>
  <c r="E175" i="81" s="1"/>
  <c r="G175" i="81" s="1"/>
  <c r="C154" i="81"/>
  <c r="E154" i="81" s="1"/>
  <c r="G154" i="81" s="1"/>
  <c r="C191" i="81"/>
  <c r="E191" i="81" s="1"/>
  <c r="G191" i="81" s="1"/>
  <c r="E246" i="81"/>
  <c r="G246" i="81" s="1"/>
  <c r="C246" i="81"/>
  <c r="C75" i="81"/>
  <c r="E75" i="81" s="1"/>
  <c r="G75" i="81" s="1"/>
  <c r="C192" i="81"/>
  <c r="E192" i="81" s="1"/>
  <c r="G192" i="81" s="1"/>
  <c r="C129" i="81"/>
  <c r="E129" i="81" s="1"/>
  <c r="G129" i="81" s="1"/>
  <c r="C183" i="81"/>
  <c r="E183" i="81" s="1"/>
  <c r="G183" i="81" s="1"/>
  <c r="C137" i="81"/>
  <c r="E137" i="81" s="1"/>
  <c r="G137" i="81" s="1"/>
  <c r="C140" i="81"/>
  <c r="E140" i="81" s="1"/>
  <c r="G140" i="81" s="1"/>
  <c r="C253" i="81"/>
  <c r="E253" i="81" s="1"/>
  <c r="G253" i="81" s="1"/>
  <c r="C16" i="81"/>
  <c r="E16" i="81" s="1"/>
  <c r="G16" i="81" s="1"/>
  <c r="C169" i="81"/>
  <c r="E169" i="81" s="1"/>
  <c r="G169" i="81" s="1"/>
  <c r="C150" i="81"/>
  <c r="E150" i="81" s="1"/>
  <c r="G150" i="81" s="1"/>
  <c r="C166" i="81"/>
  <c r="E166" i="81" s="1"/>
  <c r="G166" i="81" s="1"/>
  <c r="C93" i="81"/>
  <c r="E93" i="81" s="1"/>
  <c r="G93" i="81" s="1"/>
  <c r="C9" i="70"/>
  <c r="E9" i="70" s="1"/>
  <c r="G9" i="70" s="1"/>
  <c r="C9" i="71" s="1"/>
  <c r="E9" i="71" s="1"/>
  <c r="G9" i="71" s="1"/>
  <c r="C9" i="68" s="1"/>
  <c r="E9" i="68" s="1"/>
  <c r="G9" i="68" s="1"/>
  <c r="C9" i="69" s="1"/>
  <c r="C6" i="70"/>
  <c r="E6" i="70" s="1"/>
  <c r="G6" i="70" s="1"/>
  <c r="C6" i="71" s="1"/>
  <c r="E6" i="71" s="1"/>
  <c r="G6" i="71" s="1"/>
  <c r="C6" i="68" s="1"/>
  <c r="E6" i="68" s="1"/>
  <c r="G6" i="68" s="1"/>
  <c r="C6" i="69" s="1"/>
  <c r="C8" i="70"/>
  <c r="E8" i="70" s="1"/>
  <c r="G8" i="70" s="1"/>
  <c r="C8" i="71" s="1"/>
  <c r="E8" i="71" s="1"/>
  <c r="G8" i="71" s="1"/>
  <c r="C8" i="68" s="1"/>
  <c r="E8" i="68" s="1"/>
  <c r="G8" i="68" s="1"/>
  <c r="C8" i="69" s="1"/>
  <c r="C10" i="70"/>
  <c r="E10" i="70" s="1"/>
  <c r="G10" i="70" s="1"/>
  <c r="C10" i="71" s="1"/>
  <c r="E10" i="71" s="1"/>
  <c r="G10" i="71" s="1"/>
  <c r="C10" i="68" s="1"/>
  <c r="E10" i="68" s="1"/>
  <c r="G10" i="68" s="1"/>
  <c r="C10" i="69" s="1"/>
  <c r="C12" i="70"/>
  <c r="E12" i="70" s="1"/>
  <c r="G12" i="70" s="1"/>
  <c r="C12" i="71" s="1"/>
  <c r="E12" i="71" s="1"/>
  <c r="G12" i="71" s="1"/>
  <c r="C12" i="68" s="1"/>
  <c r="E12" i="68" s="1"/>
  <c r="G12" i="68" s="1"/>
  <c r="C12" i="69" s="1"/>
  <c r="C14" i="70"/>
  <c r="E14" i="70" s="1"/>
  <c r="G14" i="70" s="1"/>
  <c r="C14" i="71" s="1"/>
  <c r="E14" i="71" s="1"/>
  <c r="G14" i="71" s="1"/>
  <c r="C14" i="68" s="1"/>
  <c r="E14" i="68" s="1"/>
  <c r="G14" i="68" s="1"/>
  <c r="C14" i="69" s="1"/>
  <c r="E80" i="74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G80" i="73"/>
  <c r="C5" i="70"/>
  <c r="E5" i="70" s="1"/>
  <c r="G5" i="70" s="1"/>
  <c r="C5" i="71" s="1"/>
  <c r="E5" i="71" s="1"/>
  <c r="G5" i="71" s="1"/>
  <c r="C13" i="70"/>
  <c r="E13" i="70" s="1"/>
  <c r="G13" i="70" s="1"/>
  <c r="C13" i="71" s="1"/>
  <c r="E13" i="71" s="1"/>
  <c r="G13" i="71" s="1"/>
  <c r="C13" i="68" s="1"/>
  <c r="E13" i="68" s="1"/>
  <c r="G13" i="68" s="1"/>
  <c r="C13" i="69" s="1"/>
  <c r="C11" i="70"/>
  <c r="E11" i="70" s="1"/>
  <c r="G11" i="70" s="1"/>
  <c r="C11" i="71" s="1"/>
  <c r="E11" i="71" s="1"/>
  <c r="G11" i="71" s="1"/>
  <c r="C11" i="68" s="1"/>
  <c r="E11" i="68" s="1"/>
  <c r="G11" i="68" s="1"/>
  <c r="C11" i="69" s="1"/>
  <c r="C7" i="70"/>
  <c r="E7" i="70" s="1"/>
  <c r="G7" i="70" s="1"/>
  <c r="C7" i="71" s="1"/>
  <c r="E7" i="71" s="1"/>
  <c r="G7" i="71" s="1"/>
  <c r="C7" i="68" s="1"/>
  <c r="E7" i="68" s="1"/>
  <c r="G7" i="68" s="1"/>
  <c r="C7" i="69" s="1"/>
  <c r="M5" i="33"/>
  <c r="N254" i="33" s="1"/>
  <c r="X32" i="33"/>
  <c r="J256" i="33" s="1"/>
  <c r="K257" i="33" s="1"/>
  <c r="K263" i="33" s="1"/>
  <c r="K266" i="33" s="1"/>
  <c r="C130" i="82" l="1"/>
  <c r="E130" i="82" s="1"/>
  <c r="G130" i="82" s="1"/>
  <c r="C130" i="83" s="1"/>
  <c r="E130" i="83" s="1"/>
  <c r="G130" i="83" s="1"/>
  <c r="C130" i="84" s="1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C130" i="89" s="1"/>
  <c r="E130" i="89" s="1"/>
  <c r="G130" i="89" s="1"/>
  <c r="C130" i="90" s="1"/>
  <c r="E130" i="90" s="1"/>
  <c r="G130" i="90" s="1"/>
  <c r="C130" i="91" s="1"/>
  <c r="E130" i="91" s="1"/>
  <c r="G130" i="91" s="1"/>
  <c r="E130" i="92" s="1"/>
  <c r="G130" i="92" s="1"/>
  <c r="E130" i="93" s="1"/>
  <c r="G130" i="93" s="1"/>
  <c r="E130" i="94" s="1"/>
  <c r="G130" i="94" s="1"/>
  <c r="C130" i="95" s="1"/>
  <c r="E130" i="95" s="1"/>
  <c r="G130" i="95" s="1"/>
  <c r="C130" i="96" s="1"/>
  <c r="E130" i="96" s="1"/>
  <c r="G130" i="96" s="1"/>
  <c r="C135" i="82"/>
  <c r="E135" i="82" s="1"/>
  <c r="G135" i="82" s="1"/>
  <c r="C135" i="83" s="1"/>
  <c r="E135" i="83" s="1"/>
  <c r="G135" i="83" s="1"/>
  <c r="C135" i="84" s="1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91" s="1"/>
  <c r="E135" i="91" s="1"/>
  <c r="G135" i="91" s="1"/>
  <c r="E135" i="92" s="1"/>
  <c r="G135" i="92" s="1"/>
  <c r="E135" i="93" s="1"/>
  <c r="G135" i="93" s="1"/>
  <c r="E135" i="94" s="1"/>
  <c r="G135" i="94" s="1"/>
  <c r="C135" i="95" s="1"/>
  <c r="E135" i="95" s="1"/>
  <c r="G135" i="95" s="1"/>
  <c r="C135" i="96" s="1"/>
  <c r="E135" i="96" s="1"/>
  <c r="G135" i="96" s="1"/>
  <c r="C103" i="82"/>
  <c r="E103" i="82" s="1"/>
  <c r="G103" i="82" s="1"/>
  <c r="C103" i="83" s="1"/>
  <c r="E103" i="83" s="1"/>
  <c r="G103" i="83" s="1"/>
  <c r="C103" i="84" s="1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3" i="91" s="1"/>
  <c r="E103" i="91" s="1"/>
  <c r="G103" i="91" s="1"/>
  <c r="E103" i="92" s="1"/>
  <c r="G103" i="92" s="1"/>
  <c r="E103" i="93" s="1"/>
  <c r="G103" i="93" s="1"/>
  <c r="E103" i="94" s="1"/>
  <c r="G103" i="94" s="1"/>
  <c r="C103" i="95" s="1"/>
  <c r="E103" i="95" s="1"/>
  <c r="G103" i="95" s="1"/>
  <c r="C103" i="96" s="1"/>
  <c r="E103" i="96" s="1"/>
  <c r="G103" i="96" s="1"/>
  <c r="C25" i="82"/>
  <c r="E25" i="82" s="1"/>
  <c r="G25" i="82" s="1"/>
  <c r="E25" i="83" s="1"/>
  <c r="G25" i="83" s="1"/>
  <c r="C25" i="84" s="1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" i="91" s="1"/>
  <c r="E25" i="91" s="1"/>
  <c r="G25" i="91" s="1"/>
  <c r="E25" i="92" s="1"/>
  <c r="G25" i="92" s="1"/>
  <c r="E25" i="93" s="1"/>
  <c r="G25" i="93" s="1"/>
  <c r="E25" i="94" s="1"/>
  <c r="G25" i="94" s="1"/>
  <c r="C25" i="95" s="1"/>
  <c r="E25" i="95" s="1"/>
  <c r="G25" i="95" s="1"/>
  <c r="C25" i="96" s="1"/>
  <c r="E25" i="96" s="1"/>
  <c r="G25" i="96" s="1"/>
  <c r="C152" i="82"/>
  <c r="E152" i="82" s="1"/>
  <c r="G152" i="82" s="1"/>
  <c r="C152" i="83" s="1"/>
  <c r="E152" i="83" s="1"/>
  <c r="G152" i="83" s="1"/>
  <c r="C152" i="84" s="1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C152" i="91" s="1"/>
  <c r="E152" i="91" s="1"/>
  <c r="G152" i="91" s="1"/>
  <c r="E152" i="92" s="1"/>
  <c r="G152" i="92" s="1"/>
  <c r="E152" i="93" s="1"/>
  <c r="G152" i="93" s="1"/>
  <c r="E152" i="94" s="1"/>
  <c r="G152" i="94" s="1"/>
  <c r="C152" i="95" s="1"/>
  <c r="E152" i="95" s="1"/>
  <c r="G152" i="95" s="1"/>
  <c r="C152" i="96" s="1"/>
  <c r="E152" i="96" s="1"/>
  <c r="G152" i="96" s="1"/>
  <c r="C176" i="82"/>
  <c r="E176" i="82" s="1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176" i="91" s="1"/>
  <c r="E176" i="91" s="1"/>
  <c r="G176" i="91" s="1"/>
  <c r="E176" i="92" s="1"/>
  <c r="G176" i="92" s="1"/>
  <c r="E176" i="93" s="1"/>
  <c r="G176" i="93" s="1"/>
  <c r="E176" i="94" s="1"/>
  <c r="G176" i="94" s="1"/>
  <c r="C176" i="95" s="1"/>
  <c r="E176" i="95" s="1"/>
  <c r="G176" i="95" s="1"/>
  <c r="C176" i="96" s="1"/>
  <c r="E176" i="96" s="1"/>
  <c r="G176" i="96" s="1"/>
  <c r="C46" i="82"/>
  <c r="E46" i="82" s="1"/>
  <c r="G46" i="82" s="1"/>
  <c r="C46" i="83" s="1"/>
  <c r="E46" i="83" s="1"/>
  <c r="G46" i="83" s="1"/>
  <c r="C46" i="84" s="1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C46" i="89" s="1"/>
  <c r="E46" i="89" s="1"/>
  <c r="G46" i="89" s="1"/>
  <c r="C46" i="90" s="1"/>
  <c r="E46" i="90" s="1"/>
  <c r="G46" i="90" s="1"/>
  <c r="C46" i="91" s="1"/>
  <c r="E46" i="91" s="1"/>
  <c r="G46" i="91" s="1"/>
  <c r="E46" i="92" s="1"/>
  <c r="G46" i="92" s="1"/>
  <c r="E46" i="93" s="1"/>
  <c r="G46" i="93" s="1"/>
  <c r="E46" i="94" s="1"/>
  <c r="G46" i="94" s="1"/>
  <c r="C46" i="95" s="1"/>
  <c r="E46" i="95" s="1"/>
  <c r="G46" i="95" s="1"/>
  <c r="C46" i="96" s="1"/>
  <c r="E46" i="96" s="1"/>
  <c r="G46" i="96" s="1"/>
  <c r="C117" i="82"/>
  <c r="E117" i="82" s="1"/>
  <c r="G117" i="82" s="1"/>
  <c r="C117" i="83" s="1"/>
  <c r="E117" i="83" s="1"/>
  <c r="G117" i="83" s="1"/>
  <c r="C117" i="84" s="1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7" i="91" s="1"/>
  <c r="E117" i="91" s="1"/>
  <c r="G117" i="91" s="1"/>
  <c r="E117" i="92" s="1"/>
  <c r="G117" i="92" s="1"/>
  <c r="E117" i="93" s="1"/>
  <c r="G117" i="93" s="1"/>
  <c r="E117" i="94" s="1"/>
  <c r="G117" i="94" s="1"/>
  <c r="C117" i="95" s="1"/>
  <c r="E117" i="95" s="1"/>
  <c r="G117" i="95" s="1"/>
  <c r="C117" i="96" s="1"/>
  <c r="E117" i="96" s="1"/>
  <c r="G117" i="96" s="1"/>
  <c r="E138" i="82"/>
  <c r="G138" i="82" s="1"/>
  <c r="C138" i="83" s="1"/>
  <c r="E138" i="83" s="1"/>
  <c r="G138" i="83" s="1"/>
  <c r="C138" i="84" s="1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8" i="91" s="1"/>
  <c r="E138" i="91" s="1"/>
  <c r="G138" i="91" s="1"/>
  <c r="E138" i="92" s="1"/>
  <c r="G138" i="92" s="1"/>
  <c r="E138" i="93" s="1"/>
  <c r="G138" i="93" s="1"/>
  <c r="E138" i="94" s="1"/>
  <c r="G138" i="94" s="1"/>
  <c r="C138" i="95" s="1"/>
  <c r="E138" i="95" s="1"/>
  <c r="G138" i="95" s="1"/>
  <c r="C138" i="96" s="1"/>
  <c r="E138" i="96" s="1"/>
  <c r="G138" i="96" s="1"/>
  <c r="C138" i="82"/>
  <c r="C244" i="82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44" i="91" s="1"/>
  <c r="G244" i="91" s="1"/>
  <c r="E244" i="92" s="1"/>
  <c r="G244" i="92" s="1"/>
  <c r="E244" i="93" s="1"/>
  <c r="G244" i="93" s="1"/>
  <c r="E244" i="94" s="1"/>
  <c r="G244" i="94" s="1"/>
  <c r="C244" i="95" s="1"/>
  <c r="E244" i="95" s="1"/>
  <c r="G244" i="95" s="1"/>
  <c r="C244" i="96" s="1"/>
  <c r="E244" i="96" s="1"/>
  <c r="G244" i="96" s="1"/>
  <c r="C223" i="82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E223" i="92" s="1"/>
  <c r="G223" i="92" s="1"/>
  <c r="E223" i="93" s="1"/>
  <c r="G223" i="93" s="1"/>
  <c r="E223" i="94" s="1"/>
  <c r="G223" i="94" s="1"/>
  <c r="C223" i="95" s="1"/>
  <c r="E223" i="95" s="1"/>
  <c r="G223" i="95" s="1"/>
  <c r="C223" i="96" s="1"/>
  <c r="E223" i="96" s="1"/>
  <c r="G223" i="96" s="1"/>
  <c r="C53" i="82"/>
  <c r="E53" i="82" s="1"/>
  <c r="G53" i="82" s="1"/>
  <c r="C53" i="83" s="1"/>
  <c r="E53" i="83" s="1"/>
  <c r="G53" i="83" s="1"/>
  <c r="C53" i="84" s="1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C53" i="89" s="1"/>
  <c r="E53" i="89" s="1"/>
  <c r="G53" i="89" s="1"/>
  <c r="C53" i="90" s="1"/>
  <c r="E53" i="90" s="1"/>
  <c r="G53" i="90" s="1"/>
  <c r="C53" i="91" s="1"/>
  <c r="E53" i="91" s="1"/>
  <c r="G53" i="91" s="1"/>
  <c r="E53" i="92" s="1"/>
  <c r="G53" i="92" s="1"/>
  <c r="E53" i="93" s="1"/>
  <c r="G53" i="93" s="1"/>
  <c r="E53" i="94" s="1"/>
  <c r="G53" i="94" s="1"/>
  <c r="C53" i="95" s="1"/>
  <c r="E53" i="95" s="1"/>
  <c r="G53" i="95" s="1"/>
  <c r="C53" i="96" s="1"/>
  <c r="E53" i="96" s="1"/>
  <c r="G53" i="96" s="1"/>
  <c r="E226" i="82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E226" i="92" s="1"/>
  <c r="G226" i="92" s="1"/>
  <c r="E226" i="93" s="1"/>
  <c r="G226" i="93" s="1"/>
  <c r="E226" i="94" s="1"/>
  <c r="G226" i="94" s="1"/>
  <c r="C226" i="95" s="1"/>
  <c r="E226" i="95" s="1"/>
  <c r="G226" i="95" s="1"/>
  <c r="C226" i="96" s="1"/>
  <c r="E226" i="96" s="1"/>
  <c r="G226" i="96" s="1"/>
  <c r="C226" i="82"/>
  <c r="C214" i="82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214" i="91" s="1"/>
  <c r="E214" i="91" s="1"/>
  <c r="G214" i="91" s="1"/>
  <c r="E214" i="92" s="1"/>
  <c r="G214" i="92" s="1"/>
  <c r="E214" i="93" s="1"/>
  <c r="G214" i="93" s="1"/>
  <c r="E214" i="94" s="1"/>
  <c r="G214" i="94" s="1"/>
  <c r="C214" i="95" s="1"/>
  <c r="E214" i="95" s="1"/>
  <c r="G214" i="95" s="1"/>
  <c r="C214" i="96" s="1"/>
  <c r="E214" i="96" s="1"/>
  <c r="G214" i="96" s="1"/>
  <c r="C252" i="82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E252" i="92" s="1"/>
  <c r="G252" i="92" s="1"/>
  <c r="E252" i="93" s="1"/>
  <c r="G252" i="93" s="1"/>
  <c r="E252" i="94" s="1"/>
  <c r="G252" i="94" s="1"/>
  <c r="C252" i="95" s="1"/>
  <c r="E252" i="95" s="1"/>
  <c r="G252" i="95" s="1"/>
  <c r="C252" i="96" s="1"/>
  <c r="E252" i="96" s="1"/>
  <c r="G252" i="96" s="1"/>
  <c r="C108" i="82"/>
  <c r="E108" i="82" s="1"/>
  <c r="G108" i="82" s="1"/>
  <c r="C108" i="83" s="1"/>
  <c r="E108" i="83" s="1"/>
  <c r="G108" i="83" s="1"/>
  <c r="C108" i="84" s="1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C108" i="91" s="1"/>
  <c r="E108" i="91" s="1"/>
  <c r="G108" i="91" s="1"/>
  <c r="E108" i="92" s="1"/>
  <c r="G108" i="92" s="1"/>
  <c r="E108" i="93" s="1"/>
  <c r="G108" i="93" s="1"/>
  <c r="E108" i="94" s="1"/>
  <c r="G108" i="94" s="1"/>
  <c r="C108" i="95" s="1"/>
  <c r="E108" i="95" s="1"/>
  <c r="G108" i="95" s="1"/>
  <c r="C108" i="96" s="1"/>
  <c r="E108" i="96" s="1"/>
  <c r="G108" i="96" s="1"/>
  <c r="E250" i="82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E250" i="92" s="1"/>
  <c r="G250" i="92" s="1"/>
  <c r="E250" i="93" s="1"/>
  <c r="G250" i="93" s="1"/>
  <c r="E250" i="94" s="1"/>
  <c r="G250" i="94" s="1"/>
  <c r="C250" i="95" s="1"/>
  <c r="E250" i="95" s="1"/>
  <c r="G250" i="95" s="1"/>
  <c r="C250" i="96" s="1"/>
  <c r="E250" i="96" s="1"/>
  <c r="G250" i="96" s="1"/>
  <c r="C250" i="82"/>
  <c r="C195" i="82"/>
  <c r="E195" i="82" s="1"/>
  <c r="G195" i="82" s="1"/>
  <c r="C195" i="83" s="1"/>
  <c r="E195" i="83" s="1"/>
  <c r="G195" i="83" s="1"/>
  <c r="C195" i="84" s="1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95" i="91" s="1"/>
  <c r="E195" i="91" s="1"/>
  <c r="G195" i="91" s="1"/>
  <c r="E195" i="92" s="1"/>
  <c r="G195" i="92" s="1"/>
  <c r="E195" i="93" s="1"/>
  <c r="G195" i="93" s="1"/>
  <c r="E195" i="94" s="1"/>
  <c r="G195" i="94" s="1"/>
  <c r="C195" i="95" s="1"/>
  <c r="E195" i="95" s="1"/>
  <c r="G195" i="95" s="1"/>
  <c r="C195" i="96" s="1"/>
  <c r="E195" i="96" s="1"/>
  <c r="G195" i="96" s="1"/>
  <c r="C193" i="82"/>
  <c r="E193" i="82" s="1"/>
  <c r="G193" i="82" s="1"/>
  <c r="C193" i="83" s="1"/>
  <c r="E193" i="83" s="1"/>
  <c r="G193" i="83" s="1"/>
  <c r="C193" i="84" s="1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93" i="89" s="1"/>
  <c r="G193" i="89" s="1"/>
  <c r="C193" i="90" s="1"/>
  <c r="E193" i="90" s="1"/>
  <c r="G193" i="90" s="1"/>
  <c r="C193" i="91" s="1"/>
  <c r="E193" i="91" s="1"/>
  <c r="G193" i="91" s="1"/>
  <c r="E193" i="92" s="1"/>
  <c r="G193" i="92" s="1"/>
  <c r="E193" i="93" s="1"/>
  <c r="G193" i="93" s="1"/>
  <c r="E193" i="94" s="1"/>
  <c r="G193" i="94" s="1"/>
  <c r="C193" i="95" s="1"/>
  <c r="E193" i="95" s="1"/>
  <c r="G193" i="95" s="1"/>
  <c r="C193" i="96" s="1"/>
  <c r="E193" i="96" s="1"/>
  <c r="G193" i="96" s="1"/>
  <c r="C40" i="82"/>
  <c r="E40" i="82" s="1"/>
  <c r="G40" i="82" s="1"/>
  <c r="C40" i="83" s="1"/>
  <c r="E40" i="83" s="1"/>
  <c r="G40" i="83" s="1"/>
  <c r="C40" i="84" s="1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C40" i="89" s="1"/>
  <c r="E40" i="89" s="1"/>
  <c r="G40" i="89" s="1"/>
  <c r="C40" i="90" s="1"/>
  <c r="E40" i="90" s="1"/>
  <c r="G40" i="90" s="1"/>
  <c r="C40" i="91" s="1"/>
  <c r="E40" i="91" s="1"/>
  <c r="G40" i="91" s="1"/>
  <c r="E40" i="92" s="1"/>
  <c r="G40" i="92" s="1"/>
  <c r="E40" i="93" s="1"/>
  <c r="G40" i="93" s="1"/>
  <c r="E40" i="94" s="1"/>
  <c r="G40" i="94" s="1"/>
  <c r="C40" i="95" s="1"/>
  <c r="E40" i="95" s="1"/>
  <c r="G40" i="95" s="1"/>
  <c r="C40" i="96" s="1"/>
  <c r="E40" i="96" s="1"/>
  <c r="G40" i="96" s="1"/>
  <c r="C106" i="82"/>
  <c r="E106" i="82" s="1"/>
  <c r="G106" i="82" s="1"/>
  <c r="C106" i="83" s="1"/>
  <c r="E106" i="83" s="1"/>
  <c r="G106" i="83" s="1"/>
  <c r="C106" i="84" s="1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106" i="91" s="1"/>
  <c r="E106" i="91" s="1"/>
  <c r="G106" i="91" s="1"/>
  <c r="E106" i="92" s="1"/>
  <c r="G106" i="92" s="1"/>
  <c r="E106" i="93" s="1"/>
  <c r="G106" i="93" s="1"/>
  <c r="E106" i="94" s="1"/>
  <c r="G106" i="94" s="1"/>
  <c r="C106" i="95" s="1"/>
  <c r="E106" i="95" s="1"/>
  <c r="G106" i="95" s="1"/>
  <c r="C106" i="96" s="1"/>
  <c r="E106" i="96" s="1"/>
  <c r="G106" i="96" s="1"/>
  <c r="C150" i="82"/>
  <c r="E150" i="82" s="1"/>
  <c r="G150" i="82" s="1"/>
  <c r="C150" i="83" s="1"/>
  <c r="E150" i="83" s="1"/>
  <c r="G150" i="83" s="1"/>
  <c r="C150" i="84" s="1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150" i="91" s="1"/>
  <c r="E150" i="91" s="1"/>
  <c r="G150" i="91" s="1"/>
  <c r="E150" i="92" s="1"/>
  <c r="G150" i="92" s="1"/>
  <c r="E150" i="93" s="1"/>
  <c r="G150" i="93" s="1"/>
  <c r="E150" i="94" s="1"/>
  <c r="G150" i="94" s="1"/>
  <c r="C150" i="95" s="1"/>
  <c r="E150" i="95" s="1"/>
  <c r="G150" i="95" s="1"/>
  <c r="C150" i="96" s="1"/>
  <c r="E150" i="96" s="1"/>
  <c r="G150" i="96" s="1"/>
  <c r="C143" i="82"/>
  <c r="E143" i="82" s="1"/>
  <c r="G143" i="82" s="1"/>
  <c r="C143" i="83" s="1"/>
  <c r="E143" i="83" s="1"/>
  <c r="G143" i="83" s="1"/>
  <c r="C143" i="84" s="1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43" i="91" s="1"/>
  <c r="E143" i="91" s="1"/>
  <c r="G143" i="91" s="1"/>
  <c r="E143" i="92" s="1"/>
  <c r="G143" i="92" s="1"/>
  <c r="E143" i="93" s="1"/>
  <c r="G143" i="93" s="1"/>
  <c r="E143" i="94" s="1"/>
  <c r="G143" i="94" s="1"/>
  <c r="C143" i="95" s="1"/>
  <c r="E143" i="95" s="1"/>
  <c r="G143" i="95" s="1"/>
  <c r="C143" i="96" s="1"/>
  <c r="E143" i="96" s="1"/>
  <c r="G143" i="96" s="1"/>
  <c r="C149" i="82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149" i="91" s="1"/>
  <c r="E149" i="91" s="1"/>
  <c r="G149" i="91" s="1"/>
  <c r="E149" i="92" s="1"/>
  <c r="G149" i="92" s="1"/>
  <c r="E149" i="93" s="1"/>
  <c r="G149" i="93" s="1"/>
  <c r="E149" i="94" s="1"/>
  <c r="G149" i="94" s="1"/>
  <c r="C149" i="95" s="1"/>
  <c r="E149" i="95" s="1"/>
  <c r="G149" i="95" s="1"/>
  <c r="C149" i="96" s="1"/>
  <c r="E149" i="96" s="1"/>
  <c r="G149" i="96" s="1"/>
  <c r="E116" i="82"/>
  <c r="G116" i="82" s="1"/>
  <c r="C116" i="83" s="1"/>
  <c r="E116" i="83" s="1"/>
  <c r="G116" i="83" s="1"/>
  <c r="C116" i="84" s="1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91" s="1"/>
  <c r="E116" i="91" s="1"/>
  <c r="G116" i="91" s="1"/>
  <c r="E116" i="92" s="1"/>
  <c r="G116" i="92" s="1"/>
  <c r="E116" i="93" s="1"/>
  <c r="G116" i="93" s="1"/>
  <c r="E116" i="94" s="1"/>
  <c r="G116" i="94" s="1"/>
  <c r="C116" i="95" s="1"/>
  <c r="E116" i="95" s="1"/>
  <c r="G116" i="95" s="1"/>
  <c r="C116" i="96" s="1"/>
  <c r="E116" i="96" s="1"/>
  <c r="G116" i="96" s="1"/>
  <c r="C116" i="82"/>
  <c r="C21" i="82"/>
  <c r="E21" i="82" s="1"/>
  <c r="G21" i="82" s="1"/>
  <c r="C21" i="83" s="1"/>
  <c r="E21" i="83" s="1"/>
  <c r="G21" i="83" s="1"/>
  <c r="C21" i="84" s="1"/>
  <c r="E21" i="84" s="1"/>
  <c r="G21" i="84" s="1"/>
  <c r="C21" i="85" s="1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21" i="91" s="1"/>
  <c r="E21" i="91" s="1"/>
  <c r="G21" i="91" s="1"/>
  <c r="E21" i="92" s="1"/>
  <c r="G21" i="92" s="1"/>
  <c r="E21" i="93" s="1"/>
  <c r="G21" i="93" s="1"/>
  <c r="E21" i="94" s="1"/>
  <c r="G21" i="94" s="1"/>
  <c r="C21" i="95" s="1"/>
  <c r="E21" i="95" s="1"/>
  <c r="G21" i="95" s="1"/>
  <c r="C21" i="96" s="1"/>
  <c r="E21" i="96" s="1"/>
  <c r="G21" i="96" s="1"/>
  <c r="C107" i="82"/>
  <c r="E107" i="82" s="1"/>
  <c r="G107" i="82" s="1"/>
  <c r="C107" i="83" s="1"/>
  <c r="E107" i="83" s="1"/>
  <c r="G107" i="83" s="1"/>
  <c r="C107" i="84" s="1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07" i="91" s="1"/>
  <c r="E107" i="91" s="1"/>
  <c r="G107" i="91" s="1"/>
  <c r="E107" i="92" s="1"/>
  <c r="G107" i="92" s="1"/>
  <c r="E107" i="93" s="1"/>
  <c r="G107" i="93" s="1"/>
  <c r="E107" i="94" s="1"/>
  <c r="G107" i="94" s="1"/>
  <c r="C107" i="95" s="1"/>
  <c r="E107" i="95" s="1"/>
  <c r="G107" i="95" s="1"/>
  <c r="C107" i="96" s="1"/>
  <c r="E107" i="96" s="1"/>
  <c r="G107" i="96" s="1"/>
  <c r="C67" i="82"/>
  <c r="E67" i="82" s="1"/>
  <c r="G67" i="82" s="1"/>
  <c r="C67" i="83" s="1"/>
  <c r="E67" i="83" s="1"/>
  <c r="G67" i="83" s="1"/>
  <c r="C67" i="84" s="1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67" i="91" s="1"/>
  <c r="E67" i="91" s="1"/>
  <c r="G67" i="91" s="1"/>
  <c r="E67" i="92" s="1"/>
  <c r="G67" i="92" s="1"/>
  <c r="E67" i="93" s="1"/>
  <c r="G67" i="93" s="1"/>
  <c r="E67" i="94" s="1"/>
  <c r="G67" i="94" s="1"/>
  <c r="C67" i="95" s="1"/>
  <c r="E67" i="95" s="1"/>
  <c r="G67" i="95" s="1"/>
  <c r="C67" i="96" s="1"/>
  <c r="E67" i="96" s="1"/>
  <c r="G67" i="96" s="1"/>
  <c r="C136" i="82"/>
  <c r="E136" i="82" s="1"/>
  <c r="G136" i="82" s="1"/>
  <c r="C136" i="83" s="1"/>
  <c r="E136" i="83" s="1"/>
  <c r="G136" i="83" s="1"/>
  <c r="C136" i="84" s="1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136" i="91" s="1"/>
  <c r="E136" i="91" s="1"/>
  <c r="G136" i="91" s="1"/>
  <c r="E136" i="92" s="1"/>
  <c r="G136" i="92" s="1"/>
  <c r="E136" i="93" s="1"/>
  <c r="G136" i="93" s="1"/>
  <c r="E136" i="94" s="1"/>
  <c r="G136" i="94" s="1"/>
  <c r="C136" i="95" s="1"/>
  <c r="E136" i="95" s="1"/>
  <c r="G136" i="95" s="1"/>
  <c r="C136" i="96" s="1"/>
  <c r="E136" i="96" s="1"/>
  <c r="G136" i="96" s="1"/>
  <c r="C47" i="82"/>
  <c r="E47" i="82" s="1"/>
  <c r="G47" i="82" s="1"/>
  <c r="C47" i="83" s="1"/>
  <c r="E47" i="83" s="1"/>
  <c r="G47" i="83" s="1"/>
  <c r="C47" i="84" s="1"/>
  <c r="E47" i="84" s="1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C47" i="89" s="1"/>
  <c r="E47" i="89" s="1"/>
  <c r="G47" i="89" s="1"/>
  <c r="C47" i="90" s="1"/>
  <c r="E47" i="90" s="1"/>
  <c r="G47" i="90" s="1"/>
  <c r="C47" i="91" s="1"/>
  <c r="E47" i="91" s="1"/>
  <c r="G47" i="91" s="1"/>
  <c r="E47" i="92" s="1"/>
  <c r="G47" i="92" s="1"/>
  <c r="E47" i="93" s="1"/>
  <c r="G47" i="93" s="1"/>
  <c r="E47" i="94" s="1"/>
  <c r="G47" i="94" s="1"/>
  <c r="C47" i="95" s="1"/>
  <c r="E47" i="95" s="1"/>
  <c r="G47" i="95" s="1"/>
  <c r="E47" i="96" s="1"/>
  <c r="G47" i="96" s="1"/>
  <c r="C230" i="82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E230" i="92" s="1"/>
  <c r="G230" i="92" s="1"/>
  <c r="E230" i="93" s="1"/>
  <c r="G230" i="93" s="1"/>
  <c r="E230" i="94" s="1"/>
  <c r="G230" i="94" s="1"/>
  <c r="C230" i="95" s="1"/>
  <c r="E230" i="95" s="1"/>
  <c r="G230" i="95" s="1"/>
  <c r="C230" i="96" s="1"/>
  <c r="E230" i="96" s="1"/>
  <c r="G230" i="96" s="1"/>
  <c r="C31" i="82"/>
  <c r="E31" i="82" s="1"/>
  <c r="G31" i="82" s="1"/>
  <c r="C31" i="83" s="1"/>
  <c r="E31" i="83" s="1"/>
  <c r="G31" i="83" s="1"/>
  <c r="C31" i="84" s="1"/>
  <c r="E31" i="84" s="1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31" i="89" s="1"/>
  <c r="E31" i="89" s="1"/>
  <c r="G31" i="89" s="1"/>
  <c r="C31" i="90" s="1"/>
  <c r="E31" i="90" s="1"/>
  <c r="G31" i="90" s="1"/>
  <c r="C31" i="91" s="1"/>
  <c r="E31" i="91" s="1"/>
  <c r="G31" i="91" s="1"/>
  <c r="E31" i="92" s="1"/>
  <c r="G31" i="92" s="1"/>
  <c r="E31" i="93" s="1"/>
  <c r="G31" i="93" s="1"/>
  <c r="E31" i="94" s="1"/>
  <c r="G31" i="94" s="1"/>
  <c r="C31" i="95" s="1"/>
  <c r="E31" i="95" s="1"/>
  <c r="G31" i="95" s="1"/>
  <c r="C31" i="96" s="1"/>
  <c r="E31" i="96" s="1"/>
  <c r="G31" i="96" s="1"/>
  <c r="C215" i="82"/>
  <c r="E215" i="82" s="1"/>
  <c r="G215" i="82" s="1"/>
  <c r="C215" i="83" s="1"/>
  <c r="E215" i="83" s="1"/>
  <c r="G215" i="83" s="1"/>
  <c r="C215" i="84" s="1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15" i="91" s="1"/>
  <c r="E215" i="91" s="1"/>
  <c r="G215" i="91" s="1"/>
  <c r="E215" i="92" s="1"/>
  <c r="G215" i="92" s="1"/>
  <c r="E215" i="93" s="1"/>
  <c r="G215" i="93" s="1"/>
  <c r="E215" i="94" s="1"/>
  <c r="G215" i="94" s="1"/>
  <c r="C215" i="95" s="1"/>
  <c r="E215" i="95" s="1"/>
  <c r="G215" i="95" s="1"/>
  <c r="C215" i="96" s="1"/>
  <c r="E215" i="96" s="1"/>
  <c r="G215" i="96" s="1"/>
  <c r="C192" i="82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C192" i="89" s="1"/>
  <c r="E192" i="89" s="1"/>
  <c r="G192" i="89" s="1"/>
  <c r="C192" i="90" s="1"/>
  <c r="E192" i="90" s="1"/>
  <c r="G192" i="90" s="1"/>
  <c r="C192" i="91" s="1"/>
  <c r="E192" i="91" s="1"/>
  <c r="G192" i="91" s="1"/>
  <c r="E192" i="92" s="1"/>
  <c r="G192" i="92" s="1"/>
  <c r="E192" i="93" s="1"/>
  <c r="G192" i="93" s="1"/>
  <c r="E192" i="94" s="1"/>
  <c r="G192" i="94" s="1"/>
  <c r="C192" i="95" s="1"/>
  <c r="E192" i="95" s="1"/>
  <c r="G192" i="95" s="1"/>
  <c r="C192" i="96" s="1"/>
  <c r="E192" i="96" s="1"/>
  <c r="G192" i="96" s="1"/>
  <c r="C70" i="82"/>
  <c r="E70" i="82" s="1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C70" i="89" s="1"/>
  <c r="E70" i="89" s="1"/>
  <c r="G70" i="89" s="1"/>
  <c r="C70" i="90" s="1"/>
  <c r="E70" i="90" s="1"/>
  <c r="G70" i="90" s="1"/>
  <c r="C70" i="91" s="1"/>
  <c r="E70" i="91" s="1"/>
  <c r="G70" i="91" s="1"/>
  <c r="E70" i="92" s="1"/>
  <c r="G70" i="92" s="1"/>
  <c r="E70" i="93" s="1"/>
  <c r="G70" i="93" s="1"/>
  <c r="E70" i="94" s="1"/>
  <c r="G70" i="94" s="1"/>
  <c r="C70" i="95" s="1"/>
  <c r="E70" i="95" s="1"/>
  <c r="G70" i="95" s="1"/>
  <c r="C70" i="96" s="1"/>
  <c r="E70" i="96" s="1"/>
  <c r="G70" i="96" s="1"/>
  <c r="C222" i="82"/>
  <c r="E222" i="82" s="1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E222" i="92" s="1"/>
  <c r="G222" i="92" s="1"/>
  <c r="E222" i="93" s="1"/>
  <c r="G222" i="93" s="1"/>
  <c r="E222" i="94" s="1"/>
  <c r="G222" i="94" s="1"/>
  <c r="C222" i="95" s="1"/>
  <c r="E222" i="95" s="1"/>
  <c r="G222" i="95" s="1"/>
  <c r="C222" i="96" s="1"/>
  <c r="E222" i="96" s="1"/>
  <c r="G222" i="96" s="1"/>
  <c r="C37" i="82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C37" i="89" s="1"/>
  <c r="E37" i="89" s="1"/>
  <c r="G37" i="89" s="1"/>
  <c r="C37" i="90" s="1"/>
  <c r="E37" i="90" s="1"/>
  <c r="G37" i="90" s="1"/>
  <c r="C37" i="91" s="1"/>
  <c r="E37" i="91" s="1"/>
  <c r="G37" i="91" s="1"/>
  <c r="E37" i="92" s="1"/>
  <c r="G37" i="92" s="1"/>
  <c r="E37" i="93" s="1"/>
  <c r="G37" i="93" s="1"/>
  <c r="E37" i="94" s="1"/>
  <c r="G37" i="94" s="1"/>
  <c r="C37" i="95" s="1"/>
  <c r="E37" i="95" s="1"/>
  <c r="G37" i="95" s="1"/>
  <c r="C37" i="96" s="1"/>
  <c r="E37" i="96" s="1"/>
  <c r="G37" i="96" s="1"/>
  <c r="C94" i="82"/>
  <c r="E94" i="82" s="1"/>
  <c r="G94" i="82" s="1"/>
  <c r="C94" i="83" s="1"/>
  <c r="E94" i="83" s="1"/>
  <c r="G94" i="83" s="1"/>
  <c r="C94" i="84" s="1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91" s="1"/>
  <c r="E94" i="91" s="1"/>
  <c r="G94" i="91" s="1"/>
  <c r="E94" i="92" s="1"/>
  <c r="G94" i="92" s="1"/>
  <c r="E94" i="93" s="1"/>
  <c r="G94" i="93" s="1"/>
  <c r="E94" i="94" s="1"/>
  <c r="G94" i="94" s="1"/>
  <c r="C94" i="95" s="1"/>
  <c r="E94" i="95" s="1"/>
  <c r="G94" i="95" s="1"/>
  <c r="C94" i="96" s="1"/>
  <c r="E94" i="96" s="1"/>
  <c r="G94" i="96" s="1"/>
  <c r="C177" i="82"/>
  <c r="E177" i="82" s="1"/>
  <c r="G177" i="82" s="1"/>
  <c r="C177" i="83" s="1"/>
  <c r="E177" i="83" s="1"/>
  <c r="G177" i="83" s="1"/>
  <c r="C177" i="84" s="1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177" i="91" s="1"/>
  <c r="E177" i="91" s="1"/>
  <c r="G177" i="91" s="1"/>
  <c r="E177" i="92" s="1"/>
  <c r="G177" i="92" s="1"/>
  <c r="E177" i="93" s="1"/>
  <c r="G177" i="93" s="1"/>
  <c r="E177" i="94" s="1"/>
  <c r="G177" i="94" s="1"/>
  <c r="C177" i="95" s="1"/>
  <c r="E177" i="95" s="1"/>
  <c r="G177" i="95" s="1"/>
  <c r="C177" i="96" s="1"/>
  <c r="E177" i="96" s="1"/>
  <c r="G177" i="96" s="1"/>
  <c r="C120" i="82"/>
  <c r="E120" i="82" s="1"/>
  <c r="G120" i="82" s="1"/>
  <c r="C120" i="83" s="1"/>
  <c r="E120" i="83" s="1"/>
  <c r="G120" i="83" s="1"/>
  <c r="C120" i="84" s="1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120" i="91" s="1"/>
  <c r="E120" i="91" s="1"/>
  <c r="G120" i="91" s="1"/>
  <c r="E120" i="92" s="1"/>
  <c r="G120" i="92" s="1"/>
  <c r="E120" i="93" s="1"/>
  <c r="G120" i="93" s="1"/>
  <c r="E120" i="94" s="1"/>
  <c r="G120" i="94" s="1"/>
  <c r="C120" i="95" s="1"/>
  <c r="E120" i="95" s="1"/>
  <c r="G120" i="95" s="1"/>
  <c r="C120" i="96" s="1"/>
  <c r="E120" i="96" s="1"/>
  <c r="G120" i="96" s="1"/>
  <c r="E148" i="82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48" i="89" s="1"/>
  <c r="G148" i="89" s="1"/>
  <c r="C148" i="90" s="1"/>
  <c r="E148" i="90" s="1"/>
  <c r="G148" i="90" s="1"/>
  <c r="C148" i="91" s="1"/>
  <c r="E148" i="91" s="1"/>
  <c r="G148" i="91" s="1"/>
  <c r="E148" i="92" s="1"/>
  <c r="G148" i="92" s="1"/>
  <c r="E148" i="93" s="1"/>
  <c r="G148" i="93" s="1"/>
  <c r="E148" i="94" s="1"/>
  <c r="G148" i="94" s="1"/>
  <c r="C148" i="95" s="1"/>
  <c r="E148" i="95" s="1"/>
  <c r="G148" i="95" s="1"/>
  <c r="C148" i="96" s="1"/>
  <c r="E148" i="96" s="1"/>
  <c r="G148" i="96" s="1"/>
  <c r="C148" i="82"/>
  <c r="C140" i="82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40" i="89" s="1"/>
  <c r="G140" i="89" s="1"/>
  <c r="C140" i="90" s="1"/>
  <c r="E140" i="90" s="1"/>
  <c r="G140" i="90" s="1"/>
  <c r="C140" i="91" s="1"/>
  <c r="E140" i="91" s="1"/>
  <c r="G140" i="91" s="1"/>
  <c r="E140" i="92" s="1"/>
  <c r="G140" i="92" s="1"/>
  <c r="E140" i="93" s="1"/>
  <c r="G140" i="93" s="1"/>
  <c r="E140" i="94" s="1"/>
  <c r="G140" i="94" s="1"/>
  <c r="C140" i="95" s="1"/>
  <c r="E140" i="95" s="1"/>
  <c r="G140" i="95" s="1"/>
  <c r="C140" i="96" s="1"/>
  <c r="E140" i="96" s="1"/>
  <c r="G140" i="96" s="1"/>
  <c r="C124" i="82"/>
  <c r="E124" i="82" s="1"/>
  <c r="G124" i="82" s="1"/>
  <c r="C124" i="83" s="1"/>
  <c r="E124" i="83" s="1"/>
  <c r="G124" i="83" s="1"/>
  <c r="C124" i="84" s="1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124" i="91" s="1"/>
  <c r="E124" i="91" s="1"/>
  <c r="G124" i="91" s="1"/>
  <c r="E124" i="92" s="1"/>
  <c r="G124" i="92" s="1"/>
  <c r="E124" i="93" s="1"/>
  <c r="G124" i="93" s="1"/>
  <c r="E124" i="94" s="1"/>
  <c r="G124" i="94" s="1"/>
  <c r="C124" i="95" s="1"/>
  <c r="E124" i="95" s="1"/>
  <c r="G124" i="95" s="1"/>
  <c r="C124" i="96" s="1"/>
  <c r="E124" i="96" s="1"/>
  <c r="G124" i="96" s="1"/>
  <c r="C64" i="82"/>
  <c r="E64" i="82" s="1"/>
  <c r="G64" i="82" s="1"/>
  <c r="C64" i="83" s="1"/>
  <c r="E64" i="83" s="1"/>
  <c r="G64" i="83" s="1"/>
  <c r="C64" i="84" s="1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64" i="91" s="1"/>
  <c r="E64" i="91" s="1"/>
  <c r="G64" i="91" s="1"/>
  <c r="E64" i="92" s="1"/>
  <c r="G64" i="92" s="1"/>
  <c r="E64" i="93" s="1"/>
  <c r="G64" i="93" s="1"/>
  <c r="E64" i="94" s="1"/>
  <c r="G64" i="94" s="1"/>
  <c r="C64" i="95" s="1"/>
  <c r="E64" i="95" s="1"/>
  <c r="G64" i="95" s="1"/>
  <c r="C64" i="96" s="1"/>
  <c r="E64" i="96" s="1"/>
  <c r="G64" i="96" s="1"/>
  <c r="E56" i="82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56" i="91" s="1"/>
  <c r="E56" i="91" s="1"/>
  <c r="G56" i="91" s="1"/>
  <c r="E56" i="92" s="1"/>
  <c r="G56" i="92" s="1"/>
  <c r="E56" i="93" s="1"/>
  <c r="G56" i="93" s="1"/>
  <c r="E56" i="94" s="1"/>
  <c r="G56" i="94" s="1"/>
  <c r="C56" i="95" s="1"/>
  <c r="E56" i="95" s="1"/>
  <c r="G56" i="95" s="1"/>
  <c r="C56" i="96" s="1"/>
  <c r="E56" i="96" s="1"/>
  <c r="G56" i="96" s="1"/>
  <c r="C56" i="82"/>
  <c r="C96" i="82"/>
  <c r="E96" i="82" s="1"/>
  <c r="G96" i="82" s="1"/>
  <c r="C96" i="83" s="1"/>
  <c r="E96" i="83" s="1"/>
  <c r="G96" i="83" s="1"/>
  <c r="C96" i="84" s="1"/>
  <c r="E96" i="84" s="1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96" i="91" s="1"/>
  <c r="E96" i="91" s="1"/>
  <c r="G96" i="91" s="1"/>
  <c r="E96" i="92" s="1"/>
  <c r="G96" i="92" s="1"/>
  <c r="E96" i="93" s="1"/>
  <c r="G96" i="93" s="1"/>
  <c r="E96" i="94" s="1"/>
  <c r="G96" i="94" s="1"/>
  <c r="C96" i="95" s="1"/>
  <c r="E96" i="95" s="1"/>
  <c r="G96" i="95" s="1"/>
  <c r="C96" i="96" s="1"/>
  <c r="E96" i="96" s="1"/>
  <c r="G96" i="96" s="1"/>
  <c r="C239" i="82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E239" i="92" s="1"/>
  <c r="G239" i="92" s="1"/>
  <c r="E239" i="93" s="1"/>
  <c r="G239" i="93" s="1"/>
  <c r="E239" i="94" s="1"/>
  <c r="G239" i="94" s="1"/>
  <c r="C239" i="95" s="1"/>
  <c r="E239" i="95" s="1"/>
  <c r="G239" i="95" s="1"/>
  <c r="C239" i="96" s="1"/>
  <c r="E239" i="96" s="1"/>
  <c r="G239" i="96" s="1"/>
  <c r="C247" i="82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247" i="91" s="1"/>
  <c r="E247" i="91" s="1"/>
  <c r="G247" i="91" s="1"/>
  <c r="E247" i="92" s="1"/>
  <c r="G247" i="92" s="1"/>
  <c r="E247" i="93" s="1"/>
  <c r="G247" i="93" s="1"/>
  <c r="E247" i="94" s="1"/>
  <c r="G247" i="94" s="1"/>
  <c r="C247" i="95" s="1"/>
  <c r="E247" i="95" s="1"/>
  <c r="G247" i="95" s="1"/>
  <c r="C247" i="96" s="1"/>
  <c r="E247" i="96" s="1"/>
  <c r="G247" i="96" s="1"/>
  <c r="E119" i="82"/>
  <c r="G119" i="82" s="1"/>
  <c r="C119" i="83" s="1"/>
  <c r="E119" i="83" s="1"/>
  <c r="G119" i="83" s="1"/>
  <c r="C119" i="84" s="1"/>
  <c r="E119" i="84" s="1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19" i="91" s="1"/>
  <c r="E119" i="91" s="1"/>
  <c r="G119" i="91" s="1"/>
  <c r="E119" i="92" s="1"/>
  <c r="G119" i="92" s="1"/>
  <c r="E119" i="93" s="1"/>
  <c r="G119" i="93" s="1"/>
  <c r="E119" i="94" s="1"/>
  <c r="G119" i="94" s="1"/>
  <c r="C119" i="95" s="1"/>
  <c r="E119" i="95" s="1"/>
  <c r="G119" i="95" s="1"/>
  <c r="C119" i="96" s="1"/>
  <c r="E119" i="96" s="1"/>
  <c r="G119" i="96" s="1"/>
  <c r="C119" i="82"/>
  <c r="C49" i="82"/>
  <c r="E49" i="82" s="1"/>
  <c r="G49" i="82" s="1"/>
  <c r="C49" i="83" s="1"/>
  <c r="E49" i="83" s="1"/>
  <c r="G49" i="83" s="1"/>
  <c r="C49" i="84" s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49" i="91" s="1"/>
  <c r="E49" i="91" s="1"/>
  <c r="G49" i="91" s="1"/>
  <c r="E49" i="92" s="1"/>
  <c r="G49" i="92" s="1"/>
  <c r="E49" i="93" s="1"/>
  <c r="G49" i="93" s="1"/>
  <c r="E49" i="94" s="1"/>
  <c r="G49" i="94" s="1"/>
  <c r="C49" i="95" s="1"/>
  <c r="E49" i="95" s="1"/>
  <c r="G49" i="95" s="1"/>
  <c r="C49" i="96" s="1"/>
  <c r="E49" i="96" s="1"/>
  <c r="G49" i="96" s="1"/>
  <c r="C251" i="82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E251" i="92" s="1"/>
  <c r="G251" i="92" s="1"/>
  <c r="E251" i="93" s="1"/>
  <c r="G251" i="93" s="1"/>
  <c r="E251" i="94" s="1"/>
  <c r="G251" i="94" s="1"/>
  <c r="C251" i="95" s="1"/>
  <c r="E251" i="95" s="1"/>
  <c r="G251" i="95" s="1"/>
  <c r="C251" i="96" s="1"/>
  <c r="E251" i="96" s="1"/>
  <c r="G251" i="96" s="1"/>
  <c r="C210" i="82"/>
  <c r="E210" i="82" s="1"/>
  <c r="G210" i="82" s="1"/>
  <c r="C210" i="83" s="1"/>
  <c r="E210" i="83" s="1"/>
  <c r="G210" i="83" s="1"/>
  <c r="C210" i="84" s="1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C210" i="89" s="1"/>
  <c r="E210" i="89" s="1"/>
  <c r="G210" i="89" s="1"/>
  <c r="C210" i="90" s="1"/>
  <c r="E210" i="90" s="1"/>
  <c r="G210" i="90" s="1"/>
  <c r="C210" i="91" s="1"/>
  <c r="E210" i="91" s="1"/>
  <c r="G210" i="91" s="1"/>
  <c r="E210" i="92" s="1"/>
  <c r="G210" i="92" s="1"/>
  <c r="E210" i="93" s="1"/>
  <c r="G210" i="93" s="1"/>
  <c r="E210" i="94" s="1"/>
  <c r="G210" i="94" s="1"/>
  <c r="C210" i="95" s="1"/>
  <c r="E210" i="95" s="1"/>
  <c r="G210" i="95" s="1"/>
  <c r="C210" i="96" s="1"/>
  <c r="E210" i="96" s="1"/>
  <c r="G210" i="96" s="1"/>
  <c r="C142" i="82"/>
  <c r="E142" i="82" s="1"/>
  <c r="G142" i="82" s="1"/>
  <c r="C142" i="83" s="1"/>
  <c r="E142" i="83" s="1"/>
  <c r="G142" i="83" s="1"/>
  <c r="C142" i="84" s="1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2" i="91" s="1"/>
  <c r="E142" i="91" s="1"/>
  <c r="G142" i="91" s="1"/>
  <c r="E142" i="92" s="1"/>
  <c r="G142" i="92" s="1"/>
  <c r="E142" i="93" s="1"/>
  <c r="G142" i="93" s="1"/>
  <c r="E142" i="94" s="1"/>
  <c r="G142" i="94" s="1"/>
  <c r="C142" i="95" s="1"/>
  <c r="E142" i="95" s="1"/>
  <c r="G142" i="95" s="1"/>
  <c r="C142" i="96" s="1"/>
  <c r="E142" i="96" s="1"/>
  <c r="G142" i="96" s="1"/>
  <c r="C16" i="82"/>
  <c r="E16" i="82" s="1"/>
  <c r="G16" i="82" s="1"/>
  <c r="C16" i="83" s="1"/>
  <c r="E16" i="83" s="1"/>
  <c r="G16" i="83" s="1"/>
  <c r="C16" i="84" s="1"/>
  <c r="E16" i="84" s="1"/>
  <c r="G16" i="84" s="1"/>
  <c r="C175" i="82"/>
  <c r="E175" i="82" s="1"/>
  <c r="G175" i="82" s="1"/>
  <c r="C175" i="83" s="1"/>
  <c r="E175" i="83" s="1"/>
  <c r="G175" i="83" s="1"/>
  <c r="C175" i="84" s="1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175" i="91" s="1"/>
  <c r="E175" i="91" s="1"/>
  <c r="G175" i="91" s="1"/>
  <c r="E175" i="92" s="1"/>
  <c r="G175" i="92" s="1"/>
  <c r="E175" i="93" s="1"/>
  <c r="G175" i="93" s="1"/>
  <c r="E175" i="94" s="1"/>
  <c r="G175" i="94" s="1"/>
  <c r="C175" i="95" s="1"/>
  <c r="E175" i="95" s="1"/>
  <c r="G175" i="95" s="1"/>
  <c r="C175" i="96" s="1"/>
  <c r="E175" i="96" s="1"/>
  <c r="G175" i="96" s="1"/>
  <c r="C23" i="82"/>
  <c r="E23" i="82" s="1"/>
  <c r="G23" i="82" s="1"/>
  <c r="C23" i="83" s="1"/>
  <c r="E23" i="83" s="1"/>
  <c r="G23" i="83" s="1"/>
  <c r="C23" i="84" s="1"/>
  <c r="E23" i="84" s="1"/>
  <c r="G23" i="84" s="1"/>
  <c r="C23" i="85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91" s="1"/>
  <c r="E23" i="91" s="1"/>
  <c r="G23" i="91" s="1"/>
  <c r="E23" i="92" s="1"/>
  <c r="G23" i="92" s="1"/>
  <c r="E23" i="93" s="1"/>
  <c r="G23" i="93" s="1"/>
  <c r="E23" i="94" s="1"/>
  <c r="G23" i="94" s="1"/>
  <c r="C23" i="95" s="1"/>
  <c r="E23" i="95" s="1"/>
  <c r="G23" i="95" s="1"/>
  <c r="C23" i="96" s="1"/>
  <c r="E23" i="96" s="1"/>
  <c r="G23" i="96" s="1"/>
  <c r="E38" i="82"/>
  <c r="G38" i="82" s="1"/>
  <c r="C38" i="83" s="1"/>
  <c r="E38" i="83" s="1"/>
  <c r="G38" i="83" s="1"/>
  <c r="C38" i="84" s="1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38" i="91" s="1"/>
  <c r="E38" i="91" s="1"/>
  <c r="G38" i="91" s="1"/>
  <c r="E38" i="92" s="1"/>
  <c r="G38" i="92" s="1"/>
  <c r="E38" i="93" s="1"/>
  <c r="G38" i="93" s="1"/>
  <c r="E38" i="94" s="1"/>
  <c r="G38" i="94" s="1"/>
  <c r="C38" i="95" s="1"/>
  <c r="E38" i="95" s="1"/>
  <c r="G38" i="95" s="1"/>
  <c r="C38" i="96" s="1"/>
  <c r="E38" i="96" s="1"/>
  <c r="G38" i="96" s="1"/>
  <c r="C38" i="82"/>
  <c r="C146" i="82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C146" i="91" s="1"/>
  <c r="E146" i="91" s="1"/>
  <c r="G146" i="91" s="1"/>
  <c r="E146" i="92" s="1"/>
  <c r="G146" i="92" s="1"/>
  <c r="E146" i="93" s="1"/>
  <c r="G146" i="93" s="1"/>
  <c r="E146" i="94" s="1"/>
  <c r="G146" i="94" s="1"/>
  <c r="C146" i="95" s="1"/>
  <c r="E146" i="95" s="1"/>
  <c r="G146" i="95" s="1"/>
  <c r="C146" i="96" s="1"/>
  <c r="E146" i="96" s="1"/>
  <c r="G146" i="96" s="1"/>
  <c r="C206" i="82"/>
  <c r="E206" i="82" s="1"/>
  <c r="G206" i="82" s="1"/>
  <c r="C206" i="83" s="1"/>
  <c r="E206" i="83" s="1"/>
  <c r="G206" i="83" s="1"/>
  <c r="C206" i="84" s="1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206" i="91" s="1"/>
  <c r="E206" i="91" s="1"/>
  <c r="G206" i="91" s="1"/>
  <c r="E206" i="92" s="1"/>
  <c r="G206" i="92" s="1"/>
  <c r="E206" i="93" s="1"/>
  <c r="G206" i="93" s="1"/>
  <c r="E206" i="94" s="1"/>
  <c r="G206" i="94" s="1"/>
  <c r="C206" i="95" s="1"/>
  <c r="E206" i="95" s="1"/>
  <c r="G206" i="95" s="1"/>
  <c r="C206" i="96" s="1"/>
  <c r="E206" i="96" s="1"/>
  <c r="G206" i="96" s="1"/>
  <c r="C43" i="82"/>
  <c r="E43" i="82" s="1"/>
  <c r="G43" i="82" s="1"/>
  <c r="C43" i="83" s="1"/>
  <c r="E43" i="83" s="1"/>
  <c r="G43" i="83" s="1"/>
  <c r="C43" i="84" s="1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C43" i="89" s="1"/>
  <c r="E43" i="89" s="1"/>
  <c r="G43" i="89" s="1"/>
  <c r="C43" i="90" s="1"/>
  <c r="E43" i="90" s="1"/>
  <c r="G43" i="90" s="1"/>
  <c r="C43" i="91" s="1"/>
  <c r="E43" i="91" s="1"/>
  <c r="G43" i="91" s="1"/>
  <c r="E43" i="92" s="1"/>
  <c r="G43" i="92" s="1"/>
  <c r="E43" i="93" s="1"/>
  <c r="G43" i="93" s="1"/>
  <c r="E43" i="94" s="1"/>
  <c r="G43" i="94" s="1"/>
  <c r="C43" i="95" s="1"/>
  <c r="E43" i="95" s="1"/>
  <c r="G43" i="95" s="1"/>
  <c r="C43" i="96" s="1"/>
  <c r="E43" i="96" s="1"/>
  <c r="G43" i="96" s="1"/>
  <c r="C144" i="82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44" i="90" s="1"/>
  <c r="G144" i="90" s="1"/>
  <c r="C144" i="91" s="1"/>
  <c r="E144" i="91" s="1"/>
  <c r="G144" i="91" s="1"/>
  <c r="E144" i="92" s="1"/>
  <c r="G144" i="92" s="1"/>
  <c r="E144" i="93" s="1"/>
  <c r="G144" i="93" s="1"/>
  <c r="E144" i="94" s="1"/>
  <c r="G144" i="94" s="1"/>
  <c r="C144" i="95" s="1"/>
  <c r="E144" i="95" s="1"/>
  <c r="G144" i="95" s="1"/>
  <c r="C144" i="96" s="1"/>
  <c r="E144" i="96" s="1"/>
  <c r="G144" i="96" s="1"/>
  <c r="C200" i="82"/>
  <c r="E200" i="82" s="1"/>
  <c r="G200" i="82" s="1"/>
  <c r="C200" i="83" s="1"/>
  <c r="E200" i="83" s="1"/>
  <c r="G200" i="83" s="1"/>
  <c r="C200" i="84" s="1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200" i="91" s="1"/>
  <c r="E200" i="91" s="1"/>
  <c r="G200" i="91" s="1"/>
  <c r="E200" i="92" s="1"/>
  <c r="G200" i="92" s="1"/>
  <c r="E200" i="93" s="1"/>
  <c r="G200" i="93" s="1"/>
  <c r="E200" i="94" s="1"/>
  <c r="G200" i="94" s="1"/>
  <c r="C200" i="95" s="1"/>
  <c r="E200" i="95" s="1"/>
  <c r="G200" i="95" s="1"/>
  <c r="C200" i="96" s="1"/>
  <c r="E200" i="96" s="1"/>
  <c r="G200" i="96" s="1"/>
  <c r="C44" i="82"/>
  <c r="E44" i="82" s="1"/>
  <c r="G44" i="82" s="1"/>
  <c r="C44" i="83" s="1"/>
  <c r="E44" i="83" s="1"/>
  <c r="G44" i="83" s="1"/>
  <c r="C44" i="84" s="1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C44" i="91" s="1"/>
  <c r="E44" i="91" s="1"/>
  <c r="G44" i="91" s="1"/>
  <c r="E44" i="92" s="1"/>
  <c r="G44" i="92" s="1"/>
  <c r="E44" i="93" s="1"/>
  <c r="G44" i="93" s="1"/>
  <c r="E44" i="94" s="1"/>
  <c r="G44" i="94" s="1"/>
  <c r="C44" i="95" s="1"/>
  <c r="E44" i="95" s="1"/>
  <c r="G44" i="95" s="1"/>
  <c r="C44" i="96" s="1"/>
  <c r="E44" i="96" s="1"/>
  <c r="G44" i="96" s="1"/>
  <c r="C72" i="82"/>
  <c r="E72" i="82" s="1"/>
  <c r="G72" i="82" s="1"/>
  <c r="C72" i="83" s="1"/>
  <c r="E72" i="83" s="1"/>
  <c r="G72" i="83" s="1"/>
  <c r="C72" i="84" s="1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C72" i="89" s="1"/>
  <c r="E72" i="89" s="1"/>
  <c r="G72" i="89" s="1"/>
  <c r="C72" i="90" s="1"/>
  <c r="E72" i="90" s="1"/>
  <c r="G72" i="90" s="1"/>
  <c r="C72" i="91" s="1"/>
  <c r="E72" i="91" s="1"/>
  <c r="G72" i="91" s="1"/>
  <c r="E72" i="92" s="1"/>
  <c r="G72" i="92" s="1"/>
  <c r="E72" i="93" s="1"/>
  <c r="G72" i="93" s="1"/>
  <c r="E72" i="94" s="1"/>
  <c r="G72" i="94" s="1"/>
  <c r="C72" i="95" s="1"/>
  <c r="E72" i="95" s="1"/>
  <c r="G72" i="95" s="1"/>
  <c r="C72" i="96" s="1"/>
  <c r="E72" i="96" s="1"/>
  <c r="G72" i="96" s="1"/>
  <c r="C181" i="82"/>
  <c r="E181" i="82" s="1"/>
  <c r="G181" i="82" s="1"/>
  <c r="C181" i="83" s="1"/>
  <c r="E181" i="83" s="1"/>
  <c r="G181" i="83" s="1"/>
  <c r="C181" i="84" s="1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81" i="91" s="1"/>
  <c r="E181" i="91" s="1"/>
  <c r="G181" i="91" s="1"/>
  <c r="E181" i="92" s="1"/>
  <c r="G181" i="92" s="1"/>
  <c r="E181" i="93" s="1"/>
  <c r="G181" i="93" s="1"/>
  <c r="E181" i="94" s="1"/>
  <c r="G181" i="94" s="1"/>
  <c r="C181" i="95" s="1"/>
  <c r="E181" i="95" s="1"/>
  <c r="G181" i="95" s="1"/>
  <c r="C181" i="96" s="1"/>
  <c r="E181" i="96" s="1"/>
  <c r="G181" i="96" s="1"/>
  <c r="C113" i="82"/>
  <c r="E113" i="82" s="1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E113" i="90" s="1"/>
  <c r="G113" i="90" s="1"/>
  <c r="C113" i="91" s="1"/>
  <c r="E113" i="91" s="1"/>
  <c r="G113" i="91" s="1"/>
  <c r="E113" i="92" s="1"/>
  <c r="G113" i="92" s="1"/>
  <c r="E113" i="93" s="1"/>
  <c r="G113" i="93" s="1"/>
  <c r="E113" i="94" s="1"/>
  <c r="G113" i="94" s="1"/>
  <c r="C113" i="95" s="1"/>
  <c r="E113" i="95" s="1"/>
  <c r="G113" i="95" s="1"/>
  <c r="C113" i="96" s="1"/>
  <c r="E113" i="96" s="1"/>
  <c r="G113" i="96" s="1"/>
  <c r="C57" i="82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57" i="91" s="1"/>
  <c r="E57" i="91" s="1"/>
  <c r="G57" i="91" s="1"/>
  <c r="E57" i="92" s="1"/>
  <c r="G57" i="92" s="1"/>
  <c r="E57" i="93" s="1"/>
  <c r="G57" i="93" s="1"/>
  <c r="E57" i="94" s="1"/>
  <c r="G57" i="94" s="1"/>
  <c r="C57" i="95" s="1"/>
  <c r="E57" i="95" s="1"/>
  <c r="G57" i="95" s="1"/>
  <c r="C57" i="96" s="1"/>
  <c r="E57" i="96" s="1"/>
  <c r="G57" i="96" s="1"/>
  <c r="C50" i="82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50" i="91" s="1"/>
  <c r="E50" i="91" s="1"/>
  <c r="G50" i="91" s="1"/>
  <c r="E50" i="92" s="1"/>
  <c r="G50" i="92" s="1"/>
  <c r="E50" i="93" s="1"/>
  <c r="G50" i="93" s="1"/>
  <c r="E50" i="94" s="1"/>
  <c r="G50" i="94" s="1"/>
  <c r="C50" i="95" s="1"/>
  <c r="E50" i="95" s="1"/>
  <c r="G50" i="95" s="1"/>
  <c r="C50" i="96" s="1"/>
  <c r="E50" i="96" s="1"/>
  <c r="G50" i="96" s="1"/>
  <c r="C134" i="82"/>
  <c r="E134" i="82" s="1"/>
  <c r="G134" i="82" s="1"/>
  <c r="C134" i="83" s="1"/>
  <c r="E134" i="83" s="1"/>
  <c r="G134" i="83" s="1"/>
  <c r="C134" i="84" s="1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134" i="91" s="1"/>
  <c r="E134" i="91" s="1"/>
  <c r="G134" i="91" s="1"/>
  <c r="E134" i="92" s="1"/>
  <c r="G134" i="92" s="1"/>
  <c r="E134" i="93" s="1"/>
  <c r="G134" i="93" s="1"/>
  <c r="E134" i="94" s="1"/>
  <c r="G134" i="94" s="1"/>
  <c r="C134" i="95" s="1"/>
  <c r="E134" i="95" s="1"/>
  <c r="G134" i="95" s="1"/>
  <c r="C134" i="96" s="1"/>
  <c r="E134" i="96" s="1"/>
  <c r="G134" i="96" s="1"/>
  <c r="C76" i="82"/>
  <c r="E76" i="82" s="1"/>
  <c r="C111" i="82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C111" i="89" s="1"/>
  <c r="E111" i="89" s="1"/>
  <c r="G111" i="89" s="1"/>
  <c r="C111" i="90" s="1"/>
  <c r="E111" i="90" s="1"/>
  <c r="G111" i="90" s="1"/>
  <c r="C111" i="91" s="1"/>
  <c r="E111" i="91" s="1"/>
  <c r="G111" i="91" s="1"/>
  <c r="E111" i="92" s="1"/>
  <c r="G111" i="92" s="1"/>
  <c r="E111" i="93" s="1"/>
  <c r="G111" i="93" s="1"/>
  <c r="E111" i="94" s="1"/>
  <c r="G111" i="94" s="1"/>
  <c r="C111" i="95" s="1"/>
  <c r="E111" i="95" s="1"/>
  <c r="G111" i="95" s="1"/>
  <c r="C111" i="96" s="1"/>
  <c r="E111" i="96" s="1"/>
  <c r="G111" i="96" s="1"/>
  <c r="C29" i="82"/>
  <c r="E29" i="82" s="1"/>
  <c r="G29" i="82" s="1"/>
  <c r="C29" i="83" s="1"/>
  <c r="E29" i="83" s="1"/>
  <c r="G29" i="83" s="1"/>
  <c r="C29" i="84" s="1"/>
  <c r="E29" i="84" s="1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29" i="91" s="1"/>
  <c r="E29" i="91" s="1"/>
  <c r="G29" i="91" s="1"/>
  <c r="E29" i="92" s="1"/>
  <c r="G29" i="92" s="1"/>
  <c r="E29" i="93" s="1"/>
  <c r="G29" i="93" s="1"/>
  <c r="E29" i="94" s="1"/>
  <c r="G29" i="94" s="1"/>
  <c r="C29" i="95" s="1"/>
  <c r="E29" i="95" s="1"/>
  <c r="G29" i="95" s="1"/>
  <c r="C29" i="96" s="1"/>
  <c r="E29" i="96" s="1"/>
  <c r="G29" i="96" s="1"/>
  <c r="E131" i="82"/>
  <c r="G131" i="82" s="1"/>
  <c r="C131" i="83" s="1"/>
  <c r="E131" i="83" s="1"/>
  <c r="G131" i="83" s="1"/>
  <c r="C131" i="84" s="1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131" i="91" s="1"/>
  <c r="E131" i="91" s="1"/>
  <c r="G131" i="91" s="1"/>
  <c r="E131" i="92" s="1"/>
  <c r="G131" i="92" s="1"/>
  <c r="E131" i="93" s="1"/>
  <c r="G131" i="93" s="1"/>
  <c r="E131" i="94" s="1"/>
  <c r="G131" i="94" s="1"/>
  <c r="C131" i="95" s="1"/>
  <c r="E131" i="95" s="1"/>
  <c r="G131" i="95" s="1"/>
  <c r="C131" i="96" s="1"/>
  <c r="E131" i="96" s="1"/>
  <c r="G131" i="96" s="1"/>
  <c r="C131" i="82"/>
  <c r="C163" i="82"/>
  <c r="E163" i="82" s="1"/>
  <c r="G163" i="82" s="1"/>
  <c r="C163" i="83" s="1"/>
  <c r="E163" i="83" s="1"/>
  <c r="G163" i="83" s="1"/>
  <c r="C163" i="84" s="1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C163" i="89" s="1"/>
  <c r="E163" i="89" s="1"/>
  <c r="G163" i="89" s="1"/>
  <c r="C163" i="90" s="1"/>
  <c r="E163" i="90" s="1"/>
  <c r="G163" i="90" s="1"/>
  <c r="C163" i="91" s="1"/>
  <c r="E163" i="91" s="1"/>
  <c r="G163" i="91" s="1"/>
  <c r="E163" i="92" s="1"/>
  <c r="G163" i="92" s="1"/>
  <c r="E163" i="93" s="1"/>
  <c r="G163" i="93" s="1"/>
  <c r="E163" i="94" s="1"/>
  <c r="G163" i="94" s="1"/>
  <c r="C163" i="95" s="1"/>
  <c r="E163" i="95" s="1"/>
  <c r="G163" i="95" s="1"/>
  <c r="C163" i="96" s="1"/>
  <c r="E163" i="96" s="1"/>
  <c r="G163" i="96" s="1"/>
  <c r="C115" i="82"/>
  <c r="E115" i="82" s="1"/>
  <c r="G115" i="82" s="1"/>
  <c r="C115" i="83" s="1"/>
  <c r="E115" i="83" s="1"/>
  <c r="G115" i="83" s="1"/>
  <c r="C115" i="84" s="1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115" i="91" s="1"/>
  <c r="E115" i="91" s="1"/>
  <c r="G115" i="91" s="1"/>
  <c r="E115" i="92" s="1"/>
  <c r="G115" i="92" s="1"/>
  <c r="E115" i="93" s="1"/>
  <c r="G115" i="93" s="1"/>
  <c r="E115" i="94" s="1"/>
  <c r="G115" i="94" s="1"/>
  <c r="C115" i="95" s="1"/>
  <c r="E115" i="95" s="1"/>
  <c r="G115" i="95" s="1"/>
  <c r="C115" i="96" s="1"/>
  <c r="E115" i="96" s="1"/>
  <c r="G115" i="96" s="1"/>
  <c r="C118" i="82"/>
  <c r="E118" i="82" s="1"/>
  <c r="G118" i="82" s="1"/>
  <c r="C118" i="83" s="1"/>
  <c r="E118" i="83" s="1"/>
  <c r="G118" i="83" s="1"/>
  <c r="C118" i="84" s="1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C118" i="89" s="1"/>
  <c r="E118" i="89" s="1"/>
  <c r="G118" i="89" s="1"/>
  <c r="C118" i="90" s="1"/>
  <c r="E118" i="90" s="1"/>
  <c r="G118" i="90" s="1"/>
  <c r="C118" i="91" s="1"/>
  <c r="E118" i="91" s="1"/>
  <c r="G118" i="91" s="1"/>
  <c r="E118" i="92" s="1"/>
  <c r="G118" i="92" s="1"/>
  <c r="E118" i="93" s="1"/>
  <c r="G118" i="93" s="1"/>
  <c r="E118" i="94" s="1"/>
  <c r="G118" i="94" s="1"/>
  <c r="C118" i="95" s="1"/>
  <c r="E118" i="95" s="1"/>
  <c r="G118" i="95" s="1"/>
  <c r="C118" i="96" s="1"/>
  <c r="E118" i="96" s="1"/>
  <c r="G118" i="96" s="1"/>
  <c r="E33" i="82"/>
  <c r="G33" i="82" s="1"/>
  <c r="C33" i="83" s="1"/>
  <c r="E33" i="83" s="1"/>
  <c r="G33" i="83" s="1"/>
  <c r="C33" i="84" s="1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33" i="91" s="1"/>
  <c r="E33" i="91" s="1"/>
  <c r="G33" i="91" s="1"/>
  <c r="E33" i="92" s="1"/>
  <c r="G33" i="92" s="1"/>
  <c r="E33" i="93" s="1"/>
  <c r="G33" i="93" s="1"/>
  <c r="E33" i="94" s="1"/>
  <c r="G33" i="94" s="1"/>
  <c r="C33" i="95" s="1"/>
  <c r="E33" i="95" s="1"/>
  <c r="G33" i="95" s="1"/>
  <c r="C33" i="96" s="1"/>
  <c r="E33" i="96" s="1"/>
  <c r="G33" i="96" s="1"/>
  <c r="C33" i="82"/>
  <c r="C235" i="82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E235" i="92" s="1"/>
  <c r="G235" i="92" s="1"/>
  <c r="E235" i="93" s="1"/>
  <c r="G235" i="93" s="1"/>
  <c r="E235" i="94" s="1"/>
  <c r="G235" i="94" s="1"/>
  <c r="C235" i="95" s="1"/>
  <c r="E235" i="95" s="1"/>
  <c r="G235" i="95" s="1"/>
  <c r="C235" i="96" s="1"/>
  <c r="E235" i="96" s="1"/>
  <c r="G235" i="96" s="1"/>
  <c r="C178" i="82"/>
  <c r="E178" i="82" s="1"/>
  <c r="G178" i="82" s="1"/>
  <c r="C178" i="83" s="1"/>
  <c r="E178" i="83" s="1"/>
  <c r="G178" i="83" s="1"/>
  <c r="C178" i="84" s="1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C178" i="89" s="1"/>
  <c r="E178" i="89" s="1"/>
  <c r="G178" i="89" s="1"/>
  <c r="C178" i="90" s="1"/>
  <c r="E178" i="90" s="1"/>
  <c r="G178" i="90" s="1"/>
  <c r="C178" i="91" s="1"/>
  <c r="E178" i="91" s="1"/>
  <c r="G178" i="91" s="1"/>
  <c r="E178" i="92" s="1"/>
  <c r="G178" i="92" s="1"/>
  <c r="E178" i="93" s="1"/>
  <c r="G178" i="93" s="1"/>
  <c r="E178" i="94" s="1"/>
  <c r="G178" i="94" s="1"/>
  <c r="C178" i="95" s="1"/>
  <c r="E178" i="95" s="1"/>
  <c r="G178" i="95" s="1"/>
  <c r="C178" i="96" s="1"/>
  <c r="E178" i="96" s="1"/>
  <c r="G178" i="96" s="1"/>
  <c r="C219" i="82"/>
  <c r="E219" i="82" s="1"/>
  <c r="G219" i="82" s="1"/>
  <c r="C219" i="83" s="1"/>
  <c r="E219" i="83" s="1"/>
  <c r="G219" i="83" s="1"/>
  <c r="C219" i="84" s="1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19" i="91" s="1"/>
  <c r="E219" i="91" s="1"/>
  <c r="G219" i="91" s="1"/>
  <c r="E219" i="92" s="1"/>
  <c r="G219" i="92" s="1"/>
  <c r="E219" i="93" s="1"/>
  <c r="G219" i="93" s="1"/>
  <c r="E219" i="94" s="1"/>
  <c r="G219" i="94" s="1"/>
  <c r="C219" i="95" s="1"/>
  <c r="E219" i="95" s="1"/>
  <c r="G219" i="95" s="1"/>
  <c r="C219" i="96" s="1"/>
  <c r="E219" i="96" s="1"/>
  <c r="G219" i="96" s="1"/>
  <c r="E186" i="82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86" i="89" s="1"/>
  <c r="G186" i="89" s="1"/>
  <c r="C186" i="90" s="1"/>
  <c r="E186" i="90" s="1"/>
  <c r="G186" i="90" s="1"/>
  <c r="C186" i="91" s="1"/>
  <c r="E186" i="91" s="1"/>
  <c r="G186" i="91" s="1"/>
  <c r="E186" i="92" s="1"/>
  <c r="G186" i="92" s="1"/>
  <c r="E186" i="93" s="1"/>
  <c r="G186" i="93" s="1"/>
  <c r="E186" i="94" s="1"/>
  <c r="G186" i="94" s="1"/>
  <c r="C186" i="95" s="1"/>
  <c r="E186" i="95" s="1"/>
  <c r="G186" i="95" s="1"/>
  <c r="C186" i="96" s="1"/>
  <c r="E186" i="96" s="1"/>
  <c r="G186" i="96" s="1"/>
  <c r="C186" i="82"/>
  <c r="C253" i="82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E253" i="92" s="1"/>
  <c r="G253" i="92" s="1"/>
  <c r="E253" i="93" s="1"/>
  <c r="G253" i="93" s="1"/>
  <c r="E253" i="94" s="1"/>
  <c r="G253" i="94" s="1"/>
  <c r="C253" i="95" s="1"/>
  <c r="E253" i="95" s="1"/>
  <c r="G253" i="95" s="1"/>
  <c r="C253" i="96" s="1"/>
  <c r="E253" i="96" s="1"/>
  <c r="G253" i="96" s="1"/>
  <c r="C240" i="82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E240" i="92" s="1"/>
  <c r="G240" i="92" s="1"/>
  <c r="E240" i="93" s="1"/>
  <c r="G240" i="93" s="1"/>
  <c r="E240" i="94" s="1"/>
  <c r="G240" i="94" s="1"/>
  <c r="C240" i="95" s="1"/>
  <c r="E240" i="95" s="1"/>
  <c r="G240" i="95" s="1"/>
  <c r="C240" i="96" s="1"/>
  <c r="E240" i="96" s="1"/>
  <c r="G240" i="96" s="1"/>
  <c r="C196" i="82"/>
  <c r="E196" i="82" s="1"/>
  <c r="G196" i="82" s="1"/>
  <c r="C196" i="83" s="1"/>
  <c r="E196" i="83" s="1"/>
  <c r="G196" i="83" s="1"/>
  <c r="C196" i="84" s="1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C196" i="91" s="1"/>
  <c r="E196" i="91" s="1"/>
  <c r="G196" i="91" s="1"/>
  <c r="E196" i="92" s="1"/>
  <c r="G196" i="92" s="1"/>
  <c r="E196" i="93" s="1"/>
  <c r="G196" i="93" s="1"/>
  <c r="E196" i="94" s="1"/>
  <c r="G196" i="94" s="1"/>
  <c r="C196" i="95" s="1"/>
  <c r="E196" i="95" s="1"/>
  <c r="G196" i="95" s="1"/>
  <c r="C196" i="96" s="1"/>
  <c r="E196" i="96" s="1"/>
  <c r="G196" i="96" s="1"/>
  <c r="C249" i="82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E249" i="92" s="1"/>
  <c r="G249" i="92" s="1"/>
  <c r="E249" i="93" s="1"/>
  <c r="G249" i="93" s="1"/>
  <c r="E249" i="94" s="1"/>
  <c r="G249" i="94" s="1"/>
  <c r="C249" i="95" s="1"/>
  <c r="E249" i="95" s="1"/>
  <c r="G249" i="95" s="1"/>
  <c r="C249" i="96" s="1"/>
  <c r="E249" i="96" s="1"/>
  <c r="G249" i="96" s="1"/>
  <c r="C58" i="82"/>
  <c r="E58" i="82" s="1"/>
  <c r="G58" i="82" s="1"/>
  <c r="C58" i="83" s="1"/>
  <c r="E58" i="83" s="1"/>
  <c r="G58" i="83" s="1"/>
  <c r="C58" i="84" s="1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58" i="91" s="1"/>
  <c r="E58" i="91" s="1"/>
  <c r="G58" i="91" s="1"/>
  <c r="E58" i="92" s="1"/>
  <c r="G58" i="92" s="1"/>
  <c r="E58" i="93" s="1"/>
  <c r="G58" i="93" s="1"/>
  <c r="E58" i="94" s="1"/>
  <c r="G58" i="94" s="1"/>
  <c r="C58" i="95" s="1"/>
  <c r="E58" i="95" s="1"/>
  <c r="G58" i="95" s="1"/>
  <c r="C58" i="96" s="1"/>
  <c r="E58" i="96" s="1"/>
  <c r="G58" i="96" s="1"/>
  <c r="C173" i="82"/>
  <c r="E173" i="82" s="1"/>
  <c r="G173" i="82" s="1"/>
  <c r="C173" i="83" s="1"/>
  <c r="E173" i="83" s="1"/>
  <c r="G173" i="83" s="1"/>
  <c r="C173" i="84" s="1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C173" i="89" s="1"/>
  <c r="E173" i="89" s="1"/>
  <c r="G173" i="89" s="1"/>
  <c r="C173" i="90" s="1"/>
  <c r="E173" i="90" s="1"/>
  <c r="G173" i="90" s="1"/>
  <c r="C173" i="91" s="1"/>
  <c r="E173" i="91" s="1"/>
  <c r="G173" i="91" s="1"/>
  <c r="E173" i="92" s="1"/>
  <c r="G173" i="92" s="1"/>
  <c r="E173" i="93" s="1"/>
  <c r="G173" i="93" s="1"/>
  <c r="E173" i="94" s="1"/>
  <c r="G173" i="94" s="1"/>
  <c r="C173" i="95" s="1"/>
  <c r="E173" i="95" s="1"/>
  <c r="G173" i="95" s="1"/>
  <c r="C173" i="96" s="1"/>
  <c r="E173" i="96" s="1"/>
  <c r="G173" i="96" s="1"/>
  <c r="C39" i="82"/>
  <c r="E39" i="82" s="1"/>
  <c r="G39" i="82" s="1"/>
  <c r="C39" i="83" s="1"/>
  <c r="E39" i="83" s="1"/>
  <c r="G39" i="83" s="1"/>
  <c r="C39" i="84" s="1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39" i="91" s="1"/>
  <c r="E39" i="91" s="1"/>
  <c r="G39" i="91" s="1"/>
  <c r="E39" i="92" s="1"/>
  <c r="G39" i="92" s="1"/>
  <c r="E39" i="93" s="1"/>
  <c r="G39" i="93" s="1"/>
  <c r="E39" i="94" s="1"/>
  <c r="G39" i="94" s="1"/>
  <c r="C39" i="95" s="1"/>
  <c r="E39" i="95" s="1"/>
  <c r="G39" i="95" s="1"/>
  <c r="C39" i="96" s="1"/>
  <c r="E39" i="96" s="1"/>
  <c r="G39" i="96" s="1"/>
  <c r="E15" i="82"/>
  <c r="G15" i="82" s="1"/>
  <c r="C15" i="83" s="1"/>
  <c r="E15" i="83" s="1"/>
  <c r="G15" i="83" s="1"/>
  <c r="C15" i="84" s="1"/>
  <c r="E15" i="84" s="1"/>
  <c r="G15" i="84" s="1"/>
  <c r="C15" i="82"/>
  <c r="C164" i="82"/>
  <c r="E164" i="82" s="1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C164" i="89" s="1"/>
  <c r="E164" i="89" s="1"/>
  <c r="G164" i="89" s="1"/>
  <c r="C164" i="90" s="1"/>
  <c r="E164" i="90" s="1"/>
  <c r="G164" i="90" s="1"/>
  <c r="C164" i="91" s="1"/>
  <c r="E164" i="91" s="1"/>
  <c r="G164" i="91" s="1"/>
  <c r="E164" i="92" s="1"/>
  <c r="G164" i="92" s="1"/>
  <c r="E164" i="93" s="1"/>
  <c r="G164" i="93" s="1"/>
  <c r="E164" i="94" s="1"/>
  <c r="G164" i="94" s="1"/>
  <c r="C164" i="95" s="1"/>
  <c r="E164" i="95" s="1"/>
  <c r="G164" i="95" s="1"/>
  <c r="C164" i="96" s="1"/>
  <c r="E164" i="96" s="1"/>
  <c r="G164" i="96" s="1"/>
  <c r="C62" i="82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62" i="89" s="1"/>
  <c r="E62" i="89" s="1"/>
  <c r="G62" i="89" s="1"/>
  <c r="C62" i="90" s="1"/>
  <c r="E62" i="90" s="1"/>
  <c r="G62" i="90" s="1"/>
  <c r="C62" i="91" s="1"/>
  <c r="E62" i="91" s="1"/>
  <c r="G62" i="91" s="1"/>
  <c r="E62" i="92" s="1"/>
  <c r="G62" i="92" s="1"/>
  <c r="E62" i="93" s="1"/>
  <c r="G62" i="93" s="1"/>
  <c r="E62" i="94" s="1"/>
  <c r="G62" i="94" s="1"/>
  <c r="C62" i="95" s="1"/>
  <c r="E62" i="95" s="1"/>
  <c r="G62" i="95" s="1"/>
  <c r="C62" i="96" s="1"/>
  <c r="E62" i="96" s="1"/>
  <c r="G62" i="96" s="1"/>
  <c r="C218" i="82"/>
  <c r="E218" i="82" s="1"/>
  <c r="G218" i="82" s="1"/>
  <c r="C218" i="83" s="1"/>
  <c r="E218" i="83" s="1"/>
  <c r="G218" i="83" s="1"/>
  <c r="C218" i="84" s="1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C218" i="89" s="1"/>
  <c r="E218" i="89" s="1"/>
  <c r="G218" i="89" s="1"/>
  <c r="C218" i="90" s="1"/>
  <c r="E218" i="90" s="1"/>
  <c r="G218" i="90" s="1"/>
  <c r="C218" i="91" s="1"/>
  <c r="E218" i="91" s="1"/>
  <c r="G218" i="91" s="1"/>
  <c r="E218" i="92" s="1"/>
  <c r="G218" i="92" s="1"/>
  <c r="E218" i="93" s="1"/>
  <c r="G218" i="93" s="1"/>
  <c r="E218" i="94" s="1"/>
  <c r="G218" i="94" s="1"/>
  <c r="C218" i="95" s="1"/>
  <c r="E218" i="95" s="1"/>
  <c r="G218" i="95" s="1"/>
  <c r="C218" i="96" s="1"/>
  <c r="E218" i="96" s="1"/>
  <c r="G218" i="96" s="1"/>
  <c r="C71" i="82"/>
  <c r="E71" i="82" s="1"/>
  <c r="G71" i="82" s="1"/>
  <c r="C71" i="83" s="1"/>
  <c r="E71" i="83" s="1"/>
  <c r="G71" i="83" s="1"/>
  <c r="C71" i="84" s="1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71" i="91" s="1"/>
  <c r="E71" i="91" s="1"/>
  <c r="G71" i="91" s="1"/>
  <c r="E71" i="92" s="1"/>
  <c r="G71" i="92" s="1"/>
  <c r="E71" i="93" s="1"/>
  <c r="G71" i="93" s="1"/>
  <c r="E71" i="94" s="1"/>
  <c r="G71" i="94" s="1"/>
  <c r="C71" i="95" s="1"/>
  <c r="E71" i="95" s="1"/>
  <c r="G71" i="95" s="1"/>
  <c r="C71" i="96" s="1"/>
  <c r="E71" i="96" s="1"/>
  <c r="G71" i="96" s="1"/>
  <c r="C199" i="82"/>
  <c r="E199" i="82" s="1"/>
  <c r="G199" i="82" s="1"/>
  <c r="C199" i="83" s="1"/>
  <c r="E199" i="83" s="1"/>
  <c r="G199" i="83" s="1"/>
  <c r="C199" i="84" s="1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C199" i="89" s="1"/>
  <c r="E199" i="89" s="1"/>
  <c r="G199" i="89" s="1"/>
  <c r="C199" i="90" s="1"/>
  <c r="E199" i="90" s="1"/>
  <c r="G199" i="90" s="1"/>
  <c r="C199" i="91" s="1"/>
  <c r="E199" i="91" s="1"/>
  <c r="G199" i="91" s="1"/>
  <c r="E199" i="92" s="1"/>
  <c r="G199" i="92" s="1"/>
  <c r="E199" i="93" s="1"/>
  <c r="G199" i="93" s="1"/>
  <c r="E199" i="94" s="1"/>
  <c r="G199" i="94" s="1"/>
  <c r="C199" i="95" s="1"/>
  <c r="E199" i="95" s="1"/>
  <c r="G199" i="95" s="1"/>
  <c r="C199" i="96" s="1"/>
  <c r="E199" i="96" s="1"/>
  <c r="G199" i="96" s="1"/>
  <c r="C216" i="82"/>
  <c r="E216" i="82" s="1"/>
  <c r="G216" i="82" s="1"/>
  <c r="C216" i="83" s="1"/>
  <c r="E216" i="83" s="1"/>
  <c r="G216" i="83" s="1"/>
  <c r="C216" i="84" s="1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216" i="91" s="1"/>
  <c r="E216" i="91" s="1"/>
  <c r="G216" i="91" s="1"/>
  <c r="E216" i="92" s="1"/>
  <c r="G216" i="92" s="1"/>
  <c r="E216" i="93" s="1"/>
  <c r="G216" i="93" s="1"/>
  <c r="E216" i="94" s="1"/>
  <c r="G216" i="94" s="1"/>
  <c r="C216" i="95" s="1"/>
  <c r="E216" i="95" s="1"/>
  <c r="G216" i="95" s="1"/>
  <c r="C216" i="96" s="1"/>
  <c r="E216" i="96" s="1"/>
  <c r="G216" i="96" s="1"/>
  <c r="C248" i="82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E248" i="92" s="1"/>
  <c r="G248" i="92" s="1"/>
  <c r="E248" i="93" s="1"/>
  <c r="G248" i="93" s="1"/>
  <c r="E248" i="94" s="1"/>
  <c r="G248" i="94" s="1"/>
  <c r="C248" i="95" s="1"/>
  <c r="E248" i="95" s="1"/>
  <c r="G248" i="95" s="1"/>
  <c r="C248" i="96" s="1"/>
  <c r="E248" i="96" s="1"/>
  <c r="G248" i="96" s="1"/>
  <c r="C36" i="82"/>
  <c r="E36" i="82" s="1"/>
  <c r="G36" i="82" s="1"/>
  <c r="C36" i="83" s="1"/>
  <c r="E36" i="83" s="1"/>
  <c r="G36" i="83" s="1"/>
  <c r="C36" i="84" s="1"/>
  <c r="E36" i="84" s="1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C36" i="91" s="1"/>
  <c r="E36" i="91" s="1"/>
  <c r="G36" i="91" s="1"/>
  <c r="E36" i="92" s="1"/>
  <c r="G36" i="92" s="1"/>
  <c r="E36" i="93" s="1"/>
  <c r="G36" i="93" s="1"/>
  <c r="E36" i="94" s="1"/>
  <c r="G36" i="94" s="1"/>
  <c r="C36" i="95" s="1"/>
  <c r="E36" i="95" s="1"/>
  <c r="G36" i="95" s="1"/>
  <c r="C36" i="96" s="1"/>
  <c r="E36" i="96" s="1"/>
  <c r="G36" i="96" s="1"/>
  <c r="C19" i="82"/>
  <c r="E19" i="82" s="1"/>
  <c r="G19" i="82" s="1"/>
  <c r="C19" i="83" s="1"/>
  <c r="E19" i="83" s="1"/>
  <c r="G19" i="83" s="1"/>
  <c r="C19" i="84" s="1"/>
  <c r="E19" i="84" s="1"/>
  <c r="G19" i="84" s="1"/>
  <c r="C202" i="82"/>
  <c r="E202" i="82" s="1"/>
  <c r="G202" i="82" s="1"/>
  <c r="C202" i="83" s="1"/>
  <c r="E202" i="83" s="1"/>
  <c r="G202" i="83" s="1"/>
  <c r="C202" i="84" s="1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C202" i="89" s="1"/>
  <c r="E202" i="89" s="1"/>
  <c r="G202" i="89" s="1"/>
  <c r="C202" i="90" s="1"/>
  <c r="E202" i="90" s="1"/>
  <c r="G202" i="90" s="1"/>
  <c r="C202" i="91" s="1"/>
  <c r="E202" i="91" s="1"/>
  <c r="G202" i="91" s="1"/>
  <c r="E202" i="92" s="1"/>
  <c r="G202" i="92" s="1"/>
  <c r="E202" i="93" s="1"/>
  <c r="G202" i="93" s="1"/>
  <c r="E202" i="94" s="1"/>
  <c r="G202" i="94" s="1"/>
  <c r="C202" i="95" s="1"/>
  <c r="E202" i="95" s="1"/>
  <c r="G202" i="95" s="1"/>
  <c r="C202" i="96" s="1"/>
  <c r="E202" i="96" s="1"/>
  <c r="G202" i="96" s="1"/>
  <c r="C32" i="82"/>
  <c r="E32" i="82" s="1"/>
  <c r="G32" i="82" s="1"/>
  <c r="C32" i="83" s="1"/>
  <c r="E32" i="83" s="1"/>
  <c r="G32" i="83" s="1"/>
  <c r="C32" i="84" s="1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91" s="1"/>
  <c r="E32" i="91" s="1"/>
  <c r="G32" i="91" s="1"/>
  <c r="E32" i="92" s="1"/>
  <c r="G32" i="92" s="1"/>
  <c r="E32" i="93" s="1"/>
  <c r="G32" i="93" s="1"/>
  <c r="E32" i="94" s="1"/>
  <c r="G32" i="94" s="1"/>
  <c r="C32" i="95" s="1"/>
  <c r="E32" i="95" s="1"/>
  <c r="G32" i="95" s="1"/>
  <c r="C32" i="96" s="1"/>
  <c r="E32" i="96" s="1"/>
  <c r="G32" i="96" s="1"/>
  <c r="C42" i="82"/>
  <c r="E42" i="82" s="1"/>
  <c r="G42" i="82" s="1"/>
  <c r="C42" i="83" s="1"/>
  <c r="E42" i="83" s="1"/>
  <c r="G42" i="83" s="1"/>
  <c r="C42" i="84" s="1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C42" i="89" s="1"/>
  <c r="E42" i="89" s="1"/>
  <c r="G42" i="89" s="1"/>
  <c r="C42" i="90" s="1"/>
  <c r="E42" i="90" s="1"/>
  <c r="G42" i="90" s="1"/>
  <c r="C42" i="91" s="1"/>
  <c r="E42" i="91" s="1"/>
  <c r="G42" i="91" s="1"/>
  <c r="E42" i="92" s="1"/>
  <c r="G42" i="92" s="1"/>
  <c r="E42" i="93" s="1"/>
  <c r="G42" i="93" s="1"/>
  <c r="E42" i="94" s="1"/>
  <c r="G42" i="94" s="1"/>
  <c r="C42" i="95" s="1"/>
  <c r="E42" i="95" s="1"/>
  <c r="G42" i="95" s="1"/>
  <c r="C42" i="96" s="1"/>
  <c r="E42" i="96" s="1"/>
  <c r="G42" i="96" s="1"/>
  <c r="C28" i="82"/>
  <c r="E28" i="82" s="1"/>
  <c r="G28" i="82" s="1"/>
  <c r="C28" i="83" s="1"/>
  <c r="E28" i="83" s="1"/>
  <c r="G28" i="83" s="1"/>
  <c r="C28" i="84" s="1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28" i="91" s="1"/>
  <c r="E28" i="91" s="1"/>
  <c r="G28" i="91" s="1"/>
  <c r="E28" i="92" s="1"/>
  <c r="G28" i="92" s="1"/>
  <c r="E28" i="93" s="1"/>
  <c r="G28" i="93" s="1"/>
  <c r="E28" i="94" s="1"/>
  <c r="G28" i="94" s="1"/>
  <c r="C28" i="95" s="1"/>
  <c r="E28" i="95" s="1"/>
  <c r="G28" i="95" s="1"/>
  <c r="C28" i="96" s="1"/>
  <c r="E28" i="96" s="1"/>
  <c r="G28" i="96" s="1"/>
  <c r="C170" i="82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C170" i="89" s="1"/>
  <c r="E170" i="89" s="1"/>
  <c r="G170" i="89" s="1"/>
  <c r="C170" i="90" s="1"/>
  <c r="E170" i="90" s="1"/>
  <c r="G170" i="90" s="1"/>
  <c r="C170" i="91" s="1"/>
  <c r="E170" i="91" s="1"/>
  <c r="G170" i="91" s="1"/>
  <c r="E170" i="92" s="1"/>
  <c r="G170" i="92" s="1"/>
  <c r="E170" i="93" s="1"/>
  <c r="G170" i="93" s="1"/>
  <c r="E170" i="94" s="1"/>
  <c r="G170" i="94" s="1"/>
  <c r="C170" i="95" s="1"/>
  <c r="E170" i="95" s="1"/>
  <c r="G170" i="95" s="1"/>
  <c r="C170" i="96" s="1"/>
  <c r="E170" i="96" s="1"/>
  <c r="G170" i="96" s="1"/>
  <c r="C237" i="82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237" i="91" s="1"/>
  <c r="E237" i="91" s="1"/>
  <c r="G237" i="91" s="1"/>
  <c r="E237" i="92" s="1"/>
  <c r="G237" i="92" s="1"/>
  <c r="E237" i="93" s="1"/>
  <c r="G237" i="93" s="1"/>
  <c r="E237" i="94" s="1"/>
  <c r="G237" i="94" s="1"/>
  <c r="C237" i="95" s="1"/>
  <c r="E237" i="95" s="1"/>
  <c r="G237" i="95" s="1"/>
  <c r="C237" i="96" s="1"/>
  <c r="E237" i="96" s="1"/>
  <c r="G237" i="96" s="1"/>
  <c r="E45" i="82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C45" i="89" s="1"/>
  <c r="E45" i="89" s="1"/>
  <c r="G45" i="89" s="1"/>
  <c r="C45" i="90" s="1"/>
  <c r="E45" i="90" s="1"/>
  <c r="G45" i="90" s="1"/>
  <c r="C45" i="91" s="1"/>
  <c r="E45" i="91" s="1"/>
  <c r="G45" i="91" s="1"/>
  <c r="E45" i="92" s="1"/>
  <c r="G45" i="92" s="1"/>
  <c r="E45" i="93" s="1"/>
  <c r="G45" i="93" s="1"/>
  <c r="E45" i="94" s="1"/>
  <c r="G45" i="94" s="1"/>
  <c r="C45" i="95" s="1"/>
  <c r="E45" i="95" s="1"/>
  <c r="G45" i="95" s="1"/>
  <c r="C45" i="96" s="1"/>
  <c r="E45" i="96" s="1"/>
  <c r="G45" i="96" s="1"/>
  <c r="C45" i="82"/>
  <c r="C166" i="82"/>
  <c r="E166" i="82" s="1"/>
  <c r="G166" i="82" s="1"/>
  <c r="C166" i="83" s="1"/>
  <c r="E166" i="83" s="1"/>
  <c r="G166" i="83" s="1"/>
  <c r="C166" i="84" s="1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C166" i="89" s="1"/>
  <c r="E166" i="89" s="1"/>
  <c r="G166" i="89" s="1"/>
  <c r="C166" i="90" s="1"/>
  <c r="E166" i="90" s="1"/>
  <c r="G166" i="90" s="1"/>
  <c r="C166" i="91" s="1"/>
  <c r="E166" i="91" s="1"/>
  <c r="G166" i="91" s="1"/>
  <c r="E166" i="92" s="1"/>
  <c r="G166" i="92" s="1"/>
  <c r="E166" i="93" s="1"/>
  <c r="G166" i="93" s="1"/>
  <c r="E166" i="94" s="1"/>
  <c r="G166" i="94" s="1"/>
  <c r="C166" i="95" s="1"/>
  <c r="E166" i="95" s="1"/>
  <c r="G166" i="95" s="1"/>
  <c r="C166" i="96" s="1"/>
  <c r="E166" i="96" s="1"/>
  <c r="G166" i="96" s="1"/>
  <c r="C228" i="82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E228" i="92" s="1"/>
  <c r="G228" i="92" s="1"/>
  <c r="E228" i="93" s="1"/>
  <c r="G228" i="93" s="1"/>
  <c r="E228" i="94" s="1"/>
  <c r="G228" i="94" s="1"/>
  <c r="C228" i="95" s="1"/>
  <c r="E228" i="95" s="1"/>
  <c r="G228" i="95" s="1"/>
  <c r="C228" i="96" s="1"/>
  <c r="E228" i="96" s="1"/>
  <c r="G228" i="96" s="1"/>
  <c r="C101" i="82"/>
  <c r="E101" i="82" s="1"/>
  <c r="G101" i="82" s="1"/>
  <c r="C101" i="83" s="1"/>
  <c r="E101" i="83" s="1"/>
  <c r="G101" i="83" s="1"/>
  <c r="C101" i="84" s="1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C101" i="91" s="1"/>
  <c r="E101" i="91" s="1"/>
  <c r="G101" i="91" s="1"/>
  <c r="E101" i="92" s="1"/>
  <c r="G101" i="92" s="1"/>
  <c r="E101" i="93" s="1"/>
  <c r="G101" i="93" s="1"/>
  <c r="E101" i="94" s="1"/>
  <c r="G101" i="94" s="1"/>
  <c r="C101" i="95" s="1"/>
  <c r="E101" i="95" s="1"/>
  <c r="G101" i="95" s="1"/>
  <c r="C101" i="96" s="1"/>
  <c r="E101" i="96" s="1"/>
  <c r="G101" i="96" s="1"/>
  <c r="E79" i="82"/>
  <c r="G79" i="82" s="1"/>
  <c r="C79" i="83" s="1"/>
  <c r="E79" i="83" s="1"/>
  <c r="G79" i="83" s="1"/>
  <c r="C79" i="84" s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79" i="91" s="1"/>
  <c r="E79" i="91" s="1"/>
  <c r="G79" i="91" s="1"/>
  <c r="E79" i="92" s="1"/>
  <c r="G79" i="92" s="1"/>
  <c r="E79" i="93" s="1"/>
  <c r="G79" i="93" s="1"/>
  <c r="E79" i="94" s="1"/>
  <c r="G79" i="94" s="1"/>
  <c r="C79" i="95" s="1"/>
  <c r="E79" i="95" s="1"/>
  <c r="G79" i="95" s="1"/>
  <c r="C79" i="96" s="1"/>
  <c r="E79" i="96" s="1"/>
  <c r="G79" i="96" s="1"/>
  <c r="C79" i="82"/>
  <c r="C243" i="82"/>
  <c r="E243" i="82" s="1"/>
  <c r="G243" i="82" s="1"/>
  <c r="C243" i="83" s="1"/>
  <c r="E243" i="83" s="1"/>
  <c r="G243" i="83" s="1"/>
  <c r="C243" i="84" s="1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E243" i="92" s="1"/>
  <c r="G243" i="92" s="1"/>
  <c r="E243" i="93" s="1"/>
  <c r="G243" i="93" s="1"/>
  <c r="E243" i="94" s="1"/>
  <c r="G243" i="94" s="1"/>
  <c r="C243" i="95" s="1"/>
  <c r="E243" i="95" s="1"/>
  <c r="G243" i="95" s="1"/>
  <c r="C243" i="96" s="1"/>
  <c r="E243" i="96" s="1"/>
  <c r="G243" i="96" s="1"/>
  <c r="C41" i="82"/>
  <c r="E41" i="82" s="1"/>
  <c r="G41" i="82" s="1"/>
  <c r="C41" i="83" s="1"/>
  <c r="E41" i="83" s="1"/>
  <c r="G41" i="83" s="1"/>
  <c r="C41" i="84" s="1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C41" i="89" s="1"/>
  <c r="E41" i="89" s="1"/>
  <c r="G41" i="89" s="1"/>
  <c r="C41" i="90" s="1"/>
  <c r="E41" i="90" s="1"/>
  <c r="G41" i="90" s="1"/>
  <c r="C41" i="91" s="1"/>
  <c r="E41" i="91" s="1"/>
  <c r="G41" i="91" s="1"/>
  <c r="E41" i="92" s="1"/>
  <c r="G41" i="92" s="1"/>
  <c r="E41" i="93" s="1"/>
  <c r="G41" i="93" s="1"/>
  <c r="E41" i="94" s="1"/>
  <c r="G41" i="94" s="1"/>
  <c r="C41" i="95" s="1"/>
  <c r="E41" i="95" s="1"/>
  <c r="G41" i="95" s="1"/>
  <c r="C41" i="96" s="1"/>
  <c r="E41" i="96" s="1"/>
  <c r="G41" i="96" s="1"/>
  <c r="C73" i="82"/>
  <c r="E73" i="82" s="1"/>
  <c r="G73" i="82" s="1"/>
  <c r="C73" i="83" s="1"/>
  <c r="E73" i="83" s="1"/>
  <c r="G73" i="83" s="1"/>
  <c r="C73" i="84" s="1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C73" i="89" s="1"/>
  <c r="E73" i="89" s="1"/>
  <c r="G73" i="89" s="1"/>
  <c r="C73" i="90" s="1"/>
  <c r="E73" i="90" s="1"/>
  <c r="G73" i="90" s="1"/>
  <c r="C73" i="91" s="1"/>
  <c r="E73" i="91" s="1"/>
  <c r="G73" i="91" s="1"/>
  <c r="E73" i="92" s="1"/>
  <c r="G73" i="92" s="1"/>
  <c r="E73" i="93" s="1"/>
  <c r="G73" i="93" s="1"/>
  <c r="E73" i="94" s="1"/>
  <c r="G73" i="94" s="1"/>
  <c r="C73" i="95" s="1"/>
  <c r="E73" i="95" s="1"/>
  <c r="G73" i="95" s="1"/>
  <c r="C73" i="96" s="1"/>
  <c r="E73" i="96" s="1"/>
  <c r="G73" i="96" s="1"/>
  <c r="E171" i="82"/>
  <c r="G171" i="82" s="1"/>
  <c r="C171" i="83" s="1"/>
  <c r="E171" i="83" s="1"/>
  <c r="G171" i="83" s="1"/>
  <c r="C171" i="84" s="1"/>
  <c r="E171" i="84" s="1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71" i="91" s="1"/>
  <c r="E171" i="91" s="1"/>
  <c r="G171" i="91" s="1"/>
  <c r="E171" i="92" s="1"/>
  <c r="G171" i="92" s="1"/>
  <c r="E171" i="93" s="1"/>
  <c r="G171" i="93" s="1"/>
  <c r="E171" i="94" s="1"/>
  <c r="G171" i="94" s="1"/>
  <c r="C171" i="95" s="1"/>
  <c r="E171" i="95" s="1"/>
  <c r="G171" i="95" s="1"/>
  <c r="C171" i="96" s="1"/>
  <c r="E171" i="96" s="1"/>
  <c r="G171" i="96" s="1"/>
  <c r="C171" i="82"/>
  <c r="C168" i="82"/>
  <c r="E168" i="82" s="1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68" i="91" s="1"/>
  <c r="E168" i="91" s="1"/>
  <c r="G168" i="91" s="1"/>
  <c r="E168" i="92" s="1"/>
  <c r="G168" i="92" s="1"/>
  <c r="E168" i="93" s="1"/>
  <c r="G168" i="93" s="1"/>
  <c r="E168" i="94" s="1"/>
  <c r="G168" i="94" s="1"/>
  <c r="C168" i="95" s="1"/>
  <c r="E168" i="95" s="1"/>
  <c r="G168" i="95" s="1"/>
  <c r="C168" i="96" s="1"/>
  <c r="E168" i="96" s="1"/>
  <c r="G168" i="96" s="1"/>
  <c r="C55" i="82"/>
  <c r="E55" i="82" s="1"/>
  <c r="G55" i="82" s="1"/>
  <c r="C55" i="83" s="1"/>
  <c r="E55" i="83" s="1"/>
  <c r="G55" i="83" s="1"/>
  <c r="C55" i="84" s="1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91" s="1"/>
  <c r="E55" i="91" s="1"/>
  <c r="G55" i="91" s="1"/>
  <c r="E55" i="92" s="1"/>
  <c r="G55" i="92" s="1"/>
  <c r="E55" i="93" s="1"/>
  <c r="G55" i="93" s="1"/>
  <c r="E55" i="94" s="1"/>
  <c r="G55" i="94" s="1"/>
  <c r="C55" i="95" s="1"/>
  <c r="E55" i="95" s="1"/>
  <c r="G55" i="95" s="1"/>
  <c r="C55" i="96" s="1"/>
  <c r="E55" i="96" s="1"/>
  <c r="G55" i="96" s="1"/>
  <c r="C180" i="82"/>
  <c r="E180" i="82" s="1"/>
  <c r="G180" i="82" s="1"/>
  <c r="C180" i="83" s="1"/>
  <c r="E180" i="83" s="1"/>
  <c r="G180" i="83" s="1"/>
  <c r="C180" i="84" s="1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80" i="91" s="1"/>
  <c r="E180" i="91" s="1"/>
  <c r="G180" i="91" s="1"/>
  <c r="E180" i="92" s="1"/>
  <c r="G180" i="92" s="1"/>
  <c r="E180" i="93" s="1"/>
  <c r="G180" i="93" s="1"/>
  <c r="E180" i="94" s="1"/>
  <c r="G180" i="94" s="1"/>
  <c r="C180" i="95" s="1"/>
  <c r="E180" i="95" s="1"/>
  <c r="G180" i="95" s="1"/>
  <c r="C180" i="96" s="1"/>
  <c r="E180" i="96" s="1"/>
  <c r="G180" i="96" s="1"/>
  <c r="C217" i="82"/>
  <c r="E217" i="82" s="1"/>
  <c r="G217" i="82" s="1"/>
  <c r="C217" i="83" s="1"/>
  <c r="E217" i="83" s="1"/>
  <c r="G217" i="83" s="1"/>
  <c r="C217" i="84" s="1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C217" i="91" s="1"/>
  <c r="E217" i="91" s="1"/>
  <c r="G217" i="91" s="1"/>
  <c r="E217" i="92" s="1"/>
  <c r="G217" i="92" s="1"/>
  <c r="E217" i="93" s="1"/>
  <c r="G217" i="93" s="1"/>
  <c r="E217" i="94" s="1"/>
  <c r="G217" i="94" s="1"/>
  <c r="C217" i="95" s="1"/>
  <c r="E217" i="95" s="1"/>
  <c r="G217" i="95" s="1"/>
  <c r="C217" i="96" s="1"/>
  <c r="E217" i="96" s="1"/>
  <c r="G217" i="96" s="1"/>
  <c r="C161" i="82"/>
  <c r="E161" i="82" s="1"/>
  <c r="G161" i="82" s="1"/>
  <c r="C161" i="83" s="1"/>
  <c r="E161" i="83" s="1"/>
  <c r="G161" i="83" s="1"/>
  <c r="C161" i="84" s="1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61" i="91" s="1"/>
  <c r="E161" i="91" s="1"/>
  <c r="G161" i="91" s="1"/>
  <c r="E161" i="92" s="1"/>
  <c r="G161" i="92" s="1"/>
  <c r="E161" i="93" s="1"/>
  <c r="G161" i="93" s="1"/>
  <c r="E161" i="94" s="1"/>
  <c r="G161" i="94" s="1"/>
  <c r="C161" i="95" s="1"/>
  <c r="E161" i="95" s="1"/>
  <c r="G161" i="95" s="1"/>
  <c r="C161" i="96" s="1"/>
  <c r="E161" i="96" s="1"/>
  <c r="G161" i="96" s="1"/>
  <c r="C188" i="82"/>
  <c r="E188" i="82" s="1"/>
  <c r="G188" i="82" s="1"/>
  <c r="C188" i="83" s="1"/>
  <c r="E188" i="83" s="1"/>
  <c r="G188" i="83" s="1"/>
  <c r="C188" i="84" s="1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188" i="91" s="1"/>
  <c r="E188" i="91" s="1"/>
  <c r="G188" i="91" s="1"/>
  <c r="E188" i="92" s="1"/>
  <c r="G188" i="92" s="1"/>
  <c r="E188" i="93" s="1"/>
  <c r="G188" i="93" s="1"/>
  <c r="E188" i="94" s="1"/>
  <c r="G188" i="94" s="1"/>
  <c r="C188" i="95" s="1"/>
  <c r="E188" i="95" s="1"/>
  <c r="G188" i="95" s="1"/>
  <c r="C188" i="96" s="1"/>
  <c r="E188" i="96" s="1"/>
  <c r="G188" i="96" s="1"/>
  <c r="C179" i="82"/>
  <c r="E179" i="82" s="1"/>
  <c r="G179" i="82" s="1"/>
  <c r="C179" i="83" s="1"/>
  <c r="E179" i="83" s="1"/>
  <c r="G179" i="83" s="1"/>
  <c r="C179" i="84" s="1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C179" i="91" s="1"/>
  <c r="E179" i="91" s="1"/>
  <c r="G179" i="91" s="1"/>
  <c r="E179" i="92" s="1"/>
  <c r="G179" i="92" s="1"/>
  <c r="E179" i="93" s="1"/>
  <c r="G179" i="93" s="1"/>
  <c r="E179" i="94" s="1"/>
  <c r="G179" i="94" s="1"/>
  <c r="C179" i="95" s="1"/>
  <c r="E179" i="95" s="1"/>
  <c r="G179" i="95" s="1"/>
  <c r="C179" i="96" s="1"/>
  <c r="E179" i="96" s="1"/>
  <c r="G179" i="96" s="1"/>
  <c r="E75" i="82"/>
  <c r="G75" i="82" s="1"/>
  <c r="C75" i="83" s="1"/>
  <c r="E75" i="83" s="1"/>
  <c r="G75" i="83" s="1"/>
  <c r="C75" i="84" s="1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75" i="89" s="1"/>
  <c r="E75" i="89" s="1"/>
  <c r="G75" i="89" s="1"/>
  <c r="C75" i="90" s="1"/>
  <c r="E75" i="90" s="1"/>
  <c r="G75" i="90" s="1"/>
  <c r="C75" i="91" s="1"/>
  <c r="E75" i="91" s="1"/>
  <c r="G75" i="91" s="1"/>
  <c r="E75" i="92" s="1"/>
  <c r="G75" i="92" s="1"/>
  <c r="E75" i="93" s="1"/>
  <c r="G75" i="93" s="1"/>
  <c r="E75" i="94" s="1"/>
  <c r="G75" i="94" s="1"/>
  <c r="C75" i="95" s="1"/>
  <c r="E75" i="95" s="1"/>
  <c r="G75" i="95" s="1"/>
  <c r="C75" i="96" s="1"/>
  <c r="E75" i="96" s="1"/>
  <c r="G75" i="96" s="1"/>
  <c r="C75" i="82"/>
  <c r="C254" i="82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E254" i="92" s="1"/>
  <c r="G254" i="92" s="1"/>
  <c r="E254" i="93" s="1"/>
  <c r="G254" i="93" s="1"/>
  <c r="E254" i="94" s="1"/>
  <c r="G254" i="94" s="1"/>
  <c r="C254" i="95" s="1"/>
  <c r="E254" i="95" s="1"/>
  <c r="G254" i="95" s="1"/>
  <c r="C254" i="96" s="1"/>
  <c r="E254" i="96" s="1"/>
  <c r="G254" i="96" s="1"/>
  <c r="C213" i="82"/>
  <c r="E213" i="82" s="1"/>
  <c r="G213" i="82" s="1"/>
  <c r="C213" i="83" s="1"/>
  <c r="E213" i="83" s="1"/>
  <c r="G213" i="83" s="1"/>
  <c r="C213" i="84" s="1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213" i="91" s="1"/>
  <c r="E213" i="91" s="1"/>
  <c r="G213" i="91" s="1"/>
  <c r="E213" i="92" s="1"/>
  <c r="G213" i="92" s="1"/>
  <c r="E213" i="93" s="1"/>
  <c r="G213" i="93" s="1"/>
  <c r="E213" i="94" s="1"/>
  <c r="G213" i="94" s="1"/>
  <c r="C213" i="95" s="1"/>
  <c r="E213" i="95" s="1"/>
  <c r="G213" i="95" s="1"/>
  <c r="C213" i="96" s="1"/>
  <c r="E213" i="96" s="1"/>
  <c r="G213" i="96" s="1"/>
  <c r="C137" i="82"/>
  <c r="E137" i="82" s="1"/>
  <c r="G137" i="82" s="1"/>
  <c r="C137" i="83" s="1"/>
  <c r="E137" i="83" s="1"/>
  <c r="G137" i="83" s="1"/>
  <c r="C137" i="84" s="1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C137" i="91" s="1"/>
  <c r="E137" i="91" s="1"/>
  <c r="G137" i="91" s="1"/>
  <c r="E137" i="92" s="1"/>
  <c r="G137" i="92" s="1"/>
  <c r="E137" i="93" s="1"/>
  <c r="G137" i="93" s="1"/>
  <c r="E137" i="94" s="1"/>
  <c r="G137" i="94" s="1"/>
  <c r="C137" i="95" s="1"/>
  <c r="E137" i="95" s="1"/>
  <c r="G137" i="95" s="1"/>
  <c r="C137" i="96" s="1"/>
  <c r="E137" i="96" s="1"/>
  <c r="G137" i="96" s="1"/>
  <c r="C104" i="82"/>
  <c r="E104" i="82" s="1"/>
  <c r="G104" i="82" s="1"/>
  <c r="C104" i="83" s="1"/>
  <c r="E104" i="83" s="1"/>
  <c r="G104" i="83" s="1"/>
  <c r="C104" i="84" s="1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C104" i="89" s="1"/>
  <c r="E104" i="89" s="1"/>
  <c r="G104" i="89" s="1"/>
  <c r="C104" i="90" s="1"/>
  <c r="E104" i="90" s="1"/>
  <c r="G104" i="90" s="1"/>
  <c r="C104" i="91" s="1"/>
  <c r="E104" i="91" s="1"/>
  <c r="G104" i="91" s="1"/>
  <c r="E104" i="92" s="1"/>
  <c r="G104" i="92" s="1"/>
  <c r="E104" i="93" s="1"/>
  <c r="G104" i="93" s="1"/>
  <c r="E104" i="94" s="1"/>
  <c r="G104" i="94" s="1"/>
  <c r="C104" i="95" s="1"/>
  <c r="E104" i="95" s="1"/>
  <c r="G104" i="95" s="1"/>
  <c r="C104" i="96" s="1"/>
  <c r="E104" i="96" s="1"/>
  <c r="G104" i="96" s="1"/>
  <c r="C185" i="82"/>
  <c r="E185" i="82" s="1"/>
  <c r="G185" i="82" s="1"/>
  <c r="C185" i="83" s="1"/>
  <c r="E185" i="83" s="1"/>
  <c r="G185" i="83" s="1"/>
  <c r="C185" i="84" s="1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85" i="91" s="1"/>
  <c r="E185" i="91" s="1"/>
  <c r="G185" i="91" s="1"/>
  <c r="E185" i="92" s="1"/>
  <c r="G185" i="92" s="1"/>
  <c r="E185" i="93" s="1"/>
  <c r="G185" i="93" s="1"/>
  <c r="E185" i="94" s="1"/>
  <c r="G185" i="94" s="1"/>
  <c r="C185" i="95" s="1"/>
  <c r="E185" i="95" s="1"/>
  <c r="G185" i="95" s="1"/>
  <c r="C185" i="96" s="1"/>
  <c r="E185" i="96" s="1"/>
  <c r="G185" i="96" s="1"/>
  <c r="C99" i="82"/>
  <c r="E99" i="82" s="1"/>
  <c r="G99" i="82" s="1"/>
  <c r="C99" i="83" s="1"/>
  <c r="E99" i="83" s="1"/>
  <c r="G99" i="83" s="1"/>
  <c r="C99" i="84" s="1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E99" i="89" s="1"/>
  <c r="G99" i="89" s="1"/>
  <c r="C99" i="90" s="1"/>
  <c r="E99" i="90" s="1"/>
  <c r="G99" i="90" s="1"/>
  <c r="C99" i="91" s="1"/>
  <c r="E99" i="91" s="1"/>
  <c r="G99" i="91" s="1"/>
  <c r="E99" i="92" s="1"/>
  <c r="G99" i="92" s="1"/>
  <c r="E99" i="93" s="1"/>
  <c r="G99" i="93" s="1"/>
  <c r="E99" i="94" s="1"/>
  <c r="G99" i="94" s="1"/>
  <c r="C99" i="95" s="1"/>
  <c r="E99" i="95" s="1"/>
  <c r="G99" i="95" s="1"/>
  <c r="C99" i="96" s="1"/>
  <c r="E99" i="96" s="1"/>
  <c r="G99" i="96" s="1"/>
  <c r="C51" i="82"/>
  <c r="E51" i="82" s="1"/>
  <c r="G51" i="82" s="1"/>
  <c r="C51" i="83" s="1"/>
  <c r="E51" i="83" s="1"/>
  <c r="G51" i="83" s="1"/>
  <c r="C51" i="84" s="1"/>
  <c r="E51" i="84" s="1"/>
  <c r="G51" i="84" s="1"/>
  <c r="C51" i="85" s="1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C51" i="89" s="1"/>
  <c r="E51" i="89" s="1"/>
  <c r="G51" i="89" s="1"/>
  <c r="C51" i="90" s="1"/>
  <c r="E51" i="90" s="1"/>
  <c r="G51" i="90" s="1"/>
  <c r="C51" i="91" s="1"/>
  <c r="E51" i="91" s="1"/>
  <c r="G51" i="91" s="1"/>
  <c r="E51" i="92" s="1"/>
  <c r="G51" i="92" s="1"/>
  <c r="E51" i="93" s="1"/>
  <c r="G51" i="93" s="1"/>
  <c r="E51" i="94" s="1"/>
  <c r="G51" i="94" s="1"/>
  <c r="C51" i="95" s="1"/>
  <c r="E51" i="95" s="1"/>
  <c r="G51" i="95" s="1"/>
  <c r="C51" i="96" s="1"/>
  <c r="E51" i="96" s="1"/>
  <c r="G51" i="96" s="1"/>
  <c r="C189" i="82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9" i="89" s="1"/>
  <c r="G189" i="89" s="1"/>
  <c r="C189" i="90" s="1"/>
  <c r="E189" i="90" s="1"/>
  <c r="G189" i="90" s="1"/>
  <c r="C189" i="91" s="1"/>
  <c r="E189" i="91" s="1"/>
  <c r="G189" i="91" s="1"/>
  <c r="E189" i="92" s="1"/>
  <c r="G189" i="92" s="1"/>
  <c r="E189" i="93" s="1"/>
  <c r="G189" i="93" s="1"/>
  <c r="E189" i="94" s="1"/>
  <c r="G189" i="94" s="1"/>
  <c r="C189" i="95" s="1"/>
  <c r="E189" i="95" s="1"/>
  <c r="G189" i="95" s="1"/>
  <c r="C189" i="96" s="1"/>
  <c r="E189" i="96" s="1"/>
  <c r="G189" i="96" s="1"/>
  <c r="C221" i="82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E221" i="92" s="1"/>
  <c r="G221" i="92" s="1"/>
  <c r="E221" i="93" s="1"/>
  <c r="G221" i="93" s="1"/>
  <c r="E221" i="94" s="1"/>
  <c r="G221" i="94" s="1"/>
  <c r="C221" i="95" s="1"/>
  <c r="E221" i="95" s="1"/>
  <c r="G221" i="95" s="1"/>
  <c r="C221" i="96" s="1"/>
  <c r="E221" i="96" s="1"/>
  <c r="G221" i="96" s="1"/>
  <c r="C126" i="82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C126" i="89" s="1"/>
  <c r="E126" i="89" s="1"/>
  <c r="G126" i="89" s="1"/>
  <c r="C126" i="90" s="1"/>
  <c r="E126" i="90" s="1"/>
  <c r="G126" i="90" s="1"/>
  <c r="C126" i="91" s="1"/>
  <c r="E126" i="91" s="1"/>
  <c r="G126" i="91" s="1"/>
  <c r="E126" i="92" s="1"/>
  <c r="G126" i="92" s="1"/>
  <c r="E126" i="93" s="1"/>
  <c r="G126" i="93" s="1"/>
  <c r="E126" i="94" s="1"/>
  <c r="G126" i="94" s="1"/>
  <c r="C126" i="95" s="1"/>
  <c r="E126" i="95" s="1"/>
  <c r="G126" i="95" s="1"/>
  <c r="C126" i="96" s="1"/>
  <c r="E126" i="96" s="1"/>
  <c r="G126" i="96" s="1"/>
  <c r="C147" i="82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47" i="89" s="1"/>
  <c r="G147" i="89" s="1"/>
  <c r="C147" i="90" s="1"/>
  <c r="E147" i="90" s="1"/>
  <c r="G147" i="90" s="1"/>
  <c r="C147" i="91" s="1"/>
  <c r="E147" i="91" s="1"/>
  <c r="G147" i="91" s="1"/>
  <c r="E147" i="92" s="1"/>
  <c r="G147" i="92" s="1"/>
  <c r="E147" i="93" s="1"/>
  <c r="G147" i="93" s="1"/>
  <c r="E147" i="94" s="1"/>
  <c r="G147" i="94" s="1"/>
  <c r="C147" i="95" s="1"/>
  <c r="E147" i="95" s="1"/>
  <c r="G147" i="95" s="1"/>
  <c r="C147" i="96" s="1"/>
  <c r="E147" i="96" s="1"/>
  <c r="G147" i="96" s="1"/>
  <c r="C225" i="82"/>
  <c r="E225" i="82" s="1"/>
  <c r="G225" i="82" s="1"/>
  <c r="C225" i="83" s="1"/>
  <c r="E225" i="83" s="1"/>
  <c r="G225" i="83" s="1"/>
  <c r="C225" i="84" s="1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E225" i="92" s="1"/>
  <c r="G225" i="92" s="1"/>
  <c r="E225" i="93" s="1"/>
  <c r="G225" i="93" s="1"/>
  <c r="E225" i="94" s="1"/>
  <c r="G225" i="94" s="1"/>
  <c r="C225" i="95" s="1"/>
  <c r="E225" i="95" s="1"/>
  <c r="G225" i="95" s="1"/>
  <c r="C225" i="96" s="1"/>
  <c r="E225" i="96" s="1"/>
  <c r="G225" i="96" s="1"/>
  <c r="C198" i="82"/>
  <c r="E198" i="82" s="1"/>
  <c r="G198" i="82" s="1"/>
  <c r="C198" i="83" s="1"/>
  <c r="E198" i="83" s="1"/>
  <c r="G198" i="83" s="1"/>
  <c r="C198" i="84" s="1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98" i="91" s="1"/>
  <c r="E198" i="91" s="1"/>
  <c r="G198" i="91" s="1"/>
  <c r="E198" i="92" s="1"/>
  <c r="G198" i="92" s="1"/>
  <c r="E198" i="93" s="1"/>
  <c r="G198" i="93" s="1"/>
  <c r="E198" i="94" s="1"/>
  <c r="G198" i="94" s="1"/>
  <c r="C198" i="95" s="1"/>
  <c r="E198" i="95" s="1"/>
  <c r="G198" i="95" s="1"/>
  <c r="C198" i="96" s="1"/>
  <c r="E198" i="96" s="1"/>
  <c r="G198" i="96" s="1"/>
  <c r="C139" i="82"/>
  <c r="E139" i="82" s="1"/>
  <c r="G139" i="82" s="1"/>
  <c r="C139" i="83" s="1"/>
  <c r="E139" i="83" s="1"/>
  <c r="G139" i="83" s="1"/>
  <c r="C139" i="84" s="1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91" s="1"/>
  <c r="E139" i="91" s="1"/>
  <c r="G139" i="91" s="1"/>
  <c r="E139" i="92" s="1"/>
  <c r="G139" i="92" s="1"/>
  <c r="E139" i="93" s="1"/>
  <c r="G139" i="93" s="1"/>
  <c r="E139" i="94" s="1"/>
  <c r="G139" i="94" s="1"/>
  <c r="C139" i="95" s="1"/>
  <c r="E139" i="95" s="1"/>
  <c r="G139" i="95" s="1"/>
  <c r="C139" i="96" s="1"/>
  <c r="E139" i="96" s="1"/>
  <c r="G139" i="96" s="1"/>
  <c r="C74" i="82"/>
  <c r="E74" i="82" s="1"/>
  <c r="G74" i="82" s="1"/>
  <c r="C74" i="83" s="1"/>
  <c r="E74" i="83" s="1"/>
  <c r="G74" i="83" s="1"/>
  <c r="C74" i="84" s="1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74" i="91" s="1"/>
  <c r="E74" i="91" s="1"/>
  <c r="G74" i="91" s="1"/>
  <c r="E74" i="92" s="1"/>
  <c r="G74" i="92" s="1"/>
  <c r="E74" i="93" s="1"/>
  <c r="G74" i="93" s="1"/>
  <c r="E74" i="94" s="1"/>
  <c r="G74" i="94" s="1"/>
  <c r="C74" i="95" s="1"/>
  <c r="E74" i="95" s="1"/>
  <c r="G74" i="95" s="1"/>
  <c r="C74" i="96" s="1"/>
  <c r="E74" i="96" s="1"/>
  <c r="G74" i="96" s="1"/>
  <c r="E172" i="82"/>
  <c r="G172" i="82" s="1"/>
  <c r="C172" i="83" s="1"/>
  <c r="E172" i="83" s="1"/>
  <c r="G172" i="83" s="1"/>
  <c r="C172" i="84" s="1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172" i="91" s="1"/>
  <c r="E172" i="91" s="1"/>
  <c r="G172" i="91" s="1"/>
  <c r="E172" i="92" s="1"/>
  <c r="G172" i="92" s="1"/>
  <c r="E172" i="93" s="1"/>
  <c r="G172" i="93" s="1"/>
  <c r="E172" i="94" s="1"/>
  <c r="G172" i="94" s="1"/>
  <c r="C172" i="95" s="1"/>
  <c r="E172" i="95" s="1"/>
  <c r="G172" i="95" s="1"/>
  <c r="C172" i="96" s="1"/>
  <c r="E172" i="96" s="1"/>
  <c r="G172" i="96" s="1"/>
  <c r="C172" i="82"/>
  <c r="C231" i="82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E231" i="92" s="1"/>
  <c r="G231" i="92" s="1"/>
  <c r="E231" i="93" s="1"/>
  <c r="G231" i="93" s="1"/>
  <c r="E231" i="94" s="1"/>
  <c r="G231" i="94" s="1"/>
  <c r="C231" i="95" s="1"/>
  <c r="E231" i="95" s="1"/>
  <c r="G231" i="95" s="1"/>
  <c r="C231" i="96" s="1"/>
  <c r="E231" i="96" s="1"/>
  <c r="G231" i="96" s="1"/>
  <c r="C208" i="82"/>
  <c r="E208" i="82" s="1"/>
  <c r="G208" i="82" s="1"/>
  <c r="C208" i="83" s="1"/>
  <c r="E208" i="83" s="1"/>
  <c r="G208" i="83" s="1"/>
  <c r="C208" i="84" s="1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91" s="1"/>
  <c r="E208" i="91" s="1"/>
  <c r="G208" i="91" s="1"/>
  <c r="E208" i="92" s="1"/>
  <c r="G208" i="92" s="1"/>
  <c r="E208" i="93" s="1"/>
  <c r="G208" i="93" s="1"/>
  <c r="E208" i="94" s="1"/>
  <c r="G208" i="94" s="1"/>
  <c r="C208" i="95" s="1"/>
  <c r="E208" i="95" s="1"/>
  <c r="G208" i="95" s="1"/>
  <c r="C208" i="96" s="1"/>
  <c r="E208" i="96" s="1"/>
  <c r="G208" i="96" s="1"/>
  <c r="C182" i="82"/>
  <c r="E182" i="82" s="1"/>
  <c r="G182" i="82" s="1"/>
  <c r="C182" i="83" s="1"/>
  <c r="E182" i="83" s="1"/>
  <c r="G182" i="83" s="1"/>
  <c r="C182" i="84" s="1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2" i="91" s="1"/>
  <c r="E182" i="91" s="1"/>
  <c r="G182" i="91" s="1"/>
  <c r="E182" i="92" s="1"/>
  <c r="G182" i="92" s="1"/>
  <c r="E182" i="93" s="1"/>
  <c r="G182" i="93" s="1"/>
  <c r="E182" i="94" s="1"/>
  <c r="G182" i="94" s="1"/>
  <c r="C182" i="95" s="1"/>
  <c r="E182" i="95" s="1"/>
  <c r="G182" i="95" s="1"/>
  <c r="C182" i="96" s="1"/>
  <c r="E182" i="96" s="1"/>
  <c r="G182" i="96" s="1"/>
  <c r="E153" i="82"/>
  <c r="G153" i="82" s="1"/>
  <c r="C153" i="83" s="1"/>
  <c r="E153" i="83" s="1"/>
  <c r="G153" i="83" s="1"/>
  <c r="C153" i="84" s="1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53" i="91" s="1"/>
  <c r="E153" i="91" s="1"/>
  <c r="G153" i="91" s="1"/>
  <c r="E153" i="92" s="1"/>
  <c r="G153" i="92" s="1"/>
  <c r="E153" i="93" s="1"/>
  <c r="G153" i="93" s="1"/>
  <c r="E153" i="94" s="1"/>
  <c r="G153" i="94" s="1"/>
  <c r="C153" i="95" s="1"/>
  <c r="E153" i="95" s="1"/>
  <c r="G153" i="95" s="1"/>
  <c r="C153" i="96" s="1"/>
  <c r="E153" i="96" s="1"/>
  <c r="G153" i="96" s="1"/>
  <c r="C153" i="82"/>
  <c r="C127" i="82"/>
  <c r="E127" i="82" s="1"/>
  <c r="G127" i="82" s="1"/>
  <c r="C127" i="83" s="1"/>
  <c r="E127" i="83" s="1"/>
  <c r="G127" i="83" s="1"/>
  <c r="C127" i="84" s="1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127" i="91" s="1"/>
  <c r="E127" i="91" s="1"/>
  <c r="G127" i="91" s="1"/>
  <c r="E127" i="92" s="1"/>
  <c r="G127" i="92" s="1"/>
  <c r="E127" i="93" s="1"/>
  <c r="G127" i="93" s="1"/>
  <c r="E127" i="94" s="1"/>
  <c r="G127" i="94" s="1"/>
  <c r="C127" i="95" s="1"/>
  <c r="E127" i="95" s="1"/>
  <c r="G127" i="95" s="1"/>
  <c r="C127" i="96" s="1"/>
  <c r="E127" i="96" s="1"/>
  <c r="G127" i="96" s="1"/>
  <c r="C90" i="82"/>
  <c r="E90" i="82" s="1"/>
  <c r="G90" i="82" s="1"/>
  <c r="C90" i="83" s="1"/>
  <c r="E90" i="83" s="1"/>
  <c r="G90" i="83" s="1"/>
  <c r="C90" i="84" s="1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90" i="89" s="1"/>
  <c r="G90" i="89" s="1"/>
  <c r="C90" i="90" s="1"/>
  <c r="E90" i="90" s="1"/>
  <c r="G90" i="90" s="1"/>
  <c r="C90" i="91" s="1"/>
  <c r="E90" i="91" s="1"/>
  <c r="G90" i="91" s="1"/>
  <c r="E90" i="92" s="1"/>
  <c r="G90" i="92" s="1"/>
  <c r="E90" i="93" s="1"/>
  <c r="G90" i="93" s="1"/>
  <c r="E90" i="94" s="1"/>
  <c r="G90" i="94" s="1"/>
  <c r="C90" i="95" s="1"/>
  <c r="E90" i="95" s="1"/>
  <c r="G90" i="95" s="1"/>
  <c r="C90" i="96" s="1"/>
  <c r="E90" i="96" s="1"/>
  <c r="G90" i="96" s="1"/>
  <c r="C100" i="82"/>
  <c r="E100" i="82" s="1"/>
  <c r="G100" i="82" s="1"/>
  <c r="C100" i="83" s="1"/>
  <c r="E100" i="83" s="1"/>
  <c r="G100" i="83" s="1"/>
  <c r="C100" i="84" s="1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100" i="91" s="1"/>
  <c r="E100" i="91" s="1"/>
  <c r="G100" i="91" s="1"/>
  <c r="E100" i="92" s="1"/>
  <c r="G100" i="92" s="1"/>
  <c r="E100" i="93" s="1"/>
  <c r="G100" i="93" s="1"/>
  <c r="E100" i="94" s="1"/>
  <c r="G100" i="94" s="1"/>
  <c r="C100" i="95" s="1"/>
  <c r="E100" i="95" s="1"/>
  <c r="G100" i="95" s="1"/>
  <c r="C100" i="96" s="1"/>
  <c r="E100" i="96" s="1"/>
  <c r="G100" i="96" s="1"/>
  <c r="E84" i="82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84" i="91" s="1"/>
  <c r="E84" i="91" s="1"/>
  <c r="G84" i="91" s="1"/>
  <c r="E84" i="92" s="1"/>
  <c r="G84" i="92" s="1"/>
  <c r="E84" i="93" s="1"/>
  <c r="G84" i="93" s="1"/>
  <c r="E84" i="94" s="1"/>
  <c r="G84" i="94" s="1"/>
  <c r="C84" i="95" s="1"/>
  <c r="E84" i="95" s="1"/>
  <c r="G84" i="95" s="1"/>
  <c r="C84" i="96" s="1"/>
  <c r="E84" i="96" s="1"/>
  <c r="G84" i="96" s="1"/>
  <c r="C84" i="82"/>
  <c r="C26" i="82"/>
  <c r="E26" i="82" s="1"/>
  <c r="G26" i="82" s="1"/>
  <c r="C26" i="83" s="1"/>
  <c r="E26" i="83" s="1"/>
  <c r="G26" i="83" s="1"/>
  <c r="C26" i="84" s="1"/>
  <c r="E26" i="84" s="1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6" i="91" s="1"/>
  <c r="E26" i="91" s="1"/>
  <c r="G26" i="91" s="1"/>
  <c r="E26" i="92" s="1"/>
  <c r="G26" i="92" s="1"/>
  <c r="E26" i="93" s="1"/>
  <c r="G26" i="93" s="1"/>
  <c r="E26" i="94" s="1"/>
  <c r="G26" i="94" s="1"/>
  <c r="C26" i="95" s="1"/>
  <c r="E26" i="95" s="1"/>
  <c r="G26" i="95" s="1"/>
  <c r="C26" i="96" s="1"/>
  <c r="E26" i="96" s="1"/>
  <c r="G26" i="96" s="1"/>
  <c r="C246" i="82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246" i="91" s="1"/>
  <c r="E246" i="91" s="1"/>
  <c r="G246" i="91" s="1"/>
  <c r="E246" i="92" s="1"/>
  <c r="G246" i="92" s="1"/>
  <c r="E246" i="93" s="1"/>
  <c r="G246" i="93" s="1"/>
  <c r="E246" i="94" s="1"/>
  <c r="G246" i="94" s="1"/>
  <c r="C246" i="95" s="1"/>
  <c r="E246" i="95" s="1"/>
  <c r="G246" i="95" s="1"/>
  <c r="C246" i="96" s="1"/>
  <c r="E246" i="96" s="1"/>
  <c r="G246" i="96" s="1"/>
  <c r="C97" i="82"/>
  <c r="E97" i="82" s="1"/>
  <c r="G97" i="82" s="1"/>
  <c r="C97" i="83" s="1"/>
  <c r="E97" i="83" s="1"/>
  <c r="G97" i="83" s="1"/>
  <c r="C97" i="84" s="1"/>
  <c r="E97" i="84" s="1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C97" i="89" s="1"/>
  <c r="E97" i="89" s="1"/>
  <c r="G97" i="89" s="1"/>
  <c r="C97" i="90" s="1"/>
  <c r="E97" i="90" s="1"/>
  <c r="G97" i="90" s="1"/>
  <c r="C97" i="91" s="1"/>
  <c r="E97" i="91" s="1"/>
  <c r="G97" i="91" s="1"/>
  <c r="E97" i="92" s="1"/>
  <c r="G97" i="92" s="1"/>
  <c r="E97" i="93" s="1"/>
  <c r="G97" i="93" s="1"/>
  <c r="E97" i="94" s="1"/>
  <c r="G97" i="94" s="1"/>
  <c r="C97" i="95" s="1"/>
  <c r="E97" i="95" s="1"/>
  <c r="G97" i="95" s="1"/>
  <c r="C97" i="96" s="1"/>
  <c r="E97" i="96" s="1"/>
  <c r="G97" i="96" s="1"/>
  <c r="C233" i="82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33" i="91" s="1"/>
  <c r="E233" i="91" s="1"/>
  <c r="G233" i="91" s="1"/>
  <c r="E233" i="92" s="1"/>
  <c r="G233" i="92" s="1"/>
  <c r="E233" i="93" s="1"/>
  <c r="G233" i="93" s="1"/>
  <c r="E233" i="94" s="1"/>
  <c r="G233" i="94" s="1"/>
  <c r="C233" i="95" s="1"/>
  <c r="E233" i="95" s="1"/>
  <c r="G233" i="95" s="1"/>
  <c r="C233" i="96" s="1"/>
  <c r="E233" i="96" s="1"/>
  <c r="G233" i="96" s="1"/>
  <c r="C238" i="82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E238" i="92" s="1"/>
  <c r="G238" i="92" s="1"/>
  <c r="E238" i="93" s="1"/>
  <c r="G238" i="93" s="1"/>
  <c r="E238" i="94" s="1"/>
  <c r="G238" i="94" s="1"/>
  <c r="C238" i="95" s="1"/>
  <c r="E238" i="95" s="1"/>
  <c r="G238" i="95" s="1"/>
  <c r="C238" i="96" s="1"/>
  <c r="E238" i="96" s="1"/>
  <c r="G238" i="96" s="1"/>
  <c r="C232" i="82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E232" i="92" s="1"/>
  <c r="G232" i="92" s="1"/>
  <c r="E232" i="93" s="1"/>
  <c r="G232" i="93" s="1"/>
  <c r="E232" i="94" s="1"/>
  <c r="G232" i="94" s="1"/>
  <c r="C232" i="95" s="1"/>
  <c r="E232" i="95" s="1"/>
  <c r="G232" i="95" s="1"/>
  <c r="C232" i="96" s="1"/>
  <c r="E232" i="96" s="1"/>
  <c r="G232" i="96" s="1"/>
  <c r="C205" i="82"/>
  <c r="E205" i="82" s="1"/>
  <c r="G205" i="82" s="1"/>
  <c r="C205" i="83" s="1"/>
  <c r="E205" i="83" s="1"/>
  <c r="G205" i="83" s="1"/>
  <c r="C205" i="84" s="1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05" i="91" s="1"/>
  <c r="E205" i="91" s="1"/>
  <c r="G205" i="91" s="1"/>
  <c r="E205" i="92" s="1"/>
  <c r="G205" i="92" s="1"/>
  <c r="E205" i="93" s="1"/>
  <c r="G205" i="93" s="1"/>
  <c r="E205" i="94" s="1"/>
  <c r="G205" i="94" s="1"/>
  <c r="C205" i="95" s="1"/>
  <c r="E205" i="95" s="1"/>
  <c r="G205" i="95" s="1"/>
  <c r="C205" i="96" s="1"/>
  <c r="E205" i="96" s="1"/>
  <c r="G205" i="96" s="1"/>
  <c r="E236" i="82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E236" i="92" s="1"/>
  <c r="G236" i="92" s="1"/>
  <c r="E236" i="93" s="1"/>
  <c r="G236" i="93" s="1"/>
  <c r="E236" i="94" s="1"/>
  <c r="G236" i="94" s="1"/>
  <c r="C236" i="95" s="1"/>
  <c r="E236" i="95" s="1"/>
  <c r="G236" i="95" s="1"/>
  <c r="C236" i="96" s="1"/>
  <c r="E236" i="96" s="1"/>
  <c r="G236" i="96" s="1"/>
  <c r="C236" i="82"/>
  <c r="C162" i="82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C162" i="89" s="1"/>
  <c r="E162" i="89" s="1"/>
  <c r="G162" i="89" s="1"/>
  <c r="C162" i="90" s="1"/>
  <c r="E162" i="90" s="1"/>
  <c r="G162" i="90" s="1"/>
  <c r="C162" i="91" s="1"/>
  <c r="E162" i="91" s="1"/>
  <c r="G162" i="91" s="1"/>
  <c r="E162" i="92" s="1"/>
  <c r="G162" i="92" s="1"/>
  <c r="E162" i="93" s="1"/>
  <c r="G162" i="93" s="1"/>
  <c r="E162" i="94" s="1"/>
  <c r="G162" i="94" s="1"/>
  <c r="C162" i="95" s="1"/>
  <c r="E162" i="95" s="1"/>
  <c r="G162" i="95" s="1"/>
  <c r="C162" i="96" s="1"/>
  <c r="E162" i="96" s="1"/>
  <c r="G162" i="96" s="1"/>
  <c r="C48" i="82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91" s="1"/>
  <c r="E48" i="91" s="1"/>
  <c r="G48" i="91" s="1"/>
  <c r="E48" i="92" s="1"/>
  <c r="G48" i="92" s="1"/>
  <c r="E48" i="93" s="1"/>
  <c r="G48" i="93" s="1"/>
  <c r="E48" i="94" s="1"/>
  <c r="G48" i="94" s="1"/>
  <c r="C48" i="95" s="1"/>
  <c r="E48" i="95" s="1"/>
  <c r="G48" i="95" s="1"/>
  <c r="C48" i="96" s="1"/>
  <c r="E48" i="96" s="1"/>
  <c r="G48" i="96" s="1"/>
  <c r="C197" i="82"/>
  <c r="E197" i="82" s="1"/>
  <c r="G197" i="82" s="1"/>
  <c r="C197" i="83" s="1"/>
  <c r="E197" i="83" s="1"/>
  <c r="G197" i="83" s="1"/>
  <c r="C197" i="84" s="1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91" s="1"/>
  <c r="E197" i="91" s="1"/>
  <c r="G197" i="91" s="1"/>
  <c r="E197" i="92" s="1"/>
  <c r="G197" i="92" s="1"/>
  <c r="E197" i="93" s="1"/>
  <c r="G197" i="93" s="1"/>
  <c r="E197" i="94" s="1"/>
  <c r="G197" i="94" s="1"/>
  <c r="C197" i="95" s="1"/>
  <c r="E197" i="95" s="1"/>
  <c r="G197" i="95" s="1"/>
  <c r="C197" i="96" s="1"/>
  <c r="E197" i="96" s="1"/>
  <c r="G197" i="96" s="1"/>
  <c r="C191" i="82"/>
  <c r="E191" i="82" s="1"/>
  <c r="G191" i="82" s="1"/>
  <c r="C191" i="83" s="1"/>
  <c r="E191" i="83" s="1"/>
  <c r="G191" i="83" s="1"/>
  <c r="C191" i="84" s="1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91" s="1"/>
  <c r="E191" i="91" s="1"/>
  <c r="G191" i="91" s="1"/>
  <c r="E191" i="92" s="1"/>
  <c r="G191" i="92" s="1"/>
  <c r="E191" i="93" s="1"/>
  <c r="G191" i="93" s="1"/>
  <c r="E191" i="94" s="1"/>
  <c r="G191" i="94" s="1"/>
  <c r="C191" i="95" s="1"/>
  <c r="E191" i="95" s="1"/>
  <c r="G191" i="95" s="1"/>
  <c r="C191" i="96" s="1"/>
  <c r="E191" i="96" s="1"/>
  <c r="G191" i="96" s="1"/>
  <c r="C85" i="82"/>
  <c r="E85" i="82" s="1"/>
  <c r="G85" i="82" s="1"/>
  <c r="C85" i="83" s="1"/>
  <c r="E85" i="83" s="1"/>
  <c r="G85" i="83" s="1"/>
  <c r="C85" i="84" s="1"/>
  <c r="E85" i="84" s="1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85" i="91" s="1"/>
  <c r="E85" i="91" s="1"/>
  <c r="G85" i="91" s="1"/>
  <c r="E85" i="92" s="1"/>
  <c r="G85" i="92" s="1"/>
  <c r="E85" i="93" s="1"/>
  <c r="G85" i="93" s="1"/>
  <c r="E85" i="94" s="1"/>
  <c r="G85" i="94" s="1"/>
  <c r="C85" i="95" s="1"/>
  <c r="E85" i="95" s="1"/>
  <c r="G85" i="95" s="1"/>
  <c r="C85" i="96" s="1"/>
  <c r="E85" i="96" s="1"/>
  <c r="G85" i="96" s="1"/>
  <c r="C141" i="82"/>
  <c r="E141" i="82" s="1"/>
  <c r="G141" i="82" s="1"/>
  <c r="C141" i="83" s="1"/>
  <c r="E141" i="83" s="1"/>
  <c r="G141" i="83" s="1"/>
  <c r="C141" i="84" s="1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C141" i="91" s="1"/>
  <c r="E141" i="91" s="1"/>
  <c r="G141" i="91" s="1"/>
  <c r="E141" i="92" s="1"/>
  <c r="G141" i="92" s="1"/>
  <c r="E141" i="93" s="1"/>
  <c r="G141" i="93" s="1"/>
  <c r="E141" i="94" s="1"/>
  <c r="G141" i="94" s="1"/>
  <c r="C141" i="95" s="1"/>
  <c r="E141" i="95" s="1"/>
  <c r="G141" i="95" s="1"/>
  <c r="C141" i="96" s="1"/>
  <c r="E141" i="96" s="1"/>
  <c r="G141" i="96" s="1"/>
  <c r="C234" i="82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C234" i="91" s="1"/>
  <c r="E234" i="91" s="1"/>
  <c r="G234" i="91" s="1"/>
  <c r="E234" i="92" s="1"/>
  <c r="G234" i="92" s="1"/>
  <c r="E234" i="93" s="1"/>
  <c r="G234" i="93" s="1"/>
  <c r="E234" i="94" s="1"/>
  <c r="G234" i="94" s="1"/>
  <c r="C234" i="95" s="1"/>
  <c r="E234" i="95" s="1"/>
  <c r="G234" i="95" s="1"/>
  <c r="C234" i="96" s="1"/>
  <c r="E234" i="96" s="1"/>
  <c r="G234" i="96" s="1"/>
  <c r="E160" i="82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160" i="91" s="1"/>
  <c r="E160" i="91" s="1"/>
  <c r="G160" i="91" s="1"/>
  <c r="E160" i="92" s="1"/>
  <c r="G160" i="92" s="1"/>
  <c r="E160" i="93" s="1"/>
  <c r="G160" i="93" s="1"/>
  <c r="E160" i="94" s="1"/>
  <c r="G160" i="94" s="1"/>
  <c r="C160" i="95" s="1"/>
  <c r="E160" i="95" s="1"/>
  <c r="G160" i="95" s="1"/>
  <c r="C160" i="96" s="1"/>
  <c r="E160" i="96" s="1"/>
  <c r="G160" i="96" s="1"/>
  <c r="C160" i="82"/>
  <c r="C27" i="82"/>
  <c r="E27" i="82" s="1"/>
  <c r="G27" i="82" s="1"/>
  <c r="C27" i="83" s="1"/>
  <c r="E27" i="83" s="1"/>
  <c r="G27" i="83" s="1"/>
  <c r="C27" i="84" s="1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27" i="91" s="1"/>
  <c r="E27" i="91" s="1"/>
  <c r="G27" i="91" s="1"/>
  <c r="E27" i="92" s="1"/>
  <c r="G27" i="92" s="1"/>
  <c r="E27" i="93" s="1"/>
  <c r="G27" i="93" s="1"/>
  <c r="E27" i="94" s="1"/>
  <c r="G27" i="94" s="1"/>
  <c r="C27" i="95" s="1"/>
  <c r="E27" i="95" s="1"/>
  <c r="G27" i="95" s="1"/>
  <c r="C27" i="96" s="1"/>
  <c r="E27" i="96" s="1"/>
  <c r="G27" i="96" s="1"/>
  <c r="C102" i="82"/>
  <c r="E102" i="82" s="1"/>
  <c r="G102" i="82" s="1"/>
  <c r="C102" i="83" s="1"/>
  <c r="E102" i="83" s="1"/>
  <c r="G102" i="83" s="1"/>
  <c r="C102" i="84" s="1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102" i="91" s="1"/>
  <c r="E102" i="91" s="1"/>
  <c r="G102" i="91" s="1"/>
  <c r="E102" i="92" s="1"/>
  <c r="G102" i="92" s="1"/>
  <c r="E102" i="93" s="1"/>
  <c r="G102" i="93" s="1"/>
  <c r="E102" i="94" s="1"/>
  <c r="G102" i="94" s="1"/>
  <c r="C102" i="95" s="1"/>
  <c r="E102" i="95" s="1"/>
  <c r="G102" i="95" s="1"/>
  <c r="C102" i="96" s="1"/>
  <c r="E102" i="96" s="1"/>
  <c r="G102" i="96" s="1"/>
  <c r="C109" i="82"/>
  <c r="E109" i="82" s="1"/>
  <c r="G109" i="82" s="1"/>
  <c r="C109" i="83" s="1"/>
  <c r="E109" i="83" s="1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09" i="91" s="1"/>
  <c r="E109" i="91" s="1"/>
  <c r="G109" i="91" s="1"/>
  <c r="E109" i="92" s="1"/>
  <c r="G109" i="92" s="1"/>
  <c r="E109" i="93" s="1"/>
  <c r="G109" i="93" s="1"/>
  <c r="E109" i="94" s="1"/>
  <c r="G109" i="94" s="1"/>
  <c r="C109" i="95" s="1"/>
  <c r="E109" i="95" s="1"/>
  <c r="G109" i="95" s="1"/>
  <c r="C109" i="96" s="1"/>
  <c r="E109" i="96" s="1"/>
  <c r="G109" i="96" s="1"/>
  <c r="C209" i="82"/>
  <c r="E209" i="82" s="1"/>
  <c r="G209" i="82" s="1"/>
  <c r="C209" i="83" s="1"/>
  <c r="E209" i="83" s="1"/>
  <c r="G209" i="83" s="1"/>
  <c r="C209" i="84" s="1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91" s="1"/>
  <c r="E209" i="91" s="1"/>
  <c r="G209" i="91" s="1"/>
  <c r="E209" i="92" s="1"/>
  <c r="G209" i="92" s="1"/>
  <c r="E209" i="93" s="1"/>
  <c r="G209" i="93" s="1"/>
  <c r="E209" i="94" s="1"/>
  <c r="G209" i="94" s="1"/>
  <c r="C209" i="95" s="1"/>
  <c r="E209" i="95" s="1"/>
  <c r="G209" i="95" s="1"/>
  <c r="C209" i="96" s="1"/>
  <c r="E209" i="96" s="1"/>
  <c r="G209" i="96" s="1"/>
  <c r="C60" i="82"/>
  <c r="E60" i="82" s="1"/>
  <c r="G60" i="82" s="1"/>
  <c r="C60" i="83" s="1"/>
  <c r="E60" i="83" s="1"/>
  <c r="G60" i="83" s="1"/>
  <c r="C60" i="84" s="1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60" i="91" s="1"/>
  <c r="E60" i="91" s="1"/>
  <c r="G60" i="91" s="1"/>
  <c r="E60" i="92" s="1"/>
  <c r="G60" i="92" s="1"/>
  <c r="E60" i="93" s="1"/>
  <c r="G60" i="93" s="1"/>
  <c r="E60" i="94" s="1"/>
  <c r="G60" i="94" s="1"/>
  <c r="C60" i="95" s="1"/>
  <c r="E60" i="95" s="1"/>
  <c r="G60" i="95" s="1"/>
  <c r="C60" i="96" s="1"/>
  <c r="E60" i="96" s="1"/>
  <c r="G60" i="96" s="1"/>
  <c r="C201" i="82"/>
  <c r="E201" i="82" s="1"/>
  <c r="G201" i="82" s="1"/>
  <c r="C201" i="83" s="1"/>
  <c r="E201" i="83" s="1"/>
  <c r="G201" i="83" s="1"/>
  <c r="C201" i="84" s="1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201" i="91" s="1"/>
  <c r="E201" i="91" s="1"/>
  <c r="G201" i="91" s="1"/>
  <c r="E201" i="92" s="1"/>
  <c r="G201" i="92" s="1"/>
  <c r="E201" i="93" s="1"/>
  <c r="G201" i="93" s="1"/>
  <c r="E201" i="94" s="1"/>
  <c r="G201" i="94" s="1"/>
  <c r="C201" i="95" s="1"/>
  <c r="E201" i="95" s="1"/>
  <c r="G201" i="95" s="1"/>
  <c r="C201" i="96" s="1"/>
  <c r="E201" i="96" s="1"/>
  <c r="G201" i="96" s="1"/>
  <c r="C159" i="82"/>
  <c r="E159" i="82" s="1"/>
  <c r="G159" i="82" s="1"/>
  <c r="C159" i="83" s="1"/>
  <c r="E159" i="83" s="1"/>
  <c r="G159" i="83" s="1"/>
  <c r="C159" i="84" s="1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C159" i="89" s="1"/>
  <c r="E159" i="89" s="1"/>
  <c r="G159" i="89" s="1"/>
  <c r="C159" i="90" s="1"/>
  <c r="E159" i="90" s="1"/>
  <c r="G159" i="90" s="1"/>
  <c r="C159" i="91" s="1"/>
  <c r="E159" i="91" s="1"/>
  <c r="G159" i="91" s="1"/>
  <c r="E159" i="92" s="1"/>
  <c r="G159" i="92" s="1"/>
  <c r="E159" i="93" s="1"/>
  <c r="G159" i="93" s="1"/>
  <c r="E159" i="94" s="1"/>
  <c r="G159" i="94" s="1"/>
  <c r="C159" i="95" s="1"/>
  <c r="E159" i="95" s="1"/>
  <c r="G159" i="95" s="1"/>
  <c r="C159" i="96" s="1"/>
  <c r="E159" i="96" s="1"/>
  <c r="G159" i="96" s="1"/>
  <c r="E98" i="82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C98" i="89" s="1"/>
  <c r="E98" i="89" s="1"/>
  <c r="G98" i="89" s="1"/>
  <c r="C98" i="90" s="1"/>
  <c r="E98" i="90" s="1"/>
  <c r="G98" i="90" s="1"/>
  <c r="C98" i="91" s="1"/>
  <c r="E98" i="91" s="1"/>
  <c r="G98" i="91" s="1"/>
  <c r="E98" i="92" s="1"/>
  <c r="G98" i="92" s="1"/>
  <c r="E98" i="93" s="1"/>
  <c r="G98" i="93" s="1"/>
  <c r="E98" i="94" s="1"/>
  <c r="G98" i="94" s="1"/>
  <c r="C98" i="95" s="1"/>
  <c r="E98" i="95" s="1"/>
  <c r="G98" i="95" s="1"/>
  <c r="C98" i="96" s="1"/>
  <c r="E98" i="96" s="1"/>
  <c r="G98" i="96" s="1"/>
  <c r="C98" i="82"/>
  <c r="C22" i="82"/>
  <c r="E22" i="82" s="1"/>
  <c r="G22" i="82" s="1"/>
  <c r="C22" i="83" s="1"/>
  <c r="E22" i="83" s="1"/>
  <c r="G22" i="83" s="1"/>
  <c r="C22" i="84" s="1"/>
  <c r="E22" i="84" s="1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22" i="89" s="1"/>
  <c r="E22" i="89" s="1"/>
  <c r="G22" i="89" s="1"/>
  <c r="C22" i="90" s="1"/>
  <c r="E22" i="90" s="1"/>
  <c r="G22" i="90" s="1"/>
  <c r="E22" i="91" s="1"/>
  <c r="G22" i="91" s="1"/>
  <c r="E22" i="92" s="1"/>
  <c r="G22" i="92" s="1"/>
  <c r="E22" i="93" s="1"/>
  <c r="G22" i="93" s="1"/>
  <c r="E22" i="94" s="1"/>
  <c r="G22" i="94" s="1"/>
  <c r="C22" i="95" s="1"/>
  <c r="E22" i="95" s="1"/>
  <c r="G22" i="95" s="1"/>
  <c r="C22" i="96" s="1"/>
  <c r="E22" i="96" s="1"/>
  <c r="G22" i="96" s="1"/>
  <c r="C155" i="82"/>
  <c r="E155" i="82" s="1"/>
  <c r="G155" i="82" s="1"/>
  <c r="C155" i="83" s="1"/>
  <c r="E155" i="83" s="1"/>
  <c r="G155" i="83" s="1"/>
  <c r="C155" i="84" s="1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C155" i="89" s="1"/>
  <c r="E155" i="89" s="1"/>
  <c r="G155" i="89" s="1"/>
  <c r="C155" i="90" s="1"/>
  <c r="E155" i="90" s="1"/>
  <c r="G155" i="90" s="1"/>
  <c r="C155" i="91" s="1"/>
  <c r="E155" i="91" s="1"/>
  <c r="G155" i="91" s="1"/>
  <c r="E155" i="92" s="1"/>
  <c r="G155" i="92" s="1"/>
  <c r="E155" i="93" s="1"/>
  <c r="G155" i="93" s="1"/>
  <c r="E155" i="94" s="1"/>
  <c r="G155" i="94" s="1"/>
  <c r="C155" i="95" s="1"/>
  <c r="E155" i="95" s="1"/>
  <c r="G155" i="95" s="1"/>
  <c r="C155" i="96" s="1"/>
  <c r="E155" i="96" s="1"/>
  <c r="G155" i="96" s="1"/>
  <c r="C93" i="82"/>
  <c r="E93" i="82" s="1"/>
  <c r="G93" i="82" s="1"/>
  <c r="C93" i="83" s="1"/>
  <c r="E93" i="83" s="1"/>
  <c r="G93" i="83" s="1"/>
  <c r="C93" i="84" s="1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93" i="91" s="1"/>
  <c r="E93" i="91" s="1"/>
  <c r="G93" i="91" s="1"/>
  <c r="E93" i="92" s="1"/>
  <c r="G93" i="92" s="1"/>
  <c r="E93" i="93" s="1"/>
  <c r="G93" i="93" s="1"/>
  <c r="E93" i="94" s="1"/>
  <c r="G93" i="94" s="1"/>
  <c r="C93" i="95" s="1"/>
  <c r="E93" i="95" s="1"/>
  <c r="G93" i="95" s="1"/>
  <c r="C93" i="96" s="1"/>
  <c r="E93" i="96" s="1"/>
  <c r="G93" i="96" s="1"/>
  <c r="E151" i="82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C151" i="90" s="1"/>
  <c r="E151" i="90" s="1"/>
  <c r="G151" i="90" s="1"/>
  <c r="C151" i="91" s="1"/>
  <c r="E151" i="91" s="1"/>
  <c r="G151" i="91" s="1"/>
  <c r="E151" i="92" s="1"/>
  <c r="G151" i="92" s="1"/>
  <c r="E151" i="93" s="1"/>
  <c r="G151" i="93" s="1"/>
  <c r="E151" i="94" s="1"/>
  <c r="G151" i="94" s="1"/>
  <c r="C151" i="95" s="1"/>
  <c r="E151" i="95" s="1"/>
  <c r="G151" i="95" s="1"/>
  <c r="C151" i="96" s="1"/>
  <c r="E151" i="96" s="1"/>
  <c r="G151" i="96" s="1"/>
  <c r="C151" i="82"/>
  <c r="C112" i="82"/>
  <c r="E112" i="82" s="1"/>
  <c r="G112" i="82" s="1"/>
  <c r="C112" i="83" s="1"/>
  <c r="E112" i="83" s="1"/>
  <c r="G112" i="83" s="1"/>
  <c r="C112" i="84" s="1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112" i="91" s="1"/>
  <c r="E112" i="91" s="1"/>
  <c r="G112" i="91" s="1"/>
  <c r="E112" i="92" s="1"/>
  <c r="G112" i="92" s="1"/>
  <c r="E112" i="93" s="1"/>
  <c r="G112" i="93" s="1"/>
  <c r="E112" i="94" s="1"/>
  <c r="G112" i="94" s="1"/>
  <c r="C112" i="95" s="1"/>
  <c r="E112" i="95" s="1"/>
  <c r="G112" i="95" s="1"/>
  <c r="C112" i="96" s="1"/>
  <c r="E112" i="96" s="1"/>
  <c r="G112" i="96" s="1"/>
  <c r="C128" i="82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128" i="91" s="1"/>
  <c r="E128" i="91" s="1"/>
  <c r="G128" i="91" s="1"/>
  <c r="E128" i="92" s="1"/>
  <c r="G128" i="92" s="1"/>
  <c r="E128" i="93" s="1"/>
  <c r="G128" i="93" s="1"/>
  <c r="E128" i="94" s="1"/>
  <c r="G128" i="94" s="1"/>
  <c r="C128" i="95" s="1"/>
  <c r="E128" i="95" s="1"/>
  <c r="G128" i="95" s="1"/>
  <c r="C128" i="96" s="1"/>
  <c r="E128" i="96" s="1"/>
  <c r="G128" i="96" s="1"/>
  <c r="C187" i="82"/>
  <c r="E187" i="82" s="1"/>
  <c r="G187" i="82" s="1"/>
  <c r="C187" i="83" s="1"/>
  <c r="E187" i="83" s="1"/>
  <c r="G187" i="83" s="1"/>
  <c r="C187" i="84" s="1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87" i="91" s="1"/>
  <c r="E187" i="91" s="1"/>
  <c r="G187" i="91" s="1"/>
  <c r="E187" i="92" s="1"/>
  <c r="G187" i="92" s="1"/>
  <c r="E187" i="93" s="1"/>
  <c r="G187" i="93" s="1"/>
  <c r="E187" i="94" s="1"/>
  <c r="G187" i="94" s="1"/>
  <c r="C187" i="95" s="1"/>
  <c r="E187" i="95" s="1"/>
  <c r="G187" i="95" s="1"/>
  <c r="C187" i="96" s="1"/>
  <c r="E187" i="96" s="1"/>
  <c r="G187" i="96" s="1"/>
  <c r="E91" i="82"/>
  <c r="G91" i="82" s="1"/>
  <c r="C91" i="83" s="1"/>
  <c r="E91" i="83" s="1"/>
  <c r="G91" i="83" s="1"/>
  <c r="C91" i="84" s="1"/>
  <c r="E91" i="84" s="1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E91" i="90" s="1"/>
  <c r="G91" i="90" s="1"/>
  <c r="C91" i="91" s="1"/>
  <c r="E91" i="91" s="1"/>
  <c r="G91" i="91" s="1"/>
  <c r="E91" i="92" s="1"/>
  <c r="G91" i="92" s="1"/>
  <c r="E91" i="93" s="1"/>
  <c r="G91" i="93" s="1"/>
  <c r="E91" i="94" s="1"/>
  <c r="G91" i="94" s="1"/>
  <c r="C91" i="95" s="1"/>
  <c r="E91" i="95" s="1"/>
  <c r="G91" i="95" s="1"/>
  <c r="C91" i="96" s="1"/>
  <c r="E91" i="96" s="1"/>
  <c r="G91" i="96" s="1"/>
  <c r="C91" i="82"/>
  <c r="C69" i="82"/>
  <c r="E69" i="82" s="1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C69" i="89" s="1"/>
  <c r="E69" i="89" s="1"/>
  <c r="G69" i="89" s="1"/>
  <c r="C69" i="90" s="1"/>
  <c r="E69" i="90" s="1"/>
  <c r="G69" i="90" s="1"/>
  <c r="C69" i="91" s="1"/>
  <c r="E69" i="91" s="1"/>
  <c r="G69" i="91" s="1"/>
  <c r="E69" i="92" s="1"/>
  <c r="G69" i="92" s="1"/>
  <c r="E69" i="93" s="1"/>
  <c r="G69" i="93" s="1"/>
  <c r="E69" i="94" s="1"/>
  <c r="G69" i="94" s="1"/>
  <c r="C69" i="95" s="1"/>
  <c r="E69" i="95" s="1"/>
  <c r="G69" i="95" s="1"/>
  <c r="C69" i="96" s="1"/>
  <c r="E69" i="96" s="1"/>
  <c r="G69" i="96" s="1"/>
  <c r="C169" i="82"/>
  <c r="E169" i="82" s="1"/>
  <c r="G169" i="82" s="1"/>
  <c r="C169" i="83" s="1"/>
  <c r="E169" i="83" s="1"/>
  <c r="G169" i="83" s="1"/>
  <c r="C169" i="84" s="1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C169" i="89" s="1"/>
  <c r="E169" i="89" s="1"/>
  <c r="G169" i="89" s="1"/>
  <c r="C169" i="90" s="1"/>
  <c r="E169" i="90" s="1"/>
  <c r="G169" i="90" s="1"/>
  <c r="C169" i="91" s="1"/>
  <c r="E169" i="91" s="1"/>
  <c r="G169" i="91" s="1"/>
  <c r="E169" i="92" s="1"/>
  <c r="G169" i="92" s="1"/>
  <c r="E169" i="93" s="1"/>
  <c r="G169" i="93" s="1"/>
  <c r="E169" i="94" s="1"/>
  <c r="G169" i="94" s="1"/>
  <c r="C169" i="95" s="1"/>
  <c r="E169" i="95" s="1"/>
  <c r="G169" i="95" s="1"/>
  <c r="C169" i="96" s="1"/>
  <c r="E169" i="96" s="1"/>
  <c r="G169" i="96" s="1"/>
  <c r="C183" i="82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C183" i="91" s="1"/>
  <c r="E183" i="91" s="1"/>
  <c r="G183" i="91" s="1"/>
  <c r="E183" i="92" s="1"/>
  <c r="G183" i="92" s="1"/>
  <c r="E183" i="93" s="1"/>
  <c r="G183" i="93" s="1"/>
  <c r="E183" i="94" s="1"/>
  <c r="G183" i="94" s="1"/>
  <c r="C183" i="95" s="1"/>
  <c r="E183" i="95" s="1"/>
  <c r="G183" i="95" s="1"/>
  <c r="C183" i="96" s="1"/>
  <c r="E183" i="96" s="1"/>
  <c r="G183" i="96" s="1"/>
  <c r="C211" i="82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11" i="91" s="1"/>
  <c r="E211" i="91" s="1"/>
  <c r="G211" i="91" s="1"/>
  <c r="E211" i="92" s="1"/>
  <c r="G211" i="92" s="1"/>
  <c r="E211" i="93" s="1"/>
  <c r="G211" i="93" s="1"/>
  <c r="E211" i="94" s="1"/>
  <c r="G211" i="94" s="1"/>
  <c r="E211" i="95" s="1"/>
  <c r="G211" i="95" s="1"/>
  <c r="C211" i="96" s="1"/>
  <c r="E211" i="96" s="1"/>
  <c r="G211" i="96" s="1"/>
  <c r="C242" i="82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E242" i="92" s="1"/>
  <c r="G242" i="92" s="1"/>
  <c r="E242" i="93" s="1"/>
  <c r="G242" i="93" s="1"/>
  <c r="E242" i="94" s="1"/>
  <c r="G242" i="94" s="1"/>
  <c r="C242" i="95" s="1"/>
  <c r="E242" i="95" s="1"/>
  <c r="G242" i="95" s="1"/>
  <c r="C242" i="96" s="1"/>
  <c r="E242" i="96" s="1"/>
  <c r="G242" i="96" s="1"/>
  <c r="C30" i="82"/>
  <c r="E30" i="82" s="1"/>
  <c r="G30" i="82" s="1"/>
  <c r="C30" i="83" s="1"/>
  <c r="E30" i="83" s="1"/>
  <c r="G30" i="83" s="1"/>
  <c r="C30" i="84" s="1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30" i="89" s="1"/>
  <c r="E30" i="89" s="1"/>
  <c r="G30" i="89" s="1"/>
  <c r="C30" i="90" s="1"/>
  <c r="E30" i="90" s="1"/>
  <c r="G30" i="90" s="1"/>
  <c r="C30" i="91" s="1"/>
  <c r="E30" i="91" s="1"/>
  <c r="G30" i="91" s="1"/>
  <c r="E30" i="92" s="1"/>
  <c r="G30" i="92" s="1"/>
  <c r="E30" i="93" s="1"/>
  <c r="G30" i="93" s="1"/>
  <c r="E30" i="94" s="1"/>
  <c r="G30" i="94" s="1"/>
  <c r="C30" i="95" s="1"/>
  <c r="E30" i="95" s="1"/>
  <c r="G30" i="95" s="1"/>
  <c r="C30" i="96" s="1"/>
  <c r="E30" i="96" s="1"/>
  <c r="G30" i="96" s="1"/>
  <c r="C132" i="82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132" i="91" s="1"/>
  <c r="E132" i="91" s="1"/>
  <c r="G132" i="91" s="1"/>
  <c r="E132" i="92" s="1"/>
  <c r="G132" i="92" s="1"/>
  <c r="E132" i="93" s="1"/>
  <c r="G132" i="93" s="1"/>
  <c r="E132" i="94" s="1"/>
  <c r="G132" i="94" s="1"/>
  <c r="C132" i="95" s="1"/>
  <c r="E132" i="95" s="1"/>
  <c r="G132" i="95" s="1"/>
  <c r="C132" i="96" s="1"/>
  <c r="E132" i="96" s="1"/>
  <c r="G132" i="96" s="1"/>
  <c r="E158" i="82"/>
  <c r="G158" i="82" s="1"/>
  <c r="C158" i="83" s="1"/>
  <c r="E158" i="83" s="1"/>
  <c r="G158" i="83" s="1"/>
  <c r="C158" i="84" s="1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C158" i="89" s="1"/>
  <c r="E158" i="89" s="1"/>
  <c r="G158" i="89" s="1"/>
  <c r="C158" i="90" s="1"/>
  <c r="E158" i="90" s="1"/>
  <c r="G158" i="90" s="1"/>
  <c r="C158" i="91" s="1"/>
  <c r="E158" i="91" s="1"/>
  <c r="G158" i="91" s="1"/>
  <c r="E158" i="92" s="1"/>
  <c r="G158" i="92" s="1"/>
  <c r="E158" i="93" s="1"/>
  <c r="G158" i="93" s="1"/>
  <c r="E158" i="94" s="1"/>
  <c r="G158" i="94" s="1"/>
  <c r="C158" i="95" s="1"/>
  <c r="E158" i="95" s="1"/>
  <c r="G158" i="95" s="1"/>
  <c r="C158" i="96" s="1"/>
  <c r="E158" i="96" s="1"/>
  <c r="G158" i="96" s="1"/>
  <c r="C158" i="82"/>
  <c r="C227" i="82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27" i="91" s="1"/>
  <c r="G227" i="91" s="1"/>
  <c r="E227" i="92" s="1"/>
  <c r="G227" i="92" s="1"/>
  <c r="E227" i="93" s="1"/>
  <c r="G227" i="93" s="1"/>
  <c r="E227" i="94" s="1"/>
  <c r="G227" i="94" s="1"/>
  <c r="C227" i="95" s="1"/>
  <c r="E227" i="95" s="1"/>
  <c r="G227" i="95" s="1"/>
  <c r="C227" i="96" s="1"/>
  <c r="E227" i="96" s="1"/>
  <c r="G227" i="96" s="1"/>
  <c r="C24" i="82"/>
  <c r="E24" i="82" s="1"/>
  <c r="G24" i="82" s="1"/>
  <c r="E24" i="83" s="1"/>
  <c r="G24" i="83" s="1"/>
  <c r="C24" i="84" s="1"/>
  <c r="E24" i="84" s="1"/>
  <c r="G24" i="84" s="1"/>
  <c r="C24" i="85" s="1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24" i="91" s="1"/>
  <c r="E24" i="91" s="1"/>
  <c r="G24" i="91" s="1"/>
  <c r="E24" i="92" s="1"/>
  <c r="G24" i="92" s="1"/>
  <c r="E24" i="93" s="1"/>
  <c r="G24" i="93" s="1"/>
  <c r="E24" i="94" s="1"/>
  <c r="G24" i="94" s="1"/>
  <c r="C24" i="95" s="1"/>
  <c r="E24" i="95" s="1"/>
  <c r="G24" i="95" s="1"/>
  <c r="C24" i="96" s="1"/>
  <c r="E24" i="96" s="1"/>
  <c r="G24" i="96" s="1"/>
  <c r="C167" i="82"/>
  <c r="E167" i="82" s="1"/>
  <c r="G167" i="82" s="1"/>
  <c r="C167" i="83" s="1"/>
  <c r="E167" i="83" s="1"/>
  <c r="G167" i="83" s="1"/>
  <c r="C167" i="84" s="1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C167" i="91" s="1"/>
  <c r="E167" i="91" s="1"/>
  <c r="G167" i="91" s="1"/>
  <c r="E167" i="92" s="1"/>
  <c r="G167" i="92" s="1"/>
  <c r="E167" i="93" s="1"/>
  <c r="G167" i="93" s="1"/>
  <c r="E167" i="94" s="1"/>
  <c r="G167" i="94" s="1"/>
  <c r="C167" i="95" s="1"/>
  <c r="E167" i="95" s="1"/>
  <c r="G167" i="95" s="1"/>
  <c r="C167" i="96" s="1"/>
  <c r="E167" i="96" s="1"/>
  <c r="G167" i="96" s="1"/>
  <c r="C88" i="82"/>
  <c r="E88" i="82" s="1"/>
  <c r="G88" i="82" s="1"/>
  <c r="C88" i="83" s="1"/>
  <c r="E88" i="83" s="1"/>
  <c r="G88" i="83" s="1"/>
  <c r="C88" i="84" s="1"/>
  <c r="E88" i="84" s="1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88" i="91" s="1"/>
  <c r="E88" i="91" s="1"/>
  <c r="G88" i="91" s="1"/>
  <c r="E88" i="92" s="1"/>
  <c r="G88" i="92" s="1"/>
  <c r="E88" i="93" s="1"/>
  <c r="G88" i="93" s="1"/>
  <c r="E88" i="94" s="1"/>
  <c r="G88" i="94" s="1"/>
  <c r="C88" i="95" s="1"/>
  <c r="E88" i="95" s="1"/>
  <c r="G88" i="95" s="1"/>
  <c r="C88" i="96" s="1"/>
  <c r="E88" i="96" s="1"/>
  <c r="G88" i="96" s="1"/>
  <c r="C65" i="82"/>
  <c r="E65" i="82" s="1"/>
  <c r="G65" i="82" s="1"/>
  <c r="C65" i="83" s="1"/>
  <c r="E65" i="83" s="1"/>
  <c r="G65" i="83" s="1"/>
  <c r="C65" i="84" s="1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C65" i="89" s="1"/>
  <c r="E65" i="89" s="1"/>
  <c r="G65" i="89" s="1"/>
  <c r="C65" i="90" s="1"/>
  <c r="E65" i="90" s="1"/>
  <c r="G65" i="90" s="1"/>
  <c r="C65" i="91" s="1"/>
  <c r="E65" i="91" s="1"/>
  <c r="G65" i="91" s="1"/>
  <c r="E65" i="92" s="1"/>
  <c r="G65" i="92" s="1"/>
  <c r="E65" i="93" s="1"/>
  <c r="G65" i="93" s="1"/>
  <c r="E65" i="94" s="1"/>
  <c r="G65" i="94" s="1"/>
  <c r="C65" i="95" s="1"/>
  <c r="E65" i="95" s="1"/>
  <c r="G65" i="95" s="1"/>
  <c r="C65" i="96" s="1"/>
  <c r="E65" i="96" s="1"/>
  <c r="G65" i="96" s="1"/>
  <c r="C125" i="82"/>
  <c r="E125" i="82" s="1"/>
  <c r="G125" i="82" s="1"/>
  <c r="C125" i="83" s="1"/>
  <c r="E125" i="83" s="1"/>
  <c r="G125" i="83" s="1"/>
  <c r="C125" i="84" s="1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125" i="91" s="1"/>
  <c r="E125" i="91" s="1"/>
  <c r="G125" i="91" s="1"/>
  <c r="E125" i="92" s="1"/>
  <c r="G125" i="92" s="1"/>
  <c r="E125" i="93" s="1"/>
  <c r="G125" i="93" s="1"/>
  <c r="E125" i="94" s="1"/>
  <c r="G125" i="94" s="1"/>
  <c r="C125" i="95" s="1"/>
  <c r="E125" i="95" s="1"/>
  <c r="G125" i="95" s="1"/>
  <c r="C125" i="96" s="1"/>
  <c r="E125" i="96" s="1"/>
  <c r="G125" i="96" s="1"/>
  <c r="C241" i="82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E241" i="92" s="1"/>
  <c r="G241" i="92" s="1"/>
  <c r="E241" i="93" s="1"/>
  <c r="G241" i="93" s="1"/>
  <c r="E241" i="94" s="1"/>
  <c r="G241" i="94" s="1"/>
  <c r="C241" i="95" s="1"/>
  <c r="E241" i="95" s="1"/>
  <c r="G241" i="95" s="1"/>
  <c r="C241" i="96" s="1"/>
  <c r="E241" i="96" s="1"/>
  <c r="G241" i="96" s="1"/>
  <c r="E52" i="82"/>
  <c r="G52" i="82" s="1"/>
  <c r="C52" i="83" s="1"/>
  <c r="E52" i="83" s="1"/>
  <c r="G52" i="83" s="1"/>
  <c r="C52" i="84" s="1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52" i="91" s="1"/>
  <c r="E52" i="91" s="1"/>
  <c r="G52" i="91" s="1"/>
  <c r="E52" i="92" s="1"/>
  <c r="G52" i="92" s="1"/>
  <c r="E52" i="93" s="1"/>
  <c r="G52" i="93" s="1"/>
  <c r="E52" i="94" s="1"/>
  <c r="G52" i="94" s="1"/>
  <c r="C52" i="95" s="1"/>
  <c r="E52" i="95" s="1"/>
  <c r="G52" i="95" s="1"/>
  <c r="C52" i="96" s="1"/>
  <c r="E52" i="96" s="1"/>
  <c r="G52" i="96" s="1"/>
  <c r="C52" i="82"/>
  <c r="C20" i="82"/>
  <c r="E20" i="82" s="1"/>
  <c r="G20" i="82" s="1"/>
  <c r="C20" i="83" s="1"/>
  <c r="E20" i="83" s="1"/>
  <c r="G20" i="83" s="1"/>
  <c r="C20" i="84" s="1"/>
  <c r="E20" i="84" s="1"/>
  <c r="G20" i="84" s="1"/>
  <c r="C194" i="82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94" i="91" s="1"/>
  <c r="E194" i="91" s="1"/>
  <c r="G194" i="91" s="1"/>
  <c r="E194" i="92" s="1"/>
  <c r="G194" i="92" s="1"/>
  <c r="E194" i="93" s="1"/>
  <c r="G194" i="93" s="1"/>
  <c r="E194" i="94" s="1"/>
  <c r="G194" i="94" s="1"/>
  <c r="C194" i="95" s="1"/>
  <c r="E194" i="95" s="1"/>
  <c r="G194" i="95" s="1"/>
  <c r="C194" i="96" s="1"/>
  <c r="E194" i="96" s="1"/>
  <c r="G194" i="96" s="1"/>
  <c r="C184" i="82"/>
  <c r="E184" i="82" s="1"/>
  <c r="G184" i="82" s="1"/>
  <c r="C184" i="83" s="1"/>
  <c r="E184" i="83" s="1"/>
  <c r="G184" i="83" s="1"/>
  <c r="C184" i="84" s="1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84" i="91" s="1"/>
  <c r="E184" i="91" s="1"/>
  <c r="G184" i="91" s="1"/>
  <c r="E184" i="92" s="1"/>
  <c r="G184" i="92" s="1"/>
  <c r="E184" i="93" s="1"/>
  <c r="G184" i="93" s="1"/>
  <c r="E184" i="94" s="1"/>
  <c r="G184" i="94" s="1"/>
  <c r="C184" i="95" s="1"/>
  <c r="E184" i="95" s="1"/>
  <c r="G184" i="95" s="1"/>
  <c r="C184" i="96" s="1"/>
  <c r="E184" i="96" s="1"/>
  <c r="G184" i="96" s="1"/>
  <c r="C229" i="82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E229" i="92" s="1"/>
  <c r="G229" i="92" s="1"/>
  <c r="E229" i="93" s="1"/>
  <c r="G229" i="93" s="1"/>
  <c r="E229" i="94" s="1"/>
  <c r="G229" i="94" s="1"/>
  <c r="C229" i="95" s="1"/>
  <c r="E229" i="95" s="1"/>
  <c r="G229" i="95" s="1"/>
  <c r="C229" i="96" s="1"/>
  <c r="E229" i="96" s="1"/>
  <c r="G229" i="96" s="1"/>
  <c r="C129" i="82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C129" i="89" s="1"/>
  <c r="E129" i="89" s="1"/>
  <c r="G129" i="89" s="1"/>
  <c r="C129" i="90" s="1"/>
  <c r="E129" i="90" s="1"/>
  <c r="G129" i="90" s="1"/>
  <c r="C129" i="91" s="1"/>
  <c r="E129" i="91" s="1"/>
  <c r="G129" i="91" s="1"/>
  <c r="E129" i="92" s="1"/>
  <c r="G129" i="92" s="1"/>
  <c r="E129" i="93" s="1"/>
  <c r="G129" i="93" s="1"/>
  <c r="E129" i="94" s="1"/>
  <c r="G129" i="94" s="1"/>
  <c r="C129" i="95" s="1"/>
  <c r="E129" i="95" s="1"/>
  <c r="G129" i="95" s="1"/>
  <c r="C129" i="96" s="1"/>
  <c r="E129" i="96" s="1"/>
  <c r="G129" i="96" s="1"/>
  <c r="C154" i="82"/>
  <c r="E154" i="82" s="1"/>
  <c r="G154" i="82" s="1"/>
  <c r="C154" i="83" s="1"/>
  <c r="E154" i="83" s="1"/>
  <c r="G154" i="83" s="1"/>
  <c r="C154" i="84" s="1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C154" i="91" s="1"/>
  <c r="E154" i="91" s="1"/>
  <c r="G154" i="91" s="1"/>
  <c r="E154" i="92" s="1"/>
  <c r="G154" i="92" s="1"/>
  <c r="E154" i="93" s="1"/>
  <c r="G154" i="93" s="1"/>
  <c r="E154" i="94" s="1"/>
  <c r="G154" i="94" s="1"/>
  <c r="C154" i="95" s="1"/>
  <c r="E154" i="95" s="1"/>
  <c r="G154" i="95" s="1"/>
  <c r="C154" i="96" s="1"/>
  <c r="E154" i="96" s="1"/>
  <c r="G154" i="96" s="1"/>
  <c r="C204" i="82"/>
  <c r="E204" i="82" s="1"/>
  <c r="G204" i="82" s="1"/>
  <c r="C204" i="83" s="1"/>
  <c r="E204" i="83" s="1"/>
  <c r="G204" i="83" s="1"/>
  <c r="C204" i="84" s="1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C204" i="89" s="1"/>
  <c r="E204" i="89" s="1"/>
  <c r="G204" i="89" s="1"/>
  <c r="C204" i="90" s="1"/>
  <c r="E204" i="90" s="1"/>
  <c r="G204" i="90" s="1"/>
  <c r="C204" i="91" s="1"/>
  <c r="E204" i="91" s="1"/>
  <c r="G204" i="91" s="1"/>
  <c r="E204" i="92" s="1"/>
  <c r="G204" i="92" s="1"/>
  <c r="E204" i="93" s="1"/>
  <c r="G204" i="93" s="1"/>
  <c r="E204" i="94" s="1"/>
  <c r="G204" i="94" s="1"/>
  <c r="C204" i="95" s="1"/>
  <c r="E204" i="95" s="1"/>
  <c r="G204" i="95" s="1"/>
  <c r="C204" i="96" s="1"/>
  <c r="E204" i="96" s="1"/>
  <c r="G204" i="96" s="1"/>
  <c r="E212" i="82"/>
  <c r="G212" i="82" s="1"/>
  <c r="C212" i="83" s="1"/>
  <c r="E212" i="83" s="1"/>
  <c r="G212" i="83" s="1"/>
  <c r="C212" i="84" s="1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C212" i="91" s="1"/>
  <c r="E212" i="91" s="1"/>
  <c r="G212" i="91" s="1"/>
  <c r="E212" i="92" s="1"/>
  <c r="G212" i="92" s="1"/>
  <c r="E212" i="93" s="1"/>
  <c r="G212" i="93" s="1"/>
  <c r="E212" i="94" s="1"/>
  <c r="G212" i="94" s="1"/>
  <c r="C212" i="95" s="1"/>
  <c r="E212" i="95" s="1"/>
  <c r="G212" i="95" s="1"/>
  <c r="C212" i="96" s="1"/>
  <c r="E212" i="96" s="1"/>
  <c r="G212" i="96" s="1"/>
  <c r="C212" i="82"/>
  <c r="C245" i="82"/>
  <c r="E245" i="82" s="1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E245" i="92" s="1"/>
  <c r="G245" i="92" s="1"/>
  <c r="E245" i="93" s="1"/>
  <c r="G245" i="93" s="1"/>
  <c r="E245" i="94" s="1"/>
  <c r="G245" i="94" s="1"/>
  <c r="C245" i="95" s="1"/>
  <c r="E245" i="95" s="1"/>
  <c r="G245" i="95" s="1"/>
  <c r="C245" i="96" s="1"/>
  <c r="E245" i="96" s="1"/>
  <c r="G245" i="96" s="1"/>
  <c r="C68" i="82"/>
  <c r="E68" i="82" s="1"/>
  <c r="G68" i="82" s="1"/>
  <c r="C68" i="83" s="1"/>
  <c r="E68" i="83" s="1"/>
  <c r="G68" i="83" s="1"/>
  <c r="C68" i="84" s="1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C68" i="89" s="1"/>
  <c r="E68" i="89" s="1"/>
  <c r="G68" i="89" s="1"/>
  <c r="C68" i="90" s="1"/>
  <c r="E68" i="90" s="1"/>
  <c r="G68" i="90" s="1"/>
  <c r="C68" i="91" s="1"/>
  <c r="E68" i="91" s="1"/>
  <c r="G68" i="91" s="1"/>
  <c r="E68" i="92" s="1"/>
  <c r="G68" i="92" s="1"/>
  <c r="E68" i="93" s="1"/>
  <c r="G68" i="93" s="1"/>
  <c r="E68" i="94" s="1"/>
  <c r="G68" i="94" s="1"/>
  <c r="C68" i="95" s="1"/>
  <c r="E68" i="95" s="1"/>
  <c r="G68" i="95" s="1"/>
  <c r="C68" i="96" s="1"/>
  <c r="E68" i="96" s="1"/>
  <c r="G68" i="96" s="1"/>
  <c r="C35" i="82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35" i="91" s="1"/>
  <c r="E35" i="91" s="1"/>
  <c r="G35" i="91" s="1"/>
  <c r="E35" i="92" s="1"/>
  <c r="G35" i="92" s="1"/>
  <c r="E35" i="93" s="1"/>
  <c r="G35" i="93" s="1"/>
  <c r="E35" i="94" s="1"/>
  <c r="G35" i="94" s="1"/>
  <c r="C35" i="95" s="1"/>
  <c r="E35" i="95" s="1"/>
  <c r="G35" i="95" s="1"/>
  <c r="C35" i="96" s="1"/>
  <c r="E35" i="96" s="1"/>
  <c r="G35" i="96" s="1"/>
  <c r="E114" i="82"/>
  <c r="G114" i="82" s="1"/>
  <c r="C114" i="83" s="1"/>
  <c r="E114" i="83" s="1"/>
  <c r="G114" i="83" s="1"/>
  <c r="C114" i="84" s="1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114" i="91" s="1"/>
  <c r="E114" i="91" s="1"/>
  <c r="G114" i="91" s="1"/>
  <c r="E114" i="92" s="1"/>
  <c r="G114" i="92" s="1"/>
  <c r="E114" i="93" s="1"/>
  <c r="G114" i="93" s="1"/>
  <c r="E114" i="94" s="1"/>
  <c r="G114" i="94" s="1"/>
  <c r="C114" i="95" s="1"/>
  <c r="E114" i="95" s="1"/>
  <c r="G114" i="95" s="1"/>
  <c r="C114" i="96" s="1"/>
  <c r="E114" i="96" s="1"/>
  <c r="G114" i="96" s="1"/>
  <c r="C114" i="82"/>
  <c r="C123" i="82"/>
  <c r="E123" i="82" s="1"/>
  <c r="G123" i="82" s="1"/>
  <c r="C123" i="83" s="1"/>
  <c r="E123" i="83" s="1"/>
  <c r="G123" i="83" s="1"/>
  <c r="C123" i="84" s="1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23" i="90" s="1"/>
  <c r="G123" i="90" s="1"/>
  <c r="C123" i="91" s="1"/>
  <c r="E123" i="91" s="1"/>
  <c r="G123" i="91" s="1"/>
  <c r="E123" i="92" s="1"/>
  <c r="G123" i="92" s="1"/>
  <c r="E123" i="93" s="1"/>
  <c r="G123" i="93" s="1"/>
  <c r="E123" i="94" s="1"/>
  <c r="G123" i="94" s="1"/>
  <c r="C123" i="95" s="1"/>
  <c r="E123" i="95" s="1"/>
  <c r="G123" i="95" s="1"/>
  <c r="C123" i="96" s="1"/>
  <c r="E123" i="96" s="1"/>
  <c r="G123" i="96" s="1"/>
  <c r="C207" i="82"/>
  <c r="E207" i="82" s="1"/>
  <c r="G207" i="82" s="1"/>
  <c r="C207" i="83" s="1"/>
  <c r="E207" i="83" s="1"/>
  <c r="G207" i="83" s="1"/>
  <c r="C207" i="84" s="1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C207" i="89" s="1"/>
  <c r="E207" i="89" s="1"/>
  <c r="G207" i="89" s="1"/>
  <c r="C207" i="90" s="1"/>
  <c r="E207" i="90" s="1"/>
  <c r="G207" i="90" s="1"/>
  <c r="C207" i="91" s="1"/>
  <c r="E207" i="91" s="1"/>
  <c r="G207" i="91" s="1"/>
  <c r="E207" i="92" s="1"/>
  <c r="G207" i="92" s="1"/>
  <c r="E207" i="93" s="1"/>
  <c r="G207" i="93" s="1"/>
  <c r="E207" i="94" s="1"/>
  <c r="G207" i="94" s="1"/>
  <c r="C207" i="95" s="1"/>
  <c r="E207" i="95" s="1"/>
  <c r="G207" i="95" s="1"/>
  <c r="C207" i="96" s="1"/>
  <c r="E207" i="96" s="1"/>
  <c r="G207" i="96" s="1"/>
  <c r="C92" i="82"/>
  <c r="E92" i="82" s="1"/>
  <c r="G92" i="82" s="1"/>
  <c r="C92" i="83" s="1"/>
  <c r="E92" i="83" s="1"/>
  <c r="G92" i="83" s="1"/>
  <c r="C92" i="84" s="1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C92" i="89" s="1"/>
  <c r="E92" i="89" s="1"/>
  <c r="G92" i="89" s="1"/>
  <c r="C92" i="90" s="1"/>
  <c r="E92" i="90" s="1"/>
  <c r="G92" i="90" s="1"/>
  <c r="C92" i="91" s="1"/>
  <c r="E92" i="91" s="1"/>
  <c r="G92" i="91" s="1"/>
  <c r="E92" i="92" s="1"/>
  <c r="G92" i="92" s="1"/>
  <c r="E92" i="93" s="1"/>
  <c r="G92" i="93" s="1"/>
  <c r="E92" i="94" s="1"/>
  <c r="G92" i="94" s="1"/>
  <c r="C92" i="95" s="1"/>
  <c r="E92" i="95" s="1"/>
  <c r="G92" i="95" s="1"/>
  <c r="C92" i="96" s="1"/>
  <c r="E92" i="96" s="1"/>
  <c r="G92" i="96" s="1"/>
  <c r="E220" i="82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220" i="91" s="1"/>
  <c r="E220" i="91" s="1"/>
  <c r="G220" i="91" s="1"/>
  <c r="E220" i="92" s="1"/>
  <c r="G220" i="92" s="1"/>
  <c r="E220" i="93" s="1"/>
  <c r="G220" i="93" s="1"/>
  <c r="E220" i="94" s="1"/>
  <c r="G220" i="94" s="1"/>
  <c r="C220" i="95" s="1"/>
  <c r="E220" i="95" s="1"/>
  <c r="G220" i="95" s="1"/>
  <c r="C220" i="96" s="1"/>
  <c r="E220" i="96" s="1"/>
  <c r="G220" i="96" s="1"/>
  <c r="C220" i="82"/>
  <c r="C59" i="82"/>
  <c r="E59" i="82" s="1"/>
  <c r="G59" i="82" s="1"/>
  <c r="C59" i="83" s="1"/>
  <c r="E59" i="83" s="1"/>
  <c r="G59" i="83" s="1"/>
  <c r="C59" i="84" s="1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C59" i="89" s="1"/>
  <c r="E59" i="89" s="1"/>
  <c r="G59" i="89" s="1"/>
  <c r="C59" i="90" s="1"/>
  <c r="E59" i="90" s="1"/>
  <c r="G59" i="90" s="1"/>
  <c r="C59" i="91" s="1"/>
  <c r="E59" i="91" s="1"/>
  <c r="G59" i="91" s="1"/>
  <c r="E59" i="92" s="1"/>
  <c r="G59" i="92" s="1"/>
  <c r="E59" i="93" s="1"/>
  <c r="G59" i="93" s="1"/>
  <c r="E59" i="94" s="1"/>
  <c r="G59" i="94" s="1"/>
  <c r="C59" i="95" s="1"/>
  <c r="E59" i="95" s="1"/>
  <c r="G59" i="95" s="1"/>
  <c r="C59" i="96" s="1"/>
  <c r="E59" i="96" s="1"/>
  <c r="G59" i="96" s="1"/>
  <c r="C165" i="82"/>
  <c r="E165" i="82" s="1"/>
  <c r="G165" i="82" s="1"/>
  <c r="C165" i="83" s="1"/>
  <c r="E165" i="83" s="1"/>
  <c r="G165" i="83" s="1"/>
  <c r="C165" i="84" s="1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165" i="91" s="1"/>
  <c r="E165" i="91" s="1"/>
  <c r="G165" i="91" s="1"/>
  <c r="E165" i="92" s="1"/>
  <c r="G165" i="92" s="1"/>
  <c r="E165" i="93" s="1"/>
  <c r="G165" i="93" s="1"/>
  <c r="E165" i="94" s="1"/>
  <c r="G165" i="94" s="1"/>
  <c r="C165" i="95" s="1"/>
  <c r="E165" i="95" s="1"/>
  <c r="G165" i="95" s="1"/>
  <c r="C165" i="96" s="1"/>
  <c r="E165" i="96" s="1"/>
  <c r="G165" i="96" s="1"/>
  <c r="C105" i="82"/>
  <c r="E105" i="82" s="1"/>
  <c r="G105" i="82" s="1"/>
  <c r="C105" i="83" s="1"/>
  <c r="E105" i="83" s="1"/>
  <c r="G105" i="83" s="1"/>
  <c r="C105" i="84" s="1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E105" i="89" s="1"/>
  <c r="G105" i="89" s="1"/>
  <c r="C105" i="90" s="1"/>
  <c r="E105" i="90" s="1"/>
  <c r="G105" i="90" s="1"/>
  <c r="C105" i="91" s="1"/>
  <c r="E105" i="91" s="1"/>
  <c r="G105" i="91" s="1"/>
  <c r="E105" i="92" s="1"/>
  <c r="G105" i="92" s="1"/>
  <c r="E105" i="93" s="1"/>
  <c r="G105" i="93" s="1"/>
  <c r="E105" i="94" s="1"/>
  <c r="G105" i="94" s="1"/>
  <c r="C105" i="95" s="1"/>
  <c r="E105" i="95" s="1"/>
  <c r="G105" i="95" s="1"/>
  <c r="C105" i="96" s="1"/>
  <c r="E105" i="96" s="1"/>
  <c r="G105" i="96" s="1"/>
  <c r="C145" i="82"/>
  <c r="E145" i="82" s="1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E145" i="90" s="1"/>
  <c r="G145" i="90" s="1"/>
  <c r="C145" i="91" s="1"/>
  <c r="E145" i="91" s="1"/>
  <c r="G145" i="91" s="1"/>
  <c r="E145" i="92" s="1"/>
  <c r="G145" i="92" s="1"/>
  <c r="E145" i="93" s="1"/>
  <c r="G145" i="93" s="1"/>
  <c r="E145" i="94" s="1"/>
  <c r="G145" i="94" s="1"/>
  <c r="C145" i="95" s="1"/>
  <c r="E145" i="95" s="1"/>
  <c r="G145" i="95" s="1"/>
  <c r="C145" i="96" s="1"/>
  <c r="E145" i="96" s="1"/>
  <c r="G145" i="96" s="1"/>
  <c r="C54" i="82"/>
  <c r="E54" i="82" s="1"/>
  <c r="G54" i="82" s="1"/>
  <c r="C54" i="83" s="1"/>
  <c r="E54" i="83" s="1"/>
  <c r="G54" i="83" s="1"/>
  <c r="C54" i="84" s="1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C54" i="89" s="1"/>
  <c r="E54" i="89" s="1"/>
  <c r="G54" i="89" s="1"/>
  <c r="C54" i="90" s="1"/>
  <c r="E54" i="90" s="1"/>
  <c r="G54" i="90" s="1"/>
  <c r="C54" i="91" s="1"/>
  <c r="E54" i="91" s="1"/>
  <c r="G54" i="91" s="1"/>
  <c r="E54" i="92" s="1"/>
  <c r="G54" i="92" s="1"/>
  <c r="E54" i="93" s="1"/>
  <c r="G54" i="93" s="1"/>
  <c r="E54" i="94" s="1"/>
  <c r="G54" i="94" s="1"/>
  <c r="C54" i="95" s="1"/>
  <c r="E54" i="95" s="1"/>
  <c r="G54" i="95" s="1"/>
  <c r="C54" i="96" s="1"/>
  <c r="E54" i="96" s="1"/>
  <c r="G54" i="96" s="1"/>
  <c r="C133" i="82"/>
  <c r="E133" i="82" s="1"/>
  <c r="G133" i="82" s="1"/>
  <c r="C133" i="83" s="1"/>
  <c r="E133" i="83" s="1"/>
  <c r="G133" i="83" s="1"/>
  <c r="C133" i="84" s="1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3" i="91" s="1"/>
  <c r="E133" i="91" s="1"/>
  <c r="G133" i="91" s="1"/>
  <c r="E133" i="92" s="1"/>
  <c r="G133" i="92" s="1"/>
  <c r="E133" i="93" s="1"/>
  <c r="G133" i="93" s="1"/>
  <c r="E133" i="94" s="1"/>
  <c r="G133" i="94" s="1"/>
  <c r="C133" i="95" s="1"/>
  <c r="E133" i="95" s="1"/>
  <c r="G133" i="95" s="1"/>
  <c r="C133" i="96" s="1"/>
  <c r="E133" i="96" s="1"/>
  <c r="G133" i="96" s="1"/>
  <c r="C157" i="82"/>
  <c r="E157" i="82" s="1"/>
  <c r="G157" i="82" s="1"/>
  <c r="C157" i="83" s="1"/>
  <c r="E157" i="83" s="1"/>
  <c r="G157" i="83" s="1"/>
  <c r="C157" i="84" s="1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7" i="89" s="1"/>
  <c r="G157" i="89" s="1"/>
  <c r="C157" i="90" s="1"/>
  <c r="E157" i="90" s="1"/>
  <c r="G157" i="90" s="1"/>
  <c r="C157" i="91" s="1"/>
  <c r="E157" i="91" s="1"/>
  <c r="G157" i="91" s="1"/>
  <c r="E157" i="92" s="1"/>
  <c r="G157" i="92" s="1"/>
  <c r="E157" i="93" s="1"/>
  <c r="G157" i="93" s="1"/>
  <c r="E157" i="94" s="1"/>
  <c r="G157" i="94" s="1"/>
  <c r="C157" i="95" s="1"/>
  <c r="E157" i="95" s="1"/>
  <c r="G157" i="95" s="1"/>
  <c r="C157" i="96" s="1"/>
  <c r="E157" i="96" s="1"/>
  <c r="G157" i="96" s="1"/>
  <c r="C190" i="82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190" i="91" s="1"/>
  <c r="E190" i="91" s="1"/>
  <c r="G190" i="91" s="1"/>
  <c r="E190" i="92" s="1"/>
  <c r="G190" i="92" s="1"/>
  <c r="E190" i="93" s="1"/>
  <c r="G190" i="93" s="1"/>
  <c r="E190" i="94" s="1"/>
  <c r="G190" i="94" s="1"/>
  <c r="C190" i="95" s="1"/>
  <c r="E190" i="95" s="1"/>
  <c r="G190" i="95" s="1"/>
  <c r="C190" i="96" s="1"/>
  <c r="E190" i="96" s="1"/>
  <c r="G190" i="96" s="1"/>
  <c r="C203" i="82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203" i="91" s="1"/>
  <c r="E203" i="91" s="1"/>
  <c r="G203" i="91" s="1"/>
  <c r="E203" i="92" s="1"/>
  <c r="G203" i="92" s="1"/>
  <c r="E203" i="93" s="1"/>
  <c r="G203" i="93" s="1"/>
  <c r="E203" i="94" s="1"/>
  <c r="G203" i="94" s="1"/>
  <c r="C203" i="95" s="1"/>
  <c r="E203" i="95" s="1"/>
  <c r="G203" i="95" s="1"/>
  <c r="C203" i="96" s="1"/>
  <c r="E203" i="96" s="1"/>
  <c r="G203" i="96" s="1"/>
  <c r="C110" i="82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C110" i="89" s="1"/>
  <c r="E110" i="89" s="1"/>
  <c r="G110" i="89" s="1"/>
  <c r="C110" i="90" s="1"/>
  <c r="E110" i="90" s="1"/>
  <c r="G110" i="90" s="1"/>
  <c r="C110" i="91" s="1"/>
  <c r="E110" i="91" s="1"/>
  <c r="G110" i="91" s="1"/>
  <c r="E110" i="92" s="1"/>
  <c r="G110" i="92" s="1"/>
  <c r="E110" i="93" s="1"/>
  <c r="G110" i="93" s="1"/>
  <c r="E110" i="94" s="1"/>
  <c r="G110" i="94" s="1"/>
  <c r="C110" i="95" s="1"/>
  <c r="E110" i="95" s="1"/>
  <c r="G110" i="95" s="1"/>
  <c r="C110" i="96" s="1"/>
  <c r="E110" i="96" s="1"/>
  <c r="G110" i="96" s="1"/>
  <c r="C122" i="82"/>
  <c r="E122" i="82" s="1"/>
  <c r="G122" i="82" s="1"/>
  <c r="C122" i="83" s="1"/>
  <c r="E122" i="83" s="1"/>
  <c r="G122" i="83" s="1"/>
  <c r="C122" i="84" s="1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122" i="91" s="1"/>
  <c r="E122" i="91" s="1"/>
  <c r="G122" i="91" s="1"/>
  <c r="E122" i="92" s="1"/>
  <c r="G122" i="92" s="1"/>
  <c r="E122" i="93" s="1"/>
  <c r="G122" i="93" s="1"/>
  <c r="E122" i="94" s="1"/>
  <c r="G122" i="94" s="1"/>
  <c r="C122" i="95" s="1"/>
  <c r="E122" i="95" s="1"/>
  <c r="G122" i="95" s="1"/>
  <c r="C122" i="96" s="1"/>
  <c r="E122" i="96" s="1"/>
  <c r="G122" i="96" s="1"/>
  <c r="C121" i="82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121" i="91" s="1"/>
  <c r="E121" i="91" s="1"/>
  <c r="G121" i="91" s="1"/>
  <c r="E121" i="92" s="1"/>
  <c r="G121" i="92" s="1"/>
  <c r="E121" i="93" s="1"/>
  <c r="G121" i="93" s="1"/>
  <c r="E121" i="94" s="1"/>
  <c r="G121" i="94" s="1"/>
  <c r="C121" i="95" s="1"/>
  <c r="E121" i="95" s="1"/>
  <c r="G121" i="95" s="1"/>
  <c r="C121" i="96" s="1"/>
  <c r="E121" i="96" s="1"/>
  <c r="G121" i="96" s="1"/>
  <c r="C34" i="82"/>
  <c r="E34" i="82" s="1"/>
  <c r="G34" i="82" s="1"/>
  <c r="C34" i="83" s="1"/>
  <c r="E34" i="83" s="1"/>
  <c r="G34" i="83" s="1"/>
  <c r="C34" i="84" s="1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34" i="89" s="1"/>
  <c r="E34" i="89" s="1"/>
  <c r="G34" i="89" s="1"/>
  <c r="C34" i="90" s="1"/>
  <c r="E34" i="90" s="1"/>
  <c r="G34" i="90" s="1"/>
  <c r="C34" i="91" s="1"/>
  <c r="E34" i="91" s="1"/>
  <c r="G34" i="91" s="1"/>
  <c r="E34" i="92" s="1"/>
  <c r="G34" i="92" s="1"/>
  <c r="E34" i="93" s="1"/>
  <c r="G34" i="93" s="1"/>
  <c r="E34" i="94" s="1"/>
  <c r="G34" i="94" s="1"/>
  <c r="C34" i="95" s="1"/>
  <c r="E34" i="95" s="1"/>
  <c r="G34" i="95" s="1"/>
  <c r="C34" i="96" s="1"/>
  <c r="E34" i="96" s="1"/>
  <c r="G34" i="96" s="1"/>
  <c r="C174" i="82"/>
  <c r="E174" i="82" s="1"/>
  <c r="G174" i="82" s="1"/>
  <c r="C174" i="83" s="1"/>
  <c r="E174" i="83" s="1"/>
  <c r="G174" i="83" s="1"/>
  <c r="C174" i="84" s="1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174" i="91" s="1"/>
  <c r="E174" i="91" s="1"/>
  <c r="G174" i="91" s="1"/>
  <c r="E174" i="92" s="1"/>
  <c r="G174" i="92" s="1"/>
  <c r="E174" i="93" s="1"/>
  <c r="G174" i="93" s="1"/>
  <c r="E174" i="94" s="1"/>
  <c r="G174" i="94" s="1"/>
  <c r="C174" i="95" s="1"/>
  <c r="E174" i="95" s="1"/>
  <c r="G174" i="95" s="1"/>
  <c r="C174" i="96" s="1"/>
  <c r="E174" i="96" s="1"/>
  <c r="G174" i="96" s="1"/>
  <c r="C95" i="82"/>
  <c r="E95" i="82" s="1"/>
  <c r="G95" i="82" s="1"/>
  <c r="C95" i="83" s="1"/>
  <c r="E95" i="83" s="1"/>
  <c r="G95" i="83" s="1"/>
  <c r="C95" i="84" s="1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C95" i="89" s="1"/>
  <c r="E95" i="89" s="1"/>
  <c r="G95" i="89" s="1"/>
  <c r="C95" i="90" s="1"/>
  <c r="E95" i="90" s="1"/>
  <c r="G95" i="90" s="1"/>
  <c r="C95" i="91" s="1"/>
  <c r="E95" i="91" s="1"/>
  <c r="G95" i="91" s="1"/>
  <c r="E95" i="92" s="1"/>
  <c r="G95" i="92" s="1"/>
  <c r="E95" i="93" s="1"/>
  <c r="G95" i="93" s="1"/>
  <c r="E95" i="94" s="1"/>
  <c r="G95" i="94" s="1"/>
  <c r="C95" i="95" s="1"/>
  <c r="E95" i="95" s="1"/>
  <c r="G95" i="95" s="1"/>
  <c r="C95" i="96" s="1"/>
  <c r="E95" i="96" s="1"/>
  <c r="G95" i="96" s="1"/>
  <c r="E156" i="82"/>
  <c r="G156" i="82" s="1"/>
  <c r="C156" i="83" s="1"/>
  <c r="E156" i="83" s="1"/>
  <c r="G156" i="83" s="1"/>
  <c r="C156" i="84" s="1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56" i="91" s="1"/>
  <c r="E156" i="91" s="1"/>
  <c r="G156" i="91" s="1"/>
  <c r="E156" i="92" s="1"/>
  <c r="G156" i="92" s="1"/>
  <c r="E156" i="93" s="1"/>
  <c r="G156" i="93" s="1"/>
  <c r="E156" i="94" s="1"/>
  <c r="G156" i="94" s="1"/>
  <c r="C156" i="95" s="1"/>
  <c r="E156" i="95" s="1"/>
  <c r="G156" i="95" s="1"/>
  <c r="C156" i="96" s="1"/>
  <c r="E156" i="96" s="1"/>
  <c r="G156" i="96" s="1"/>
  <c r="C156" i="82"/>
  <c r="C224" i="82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E224" i="92" s="1"/>
  <c r="G224" i="92" s="1"/>
  <c r="E224" i="93" s="1"/>
  <c r="G224" i="93" s="1"/>
  <c r="E224" i="94" s="1"/>
  <c r="G224" i="94" s="1"/>
  <c r="C224" i="95" s="1"/>
  <c r="E224" i="95" s="1"/>
  <c r="G224" i="95" s="1"/>
  <c r="C224" i="96" s="1"/>
  <c r="E224" i="96" s="1"/>
  <c r="G224" i="96" s="1"/>
  <c r="C82" i="80"/>
  <c r="E82" i="80" s="1"/>
  <c r="G82" i="80" s="1"/>
  <c r="C18" i="81"/>
  <c r="E18" i="81" s="1"/>
  <c r="G18" i="81" s="1"/>
  <c r="C87" i="80"/>
  <c r="E87" i="80" s="1"/>
  <c r="G87" i="80" s="1"/>
  <c r="C83" i="80"/>
  <c r="E83" i="80" s="1"/>
  <c r="G83" i="80" s="1"/>
  <c r="C86" i="80"/>
  <c r="E86" i="80" s="1"/>
  <c r="G86" i="80" s="1"/>
  <c r="C77" i="81"/>
  <c r="E77" i="81" s="1"/>
  <c r="G77" i="81" s="1"/>
  <c r="C17" i="81"/>
  <c r="E17" i="81" s="1"/>
  <c r="G17" i="81" s="1"/>
  <c r="C66" i="81"/>
  <c r="E66" i="81" s="1"/>
  <c r="G66" i="81" s="1"/>
  <c r="C78" i="81"/>
  <c r="E78" i="81" s="1"/>
  <c r="G78" i="81" s="1"/>
  <c r="C80" i="78"/>
  <c r="E80" i="78" s="1"/>
  <c r="G80" i="78" s="1"/>
  <c r="C80" i="79" s="1"/>
  <c r="E80" i="79" s="1"/>
  <c r="G80" i="79" s="1"/>
  <c r="C89" i="80"/>
  <c r="E89" i="80" s="1"/>
  <c r="G89" i="80" s="1"/>
  <c r="C81" i="81"/>
  <c r="E81" i="81" s="1"/>
  <c r="G81" i="81" s="1"/>
  <c r="C5" i="68"/>
  <c r="E5" i="68" s="1"/>
  <c r="G5" i="68" s="1"/>
  <c r="E13" i="69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E7" i="69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E6" i="69"/>
  <c r="G6" i="69" s="1"/>
  <c r="C6" i="72" s="1"/>
  <c r="E6" i="72" s="1"/>
  <c r="G6" i="72" s="1"/>
  <c r="C6" i="73" s="1"/>
  <c r="E6" i="73" s="1"/>
  <c r="G6" i="73" s="1"/>
  <c r="C6" i="74" s="1"/>
  <c r="E6" i="74" s="1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E9" i="69"/>
  <c r="G9" i="69" s="1"/>
  <c r="C9" i="72" s="1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9" i="77" s="1"/>
  <c r="E9" i="77" s="1"/>
  <c r="G9" i="77" s="1"/>
  <c r="E14" i="69"/>
  <c r="G14" i="69" s="1"/>
  <c r="C14" i="72" s="1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E12" i="69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E10" i="69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E11" i="69"/>
  <c r="G11" i="69" s="1"/>
  <c r="C11" i="72" s="1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E8" i="69"/>
  <c r="G8" i="69" s="1"/>
  <c r="C8" i="72" s="1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K265" i="33"/>
  <c r="G76" i="82" l="1"/>
  <c r="C76" i="83" s="1"/>
  <c r="E76" i="83" s="1"/>
  <c r="G76" i="83" s="1"/>
  <c r="C76" i="84" s="1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C76" i="89" s="1"/>
  <c r="E76" i="89" s="1"/>
  <c r="G76" i="89" s="1"/>
  <c r="C76" i="90" s="1"/>
  <c r="E76" i="90" s="1"/>
  <c r="G76" i="90" s="1"/>
  <c r="C76" i="91" s="1"/>
  <c r="E76" i="91" s="1"/>
  <c r="G76" i="91" s="1"/>
  <c r="E76" i="92" s="1"/>
  <c r="G76" i="92" s="1"/>
  <c r="E76" i="93" s="1"/>
  <c r="G76" i="93" s="1"/>
  <c r="E76" i="94" s="1"/>
  <c r="G76" i="94" s="1"/>
  <c r="C76" i="95" s="1"/>
  <c r="E76" i="95" s="1"/>
  <c r="G76" i="95" s="1"/>
  <c r="C76" i="96" s="1"/>
  <c r="E76" i="96" s="1"/>
  <c r="G76" i="96" s="1"/>
  <c r="C16" i="85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16" i="89" s="1"/>
  <c r="E16" i="89" s="1"/>
  <c r="G16" i="89" s="1"/>
  <c r="C16" i="90" s="1"/>
  <c r="E16" i="90" s="1"/>
  <c r="G16" i="90" s="1"/>
  <c r="C16" i="91" s="1"/>
  <c r="E16" i="91" s="1"/>
  <c r="G16" i="91" s="1"/>
  <c r="E16" i="92" s="1"/>
  <c r="G16" i="92" s="1"/>
  <c r="E16" i="93" s="1"/>
  <c r="G16" i="93" s="1"/>
  <c r="E16" i="94" s="1"/>
  <c r="G16" i="94" s="1"/>
  <c r="C16" i="95" s="1"/>
  <c r="E16" i="95" s="1"/>
  <c r="G16" i="95" s="1"/>
  <c r="C16" i="96" s="1"/>
  <c r="E16" i="96" s="1"/>
  <c r="G16" i="96" s="1"/>
  <c r="C17" i="82"/>
  <c r="E17" i="82" s="1"/>
  <c r="G17" i="82" s="1"/>
  <c r="C17" i="83" s="1"/>
  <c r="E17" i="83" s="1"/>
  <c r="G17" i="83" s="1"/>
  <c r="C17" i="84" s="1"/>
  <c r="E17" i="84" s="1"/>
  <c r="G17" i="84" s="1"/>
  <c r="C20" i="85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20" i="89" s="1"/>
  <c r="E20" i="89" s="1"/>
  <c r="G20" i="89" s="1"/>
  <c r="C20" i="90" s="1"/>
  <c r="E20" i="90" s="1"/>
  <c r="G20" i="90" s="1"/>
  <c r="C20" i="91" s="1"/>
  <c r="E20" i="91" s="1"/>
  <c r="G20" i="91" s="1"/>
  <c r="E20" i="92" s="1"/>
  <c r="G20" i="92" s="1"/>
  <c r="E20" i="93" s="1"/>
  <c r="G20" i="93" s="1"/>
  <c r="E20" i="94" s="1"/>
  <c r="G20" i="94" s="1"/>
  <c r="C20" i="95" s="1"/>
  <c r="E20" i="95" s="1"/>
  <c r="G20" i="95" s="1"/>
  <c r="C20" i="96" s="1"/>
  <c r="E20" i="96" s="1"/>
  <c r="G20" i="96" s="1"/>
  <c r="C19" i="85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19" i="91" s="1"/>
  <c r="E19" i="91" s="1"/>
  <c r="G19" i="91" s="1"/>
  <c r="E19" i="92" s="1"/>
  <c r="G19" i="92" s="1"/>
  <c r="E19" i="93" s="1"/>
  <c r="G19" i="93" s="1"/>
  <c r="E19" i="94" s="1"/>
  <c r="G19" i="94" s="1"/>
  <c r="C19" i="95" s="1"/>
  <c r="E19" i="95" s="1"/>
  <c r="G19" i="95" s="1"/>
  <c r="C19" i="96" s="1"/>
  <c r="E19" i="96" s="1"/>
  <c r="G19" i="96" s="1"/>
  <c r="C15" i="85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15" i="91" s="1"/>
  <c r="E15" i="91" s="1"/>
  <c r="G15" i="91" s="1"/>
  <c r="E15" i="92" s="1"/>
  <c r="G15" i="92" s="1"/>
  <c r="E15" i="93" s="1"/>
  <c r="G15" i="93" s="1"/>
  <c r="E15" i="94" s="1"/>
  <c r="G15" i="94" s="1"/>
  <c r="C15" i="95" s="1"/>
  <c r="E15" i="95" s="1"/>
  <c r="G15" i="95" s="1"/>
  <c r="C15" i="96" s="1"/>
  <c r="E15" i="96" s="1"/>
  <c r="G15" i="96" s="1"/>
  <c r="C66" i="82"/>
  <c r="E66" i="82" s="1"/>
  <c r="G66" i="82" s="1"/>
  <c r="C66" i="83" s="1"/>
  <c r="E66" i="83" s="1"/>
  <c r="G66" i="83" s="1"/>
  <c r="C66" i="84" s="1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C66" i="89" s="1"/>
  <c r="E66" i="89" s="1"/>
  <c r="G66" i="89" s="1"/>
  <c r="C66" i="90" s="1"/>
  <c r="E66" i="90" s="1"/>
  <c r="G66" i="90" s="1"/>
  <c r="C66" i="91" s="1"/>
  <c r="E66" i="91" s="1"/>
  <c r="G66" i="91" s="1"/>
  <c r="E66" i="92" s="1"/>
  <c r="G66" i="92" s="1"/>
  <c r="E66" i="93" s="1"/>
  <c r="G66" i="93" s="1"/>
  <c r="E66" i="94" s="1"/>
  <c r="G66" i="94" s="1"/>
  <c r="C66" i="95" s="1"/>
  <c r="E66" i="95" s="1"/>
  <c r="G66" i="95" s="1"/>
  <c r="C66" i="96" s="1"/>
  <c r="E66" i="96" s="1"/>
  <c r="G66" i="96" s="1"/>
  <c r="C18" i="82"/>
  <c r="E18" i="82" s="1"/>
  <c r="G18" i="82" s="1"/>
  <c r="C18" i="83" s="1"/>
  <c r="E18" i="83" s="1"/>
  <c r="G18" i="83" s="1"/>
  <c r="C18" i="84" s="1"/>
  <c r="E18" i="84" s="1"/>
  <c r="G18" i="84" s="1"/>
  <c r="C78" i="82"/>
  <c r="E78" i="82" s="1"/>
  <c r="G78" i="82" s="1"/>
  <c r="C78" i="83" s="1"/>
  <c r="E78" i="83" s="1"/>
  <c r="G78" i="83" s="1"/>
  <c r="C78" i="84" s="1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78" i="91" s="1"/>
  <c r="E78" i="91" s="1"/>
  <c r="G78" i="91" s="1"/>
  <c r="E78" i="92" s="1"/>
  <c r="G78" i="92" s="1"/>
  <c r="E78" i="93" s="1"/>
  <c r="G78" i="93" s="1"/>
  <c r="E78" i="94" s="1"/>
  <c r="G78" i="94" s="1"/>
  <c r="C78" i="95" s="1"/>
  <c r="E78" i="95" s="1"/>
  <c r="G78" i="95" s="1"/>
  <c r="C78" i="96" s="1"/>
  <c r="E78" i="96" s="1"/>
  <c r="G78" i="96" s="1"/>
  <c r="C81" i="82"/>
  <c r="E81" i="82" s="1"/>
  <c r="G81" i="82" s="1"/>
  <c r="C81" i="83" s="1"/>
  <c r="E81" i="83" s="1"/>
  <c r="G81" i="83" s="1"/>
  <c r="C81" i="84" s="1"/>
  <c r="E81" i="84" s="1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E81" i="90" s="1"/>
  <c r="G81" i="90" s="1"/>
  <c r="C81" i="91" s="1"/>
  <c r="E81" i="91" s="1"/>
  <c r="G81" i="91" s="1"/>
  <c r="E81" i="92" s="1"/>
  <c r="G81" i="92" s="1"/>
  <c r="E81" i="93" s="1"/>
  <c r="G81" i="93" s="1"/>
  <c r="E81" i="94" s="1"/>
  <c r="G81" i="94" s="1"/>
  <c r="C81" i="95" s="1"/>
  <c r="E81" i="95" s="1"/>
  <c r="G81" i="95" s="1"/>
  <c r="C81" i="96" s="1"/>
  <c r="E81" i="96" s="1"/>
  <c r="G81" i="96" s="1"/>
  <c r="C77" i="82"/>
  <c r="E77" i="82" s="1"/>
  <c r="G77" i="82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77" i="91" s="1"/>
  <c r="E77" i="91" s="1"/>
  <c r="G77" i="91" s="1"/>
  <c r="E77" i="92" s="1"/>
  <c r="G77" i="92" s="1"/>
  <c r="E77" i="93" s="1"/>
  <c r="G77" i="93" s="1"/>
  <c r="E77" i="94" s="1"/>
  <c r="G77" i="94" s="1"/>
  <c r="C77" i="95" s="1"/>
  <c r="E77" i="95" s="1"/>
  <c r="G77" i="95" s="1"/>
  <c r="C77" i="96" s="1"/>
  <c r="E77" i="96" s="1"/>
  <c r="G77" i="96" s="1"/>
  <c r="C82" i="81"/>
  <c r="E82" i="81" s="1"/>
  <c r="G82" i="81" s="1"/>
  <c r="C86" i="81"/>
  <c r="E86" i="81" s="1"/>
  <c r="G86" i="81" s="1"/>
  <c r="C83" i="81"/>
  <c r="E83" i="81" s="1"/>
  <c r="G83" i="81" s="1"/>
  <c r="C80" i="80"/>
  <c r="E80" i="80" s="1"/>
  <c r="G80" i="80" s="1"/>
  <c r="C87" i="81"/>
  <c r="E87" i="81" s="1"/>
  <c r="G87" i="81" s="1"/>
  <c r="C10" i="78"/>
  <c r="E10" i="78" s="1"/>
  <c r="G10" i="78" s="1"/>
  <c r="C10" i="79" s="1"/>
  <c r="E10" i="79" s="1"/>
  <c r="G10" i="79" s="1"/>
  <c r="E14" i="78"/>
  <c r="G14" i="78" s="1"/>
  <c r="C14" i="79" s="1"/>
  <c r="E14" i="79" s="1"/>
  <c r="G14" i="79" s="1"/>
  <c r="C14" i="78"/>
  <c r="C11" i="78"/>
  <c r="E11" i="78" s="1"/>
  <c r="G11" i="78" s="1"/>
  <c r="C11" i="79" s="1"/>
  <c r="E11" i="79" s="1"/>
  <c r="G11" i="79" s="1"/>
  <c r="C12" i="78"/>
  <c r="E12" i="78" s="1"/>
  <c r="G12" i="78" s="1"/>
  <c r="C12" i="79" s="1"/>
  <c r="E12" i="79" s="1"/>
  <c r="G12" i="79" s="1"/>
  <c r="C9" i="78"/>
  <c r="E9" i="78" s="1"/>
  <c r="G9" i="78" s="1"/>
  <c r="C9" i="79" s="1"/>
  <c r="E9" i="79" s="1"/>
  <c r="G9" i="79" s="1"/>
  <c r="C6" i="78"/>
  <c r="E6" i="78" s="1"/>
  <c r="G6" i="78" s="1"/>
  <c r="C6" i="79" s="1"/>
  <c r="E6" i="79" s="1"/>
  <c r="G6" i="79" s="1"/>
  <c r="C89" i="81"/>
  <c r="E89" i="81" s="1"/>
  <c r="G89" i="81" s="1"/>
  <c r="C7" i="78"/>
  <c r="E7" i="78" s="1"/>
  <c r="G7" i="78" s="1"/>
  <c r="C7" i="79" s="1"/>
  <c r="E7" i="79" s="1"/>
  <c r="G7" i="79" s="1"/>
  <c r="C8" i="78"/>
  <c r="E8" i="78" s="1"/>
  <c r="G8" i="78" s="1"/>
  <c r="C8" i="79" s="1"/>
  <c r="E8" i="79" s="1"/>
  <c r="G8" i="79" s="1"/>
  <c r="C13" i="78"/>
  <c r="E13" i="78" s="1"/>
  <c r="G13" i="78" s="1"/>
  <c r="C13" i="79" s="1"/>
  <c r="E13" i="79" s="1"/>
  <c r="G13" i="79" s="1"/>
  <c r="C5" i="69"/>
  <c r="E5" i="69" s="1"/>
  <c r="G5" i="69" s="1"/>
  <c r="C5" i="72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8" i="85" l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91" s="1"/>
  <c r="E18" i="91" s="1"/>
  <c r="G18" i="91" s="1"/>
  <c r="E18" i="92" s="1"/>
  <c r="G18" i="92" s="1"/>
  <c r="E18" i="93" s="1"/>
  <c r="G18" i="93" s="1"/>
  <c r="E18" i="94" s="1"/>
  <c r="G18" i="94" s="1"/>
  <c r="C18" i="95" s="1"/>
  <c r="E18" i="95" s="1"/>
  <c r="G18" i="95" s="1"/>
  <c r="C18" i="96" s="1"/>
  <c r="E18" i="96" s="1"/>
  <c r="G18" i="96" s="1"/>
  <c r="C83" i="82"/>
  <c r="E83" i="82" s="1"/>
  <c r="G83" i="82" s="1"/>
  <c r="C83" i="83" s="1"/>
  <c r="E83" i="83" s="1"/>
  <c r="G83" i="83" s="1"/>
  <c r="C83" i="84" s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C83" i="89" s="1"/>
  <c r="E83" i="89" s="1"/>
  <c r="G83" i="89" s="1"/>
  <c r="C83" i="90" s="1"/>
  <c r="E83" i="90" s="1"/>
  <c r="G83" i="90" s="1"/>
  <c r="C83" i="91" s="1"/>
  <c r="E83" i="91" s="1"/>
  <c r="G83" i="91" s="1"/>
  <c r="E83" i="92" s="1"/>
  <c r="G83" i="92" s="1"/>
  <c r="E83" i="93" s="1"/>
  <c r="G83" i="93" s="1"/>
  <c r="E83" i="94" s="1"/>
  <c r="G83" i="94" s="1"/>
  <c r="C83" i="95" s="1"/>
  <c r="E83" i="95" s="1"/>
  <c r="G83" i="95" s="1"/>
  <c r="C83" i="96" s="1"/>
  <c r="E83" i="96" s="1"/>
  <c r="G83" i="96" s="1"/>
  <c r="C17" i="85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17" i="91" s="1"/>
  <c r="E17" i="91" s="1"/>
  <c r="G17" i="91" s="1"/>
  <c r="E17" i="92" s="1"/>
  <c r="G17" i="92" s="1"/>
  <c r="E17" i="93" s="1"/>
  <c r="G17" i="93" s="1"/>
  <c r="E17" i="94" s="1"/>
  <c r="G17" i="94" s="1"/>
  <c r="C17" i="95" s="1"/>
  <c r="E17" i="95" s="1"/>
  <c r="G17" i="95" s="1"/>
  <c r="C17" i="96" s="1"/>
  <c r="E17" i="96" s="1"/>
  <c r="G17" i="96" s="1"/>
  <c r="C86" i="82"/>
  <c r="E86" i="82" s="1"/>
  <c r="G86" i="82" s="1"/>
  <c r="C86" i="83" s="1"/>
  <c r="E86" i="83" s="1"/>
  <c r="G86" i="83" s="1"/>
  <c r="C86" i="84" s="1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86" i="89" s="1"/>
  <c r="E86" i="89" s="1"/>
  <c r="G86" i="89" s="1"/>
  <c r="C86" i="90" s="1"/>
  <c r="E86" i="90" s="1"/>
  <c r="G86" i="90" s="1"/>
  <c r="C86" i="91" s="1"/>
  <c r="E86" i="91" s="1"/>
  <c r="G86" i="91" s="1"/>
  <c r="E86" i="92" s="1"/>
  <c r="G86" i="92" s="1"/>
  <c r="E86" i="93" s="1"/>
  <c r="G86" i="93" s="1"/>
  <c r="E86" i="94" s="1"/>
  <c r="G86" i="94" s="1"/>
  <c r="C86" i="95" s="1"/>
  <c r="E86" i="95" s="1"/>
  <c r="G86" i="95" s="1"/>
  <c r="C86" i="96" s="1"/>
  <c r="E86" i="96" s="1"/>
  <c r="G86" i="96" s="1"/>
  <c r="C82" i="82"/>
  <c r="E82" i="82" s="1"/>
  <c r="G82" i="82" s="1"/>
  <c r="C82" i="83" s="1"/>
  <c r="E82" i="83" s="1"/>
  <c r="G82" i="83" s="1"/>
  <c r="C82" i="84" s="1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82" i="89" s="1"/>
  <c r="G82" i="89" s="1"/>
  <c r="C82" i="90" s="1"/>
  <c r="E82" i="90" s="1"/>
  <c r="G82" i="90" s="1"/>
  <c r="C82" i="91" s="1"/>
  <c r="E82" i="91" s="1"/>
  <c r="G82" i="91" s="1"/>
  <c r="E82" i="92" s="1"/>
  <c r="G82" i="92" s="1"/>
  <c r="E82" i="93" s="1"/>
  <c r="G82" i="93" s="1"/>
  <c r="E82" i="94" s="1"/>
  <c r="G82" i="94" s="1"/>
  <c r="C82" i="95" s="1"/>
  <c r="E82" i="95" s="1"/>
  <c r="G82" i="95" s="1"/>
  <c r="C82" i="96" s="1"/>
  <c r="E82" i="96" s="1"/>
  <c r="G82" i="96" s="1"/>
  <c r="C89" i="82"/>
  <c r="E89" i="82" s="1"/>
  <c r="G89" i="82" s="1"/>
  <c r="C89" i="83" s="1"/>
  <c r="E89" i="83" s="1"/>
  <c r="G89" i="83" s="1"/>
  <c r="C89" i="84" s="1"/>
  <c r="E89" i="84" s="1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E89" i="90" s="1"/>
  <c r="G89" i="90" s="1"/>
  <c r="C89" i="91" s="1"/>
  <c r="E89" i="91" s="1"/>
  <c r="G89" i="91" s="1"/>
  <c r="E89" i="92" s="1"/>
  <c r="G89" i="92" s="1"/>
  <c r="E89" i="93" s="1"/>
  <c r="G89" i="93" s="1"/>
  <c r="E89" i="94" s="1"/>
  <c r="G89" i="94" s="1"/>
  <c r="C89" i="95" s="1"/>
  <c r="E89" i="95" s="1"/>
  <c r="G89" i="95" s="1"/>
  <c r="C89" i="96" s="1"/>
  <c r="E89" i="96" s="1"/>
  <c r="G89" i="96" s="1"/>
  <c r="C87" i="82"/>
  <c r="E87" i="82" s="1"/>
  <c r="G87" i="82" s="1"/>
  <c r="C87" i="83" s="1"/>
  <c r="E87" i="83" s="1"/>
  <c r="G87" i="83" s="1"/>
  <c r="C87" i="84" s="1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87" i="91" s="1"/>
  <c r="E87" i="91" s="1"/>
  <c r="G87" i="91" s="1"/>
  <c r="E87" i="92" s="1"/>
  <c r="G87" i="92" s="1"/>
  <c r="E87" i="93" s="1"/>
  <c r="G87" i="93" s="1"/>
  <c r="E87" i="94" s="1"/>
  <c r="G87" i="94" s="1"/>
  <c r="C87" i="95" s="1"/>
  <c r="E87" i="95" s="1"/>
  <c r="G87" i="95" s="1"/>
  <c r="C87" i="96" s="1"/>
  <c r="E87" i="96" s="1"/>
  <c r="G87" i="96" s="1"/>
  <c r="C10" i="80"/>
  <c r="E10" i="80" s="1"/>
  <c r="G10" i="80" s="1"/>
  <c r="C8" i="80"/>
  <c r="E8" i="80" s="1"/>
  <c r="G8" i="80" s="1"/>
  <c r="C7" i="80"/>
  <c r="E7" i="80" s="1"/>
  <c r="G7" i="80" s="1"/>
  <c r="C14" i="80"/>
  <c r="E14" i="80" s="1"/>
  <c r="G14" i="80" s="1"/>
  <c r="C80" i="81"/>
  <c r="E80" i="81" s="1"/>
  <c r="G80" i="81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80" i="91" s="1"/>
  <c r="E80" i="91" s="1"/>
  <c r="G80" i="91" s="1"/>
  <c r="E80" i="92" s="1"/>
  <c r="G80" i="92" s="1"/>
  <c r="E80" i="93" s="1"/>
  <c r="G80" i="93" s="1"/>
  <c r="E80" i="94" s="1"/>
  <c r="G80" i="94" s="1"/>
  <c r="C80" i="95" s="1"/>
  <c r="E80" i="95" s="1"/>
  <c r="G80" i="95" s="1"/>
  <c r="C80" i="96" s="1"/>
  <c r="E80" i="96" s="1"/>
  <c r="G80" i="96" s="1"/>
  <c r="C9" i="80"/>
  <c r="E9" i="80" s="1"/>
  <c r="G9" i="80" s="1"/>
  <c r="C12" i="80"/>
  <c r="E12" i="80" s="1"/>
  <c r="G12" i="80" s="1"/>
  <c r="C13" i="80"/>
  <c r="E13" i="80" s="1"/>
  <c r="G13" i="80" s="1"/>
  <c r="C11" i="80"/>
  <c r="E11" i="80" s="1"/>
  <c r="G11" i="80" s="1"/>
  <c r="C6" i="80"/>
  <c r="E6" i="80" s="1"/>
  <c r="G6" i="80" s="1"/>
  <c r="N204" i="64"/>
  <c r="X107" i="64"/>
  <c r="J206" i="64" s="1"/>
  <c r="K207" i="64" s="1"/>
  <c r="C9" i="81" l="1"/>
  <c r="E9" i="81" s="1"/>
  <c r="G9" i="81" s="1"/>
  <c r="C12" i="81"/>
  <c r="E12" i="81" s="1"/>
  <c r="G12" i="81" s="1"/>
  <c r="C7" i="81"/>
  <c r="E7" i="81" s="1"/>
  <c r="G7" i="81" s="1"/>
  <c r="C6" i="81"/>
  <c r="E6" i="81" s="1"/>
  <c r="G6" i="81" s="1"/>
  <c r="C8" i="81"/>
  <c r="E8" i="81" s="1"/>
  <c r="G8" i="81" s="1"/>
  <c r="C14" i="81"/>
  <c r="E14" i="81" s="1"/>
  <c r="G14" i="81" s="1"/>
  <c r="C13" i="81"/>
  <c r="E13" i="81" s="1"/>
  <c r="G13" i="81" s="1"/>
  <c r="C11" i="81"/>
  <c r="E11" i="81" s="1"/>
  <c r="G11" i="81" s="1"/>
  <c r="C10" i="81"/>
  <c r="E10" i="81" s="1"/>
  <c r="G10" i="81" s="1"/>
  <c r="J256" i="8"/>
  <c r="K213" i="64"/>
  <c r="K215" i="64" s="1"/>
  <c r="C10" i="82" l="1"/>
  <c r="E10" i="82" s="1"/>
  <c r="G10" i="82" s="1"/>
  <c r="C10" i="83" s="1"/>
  <c r="E10" i="83" s="1"/>
  <c r="G10" i="83" s="1"/>
  <c r="C10" i="84" s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C10" i="91" s="1"/>
  <c r="E10" i="91" s="1"/>
  <c r="G10" i="91" s="1"/>
  <c r="E10" i="92" s="1"/>
  <c r="G10" i="92" s="1"/>
  <c r="E10" i="93" s="1"/>
  <c r="G10" i="93" s="1"/>
  <c r="E10" i="94" s="1"/>
  <c r="G10" i="94" s="1"/>
  <c r="C10" i="95" s="1"/>
  <c r="E10" i="95" s="1"/>
  <c r="G10" i="95" s="1"/>
  <c r="C10" i="96" s="1"/>
  <c r="E10" i="96" s="1"/>
  <c r="G10" i="96" s="1"/>
  <c r="C9" i="82"/>
  <c r="E9" i="82" s="1"/>
  <c r="G9" i="82" s="1"/>
  <c r="C9" i="83" s="1"/>
  <c r="E9" i="83" s="1"/>
  <c r="G9" i="83" s="1"/>
  <c r="C9" i="84" s="1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C9" i="89" s="1"/>
  <c r="E9" i="89" s="1"/>
  <c r="G9" i="89" s="1"/>
  <c r="C9" i="90" s="1"/>
  <c r="E9" i="90" s="1"/>
  <c r="G9" i="90" s="1"/>
  <c r="C9" i="91" s="1"/>
  <c r="E9" i="91" s="1"/>
  <c r="G9" i="91" s="1"/>
  <c r="E9" i="92" s="1"/>
  <c r="G9" i="92" s="1"/>
  <c r="E9" i="93" s="1"/>
  <c r="G9" i="93" s="1"/>
  <c r="E9" i="94" s="1"/>
  <c r="G9" i="94" s="1"/>
  <c r="C9" i="95" s="1"/>
  <c r="E9" i="95" s="1"/>
  <c r="G9" i="95" s="1"/>
  <c r="C9" i="96" s="1"/>
  <c r="E9" i="96" s="1"/>
  <c r="G9" i="96" s="1"/>
  <c r="C8" i="82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8" i="91" s="1"/>
  <c r="E8" i="91" s="1"/>
  <c r="G8" i="91" s="1"/>
  <c r="E8" i="92" s="1"/>
  <c r="G8" i="92" s="1"/>
  <c r="E8" i="93" s="1"/>
  <c r="G8" i="93" s="1"/>
  <c r="E8" i="94" s="1"/>
  <c r="G8" i="94" s="1"/>
  <c r="C8" i="95" s="1"/>
  <c r="E8" i="95" s="1"/>
  <c r="G8" i="95" s="1"/>
  <c r="C8" i="96" s="1"/>
  <c r="E8" i="96" s="1"/>
  <c r="G8" i="96" s="1"/>
  <c r="C13" i="82"/>
  <c r="E13" i="82" s="1"/>
  <c r="G13" i="82" s="1"/>
  <c r="C13" i="83" s="1"/>
  <c r="E13" i="83" s="1"/>
  <c r="G13" i="83" s="1"/>
  <c r="C13" i="84" s="1"/>
  <c r="E13" i="84" s="1"/>
  <c r="G13" i="84" s="1"/>
  <c r="C7" i="82"/>
  <c r="E7" i="82" s="1"/>
  <c r="G7" i="82" s="1"/>
  <c r="C7" i="83" s="1"/>
  <c r="E7" i="83" s="1"/>
  <c r="G7" i="83" s="1"/>
  <c r="C7" i="84" s="1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7" i="90" s="1"/>
  <c r="G7" i="90" s="1"/>
  <c r="C7" i="91" s="1"/>
  <c r="E7" i="91" s="1"/>
  <c r="G7" i="91" s="1"/>
  <c r="E7" i="92" s="1"/>
  <c r="G7" i="92" s="1"/>
  <c r="E7" i="93" s="1"/>
  <c r="G7" i="93" s="1"/>
  <c r="E7" i="94" s="1"/>
  <c r="G7" i="94" s="1"/>
  <c r="C7" i="95" s="1"/>
  <c r="E7" i="95" s="1"/>
  <c r="G7" i="95" s="1"/>
  <c r="C7" i="96" s="1"/>
  <c r="E7" i="96" s="1"/>
  <c r="G7" i="96" s="1"/>
  <c r="C6" i="82"/>
  <c r="E6" i="82" s="1"/>
  <c r="G6" i="82" s="1"/>
  <c r="C6" i="83" s="1"/>
  <c r="E6" i="83" s="1"/>
  <c r="G6" i="83" s="1"/>
  <c r="C6" i="84" s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C6" i="91" s="1"/>
  <c r="E6" i="91" s="1"/>
  <c r="G6" i="91" s="1"/>
  <c r="E6" i="92" s="1"/>
  <c r="G6" i="92" s="1"/>
  <c r="E6" i="93" s="1"/>
  <c r="G6" i="93" s="1"/>
  <c r="E6" i="94" s="1"/>
  <c r="G6" i="94" s="1"/>
  <c r="C6" i="95" s="1"/>
  <c r="E6" i="95" s="1"/>
  <c r="G6" i="95" s="1"/>
  <c r="C6" i="96" s="1"/>
  <c r="E6" i="96" s="1"/>
  <c r="G6" i="96" s="1"/>
  <c r="C11" i="82"/>
  <c r="E11" i="82" s="1"/>
  <c r="G11" i="82" s="1"/>
  <c r="C11" i="83" s="1"/>
  <c r="E11" i="83" s="1"/>
  <c r="G11" i="83" s="1"/>
  <c r="C11" i="84" s="1"/>
  <c r="E11" i="84" s="1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1" i="89" s="1"/>
  <c r="G11" i="89" s="1"/>
  <c r="C11" i="90" s="1"/>
  <c r="E11" i="90" s="1"/>
  <c r="G11" i="90" s="1"/>
  <c r="C11" i="91" s="1"/>
  <c r="E11" i="91" s="1"/>
  <c r="G11" i="91" s="1"/>
  <c r="E11" i="92" s="1"/>
  <c r="G11" i="92" s="1"/>
  <c r="E11" i="93" s="1"/>
  <c r="G11" i="93" s="1"/>
  <c r="E11" i="94" s="1"/>
  <c r="G11" i="94" s="1"/>
  <c r="C11" i="95" s="1"/>
  <c r="E11" i="95" s="1"/>
  <c r="G11" i="95" s="1"/>
  <c r="C11" i="96" s="1"/>
  <c r="E11" i="96" s="1"/>
  <c r="G11" i="96" s="1"/>
  <c r="C12" i="82"/>
  <c r="E12" i="82" s="1"/>
  <c r="G12" i="82" s="1"/>
  <c r="C12" i="83" s="1"/>
  <c r="E12" i="83" s="1"/>
  <c r="G12" i="83" s="1"/>
  <c r="C12" i="84" s="1"/>
  <c r="E12" i="84" s="1"/>
  <c r="G12" i="84" s="1"/>
  <c r="C12" i="85" s="1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2" i="91" s="1"/>
  <c r="E12" i="91" s="1"/>
  <c r="G12" i="91" s="1"/>
  <c r="E12" i="92" s="1"/>
  <c r="G12" i="92" s="1"/>
  <c r="E12" i="93" s="1"/>
  <c r="G12" i="93" s="1"/>
  <c r="E12" i="94" s="1"/>
  <c r="G12" i="94" s="1"/>
  <c r="C12" i="95" s="1"/>
  <c r="E12" i="95" s="1"/>
  <c r="G12" i="95" s="1"/>
  <c r="C12" i="96" s="1"/>
  <c r="E12" i="96" s="1"/>
  <c r="G12" i="96" s="1"/>
  <c r="C14" i="82"/>
  <c r="E14" i="82" s="1"/>
  <c r="G14" i="82" s="1"/>
  <c r="C14" i="83" s="1"/>
  <c r="E14" i="83" s="1"/>
  <c r="G14" i="83" s="1"/>
  <c r="C14" i="84" s="1"/>
  <c r="E14" i="84" s="1"/>
  <c r="G14" i="84" s="1"/>
  <c r="K216" i="64"/>
  <c r="C13" i="85" l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E13" i="89" s="1"/>
  <c r="G13" i="89" s="1"/>
  <c r="C13" i="90" s="1"/>
  <c r="E13" i="90" s="1"/>
  <c r="G13" i="90" s="1"/>
  <c r="C13" i="91" s="1"/>
  <c r="E13" i="91" s="1"/>
  <c r="G13" i="91" s="1"/>
  <c r="E13" i="92" s="1"/>
  <c r="G13" i="92" s="1"/>
  <c r="E13" i="93" s="1"/>
  <c r="G13" i="93" s="1"/>
  <c r="E13" i="94" s="1"/>
  <c r="G13" i="94" s="1"/>
  <c r="C13" i="95" s="1"/>
  <c r="E13" i="95" s="1"/>
  <c r="G13" i="95" s="1"/>
  <c r="C13" i="96" s="1"/>
  <c r="E13" i="96" s="1"/>
  <c r="G13" i="96" s="1"/>
  <c r="C14" i="85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4" i="91" s="1"/>
  <c r="E14" i="91" s="1"/>
  <c r="G14" i="91" s="1"/>
  <c r="E14" i="92" s="1"/>
  <c r="G14" i="92" s="1"/>
  <c r="E14" i="93" s="1"/>
  <c r="G14" i="93" s="1"/>
  <c r="E14" i="94" s="1"/>
  <c r="G14" i="94" s="1"/>
  <c r="C14" i="95" s="1"/>
  <c r="E14" i="95" s="1"/>
  <c r="G14" i="95" s="1"/>
  <c r="C14" i="96" s="1"/>
  <c r="E14" i="96" s="1"/>
  <c r="G14" i="96" s="1"/>
  <c r="U35" i="8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N254" i="67"/>
  <c r="C5" i="78" l="1"/>
  <c r="E5" i="78" s="1"/>
  <c r="G5" i="78" s="1"/>
  <c r="C5" i="79" s="1"/>
  <c r="E5" i="79" s="1"/>
  <c r="G5" i="79" s="1"/>
  <c r="C5" i="80" l="1"/>
  <c r="E5" i="80" s="1"/>
  <c r="G5" i="80" s="1"/>
  <c r="C5" i="81" l="1"/>
  <c r="E5" i="81" s="1"/>
  <c r="G5" i="81" s="1"/>
  <c r="C5" i="82" l="1"/>
  <c r="E5" i="82" s="1"/>
  <c r="G5" i="82" s="1"/>
  <c r="C5" i="83" s="1"/>
  <c r="E5" i="83" s="1"/>
  <c r="G5" i="83" s="1"/>
  <c r="C5" i="84" s="1"/>
  <c r="E5" i="84" s="1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s="1"/>
  <c r="E5" i="91" s="1"/>
  <c r="G5" i="91" s="1"/>
  <c r="E5" i="92" s="1"/>
  <c r="G5" i="92" s="1"/>
  <c r="E5" i="93" s="1"/>
  <c r="G5" i="93" s="1"/>
  <c r="E5" i="94" s="1"/>
  <c r="G5" i="94" s="1"/>
  <c r="C5" i="95" s="1"/>
  <c r="E5" i="95" s="1"/>
  <c r="G5" i="95" s="1"/>
  <c r="C5" i="96" s="1"/>
  <c r="E5" i="96" s="1"/>
  <c r="G5" i="96" s="1"/>
</calcChain>
</file>

<file path=xl/sharedStrings.xml><?xml version="1.0" encoding="utf-8"?>
<sst xmlns="http://schemas.openxmlformats.org/spreadsheetml/2006/main" count="18046" uniqueCount="312">
  <si>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</si>
  <si>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</si>
  <si>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</si>
  <si>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</si>
  <si>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</si>
  <si>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</si>
  <si>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</si>
  <si>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</si>
  <si>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</si>
  <si>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</si>
  <si>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</si>
  <si>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</si>
  <si>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</si>
  <si>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</si>
  <si>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</si>
  <si>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</si>
  <si>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</si>
  <si>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</si>
  <si>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</si>
  <si>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</si>
  <si>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</si>
  <si>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</si>
  <si>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</si>
  <si>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</si>
  <si>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</si>
  <si>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</si>
  <si>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</si>
  <si>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</si>
  <si>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</si>
  <si>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</si>
  <si>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</si>
  <si>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</si>
  <si>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</si>
  <si>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</si>
  <si>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</si>
  <si>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</si>
  <si>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</si>
  <si>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</si>
  <si>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</si>
  <si>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</si>
  <si>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</si>
  <si>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</si>
  <si>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</si>
  <si>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</si>
  <si>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</si>
  <si>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</si>
  <si>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</si>
  <si>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</si>
  <si>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</si>
  <si>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</si>
  <si>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</si>
  <si>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</si>
  <si>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</si>
  <si>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</si>
  <si>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</si>
  <si>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</si>
  <si>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</si>
  <si>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</si>
  <si>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</si>
  <si>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</si>
  <si>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</si>
  <si>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</si>
  <si>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</si>
  <si>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</si>
  <si>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</si>
  <si>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</si>
  <si>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</si>
  <si>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</si>
  <si>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</si>
  <si>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</si>
  <si>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</si>
  <si>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</si>
  <si>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</si>
  <si>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</si>
  <si>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</si>
  <si>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</si>
  <si>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</si>
  <si>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</si>
  <si>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</si>
  <si>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</si>
  <si>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</si>
  <si>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</si>
  <si>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</si>
  <si>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</si>
  <si>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</si>
  <si>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</si>
  <si>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</si>
  <si>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</si>
  <si>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</si>
  <si>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</si>
  <si>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</si>
  <si>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</si>
  <si>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</si>
  <si>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</si>
  <si>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</si>
  <si>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</si>
  <si>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</si>
  <si>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</si>
  <si>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</si>
  <si>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</si>
  <si>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</si>
  <si>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</si>
  <si>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</si>
  <si>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</si>
  <si>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</si>
  <si>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</si>
  <si>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</si>
  <si>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</si>
  <si>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</si>
  <si>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</si>
  <si>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</si>
  <si>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</si>
  <si>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</si>
  <si>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</si>
  <si>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</si>
  <si>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</si>
  <si>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</si>
  <si>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</si>
  <si>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</si>
  <si>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</si>
  <si>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</si>
  <si>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</si>
  <si>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</si>
  <si>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</si>
  <si>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</si>
  <si>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</si>
  <si>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</si>
  <si>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</si>
  <si>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</si>
  <si>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</si>
  <si>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</si>
  <si>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</si>
  <si>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</si>
  <si>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</si>
  <si>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</si>
  <si>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</si>
  <si>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</si>
  <si>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</si>
  <si>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</si>
  <si>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</si>
  <si>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</si>
  <si>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</si>
  <si>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</si>
  <si>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</si>
  <si>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</si>
  <si>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</si>
  <si>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</si>
  <si>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</si>
  <si>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</si>
  <si>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</si>
  <si>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</si>
  <si>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</si>
  <si>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</si>
  <si>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</si>
  <si>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</si>
  <si>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</si>
  <si>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</si>
  <si>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</si>
  <si>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</si>
  <si>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</si>
  <si>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</si>
  <si>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</si>
  <si>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</si>
  <si>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</si>
  <si>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</si>
  <si>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</si>
  <si>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</si>
  <si>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</si>
  <si>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</si>
  <si>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</si>
  <si>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</si>
  <si>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</si>
  <si>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</si>
  <si>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</si>
  <si>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</si>
  <si>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</si>
  <si>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</si>
  <si>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</si>
  <si>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</si>
  <si>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</si>
  <si>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</si>
  <si>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</si>
  <si>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</si>
  <si>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</si>
  <si>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</si>
  <si>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</si>
  <si>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</si>
  <si>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</si>
  <si>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</si>
  <si>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</si>
  <si>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</si>
  <si>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</si>
  <si>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</si>
  <si>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</si>
  <si>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</si>
  <si>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</si>
  <si>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</si>
  <si>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</si>
  <si>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</si>
  <si>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</si>
  <si>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</si>
  <si>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</si>
  <si>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</si>
  <si>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</si>
  <si>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</si>
  <si>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</si>
  <si>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</si>
  <si>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</si>
  <si>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</si>
  <si>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</si>
  <si>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</si>
  <si>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</si>
  <si>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</si>
  <si>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</si>
  <si>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</si>
  <si>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</si>
  <si>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</si>
  <si>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</si>
  <si>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</si>
  <si>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</si>
  <si>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</si>
  <si>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</si>
  <si>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</si>
  <si>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</si>
  <si>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</si>
  <si>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</si>
  <si>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</si>
  <si>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</si>
  <si>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</si>
  <si>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</si>
  <si>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</si>
  <si>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</si>
  <si>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</si>
  <si>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</si>
  <si>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</si>
  <si>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</si>
  <si>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</si>
  <si>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</si>
  <si>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</si>
  <si>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</si>
  <si>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</si>
  <si>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</si>
  <si>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</si>
  <si>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</si>
  <si>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</si>
  <si>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</si>
  <si>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</si>
  <si>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เอแคลร์ 8 ชิ้น</t>
  </si>
  <si>
    <t>ขนมเปี๊ยะ 450 กรัม</t>
  </si>
  <si>
    <t>เฉาก๋วย</t>
  </si>
  <si>
    <t>เปี๊ยะลาวาไข่เค็ม 1 ชิ้น</t>
  </si>
  <si>
    <t>โบราณวันแม่ 4 ชิ้น</t>
  </si>
  <si>
    <t>ของเล่น Skibidi</t>
  </si>
  <si>
    <t>เค้กโบราณคริสมาศ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</si>
  <si>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</si>
  <si>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</si>
  <si>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</si>
  <si>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</si>
  <si>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เปี๊ยะโมจิ ไส้ถั่วฝอยทองไข่เค็ม 300 กรัม</t>
  </si>
  <si>
    <t>บ๋วยแดง</t>
  </si>
  <si>
    <t xml:space="preserve">ขนมเปี๊ยะ </t>
  </si>
  <si>
    <t>ขนมเปี๊ยะไส้ถั่วไข่เค็ม 6 ชิ้น</t>
  </si>
  <si>
    <t>ฝอยทองกรอบ</t>
  </si>
  <si>
    <t>ครัฟฟินรูบี้ช็อกโกแลตสตรอเบอร์รี่</t>
  </si>
  <si>
    <t>เบาหวิวมะพร้าว (แพค 100 g)</t>
  </si>
  <si>
    <t>เรดเวลเว็ทวูปปี้พาย</t>
  </si>
  <si>
    <t>ลาวา (ล) ฝอยทองใบเตย</t>
  </si>
  <si>
    <t>ชุดเซ็ทสงกรานต์</t>
  </si>
  <si>
    <t>โดนัทไส้แยมสตรอเบอรี่</t>
  </si>
  <si>
    <t>ซอฟท์เค้กฝอยทอง</t>
  </si>
  <si>
    <t>ซอฟท์เค้กครีมสด</t>
  </si>
  <si>
    <t>ขนมปังพิซซ่าโบโลน่า</t>
  </si>
  <si>
    <t>ขนมปังข้าวโพดแฮม</t>
  </si>
  <si>
    <t>ครีมฮอร์นชาไทย</t>
  </si>
  <si>
    <t>บูธ ปตท.ราชบุรี วันที่ 1-31 ก.ค. 67</t>
  </si>
  <si>
    <t>ลาวา ทูโทน (ล)</t>
  </si>
  <si>
    <t>ลาวา ทูโทน (ญ)</t>
  </si>
  <si>
    <t>เค้กทุเรียน</t>
  </si>
  <si>
    <t>ลด 50 %</t>
  </si>
  <si>
    <t>ลด 20 %</t>
  </si>
  <si>
    <t>ซีนบวม</t>
  </si>
  <si>
    <t>หมดอายุ</t>
  </si>
  <si>
    <t xml:space="preserve">แถม </t>
  </si>
  <si>
    <t>สรุป บูธ ปตท.ราชบุรี  วันที่ 1-31 ก.ค. 67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</si>
  <si>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</si>
  <si>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</si>
  <si>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</si>
  <si>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</si>
  <si>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</si>
  <si>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</si>
  <si>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</si>
  <si>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</si>
  <si>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</si>
  <si>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</si>
  <si>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</si>
  <si>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</si>
  <si>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</si>
  <si>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</si>
  <si>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 xml:space="preserve">ลด 50 % </t>
  </si>
  <si>
    <t>ลด 50 % = 3// แถม 1</t>
  </si>
  <si>
    <t>ลดราคา</t>
  </si>
  <si>
    <t>เอแคลร์คิทแคท 65g.</t>
  </si>
  <si>
    <t>โปร 3 ชิ้น = 100</t>
  </si>
  <si>
    <t>ลาวา (ล) ฝอยทอง</t>
  </si>
  <si>
    <t>แถม 1</t>
  </si>
  <si>
    <t>เครปเค้กคิทแคท</t>
  </si>
  <si>
    <t>โปร</t>
  </si>
  <si>
    <t>บวม</t>
  </si>
  <si>
    <t>ปตท.ราชบุรี</t>
  </si>
  <si>
    <t>แถม 2</t>
  </si>
  <si>
    <t>ข้าวเกรียว่าว (กระปุก)</t>
  </si>
  <si>
    <t>ขนมปังกรอบคาราเมล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</si>
</sst>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66FF99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AB35-6323-4CFD-89E0-9F1A07E36032}">
  <sheetPr>
    <tabColor rgb="FF5F5F5F"/>
  </sheetPr>
  <dimension ref="A1:D15"/>
  <sheetViews>
    <sheetView workbookViewId="0">
      <selection activeCell="D76" sqref="D76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27.375" style="88" customWidth="1"/>
    <col min="5" max="16384" width="9.125" style="88"/>
  </cols>
  <sheetData>
    <row r="1" spans="1:4" ht="29.25" x14ac:dyDescent="0.6">
      <c r="A1" s="87" t="s">
        <v>284</v>
      </c>
    </row>
    <row r="2" spans="1:4" s="92" customFormat="1" ht="26.25" x14ac:dyDescent="0.55000000000000004">
      <c r="A2" s="90" t="s">
        <v>285</v>
      </c>
      <c r="B2" s="90" t="s">
        <v>286</v>
      </c>
      <c r="C2" s="91" t="s">
        <v>287</v>
      </c>
      <c r="D2" s="90" t="s">
        <v>9</v>
      </c>
    </row>
    <row r="3" spans="1:4" x14ac:dyDescent="0.5">
      <c r="A3" s="93">
        <v>243801</v>
      </c>
      <c r="B3" s="94" t="s">
        <v>288</v>
      </c>
      <c r="C3" s="95">
        <v>46</v>
      </c>
      <c r="D3" s="94"/>
    </row>
    <row r="4" spans="1:4" x14ac:dyDescent="0.5">
      <c r="A4" s="94"/>
      <c r="B4" s="94"/>
      <c r="C4" s="95"/>
      <c r="D4" s="94"/>
    </row>
    <row r="5" spans="1:4" x14ac:dyDescent="0.5">
      <c r="A5" s="94"/>
      <c r="B5" s="94"/>
      <c r="C5" s="95"/>
      <c r="D5" s="94"/>
    </row>
    <row r="6" spans="1:4" x14ac:dyDescent="0.5">
      <c r="A6" s="94"/>
      <c r="B6" s="94"/>
      <c r="C6" s="95"/>
      <c r="D6" s="94"/>
    </row>
    <row r="7" spans="1:4" x14ac:dyDescent="0.5">
      <c r="A7" s="94"/>
      <c r="B7" s="94"/>
      <c r="C7" s="95"/>
      <c r="D7" s="94"/>
    </row>
    <row r="8" spans="1:4" x14ac:dyDescent="0.5">
      <c r="A8" s="94"/>
      <c r="B8" s="94"/>
      <c r="C8" s="95"/>
      <c r="D8" s="94"/>
    </row>
    <row r="9" spans="1:4" x14ac:dyDescent="0.5">
      <c r="A9" s="94"/>
      <c r="B9" s="94"/>
      <c r="C9" s="95"/>
      <c r="D9" s="94"/>
    </row>
    <row r="10" spans="1:4" x14ac:dyDescent="0.5">
      <c r="A10" s="94"/>
      <c r="B10" s="94"/>
      <c r="C10" s="95"/>
      <c r="D10" s="94"/>
    </row>
    <row r="11" spans="1:4" x14ac:dyDescent="0.5">
      <c r="A11" s="94"/>
      <c r="B11" s="94"/>
      <c r="C11" s="95"/>
      <c r="D11" s="94"/>
    </row>
    <row r="12" spans="1:4" x14ac:dyDescent="0.5">
      <c r="A12" s="94"/>
      <c r="B12" s="94"/>
      <c r="C12" s="95"/>
      <c r="D12" s="94"/>
    </row>
    <row r="13" spans="1:4" x14ac:dyDescent="0.5">
      <c r="A13" s="94"/>
      <c r="B13" s="94"/>
      <c r="C13" s="95"/>
      <c r="D13" s="94"/>
    </row>
    <row r="14" spans="1:4" ht="27" thickBot="1" x14ac:dyDescent="0.6">
      <c r="B14" s="96" t="s">
        <v>289</v>
      </c>
      <c r="C14" s="97">
        <f>SUM(C3:C13)</f>
        <v>46</v>
      </c>
      <c r="D14" s="98" t="s">
        <v>290</v>
      </c>
    </row>
    <row r="15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E2A6-F503-404A-9A2F-7A1C0B76E2E7}">
  <sheetPr>
    <tabColor rgb="FF5F5F5F"/>
  </sheetPr>
  <dimension ref="A1:E26"/>
  <sheetViews>
    <sheetView workbookViewId="0">
      <pane xSplit="2" ySplit="2" topLeftCell="C18" activePane="bottomRight" state="frozen"/>
      <selection activeCell="D76" sqref="D76"/>
      <selection pane="topRight" activeCell="D76" sqref="D76"/>
      <selection pane="bottomLeft" activeCell="D76" sqref="D76"/>
      <selection pane="bottomRight" activeCell="D76" sqref="D76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13.3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291</v>
      </c>
    </row>
    <row r="2" spans="1:5" s="92" customFormat="1" ht="26.25" x14ac:dyDescent="0.55000000000000004">
      <c r="A2" s="90" t="s">
        <v>285</v>
      </c>
      <c r="B2" s="90" t="s">
        <v>292</v>
      </c>
      <c r="C2" s="91" t="s">
        <v>12</v>
      </c>
      <c r="D2" s="91" t="s">
        <v>293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294</v>
      </c>
      <c r="C25" s="97">
        <f>SUM(C14:C24)</f>
        <v>0</v>
      </c>
      <c r="D25" s="97">
        <f>SUM(D14:D24)</f>
        <v>0</v>
      </c>
      <c r="E25" s="98" t="s">
        <v>290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2A3F-86C8-46A4-9BA2-00DAF42ADA6C}">
  <sheetPr>
    <tabColor rgb="FF5F5F5F"/>
  </sheetPr>
  <dimension ref="A1:E26"/>
  <sheetViews>
    <sheetView workbookViewId="0">
      <pane xSplit="3" ySplit="2" topLeftCell="D15" activePane="bottomRight" state="frozen"/>
      <selection activeCell="D76" sqref="D76"/>
      <selection pane="topRight" activeCell="D76" sqref="D76"/>
      <selection pane="bottomLeft" activeCell="D76" sqref="D76"/>
      <selection pane="bottomRight" activeCell="D76" sqref="D76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7.875" style="89" bestFit="1" customWidth="1"/>
    <col min="4" max="4" width="17.8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295</v>
      </c>
    </row>
    <row r="2" spans="1:5" s="92" customFormat="1" ht="26.25" x14ac:dyDescent="0.55000000000000004">
      <c r="A2" s="90" t="s">
        <v>285</v>
      </c>
      <c r="B2" s="90" t="s">
        <v>292</v>
      </c>
      <c r="C2" s="91" t="s">
        <v>296</v>
      </c>
      <c r="D2" s="91" t="s">
        <v>215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297</v>
      </c>
      <c r="C25" s="97">
        <f>SUM(C14:C24)</f>
        <v>0</v>
      </c>
      <c r="D25" s="97">
        <f>SUM(D14:D24)</f>
        <v>0</v>
      </c>
      <c r="E25" s="98" t="s">
        <v>290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90" zoomScaleNormal="90" workbookViewId="0">
      <pane xSplit="7" ySplit="4" topLeftCell="H203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C225" sqref="C225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32" t="s">
        <v>283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03" t="s">
        <v>308</v>
      </c>
      <c r="M2" s="103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30" t="s">
        <v>1</v>
      </c>
      <c r="B3" s="130" t="s">
        <v>2</v>
      </c>
      <c r="C3" s="130" t="s">
        <v>3</v>
      </c>
      <c r="D3" s="130" t="s">
        <v>4</v>
      </c>
      <c r="E3" s="130" t="s">
        <v>5</v>
      </c>
      <c r="F3" s="78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17" t="s">
        <v>214</v>
      </c>
      <c r="M3" s="117" t="s">
        <v>215</v>
      </c>
      <c r="N3" s="117" t="s">
        <v>10</v>
      </c>
      <c r="O3" s="117" t="s">
        <v>216</v>
      </c>
      <c r="P3" s="117" t="s">
        <v>217</v>
      </c>
      <c r="Q3" s="115" t="s">
        <v>218</v>
      </c>
      <c r="R3" s="115" t="s">
        <v>219</v>
      </c>
      <c r="S3" s="115" t="s">
        <v>220</v>
      </c>
      <c r="T3" s="117" t="s">
        <v>221</v>
      </c>
      <c r="U3" s="118" t="s">
        <v>222</v>
      </c>
    </row>
    <row r="4" spans="1:22" s="5" customFormat="1" x14ac:dyDescent="0.55000000000000004">
      <c r="A4" s="130"/>
      <c r="B4" s="130"/>
      <c r="C4" s="130"/>
      <c r="D4" s="130"/>
      <c r="E4" s="130"/>
      <c r="F4" s="78" t="s">
        <v>11</v>
      </c>
      <c r="G4" s="130"/>
      <c r="H4" s="78" t="s">
        <v>12</v>
      </c>
      <c r="I4" s="43" t="s">
        <v>13</v>
      </c>
      <c r="J4" s="78" t="s">
        <v>14</v>
      </c>
      <c r="K4" s="130"/>
      <c r="L4" s="117"/>
      <c r="M4" s="117"/>
      <c r="N4" s="117"/>
      <c r="O4" s="117"/>
      <c r="P4" s="117"/>
      <c r="Q4" s="116"/>
      <c r="R4" s="116"/>
      <c r="S4" s="116"/>
      <c r="T4" s="117"/>
      <c r="U4" s="119"/>
    </row>
    <row r="5" spans="1:22" x14ac:dyDescent="0.55000000000000004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129</v>
      </c>
      <c r="E5" s="44">
        <f t="shared" ref="E5:E68" si="0">+C5+D5</f>
        <v>129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2</v>
      </c>
      <c r="G5" s="44">
        <f>C5+D5-F5-H5</f>
        <v>6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121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6050</v>
      </c>
      <c r="K5" s="19"/>
      <c r="L5" s="46">
        <v>1</v>
      </c>
      <c r="M5" s="47">
        <f>+'1'!K257</f>
        <v>2085</v>
      </c>
      <c r="N5" s="47">
        <f>+'1'!K262</f>
        <v>255</v>
      </c>
      <c r="O5" s="47">
        <f>+'1'!K260</f>
        <v>0</v>
      </c>
      <c r="P5" s="82">
        <f>+'1'!K258</f>
        <v>15</v>
      </c>
      <c r="Q5" s="47">
        <f>+'1'!K261</f>
        <v>0</v>
      </c>
      <c r="R5" s="47">
        <f>+'1'!K259</f>
        <v>495</v>
      </c>
      <c r="S5" s="47">
        <f>+M5-N5-O5-P5-Q5-R5</f>
        <v>1320</v>
      </c>
      <c r="T5" s="47">
        <f>+'1'!K264</f>
        <v>1320</v>
      </c>
      <c r="U5" s="48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7">
        <f>+ยกมา!C14</f>
        <v>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160</v>
      </c>
      <c r="E6" s="44">
        <f t="shared" si="0"/>
        <v>160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</v>
      </c>
      <c r="G6" s="44">
        <f t="shared" ref="G6:G68" si="1">C6+D6-F6-H6</f>
        <v>2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157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15700</v>
      </c>
      <c r="K6" s="19"/>
      <c r="L6" s="46">
        <v>2</v>
      </c>
      <c r="M6" s="47">
        <f>+'2'!K257</f>
        <v>3370</v>
      </c>
      <c r="N6" s="47">
        <f>+'2'!K262</f>
        <v>422</v>
      </c>
      <c r="O6" s="47">
        <f>+'2'!K260</f>
        <v>0</v>
      </c>
      <c r="P6" s="82">
        <f>+'2'!K258</f>
        <v>15</v>
      </c>
      <c r="Q6" s="47">
        <f>+'2'!K261</f>
        <v>0</v>
      </c>
      <c r="R6" s="47">
        <f>+'2'!K259</f>
        <v>1433</v>
      </c>
      <c r="S6" s="47">
        <f t="shared" ref="S6:S35" si="2">+M6-N6-O6-P6-Q6-R6</f>
        <v>1500</v>
      </c>
      <c r="T6" s="47">
        <f>+'2'!K264</f>
        <v>1500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1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1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1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3090</v>
      </c>
      <c r="N7" s="47">
        <f>+'3'!K262</f>
        <v>775</v>
      </c>
      <c r="O7" s="47">
        <f>+'3'!K260</f>
        <v>0</v>
      </c>
      <c r="P7" s="82">
        <f>+'3'!K258</f>
        <v>15</v>
      </c>
      <c r="Q7" s="47">
        <f>+'3'!K261</f>
        <v>0</v>
      </c>
      <c r="R7" s="47">
        <f>+'3'!K259</f>
        <v>1055</v>
      </c>
      <c r="S7" s="47">
        <f>+M7-N7-O7-P7-Q7-R7</f>
        <v>1245</v>
      </c>
      <c r="T7" s="47">
        <f>+'3'!K264</f>
        <v>1255</v>
      </c>
      <c r="U7" s="48">
        <f>+T7-S7</f>
        <v>10</v>
      </c>
      <c r="V7" s="5"/>
    </row>
    <row r="8" spans="1:22" x14ac:dyDescent="0.55000000000000004">
      <c r="A8" s="10">
        <v>4</v>
      </c>
      <c r="B8" s="19" t="s">
        <v>19</v>
      </c>
      <c r="C8" s="47">
        <v>2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2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2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200</v>
      </c>
      <c r="K8" s="19"/>
      <c r="L8" s="46">
        <v>4</v>
      </c>
      <c r="M8" s="47">
        <f>+'4'!K257</f>
        <v>2575</v>
      </c>
      <c r="N8" s="47">
        <f>+'4'!K262</f>
        <v>225</v>
      </c>
      <c r="O8" s="47">
        <f>+'4'!K260</f>
        <v>0</v>
      </c>
      <c r="P8" s="82">
        <f>+'4'!K258</f>
        <v>15</v>
      </c>
      <c r="Q8" s="47">
        <f>+'4'!K261</f>
        <v>0</v>
      </c>
      <c r="R8" s="47">
        <f>+'4'!K259</f>
        <v>865</v>
      </c>
      <c r="S8" s="47">
        <f>+M8-N8-O8-P8-Q8-R8</f>
        <v>1470</v>
      </c>
      <c r="T8" s="47">
        <f>+'4'!K264</f>
        <v>1495</v>
      </c>
      <c r="U8" s="48">
        <f t="shared" si="3"/>
        <v>25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5895</v>
      </c>
      <c r="N9" s="47">
        <f>+'5'!K262</f>
        <v>667</v>
      </c>
      <c r="O9" s="47">
        <f>+'5'!K260</f>
        <v>0</v>
      </c>
      <c r="P9" s="82">
        <f>+'5'!K258</f>
        <v>15</v>
      </c>
      <c r="Q9" s="47">
        <f>+'5'!K261</f>
        <v>0</v>
      </c>
      <c r="R9" s="47">
        <f>+'5'!K259</f>
        <v>1300</v>
      </c>
      <c r="S9" s="47">
        <f t="shared" si="2"/>
        <v>3913</v>
      </c>
      <c r="T9" s="47">
        <f>+'5'!K264</f>
        <v>3913</v>
      </c>
      <c r="U9" s="48">
        <f t="shared" si="3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12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6520</v>
      </c>
      <c r="N10" s="47">
        <f>+'6'!K262</f>
        <v>300</v>
      </c>
      <c r="O10" s="47">
        <f>+'6'!K260</f>
        <v>0</v>
      </c>
      <c r="P10" s="82">
        <f>+'6'!K258</f>
        <v>15</v>
      </c>
      <c r="Q10" s="47">
        <f>+'6'!K261</f>
        <v>0</v>
      </c>
      <c r="R10" s="47">
        <f>+'6'!K259</f>
        <v>1685</v>
      </c>
      <c r="S10" s="47">
        <f t="shared" si="2"/>
        <v>4520</v>
      </c>
      <c r="T10" s="47">
        <f>+'6'!K264</f>
        <v>4520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6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6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6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2455</v>
      </c>
      <c r="N11" s="47">
        <f>+'7'!K262</f>
        <v>50</v>
      </c>
      <c r="O11" s="47">
        <f>+'7'!K260</f>
        <v>0</v>
      </c>
      <c r="P11" s="82">
        <f>+'7'!K258</f>
        <v>15</v>
      </c>
      <c r="Q11" s="47">
        <f>+'7'!K261</f>
        <v>0</v>
      </c>
      <c r="R11" s="47">
        <f>+'7'!K259</f>
        <v>735</v>
      </c>
      <c r="S11" s="47">
        <f t="shared" si="2"/>
        <v>1655</v>
      </c>
      <c r="T11" s="47">
        <f>+'7'!K264</f>
        <v>1655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40</v>
      </c>
      <c r="E12" s="44">
        <f t="shared" si="0"/>
        <v>40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2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38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1900</v>
      </c>
      <c r="K12" s="19"/>
      <c r="L12" s="46">
        <v>8</v>
      </c>
      <c r="M12" s="47">
        <f>+'8'!K257</f>
        <v>3090</v>
      </c>
      <c r="N12" s="47">
        <f>+'8'!K262</f>
        <v>120</v>
      </c>
      <c r="O12" s="47">
        <f>+'8'!K260</f>
        <v>0</v>
      </c>
      <c r="P12" s="82">
        <f>+'8'!K258</f>
        <v>15</v>
      </c>
      <c r="Q12" s="47">
        <f>+'8'!K261</f>
        <v>0</v>
      </c>
      <c r="R12" s="47">
        <f>+'8'!K259</f>
        <v>880</v>
      </c>
      <c r="S12" s="47">
        <f t="shared" si="2"/>
        <v>2075</v>
      </c>
      <c r="T12" s="47">
        <f>+'8'!K264</f>
        <v>2170</v>
      </c>
      <c r="U12" s="48">
        <f t="shared" si="3"/>
        <v>95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3500</v>
      </c>
      <c r="N13" s="47">
        <f>+'9'!K262</f>
        <v>725</v>
      </c>
      <c r="O13" s="47">
        <f>+'9'!K260</f>
        <v>0</v>
      </c>
      <c r="P13" s="82">
        <f>+'9'!K258</f>
        <v>15</v>
      </c>
      <c r="Q13" s="47">
        <f>+'9'!K261</f>
        <v>0</v>
      </c>
      <c r="R13" s="47">
        <f>+'9'!K259</f>
        <v>1080</v>
      </c>
      <c r="S13" s="47">
        <f t="shared" si="2"/>
        <v>1680</v>
      </c>
      <c r="T13" s="47">
        <f>+'9'!K264</f>
        <v>1680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 t="s">
        <v>25</v>
      </c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18</v>
      </c>
      <c r="E14" s="44">
        <f t="shared" si="0"/>
        <v>18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1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17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1105</v>
      </c>
      <c r="K14" s="19"/>
      <c r="L14" s="46">
        <v>10</v>
      </c>
      <c r="M14" s="47">
        <f>+'10'!K257</f>
        <v>5160</v>
      </c>
      <c r="N14" s="47">
        <f>+'10'!K262</f>
        <v>984</v>
      </c>
      <c r="O14" s="47">
        <f>+'10'!K260</f>
        <v>0</v>
      </c>
      <c r="P14" s="82">
        <f>+'10'!K258</f>
        <v>15</v>
      </c>
      <c r="Q14" s="47">
        <f>+'10'!K261</f>
        <v>0</v>
      </c>
      <c r="R14" s="47">
        <f>+'10'!K259</f>
        <v>1855</v>
      </c>
      <c r="S14" s="47">
        <f t="shared" si="2"/>
        <v>2306</v>
      </c>
      <c r="T14" s="47">
        <f>+'10'!K264</f>
        <v>2306</v>
      </c>
      <c r="U14" s="48">
        <f t="shared" si="3"/>
        <v>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28</v>
      </c>
      <c r="E15" s="44">
        <f t="shared" si="0"/>
        <v>28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9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19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950</v>
      </c>
      <c r="K15" s="19"/>
      <c r="L15" s="46">
        <v>11</v>
      </c>
      <c r="M15" s="47">
        <f>+'11'!K257</f>
        <v>3785</v>
      </c>
      <c r="N15" s="47">
        <f>+'11'!K262</f>
        <v>390</v>
      </c>
      <c r="O15" s="47">
        <f>+'11'!K260</f>
        <v>0</v>
      </c>
      <c r="P15" s="82">
        <f>+'11'!K258</f>
        <v>15</v>
      </c>
      <c r="Q15" s="47">
        <f>+'11'!K261</f>
        <v>0</v>
      </c>
      <c r="R15" s="47">
        <f>+'11'!K259</f>
        <v>1315</v>
      </c>
      <c r="S15" s="47">
        <f t="shared" si="2"/>
        <v>2065</v>
      </c>
      <c r="T15" s="47">
        <f>+'11'!K264</f>
        <v>2065</v>
      </c>
      <c r="U15" s="48">
        <f t="shared" si="3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3480</v>
      </c>
      <c r="N16" s="47">
        <f>+'12'!K262</f>
        <v>605</v>
      </c>
      <c r="O16" s="47">
        <f>+'12'!K260</f>
        <v>0</v>
      </c>
      <c r="P16" s="82">
        <f>+'12'!K258</f>
        <v>15</v>
      </c>
      <c r="Q16" s="47">
        <f>+'12'!K261</f>
        <v>0</v>
      </c>
      <c r="R16" s="47">
        <f>+'12'!K259</f>
        <v>535</v>
      </c>
      <c r="S16" s="47">
        <f t="shared" si="2"/>
        <v>2325</v>
      </c>
      <c r="T16" s="47">
        <f>+'12'!K264</f>
        <v>2325</v>
      </c>
      <c r="U16" s="48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45</v>
      </c>
      <c r="E17" s="44">
        <f t="shared" si="0"/>
        <v>45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11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34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1700</v>
      </c>
      <c r="K17" s="19"/>
      <c r="L17" s="46">
        <v>13</v>
      </c>
      <c r="M17" s="47">
        <f>+'13'!K257</f>
        <v>5360</v>
      </c>
      <c r="N17" s="47">
        <f>+'13'!K262</f>
        <v>425</v>
      </c>
      <c r="O17" s="47">
        <f>+'13'!K260</f>
        <v>0</v>
      </c>
      <c r="P17" s="82">
        <f>+'13'!K258</f>
        <v>15</v>
      </c>
      <c r="Q17" s="47">
        <f>+'13'!K261</f>
        <v>0</v>
      </c>
      <c r="R17" s="47">
        <f>+'13'!K259</f>
        <v>1705</v>
      </c>
      <c r="S17" s="47">
        <f t="shared" si="2"/>
        <v>3215</v>
      </c>
      <c r="T17" s="47">
        <f>+'13'!K264</f>
        <v>3215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3595</v>
      </c>
      <c r="N18" s="47">
        <f>+'14'!K262</f>
        <v>467</v>
      </c>
      <c r="O18" s="47">
        <f>+'14'!K260</f>
        <v>0</v>
      </c>
      <c r="P18" s="82">
        <f>+'14'!K258</f>
        <v>15</v>
      </c>
      <c r="Q18" s="47">
        <f>+'14'!K261</f>
        <v>0</v>
      </c>
      <c r="R18" s="47">
        <f>+'14'!K259</f>
        <v>980</v>
      </c>
      <c r="S18" s="47">
        <f t="shared" si="2"/>
        <v>2133</v>
      </c>
      <c r="T18" s="47">
        <f>+'14'!K264</f>
        <v>2133</v>
      </c>
      <c r="U18" s="48">
        <f t="shared" si="3"/>
        <v>0</v>
      </c>
      <c r="V18" s="5"/>
    </row>
    <row r="19" spans="1:22" x14ac:dyDescent="0.55000000000000004">
      <c r="A19" s="10">
        <v>15</v>
      </c>
      <c r="B19" s="19" t="s">
        <v>30</v>
      </c>
      <c r="C19" s="47">
        <v>3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22</v>
      </c>
      <c r="E19" s="44">
        <f t="shared" si="0"/>
        <v>25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25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1250</v>
      </c>
      <c r="K19" s="19"/>
      <c r="L19" s="46">
        <v>15</v>
      </c>
      <c r="M19" s="47">
        <f>+'15'!K257</f>
        <v>4695</v>
      </c>
      <c r="N19" s="47">
        <f>+'15'!K262</f>
        <v>575</v>
      </c>
      <c r="O19" s="47">
        <f>+'15'!K260</f>
        <v>0</v>
      </c>
      <c r="P19" s="82">
        <f>+'15'!K258</f>
        <v>15</v>
      </c>
      <c r="Q19" s="47">
        <f>+'15'!K261</f>
        <v>0</v>
      </c>
      <c r="R19" s="47">
        <f>+'15'!K259</f>
        <v>1920</v>
      </c>
      <c r="S19" s="47">
        <f t="shared" si="2"/>
        <v>2185</v>
      </c>
      <c r="T19" s="47">
        <f>+'15'!K264</f>
        <v>2185</v>
      </c>
      <c r="U19" s="48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1450</v>
      </c>
      <c r="N20" s="47">
        <f>+'16'!K262</f>
        <v>175</v>
      </c>
      <c r="O20" s="47">
        <f>+'16'!K260</f>
        <v>0</v>
      </c>
      <c r="P20" s="82">
        <f>+'16'!K258</f>
        <v>15</v>
      </c>
      <c r="Q20" s="47">
        <f>+'16'!K261</f>
        <v>0</v>
      </c>
      <c r="R20" s="47">
        <f>+'16'!K259</f>
        <v>0</v>
      </c>
      <c r="S20" s="47">
        <f t="shared" si="2"/>
        <v>1260</v>
      </c>
      <c r="T20" s="47">
        <f>+'16'!K264</f>
        <v>1260</v>
      </c>
      <c r="U20" s="48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4220</v>
      </c>
      <c r="N21" s="47">
        <f>+'17'!K262</f>
        <v>250</v>
      </c>
      <c r="O21" s="47">
        <f>+'17'!K260</f>
        <v>0</v>
      </c>
      <c r="P21" s="82">
        <f>+'17'!K258</f>
        <v>15</v>
      </c>
      <c r="Q21" s="47">
        <f>+'17'!K261</f>
        <v>0</v>
      </c>
      <c r="R21" s="47">
        <f>+'17'!K259</f>
        <v>370</v>
      </c>
      <c r="S21" s="47">
        <f t="shared" si="2"/>
        <v>3585</v>
      </c>
      <c r="T21" s="47">
        <f>+'17'!K264</f>
        <v>3585</v>
      </c>
      <c r="U21" s="48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47">
        <v>3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3</v>
      </c>
      <c r="E22" s="44">
        <f t="shared" si="0"/>
        <v>6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6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510</v>
      </c>
      <c r="K22" s="19"/>
      <c r="L22" s="46">
        <v>18</v>
      </c>
      <c r="M22" s="47">
        <f>+'18'!K257</f>
        <v>3590</v>
      </c>
      <c r="N22" s="47">
        <f>+'18'!K262</f>
        <v>405</v>
      </c>
      <c r="O22" s="47">
        <f>+'18'!K260</f>
        <v>0</v>
      </c>
      <c r="P22" s="82">
        <f>+'18'!K258</f>
        <v>15</v>
      </c>
      <c r="Q22" s="47">
        <f>+'18'!K261</f>
        <v>0</v>
      </c>
      <c r="R22" s="47">
        <f>+'18'!K259</f>
        <v>1175</v>
      </c>
      <c r="S22" s="47">
        <f t="shared" si="2"/>
        <v>1995</v>
      </c>
      <c r="T22" s="47">
        <f>+'18'!K264</f>
        <v>1945</v>
      </c>
      <c r="U22" s="48">
        <f t="shared" si="3"/>
        <v>-50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90</v>
      </c>
      <c r="E23" s="44">
        <f t="shared" si="0"/>
        <v>90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4</v>
      </c>
      <c r="G23" s="44">
        <f t="shared" si="1"/>
        <v>16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70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7000</v>
      </c>
      <c r="K23" s="19"/>
      <c r="L23" s="46">
        <v>19</v>
      </c>
      <c r="M23" s="47">
        <f>+'19'!K257</f>
        <v>5505</v>
      </c>
      <c r="N23" s="47">
        <f>+'19'!K262</f>
        <v>575</v>
      </c>
      <c r="O23" s="47">
        <f>+'19'!K260</f>
        <v>0</v>
      </c>
      <c r="P23" s="82">
        <f>+'19'!K258</f>
        <v>15</v>
      </c>
      <c r="Q23" s="47">
        <f>+'19'!K261</f>
        <v>0</v>
      </c>
      <c r="R23" s="47">
        <f>+'19'!K259</f>
        <v>2195</v>
      </c>
      <c r="S23" s="47">
        <f t="shared" si="2"/>
        <v>2720</v>
      </c>
      <c r="T23" s="47">
        <f>+'19'!K264</f>
        <v>2750</v>
      </c>
      <c r="U23" s="48">
        <f t="shared" si="3"/>
        <v>30</v>
      </c>
      <c r="V23" s="5"/>
    </row>
    <row r="24" spans="1:22" x14ac:dyDescent="0.55000000000000004">
      <c r="A24" s="10">
        <v>20</v>
      </c>
      <c r="B24" s="19" t="s">
        <v>35</v>
      </c>
      <c r="C24" s="47">
        <v>2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6</v>
      </c>
      <c r="E24" s="44">
        <f t="shared" si="0"/>
        <v>8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5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500</v>
      </c>
      <c r="K24" s="19"/>
      <c r="L24" s="46">
        <v>20</v>
      </c>
      <c r="M24" s="47">
        <f>+'20'!K257</f>
        <v>8620</v>
      </c>
      <c r="N24" s="47">
        <f>+'20'!K262</f>
        <v>1020</v>
      </c>
      <c r="O24" s="47">
        <f>+'20'!K260</f>
        <v>0</v>
      </c>
      <c r="P24" s="82">
        <f>+'20'!K258</f>
        <v>15</v>
      </c>
      <c r="Q24" s="47">
        <f>+'20'!K261</f>
        <v>0</v>
      </c>
      <c r="R24" s="47">
        <f>+'20'!K259</f>
        <v>2580</v>
      </c>
      <c r="S24" s="47">
        <f t="shared" si="2"/>
        <v>5005</v>
      </c>
      <c r="T24" s="47">
        <f>+'20'!K264</f>
        <v>5035</v>
      </c>
      <c r="U24" s="48">
        <f t="shared" si="3"/>
        <v>30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6</v>
      </c>
      <c r="E25" s="44">
        <f t="shared" si="0"/>
        <v>6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</v>
      </c>
      <c r="G25" s="44">
        <f t="shared" si="1"/>
        <v>2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2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200</v>
      </c>
      <c r="K25" s="19"/>
      <c r="L25" s="46">
        <v>21</v>
      </c>
      <c r="M25" s="47">
        <f>+'21'!K257</f>
        <v>5715</v>
      </c>
      <c r="N25" s="47">
        <f>+'21'!K262</f>
        <v>330</v>
      </c>
      <c r="O25" s="47">
        <f>+'21'!K260</f>
        <v>0</v>
      </c>
      <c r="P25" s="82">
        <f>+'21'!K258</f>
        <v>15</v>
      </c>
      <c r="Q25" s="47">
        <f>+'21'!K261</f>
        <v>0</v>
      </c>
      <c r="R25" s="47">
        <f>+'21'!K259</f>
        <v>1790</v>
      </c>
      <c r="S25" s="47">
        <f t="shared" si="2"/>
        <v>3580</v>
      </c>
      <c r="T25" s="47">
        <f>+'21'!K264</f>
        <v>3580</v>
      </c>
      <c r="U25" s="48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3370</v>
      </c>
      <c r="N26" s="47">
        <f>+'22'!K262</f>
        <v>0</v>
      </c>
      <c r="O26" s="47">
        <f>+'22'!K260</f>
        <v>0</v>
      </c>
      <c r="P26" s="82">
        <f>+'22'!K258</f>
        <v>0</v>
      </c>
      <c r="Q26" s="47">
        <f>+'22'!K261</f>
        <v>0</v>
      </c>
      <c r="R26" s="47">
        <f>+'22'!K259</f>
        <v>915</v>
      </c>
      <c r="S26" s="47">
        <f t="shared" si="2"/>
        <v>2455</v>
      </c>
      <c r="T26" s="47">
        <f>+'22'!K264</f>
        <v>2455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1415</v>
      </c>
      <c r="N27" s="47">
        <f>+'23'!K262</f>
        <v>0</v>
      </c>
      <c r="O27" s="47">
        <f>+'23'!K260</f>
        <v>0</v>
      </c>
      <c r="P27" s="82">
        <f>+'23'!K258</f>
        <v>15</v>
      </c>
      <c r="Q27" s="47">
        <f>+'23'!K261</f>
        <v>0</v>
      </c>
      <c r="R27" s="47">
        <f>+'23'!K259</f>
        <v>485</v>
      </c>
      <c r="S27" s="47">
        <f t="shared" si="2"/>
        <v>915</v>
      </c>
      <c r="T27" s="47">
        <f>+'23'!K264</f>
        <v>965</v>
      </c>
      <c r="U27" s="48">
        <f t="shared" si="3"/>
        <v>50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1880</v>
      </c>
      <c r="N28" s="47">
        <f>+'24'!K262</f>
        <v>25</v>
      </c>
      <c r="O28" s="47">
        <f>+'24'!K260</f>
        <v>0</v>
      </c>
      <c r="P28" s="82">
        <f>+'24'!K258</f>
        <v>15</v>
      </c>
      <c r="Q28" s="47">
        <f>+'24'!K261</f>
        <v>0</v>
      </c>
      <c r="R28" s="47">
        <f>+'24'!K259</f>
        <v>535</v>
      </c>
      <c r="S28" s="47">
        <f t="shared" si="2"/>
        <v>1305</v>
      </c>
      <c r="T28" s="47">
        <f>+'24'!K264</f>
        <v>1305</v>
      </c>
      <c r="U28" s="48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47">
        <f>+ยกมา!C37</f>
        <v>1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4">
        <f t="shared" si="0"/>
        <v>1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1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19"/>
      <c r="L29" s="46">
        <v>25</v>
      </c>
      <c r="M29" s="47">
        <f>+'25'!K257</f>
        <v>5370</v>
      </c>
      <c r="N29" s="47">
        <f>+'25'!K262</f>
        <v>430</v>
      </c>
      <c r="O29" s="47">
        <f>+'25'!K260</f>
        <v>0</v>
      </c>
      <c r="P29" s="82">
        <f>+'25'!K258</f>
        <v>15</v>
      </c>
      <c r="Q29" s="47">
        <f>+'25'!K261</f>
        <v>0</v>
      </c>
      <c r="R29" s="47">
        <f>+'25'!K259</f>
        <v>2010</v>
      </c>
      <c r="S29" s="47">
        <f t="shared" si="2"/>
        <v>2915</v>
      </c>
      <c r="T29" s="47">
        <f>+'25'!K264</f>
        <v>2915</v>
      </c>
      <c r="U29" s="48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3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3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3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3630</v>
      </c>
      <c r="N30" s="47">
        <f>+'26'!K262</f>
        <v>50</v>
      </c>
      <c r="O30" s="47">
        <f>+'26'!K260</f>
        <v>0</v>
      </c>
      <c r="P30" s="82">
        <f>+'26'!K258</f>
        <v>15</v>
      </c>
      <c r="Q30" s="47">
        <f>+'26'!K261</f>
        <v>0</v>
      </c>
      <c r="R30" s="47">
        <f>+'26'!K259</f>
        <v>1150</v>
      </c>
      <c r="S30" s="47">
        <f t="shared" si="2"/>
        <v>2415</v>
      </c>
      <c r="T30" s="47">
        <f>+'26'!K264</f>
        <v>2415</v>
      </c>
      <c r="U30" s="48">
        <f t="shared" si="3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9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9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9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5280</v>
      </c>
      <c r="N31" s="47">
        <f>+'27'!K262</f>
        <v>50</v>
      </c>
      <c r="O31" s="47">
        <f>+'27'!K260</f>
        <v>0</v>
      </c>
      <c r="P31" s="82">
        <f>+'27'!K258</f>
        <v>15</v>
      </c>
      <c r="Q31" s="47">
        <f>+'27'!K261</f>
        <v>0</v>
      </c>
      <c r="R31" s="47">
        <f>+'27'!K259</f>
        <v>1470</v>
      </c>
      <c r="S31" s="47">
        <f>+M31-N31-O31-P31-Q31-R31</f>
        <v>3745</v>
      </c>
      <c r="T31" s="47">
        <f>+'27'!K264</f>
        <v>3745</v>
      </c>
      <c r="U31" s="48">
        <f t="shared" si="3"/>
        <v>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18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14</v>
      </c>
      <c r="E32" s="44">
        <f t="shared" si="0"/>
        <v>32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18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14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1820</v>
      </c>
      <c r="K32" s="19"/>
      <c r="L32" s="46">
        <v>28</v>
      </c>
      <c r="M32" s="47">
        <f>+'28'!K257</f>
        <v>3805</v>
      </c>
      <c r="N32" s="47">
        <f>+'28'!K262</f>
        <v>50</v>
      </c>
      <c r="O32" s="47">
        <f>+'28'!K260</f>
        <v>0</v>
      </c>
      <c r="P32" s="82">
        <f>+'28'!K258</f>
        <v>15</v>
      </c>
      <c r="Q32" s="47">
        <f>+'28'!K261</f>
        <v>0</v>
      </c>
      <c r="R32" s="47">
        <f>+'28'!K259</f>
        <v>890</v>
      </c>
      <c r="S32" s="47">
        <f t="shared" si="2"/>
        <v>2850</v>
      </c>
      <c r="T32" s="47">
        <f>+'28'!K264</f>
        <v>2850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5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13</v>
      </c>
      <c r="E33" s="44">
        <f t="shared" si="0"/>
        <v>18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5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13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1690</v>
      </c>
      <c r="K33" s="19"/>
      <c r="L33" s="46">
        <v>29</v>
      </c>
      <c r="M33" s="47">
        <f>+'29'!K257</f>
        <v>4960</v>
      </c>
      <c r="N33" s="47">
        <f>+'29'!K262</f>
        <v>190</v>
      </c>
      <c r="O33" s="47">
        <f>+'29'!K260</f>
        <v>0</v>
      </c>
      <c r="P33" s="82">
        <f>+'29'!K258</f>
        <v>15</v>
      </c>
      <c r="Q33" s="47">
        <f>+'29'!K261</f>
        <v>0</v>
      </c>
      <c r="R33" s="47">
        <f>+'29'!K259</f>
        <v>1640</v>
      </c>
      <c r="S33" s="47">
        <f>+M33-N33-O33-P33-Q33-R33</f>
        <v>3115</v>
      </c>
      <c r="T33" s="47">
        <f>+'29'!K264</f>
        <v>3115</v>
      </c>
      <c r="U33" s="48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4">
        <f t="shared" si="0"/>
        <v>0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0</v>
      </c>
      <c r="K34" s="19"/>
      <c r="L34" s="46">
        <v>30</v>
      </c>
      <c r="M34" s="47">
        <f>+'30'!K257</f>
        <v>1065</v>
      </c>
      <c r="N34" s="47">
        <f>+'30'!K262</f>
        <v>25</v>
      </c>
      <c r="O34" s="47">
        <f>+'30'!K260</f>
        <v>0</v>
      </c>
      <c r="P34" s="82">
        <f>+'30'!K258</f>
        <v>15</v>
      </c>
      <c r="Q34" s="47">
        <f>+'30'!K261</f>
        <v>0</v>
      </c>
      <c r="R34" s="47">
        <f>+'30'!K259</f>
        <v>50</v>
      </c>
      <c r="S34" s="47">
        <f t="shared" si="2"/>
        <v>975</v>
      </c>
      <c r="T34" s="47">
        <f>+'30'!K264</f>
        <v>990</v>
      </c>
      <c r="U34" s="48">
        <f t="shared" si="3"/>
        <v>15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4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4">
        <f t="shared" si="0"/>
        <v>4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4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0</v>
      </c>
      <c r="K35" s="19"/>
      <c r="L35" s="46">
        <v>31</v>
      </c>
      <c r="M35" s="47">
        <f>+'31.'!K257</f>
        <v>3555</v>
      </c>
      <c r="N35" s="47">
        <f>+'31.'!K262</f>
        <v>300</v>
      </c>
      <c r="O35" s="47">
        <f>+'31.'!K260</f>
        <v>0</v>
      </c>
      <c r="P35" s="82">
        <f>+'31.'!K258</f>
        <v>15</v>
      </c>
      <c r="Q35" s="47">
        <f>+'31.'!K261</f>
        <v>0</v>
      </c>
      <c r="R35" s="47">
        <f>+'31.'!K259</f>
        <v>535</v>
      </c>
      <c r="S35" s="47">
        <f t="shared" si="2"/>
        <v>2705</v>
      </c>
      <c r="T35" s="47">
        <f>+'31.'!K264</f>
        <v>2705</v>
      </c>
      <c r="U35" s="48">
        <f t="shared" si="3"/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1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1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1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122085</v>
      </c>
      <c r="N36" s="50">
        <f t="shared" ref="N36:U36" si="4">SUM(N5:N35)</f>
        <v>10860</v>
      </c>
      <c r="O36" s="50">
        <f t="shared" si="4"/>
        <v>0</v>
      </c>
      <c r="P36" s="50">
        <f t="shared" si="4"/>
        <v>450</v>
      </c>
      <c r="Q36" s="50">
        <f t="shared" si="4"/>
        <v>0</v>
      </c>
      <c r="R36" s="50">
        <f t="shared" si="4"/>
        <v>35628</v>
      </c>
      <c r="S36" s="50">
        <f t="shared" si="4"/>
        <v>75147</v>
      </c>
      <c r="T36" s="50">
        <f t="shared" si="4"/>
        <v>75352</v>
      </c>
      <c r="U36" s="50">
        <f t="shared" si="4"/>
        <v>205</v>
      </c>
    </row>
    <row r="37" spans="1:22" x14ac:dyDescent="0.55000000000000004">
      <c r="A37" s="10">
        <v>33</v>
      </c>
      <c r="B37" s="19" t="s">
        <v>48</v>
      </c>
      <c r="C37" s="47">
        <v>1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165</v>
      </c>
      <c r="E37" s="44">
        <f t="shared" si="0"/>
        <v>166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8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158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15800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v>3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65</v>
      </c>
      <c r="E38" s="44">
        <f t="shared" si="0"/>
        <v>68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68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3400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+ยกมา!C47</f>
        <v>6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45</v>
      </c>
      <c r="E39" s="44">
        <f t="shared" si="0"/>
        <v>51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6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45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2250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1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58</v>
      </c>
      <c r="E40" s="44">
        <f t="shared" si="0"/>
        <v>59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1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58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2900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v>2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30</v>
      </c>
      <c r="E41" s="44">
        <f t="shared" si="0"/>
        <v>32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32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1600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4">
        <f t="shared" si="0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2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50</v>
      </c>
      <c r="E43" s="44">
        <f t="shared" si="0"/>
        <v>52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20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32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1600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1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35</v>
      </c>
      <c r="E44" s="44">
        <f t="shared" si="0"/>
        <v>36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2</v>
      </c>
      <c r="G44" s="44">
        <f t="shared" si="1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32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1600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f>+ยกมา!C54</f>
        <v>1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75</v>
      </c>
      <c r="E46" s="44">
        <f t="shared" si="0"/>
        <v>76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6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70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3500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v>1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80</v>
      </c>
      <c r="E47" s="44">
        <f t="shared" si="0"/>
        <v>81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81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4050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20</v>
      </c>
      <c r="E48" s="44">
        <f t="shared" si="0"/>
        <v>20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20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1000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v>1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10</v>
      </c>
      <c r="E49" s="44">
        <f t="shared" si="0"/>
        <v>11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11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550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6</v>
      </c>
      <c r="E50" s="44">
        <f t="shared" si="0"/>
        <v>6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1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5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600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v>3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6</v>
      </c>
      <c r="E51" s="44">
        <f t="shared" si="0"/>
        <v>9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7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840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</v>
      </c>
      <c r="E52" s="44">
        <f t="shared" si="0"/>
        <v>2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2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240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6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6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6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v>1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1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1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f>+ยกมา!C63</f>
        <v>7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8</v>
      </c>
      <c r="E55" s="44">
        <f t="shared" si="0"/>
        <v>15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9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6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720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8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8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8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1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1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1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2</v>
      </c>
      <c r="E60" s="44">
        <f t="shared" si="0"/>
        <v>2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2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v>7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14</v>
      </c>
      <c r="E61" s="44">
        <f t="shared" si="0"/>
        <v>21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21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1050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13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13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13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v>9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12</v>
      </c>
      <c r="E63" s="44">
        <f t="shared" si="0"/>
        <v>21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21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1050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3</v>
      </c>
      <c r="E64" s="44">
        <f t="shared" si="0"/>
        <v>3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3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90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1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3</v>
      </c>
      <c r="E65" s="44">
        <f t="shared" si="0"/>
        <v>4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1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3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90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v>4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35</v>
      </c>
      <c r="E66" s="44">
        <f t="shared" si="0"/>
        <v>39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39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1950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30</v>
      </c>
      <c r="E67" s="44">
        <f t="shared" si="0"/>
        <v>30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</v>
      </c>
      <c r="G67" s="44">
        <f t="shared" si="1"/>
        <v>2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27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1350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+ยกมา!C77</f>
        <v>1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3" si="5">+C69+D69</f>
        <v>1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3" si="6">C69+D69-F69-H69</f>
        <v>1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v>7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70</v>
      </c>
      <c r="E70" s="44">
        <f t="shared" si="5"/>
        <v>77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77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3850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+ยกมา!C80</f>
        <v>6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18</v>
      </c>
      <c r="E71" s="44">
        <f t="shared" si="5"/>
        <v>24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8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16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960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+ยกมา!C81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f>+ยกมา!C82</f>
        <v>3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23</v>
      </c>
      <c r="E73" s="44">
        <f t="shared" si="5"/>
        <v>26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2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24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1440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+ยกมา!C83</f>
        <v>2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23</v>
      </c>
      <c r="E74" s="44">
        <f t="shared" si="5"/>
        <v>25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5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20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2400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+ยกมา!C84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+ยกมา!C85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275</v>
      </c>
      <c r="C77" s="47">
        <f>+ยกมา!C86</f>
        <v>4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10</v>
      </c>
      <c r="E77" s="44">
        <f t="shared" si="5"/>
        <v>14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-1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15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750</v>
      </c>
      <c r="K77" s="19"/>
      <c r="M77" s="53"/>
      <c r="U77" s="5"/>
    </row>
    <row r="78" spans="1:21" x14ac:dyDescent="0.55000000000000004">
      <c r="A78" s="10">
        <v>74</v>
      </c>
      <c r="B78" s="19" t="s">
        <v>276</v>
      </c>
      <c r="C78" s="47">
        <f>+ยกมา!C87</f>
        <v>12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12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12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303</v>
      </c>
      <c r="C79" s="47">
        <v>1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8</v>
      </c>
      <c r="E79" s="44">
        <f>+C79+D79</f>
        <v>9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C79+D79-F79-H79</f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9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450</v>
      </c>
      <c r="K79" s="19"/>
      <c r="M79" s="53"/>
      <c r="U79" s="5"/>
    </row>
    <row r="80" spans="1:21" x14ac:dyDescent="0.55000000000000004">
      <c r="A80" s="10">
        <v>76</v>
      </c>
      <c r="B80" s="19" t="s">
        <v>247</v>
      </c>
      <c r="C80" s="47">
        <f>+ยกมา!C88</f>
        <v>7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61</v>
      </c>
      <c r="E80" s="44">
        <f t="shared" si="5"/>
        <v>68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10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58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2900</v>
      </c>
      <c r="K80" s="19"/>
      <c r="M80" s="53"/>
      <c r="T80" s="5"/>
    </row>
    <row r="81" spans="1:21" x14ac:dyDescent="0.55000000000000004">
      <c r="A81" s="10">
        <v>77</v>
      </c>
      <c r="B81" s="19" t="s">
        <v>91</v>
      </c>
      <c r="C81" s="47">
        <f>+ยกมา!C89</f>
        <v>8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8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8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50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92</v>
      </c>
      <c r="C82" s="47">
        <v>5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8</v>
      </c>
      <c r="E82" s="44">
        <f t="shared" si="5"/>
        <v>13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13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715</v>
      </c>
      <c r="K82" s="19"/>
      <c r="M82" s="53"/>
      <c r="T82" s="5"/>
    </row>
    <row r="83" spans="1:21" x14ac:dyDescent="0.55000000000000004">
      <c r="A83" s="10">
        <v>79</v>
      </c>
      <c r="B83" s="19" t="s">
        <v>93</v>
      </c>
      <c r="C83" s="47">
        <v>4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8</v>
      </c>
      <c r="E83" s="44">
        <f t="shared" si="5"/>
        <v>12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11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605</v>
      </c>
      <c r="K83" s="19"/>
      <c r="M83" s="53"/>
      <c r="U83" s="5"/>
    </row>
    <row r="84" spans="1:21" x14ac:dyDescent="0.55000000000000004">
      <c r="A84" s="10">
        <v>80</v>
      </c>
      <c r="B84" s="19" t="s">
        <v>94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95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>
        <v>55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55000000000000004">
      <c r="A86" s="10">
        <v>82</v>
      </c>
      <c r="B86" s="19" t="s">
        <v>96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4">
        <f t="shared" si="5"/>
        <v>10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1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9</v>
      </c>
      <c r="I86" s="20">
        <v>100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900</v>
      </c>
      <c r="K86" s="19"/>
      <c r="M86" s="53"/>
      <c r="U86" s="5"/>
    </row>
    <row r="87" spans="1:21" x14ac:dyDescent="0.55000000000000004">
      <c r="A87" s="10">
        <v>83</v>
      </c>
      <c r="B87" s="19" t="s">
        <v>97</v>
      </c>
      <c r="C87" s="47">
        <v>6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</v>
      </c>
      <c r="E87" s="44">
        <f t="shared" si="5"/>
        <v>11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11</v>
      </c>
      <c r="I87" s="20">
        <v>55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605</v>
      </c>
      <c r="K87" s="19"/>
      <c r="M87" s="53"/>
      <c r="U87" s="5"/>
    </row>
    <row r="88" spans="1:21" x14ac:dyDescent="0.55000000000000004">
      <c r="A88" s="10">
        <v>84</v>
      </c>
      <c r="B88" s="19" t="s">
        <v>98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4">
        <f t="shared" si="5"/>
        <v>10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1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9</v>
      </c>
      <c r="I88" s="20">
        <v>60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540</v>
      </c>
      <c r="K88" s="19"/>
      <c r="M88" s="53"/>
      <c r="U88" s="5"/>
    </row>
    <row r="89" spans="1:21" x14ac:dyDescent="0.55000000000000004">
      <c r="A89" s="10">
        <v>85</v>
      </c>
      <c r="B89" s="19" t="s">
        <v>99</v>
      </c>
      <c r="C89" s="47">
        <v>3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17</v>
      </c>
      <c r="E89" s="44">
        <f t="shared" si="5"/>
        <v>20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20</v>
      </c>
      <c r="I89" s="20">
        <v>100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2000</v>
      </c>
      <c r="K89" s="19"/>
      <c r="M89" s="53"/>
      <c r="U89" s="5"/>
    </row>
    <row r="90" spans="1:21" x14ac:dyDescent="0.55000000000000004">
      <c r="A90" s="10">
        <v>86</v>
      </c>
      <c r="B90" s="19" t="s">
        <v>100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55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101</v>
      </c>
      <c r="C91" s="47">
        <v>3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9</v>
      </c>
      <c r="E91" s="44">
        <f t="shared" si="5"/>
        <v>12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12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600</v>
      </c>
      <c r="K91" s="19"/>
      <c r="M91" s="53"/>
      <c r="U91" s="5"/>
    </row>
    <row r="92" spans="1:21" x14ac:dyDescent="0.55000000000000004">
      <c r="A92" s="10">
        <v>88</v>
      </c>
      <c r="B92" s="19" t="s">
        <v>102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50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103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120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104</v>
      </c>
      <c r="C94" s="47">
        <f>+ยกมา!C102</f>
        <v>18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18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18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250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105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106</v>
      </c>
      <c r="C96" s="47">
        <f>+ยกมา!C104</f>
        <v>4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4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4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107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120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108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45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109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110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111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60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239</v>
      </c>
      <c r="C102" s="47">
        <v>14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14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14</v>
      </c>
      <c r="I102" s="20">
        <v>55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770</v>
      </c>
      <c r="K102" s="19"/>
      <c r="M102" s="53"/>
      <c r="U102" s="5"/>
    </row>
    <row r="103" spans="1:21" x14ac:dyDescent="0.55000000000000004">
      <c r="A103" s="10">
        <v>99</v>
      </c>
      <c r="B103" s="19" t="s">
        <v>113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20</v>
      </c>
      <c r="E103" s="44">
        <f t="shared" si="5"/>
        <v>20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1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19</v>
      </c>
      <c r="I103" s="20">
        <v>50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950</v>
      </c>
      <c r="K103" s="19"/>
      <c r="M103" s="53"/>
      <c r="U103" s="5"/>
    </row>
    <row r="104" spans="1:21" x14ac:dyDescent="0.55000000000000004">
      <c r="A104" s="10">
        <v>100</v>
      </c>
      <c r="B104" s="19" t="s">
        <v>114</v>
      </c>
      <c r="C104" s="47">
        <v>4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4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4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400</v>
      </c>
      <c r="K104" s="19"/>
      <c r="M104" s="53"/>
      <c r="U104" s="5"/>
    </row>
    <row r="105" spans="1:21" x14ac:dyDescent="0.55000000000000004">
      <c r="A105" s="10">
        <v>101</v>
      </c>
      <c r="B105" s="19" t="s">
        <v>115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100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116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30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117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20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118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100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120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80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121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60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122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123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124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125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126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35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127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128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129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130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131</v>
      </c>
      <c r="C120" s="47">
        <f>+ยกมา!C128</f>
        <v>81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81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81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132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50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133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40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134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35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135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136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40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137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30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138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40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139</v>
      </c>
      <c r="C128" s="47">
        <v>15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15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15</v>
      </c>
      <c r="I128" s="20">
        <v>20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300</v>
      </c>
      <c r="K128" s="19"/>
      <c r="M128" s="53"/>
      <c r="U128" s="5"/>
    </row>
    <row r="129" spans="1:21" x14ac:dyDescent="0.55000000000000004">
      <c r="A129" s="10">
        <v>125</v>
      </c>
      <c r="B129" s="19" t="s">
        <v>140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35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141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40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142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143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144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55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145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ref="E134:E197" si="7">+C134+D134</f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ref="G134:G197" si="8">C134+D134-F134-H134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146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45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147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55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148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149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150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151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152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153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45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154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155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156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157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120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158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159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160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161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185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248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150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163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164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165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120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166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167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168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169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185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170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135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171</v>
      </c>
      <c r="C160" s="47">
        <f>+ยกมา!C168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172</v>
      </c>
      <c r="C161" s="47">
        <f>+ยกมา!C169</f>
        <v>46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10</v>
      </c>
      <c r="E161" s="44">
        <f t="shared" si="7"/>
        <v>56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54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2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180</v>
      </c>
      <c r="K161" s="19"/>
      <c r="M161" s="53"/>
      <c r="U161" s="5"/>
    </row>
    <row r="162" spans="1:21" x14ac:dyDescent="0.55000000000000004">
      <c r="A162" s="10">
        <v>158</v>
      </c>
      <c r="B162" s="19" t="s">
        <v>173</v>
      </c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6</v>
      </c>
      <c r="E162" s="44">
        <f t="shared" si="7"/>
        <v>6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4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2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180</v>
      </c>
      <c r="K162" s="19"/>
      <c r="M162" s="53"/>
      <c r="U162" s="5"/>
    </row>
    <row r="163" spans="1:21" x14ac:dyDescent="0.55000000000000004">
      <c r="A163" s="10">
        <v>159</v>
      </c>
      <c r="B163" s="19" t="s">
        <v>174</v>
      </c>
      <c r="C163" s="47">
        <f>+ยกมา!C171</f>
        <v>12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11</v>
      </c>
      <c r="E163" s="44">
        <f t="shared" si="7"/>
        <v>23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19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4</v>
      </c>
      <c r="I163" s="20">
        <v>90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360</v>
      </c>
      <c r="K163" s="19"/>
      <c r="M163" s="53"/>
      <c r="U163" s="5"/>
    </row>
    <row r="164" spans="1:21" x14ac:dyDescent="0.55000000000000004">
      <c r="A164" s="10">
        <v>160</v>
      </c>
      <c r="B164" s="19" t="s">
        <v>175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25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176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177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178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179</v>
      </c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50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180</v>
      </c>
      <c r="C169" s="47">
        <v>10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21</v>
      </c>
      <c r="E169" s="44">
        <f t="shared" si="7"/>
        <v>31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31</v>
      </c>
      <c r="I169" s="20">
        <v>55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1705</v>
      </c>
      <c r="K169" s="19"/>
      <c r="M169" s="53"/>
      <c r="U169" s="5"/>
    </row>
    <row r="170" spans="1:21" x14ac:dyDescent="0.55000000000000004">
      <c r="A170" s="10">
        <v>166</v>
      </c>
      <c r="B170" s="19" t="s">
        <v>181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182</v>
      </c>
      <c r="C171" s="47">
        <v>12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12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12</v>
      </c>
      <c r="I171" s="20">
        <v>80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960</v>
      </c>
      <c r="K171" s="19"/>
      <c r="M171" s="53"/>
      <c r="U171" s="5"/>
    </row>
    <row r="172" spans="1:21" x14ac:dyDescent="0.55000000000000004">
      <c r="A172" s="10">
        <v>168</v>
      </c>
      <c r="B172" s="19" t="s">
        <v>183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40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184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185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120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186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55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187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188</v>
      </c>
      <c r="C177" s="47">
        <v>2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15</v>
      </c>
      <c r="E177" s="44">
        <f t="shared" si="7"/>
        <v>17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17</v>
      </c>
      <c r="I177" s="20">
        <v>50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850</v>
      </c>
      <c r="K177" s="19"/>
      <c r="M177" s="53"/>
      <c r="U177" s="5"/>
    </row>
    <row r="178" spans="1:21" x14ac:dyDescent="0.55000000000000004">
      <c r="A178" s="10">
        <v>174</v>
      </c>
      <c r="B178" s="19" t="s">
        <v>189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8</v>
      </c>
      <c r="E178" s="44">
        <f t="shared" si="7"/>
        <v>8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8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960</v>
      </c>
      <c r="K178" s="19"/>
      <c r="M178" s="53"/>
      <c r="U178" s="5"/>
    </row>
    <row r="179" spans="1:21" x14ac:dyDescent="0.55000000000000004">
      <c r="A179" s="10">
        <v>175</v>
      </c>
      <c r="B179" s="19" t="s">
        <v>190</v>
      </c>
      <c r="C179" s="47">
        <v>1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17</v>
      </c>
      <c r="E179" s="44">
        <f t="shared" si="7"/>
        <v>18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18</v>
      </c>
      <c r="I179" s="20">
        <v>120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2160</v>
      </c>
      <c r="K179" s="19"/>
      <c r="M179" s="53"/>
      <c r="U179" s="5"/>
    </row>
    <row r="180" spans="1:21" x14ac:dyDescent="0.55000000000000004">
      <c r="A180" s="10">
        <v>176</v>
      </c>
      <c r="B180" s="19" t="s">
        <v>191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192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35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193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194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195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196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197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10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198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25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249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15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250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25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251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45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199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150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200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201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150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252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220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253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50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254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15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255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si="7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si="8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25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256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ref="E198:E235" si="9">+C198+D198</f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ref="G198:G235" si="10">C198+D198-F198-H198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60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257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60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17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80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258</v>
      </c>
      <c r="C201" s="47">
        <f>+ยกมา!C209</f>
        <v>2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2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2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120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259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55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260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261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262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263</v>
      </c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264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25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265</v>
      </c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>
        <v>45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9" t="s">
        <v>266</v>
      </c>
      <c r="C209" s="47">
        <f>+ยกมา!C217</f>
        <v>2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2</v>
      </c>
      <c r="E209" s="44">
        <f t="shared" si="9"/>
        <v>4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1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3</v>
      </c>
      <c r="I209" s="20">
        <v>50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150</v>
      </c>
      <c r="K209" s="19"/>
      <c r="M209" s="53"/>
      <c r="U209" s="5"/>
    </row>
    <row r="210" spans="1:21" x14ac:dyDescent="0.55000000000000004">
      <c r="A210" s="10">
        <v>206</v>
      </c>
      <c r="B210" s="19" t="s">
        <v>267</v>
      </c>
      <c r="C210" s="47">
        <f>+ยกมา!C218</f>
        <v>4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4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4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>
        <v>199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 t="s">
        <v>244</v>
      </c>
      <c r="C211" s="47">
        <f>+ยกมา!C219</f>
        <v>5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58</v>
      </c>
      <c r="E211" s="44">
        <f t="shared" si="9"/>
        <v>63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8</v>
      </c>
      <c r="G211" s="44">
        <f t="shared" si="10"/>
        <v>3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52</v>
      </c>
      <c r="I211" s="20">
        <v>35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1820</v>
      </c>
      <c r="K211" s="19"/>
      <c r="M211" s="53"/>
      <c r="U211" s="5"/>
    </row>
    <row r="212" spans="1:21" x14ac:dyDescent="0.55000000000000004">
      <c r="A212" s="10">
        <v>208</v>
      </c>
      <c r="B212" s="19" t="s">
        <v>245</v>
      </c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>
        <v>40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 t="s">
        <v>246</v>
      </c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>
        <v>40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 t="s">
        <v>268</v>
      </c>
      <c r="C214" s="47">
        <f>+ยกมา!C79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 t="s">
        <v>269</v>
      </c>
      <c r="C215" s="47">
        <f>+ยกมา!C222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>
        <v>30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 t="s">
        <v>270</v>
      </c>
      <c r="C216" s="47">
        <f>+ยกมา!C223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>
        <v>30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 t="s">
        <v>271</v>
      </c>
      <c r="C217" s="47">
        <v>1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40</v>
      </c>
      <c r="E217" s="44">
        <f t="shared" si="9"/>
        <v>41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41</v>
      </c>
      <c r="I217" s="20">
        <v>25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1025</v>
      </c>
      <c r="K217" s="19"/>
      <c r="M217" s="53"/>
      <c r="U217" s="5"/>
    </row>
    <row r="218" spans="1:21" x14ac:dyDescent="0.55000000000000004">
      <c r="A218" s="10">
        <v>214</v>
      </c>
      <c r="B218" s="19" t="s">
        <v>272</v>
      </c>
      <c r="C218" s="47">
        <v>4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35</v>
      </c>
      <c r="E218" s="44">
        <f t="shared" si="9"/>
        <v>39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3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36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900</v>
      </c>
      <c r="K218" s="19"/>
      <c r="M218" s="53"/>
      <c r="U218" s="5"/>
    </row>
    <row r="219" spans="1:21" x14ac:dyDescent="0.55000000000000004">
      <c r="A219" s="10">
        <v>215</v>
      </c>
      <c r="B219" s="19" t="s">
        <v>273</v>
      </c>
      <c r="C219" s="47">
        <v>5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3</v>
      </c>
      <c r="E219" s="44">
        <f t="shared" si="9"/>
        <v>8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8</v>
      </c>
      <c r="I219" s="20">
        <v>25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200</v>
      </c>
      <c r="K219" s="19"/>
      <c r="M219" s="53"/>
      <c r="U219" s="5"/>
    </row>
    <row r="220" spans="1:21" x14ac:dyDescent="0.55000000000000004">
      <c r="A220" s="10">
        <v>216</v>
      </c>
      <c r="B220" s="19" t="s">
        <v>277</v>
      </c>
      <c r="C220" s="47">
        <f>+ยกมา!C227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20</v>
      </c>
      <c r="E220" s="44">
        <f t="shared" si="9"/>
        <v>20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4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16</v>
      </c>
      <c r="I220" s="20">
        <v>45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720</v>
      </c>
      <c r="K220" s="19"/>
      <c r="M220" s="53"/>
      <c r="U220" s="5"/>
    </row>
    <row r="221" spans="1:21" x14ac:dyDescent="0.55000000000000004">
      <c r="A221" s="10">
        <v>217</v>
      </c>
      <c r="B221" s="19" t="s">
        <v>301</v>
      </c>
      <c r="C221" s="47">
        <f>+ยกมา!C228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>
        <v>35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 t="s">
        <v>305</v>
      </c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40</v>
      </c>
      <c r="E222" s="44">
        <f t="shared" si="9"/>
        <v>40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40</v>
      </c>
      <c r="I222" s="20">
        <v>35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1400</v>
      </c>
      <c r="K222" s="19"/>
      <c r="M222" s="53"/>
      <c r="U222" s="5"/>
    </row>
    <row r="223" spans="1:21" x14ac:dyDescent="0.55000000000000004">
      <c r="A223" s="10">
        <v>219</v>
      </c>
      <c r="B223" s="19" t="s">
        <v>310</v>
      </c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30</v>
      </c>
      <c r="E223" s="44">
        <f t="shared" si="9"/>
        <v>30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20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10</v>
      </c>
      <c r="I223" s="20">
        <v>40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400</v>
      </c>
      <c r="K223" s="19"/>
      <c r="M223" s="53"/>
      <c r="U223" s="5"/>
    </row>
    <row r="224" spans="1:21" x14ac:dyDescent="0.55000000000000004">
      <c r="A224" s="10">
        <v>220</v>
      </c>
      <c r="B224" s="19" t="s">
        <v>311</v>
      </c>
      <c r="C224" s="47">
        <v>5</v>
      </c>
      <c r="D224" s="45">
        <v>0</v>
      </c>
      <c r="E224" s="44">
        <f t="shared" si="9"/>
        <v>5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5</v>
      </c>
      <c r="I224" s="20">
        <v>35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175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20" t="s">
        <v>223</v>
      </c>
      <c r="B255" s="121"/>
      <c r="C255" s="121"/>
      <c r="D255" s="121"/>
      <c r="E255" s="121"/>
      <c r="F255" s="121"/>
      <c r="G255" s="121"/>
      <c r="H255" s="121"/>
      <c r="I255" s="121"/>
      <c r="J255" s="121"/>
      <c r="K255" s="122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23" t="s">
        <v>224</v>
      </c>
      <c r="B256" s="124"/>
      <c r="C256" s="125" t="s">
        <v>240</v>
      </c>
      <c r="D256" s="126"/>
      <c r="E256" s="127" t="s">
        <v>225</v>
      </c>
      <c r="F256" s="128"/>
      <c r="G256" s="129" t="s">
        <v>226</v>
      </c>
      <c r="H256" s="129"/>
      <c r="I256" s="129"/>
      <c r="J256" s="60">
        <f>SUM(J5:J254)</f>
        <v>122085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122085</v>
      </c>
      <c r="C257" s="64" t="s">
        <v>228</v>
      </c>
      <c r="D257" s="65">
        <f>+J256</f>
        <v>122085</v>
      </c>
      <c r="E257" s="66" t="s">
        <v>217</v>
      </c>
      <c r="F257" s="67">
        <f>SUM(P36)</f>
        <v>450</v>
      </c>
      <c r="G257" s="111"/>
      <c r="H257" s="111"/>
      <c r="I257" s="111"/>
      <c r="J257" s="69"/>
      <c r="K257" s="69">
        <f>+R36</f>
        <v>35628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10860</v>
      </c>
      <c r="E258" s="66"/>
      <c r="F258" s="70">
        <v>0</v>
      </c>
      <c r="G258" s="111" t="s">
        <v>230</v>
      </c>
      <c r="H258" s="111"/>
      <c r="I258" s="111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10860</v>
      </c>
      <c r="C259" s="64"/>
      <c r="D259" s="65"/>
      <c r="E259" s="66" t="s">
        <v>231</v>
      </c>
      <c r="F259" s="70">
        <f>+Q36</f>
        <v>0</v>
      </c>
      <c r="G259" s="112" t="s">
        <v>232</v>
      </c>
      <c r="H259" s="113"/>
      <c r="I259" s="114"/>
      <c r="J259" s="69">
        <f>+J256-J257</f>
        <v>122085</v>
      </c>
      <c r="K259" s="73">
        <f>+N36</f>
        <v>10860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111225</v>
      </c>
      <c r="C260" s="64" t="s">
        <v>233</v>
      </c>
      <c r="D260" s="65">
        <f>+D257-D258</f>
        <v>111225</v>
      </c>
      <c r="E260" s="66" t="s">
        <v>234</v>
      </c>
      <c r="F260" s="70">
        <f>SUM(F257:F259)</f>
        <v>450</v>
      </c>
      <c r="G260" s="111" t="s">
        <v>206</v>
      </c>
      <c r="H260" s="111"/>
      <c r="I260" s="111"/>
      <c r="J260" s="69">
        <f>F260</f>
        <v>450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04" t="s">
        <v>208</v>
      </c>
      <c r="H261" s="105"/>
      <c r="I261" s="106"/>
      <c r="J261" s="69">
        <f>J259-J260-K257-K259</f>
        <v>75147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11225</v>
      </c>
      <c r="G262" s="104" t="s">
        <v>209</v>
      </c>
      <c r="H262" s="105"/>
      <c r="I262" s="106"/>
      <c r="J262" s="69">
        <f>+T36</f>
        <v>75352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04" t="s">
        <v>210</v>
      </c>
      <c r="H263" s="105"/>
      <c r="I263" s="106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07" t="s">
        <v>211</v>
      </c>
      <c r="H264" s="107"/>
      <c r="I264" s="107"/>
      <c r="J264" s="76">
        <f>+J262-J261</f>
        <v>205</v>
      </c>
      <c r="K264" s="81"/>
    </row>
    <row r="265" spans="1:22" ht="24.75" customHeight="1" thickBot="1" x14ac:dyDescent="0.6">
      <c r="F265" s="108" t="s">
        <v>238</v>
      </c>
      <c r="G265" s="109"/>
      <c r="H265" s="109"/>
      <c r="I265" s="109"/>
      <c r="J265" s="109"/>
      <c r="K265" s="110"/>
    </row>
    <row r="266" spans="1:22" x14ac:dyDescent="0.55000000000000004">
      <c r="D266" s="23"/>
    </row>
  </sheetData>
  <mergeCells count="33">
    <mergeCell ref="K3:K4"/>
    <mergeCell ref="L3:L4"/>
    <mergeCell ref="A2:K2"/>
    <mergeCell ref="A3:A4"/>
    <mergeCell ref="B3:B4"/>
    <mergeCell ref="C3:C4"/>
    <mergeCell ref="D3:D4"/>
    <mergeCell ref="E3:E4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3:G4"/>
    <mergeCell ref="H3:J3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72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v>19</v>
      </c>
      <c r="D5" s="85">
        <v>0</v>
      </c>
      <c r="E5" s="47">
        <f t="shared" ref="E5:E14" si="0">C5+D5</f>
        <v>19</v>
      </c>
      <c r="F5" s="85">
        <v>0</v>
      </c>
      <c r="G5" s="47">
        <f>+E5-F5-H5</f>
        <v>19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36</v>
      </c>
      <c r="D6" s="85">
        <v>0</v>
      </c>
      <c r="E6" s="47">
        <f t="shared" si="0"/>
        <v>36</v>
      </c>
      <c r="F6" s="85">
        <v>0</v>
      </c>
      <c r="G6" s="47">
        <f t="shared" ref="G6:G14" si="4">+E6-F6-H6</f>
        <v>36</v>
      </c>
      <c r="H6" s="86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/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v>2</v>
      </c>
      <c r="D8" s="85">
        <v>0</v>
      </c>
      <c r="E8" s="47">
        <f>C8+D8</f>
        <v>2</v>
      </c>
      <c r="F8" s="85">
        <v>0</v>
      </c>
      <c r="G8" s="47">
        <f t="shared" si="4"/>
        <v>2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/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/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/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/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/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/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v>1</v>
      </c>
      <c r="D15" s="85">
        <v>0</v>
      </c>
      <c r="E15" s="47">
        <f t="shared" ref="E15:E78" si="7">C15+D15</f>
        <v>1</v>
      </c>
      <c r="F15" s="85">
        <v>0</v>
      </c>
      <c r="G15" s="47">
        <f t="shared" ref="G15:G78" si="8">+E15-F15-H15</f>
        <v>1</v>
      </c>
      <c r="H15" s="86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11">Q15+R15</f>
        <v>0</v>
      </c>
      <c r="T15" s="85">
        <v>0</v>
      </c>
      <c r="U15" s="47">
        <f t="shared" ref="U15:U29" si="12">S15-T15-V15</f>
        <v>0</v>
      </c>
      <c r="V15" s="86">
        <v>0</v>
      </c>
      <c r="W15" s="22"/>
      <c r="X15" s="44">
        <f t="shared" ref="X15:X29" si="13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/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6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5">
        <v>0</v>
      </c>
      <c r="S16" s="47">
        <f t="shared" si="11"/>
        <v>0</v>
      </c>
      <c r="T16" s="85">
        <v>0</v>
      </c>
      <c r="U16" s="47">
        <f t="shared" si="12"/>
        <v>0</v>
      </c>
      <c r="V16" s="86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/>
      <c r="D17" s="85">
        <v>0</v>
      </c>
      <c r="E17" s="47">
        <f t="shared" si="7"/>
        <v>0</v>
      </c>
      <c r="F17" s="85">
        <v>0</v>
      </c>
      <c r="G17" s="47">
        <f t="shared" si="8"/>
        <v>0</v>
      </c>
      <c r="H17" s="86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5">
        <v>0</v>
      </c>
      <c r="S17" s="47">
        <f t="shared" si="11"/>
        <v>0</v>
      </c>
      <c r="T17" s="85">
        <v>0</v>
      </c>
      <c r="U17" s="47">
        <f t="shared" si="12"/>
        <v>0</v>
      </c>
      <c r="V17" s="86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/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6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5">
        <v>0</v>
      </c>
      <c r="S18" s="47">
        <f t="shared" si="11"/>
        <v>0</v>
      </c>
      <c r="T18" s="85">
        <v>0</v>
      </c>
      <c r="U18" s="47">
        <f t="shared" si="12"/>
        <v>0</v>
      </c>
      <c r="V18" s="86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v>6</v>
      </c>
      <c r="D19" s="85">
        <v>0</v>
      </c>
      <c r="E19" s="47">
        <f t="shared" si="7"/>
        <v>6</v>
      </c>
      <c r="F19" s="85">
        <v>0</v>
      </c>
      <c r="G19" s="47">
        <f t="shared" si="8"/>
        <v>6</v>
      </c>
      <c r="H19" s="86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5">
        <v>0</v>
      </c>
      <c r="S19" s="47">
        <f t="shared" si="11"/>
        <v>0</v>
      </c>
      <c r="T19" s="85">
        <v>0</v>
      </c>
      <c r="U19" s="47">
        <f t="shared" si="12"/>
        <v>0</v>
      </c>
      <c r="V19" s="86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/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6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5">
        <v>0</v>
      </c>
      <c r="S20" s="47">
        <f t="shared" si="11"/>
        <v>0</v>
      </c>
      <c r="T20" s="85">
        <v>0</v>
      </c>
      <c r="U20" s="47">
        <f t="shared" si="12"/>
        <v>0</v>
      </c>
      <c r="V20" s="86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/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6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5">
        <v>0</v>
      </c>
      <c r="S21" s="47">
        <f t="shared" si="11"/>
        <v>0</v>
      </c>
      <c r="T21" s="85">
        <v>0</v>
      </c>
      <c r="U21" s="47">
        <f t="shared" si="12"/>
        <v>0</v>
      </c>
      <c r="V21" s="86">
        <v>0</v>
      </c>
      <c r="W21" s="22"/>
      <c r="X21" s="44">
        <f t="shared" si="1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/>
      <c r="D22" s="85">
        <v>0</v>
      </c>
      <c r="E22" s="47">
        <f t="shared" si="7"/>
        <v>0</v>
      </c>
      <c r="F22" s="85">
        <v>0</v>
      </c>
      <c r="G22" s="47">
        <f t="shared" si="8"/>
        <v>0</v>
      </c>
      <c r="H22" s="86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5">
        <v>0</v>
      </c>
      <c r="S22" s="47">
        <f t="shared" si="11"/>
        <v>0</v>
      </c>
      <c r="T22" s="85">
        <v>0</v>
      </c>
      <c r="U22" s="47">
        <f t="shared" si="12"/>
        <v>0</v>
      </c>
      <c r="V22" s="86">
        <v>0</v>
      </c>
      <c r="W22" s="22"/>
      <c r="X22" s="44">
        <f t="shared" si="1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/>
      <c r="D23" s="85">
        <v>0</v>
      </c>
      <c r="E23" s="47">
        <f t="shared" si="7"/>
        <v>0</v>
      </c>
      <c r="F23" s="85">
        <v>0</v>
      </c>
      <c r="G23" s="47">
        <f t="shared" si="8"/>
        <v>0</v>
      </c>
      <c r="H23" s="86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5">
        <v>0</v>
      </c>
      <c r="S23" s="47">
        <f t="shared" si="11"/>
        <v>0</v>
      </c>
      <c r="T23" s="85">
        <v>0</v>
      </c>
      <c r="U23" s="47">
        <f t="shared" si="12"/>
        <v>0</v>
      </c>
      <c r="V23" s="86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/>
      <c r="D24" s="85">
        <v>0</v>
      </c>
      <c r="E24" s="47">
        <f t="shared" si="7"/>
        <v>0</v>
      </c>
      <c r="F24" s="85">
        <v>0</v>
      </c>
      <c r="G24" s="47">
        <f t="shared" si="8"/>
        <v>0</v>
      </c>
      <c r="H24" s="86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5">
        <v>0</v>
      </c>
      <c r="S24" s="47">
        <f t="shared" si="11"/>
        <v>0</v>
      </c>
      <c r="T24" s="85">
        <v>0</v>
      </c>
      <c r="U24" s="47">
        <f t="shared" si="12"/>
        <v>0</v>
      </c>
      <c r="V24" s="86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/>
      <c r="D25" s="85">
        <v>0</v>
      </c>
      <c r="E25" s="47">
        <f t="shared" si="7"/>
        <v>0</v>
      </c>
      <c r="F25" s="85">
        <v>0</v>
      </c>
      <c r="G25" s="47">
        <f t="shared" si="8"/>
        <v>0</v>
      </c>
      <c r="H25" s="86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5">
        <v>0</v>
      </c>
      <c r="S25" s="47">
        <f t="shared" si="11"/>
        <v>0</v>
      </c>
      <c r="T25" s="85">
        <v>0</v>
      </c>
      <c r="U25" s="47">
        <f t="shared" si="12"/>
        <v>0</v>
      </c>
      <c r="V25" s="86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/>
      <c r="D26" s="85">
        <v>0</v>
      </c>
      <c r="E26" s="47">
        <f t="shared" si="7"/>
        <v>0</v>
      </c>
      <c r="F26" s="85">
        <v>0</v>
      </c>
      <c r="G26" s="47">
        <f t="shared" si="8"/>
        <v>0</v>
      </c>
      <c r="H26" s="86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5">
        <v>0</v>
      </c>
      <c r="S26" s="47">
        <f t="shared" si="11"/>
        <v>0</v>
      </c>
      <c r="T26" s="85">
        <v>0</v>
      </c>
      <c r="U26" s="47">
        <f t="shared" si="12"/>
        <v>0</v>
      </c>
      <c r="V26" s="86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/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6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5">
        <v>0</v>
      </c>
      <c r="S27" s="47">
        <f t="shared" si="11"/>
        <v>0</v>
      </c>
      <c r="T27" s="85">
        <v>0</v>
      </c>
      <c r="U27" s="47">
        <f t="shared" si="12"/>
        <v>0</v>
      </c>
      <c r="V27" s="86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/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6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5">
        <v>0</v>
      </c>
      <c r="S28" s="47">
        <f t="shared" si="11"/>
        <v>0</v>
      </c>
      <c r="T28" s="85">
        <v>0</v>
      </c>
      <c r="U28" s="47">
        <f t="shared" si="12"/>
        <v>0</v>
      </c>
      <c r="V28" s="86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/>
      <c r="D29" s="85">
        <v>0</v>
      </c>
      <c r="E29" s="47">
        <f t="shared" si="7"/>
        <v>0</v>
      </c>
      <c r="F29" s="85">
        <v>0</v>
      </c>
      <c r="G29" s="47">
        <f t="shared" si="8"/>
        <v>0</v>
      </c>
      <c r="H29" s="86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5">
        <v>0</v>
      </c>
      <c r="S29" s="47">
        <f t="shared" si="11"/>
        <v>0</v>
      </c>
      <c r="T29" s="85">
        <v>0</v>
      </c>
      <c r="U29" s="47">
        <f t="shared" si="12"/>
        <v>0</v>
      </c>
      <c r="V29" s="86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/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6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/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6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5.5" x14ac:dyDescent="0.55000000000000004">
      <c r="A32" s="10">
        <v>28</v>
      </c>
      <c r="B32" s="19" t="s">
        <v>43</v>
      </c>
      <c r="C32" s="79"/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6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/>
      <c r="D33" s="85">
        <v>0</v>
      </c>
      <c r="E33" s="47">
        <f t="shared" si="7"/>
        <v>0</v>
      </c>
      <c r="F33" s="85">
        <v>0</v>
      </c>
      <c r="G33" s="47">
        <f t="shared" si="8"/>
        <v>0</v>
      </c>
      <c r="H33" s="86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5.5" x14ac:dyDescent="0.55000000000000004">
      <c r="A34" s="10">
        <v>30</v>
      </c>
      <c r="B34" s="19" t="s">
        <v>45</v>
      </c>
      <c r="C34" s="79"/>
      <c r="D34" s="85">
        <v>0</v>
      </c>
      <c r="E34" s="47">
        <f t="shared" si="7"/>
        <v>0</v>
      </c>
      <c r="F34" s="85">
        <v>0</v>
      </c>
      <c r="G34" s="47">
        <f t="shared" si="8"/>
        <v>0</v>
      </c>
      <c r="H34" s="86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5.5" x14ac:dyDescent="0.55000000000000004">
      <c r="A35" s="10">
        <v>31</v>
      </c>
      <c r="B35" s="19" t="s">
        <v>46</v>
      </c>
      <c r="C35" s="79"/>
      <c r="D35" s="85">
        <v>0</v>
      </c>
      <c r="E35" s="47">
        <f t="shared" si="7"/>
        <v>0</v>
      </c>
      <c r="F35" s="85">
        <v>0</v>
      </c>
      <c r="G35" s="47">
        <f t="shared" si="8"/>
        <v>0</v>
      </c>
      <c r="H35" s="86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5.5" x14ac:dyDescent="0.55000000000000004">
      <c r="A36" s="10">
        <v>32</v>
      </c>
      <c r="B36" s="19" t="s">
        <v>47</v>
      </c>
      <c r="C36" s="79"/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6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5.5" x14ac:dyDescent="0.55000000000000004">
      <c r="A37" s="10">
        <v>33</v>
      </c>
      <c r="B37" s="19" t="s">
        <v>48</v>
      </c>
      <c r="C37" s="79">
        <v>1</v>
      </c>
      <c r="D37" s="85">
        <v>0</v>
      </c>
      <c r="E37" s="47">
        <f t="shared" si="7"/>
        <v>1</v>
      </c>
      <c r="F37" s="85">
        <v>0</v>
      </c>
      <c r="G37" s="47">
        <f t="shared" si="8"/>
        <v>1</v>
      </c>
      <c r="H37" s="86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5.5" x14ac:dyDescent="0.55000000000000004">
      <c r="A38" s="10">
        <v>34</v>
      </c>
      <c r="B38" s="19" t="s">
        <v>49</v>
      </c>
      <c r="C38" s="79">
        <v>3</v>
      </c>
      <c r="D38" s="85">
        <v>0</v>
      </c>
      <c r="E38" s="47">
        <f t="shared" si="7"/>
        <v>3</v>
      </c>
      <c r="F38" s="85">
        <v>0</v>
      </c>
      <c r="G38" s="47">
        <f t="shared" si="8"/>
        <v>3</v>
      </c>
      <c r="H38" s="86"/>
      <c r="I38" s="20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5.5" x14ac:dyDescent="0.55000000000000004">
      <c r="A39" s="10">
        <v>35</v>
      </c>
      <c r="B39" s="19" t="s">
        <v>50</v>
      </c>
      <c r="C39" s="79">
        <v>9</v>
      </c>
      <c r="D39" s="85">
        <v>0</v>
      </c>
      <c r="E39" s="47">
        <f t="shared" si="7"/>
        <v>9</v>
      </c>
      <c r="F39" s="85">
        <v>0</v>
      </c>
      <c r="G39" s="47">
        <f t="shared" si="8"/>
        <v>9</v>
      </c>
      <c r="H39" s="86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5.5" x14ac:dyDescent="0.55000000000000004">
      <c r="A40" s="10">
        <v>36</v>
      </c>
      <c r="B40" s="19" t="s">
        <v>51</v>
      </c>
      <c r="C40" s="79">
        <v>18</v>
      </c>
      <c r="D40" s="85">
        <v>0</v>
      </c>
      <c r="E40" s="47">
        <f t="shared" si="7"/>
        <v>18</v>
      </c>
      <c r="F40" s="85">
        <v>0</v>
      </c>
      <c r="G40" s="47">
        <f t="shared" si="8"/>
        <v>18</v>
      </c>
      <c r="H40" s="86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5.5" x14ac:dyDescent="0.55000000000000004">
      <c r="A41" s="10">
        <v>37</v>
      </c>
      <c r="B41" s="19" t="s">
        <v>52</v>
      </c>
      <c r="C41" s="79">
        <v>5</v>
      </c>
      <c r="D41" s="85">
        <v>0</v>
      </c>
      <c r="E41" s="47">
        <f t="shared" si="7"/>
        <v>5</v>
      </c>
      <c r="F41" s="85">
        <v>0</v>
      </c>
      <c r="G41" s="47">
        <f t="shared" si="8"/>
        <v>5</v>
      </c>
      <c r="H41" s="86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5.5" x14ac:dyDescent="0.55000000000000004">
      <c r="A42" s="10">
        <v>38</v>
      </c>
      <c r="B42" s="19" t="s">
        <v>53</v>
      </c>
      <c r="C42" s="79"/>
      <c r="D42" s="85">
        <v>0</v>
      </c>
      <c r="E42" s="47">
        <f t="shared" si="7"/>
        <v>0</v>
      </c>
      <c r="F42" s="85">
        <v>0</v>
      </c>
      <c r="G42" s="47">
        <f t="shared" si="8"/>
        <v>0</v>
      </c>
      <c r="H42" s="86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5.5" x14ac:dyDescent="0.55000000000000004">
      <c r="A43" s="10">
        <v>39</v>
      </c>
      <c r="B43" s="19" t="s">
        <v>54</v>
      </c>
      <c r="C43" s="79">
        <v>4</v>
      </c>
      <c r="D43" s="85">
        <v>0</v>
      </c>
      <c r="E43" s="47">
        <f t="shared" si="7"/>
        <v>4</v>
      </c>
      <c r="F43" s="85">
        <v>0</v>
      </c>
      <c r="G43" s="47">
        <f t="shared" si="8"/>
        <v>4</v>
      </c>
      <c r="H43" s="86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5.5" x14ac:dyDescent="0.55000000000000004">
      <c r="A44" s="10">
        <v>40</v>
      </c>
      <c r="B44" s="19" t="s">
        <v>55</v>
      </c>
      <c r="C44" s="79">
        <v>1</v>
      </c>
      <c r="D44" s="85">
        <v>0</v>
      </c>
      <c r="E44" s="47">
        <f t="shared" si="7"/>
        <v>1</v>
      </c>
      <c r="F44" s="85">
        <v>0</v>
      </c>
      <c r="G44" s="47">
        <f t="shared" si="8"/>
        <v>1</v>
      </c>
      <c r="H44" s="86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5.5" x14ac:dyDescent="0.55000000000000004">
      <c r="A45" s="10">
        <v>41</v>
      </c>
      <c r="B45" s="19" t="s">
        <v>56</v>
      </c>
      <c r="C45" s="79"/>
      <c r="D45" s="85">
        <v>0</v>
      </c>
      <c r="E45" s="47">
        <f t="shared" si="7"/>
        <v>0</v>
      </c>
      <c r="F45" s="85">
        <v>0</v>
      </c>
      <c r="G45" s="47">
        <f t="shared" si="8"/>
        <v>0</v>
      </c>
      <c r="H45" s="86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5.5" x14ac:dyDescent="0.55000000000000004">
      <c r="A46" s="10">
        <v>42</v>
      </c>
      <c r="B46" s="19" t="s">
        <v>57</v>
      </c>
      <c r="C46" s="79">
        <v>2</v>
      </c>
      <c r="D46" s="85">
        <v>0</v>
      </c>
      <c r="E46" s="47">
        <f t="shared" si="7"/>
        <v>2</v>
      </c>
      <c r="F46" s="85">
        <v>0</v>
      </c>
      <c r="G46" s="47">
        <f t="shared" si="8"/>
        <v>2</v>
      </c>
      <c r="H46" s="86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5.5" x14ac:dyDescent="0.55000000000000004">
      <c r="A47" s="10">
        <v>43</v>
      </c>
      <c r="B47" s="19" t="s">
        <v>58</v>
      </c>
      <c r="C47" s="79">
        <v>6</v>
      </c>
      <c r="D47" s="85">
        <v>0</v>
      </c>
      <c r="E47" s="47">
        <f t="shared" si="7"/>
        <v>6</v>
      </c>
      <c r="F47" s="85">
        <v>0</v>
      </c>
      <c r="G47" s="47">
        <f t="shared" si="8"/>
        <v>6</v>
      </c>
      <c r="H47" s="86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5.5" x14ac:dyDescent="0.55000000000000004">
      <c r="A48" s="10">
        <v>44</v>
      </c>
      <c r="B48" s="19" t="s">
        <v>59</v>
      </c>
      <c r="C48" s="79">
        <v>1</v>
      </c>
      <c r="D48" s="85">
        <v>0</v>
      </c>
      <c r="E48" s="47">
        <f t="shared" si="7"/>
        <v>1</v>
      </c>
      <c r="F48" s="85">
        <v>0</v>
      </c>
      <c r="G48" s="47">
        <f t="shared" si="8"/>
        <v>1</v>
      </c>
      <c r="H48" s="86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60</v>
      </c>
      <c r="C49" s="79"/>
      <c r="D49" s="85">
        <v>0</v>
      </c>
      <c r="E49" s="47">
        <f t="shared" si="7"/>
        <v>0</v>
      </c>
      <c r="F49" s="85">
        <v>0</v>
      </c>
      <c r="G49" s="47">
        <f t="shared" si="8"/>
        <v>0</v>
      </c>
      <c r="H49" s="86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61</v>
      </c>
      <c r="C50" s="79"/>
      <c r="D50" s="85">
        <v>0</v>
      </c>
      <c r="E50" s="47">
        <f t="shared" si="7"/>
        <v>0</v>
      </c>
      <c r="F50" s="85">
        <v>0</v>
      </c>
      <c r="G50" s="47">
        <f t="shared" si="8"/>
        <v>0</v>
      </c>
      <c r="H50" s="86"/>
      <c r="I50" s="20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62</v>
      </c>
      <c r="C51" s="79">
        <v>2</v>
      </c>
      <c r="D51" s="85">
        <v>0</v>
      </c>
      <c r="E51" s="47">
        <f t="shared" si="7"/>
        <v>2</v>
      </c>
      <c r="F51" s="85">
        <v>0</v>
      </c>
      <c r="G51" s="47">
        <f t="shared" si="8"/>
        <v>2</v>
      </c>
      <c r="H51" s="86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63</v>
      </c>
      <c r="C52" s="79">
        <v>1</v>
      </c>
      <c r="D52" s="85">
        <v>0</v>
      </c>
      <c r="E52" s="47">
        <f t="shared" si="7"/>
        <v>1</v>
      </c>
      <c r="F52" s="85">
        <v>0</v>
      </c>
      <c r="G52" s="47">
        <f t="shared" si="8"/>
        <v>1</v>
      </c>
      <c r="H52" s="86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64</v>
      </c>
      <c r="C53" s="79"/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6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65</v>
      </c>
      <c r="C54" s="79">
        <v>1</v>
      </c>
      <c r="D54" s="85">
        <v>0</v>
      </c>
      <c r="E54" s="47">
        <f t="shared" si="7"/>
        <v>1</v>
      </c>
      <c r="F54" s="85">
        <v>0</v>
      </c>
      <c r="G54" s="47">
        <f t="shared" si="8"/>
        <v>1</v>
      </c>
      <c r="H54" s="86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66</v>
      </c>
      <c r="C55" s="79"/>
      <c r="D55" s="85">
        <v>0</v>
      </c>
      <c r="E55" s="47">
        <f t="shared" si="7"/>
        <v>0</v>
      </c>
      <c r="F55" s="85">
        <v>0</v>
      </c>
      <c r="G55" s="47">
        <f t="shared" si="8"/>
        <v>0</v>
      </c>
      <c r="H55" s="86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67</v>
      </c>
      <c r="C56" s="79"/>
      <c r="D56" s="85">
        <v>0</v>
      </c>
      <c r="E56" s="47">
        <f t="shared" si="7"/>
        <v>0</v>
      </c>
      <c r="F56" s="85">
        <v>0</v>
      </c>
      <c r="G56" s="47">
        <f t="shared" si="8"/>
        <v>0</v>
      </c>
      <c r="H56" s="86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68</v>
      </c>
      <c r="C57" s="79"/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6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69</v>
      </c>
      <c r="C58" s="79"/>
      <c r="D58" s="85">
        <v>0</v>
      </c>
      <c r="E58" s="47">
        <f t="shared" si="7"/>
        <v>0</v>
      </c>
      <c r="F58" s="85">
        <v>0</v>
      </c>
      <c r="G58" s="47">
        <f t="shared" si="8"/>
        <v>0</v>
      </c>
      <c r="H58" s="86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70</v>
      </c>
      <c r="C59" s="79"/>
      <c r="D59" s="85">
        <v>0</v>
      </c>
      <c r="E59" s="47">
        <f t="shared" si="7"/>
        <v>0</v>
      </c>
      <c r="F59" s="85">
        <v>0</v>
      </c>
      <c r="G59" s="47">
        <f t="shared" si="8"/>
        <v>0</v>
      </c>
      <c r="H59" s="86"/>
      <c r="I59" s="20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71</v>
      </c>
      <c r="C60" s="79"/>
      <c r="D60" s="85">
        <v>0</v>
      </c>
      <c r="E60" s="47">
        <f t="shared" si="7"/>
        <v>0</v>
      </c>
      <c r="F60" s="85">
        <v>0</v>
      </c>
      <c r="G60" s="47">
        <f t="shared" si="8"/>
        <v>0</v>
      </c>
      <c r="H60" s="86"/>
      <c r="I60" s="20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72</v>
      </c>
      <c r="C61" s="79">
        <v>6</v>
      </c>
      <c r="D61" s="85">
        <v>0</v>
      </c>
      <c r="E61" s="47">
        <f t="shared" si="7"/>
        <v>6</v>
      </c>
      <c r="F61" s="85">
        <v>0</v>
      </c>
      <c r="G61" s="47">
        <f t="shared" si="8"/>
        <v>6</v>
      </c>
      <c r="H61" s="86"/>
      <c r="I61" s="20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73</v>
      </c>
      <c r="C62" s="79"/>
      <c r="D62" s="85">
        <v>0</v>
      </c>
      <c r="E62" s="47">
        <f t="shared" si="7"/>
        <v>0</v>
      </c>
      <c r="F62" s="85">
        <v>0</v>
      </c>
      <c r="G62" s="47">
        <f t="shared" si="8"/>
        <v>0</v>
      </c>
      <c r="H62" s="86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74</v>
      </c>
      <c r="C63" s="79">
        <v>7</v>
      </c>
      <c r="D63" s="85">
        <v>0</v>
      </c>
      <c r="E63" s="47">
        <f t="shared" si="7"/>
        <v>7</v>
      </c>
      <c r="F63" s="85">
        <v>0</v>
      </c>
      <c r="G63" s="47">
        <f t="shared" si="8"/>
        <v>7</v>
      </c>
      <c r="H63" s="86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75</v>
      </c>
      <c r="C64" s="79"/>
      <c r="D64" s="85">
        <v>0</v>
      </c>
      <c r="E64" s="47">
        <f t="shared" si="7"/>
        <v>0</v>
      </c>
      <c r="F64" s="85">
        <v>0</v>
      </c>
      <c r="G64" s="47">
        <f t="shared" si="8"/>
        <v>0</v>
      </c>
      <c r="H64" s="86"/>
      <c r="I64" s="20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76</v>
      </c>
      <c r="C65" s="79"/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6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5.5" x14ac:dyDescent="0.55000000000000004">
      <c r="A66" s="10">
        <v>62</v>
      </c>
      <c r="B66" s="19" t="s">
        <v>77</v>
      </c>
      <c r="C66" s="79">
        <v>8</v>
      </c>
      <c r="D66" s="85">
        <v>0</v>
      </c>
      <c r="E66" s="47">
        <f t="shared" si="7"/>
        <v>8</v>
      </c>
      <c r="F66" s="85">
        <v>0</v>
      </c>
      <c r="G66" s="47">
        <f t="shared" si="8"/>
        <v>8</v>
      </c>
      <c r="H66" s="86"/>
      <c r="I66" s="20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5.5" x14ac:dyDescent="0.55000000000000004">
      <c r="A67" s="10">
        <v>63</v>
      </c>
      <c r="B67" s="19" t="s">
        <v>78</v>
      </c>
      <c r="C67" s="79">
        <v>1</v>
      </c>
      <c r="D67" s="85">
        <v>0</v>
      </c>
      <c r="E67" s="47">
        <f t="shared" si="7"/>
        <v>1</v>
      </c>
      <c r="F67" s="85">
        <v>0</v>
      </c>
      <c r="G67" s="47">
        <f t="shared" si="8"/>
        <v>1</v>
      </c>
      <c r="H67" s="86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5.5" x14ac:dyDescent="0.55000000000000004">
      <c r="A68" s="10">
        <v>64</v>
      </c>
      <c r="B68" s="19" t="s">
        <v>79</v>
      </c>
      <c r="C68" s="79"/>
      <c r="D68" s="85">
        <v>0</v>
      </c>
      <c r="E68" s="47">
        <f t="shared" si="7"/>
        <v>0</v>
      </c>
      <c r="F68" s="85">
        <v>0</v>
      </c>
      <c r="G68" s="47">
        <f t="shared" si="8"/>
        <v>0</v>
      </c>
      <c r="H68" s="86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5.5" x14ac:dyDescent="0.55000000000000004">
      <c r="A69" s="10">
        <v>65</v>
      </c>
      <c r="B69" s="19" t="s">
        <v>80</v>
      </c>
      <c r="C69" s="79"/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6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5.5" x14ac:dyDescent="0.55000000000000004">
      <c r="A70" s="10">
        <v>66</v>
      </c>
      <c r="B70" s="19" t="s">
        <v>81</v>
      </c>
      <c r="C70" s="79">
        <v>13</v>
      </c>
      <c r="D70" s="85">
        <v>0</v>
      </c>
      <c r="E70" s="47">
        <f t="shared" si="7"/>
        <v>13</v>
      </c>
      <c r="F70" s="85">
        <v>0</v>
      </c>
      <c r="G70" s="47">
        <f t="shared" si="8"/>
        <v>13</v>
      </c>
      <c r="H70" s="86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82</v>
      </c>
      <c r="C71" s="79"/>
      <c r="D71" s="85">
        <v>0</v>
      </c>
      <c r="E71" s="47">
        <f t="shared" si="7"/>
        <v>0</v>
      </c>
      <c r="F71" s="85">
        <v>0</v>
      </c>
      <c r="G71" s="47">
        <f t="shared" si="8"/>
        <v>0</v>
      </c>
      <c r="H71" s="86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/>
      <c r="D72" s="85">
        <v>0</v>
      </c>
      <c r="E72" s="47">
        <f t="shared" si="7"/>
        <v>0</v>
      </c>
      <c r="F72" s="85">
        <v>0</v>
      </c>
      <c r="G72" s="47">
        <f t="shared" si="8"/>
        <v>0</v>
      </c>
      <c r="H72" s="86"/>
      <c r="I72" s="20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v>1</v>
      </c>
      <c r="D73" s="85">
        <v>0</v>
      </c>
      <c r="E73" s="47">
        <f t="shared" si="7"/>
        <v>1</v>
      </c>
      <c r="F73" s="85">
        <v>0</v>
      </c>
      <c r="G73" s="47">
        <f t="shared" si="8"/>
        <v>1</v>
      </c>
      <c r="H73" s="86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/>
      <c r="D74" s="85">
        <v>0</v>
      </c>
      <c r="E74" s="47">
        <f t="shared" si="7"/>
        <v>0</v>
      </c>
      <c r="F74" s="85">
        <v>0</v>
      </c>
      <c r="G74" s="47">
        <f t="shared" si="8"/>
        <v>0</v>
      </c>
      <c r="H74" s="86"/>
      <c r="I74" s="20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/>
      <c r="D75" s="85">
        <v>0</v>
      </c>
      <c r="E75" s="47">
        <f t="shared" si="7"/>
        <v>0</v>
      </c>
      <c r="F75" s="85">
        <v>0</v>
      </c>
      <c r="G75" s="47">
        <f t="shared" si="8"/>
        <v>0</v>
      </c>
      <c r="H75" s="86"/>
      <c r="I75" s="20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/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6"/>
      <c r="I76" s="20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v>1</v>
      </c>
      <c r="D77" s="85">
        <v>0</v>
      </c>
      <c r="E77" s="47">
        <f t="shared" si="7"/>
        <v>1</v>
      </c>
      <c r="F77" s="85">
        <v>0</v>
      </c>
      <c r="G77" s="47">
        <f t="shared" si="8"/>
        <v>1</v>
      </c>
      <c r="H77" s="86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/>
      <c r="D78" s="85">
        <v>0</v>
      </c>
      <c r="E78" s="47">
        <f t="shared" si="7"/>
        <v>0</v>
      </c>
      <c r="F78" s="85">
        <v>0</v>
      </c>
      <c r="G78" s="47">
        <f t="shared" si="8"/>
        <v>0</v>
      </c>
      <c r="H78" s="86"/>
      <c r="I78" s="20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47"/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v>6</v>
      </c>
      <c r="D80" s="85">
        <v>0</v>
      </c>
      <c r="E80" s="47">
        <f t="shared" ref="E80:E143" si="14">C80+D80</f>
        <v>6</v>
      </c>
      <c r="F80" s="85">
        <v>0</v>
      </c>
      <c r="G80" s="47">
        <f t="shared" ref="G80:G143" si="15">+E80-F80-H80</f>
        <v>6</v>
      </c>
      <c r="H80" s="86"/>
      <c r="I80" s="20">
        <v>50</v>
      </c>
      <c r="J80" s="80">
        <f t="shared" ref="J80:J143" si="16">+I80*H80</f>
        <v>0</v>
      </c>
      <c r="K80" s="17" t="s">
        <v>16</v>
      </c>
      <c r="L80" s="18">
        <v>0</v>
      </c>
      <c r="M80" s="23">
        <f t="shared" ref="M80:M143" si="17">SUM(J80-L80)</f>
        <v>0</v>
      </c>
    </row>
    <row r="81" spans="1:13" ht="25.5" x14ac:dyDescent="0.55000000000000004">
      <c r="A81" s="10">
        <v>77</v>
      </c>
      <c r="B81" s="19" t="s">
        <v>91</v>
      </c>
      <c r="C81" s="79"/>
      <c r="D81" s="85">
        <v>0</v>
      </c>
      <c r="E81" s="47">
        <f t="shared" si="14"/>
        <v>0</v>
      </c>
      <c r="F81" s="85">
        <v>0</v>
      </c>
      <c r="G81" s="47">
        <f t="shared" si="15"/>
        <v>0</v>
      </c>
      <c r="H81" s="86"/>
      <c r="I81" s="20">
        <v>50</v>
      </c>
      <c r="J81" s="80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5.5" x14ac:dyDescent="0.55000000000000004">
      <c r="A82" s="10">
        <v>78</v>
      </c>
      <c r="B82" s="19" t="s">
        <v>92</v>
      </c>
      <c r="C82" s="79">
        <v>3</v>
      </c>
      <c r="D82" s="85">
        <v>0</v>
      </c>
      <c r="E82" s="47">
        <f t="shared" si="14"/>
        <v>3</v>
      </c>
      <c r="F82" s="85">
        <v>0</v>
      </c>
      <c r="G82" s="47">
        <f t="shared" si="15"/>
        <v>3</v>
      </c>
      <c r="H82" s="86"/>
      <c r="I82" s="20">
        <v>55</v>
      </c>
      <c r="J82" s="80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5.5" x14ac:dyDescent="0.55000000000000004">
      <c r="A83" s="10">
        <v>79</v>
      </c>
      <c r="B83" s="19" t="s">
        <v>93</v>
      </c>
      <c r="C83" s="79">
        <v>2</v>
      </c>
      <c r="D83" s="85">
        <v>0</v>
      </c>
      <c r="E83" s="47">
        <f t="shared" si="14"/>
        <v>2</v>
      </c>
      <c r="F83" s="85">
        <v>0</v>
      </c>
      <c r="G83" s="47">
        <f t="shared" si="15"/>
        <v>2</v>
      </c>
      <c r="H83" s="86"/>
      <c r="I83" s="20">
        <v>55</v>
      </c>
      <c r="J83" s="80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5.5" x14ac:dyDescent="0.55000000000000004">
      <c r="A84" s="10">
        <v>80</v>
      </c>
      <c r="B84" s="19" t="s">
        <v>94</v>
      </c>
      <c r="C84" s="79"/>
      <c r="D84" s="85">
        <v>0</v>
      </c>
      <c r="E84" s="47">
        <f t="shared" si="14"/>
        <v>0</v>
      </c>
      <c r="F84" s="85">
        <v>0</v>
      </c>
      <c r="G84" s="47">
        <f t="shared" si="15"/>
        <v>0</v>
      </c>
      <c r="H84" s="86"/>
      <c r="I84" s="20">
        <v>55</v>
      </c>
      <c r="J84" s="80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5.5" x14ac:dyDescent="0.55000000000000004">
      <c r="A85" s="10">
        <v>81</v>
      </c>
      <c r="B85" s="19" t="s">
        <v>95</v>
      </c>
      <c r="C85" s="79"/>
      <c r="D85" s="85">
        <v>0</v>
      </c>
      <c r="E85" s="47">
        <f t="shared" si="14"/>
        <v>0</v>
      </c>
      <c r="F85" s="85">
        <v>0</v>
      </c>
      <c r="G85" s="47">
        <f t="shared" si="15"/>
        <v>0</v>
      </c>
      <c r="H85" s="86"/>
      <c r="I85" s="20">
        <v>55</v>
      </c>
      <c r="J85" s="80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5.5" x14ac:dyDescent="0.55000000000000004">
      <c r="A86" s="10">
        <v>82</v>
      </c>
      <c r="B86" s="19" t="s">
        <v>96</v>
      </c>
      <c r="C86" s="79">
        <v>4</v>
      </c>
      <c r="D86" s="85">
        <v>0</v>
      </c>
      <c r="E86" s="47">
        <f t="shared" si="14"/>
        <v>4</v>
      </c>
      <c r="F86" s="85">
        <v>0</v>
      </c>
      <c r="G86" s="47">
        <f t="shared" si="15"/>
        <v>4</v>
      </c>
      <c r="H86" s="86"/>
      <c r="I86" s="20">
        <v>100</v>
      </c>
      <c r="J86" s="80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5.5" x14ac:dyDescent="0.55000000000000004">
      <c r="A87" s="10">
        <v>83</v>
      </c>
      <c r="B87" s="19" t="s">
        <v>97</v>
      </c>
      <c r="C87" s="79">
        <v>12</v>
      </c>
      <c r="D87" s="85">
        <v>0</v>
      </c>
      <c r="E87" s="47">
        <f t="shared" si="14"/>
        <v>12</v>
      </c>
      <c r="F87" s="85">
        <v>0</v>
      </c>
      <c r="G87" s="47">
        <f t="shared" si="15"/>
        <v>12</v>
      </c>
      <c r="H87" s="86"/>
      <c r="I87" s="20">
        <v>55</v>
      </c>
      <c r="J87" s="80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5.5" x14ac:dyDescent="0.55000000000000004">
      <c r="A88" s="10">
        <v>84</v>
      </c>
      <c r="B88" s="19" t="s">
        <v>98</v>
      </c>
      <c r="C88" s="79">
        <v>7</v>
      </c>
      <c r="D88" s="85">
        <v>0</v>
      </c>
      <c r="E88" s="47">
        <f t="shared" si="14"/>
        <v>7</v>
      </c>
      <c r="F88" s="85">
        <v>0</v>
      </c>
      <c r="G88" s="47">
        <f t="shared" si="15"/>
        <v>7</v>
      </c>
      <c r="H88" s="86"/>
      <c r="I88" s="20">
        <v>60</v>
      </c>
      <c r="J88" s="80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5.5" x14ac:dyDescent="0.55000000000000004">
      <c r="A89" s="10">
        <v>85</v>
      </c>
      <c r="B89" s="19" t="s">
        <v>99</v>
      </c>
      <c r="C89" s="79">
        <v>8</v>
      </c>
      <c r="D89" s="85">
        <v>0</v>
      </c>
      <c r="E89" s="47">
        <f t="shared" si="14"/>
        <v>8</v>
      </c>
      <c r="F89" s="85">
        <v>0</v>
      </c>
      <c r="G89" s="47">
        <f t="shared" si="15"/>
        <v>8</v>
      </c>
      <c r="H89" s="86"/>
      <c r="I89" s="20">
        <v>100</v>
      </c>
      <c r="J89" s="80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5.5" x14ac:dyDescent="0.55000000000000004">
      <c r="A90" s="10">
        <v>86</v>
      </c>
      <c r="B90" s="19" t="s">
        <v>100</v>
      </c>
      <c r="C90" s="79"/>
      <c r="D90" s="85">
        <v>0</v>
      </c>
      <c r="E90" s="47">
        <f t="shared" si="14"/>
        <v>0</v>
      </c>
      <c r="F90" s="85">
        <v>0</v>
      </c>
      <c r="G90" s="47">
        <f t="shared" si="15"/>
        <v>0</v>
      </c>
      <c r="H90" s="86"/>
      <c r="I90" s="20">
        <v>55</v>
      </c>
      <c r="J90" s="80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5.5" x14ac:dyDescent="0.55000000000000004">
      <c r="A91" s="10">
        <v>87</v>
      </c>
      <c r="B91" s="19" t="s">
        <v>101</v>
      </c>
      <c r="C91" s="79">
        <v>1</v>
      </c>
      <c r="D91" s="85">
        <v>0</v>
      </c>
      <c r="E91" s="47">
        <f t="shared" si="14"/>
        <v>1</v>
      </c>
      <c r="F91" s="85">
        <v>0</v>
      </c>
      <c r="G91" s="47">
        <f t="shared" si="15"/>
        <v>1</v>
      </c>
      <c r="H91" s="86"/>
      <c r="I91" s="20">
        <v>50</v>
      </c>
      <c r="J91" s="80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5.5" x14ac:dyDescent="0.55000000000000004">
      <c r="A92" s="10">
        <v>88</v>
      </c>
      <c r="B92" s="19" t="s">
        <v>102</v>
      </c>
      <c r="C92" s="79"/>
      <c r="D92" s="85">
        <v>0</v>
      </c>
      <c r="E92" s="47">
        <f t="shared" si="14"/>
        <v>0</v>
      </c>
      <c r="F92" s="85">
        <v>0</v>
      </c>
      <c r="G92" s="47">
        <f t="shared" si="15"/>
        <v>0</v>
      </c>
      <c r="H92" s="86"/>
      <c r="I92" s="20">
        <v>50</v>
      </c>
      <c r="J92" s="80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5.5" x14ac:dyDescent="0.55000000000000004">
      <c r="A93" s="10">
        <v>89</v>
      </c>
      <c r="B93" s="19" t="s">
        <v>103</v>
      </c>
      <c r="C93" s="79"/>
      <c r="D93" s="85">
        <v>0</v>
      </c>
      <c r="E93" s="47">
        <f t="shared" si="14"/>
        <v>0</v>
      </c>
      <c r="F93" s="85">
        <v>0</v>
      </c>
      <c r="G93" s="47">
        <f t="shared" si="15"/>
        <v>0</v>
      </c>
      <c r="H93" s="86"/>
      <c r="I93" s="20">
        <v>120</v>
      </c>
      <c r="J93" s="80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5.5" x14ac:dyDescent="0.55000000000000004">
      <c r="A94" s="10">
        <v>90</v>
      </c>
      <c r="B94" s="19" t="s">
        <v>104</v>
      </c>
      <c r="C94" s="79"/>
      <c r="D94" s="85">
        <v>0</v>
      </c>
      <c r="E94" s="47">
        <f t="shared" si="14"/>
        <v>0</v>
      </c>
      <c r="F94" s="85">
        <v>0</v>
      </c>
      <c r="G94" s="47">
        <f t="shared" si="15"/>
        <v>0</v>
      </c>
      <c r="H94" s="86"/>
      <c r="I94" s="20">
        <v>250</v>
      </c>
      <c r="J94" s="80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5.5" x14ac:dyDescent="0.55000000000000004">
      <c r="A95" s="10">
        <v>91</v>
      </c>
      <c r="B95" s="19" t="s">
        <v>105</v>
      </c>
      <c r="C95" s="79"/>
      <c r="D95" s="85">
        <v>0</v>
      </c>
      <c r="E95" s="47">
        <f t="shared" si="14"/>
        <v>0</v>
      </c>
      <c r="F95" s="85">
        <v>0</v>
      </c>
      <c r="G95" s="47">
        <f t="shared" si="15"/>
        <v>0</v>
      </c>
      <c r="H95" s="86"/>
      <c r="I95" s="20">
        <v>120</v>
      </c>
      <c r="J95" s="80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5.5" x14ac:dyDescent="0.55000000000000004">
      <c r="A96" s="10">
        <v>92</v>
      </c>
      <c r="B96" s="19" t="s">
        <v>106</v>
      </c>
      <c r="C96" s="79"/>
      <c r="D96" s="85">
        <v>0</v>
      </c>
      <c r="E96" s="47">
        <f t="shared" si="14"/>
        <v>0</v>
      </c>
      <c r="F96" s="85">
        <v>0</v>
      </c>
      <c r="G96" s="47">
        <f t="shared" si="15"/>
        <v>0</v>
      </c>
      <c r="H96" s="86"/>
      <c r="I96" s="20">
        <v>120</v>
      </c>
      <c r="J96" s="80">
        <f t="shared" si="16"/>
        <v>0</v>
      </c>
      <c r="K96" s="17" t="s">
        <v>16</v>
      </c>
      <c r="L96" s="18">
        <v>0</v>
      </c>
      <c r="M96" s="23">
        <f t="shared" si="17"/>
        <v>0</v>
      </c>
    </row>
    <row r="97" spans="1:13" ht="25.5" x14ac:dyDescent="0.55000000000000004">
      <c r="A97" s="10">
        <v>93</v>
      </c>
      <c r="B97" s="19" t="s">
        <v>107</v>
      </c>
      <c r="C97" s="79"/>
      <c r="D97" s="85">
        <v>0</v>
      </c>
      <c r="E97" s="47">
        <f t="shared" si="14"/>
        <v>0</v>
      </c>
      <c r="F97" s="85">
        <v>0</v>
      </c>
      <c r="G97" s="47">
        <f t="shared" si="15"/>
        <v>0</v>
      </c>
      <c r="H97" s="86"/>
      <c r="I97" s="20">
        <v>120</v>
      </c>
      <c r="J97" s="80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5.5" x14ac:dyDescent="0.55000000000000004">
      <c r="A98" s="10">
        <v>94</v>
      </c>
      <c r="B98" s="19" t="s">
        <v>108</v>
      </c>
      <c r="C98" s="79"/>
      <c r="D98" s="85">
        <v>0</v>
      </c>
      <c r="E98" s="47">
        <f t="shared" si="14"/>
        <v>0</v>
      </c>
      <c r="F98" s="85">
        <v>0</v>
      </c>
      <c r="G98" s="47">
        <f t="shared" si="15"/>
        <v>0</v>
      </c>
      <c r="H98" s="86"/>
      <c r="I98" s="20">
        <v>45</v>
      </c>
      <c r="J98" s="80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5.5" x14ac:dyDescent="0.55000000000000004">
      <c r="A99" s="10">
        <v>95</v>
      </c>
      <c r="B99" s="19" t="s">
        <v>109</v>
      </c>
      <c r="C99" s="79"/>
      <c r="D99" s="85">
        <v>0</v>
      </c>
      <c r="E99" s="47">
        <f t="shared" si="14"/>
        <v>0</v>
      </c>
      <c r="F99" s="85">
        <v>0</v>
      </c>
      <c r="G99" s="47">
        <f t="shared" si="15"/>
        <v>0</v>
      </c>
      <c r="H99" s="86"/>
      <c r="I99" s="20">
        <v>50</v>
      </c>
      <c r="J99" s="80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5.5" x14ac:dyDescent="0.55000000000000004">
      <c r="A100" s="10">
        <v>96</v>
      </c>
      <c r="B100" s="19" t="s">
        <v>110</v>
      </c>
      <c r="C100" s="79"/>
      <c r="D100" s="85">
        <v>0</v>
      </c>
      <c r="E100" s="47">
        <f t="shared" si="14"/>
        <v>0</v>
      </c>
      <c r="F100" s="85">
        <v>0</v>
      </c>
      <c r="G100" s="47">
        <f t="shared" si="15"/>
        <v>0</v>
      </c>
      <c r="H100" s="86"/>
      <c r="I100" s="20">
        <v>50</v>
      </c>
      <c r="J100" s="80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5.5" x14ac:dyDescent="0.55000000000000004">
      <c r="A101" s="10">
        <v>97</v>
      </c>
      <c r="B101" s="19" t="s">
        <v>111</v>
      </c>
      <c r="C101" s="79"/>
      <c r="D101" s="85">
        <v>0</v>
      </c>
      <c r="E101" s="47">
        <f t="shared" si="14"/>
        <v>0</v>
      </c>
      <c r="F101" s="85">
        <v>0</v>
      </c>
      <c r="G101" s="47">
        <f t="shared" si="15"/>
        <v>0</v>
      </c>
      <c r="H101" s="86"/>
      <c r="I101" s="20">
        <v>60</v>
      </c>
      <c r="J101" s="80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5.5" x14ac:dyDescent="0.55000000000000004">
      <c r="A102" s="10">
        <v>98</v>
      </c>
      <c r="B102" s="19" t="s">
        <v>239</v>
      </c>
      <c r="C102" s="79">
        <v>18</v>
      </c>
      <c r="D102" s="85">
        <v>0</v>
      </c>
      <c r="E102" s="47">
        <f t="shared" si="14"/>
        <v>18</v>
      </c>
      <c r="F102" s="85">
        <v>0</v>
      </c>
      <c r="G102" s="47">
        <f t="shared" si="15"/>
        <v>18</v>
      </c>
      <c r="H102" s="86"/>
      <c r="I102" s="20">
        <v>55</v>
      </c>
      <c r="J102" s="80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5.5" x14ac:dyDescent="0.55000000000000004">
      <c r="A103" s="10">
        <v>99</v>
      </c>
      <c r="B103" s="19" t="s">
        <v>113</v>
      </c>
      <c r="C103" s="79"/>
      <c r="D103" s="85">
        <v>0</v>
      </c>
      <c r="E103" s="47">
        <f t="shared" si="14"/>
        <v>0</v>
      </c>
      <c r="F103" s="85">
        <v>0</v>
      </c>
      <c r="G103" s="47">
        <f t="shared" si="15"/>
        <v>0</v>
      </c>
      <c r="H103" s="86"/>
      <c r="I103" s="20">
        <v>50</v>
      </c>
      <c r="J103" s="80">
        <f t="shared" si="16"/>
        <v>0</v>
      </c>
      <c r="K103" s="17" t="s">
        <v>16</v>
      </c>
      <c r="L103" s="18">
        <v>0</v>
      </c>
      <c r="M103" s="23">
        <f t="shared" si="17"/>
        <v>0</v>
      </c>
    </row>
    <row r="104" spans="1:13" ht="25.5" x14ac:dyDescent="0.55000000000000004">
      <c r="A104" s="10">
        <v>100</v>
      </c>
      <c r="B104" s="19" t="s">
        <v>114</v>
      </c>
      <c r="C104" s="79">
        <v>4</v>
      </c>
      <c r="D104" s="85">
        <v>0</v>
      </c>
      <c r="E104" s="47">
        <f t="shared" si="14"/>
        <v>4</v>
      </c>
      <c r="F104" s="85">
        <v>0</v>
      </c>
      <c r="G104" s="47">
        <f t="shared" si="15"/>
        <v>4</v>
      </c>
      <c r="H104" s="86"/>
      <c r="I104" s="20">
        <v>100</v>
      </c>
      <c r="J104" s="80">
        <f t="shared" si="16"/>
        <v>0</v>
      </c>
      <c r="K104" s="17" t="s">
        <v>16</v>
      </c>
      <c r="L104" s="18">
        <v>0</v>
      </c>
      <c r="M104" s="23">
        <f t="shared" si="17"/>
        <v>0</v>
      </c>
    </row>
    <row r="105" spans="1:13" ht="25.5" x14ac:dyDescent="0.55000000000000004">
      <c r="A105" s="10">
        <v>101</v>
      </c>
      <c r="B105" s="19" t="s">
        <v>115</v>
      </c>
      <c r="C105" s="79"/>
      <c r="D105" s="85">
        <v>0</v>
      </c>
      <c r="E105" s="47">
        <f t="shared" si="14"/>
        <v>0</v>
      </c>
      <c r="F105" s="85">
        <v>0</v>
      </c>
      <c r="G105" s="47">
        <f t="shared" si="15"/>
        <v>0</v>
      </c>
      <c r="H105" s="86"/>
      <c r="I105" s="20">
        <v>100</v>
      </c>
      <c r="J105" s="80">
        <f t="shared" si="16"/>
        <v>0</v>
      </c>
      <c r="K105" s="17" t="s">
        <v>16</v>
      </c>
      <c r="L105" s="18">
        <v>0</v>
      </c>
      <c r="M105" s="23">
        <f t="shared" si="17"/>
        <v>0</v>
      </c>
    </row>
    <row r="106" spans="1:13" ht="25.5" x14ac:dyDescent="0.55000000000000004">
      <c r="A106" s="10">
        <v>102</v>
      </c>
      <c r="B106" s="19" t="s">
        <v>116</v>
      </c>
      <c r="C106" s="79"/>
      <c r="D106" s="85">
        <v>0</v>
      </c>
      <c r="E106" s="47">
        <f t="shared" si="14"/>
        <v>0</v>
      </c>
      <c r="F106" s="85">
        <v>0</v>
      </c>
      <c r="G106" s="47">
        <f t="shared" si="15"/>
        <v>0</v>
      </c>
      <c r="H106" s="86"/>
      <c r="I106" s="20">
        <v>30</v>
      </c>
      <c r="J106" s="80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5.5" x14ac:dyDescent="0.55000000000000004">
      <c r="A107" s="10">
        <v>103</v>
      </c>
      <c r="B107" s="19" t="s">
        <v>117</v>
      </c>
      <c r="C107" s="79"/>
      <c r="D107" s="85">
        <v>0</v>
      </c>
      <c r="E107" s="47">
        <f t="shared" si="14"/>
        <v>0</v>
      </c>
      <c r="F107" s="85">
        <v>0</v>
      </c>
      <c r="G107" s="47">
        <f t="shared" si="15"/>
        <v>0</v>
      </c>
      <c r="H107" s="86"/>
      <c r="I107" s="20">
        <v>20</v>
      </c>
      <c r="J107" s="80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5.5" x14ac:dyDescent="0.55000000000000004">
      <c r="A108" s="10">
        <v>104</v>
      </c>
      <c r="B108" s="19" t="s">
        <v>118</v>
      </c>
      <c r="C108" s="79"/>
      <c r="D108" s="85">
        <v>0</v>
      </c>
      <c r="E108" s="47">
        <f t="shared" si="14"/>
        <v>0</v>
      </c>
      <c r="F108" s="85">
        <v>0</v>
      </c>
      <c r="G108" s="47">
        <f t="shared" si="15"/>
        <v>0</v>
      </c>
      <c r="H108" s="86"/>
      <c r="I108" s="20">
        <v>100</v>
      </c>
      <c r="J108" s="80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5.5" x14ac:dyDescent="0.55000000000000004">
      <c r="A109" s="10">
        <v>105</v>
      </c>
      <c r="B109" s="19" t="s">
        <v>120</v>
      </c>
      <c r="C109" s="79"/>
      <c r="D109" s="85">
        <v>0</v>
      </c>
      <c r="E109" s="47">
        <f t="shared" si="14"/>
        <v>0</v>
      </c>
      <c r="F109" s="85">
        <v>0</v>
      </c>
      <c r="G109" s="47">
        <f t="shared" si="15"/>
        <v>0</v>
      </c>
      <c r="H109" s="86"/>
      <c r="I109" s="20">
        <v>80</v>
      </c>
      <c r="J109" s="80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5.5" x14ac:dyDescent="0.55000000000000004">
      <c r="A110" s="10">
        <v>106</v>
      </c>
      <c r="B110" s="19" t="s">
        <v>121</v>
      </c>
      <c r="C110" s="79"/>
      <c r="D110" s="85">
        <v>0</v>
      </c>
      <c r="E110" s="47">
        <f t="shared" si="14"/>
        <v>0</v>
      </c>
      <c r="F110" s="85">
        <v>0</v>
      </c>
      <c r="G110" s="47">
        <f t="shared" si="15"/>
        <v>0</v>
      </c>
      <c r="H110" s="86"/>
      <c r="I110" s="20">
        <v>60</v>
      </c>
      <c r="J110" s="80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5.5" x14ac:dyDescent="0.55000000000000004">
      <c r="A111" s="10">
        <v>107</v>
      </c>
      <c r="B111" s="19" t="s">
        <v>122</v>
      </c>
      <c r="C111" s="79"/>
      <c r="D111" s="85">
        <v>0</v>
      </c>
      <c r="E111" s="47">
        <f t="shared" si="14"/>
        <v>0</v>
      </c>
      <c r="F111" s="85">
        <v>0</v>
      </c>
      <c r="G111" s="47">
        <f t="shared" si="15"/>
        <v>0</v>
      </c>
      <c r="H111" s="86"/>
      <c r="I111" s="20">
        <v>35</v>
      </c>
      <c r="J111" s="80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5.5" x14ac:dyDescent="0.55000000000000004">
      <c r="A112" s="10">
        <v>108</v>
      </c>
      <c r="B112" s="19" t="s">
        <v>123</v>
      </c>
      <c r="C112" s="79"/>
      <c r="D112" s="85">
        <v>0</v>
      </c>
      <c r="E112" s="47">
        <f t="shared" si="14"/>
        <v>0</v>
      </c>
      <c r="F112" s="85">
        <v>0</v>
      </c>
      <c r="G112" s="47">
        <f t="shared" si="15"/>
        <v>0</v>
      </c>
      <c r="H112" s="86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5.5" x14ac:dyDescent="0.55000000000000004">
      <c r="A113" s="10">
        <v>109</v>
      </c>
      <c r="B113" s="19" t="s">
        <v>124</v>
      </c>
      <c r="C113" s="79"/>
      <c r="D113" s="85">
        <v>0</v>
      </c>
      <c r="E113" s="47">
        <f t="shared" si="14"/>
        <v>0</v>
      </c>
      <c r="F113" s="85">
        <v>0</v>
      </c>
      <c r="G113" s="47">
        <f t="shared" si="15"/>
        <v>0</v>
      </c>
      <c r="H113" s="86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5.5" x14ac:dyDescent="0.55000000000000004">
      <c r="A114" s="10">
        <v>110</v>
      </c>
      <c r="B114" s="19" t="s">
        <v>125</v>
      </c>
      <c r="C114" s="79"/>
      <c r="D114" s="85">
        <v>0</v>
      </c>
      <c r="E114" s="47">
        <f t="shared" si="14"/>
        <v>0</v>
      </c>
      <c r="F114" s="85">
        <v>0</v>
      </c>
      <c r="G114" s="47">
        <f t="shared" si="15"/>
        <v>0</v>
      </c>
      <c r="H114" s="86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5.5" x14ac:dyDescent="0.55000000000000004">
      <c r="A115" s="10">
        <v>111</v>
      </c>
      <c r="B115" s="19" t="s">
        <v>126</v>
      </c>
      <c r="C115" s="79"/>
      <c r="D115" s="85">
        <v>0</v>
      </c>
      <c r="E115" s="47">
        <f t="shared" si="14"/>
        <v>0</v>
      </c>
      <c r="F115" s="85">
        <v>0</v>
      </c>
      <c r="G115" s="47">
        <f t="shared" si="15"/>
        <v>0</v>
      </c>
      <c r="H115" s="86"/>
      <c r="I115" s="20">
        <v>35</v>
      </c>
      <c r="J115" s="80">
        <f t="shared" si="16"/>
        <v>0</v>
      </c>
      <c r="K115" s="17" t="s">
        <v>16</v>
      </c>
      <c r="L115" s="18">
        <v>0</v>
      </c>
      <c r="M115" s="23">
        <f t="shared" si="17"/>
        <v>0</v>
      </c>
    </row>
    <row r="116" spans="1:13" ht="25.5" x14ac:dyDescent="0.55000000000000004">
      <c r="A116" s="10">
        <v>112</v>
      </c>
      <c r="B116" s="19" t="s">
        <v>127</v>
      </c>
      <c r="C116" s="79"/>
      <c r="D116" s="85">
        <v>0</v>
      </c>
      <c r="E116" s="47">
        <f t="shared" si="14"/>
        <v>0</v>
      </c>
      <c r="F116" s="85">
        <v>0</v>
      </c>
      <c r="G116" s="47">
        <f t="shared" si="15"/>
        <v>0</v>
      </c>
      <c r="H116" s="86"/>
      <c r="I116" s="20">
        <v>50</v>
      </c>
      <c r="J116" s="80">
        <f t="shared" si="16"/>
        <v>0</v>
      </c>
      <c r="K116" s="17" t="s">
        <v>16</v>
      </c>
      <c r="L116" s="18">
        <v>0</v>
      </c>
      <c r="M116" s="23">
        <f t="shared" si="17"/>
        <v>0</v>
      </c>
    </row>
    <row r="117" spans="1:13" ht="25.5" x14ac:dyDescent="0.55000000000000004">
      <c r="A117" s="10">
        <v>113</v>
      </c>
      <c r="B117" s="19" t="s">
        <v>128</v>
      </c>
      <c r="C117" s="79"/>
      <c r="D117" s="85">
        <v>0</v>
      </c>
      <c r="E117" s="47">
        <f t="shared" si="14"/>
        <v>0</v>
      </c>
      <c r="F117" s="85">
        <v>0</v>
      </c>
      <c r="G117" s="47">
        <f t="shared" si="15"/>
        <v>0</v>
      </c>
      <c r="H117" s="86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7"/>
        <v>0</v>
      </c>
    </row>
    <row r="118" spans="1:13" ht="25.5" x14ac:dyDescent="0.55000000000000004">
      <c r="A118" s="10">
        <v>114</v>
      </c>
      <c r="B118" s="19" t="s">
        <v>129</v>
      </c>
      <c r="C118" s="79"/>
      <c r="D118" s="85">
        <v>0</v>
      </c>
      <c r="E118" s="47">
        <f t="shared" si="14"/>
        <v>0</v>
      </c>
      <c r="F118" s="85">
        <v>0</v>
      </c>
      <c r="G118" s="47">
        <f t="shared" si="15"/>
        <v>0</v>
      </c>
      <c r="H118" s="86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7"/>
        <v>0</v>
      </c>
    </row>
    <row r="119" spans="1:13" ht="25.5" x14ac:dyDescent="0.55000000000000004">
      <c r="A119" s="10">
        <v>115</v>
      </c>
      <c r="B119" s="19" t="s">
        <v>130</v>
      </c>
      <c r="C119" s="79"/>
      <c r="D119" s="85">
        <v>0</v>
      </c>
      <c r="E119" s="47">
        <f t="shared" si="14"/>
        <v>0</v>
      </c>
      <c r="F119" s="85">
        <v>0</v>
      </c>
      <c r="G119" s="47">
        <f t="shared" si="15"/>
        <v>0</v>
      </c>
      <c r="H119" s="86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7"/>
        <v>0</v>
      </c>
    </row>
    <row r="120" spans="1:13" ht="25.5" x14ac:dyDescent="0.55000000000000004">
      <c r="A120" s="10">
        <v>116</v>
      </c>
      <c r="B120" s="19" t="s">
        <v>131</v>
      </c>
      <c r="C120" s="79"/>
      <c r="D120" s="85">
        <v>0</v>
      </c>
      <c r="E120" s="47">
        <f t="shared" si="14"/>
        <v>0</v>
      </c>
      <c r="F120" s="85">
        <v>0</v>
      </c>
      <c r="G120" s="47">
        <f t="shared" si="15"/>
        <v>0</v>
      </c>
      <c r="H120" s="86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7"/>
        <v>0</v>
      </c>
    </row>
    <row r="121" spans="1:13" ht="25.5" x14ac:dyDescent="0.55000000000000004">
      <c r="A121" s="10">
        <v>117</v>
      </c>
      <c r="B121" s="19" t="s">
        <v>132</v>
      </c>
      <c r="C121" s="79"/>
      <c r="D121" s="85">
        <v>0</v>
      </c>
      <c r="E121" s="47">
        <f t="shared" si="14"/>
        <v>0</v>
      </c>
      <c r="F121" s="85">
        <v>0</v>
      </c>
      <c r="G121" s="47">
        <f t="shared" si="15"/>
        <v>0</v>
      </c>
      <c r="H121" s="86"/>
      <c r="I121" s="20">
        <v>50</v>
      </c>
      <c r="J121" s="80">
        <f t="shared" si="16"/>
        <v>0</v>
      </c>
      <c r="K121" s="17" t="s">
        <v>16</v>
      </c>
      <c r="L121" s="18">
        <v>0</v>
      </c>
      <c r="M121" s="23">
        <f t="shared" si="17"/>
        <v>0</v>
      </c>
    </row>
    <row r="122" spans="1:13" ht="25.5" x14ac:dyDescent="0.55000000000000004">
      <c r="A122" s="10">
        <v>118</v>
      </c>
      <c r="B122" s="19" t="s">
        <v>133</v>
      </c>
      <c r="C122" s="79"/>
      <c r="D122" s="85">
        <v>0</v>
      </c>
      <c r="E122" s="47">
        <f t="shared" si="14"/>
        <v>0</v>
      </c>
      <c r="F122" s="85">
        <v>0</v>
      </c>
      <c r="G122" s="47">
        <f t="shared" si="15"/>
        <v>0</v>
      </c>
      <c r="H122" s="86"/>
      <c r="I122" s="20">
        <v>40</v>
      </c>
      <c r="J122" s="80">
        <f t="shared" si="16"/>
        <v>0</v>
      </c>
      <c r="K122" s="17" t="s">
        <v>16</v>
      </c>
      <c r="L122" s="18">
        <v>0</v>
      </c>
      <c r="M122" s="23">
        <f t="shared" si="17"/>
        <v>0</v>
      </c>
    </row>
    <row r="123" spans="1:13" ht="25.5" x14ac:dyDescent="0.55000000000000004">
      <c r="A123" s="10">
        <v>119</v>
      </c>
      <c r="B123" s="19" t="s">
        <v>134</v>
      </c>
      <c r="C123" s="79"/>
      <c r="D123" s="85">
        <v>0</v>
      </c>
      <c r="E123" s="47">
        <f t="shared" si="14"/>
        <v>0</v>
      </c>
      <c r="F123" s="85">
        <v>0</v>
      </c>
      <c r="G123" s="47">
        <f t="shared" si="15"/>
        <v>0</v>
      </c>
      <c r="H123" s="86"/>
      <c r="I123" s="20">
        <v>35</v>
      </c>
      <c r="J123" s="80">
        <f t="shared" si="16"/>
        <v>0</v>
      </c>
      <c r="K123" s="17" t="s">
        <v>16</v>
      </c>
      <c r="L123" s="18">
        <v>0</v>
      </c>
      <c r="M123" s="23">
        <f t="shared" si="17"/>
        <v>0</v>
      </c>
    </row>
    <row r="124" spans="1:13" ht="25.5" x14ac:dyDescent="0.55000000000000004">
      <c r="A124" s="10">
        <v>120</v>
      </c>
      <c r="B124" s="19" t="s">
        <v>135</v>
      </c>
      <c r="C124" s="79"/>
      <c r="D124" s="85">
        <v>0</v>
      </c>
      <c r="E124" s="47">
        <f t="shared" si="14"/>
        <v>0</v>
      </c>
      <c r="F124" s="85">
        <v>0</v>
      </c>
      <c r="G124" s="47">
        <f t="shared" si="15"/>
        <v>0</v>
      </c>
      <c r="H124" s="86"/>
      <c r="I124" s="20">
        <v>40</v>
      </c>
      <c r="J124" s="80">
        <f t="shared" si="16"/>
        <v>0</v>
      </c>
      <c r="K124" s="17" t="s">
        <v>16</v>
      </c>
      <c r="L124" s="18">
        <v>0</v>
      </c>
      <c r="M124" s="23">
        <f t="shared" si="17"/>
        <v>0</v>
      </c>
    </row>
    <row r="125" spans="1:13" ht="25.5" x14ac:dyDescent="0.55000000000000004">
      <c r="A125" s="10">
        <v>121</v>
      </c>
      <c r="B125" s="19" t="s">
        <v>136</v>
      </c>
      <c r="C125" s="79"/>
      <c r="D125" s="85">
        <v>0</v>
      </c>
      <c r="E125" s="47">
        <f t="shared" si="14"/>
        <v>0</v>
      </c>
      <c r="F125" s="85">
        <v>0</v>
      </c>
      <c r="G125" s="47">
        <f t="shared" si="15"/>
        <v>0</v>
      </c>
      <c r="H125" s="86"/>
      <c r="I125" s="20">
        <v>40</v>
      </c>
      <c r="J125" s="80">
        <f t="shared" si="16"/>
        <v>0</v>
      </c>
      <c r="K125" s="17" t="s">
        <v>16</v>
      </c>
      <c r="L125" s="18">
        <v>0</v>
      </c>
      <c r="M125" s="23">
        <f t="shared" si="17"/>
        <v>0</v>
      </c>
    </row>
    <row r="126" spans="1:13" ht="25.5" x14ac:dyDescent="0.55000000000000004">
      <c r="A126" s="10">
        <v>122</v>
      </c>
      <c r="B126" s="19" t="s">
        <v>137</v>
      </c>
      <c r="C126" s="79"/>
      <c r="D126" s="85">
        <v>0</v>
      </c>
      <c r="E126" s="47">
        <f t="shared" si="14"/>
        <v>0</v>
      </c>
      <c r="F126" s="85">
        <v>0</v>
      </c>
      <c r="G126" s="47">
        <f t="shared" si="15"/>
        <v>0</v>
      </c>
      <c r="H126" s="86"/>
      <c r="I126" s="20">
        <v>30</v>
      </c>
      <c r="J126" s="80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5.5" x14ac:dyDescent="0.55000000000000004">
      <c r="A127" s="10">
        <v>123</v>
      </c>
      <c r="B127" s="19" t="s">
        <v>138</v>
      </c>
      <c r="C127" s="79"/>
      <c r="D127" s="85">
        <v>0</v>
      </c>
      <c r="E127" s="47">
        <f t="shared" si="14"/>
        <v>0</v>
      </c>
      <c r="F127" s="85">
        <v>0</v>
      </c>
      <c r="G127" s="47">
        <f t="shared" si="15"/>
        <v>0</v>
      </c>
      <c r="H127" s="86"/>
      <c r="I127" s="20">
        <v>40</v>
      </c>
      <c r="J127" s="80">
        <f t="shared" si="16"/>
        <v>0</v>
      </c>
      <c r="K127" s="17" t="s">
        <v>16</v>
      </c>
      <c r="L127" s="18">
        <v>0</v>
      </c>
      <c r="M127" s="23">
        <f t="shared" si="17"/>
        <v>0</v>
      </c>
    </row>
    <row r="128" spans="1:13" ht="25.5" x14ac:dyDescent="0.55000000000000004">
      <c r="A128" s="10">
        <v>124</v>
      </c>
      <c r="B128" s="19" t="s">
        <v>139</v>
      </c>
      <c r="C128" s="79">
        <v>81</v>
      </c>
      <c r="D128" s="85">
        <v>0</v>
      </c>
      <c r="E128" s="47">
        <f t="shared" si="14"/>
        <v>81</v>
      </c>
      <c r="F128" s="85">
        <v>0</v>
      </c>
      <c r="G128" s="47">
        <f t="shared" si="15"/>
        <v>81</v>
      </c>
      <c r="H128" s="86"/>
      <c r="I128" s="20">
        <v>20</v>
      </c>
      <c r="J128" s="80">
        <f t="shared" si="16"/>
        <v>0</v>
      </c>
      <c r="K128" s="17" t="s">
        <v>16</v>
      </c>
      <c r="L128" s="18">
        <v>0</v>
      </c>
      <c r="M128" s="23">
        <f t="shared" si="17"/>
        <v>0</v>
      </c>
    </row>
    <row r="129" spans="1:13" ht="25.5" x14ac:dyDescent="0.55000000000000004">
      <c r="A129" s="10">
        <v>125</v>
      </c>
      <c r="B129" s="19" t="s">
        <v>140</v>
      </c>
      <c r="C129" s="79"/>
      <c r="D129" s="85">
        <v>0</v>
      </c>
      <c r="E129" s="47">
        <f t="shared" si="14"/>
        <v>0</v>
      </c>
      <c r="F129" s="85">
        <v>0</v>
      </c>
      <c r="G129" s="47">
        <f t="shared" si="15"/>
        <v>0</v>
      </c>
      <c r="H129" s="86"/>
      <c r="I129" s="20">
        <v>35</v>
      </c>
      <c r="J129" s="80">
        <f t="shared" si="16"/>
        <v>0</v>
      </c>
      <c r="K129" s="17" t="s">
        <v>16</v>
      </c>
      <c r="L129" s="18">
        <v>0</v>
      </c>
      <c r="M129" s="23">
        <f t="shared" si="17"/>
        <v>0</v>
      </c>
    </row>
    <row r="130" spans="1:13" ht="25.5" x14ac:dyDescent="0.55000000000000004">
      <c r="A130" s="10">
        <v>126</v>
      </c>
      <c r="B130" s="19" t="s">
        <v>141</v>
      </c>
      <c r="C130" s="79"/>
      <c r="D130" s="85">
        <v>0</v>
      </c>
      <c r="E130" s="47">
        <f t="shared" si="14"/>
        <v>0</v>
      </c>
      <c r="F130" s="85">
        <v>0</v>
      </c>
      <c r="G130" s="47">
        <f t="shared" si="15"/>
        <v>0</v>
      </c>
      <c r="H130" s="86"/>
      <c r="I130" s="20">
        <v>40</v>
      </c>
      <c r="J130" s="80">
        <f t="shared" si="16"/>
        <v>0</v>
      </c>
      <c r="K130" s="17" t="s">
        <v>16</v>
      </c>
      <c r="L130" s="18">
        <v>0</v>
      </c>
      <c r="M130" s="23">
        <f t="shared" si="17"/>
        <v>0</v>
      </c>
    </row>
    <row r="131" spans="1:13" ht="25.5" x14ac:dyDescent="0.55000000000000004">
      <c r="A131" s="10">
        <v>127</v>
      </c>
      <c r="B131" s="19" t="s">
        <v>142</v>
      </c>
      <c r="C131" s="79"/>
      <c r="D131" s="85">
        <v>0</v>
      </c>
      <c r="E131" s="47">
        <f t="shared" si="14"/>
        <v>0</v>
      </c>
      <c r="F131" s="85">
        <v>0</v>
      </c>
      <c r="G131" s="47">
        <f t="shared" si="15"/>
        <v>0</v>
      </c>
      <c r="H131" s="86"/>
      <c r="I131" s="20">
        <v>50</v>
      </c>
      <c r="J131" s="80">
        <f t="shared" si="16"/>
        <v>0</v>
      </c>
      <c r="K131" s="17" t="s">
        <v>16</v>
      </c>
      <c r="L131" s="18">
        <v>0</v>
      </c>
      <c r="M131" s="23">
        <f t="shared" si="17"/>
        <v>0</v>
      </c>
    </row>
    <row r="132" spans="1:13" ht="25.5" x14ac:dyDescent="0.55000000000000004">
      <c r="A132" s="10">
        <v>128</v>
      </c>
      <c r="B132" s="19" t="s">
        <v>143</v>
      </c>
      <c r="C132" s="79"/>
      <c r="D132" s="85">
        <v>0</v>
      </c>
      <c r="E132" s="47">
        <f t="shared" si="14"/>
        <v>0</v>
      </c>
      <c r="F132" s="85">
        <v>0</v>
      </c>
      <c r="G132" s="47">
        <f t="shared" si="15"/>
        <v>0</v>
      </c>
      <c r="H132" s="86"/>
      <c r="I132" s="20">
        <v>55</v>
      </c>
      <c r="J132" s="80">
        <f t="shared" si="16"/>
        <v>0</v>
      </c>
      <c r="K132" s="17" t="s">
        <v>16</v>
      </c>
      <c r="L132" s="18">
        <v>0</v>
      </c>
      <c r="M132" s="23">
        <f t="shared" si="17"/>
        <v>0</v>
      </c>
    </row>
    <row r="133" spans="1:13" ht="25.5" x14ac:dyDescent="0.55000000000000004">
      <c r="A133" s="10">
        <v>129</v>
      </c>
      <c r="B133" s="19" t="s">
        <v>144</v>
      </c>
      <c r="C133" s="79"/>
      <c r="D133" s="85">
        <v>0</v>
      </c>
      <c r="E133" s="47">
        <f t="shared" si="14"/>
        <v>0</v>
      </c>
      <c r="F133" s="85">
        <v>0</v>
      </c>
      <c r="G133" s="47">
        <f t="shared" si="15"/>
        <v>0</v>
      </c>
      <c r="H133" s="86"/>
      <c r="I133" s="20">
        <v>55</v>
      </c>
      <c r="J133" s="80">
        <f t="shared" si="16"/>
        <v>0</v>
      </c>
      <c r="K133" s="17" t="s">
        <v>16</v>
      </c>
      <c r="L133" s="18">
        <v>0</v>
      </c>
      <c r="M133" s="23">
        <f t="shared" si="17"/>
        <v>0</v>
      </c>
    </row>
    <row r="134" spans="1:13" ht="25.5" x14ac:dyDescent="0.55000000000000004">
      <c r="A134" s="10">
        <v>130</v>
      </c>
      <c r="B134" s="19" t="s">
        <v>145</v>
      </c>
      <c r="C134" s="79"/>
      <c r="D134" s="85">
        <v>0</v>
      </c>
      <c r="E134" s="47">
        <f t="shared" si="14"/>
        <v>0</v>
      </c>
      <c r="F134" s="85">
        <v>0</v>
      </c>
      <c r="G134" s="47">
        <f t="shared" si="15"/>
        <v>0</v>
      </c>
      <c r="H134" s="86"/>
      <c r="I134" s="20">
        <v>45</v>
      </c>
      <c r="J134" s="80">
        <f t="shared" si="16"/>
        <v>0</v>
      </c>
      <c r="K134" s="17" t="s">
        <v>16</v>
      </c>
      <c r="L134" s="18">
        <v>0</v>
      </c>
      <c r="M134" s="23">
        <f t="shared" si="17"/>
        <v>0</v>
      </c>
    </row>
    <row r="135" spans="1:13" ht="25.5" x14ac:dyDescent="0.55000000000000004">
      <c r="A135" s="10">
        <v>131</v>
      </c>
      <c r="B135" s="19" t="s">
        <v>146</v>
      </c>
      <c r="C135" s="79"/>
      <c r="D135" s="85">
        <v>0</v>
      </c>
      <c r="E135" s="47">
        <f t="shared" si="14"/>
        <v>0</v>
      </c>
      <c r="F135" s="85">
        <v>0</v>
      </c>
      <c r="G135" s="47">
        <f t="shared" si="15"/>
        <v>0</v>
      </c>
      <c r="H135" s="86"/>
      <c r="I135" s="20">
        <v>45</v>
      </c>
      <c r="J135" s="80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 x14ac:dyDescent="0.55000000000000004">
      <c r="A136" s="10">
        <v>132</v>
      </c>
      <c r="B136" s="19" t="s">
        <v>147</v>
      </c>
      <c r="C136" s="79"/>
      <c r="D136" s="85">
        <v>0</v>
      </c>
      <c r="E136" s="47">
        <f t="shared" si="14"/>
        <v>0</v>
      </c>
      <c r="F136" s="85">
        <v>0</v>
      </c>
      <c r="G136" s="47">
        <f t="shared" si="15"/>
        <v>0</v>
      </c>
      <c r="H136" s="86"/>
      <c r="I136" s="20">
        <v>55</v>
      </c>
      <c r="J136" s="80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 x14ac:dyDescent="0.55000000000000004">
      <c r="A137" s="10">
        <v>133</v>
      </c>
      <c r="B137" s="19" t="s">
        <v>148</v>
      </c>
      <c r="C137" s="79"/>
      <c r="D137" s="85">
        <v>0</v>
      </c>
      <c r="E137" s="47">
        <f t="shared" si="14"/>
        <v>0</v>
      </c>
      <c r="F137" s="85">
        <v>0</v>
      </c>
      <c r="G137" s="47">
        <f t="shared" si="15"/>
        <v>0</v>
      </c>
      <c r="H137" s="86"/>
      <c r="I137" s="20">
        <v>45</v>
      </c>
      <c r="J137" s="80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 x14ac:dyDescent="0.55000000000000004">
      <c r="A138" s="10">
        <v>134</v>
      </c>
      <c r="B138" s="19" t="s">
        <v>149</v>
      </c>
      <c r="C138" s="79"/>
      <c r="D138" s="85">
        <v>0</v>
      </c>
      <c r="E138" s="47">
        <f t="shared" si="14"/>
        <v>0</v>
      </c>
      <c r="F138" s="85">
        <v>0</v>
      </c>
      <c r="G138" s="47">
        <f t="shared" si="15"/>
        <v>0</v>
      </c>
      <c r="H138" s="86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 x14ac:dyDescent="0.55000000000000004">
      <c r="A139" s="10">
        <v>135</v>
      </c>
      <c r="B139" s="19" t="s">
        <v>150</v>
      </c>
      <c r="C139" s="79"/>
      <c r="D139" s="85">
        <v>0</v>
      </c>
      <c r="E139" s="47">
        <f t="shared" si="14"/>
        <v>0</v>
      </c>
      <c r="F139" s="85">
        <v>0</v>
      </c>
      <c r="G139" s="47">
        <f t="shared" si="15"/>
        <v>0</v>
      </c>
      <c r="H139" s="86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 x14ac:dyDescent="0.55000000000000004">
      <c r="A140" s="10">
        <v>136</v>
      </c>
      <c r="B140" s="19" t="s">
        <v>151</v>
      </c>
      <c r="C140" s="79"/>
      <c r="D140" s="85">
        <v>0</v>
      </c>
      <c r="E140" s="47">
        <f t="shared" si="14"/>
        <v>0</v>
      </c>
      <c r="F140" s="85">
        <v>0</v>
      </c>
      <c r="G140" s="47">
        <f t="shared" si="15"/>
        <v>0</v>
      </c>
      <c r="H140" s="86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 x14ac:dyDescent="0.55000000000000004">
      <c r="A141" s="10">
        <v>137</v>
      </c>
      <c r="B141" s="19" t="s">
        <v>152</v>
      </c>
      <c r="C141" s="79"/>
      <c r="D141" s="85">
        <v>0</v>
      </c>
      <c r="E141" s="47">
        <f t="shared" si="14"/>
        <v>0</v>
      </c>
      <c r="F141" s="85">
        <v>0</v>
      </c>
      <c r="G141" s="47">
        <f t="shared" si="15"/>
        <v>0</v>
      </c>
      <c r="H141" s="86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 x14ac:dyDescent="0.55000000000000004">
      <c r="A142" s="10">
        <v>138</v>
      </c>
      <c r="B142" s="19" t="s">
        <v>153</v>
      </c>
      <c r="C142" s="79"/>
      <c r="D142" s="85">
        <v>0</v>
      </c>
      <c r="E142" s="47">
        <f t="shared" si="14"/>
        <v>0</v>
      </c>
      <c r="F142" s="85">
        <v>0</v>
      </c>
      <c r="G142" s="47">
        <f t="shared" si="15"/>
        <v>0</v>
      </c>
      <c r="H142" s="86"/>
      <c r="I142" s="20">
        <v>45</v>
      </c>
      <c r="J142" s="80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 x14ac:dyDescent="0.55000000000000004">
      <c r="A143" s="10">
        <v>139</v>
      </c>
      <c r="B143" s="19" t="s">
        <v>154</v>
      </c>
      <c r="C143" s="79"/>
      <c r="D143" s="85">
        <v>0</v>
      </c>
      <c r="E143" s="47">
        <f t="shared" si="14"/>
        <v>0</v>
      </c>
      <c r="F143" s="85">
        <v>0</v>
      </c>
      <c r="G143" s="47">
        <f t="shared" si="15"/>
        <v>0</v>
      </c>
      <c r="H143" s="86"/>
      <c r="I143" s="20">
        <v>120</v>
      </c>
      <c r="J143" s="80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13" ht="25.5" x14ac:dyDescent="0.55000000000000004">
      <c r="A144" s="10">
        <v>140</v>
      </c>
      <c r="B144" s="19" t="s">
        <v>155</v>
      </c>
      <c r="C144" s="79"/>
      <c r="D144" s="85">
        <v>0</v>
      </c>
      <c r="E144" s="47">
        <f t="shared" ref="E144:E207" si="18">C144+D144</f>
        <v>0</v>
      </c>
      <c r="F144" s="85">
        <v>0</v>
      </c>
      <c r="G144" s="47">
        <f t="shared" ref="G144:G207" si="19">+E144-F144-H144</f>
        <v>0</v>
      </c>
      <c r="H144" s="86"/>
      <c r="I144" s="20">
        <v>120</v>
      </c>
      <c r="J144" s="80">
        <f t="shared" ref="J144:J207" si="20">+I144*H144</f>
        <v>0</v>
      </c>
      <c r="K144" s="17" t="s">
        <v>16</v>
      </c>
      <c r="L144" s="18">
        <v>0</v>
      </c>
      <c r="M144" s="23">
        <f t="shared" ref="M144:M207" si="21">SUM(J144-L144)</f>
        <v>0</v>
      </c>
    </row>
    <row r="145" spans="1:26" ht="25.5" x14ac:dyDescent="0.55000000000000004">
      <c r="A145" s="10">
        <v>141</v>
      </c>
      <c r="B145" s="19" t="s">
        <v>156</v>
      </c>
      <c r="C145" s="79"/>
      <c r="D145" s="85">
        <v>0</v>
      </c>
      <c r="E145" s="47">
        <f t="shared" si="18"/>
        <v>0</v>
      </c>
      <c r="F145" s="85">
        <v>0</v>
      </c>
      <c r="G145" s="47">
        <f t="shared" si="19"/>
        <v>0</v>
      </c>
      <c r="H145" s="86"/>
      <c r="I145" s="20">
        <v>120</v>
      </c>
      <c r="J145" s="80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26" ht="25.5" x14ac:dyDescent="0.55000000000000004">
      <c r="A146" s="10">
        <v>142</v>
      </c>
      <c r="B146" s="19" t="s">
        <v>157</v>
      </c>
      <c r="C146" s="79"/>
      <c r="D146" s="85">
        <v>0</v>
      </c>
      <c r="E146" s="47">
        <f t="shared" si="18"/>
        <v>0</v>
      </c>
      <c r="F146" s="85">
        <v>0</v>
      </c>
      <c r="G146" s="47">
        <f t="shared" si="19"/>
        <v>0</v>
      </c>
      <c r="H146" s="86"/>
      <c r="I146" s="20">
        <v>120</v>
      </c>
      <c r="J146" s="80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26" ht="25.5" x14ac:dyDescent="0.55000000000000004">
      <c r="A147" s="10">
        <v>143</v>
      </c>
      <c r="B147" s="19" t="s">
        <v>158</v>
      </c>
      <c r="C147" s="79"/>
      <c r="D147" s="85">
        <v>0</v>
      </c>
      <c r="E147" s="47">
        <f t="shared" si="18"/>
        <v>0</v>
      </c>
      <c r="F147" s="85">
        <v>0</v>
      </c>
      <c r="G147" s="47">
        <f t="shared" si="19"/>
        <v>0</v>
      </c>
      <c r="H147" s="86"/>
      <c r="I147" s="20">
        <v>185</v>
      </c>
      <c r="J147" s="80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26" ht="25.5" x14ac:dyDescent="0.55000000000000004">
      <c r="A148" s="10">
        <v>144</v>
      </c>
      <c r="B148" s="19" t="s">
        <v>159</v>
      </c>
      <c r="C148" s="79"/>
      <c r="D148" s="85">
        <v>0</v>
      </c>
      <c r="E148" s="47">
        <f t="shared" si="18"/>
        <v>0</v>
      </c>
      <c r="F148" s="85">
        <v>0</v>
      </c>
      <c r="G148" s="47">
        <f t="shared" si="19"/>
        <v>0</v>
      </c>
      <c r="H148" s="86"/>
      <c r="I148" s="20">
        <v>185</v>
      </c>
      <c r="J148" s="80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26" ht="25.5" x14ac:dyDescent="0.55000000000000004">
      <c r="A149" s="10">
        <v>145</v>
      </c>
      <c r="B149" s="19" t="s">
        <v>160</v>
      </c>
      <c r="C149" s="79"/>
      <c r="D149" s="85">
        <v>0</v>
      </c>
      <c r="E149" s="47">
        <f t="shared" si="18"/>
        <v>0</v>
      </c>
      <c r="F149" s="85">
        <v>0</v>
      </c>
      <c r="G149" s="47">
        <f t="shared" si="19"/>
        <v>0</v>
      </c>
      <c r="H149" s="86"/>
      <c r="I149" s="20">
        <v>185</v>
      </c>
      <c r="J149" s="80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26" ht="25.5" x14ac:dyDescent="0.55000000000000004">
      <c r="A150" s="10">
        <v>146</v>
      </c>
      <c r="B150" s="19" t="s">
        <v>161</v>
      </c>
      <c r="C150" s="79"/>
      <c r="D150" s="85">
        <v>0</v>
      </c>
      <c r="E150" s="47">
        <f t="shared" si="18"/>
        <v>0</v>
      </c>
      <c r="F150" s="85">
        <v>0</v>
      </c>
      <c r="G150" s="47">
        <f t="shared" si="19"/>
        <v>0</v>
      </c>
      <c r="H150" s="86"/>
      <c r="I150" s="20">
        <v>185</v>
      </c>
      <c r="J150" s="80">
        <f t="shared" si="20"/>
        <v>0</v>
      </c>
      <c r="K150" s="17" t="s">
        <v>16</v>
      </c>
      <c r="L150" s="18">
        <v>0</v>
      </c>
      <c r="M150" s="23">
        <f t="shared" si="21"/>
        <v>0</v>
      </c>
    </row>
    <row r="151" spans="1:26" ht="25.5" x14ac:dyDescent="0.55000000000000004">
      <c r="A151" s="10">
        <v>147</v>
      </c>
      <c r="B151" s="19" t="s">
        <v>248</v>
      </c>
      <c r="C151" s="79"/>
      <c r="D151" s="85">
        <v>0</v>
      </c>
      <c r="E151" s="47">
        <f t="shared" si="18"/>
        <v>0</v>
      </c>
      <c r="F151" s="85">
        <v>0</v>
      </c>
      <c r="G151" s="47">
        <f t="shared" si="19"/>
        <v>0</v>
      </c>
      <c r="H151" s="86"/>
      <c r="I151" s="20">
        <v>150</v>
      </c>
      <c r="J151" s="80">
        <f t="shared" si="20"/>
        <v>0</v>
      </c>
      <c r="K151" s="17" t="s">
        <v>16</v>
      </c>
      <c r="L151" s="18">
        <v>0</v>
      </c>
      <c r="M151" s="23">
        <f t="shared" si="21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/>
      <c r="D152" s="85">
        <v>0</v>
      </c>
      <c r="E152" s="47">
        <f t="shared" si="18"/>
        <v>0</v>
      </c>
      <c r="F152" s="85">
        <v>0</v>
      </c>
      <c r="G152" s="47">
        <f t="shared" si="19"/>
        <v>0</v>
      </c>
      <c r="H152" s="86"/>
      <c r="I152" s="20">
        <v>120</v>
      </c>
      <c r="J152" s="80">
        <f t="shared" si="20"/>
        <v>0</v>
      </c>
      <c r="K152" s="17" t="s">
        <v>16</v>
      </c>
      <c r="L152" s="18">
        <v>0</v>
      </c>
      <c r="M152" s="23">
        <f t="shared" si="21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/>
      <c r="D153" s="85">
        <v>0</v>
      </c>
      <c r="E153" s="47">
        <f t="shared" si="18"/>
        <v>0</v>
      </c>
      <c r="F153" s="85">
        <v>0</v>
      </c>
      <c r="G153" s="47">
        <f t="shared" si="19"/>
        <v>0</v>
      </c>
      <c r="H153" s="86"/>
      <c r="I153" s="20">
        <v>120</v>
      </c>
      <c r="J153" s="80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26" ht="25.5" x14ac:dyDescent="0.55000000000000004">
      <c r="A154" s="10">
        <v>150</v>
      </c>
      <c r="B154" s="19" t="s">
        <v>165</v>
      </c>
      <c r="C154" s="79"/>
      <c r="D154" s="85">
        <v>0</v>
      </c>
      <c r="E154" s="47">
        <f t="shared" si="18"/>
        <v>0</v>
      </c>
      <c r="F154" s="85">
        <v>0</v>
      </c>
      <c r="G154" s="47">
        <f t="shared" si="19"/>
        <v>0</v>
      </c>
      <c r="H154" s="86"/>
      <c r="I154" s="20">
        <v>120</v>
      </c>
      <c r="J154" s="80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26" ht="25.5" x14ac:dyDescent="0.55000000000000004">
      <c r="A155" s="10">
        <v>151</v>
      </c>
      <c r="B155" s="19" t="s">
        <v>166</v>
      </c>
      <c r="C155" s="79"/>
      <c r="D155" s="85">
        <v>0</v>
      </c>
      <c r="E155" s="47">
        <f t="shared" si="18"/>
        <v>0</v>
      </c>
      <c r="F155" s="85">
        <v>0</v>
      </c>
      <c r="G155" s="47">
        <f t="shared" si="19"/>
        <v>0</v>
      </c>
      <c r="H155" s="86"/>
      <c r="I155" s="20">
        <v>185</v>
      </c>
      <c r="J155" s="80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26" ht="25.5" x14ac:dyDescent="0.55000000000000004">
      <c r="A156" s="10">
        <v>152</v>
      </c>
      <c r="B156" s="19" t="s">
        <v>167</v>
      </c>
      <c r="C156" s="79"/>
      <c r="D156" s="85">
        <v>0</v>
      </c>
      <c r="E156" s="47">
        <f t="shared" si="18"/>
        <v>0</v>
      </c>
      <c r="F156" s="85">
        <v>0</v>
      </c>
      <c r="G156" s="47">
        <f t="shared" si="19"/>
        <v>0</v>
      </c>
      <c r="H156" s="86"/>
      <c r="I156" s="20">
        <v>185</v>
      </c>
      <c r="J156" s="80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26" ht="25.5" x14ac:dyDescent="0.55000000000000004">
      <c r="A157" s="10">
        <v>153</v>
      </c>
      <c r="B157" s="19" t="s">
        <v>168</v>
      </c>
      <c r="C157" s="79"/>
      <c r="D157" s="85">
        <v>0</v>
      </c>
      <c r="E157" s="47">
        <f t="shared" si="18"/>
        <v>0</v>
      </c>
      <c r="F157" s="85">
        <v>0</v>
      </c>
      <c r="G157" s="47">
        <f t="shared" si="19"/>
        <v>0</v>
      </c>
      <c r="H157" s="86"/>
      <c r="I157" s="20">
        <v>185</v>
      </c>
      <c r="J157" s="80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26" ht="25.5" x14ac:dyDescent="0.55000000000000004">
      <c r="A158" s="10">
        <v>154</v>
      </c>
      <c r="B158" s="19" t="s">
        <v>169</v>
      </c>
      <c r="C158" s="79"/>
      <c r="D158" s="85">
        <v>0</v>
      </c>
      <c r="E158" s="47">
        <f t="shared" si="18"/>
        <v>0</v>
      </c>
      <c r="F158" s="85">
        <v>0</v>
      </c>
      <c r="G158" s="47">
        <f t="shared" si="19"/>
        <v>0</v>
      </c>
      <c r="H158" s="86"/>
      <c r="I158" s="20">
        <v>185</v>
      </c>
      <c r="J158" s="80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26" ht="25.5" x14ac:dyDescent="0.55000000000000004">
      <c r="A159" s="10">
        <v>155</v>
      </c>
      <c r="B159" s="19" t="s">
        <v>170</v>
      </c>
      <c r="C159" s="79"/>
      <c r="D159" s="85">
        <v>0</v>
      </c>
      <c r="E159" s="47">
        <f t="shared" si="18"/>
        <v>0</v>
      </c>
      <c r="F159" s="85">
        <v>0</v>
      </c>
      <c r="G159" s="47">
        <f t="shared" si="19"/>
        <v>0</v>
      </c>
      <c r="H159" s="86"/>
      <c r="I159" s="20">
        <v>135</v>
      </c>
      <c r="J159" s="80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26" ht="25.5" x14ac:dyDescent="0.55000000000000004">
      <c r="A160" s="10">
        <v>156</v>
      </c>
      <c r="B160" s="19" t="s">
        <v>171</v>
      </c>
      <c r="C160" s="79"/>
      <c r="D160" s="85">
        <v>0</v>
      </c>
      <c r="E160" s="47">
        <f t="shared" si="18"/>
        <v>0</v>
      </c>
      <c r="F160" s="85">
        <v>0</v>
      </c>
      <c r="G160" s="47">
        <f t="shared" si="19"/>
        <v>0</v>
      </c>
      <c r="H160" s="86"/>
      <c r="I160" s="20">
        <v>90</v>
      </c>
      <c r="J160" s="80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5.5" x14ac:dyDescent="0.55000000000000004">
      <c r="A161" s="10">
        <v>157</v>
      </c>
      <c r="B161" s="19" t="s">
        <v>172</v>
      </c>
      <c r="C161" s="79"/>
      <c r="D161" s="85">
        <v>0</v>
      </c>
      <c r="E161" s="47">
        <f t="shared" si="18"/>
        <v>0</v>
      </c>
      <c r="F161" s="85">
        <v>0</v>
      </c>
      <c r="G161" s="47">
        <f t="shared" si="19"/>
        <v>0</v>
      </c>
      <c r="H161" s="86"/>
      <c r="I161" s="20">
        <v>90</v>
      </c>
      <c r="J161" s="80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5.5" x14ac:dyDescent="0.55000000000000004">
      <c r="A162" s="10">
        <v>158</v>
      </c>
      <c r="B162" s="19" t="s">
        <v>173</v>
      </c>
      <c r="C162" s="79"/>
      <c r="D162" s="85">
        <v>0</v>
      </c>
      <c r="E162" s="47">
        <f t="shared" si="18"/>
        <v>0</v>
      </c>
      <c r="F162" s="85">
        <v>0</v>
      </c>
      <c r="G162" s="47">
        <f t="shared" si="19"/>
        <v>0</v>
      </c>
      <c r="H162" s="86"/>
      <c r="I162" s="20">
        <v>90</v>
      </c>
      <c r="J162" s="80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5.5" x14ac:dyDescent="0.55000000000000004">
      <c r="A163" s="10">
        <v>159</v>
      </c>
      <c r="B163" s="19" t="s">
        <v>174</v>
      </c>
      <c r="C163" s="79"/>
      <c r="D163" s="85">
        <v>0</v>
      </c>
      <c r="E163" s="47">
        <f t="shared" si="18"/>
        <v>0</v>
      </c>
      <c r="F163" s="85">
        <v>0</v>
      </c>
      <c r="G163" s="47">
        <f t="shared" si="19"/>
        <v>0</v>
      </c>
      <c r="H163" s="86"/>
      <c r="I163" s="20">
        <v>90</v>
      </c>
      <c r="J163" s="80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5.5" x14ac:dyDescent="0.55000000000000004">
      <c r="A164" s="10">
        <v>160</v>
      </c>
      <c r="B164" s="19" t="s">
        <v>175</v>
      </c>
      <c r="C164" s="79"/>
      <c r="D164" s="85">
        <v>0</v>
      </c>
      <c r="E164" s="47">
        <f t="shared" si="18"/>
        <v>0</v>
      </c>
      <c r="F164" s="85">
        <v>0</v>
      </c>
      <c r="G164" s="47">
        <f t="shared" si="19"/>
        <v>0</v>
      </c>
      <c r="H164" s="86"/>
      <c r="I164" s="20">
        <v>25</v>
      </c>
      <c r="J164" s="80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5.5" x14ac:dyDescent="0.55000000000000004">
      <c r="A165" s="10">
        <v>161</v>
      </c>
      <c r="B165" s="19" t="s">
        <v>176</v>
      </c>
      <c r="C165" s="79"/>
      <c r="D165" s="85">
        <v>0</v>
      </c>
      <c r="E165" s="47">
        <f t="shared" si="18"/>
        <v>0</v>
      </c>
      <c r="F165" s="85">
        <v>0</v>
      </c>
      <c r="G165" s="47">
        <f t="shared" si="19"/>
        <v>0</v>
      </c>
      <c r="H165" s="86"/>
      <c r="I165" s="20">
        <v>50</v>
      </c>
      <c r="J165" s="80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5.5" x14ac:dyDescent="0.55000000000000004">
      <c r="A166" s="10">
        <v>162</v>
      </c>
      <c r="B166" s="19" t="s">
        <v>177</v>
      </c>
      <c r="C166" s="79"/>
      <c r="D166" s="85">
        <v>0</v>
      </c>
      <c r="E166" s="47">
        <f t="shared" si="18"/>
        <v>0</v>
      </c>
      <c r="F166" s="85">
        <v>0</v>
      </c>
      <c r="G166" s="47">
        <f t="shared" si="19"/>
        <v>0</v>
      </c>
      <c r="H166" s="86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5.5" x14ac:dyDescent="0.55000000000000004">
      <c r="A167" s="10">
        <v>163</v>
      </c>
      <c r="B167" s="19" t="s">
        <v>178</v>
      </c>
      <c r="C167" s="79"/>
      <c r="D167" s="85">
        <v>0</v>
      </c>
      <c r="E167" s="47">
        <f t="shared" si="18"/>
        <v>0</v>
      </c>
      <c r="F167" s="85">
        <v>0</v>
      </c>
      <c r="G167" s="47">
        <f t="shared" si="19"/>
        <v>0</v>
      </c>
      <c r="H167" s="86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5.5" x14ac:dyDescent="0.55000000000000004">
      <c r="A168" s="10">
        <v>164</v>
      </c>
      <c r="B168" s="19" t="s">
        <v>179</v>
      </c>
      <c r="C168" s="79"/>
      <c r="D168" s="85">
        <v>0</v>
      </c>
      <c r="E168" s="47">
        <f t="shared" si="18"/>
        <v>0</v>
      </c>
      <c r="F168" s="85">
        <v>0</v>
      </c>
      <c r="G168" s="47">
        <f t="shared" si="19"/>
        <v>0</v>
      </c>
      <c r="H168" s="86"/>
      <c r="I168" s="20">
        <v>50</v>
      </c>
      <c r="J168" s="80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5.5" x14ac:dyDescent="0.55000000000000004">
      <c r="A169" s="10">
        <v>165</v>
      </c>
      <c r="B169" s="19" t="s">
        <v>180</v>
      </c>
      <c r="C169" s="79">
        <v>46</v>
      </c>
      <c r="D169" s="85">
        <v>0</v>
      </c>
      <c r="E169" s="47">
        <f t="shared" si="18"/>
        <v>46</v>
      </c>
      <c r="F169" s="85">
        <v>0</v>
      </c>
      <c r="G169" s="47">
        <f t="shared" si="19"/>
        <v>46</v>
      </c>
      <c r="H169" s="86"/>
      <c r="I169" s="20">
        <v>55</v>
      </c>
      <c r="J169" s="80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5.5" x14ac:dyDescent="0.55000000000000004">
      <c r="A170" s="10">
        <v>166</v>
      </c>
      <c r="B170" s="19" t="s">
        <v>181</v>
      </c>
      <c r="C170" s="79"/>
      <c r="D170" s="85">
        <v>0</v>
      </c>
      <c r="E170" s="47">
        <f t="shared" si="18"/>
        <v>0</v>
      </c>
      <c r="F170" s="85">
        <v>0</v>
      </c>
      <c r="G170" s="47">
        <f t="shared" si="19"/>
        <v>0</v>
      </c>
      <c r="H170" s="86"/>
      <c r="I170" s="20">
        <v>85</v>
      </c>
      <c r="J170" s="80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5.5" x14ac:dyDescent="0.55000000000000004">
      <c r="A171" s="10">
        <v>167</v>
      </c>
      <c r="B171" s="19" t="s">
        <v>182</v>
      </c>
      <c r="C171" s="79">
        <v>12</v>
      </c>
      <c r="D171" s="85">
        <v>0</v>
      </c>
      <c r="E171" s="47">
        <f t="shared" si="18"/>
        <v>12</v>
      </c>
      <c r="F171" s="85">
        <v>0</v>
      </c>
      <c r="G171" s="47">
        <f t="shared" si="19"/>
        <v>12</v>
      </c>
      <c r="H171" s="86"/>
      <c r="I171" s="20">
        <v>80</v>
      </c>
      <c r="J171" s="80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5.5" x14ac:dyDescent="0.55000000000000004">
      <c r="A172" s="10">
        <v>168</v>
      </c>
      <c r="B172" s="19" t="s">
        <v>183</v>
      </c>
      <c r="C172" s="79"/>
      <c r="D172" s="85">
        <v>0</v>
      </c>
      <c r="E172" s="47">
        <f t="shared" si="18"/>
        <v>0</v>
      </c>
      <c r="F172" s="85">
        <v>0</v>
      </c>
      <c r="G172" s="47">
        <f t="shared" si="19"/>
        <v>0</v>
      </c>
      <c r="H172" s="86"/>
      <c r="I172" s="20">
        <v>40</v>
      </c>
      <c r="J172" s="80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5.5" x14ac:dyDescent="0.55000000000000004">
      <c r="A173" s="10">
        <v>169</v>
      </c>
      <c r="B173" s="19" t="s">
        <v>184</v>
      </c>
      <c r="C173" s="79"/>
      <c r="D173" s="85">
        <v>0</v>
      </c>
      <c r="E173" s="47">
        <f t="shared" si="18"/>
        <v>0</v>
      </c>
      <c r="F173" s="85">
        <v>0</v>
      </c>
      <c r="G173" s="47">
        <f t="shared" si="19"/>
        <v>0</v>
      </c>
      <c r="H173" s="86"/>
      <c r="I173" s="20">
        <v>120</v>
      </c>
      <c r="J173" s="80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5.5" x14ac:dyDescent="0.55000000000000004">
      <c r="A174" s="10">
        <v>170</v>
      </c>
      <c r="B174" s="19" t="s">
        <v>185</v>
      </c>
      <c r="C174" s="79"/>
      <c r="D174" s="85">
        <v>0</v>
      </c>
      <c r="E174" s="47">
        <f t="shared" si="18"/>
        <v>0</v>
      </c>
      <c r="F174" s="85">
        <v>0</v>
      </c>
      <c r="G174" s="47">
        <f t="shared" si="19"/>
        <v>0</v>
      </c>
      <c r="H174" s="86"/>
      <c r="I174" s="20">
        <v>120</v>
      </c>
      <c r="J174" s="80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5.5" x14ac:dyDescent="0.55000000000000004">
      <c r="A175" s="10">
        <v>171</v>
      </c>
      <c r="B175" s="19" t="s">
        <v>186</v>
      </c>
      <c r="C175" s="79"/>
      <c r="D175" s="85">
        <v>0</v>
      </c>
      <c r="E175" s="47">
        <f t="shared" si="18"/>
        <v>0</v>
      </c>
      <c r="F175" s="85">
        <v>0</v>
      </c>
      <c r="G175" s="47">
        <f t="shared" si="19"/>
        <v>0</v>
      </c>
      <c r="H175" s="86"/>
      <c r="I175" s="20">
        <v>55</v>
      </c>
      <c r="J175" s="80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5.5" x14ac:dyDescent="0.55000000000000004">
      <c r="A176" s="10">
        <v>172</v>
      </c>
      <c r="B176" s="19" t="s">
        <v>187</v>
      </c>
      <c r="C176" s="79"/>
      <c r="D176" s="85">
        <v>0</v>
      </c>
      <c r="E176" s="47">
        <f t="shared" si="18"/>
        <v>0</v>
      </c>
      <c r="F176" s="85">
        <v>0</v>
      </c>
      <c r="G176" s="47">
        <f t="shared" si="19"/>
        <v>0</v>
      </c>
      <c r="H176" s="86"/>
      <c r="I176" s="20">
        <v>50</v>
      </c>
      <c r="J176" s="80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5.5" x14ac:dyDescent="0.55000000000000004">
      <c r="A177" s="10">
        <v>173</v>
      </c>
      <c r="B177" s="19" t="s">
        <v>188</v>
      </c>
      <c r="C177" s="79">
        <v>2</v>
      </c>
      <c r="D177" s="85">
        <v>0</v>
      </c>
      <c r="E177" s="47">
        <f t="shared" si="18"/>
        <v>2</v>
      </c>
      <c r="F177" s="85">
        <v>0</v>
      </c>
      <c r="G177" s="47">
        <f t="shared" si="19"/>
        <v>2</v>
      </c>
      <c r="H177" s="86"/>
      <c r="I177" s="20">
        <v>50</v>
      </c>
      <c r="J177" s="80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5.5" x14ac:dyDescent="0.55000000000000004">
      <c r="A178" s="10">
        <v>174</v>
      </c>
      <c r="B178" s="19" t="s">
        <v>189</v>
      </c>
      <c r="C178" s="79">
        <v>0</v>
      </c>
      <c r="D178" s="85">
        <v>0</v>
      </c>
      <c r="E178" s="47">
        <f t="shared" si="18"/>
        <v>0</v>
      </c>
      <c r="F178" s="85">
        <v>0</v>
      </c>
      <c r="G178" s="47">
        <f t="shared" si="19"/>
        <v>0</v>
      </c>
      <c r="H178" s="86"/>
      <c r="I178" s="20">
        <v>120</v>
      </c>
      <c r="J178" s="80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5.5" x14ac:dyDescent="0.55000000000000004">
      <c r="A179" s="10">
        <v>175</v>
      </c>
      <c r="B179" s="19" t="s">
        <v>190</v>
      </c>
      <c r="C179" s="79">
        <v>1</v>
      </c>
      <c r="D179" s="85">
        <v>0</v>
      </c>
      <c r="E179" s="47">
        <f t="shared" si="18"/>
        <v>1</v>
      </c>
      <c r="F179" s="85">
        <v>0</v>
      </c>
      <c r="G179" s="47">
        <f t="shared" si="19"/>
        <v>1</v>
      </c>
      <c r="H179" s="86"/>
      <c r="I179" s="20">
        <v>120</v>
      </c>
      <c r="J179" s="80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5.5" x14ac:dyDescent="0.55000000000000004">
      <c r="A180" s="10">
        <v>176</v>
      </c>
      <c r="B180" s="19" t="s">
        <v>191</v>
      </c>
      <c r="C180" s="79"/>
      <c r="D180" s="85">
        <v>0</v>
      </c>
      <c r="E180" s="47">
        <f t="shared" si="18"/>
        <v>0</v>
      </c>
      <c r="F180" s="85">
        <v>0</v>
      </c>
      <c r="G180" s="47">
        <f t="shared" si="19"/>
        <v>0</v>
      </c>
      <c r="H180" s="86"/>
      <c r="I180" s="20">
        <v>10</v>
      </c>
      <c r="J180" s="80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5.5" x14ac:dyDescent="0.55000000000000004">
      <c r="A181" s="10">
        <v>177</v>
      </c>
      <c r="B181" s="19" t="s">
        <v>192</v>
      </c>
      <c r="C181" s="79"/>
      <c r="D181" s="85">
        <v>0</v>
      </c>
      <c r="E181" s="47">
        <f t="shared" si="18"/>
        <v>0</v>
      </c>
      <c r="F181" s="85">
        <v>0</v>
      </c>
      <c r="G181" s="47">
        <f t="shared" si="19"/>
        <v>0</v>
      </c>
      <c r="H181" s="86"/>
      <c r="I181" s="20">
        <v>35</v>
      </c>
      <c r="J181" s="80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5.5" x14ac:dyDescent="0.55000000000000004">
      <c r="A182" s="10">
        <v>178</v>
      </c>
      <c r="B182" s="19" t="s">
        <v>193</v>
      </c>
      <c r="C182" s="79"/>
      <c r="D182" s="85">
        <v>0</v>
      </c>
      <c r="E182" s="47">
        <f t="shared" si="18"/>
        <v>0</v>
      </c>
      <c r="F182" s="85">
        <v>0</v>
      </c>
      <c r="G182" s="47">
        <f t="shared" si="19"/>
        <v>0</v>
      </c>
      <c r="H182" s="86"/>
      <c r="I182" s="20">
        <v>10</v>
      </c>
      <c r="J182" s="80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5.5" x14ac:dyDescent="0.55000000000000004">
      <c r="A183" s="10">
        <v>179</v>
      </c>
      <c r="B183" s="19" t="s">
        <v>194</v>
      </c>
      <c r="C183" s="79"/>
      <c r="D183" s="85">
        <v>0</v>
      </c>
      <c r="E183" s="47">
        <f t="shared" si="18"/>
        <v>0</v>
      </c>
      <c r="F183" s="85">
        <v>0</v>
      </c>
      <c r="G183" s="47">
        <f t="shared" si="19"/>
        <v>0</v>
      </c>
      <c r="H183" s="86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5.5" x14ac:dyDescent="0.55000000000000004">
      <c r="A184" s="10">
        <v>180</v>
      </c>
      <c r="B184" s="19" t="s">
        <v>195</v>
      </c>
      <c r="C184" s="79"/>
      <c r="D184" s="85">
        <v>0</v>
      </c>
      <c r="E184" s="47">
        <f t="shared" si="18"/>
        <v>0</v>
      </c>
      <c r="F184" s="85">
        <v>0</v>
      </c>
      <c r="G184" s="47">
        <f t="shared" si="19"/>
        <v>0</v>
      </c>
      <c r="H184" s="86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5.5" x14ac:dyDescent="0.55000000000000004">
      <c r="A185" s="10">
        <v>181</v>
      </c>
      <c r="B185" s="19" t="s">
        <v>196</v>
      </c>
      <c r="C185" s="79"/>
      <c r="D185" s="85">
        <v>0</v>
      </c>
      <c r="E185" s="47">
        <f t="shared" si="18"/>
        <v>0</v>
      </c>
      <c r="F185" s="85">
        <v>0</v>
      </c>
      <c r="G185" s="47">
        <f t="shared" si="19"/>
        <v>0</v>
      </c>
      <c r="H185" s="86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5.5" x14ac:dyDescent="0.55000000000000004">
      <c r="A186" s="10">
        <v>182</v>
      </c>
      <c r="B186" s="19" t="s">
        <v>197</v>
      </c>
      <c r="C186" s="79"/>
      <c r="D186" s="85">
        <v>0</v>
      </c>
      <c r="E186" s="47">
        <f t="shared" si="18"/>
        <v>0</v>
      </c>
      <c r="F186" s="85">
        <v>0</v>
      </c>
      <c r="G186" s="47">
        <f t="shared" si="19"/>
        <v>0</v>
      </c>
      <c r="H186" s="86"/>
      <c r="I186" s="20">
        <v>10</v>
      </c>
      <c r="J186" s="80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5.5" x14ac:dyDescent="0.55000000000000004">
      <c r="A187" s="10">
        <v>183</v>
      </c>
      <c r="B187" s="19" t="s">
        <v>198</v>
      </c>
      <c r="C187" s="79"/>
      <c r="D187" s="85">
        <v>0</v>
      </c>
      <c r="E187" s="47">
        <f t="shared" si="18"/>
        <v>0</v>
      </c>
      <c r="F187" s="85">
        <v>0</v>
      </c>
      <c r="G187" s="47">
        <f t="shared" si="19"/>
        <v>0</v>
      </c>
      <c r="H187" s="86"/>
      <c r="I187" s="20">
        <v>25</v>
      </c>
      <c r="J187" s="80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5.5" x14ac:dyDescent="0.55000000000000004">
      <c r="A188" s="10">
        <v>184</v>
      </c>
      <c r="B188" s="19" t="s">
        <v>249</v>
      </c>
      <c r="C188" s="79"/>
      <c r="D188" s="85">
        <v>0</v>
      </c>
      <c r="E188" s="47">
        <f t="shared" si="18"/>
        <v>0</v>
      </c>
      <c r="F188" s="85">
        <v>0</v>
      </c>
      <c r="G188" s="47">
        <f t="shared" si="19"/>
        <v>0</v>
      </c>
      <c r="H188" s="86"/>
      <c r="I188" s="20">
        <v>15</v>
      </c>
      <c r="J188" s="80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5.5" x14ac:dyDescent="0.55000000000000004">
      <c r="A189" s="10">
        <v>185</v>
      </c>
      <c r="B189" s="19" t="s">
        <v>250</v>
      </c>
      <c r="C189" s="79"/>
      <c r="D189" s="85">
        <v>0</v>
      </c>
      <c r="E189" s="47">
        <f t="shared" si="18"/>
        <v>0</v>
      </c>
      <c r="F189" s="85">
        <v>0</v>
      </c>
      <c r="G189" s="47">
        <f t="shared" si="19"/>
        <v>0</v>
      </c>
      <c r="H189" s="86"/>
      <c r="I189" s="20">
        <v>25</v>
      </c>
      <c r="J189" s="80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5.5" x14ac:dyDescent="0.55000000000000004">
      <c r="A190" s="10">
        <v>186</v>
      </c>
      <c r="B190" s="19" t="s">
        <v>251</v>
      </c>
      <c r="C190" s="79"/>
      <c r="D190" s="85">
        <v>0</v>
      </c>
      <c r="E190" s="47">
        <f t="shared" si="18"/>
        <v>0</v>
      </c>
      <c r="F190" s="85">
        <v>0</v>
      </c>
      <c r="G190" s="47">
        <f t="shared" si="19"/>
        <v>0</v>
      </c>
      <c r="H190" s="86"/>
      <c r="I190" s="20">
        <v>45</v>
      </c>
      <c r="J190" s="80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5.5" x14ac:dyDescent="0.55000000000000004">
      <c r="A191" s="10">
        <v>187</v>
      </c>
      <c r="B191" s="19" t="s">
        <v>199</v>
      </c>
      <c r="C191" s="79"/>
      <c r="D191" s="85">
        <v>0</v>
      </c>
      <c r="E191" s="47">
        <f t="shared" si="18"/>
        <v>0</v>
      </c>
      <c r="F191" s="85">
        <v>0</v>
      </c>
      <c r="G191" s="47">
        <f t="shared" si="19"/>
        <v>0</v>
      </c>
      <c r="H191" s="86"/>
      <c r="I191" s="20">
        <v>150</v>
      </c>
      <c r="J191" s="80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5.5" x14ac:dyDescent="0.55000000000000004">
      <c r="A192" s="10">
        <v>188</v>
      </c>
      <c r="B192" s="19" t="s">
        <v>200</v>
      </c>
      <c r="C192" s="79"/>
      <c r="D192" s="85">
        <v>0</v>
      </c>
      <c r="E192" s="47">
        <f t="shared" si="18"/>
        <v>0</v>
      </c>
      <c r="F192" s="85">
        <v>0</v>
      </c>
      <c r="G192" s="47">
        <f t="shared" si="19"/>
        <v>0</v>
      </c>
      <c r="H192" s="86"/>
      <c r="I192" s="20">
        <v>150</v>
      </c>
      <c r="J192" s="80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5.5" x14ac:dyDescent="0.55000000000000004">
      <c r="A193" s="10">
        <v>189</v>
      </c>
      <c r="B193" s="19" t="s">
        <v>201</v>
      </c>
      <c r="C193" s="79"/>
      <c r="D193" s="85">
        <v>0</v>
      </c>
      <c r="E193" s="47">
        <f t="shared" si="18"/>
        <v>0</v>
      </c>
      <c r="F193" s="85">
        <v>0</v>
      </c>
      <c r="G193" s="47">
        <f t="shared" si="19"/>
        <v>0</v>
      </c>
      <c r="H193" s="86"/>
      <c r="I193" s="20">
        <v>150</v>
      </c>
      <c r="J193" s="80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5.5" x14ac:dyDescent="0.55000000000000004">
      <c r="A194" s="10">
        <v>190</v>
      </c>
      <c r="B194" s="19" t="s">
        <v>252</v>
      </c>
      <c r="C194" s="79"/>
      <c r="D194" s="85">
        <v>0</v>
      </c>
      <c r="E194" s="47">
        <f t="shared" si="18"/>
        <v>0</v>
      </c>
      <c r="F194" s="85">
        <v>0</v>
      </c>
      <c r="G194" s="47">
        <f t="shared" si="19"/>
        <v>0</v>
      </c>
      <c r="H194" s="86"/>
      <c r="I194" s="20">
        <v>220</v>
      </c>
      <c r="J194" s="80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5.5" x14ac:dyDescent="0.55000000000000004">
      <c r="A195" s="10">
        <v>191</v>
      </c>
      <c r="B195" s="19" t="s">
        <v>253</v>
      </c>
      <c r="C195" s="79"/>
      <c r="D195" s="85">
        <v>0</v>
      </c>
      <c r="E195" s="47">
        <f t="shared" si="18"/>
        <v>0</v>
      </c>
      <c r="F195" s="85">
        <v>0</v>
      </c>
      <c r="G195" s="47">
        <f t="shared" si="19"/>
        <v>0</v>
      </c>
      <c r="H195" s="86"/>
      <c r="I195" s="20">
        <v>50</v>
      </c>
      <c r="J195" s="80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5.5" x14ac:dyDescent="0.55000000000000004">
      <c r="A196" s="10">
        <v>192</v>
      </c>
      <c r="B196" s="19" t="s">
        <v>254</v>
      </c>
      <c r="C196" s="79"/>
      <c r="D196" s="85">
        <v>0</v>
      </c>
      <c r="E196" s="47">
        <f t="shared" si="18"/>
        <v>0</v>
      </c>
      <c r="F196" s="85">
        <v>0</v>
      </c>
      <c r="G196" s="47">
        <f t="shared" si="19"/>
        <v>0</v>
      </c>
      <c r="H196" s="86"/>
      <c r="I196" s="20">
        <v>15</v>
      </c>
      <c r="J196" s="80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5.5" x14ac:dyDescent="0.55000000000000004">
      <c r="A197" s="10">
        <v>193</v>
      </c>
      <c r="B197" s="19" t="s">
        <v>255</v>
      </c>
      <c r="C197" s="79"/>
      <c r="D197" s="85">
        <v>0</v>
      </c>
      <c r="E197" s="47">
        <f t="shared" si="18"/>
        <v>0</v>
      </c>
      <c r="F197" s="85">
        <v>0</v>
      </c>
      <c r="G197" s="47">
        <f t="shared" si="19"/>
        <v>0</v>
      </c>
      <c r="H197" s="86"/>
      <c r="I197" s="20">
        <v>25</v>
      </c>
      <c r="J197" s="80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5.5" x14ac:dyDescent="0.55000000000000004">
      <c r="A198" s="10">
        <v>194</v>
      </c>
      <c r="B198" s="19" t="s">
        <v>256</v>
      </c>
      <c r="C198" s="79"/>
      <c r="D198" s="85">
        <v>0</v>
      </c>
      <c r="E198" s="47">
        <f t="shared" si="18"/>
        <v>0</v>
      </c>
      <c r="F198" s="85">
        <v>0</v>
      </c>
      <c r="G198" s="47">
        <f t="shared" si="19"/>
        <v>0</v>
      </c>
      <c r="H198" s="86"/>
      <c r="I198" s="20">
        <v>60</v>
      </c>
      <c r="J198" s="80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5.5" x14ac:dyDescent="0.55000000000000004">
      <c r="A199" s="10">
        <v>195</v>
      </c>
      <c r="B199" s="19" t="s">
        <v>257</v>
      </c>
      <c r="C199" s="79"/>
      <c r="D199" s="85">
        <v>0</v>
      </c>
      <c r="E199" s="47">
        <f t="shared" si="18"/>
        <v>0</v>
      </c>
      <c r="F199" s="85">
        <v>0</v>
      </c>
      <c r="G199" s="47">
        <f t="shared" si="19"/>
        <v>0</v>
      </c>
      <c r="H199" s="86"/>
      <c r="I199" s="20">
        <v>60</v>
      </c>
      <c r="J199" s="80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5.5" x14ac:dyDescent="0.55000000000000004">
      <c r="A200" s="10">
        <v>196</v>
      </c>
      <c r="B200" s="19" t="s">
        <v>17</v>
      </c>
      <c r="C200" s="79"/>
      <c r="D200" s="85">
        <v>0</v>
      </c>
      <c r="E200" s="47">
        <f t="shared" si="18"/>
        <v>0</v>
      </c>
      <c r="F200" s="85">
        <v>0</v>
      </c>
      <c r="G200" s="47">
        <f t="shared" si="19"/>
        <v>0</v>
      </c>
      <c r="H200" s="86"/>
      <c r="I200" s="20">
        <v>80</v>
      </c>
      <c r="J200" s="80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5.5" x14ac:dyDescent="0.55000000000000004">
      <c r="A201" s="10">
        <v>197</v>
      </c>
      <c r="B201" s="19" t="s">
        <v>258</v>
      </c>
      <c r="C201" s="79"/>
      <c r="D201" s="85">
        <v>0</v>
      </c>
      <c r="E201" s="47">
        <f t="shared" si="18"/>
        <v>0</v>
      </c>
      <c r="F201" s="85">
        <v>0</v>
      </c>
      <c r="G201" s="47">
        <f t="shared" si="19"/>
        <v>0</v>
      </c>
      <c r="H201" s="86"/>
      <c r="I201" s="20">
        <v>120</v>
      </c>
      <c r="J201" s="80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5.5" x14ac:dyDescent="0.55000000000000004">
      <c r="A202" s="10">
        <v>198</v>
      </c>
      <c r="B202" s="19" t="s">
        <v>259</v>
      </c>
      <c r="C202" s="79"/>
      <c r="D202" s="85">
        <v>0</v>
      </c>
      <c r="E202" s="47">
        <f t="shared" si="18"/>
        <v>0</v>
      </c>
      <c r="F202" s="85">
        <v>0</v>
      </c>
      <c r="G202" s="47">
        <f t="shared" si="19"/>
        <v>0</v>
      </c>
      <c r="H202" s="86"/>
      <c r="I202" s="20">
        <v>55</v>
      </c>
      <c r="J202" s="80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5.5" x14ac:dyDescent="0.55000000000000004">
      <c r="A203" s="10">
        <v>199</v>
      </c>
      <c r="B203" s="11" t="s">
        <v>260</v>
      </c>
      <c r="C203" s="79"/>
      <c r="D203" s="85">
        <v>0</v>
      </c>
      <c r="E203" s="47">
        <f t="shared" si="18"/>
        <v>0</v>
      </c>
      <c r="F203" s="85">
        <v>0</v>
      </c>
      <c r="G203" s="47">
        <f t="shared" si="19"/>
        <v>0</v>
      </c>
      <c r="H203" s="86"/>
      <c r="I203" s="20">
        <v>0</v>
      </c>
      <c r="J203" s="80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5.5" x14ac:dyDescent="0.55000000000000004">
      <c r="A204" s="10">
        <v>200</v>
      </c>
      <c r="B204" s="11" t="s">
        <v>261</v>
      </c>
      <c r="C204" s="79"/>
      <c r="D204" s="85">
        <v>0</v>
      </c>
      <c r="E204" s="47">
        <f t="shared" si="18"/>
        <v>0</v>
      </c>
      <c r="F204" s="85">
        <v>0</v>
      </c>
      <c r="G204" s="47">
        <f t="shared" si="19"/>
        <v>0</v>
      </c>
      <c r="H204" s="86"/>
      <c r="I204" s="20">
        <v>0</v>
      </c>
      <c r="J204" s="80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5.5" x14ac:dyDescent="0.55000000000000004">
      <c r="A205" s="10">
        <v>201</v>
      </c>
      <c r="B205" s="11" t="s">
        <v>262</v>
      </c>
      <c r="C205" s="79"/>
      <c r="D205" s="85">
        <v>0</v>
      </c>
      <c r="E205" s="47">
        <f t="shared" si="18"/>
        <v>0</v>
      </c>
      <c r="F205" s="85">
        <v>0</v>
      </c>
      <c r="G205" s="47">
        <f t="shared" si="19"/>
        <v>0</v>
      </c>
      <c r="H205" s="86"/>
      <c r="I205" s="20">
        <v>50</v>
      </c>
      <c r="J205" s="80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5.5" x14ac:dyDescent="0.55000000000000004">
      <c r="A206" s="10">
        <v>202</v>
      </c>
      <c r="B206" s="11" t="s">
        <v>263</v>
      </c>
      <c r="C206" s="79"/>
      <c r="D206" s="85">
        <v>0</v>
      </c>
      <c r="E206" s="47">
        <f t="shared" si="18"/>
        <v>0</v>
      </c>
      <c r="F206" s="85">
        <v>0</v>
      </c>
      <c r="G206" s="47">
        <f t="shared" si="19"/>
        <v>0</v>
      </c>
      <c r="H206" s="86"/>
      <c r="I206" s="20">
        <v>50</v>
      </c>
      <c r="J206" s="80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5.5" x14ac:dyDescent="0.55000000000000004">
      <c r="A207" s="10">
        <v>203</v>
      </c>
      <c r="B207" s="11" t="s">
        <v>264</v>
      </c>
      <c r="C207" s="79"/>
      <c r="D207" s="85">
        <v>0</v>
      </c>
      <c r="E207" s="47">
        <f t="shared" si="18"/>
        <v>0</v>
      </c>
      <c r="F207" s="85">
        <v>0</v>
      </c>
      <c r="G207" s="47">
        <f t="shared" si="19"/>
        <v>0</v>
      </c>
      <c r="H207" s="86"/>
      <c r="I207" s="20">
        <v>25</v>
      </c>
      <c r="J207" s="80">
        <f t="shared" si="20"/>
        <v>0</v>
      </c>
      <c r="K207" s="17" t="s">
        <v>16</v>
      </c>
      <c r="L207" s="18">
        <v>0</v>
      </c>
      <c r="M207" s="23">
        <f t="shared" si="21"/>
        <v>0</v>
      </c>
    </row>
    <row r="208" spans="1:13" ht="25.5" x14ac:dyDescent="0.55000000000000004">
      <c r="A208" s="10">
        <v>204</v>
      </c>
      <c r="B208" s="11" t="s">
        <v>265</v>
      </c>
      <c r="C208" s="79"/>
      <c r="D208" s="85">
        <v>0</v>
      </c>
      <c r="E208" s="47">
        <f t="shared" ref="E208:E254" si="22">C208+D208</f>
        <v>0</v>
      </c>
      <c r="F208" s="85">
        <v>0</v>
      </c>
      <c r="G208" s="47">
        <f t="shared" ref="G208:G254" si="23">+E208-F208-H208</f>
        <v>0</v>
      </c>
      <c r="H208" s="86"/>
      <c r="I208" s="20">
        <v>45</v>
      </c>
      <c r="J208" s="80">
        <f t="shared" ref="J208:J254" si="24">+I208*H208</f>
        <v>0</v>
      </c>
      <c r="K208" s="17" t="s">
        <v>16</v>
      </c>
      <c r="L208" s="18">
        <v>0</v>
      </c>
      <c r="M208" s="23">
        <f t="shared" ref="M208:M254" si="25">SUM(J208-L208)</f>
        <v>0</v>
      </c>
    </row>
    <row r="209" spans="1:13" ht="25.5" x14ac:dyDescent="0.55000000000000004">
      <c r="A209" s="10">
        <v>205</v>
      </c>
      <c r="B209" s="11" t="s">
        <v>266</v>
      </c>
      <c r="C209" s="79">
        <v>2</v>
      </c>
      <c r="D209" s="85">
        <v>0</v>
      </c>
      <c r="E209" s="47">
        <f t="shared" si="22"/>
        <v>2</v>
      </c>
      <c r="F209" s="85">
        <v>0</v>
      </c>
      <c r="G209" s="47">
        <f t="shared" si="23"/>
        <v>2</v>
      </c>
      <c r="H209" s="86"/>
      <c r="I209" s="20">
        <v>50</v>
      </c>
      <c r="J209" s="80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5.5" x14ac:dyDescent="0.55000000000000004">
      <c r="A210" s="10">
        <v>206</v>
      </c>
      <c r="B210" s="11" t="s">
        <v>267</v>
      </c>
      <c r="C210" s="79"/>
      <c r="D210" s="85">
        <v>0</v>
      </c>
      <c r="E210" s="47">
        <f t="shared" si="22"/>
        <v>0</v>
      </c>
      <c r="F210" s="85">
        <v>0</v>
      </c>
      <c r="G210" s="47">
        <f t="shared" si="23"/>
        <v>0</v>
      </c>
      <c r="H210" s="86"/>
      <c r="I210" s="20">
        <v>199</v>
      </c>
      <c r="J210" s="80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5.5" x14ac:dyDescent="0.55000000000000004">
      <c r="A211" s="10">
        <v>207</v>
      </c>
      <c r="B211" s="11" t="s">
        <v>244</v>
      </c>
      <c r="C211" s="79"/>
      <c r="D211" s="85">
        <v>0</v>
      </c>
      <c r="E211" s="47">
        <f t="shared" si="22"/>
        <v>0</v>
      </c>
      <c r="F211" s="85">
        <v>0</v>
      </c>
      <c r="G211" s="47">
        <f t="shared" si="23"/>
        <v>0</v>
      </c>
      <c r="H211" s="86"/>
      <c r="I211" s="20">
        <v>35</v>
      </c>
      <c r="J211" s="80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5.5" x14ac:dyDescent="0.55000000000000004">
      <c r="A212" s="10">
        <v>208</v>
      </c>
      <c r="B212" s="11" t="s">
        <v>245</v>
      </c>
      <c r="C212" s="79"/>
      <c r="D212" s="85">
        <v>0</v>
      </c>
      <c r="E212" s="47">
        <f t="shared" si="22"/>
        <v>0</v>
      </c>
      <c r="F212" s="85">
        <v>0</v>
      </c>
      <c r="G212" s="47">
        <f t="shared" si="23"/>
        <v>0</v>
      </c>
      <c r="H212" s="86"/>
      <c r="I212" s="20">
        <v>40</v>
      </c>
      <c r="J212" s="80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5.5" x14ac:dyDescent="0.55000000000000004">
      <c r="A213" s="10">
        <v>209</v>
      </c>
      <c r="B213" s="11" t="s">
        <v>246</v>
      </c>
      <c r="C213" s="79"/>
      <c r="D213" s="85">
        <v>0</v>
      </c>
      <c r="E213" s="47">
        <f t="shared" si="22"/>
        <v>0</v>
      </c>
      <c r="F213" s="85">
        <v>0</v>
      </c>
      <c r="G213" s="47">
        <f t="shared" si="23"/>
        <v>0</v>
      </c>
      <c r="H213" s="86"/>
      <c r="I213" s="20">
        <v>40</v>
      </c>
      <c r="J213" s="80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5.5" x14ac:dyDescent="0.55000000000000004">
      <c r="A214" s="10">
        <v>210</v>
      </c>
      <c r="B214" s="11" t="s">
        <v>268</v>
      </c>
      <c r="C214" s="47"/>
      <c r="D214" s="85">
        <v>0</v>
      </c>
      <c r="E214" s="47">
        <f t="shared" si="22"/>
        <v>0</v>
      </c>
      <c r="F214" s="85">
        <v>0</v>
      </c>
      <c r="G214" s="47">
        <f t="shared" si="23"/>
        <v>0</v>
      </c>
      <c r="H214" s="86"/>
      <c r="I214" s="20"/>
      <c r="J214" s="80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5.5" x14ac:dyDescent="0.55000000000000004">
      <c r="A215" s="10">
        <v>211</v>
      </c>
      <c r="B215" s="11" t="s">
        <v>269</v>
      </c>
      <c r="C215" s="47"/>
      <c r="D215" s="85">
        <v>0</v>
      </c>
      <c r="E215" s="47">
        <f t="shared" si="22"/>
        <v>0</v>
      </c>
      <c r="F215" s="85">
        <v>0</v>
      </c>
      <c r="G215" s="47">
        <f t="shared" si="23"/>
        <v>0</v>
      </c>
      <c r="H215" s="86"/>
      <c r="I215" s="20">
        <v>30</v>
      </c>
      <c r="J215" s="80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5.5" x14ac:dyDescent="0.55000000000000004">
      <c r="A216" s="10">
        <v>212</v>
      </c>
      <c r="B216" s="11" t="s">
        <v>270</v>
      </c>
      <c r="C216" s="47"/>
      <c r="D216" s="85">
        <v>0</v>
      </c>
      <c r="E216" s="47">
        <f t="shared" si="22"/>
        <v>0</v>
      </c>
      <c r="F216" s="85">
        <v>0</v>
      </c>
      <c r="G216" s="47">
        <f t="shared" si="23"/>
        <v>0</v>
      </c>
      <c r="H216" s="86"/>
      <c r="I216" s="20">
        <v>30</v>
      </c>
      <c r="J216" s="80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5.5" x14ac:dyDescent="0.55000000000000004">
      <c r="A217" s="10">
        <v>213</v>
      </c>
      <c r="B217" s="11" t="s">
        <v>271</v>
      </c>
      <c r="C217" s="47">
        <v>2</v>
      </c>
      <c r="D217" s="85">
        <v>0</v>
      </c>
      <c r="E217" s="47">
        <f t="shared" si="22"/>
        <v>2</v>
      </c>
      <c r="F217" s="85">
        <v>0</v>
      </c>
      <c r="G217" s="47">
        <f t="shared" si="23"/>
        <v>2</v>
      </c>
      <c r="H217" s="86"/>
      <c r="I217" s="20">
        <v>25</v>
      </c>
      <c r="J217" s="80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5.5" x14ac:dyDescent="0.55000000000000004">
      <c r="A218" s="10">
        <v>214</v>
      </c>
      <c r="B218" s="11" t="s">
        <v>272</v>
      </c>
      <c r="C218" s="47">
        <v>4</v>
      </c>
      <c r="D218" s="85">
        <v>0</v>
      </c>
      <c r="E218" s="47">
        <f t="shared" si="22"/>
        <v>4</v>
      </c>
      <c r="F218" s="85">
        <v>0</v>
      </c>
      <c r="G218" s="47">
        <f t="shared" si="23"/>
        <v>4</v>
      </c>
      <c r="H218" s="86"/>
      <c r="I218" s="20">
        <v>25</v>
      </c>
      <c r="J218" s="80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5.5" x14ac:dyDescent="0.55000000000000004">
      <c r="A219" s="10">
        <v>215</v>
      </c>
      <c r="B219" s="11" t="s">
        <v>273</v>
      </c>
      <c r="C219" s="47">
        <v>5</v>
      </c>
      <c r="D219" s="85">
        <v>0</v>
      </c>
      <c r="E219" s="47">
        <f t="shared" si="22"/>
        <v>5</v>
      </c>
      <c r="F219" s="85">
        <v>0</v>
      </c>
      <c r="G219" s="47">
        <f t="shared" si="23"/>
        <v>5</v>
      </c>
      <c r="H219" s="86"/>
      <c r="I219" s="20">
        <v>25</v>
      </c>
      <c r="J219" s="80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5.5" x14ac:dyDescent="0.55000000000000004">
      <c r="A220" s="10">
        <v>216</v>
      </c>
      <c r="B220" s="11" t="s">
        <v>277</v>
      </c>
      <c r="C220" s="47"/>
      <c r="D220" s="85">
        <v>0</v>
      </c>
      <c r="E220" s="47">
        <f t="shared" si="22"/>
        <v>0</v>
      </c>
      <c r="F220" s="85">
        <v>0</v>
      </c>
      <c r="G220" s="47">
        <f t="shared" si="23"/>
        <v>0</v>
      </c>
      <c r="H220" s="86"/>
      <c r="I220" s="20">
        <v>45</v>
      </c>
      <c r="J220" s="80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5.5" x14ac:dyDescent="0.55000000000000004">
      <c r="A221" s="10">
        <v>217</v>
      </c>
      <c r="B221" s="11" t="s">
        <v>301</v>
      </c>
      <c r="C221" s="47"/>
      <c r="D221" s="85">
        <v>0</v>
      </c>
      <c r="E221" s="47">
        <f t="shared" si="22"/>
        <v>0</v>
      </c>
      <c r="F221" s="85">
        <v>0</v>
      </c>
      <c r="G221" s="47">
        <f t="shared" si="23"/>
        <v>0</v>
      </c>
      <c r="H221" s="86"/>
      <c r="I221" s="20">
        <v>35</v>
      </c>
      <c r="J221" s="80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5.5" x14ac:dyDescent="0.55000000000000004">
      <c r="A222" s="10">
        <v>218</v>
      </c>
      <c r="B222" s="11" t="s">
        <v>305</v>
      </c>
      <c r="C222" s="47"/>
      <c r="D222" s="85">
        <v>0</v>
      </c>
      <c r="E222" s="47">
        <f t="shared" si="22"/>
        <v>0</v>
      </c>
      <c r="F222" s="85">
        <v>0</v>
      </c>
      <c r="G222" s="47">
        <f t="shared" si="23"/>
        <v>0</v>
      </c>
      <c r="H222" s="86"/>
      <c r="I222" s="20">
        <v>35</v>
      </c>
      <c r="J222" s="80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5.5" x14ac:dyDescent="0.55000000000000004">
      <c r="A223" s="10">
        <v>219</v>
      </c>
      <c r="B223" s="11" t="s">
        <v>310</v>
      </c>
      <c r="C223" s="47"/>
      <c r="D223" s="85">
        <v>0</v>
      </c>
      <c r="E223" s="47">
        <f t="shared" si="22"/>
        <v>0</v>
      </c>
      <c r="F223" s="85">
        <v>0</v>
      </c>
      <c r="G223" s="47">
        <f t="shared" si="23"/>
        <v>0</v>
      </c>
      <c r="H223" s="86"/>
      <c r="I223" s="20">
        <v>40</v>
      </c>
      <c r="J223" s="80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5.5" x14ac:dyDescent="0.55000000000000004">
      <c r="A224" s="10">
        <v>220</v>
      </c>
      <c r="B224" s="11" t="s">
        <v>311</v>
      </c>
      <c r="C224" s="47"/>
      <c r="D224" s="85">
        <v>0</v>
      </c>
      <c r="E224" s="47">
        <f t="shared" si="22"/>
        <v>0</v>
      </c>
      <c r="F224" s="85">
        <v>0</v>
      </c>
      <c r="G224" s="47">
        <f t="shared" si="23"/>
        <v>0</v>
      </c>
      <c r="H224" s="86"/>
      <c r="I224" s="20">
        <v>35</v>
      </c>
      <c r="J224" s="80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5.5" x14ac:dyDescent="0.55000000000000004">
      <c r="A225" s="10">
        <v>221</v>
      </c>
      <c r="B225" s="11"/>
      <c r="C225" s="47"/>
      <c r="D225" s="85">
        <v>0</v>
      </c>
      <c r="E225" s="47">
        <f t="shared" si="22"/>
        <v>0</v>
      </c>
      <c r="F225" s="85">
        <v>0</v>
      </c>
      <c r="G225" s="47">
        <f t="shared" si="23"/>
        <v>0</v>
      </c>
      <c r="H225" s="86"/>
      <c r="I225" s="20"/>
      <c r="J225" s="80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5.5" x14ac:dyDescent="0.55000000000000004">
      <c r="A226" s="10">
        <v>222</v>
      </c>
      <c r="B226" s="11"/>
      <c r="C226" s="47"/>
      <c r="D226" s="85">
        <v>0</v>
      </c>
      <c r="E226" s="47">
        <f t="shared" si="22"/>
        <v>0</v>
      </c>
      <c r="F226" s="85">
        <v>0</v>
      </c>
      <c r="G226" s="47">
        <f t="shared" si="23"/>
        <v>0</v>
      </c>
      <c r="H226" s="86"/>
      <c r="I226" s="20"/>
      <c r="J226" s="80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5.5" x14ac:dyDescent="0.55000000000000004">
      <c r="A227" s="10">
        <v>223</v>
      </c>
      <c r="B227" s="11"/>
      <c r="C227" s="47"/>
      <c r="D227" s="85">
        <v>0</v>
      </c>
      <c r="E227" s="47">
        <f t="shared" si="22"/>
        <v>0</v>
      </c>
      <c r="F227" s="85">
        <v>0</v>
      </c>
      <c r="G227" s="47">
        <f t="shared" si="23"/>
        <v>0</v>
      </c>
      <c r="H227" s="86"/>
      <c r="I227" s="20"/>
      <c r="J227" s="80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5.5" x14ac:dyDescent="0.55000000000000004">
      <c r="A228" s="10">
        <v>224</v>
      </c>
      <c r="B228" s="11"/>
      <c r="C228" s="47"/>
      <c r="D228" s="85">
        <v>0</v>
      </c>
      <c r="E228" s="47">
        <f t="shared" si="22"/>
        <v>0</v>
      </c>
      <c r="F228" s="85">
        <v>0</v>
      </c>
      <c r="G228" s="47">
        <f t="shared" si="23"/>
        <v>0</v>
      </c>
      <c r="H228" s="86"/>
      <c r="I228" s="20"/>
      <c r="J228" s="80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5.5" x14ac:dyDescent="0.55000000000000004">
      <c r="A229" s="10">
        <v>225</v>
      </c>
      <c r="B229" s="11"/>
      <c r="C229" s="47"/>
      <c r="D229" s="85">
        <v>0</v>
      </c>
      <c r="E229" s="47">
        <f t="shared" si="22"/>
        <v>0</v>
      </c>
      <c r="F229" s="85">
        <v>0</v>
      </c>
      <c r="G229" s="47">
        <f t="shared" si="23"/>
        <v>0</v>
      </c>
      <c r="H229" s="86"/>
      <c r="I229" s="20"/>
      <c r="J229" s="80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5.5" x14ac:dyDescent="0.55000000000000004">
      <c r="A230" s="10">
        <v>226</v>
      </c>
      <c r="B230" s="11"/>
      <c r="C230" s="47"/>
      <c r="D230" s="85">
        <v>0</v>
      </c>
      <c r="E230" s="47">
        <f t="shared" si="22"/>
        <v>0</v>
      </c>
      <c r="F230" s="85">
        <v>0</v>
      </c>
      <c r="G230" s="47">
        <f t="shared" si="23"/>
        <v>0</v>
      </c>
      <c r="H230" s="86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5.5" x14ac:dyDescent="0.55000000000000004">
      <c r="A231" s="10">
        <v>227</v>
      </c>
      <c r="B231" s="11"/>
      <c r="C231" s="47"/>
      <c r="D231" s="85">
        <v>0</v>
      </c>
      <c r="E231" s="47">
        <f t="shared" si="22"/>
        <v>0</v>
      </c>
      <c r="F231" s="85">
        <v>0</v>
      </c>
      <c r="G231" s="47">
        <f t="shared" si="23"/>
        <v>0</v>
      </c>
      <c r="H231" s="86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55000000000000004">
      <c r="A232" s="10">
        <v>228</v>
      </c>
      <c r="B232" s="11"/>
      <c r="C232" s="47"/>
      <c r="D232" s="85">
        <v>0</v>
      </c>
      <c r="E232" s="47">
        <f t="shared" si="22"/>
        <v>0</v>
      </c>
      <c r="F232" s="85">
        <v>0</v>
      </c>
      <c r="G232" s="47">
        <f t="shared" si="23"/>
        <v>0</v>
      </c>
      <c r="H232" s="86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55000000000000004">
      <c r="A233" s="10">
        <v>229</v>
      </c>
      <c r="B233" s="11"/>
      <c r="C233" s="47"/>
      <c r="D233" s="85">
        <v>0</v>
      </c>
      <c r="E233" s="47">
        <f t="shared" si="22"/>
        <v>0</v>
      </c>
      <c r="F233" s="85">
        <v>0</v>
      </c>
      <c r="G233" s="47">
        <f t="shared" si="23"/>
        <v>0</v>
      </c>
      <c r="H233" s="86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55000000000000004">
      <c r="A234" s="10">
        <v>230</v>
      </c>
      <c r="B234" s="11"/>
      <c r="C234" s="47"/>
      <c r="D234" s="85">
        <v>0</v>
      </c>
      <c r="E234" s="47">
        <f t="shared" si="22"/>
        <v>0</v>
      </c>
      <c r="F234" s="85">
        <v>0</v>
      </c>
      <c r="G234" s="47">
        <f t="shared" si="23"/>
        <v>0</v>
      </c>
      <c r="H234" s="86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55000000000000004">
      <c r="A235" s="10">
        <v>231</v>
      </c>
      <c r="B235" s="11"/>
      <c r="C235" s="47"/>
      <c r="D235" s="85">
        <v>0</v>
      </c>
      <c r="E235" s="47">
        <f t="shared" si="22"/>
        <v>0</v>
      </c>
      <c r="F235" s="85">
        <v>0</v>
      </c>
      <c r="G235" s="47">
        <f t="shared" si="23"/>
        <v>0</v>
      </c>
      <c r="H235" s="86"/>
      <c r="I235" s="20"/>
      <c r="J235" s="80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55000000000000004">
      <c r="A236" s="10">
        <v>232</v>
      </c>
      <c r="B236" s="11"/>
      <c r="C236" s="47"/>
      <c r="D236" s="85">
        <v>0</v>
      </c>
      <c r="E236" s="47">
        <f t="shared" si="22"/>
        <v>0</v>
      </c>
      <c r="F236" s="85">
        <v>0</v>
      </c>
      <c r="G236" s="47">
        <f t="shared" si="23"/>
        <v>0</v>
      </c>
      <c r="H236" s="86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55000000000000004">
      <c r="A237" s="10">
        <v>233</v>
      </c>
      <c r="B237" s="11"/>
      <c r="C237" s="47"/>
      <c r="D237" s="85">
        <v>0</v>
      </c>
      <c r="E237" s="47">
        <f t="shared" si="22"/>
        <v>0</v>
      </c>
      <c r="F237" s="85">
        <v>0</v>
      </c>
      <c r="G237" s="47">
        <f t="shared" si="23"/>
        <v>0</v>
      </c>
      <c r="H237" s="86"/>
      <c r="I237" s="20"/>
      <c r="J237" s="80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55000000000000004">
      <c r="A238" s="10">
        <v>234</v>
      </c>
      <c r="B238" s="11"/>
      <c r="C238" s="47"/>
      <c r="D238" s="85">
        <v>0</v>
      </c>
      <c r="E238" s="47">
        <f t="shared" si="22"/>
        <v>0</v>
      </c>
      <c r="F238" s="85">
        <v>0</v>
      </c>
      <c r="G238" s="47">
        <f t="shared" si="23"/>
        <v>0</v>
      </c>
      <c r="H238" s="86"/>
      <c r="I238" s="20"/>
      <c r="J238" s="80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55000000000000004">
      <c r="A239" s="10">
        <v>235</v>
      </c>
      <c r="B239" s="11"/>
      <c r="C239" s="47"/>
      <c r="D239" s="85">
        <v>0</v>
      </c>
      <c r="E239" s="47">
        <f t="shared" si="22"/>
        <v>0</v>
      </c>
      <c r="F239" s="85">
        <v>0</v>
      </c>
      <c r="G239" s="47">
        <f t="shared" si="23"/>
        <v>0</v>
      </c>
      <c r="H239" s="86"/>
      <c r="I239" s="20"/>
      <c r="J239" s="80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55000000000000004">
      <c r="A240" s="10">
        <v>236</v>
      </c>
      <c r="B240" s="11"/>
      <c r="C240" s="47"/>
      <c r="D240" s="85">
        <v>0</v>
      </c>
      <c r="E240" s="47">
        <f t="shared" si="22"/>
        <v>0</v>
      </c>
      <c r="F240" s="85">
        <v>0</v>
      </c>
      <c r="G240" s="47">
        <f t="shared" si="23"/>
        <v>0</v>
      </c>
      <c r="H240" s="86"/>
      <c r="I240" s="20"/>
      <c r="J240" s="80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14" ht="22.5" customHeight="1" x14ac:dyDescent="0.55000000000000004">
      <c r="A241" s="10">
        <v>237</v>
      </c>
      <c r="B241" s="11"/>
      <c r="C241" s="47"/>
      <c r="D241" s="85">
        <v>0</v>
      </c>
      <c r="E241" s="47">
        <f t="shared" si="22"/>
        <v>0</v>
      </c>
      <c r="F241" s="85">
        <v>0</v>
      </c>
      <c r="G241" s="47">
        <f t="shared" si="23"/>
        <v>0</v>
      </c>
      <c r="H241" s="86"/>
      <c r="I241" s="20"/>
      <c r="J241" s="80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14" ht="22.5" customHeight="1" x14ac:dyDescent="0.55000000000000004">
      <c r="A242" s="10">
        <v>238</v>
      </c>
      <c r="B242" s="11"/>
      <c r="C242" s="47"/>
      <c r="D242" s="85">
        <v>0</v>
      </c>
      <c r="E242" s="47">
        <f t="shared" si="22"/>
        <v>0</v>
      </c>
      <c r="F242" s="85">
        <v>0</v>
      </c>
      <c r="G242" s="47">
        <f t="shared" si="23"/>
        <v>0</v>
      </c>
      <c r="H242" s="86"/>
      <c r="I242" s="20"/>
      <c r="J242" s="80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14" ht="22.5" customHeight="1" x14ac:dyDescent="0.55000000000000004">
      <c r="A243" s="10">
        <v>239</v>
      </c>
      <c r="B243" s="11"/>
      <c r="C243" s="47"/>
      <c r="D243" s="85">
        <v>0</v>
      </c>
      <c r="E243" s="47">
        <f t="shared" si="22"/>
        <v>0</v>
      </c>
      <c r="F243" s="85">
        <v>0</v>
      </c>
      <c r="G243" s="47">
        <f t="shared" si="23"/>
        <v>0</v>
      </c>
      <c r="H243" s="86"/>
      <c r="I243" s="20"/>
      <c r="J243" s="80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14" ht="22.5" customHeight="1" x14ac:dyDescent="0.55000000000000004">
      <c r="A244" s="10">
        <v>240</v>
      </c>
      <c r="B244" s="11"/>
      <c r="C244" s="47"/>
      <c r="D244" s="85">
        <v>0</v>
      </c>
      <c r="E244" s="47">
        <f t="shared" si="22"/>
        <v>0</v>
      </c>
      <c r="F244" s="85">
        <v>0</v>
      </c>
      <c r="G244" s="47">
        <f t="shared" si="23"/>
        <v>0</v>
      </c>
      <c r="H244" s="86"/>
      <c r="I244" s="20"/>
      <c r="J244" s="80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14" ht="22.5" customHeight="1" x14ac:dyDescent="0.55000000000000004">
      <c r="A245" s="10">
        <v>241</v>
      </c>
      <c r="B245" s="11"/>
      <c r="C245" s="47"/>
      <c r="D245" s="85">
        <v>0</v>
      </c>
      <c r="E245" s="47">
        <f t="shared" si="22"/>
        <v>0</v>
      </c>
      <c r="F245" s="85">
        <v>0</v>
      </c>
      <c r="G245" s="47">
        <f t="shared" si="23"/>
        <v>0</v>
      </c>
      <c r="H245" s="86"/>
      <c r="I245" s="20"/>
      <c r="J245" s="80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14" ht="22.5" customHeight="1" x14ac:dyDescent="0.55000000000000004">
      <c r="A246" s="10">
        <v>242</v>
      </c>
      <c r="B246" s="11"/>
      <c r="C246" s="47"/>
      <c r="D246" s="85">
        <v>0</v>
      </c>
      <c r="E246" s="47">
        <f t="shared" si="22"/>
        <v>0</v>
      </c>
      <c r="F246" s="85">
        <v>0</v>
      </c>
      <c r="G246" s="47">
        <f t="shared" si="23"/>
        <v>0</v>
      </c>
      <c r="H246" s="86"/>
      <c r="I246" s="20"/>
      <c r="J246" s="80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14" ht="22.5" customHeight="1" x14ac:dyDescent="0.55000000000000004">
      <c r="A247" s="10">
        <v>243</v>
      </c>
      <c r="B247" s="11"/>
      <c r="C247" s="47"/>
      <c r="D247" s="85">
        <v>0</v>
      </c>
      <c r="E247" s="47">
        <f t="shared" si="22"/>
        <v>0</v>
      </c>
      <c r="F247" s="85">
        <v>0</v>
      </c>
      <c r="G247" s="47">
        <f t="shared" si="23"/>
        <v>0</v>
      </c>
      <c r="H247" s="86"/>
      <c r="I247" s="20"/>
      <c r="J247" s="80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14" ht="22.5" customHeight="1" x14ac:dyDescent="0.55000000000000004">
      <c r="A248" s="10">
        <v>244</v>
      </c>
      <c r="B248" s="11"/>
      <c r="C248" s="47"/>
      <c r="D248" s="85">
        <v>0</v>
      </c>
      <c r="E248" s="47">
        <f t="shared" si="22"/>
        <v>0</v>
      </c>
      <c r="F248" s="85">
        <v>0</v>
      </c>
      <c r="G248" s="47">
        <f t="shared" si="23"/>
        <v>0</v>
      </c>
      <c r="H248" s="86"/>
      <c r="I248" s="20"/>
      <c r="J248" s="80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14" ht="22.5" customHeight="1" x14ac:dyDescent="0.55000000000000004">
      <c r="A249" s="10">
        <v>245</v>
      </c>
      <c r="B249" s="11"/>
      <c r="C249" s="47"/>
      <c r="D249" s="85">
        <v>0</v>
      </c>
      <c r="E249" s="47">
        <f t="shared" si="22"/>
        <v>0</v>
      </c>
      <c r="F249" s="85">
        <v>0</v>
      </c>
      <c r="G249" s="47">
        <f t="shared" si="23"/>
        <v>0</v>
      </c>
      <c r="H249" s="86"/>
      <c r="I249" s="20"/>
      <c r="J249" s="80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14" ht="22.5" customHeight="1" x14ac:dyDescent="0.55000000000000004">
      <c r="A250" s="10">
        <v>246</v>
      </c>
      <c r="B250" s="11"/>
      <c r="C250" s="47"/>
      <c r="D250" s="85">
        <v>0</v>
      </c>
      <c r="E250" s="47">
        <f t="shared" si="22"/>
        <v>0</v>
      </c>
      <c r="F250" s="85">
        <v>0</v>
      </c>
      <c r="G250" s="47">
        <f t="shared" si="23"/>
        <v>0</v>
      </c>
      <c r="H250" s="86"/>
      <c r="I250" s="20"/>
      <c r="J250" s="80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14" ht="22.5" customHeight="1" x14ac:dyDescent="0.55000000000000004">
      <c r="A251" s="10">
        <v>247</v>
      </c>
      <c r="B251" s="11"/>
      <c r="C251" s="47"/>
      <c r="D251" s="85">
        <v>0</v>
      </c>
      <c r="E251" s="47">
        <f t="shared" si="22"/>
        <v>0</v>
      </c>
      <c r="F251" s="85">
        <v>0</v>
      </c>
      <c r="G251" s="47">
        <f t="shared" si="23"/>
        <v>0</v>
      </c>
      <c r="H251" s="86"/>
      <c r="I251" s="20"/>
      <c r="J251" s="80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14" ht="22.5" customHeight="1" x14ac:dyDescent="0.55000000000000004">
      <c r="A252" s="10">
        <v>248</v>
      </c>
      <c r="B252" s="11"/>
      <c r="C252" s="47"/>
      <c r="D252" s="85">
        <v>0</v>
      </c>
      <c r="E252" s="47">
        <f t="shared" si="22"/>
        <v>0</v>
      </c>
      <c r="F252" s="85">
        <v>0</v>
      </c>
      <c r="G252" s="47">
        <f t="shared" si="23"/>
        <v>0</v>
      </c>
      <c r="H252" s="86"/>
      <c r="I252" s="20"/>
      <c r="J252" s="80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14" ht="22.5" customHeight="1" x14ac:dyDescent="0.55000000000000004">
      <c r="A253" s="10">
        <v>249</v>
      </c>
      <c r="B253" s="11"/>
      <c r="C253" s="47"/>
      <c r="D253" s="85">
        <v>0</v>
      </c>
      <c r="E253" s="47">
        <f t="shared" si="22"/>
        <v>0</v>
      </c>
      <c r="F253" s="85">
        <v>0</v>
      </c>
      <c r="G253" s="47">
        <f t="shared" si="23"/>
        <v>0</v>
      </c>
      <c r="H253" s="86"/>
      <c r="I253" s="20"/>
      <c r="J253" s="80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14" ht="25.5" x14ac:dyDescent="0.55000000000000004">
      <c r="A254" s="10">
        <v>250</v>
      </c>
      <c r="B254" s="11"/>
      <c r="C254" s="47"/>
      <c r="D254" s="85">
        <v>0</v>
      </c>
      <c r="E254" s="47">
        <f t="shared" si="22"/>
        <v>0</v>
      </c>
      <c r="F254" s="85">
        <v>0</v>
      </c>
      <c r="G254" s="47">
        <f t="shared" si="23"/>
        <v>0</v>
      </c>
      <c r="H254" s="86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3" t="s">
        <v>203</v>
      </c>
      <c r="J258" s="134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1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1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3" t="s">
        <v>209</v>
      </c>
      <c r="J264" s="134"/>
      <c r="K264" s="37"/>
    </row>
    <row r="265" spans="1:11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1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32:W32"/>
    <mergeCell ref="I263:J263"/>
    <mergeCell ref="I264:J264"/>
    <mergeCell ref="H256:I256"/>
    <mergeCell ref="I257:J257"/>
    <mergeCell ref="I258:J25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0:J260"/>
    <mergeCell ref="I261:J261"/>
    <mergeCell ref="I262:J26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66FF99"/>
  </sheetPr>
  <dimension ref="A1:Z341"/>
  <sheetViews>
    <sheetView zoomScaleNormal="100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+ยกมา!G5</f>
        <v>19</v>
      </c>
      <c r="D5" s="85">
        <v>10</v>
      </c>
      <c r="E5" s="47">
        <f t="shared" ref="E5:E125" si="0">C5+D5</f>
        <v>29</v>
      </c>
      <c r="F5" s="85">
        <v>0</v>
      </c>
      <c r="G5" s="47">
        <f>+E5-F5-H5</f>
        <v>25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36</v>
      </c>
      <c r="D6" s="85">
        <v>15</v>
      </c>
      <c r="E6" s="47">
        <f t="shared" si="0"/>
        <v>51</v>
      </c>
      <c r="F6" s="85">
        <v>0</v>
      </c>
      <c r="G6" s="47">
        <f t="shared" ref="G6:G100" si="4">+E6-F6-H6</f>
        <v>46</v>
      </c>
      <c r="H6" s="86">
        <v>5</v>
      </c>
      <c r="I6" s="15">
        <v>100</v>
      </c>
      <c r="J6" s="80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2</v>
      </c>
      <c r="D8" s="85">
        <v>0</v>
      </c>
      <c r="E8" s="47">
        <f>C8+D8</f>
        <v>2</v>
      </c>
      <c r="F8" s="85">
        <v>0</v>
      </c>
      <c r="G8" s="47">
        <f t="shared" si="4"/>
        <v>1</v>
      </c>
      <c r="H8" s="86">
        <v>1</v>
      </c>
      <c r="I8" s="15">
        <v>100</v>
      </c>
      <c r="J8" s="80">
        <f t="shared" si="5"/>
        <v>100</v>
      </c>
      <c r="K8" s="17" t="s">
        <v>278</v>
      </c>
      <c r="L8" s="18">
        <v>50</v>
      </c>
      <c r="M8" s="23">
        <f t="shared" si="6"/>
        <v>50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1</v>
      </c>
      <c r="D15" s="85">
        <v>0</v>
      </c>
      <c r="E15" s="47">
        <f t="shared" si="0"/>
        <v>1</v>
      </c>
      <c r="F15" s="85">
        <v>0</v>
      </c>
      <c r="G15" s="47">
        <f t="shared" si="4"/>
        <v>1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0</v>
      </c>
      <c r="D17" s="85">
        <v>5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+ยกมา!G19</f>
        <v>6</v>
      </c>
      <c r="D19" s="85">
        <v>0</v>
      </c>
      <c r="E19" s="47">
        <f t="shared" si="0"/>
        <v>6</v>
      </c>
      <c r="F19" s="85">
        <v>0</v>
      </c>
      <c r="G19" s="47">
        <f t="shared" si="4"/>
        <v>6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0</v>
      </c>
      <c r="D23" s="85">
        <v>10</v>
      </c>
      <c r="E23" s="47">
        <f t="shared" si="0"/>
        <v>10</v>
      </c>
      <c r="F23" s="85">
        <v>0</v>
      </c>
      <c r="G23" s="47">
        <f t="shared" si="4"/>
        <v>10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0</v>
      </c>
      <c r="D24" s="85">
        <v>2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5">
        <v>2</v>
      </c>
      <c r="E25" s="47">
        <f t="shared" si="0"/>
        <v>2</v>
      </c>
      <c r="F25" s="85">
        <v>0</v>
      </c>
      <c r="G25" s="47">
        <f t="shared" si="4"/>
        <v>2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3</v>
      </c>
      <c r="E32" s="47">
        <f t="shared" si="0"/>
        <v>3</v>
      </c>
      <c r="F32" s="85">
        <v>0</v>
      </c>
      <c r="G32" s="47">
        <f t="shared" si="4"/>
        <v>3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3</v>
      </c>
      <c r="E33" s="47">
        <f t="shared" si="0"/>
        <v>3</v>
      </c>
      <c r="F33" s="85">
        <v>0</v>
      </c>
      <c r="G33" s="47">
        <f t="shared" si="4"/>
        <v>3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1</v>
      </c>
      <c r="D37" s="85">
        <v>20</v>
      </c>
      <c r="E37" s="47">
        <f t="shared" si="0"/>
        <v>21</v>
      </c>
      <c r="F37" s="85">
        <v>0</v>
      </c>
      <c r="G37" s="47">
        <f t="shared" si="4"/>
        <v>19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3</v>
      </c>
      <c r="D38" s="85">
        <v>8</v>
      </c>
      <c r="E38" s="47">
        <f t="shared" si="0"/>
        <v>11</v>
      </c>
      <c r="F38" s="85">
        <v>0</v>
      </c>
      <c r="G38" s="47">
        <f t="shared" si="4"/>
        <v>10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9</v>
      </c>
      <c r="D39" s="85">
        <v>5</v>
      </c>
      <c r="E39" s="47">
        <f t="shared" si="0"/>
        <v>14</v>
      </c>
      <c r="F39" s="85">
        <v>0</v>
      </c>
      <c r="G39" s="47">
        <f t="shared" si="4"/>
        <v>13</v>
      </c>
      <c r="H39" s="86">
        <v>1</v>
      </c>
      <c r="I39" s="15">
        <v>50</v>
      </c>
      <c r="J39" s="80">
        <f t="shared" si="5"/>
        <v>50</v>
      </c>
      <c r="K39" s="17" t="s">
        <v>278</v>
      </c>
      <c r="L39" s="18">
        <v>25</v>
      </c>
      <c r="M39" s="23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18</v>
      </c>
      <c r="D40" s="85">
        <v>8</v>
      </c>
      <c r="E40" s="47">
        <f t="shared" si="0"/>
        <v>26</v>
      </c>
      <c r="F40" s="85">
        <v>0</v>
      </c>
      <c r="G40" s="47">
        <f t="shared" si="4"/>
        <v>25</v>
      </c>
      <c r="H40" s="86">
        <v>1</v>
      </c>
      <c r="I40" s="15">
        <v>50</v>
      </c>
      <c r="J40" s="80">
        <f t="shared" si="5"/>
        <v>50</v>
      </c>
      <c r="K40" s="17" t="s">
        <v>278</v>
      </c>
      <c r="L40" s="18">
        <v>25</v>
      </c>
      <c r="M40" s="23">
        <f t="shared" si="6"/>
        <v>25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5</v>
      </c>
      <c r="D41" s="85">
        <v>5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+ยกมา!G42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4</v>
      </c>
      <c r="D43" s="85">
        <v>2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1</v>
      </c>
      <c r="D44" s="85">
        <v>5</v>
      </c>
      <c r="E44" s="47">
        <f t="shared" si="0"/>
        <v>6</v>
      </c>
      <c r="F44" s="85">
        <v>0</v>
      </c>
      <c r="G44" s="47">
        <f t="shared" si="4"/>
        <v>6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+ยกมา!G46</f>
        <v>2</v>
      </c>
      <c r="D46" s="85">
        <v>5</v>
      </c>
      <c r="E46" s="47">
        <f t="shared" si="0"/>
        <v>7</v>
      </c>
      <c r="F46" s="85">
        <v>0</v>
      </c>
      <c r="G46" s="47">
        <f t="shared" si="4"/>
        <v>7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6</v>
      </c>
      <c r="D47" s="85">
        <v>5</v>
      </c>
      <c r="E47" s="47">
        <f t="shared" si="0"/>
        <v>11</v>
      </c>
      <c r="F47" s="85">
        <v>0</v>
      </c>
      <c r="G47" s="47">
        <f t="shared" si="4"/>
        <v>11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6</v>
      </c>
      <c r="D61" s="85">
        <v>0</v>
      </c>
      <c r="E61" s="47">
        <f t="shared" si="0"/>
        <v>6</v>
      </c>
      <c r="F61" s="85">
        <v>0</v>
      </c>
      <c r="G61" s="47">
        <f t="shared" si="4"/>
        <v>6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7</v>
      </c>
      <c r="D63" s="85">
        <v>0</v>
      </c>
      <c r="E63" s="47">
        <f t="shared" si="0"/>
        <v>7</v>
      </c>
      <c r="F63" s="85">
        <v>0</v>
      </c>
      <c r="G63" s="47">
        <f t="shared" si="4"/>
        <v>6</v>
      </c>
      <c r="H63" s="86">
        <v>1</v>
      </c>
      <c r="I63" s="20">
        <v>50</v>
      </c>
      <c r="J63" s="80">
        <f t="shared" si="5"/>
        <v>50</v>
      </c>
      <c r="K63" s="17" t="s">
        <v>278</v>
      </c>
      <c r="L63" s="18">
        <v>25</v>
      </c>
      <c r="M63" s="23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8</v>
      </c>
      <c r="D66" s="85">
        <v>5</v>
      </c>
      <c r="E66" s="47">
        <f t="shared" si="0"/>
        <v>13</v>
      </c>
      <c r="F66" s="85">
        <v>0</v>
      </c>
      <c r="G66" s="47">
        <f t="shared" si="4"/>
        <v>13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0</v>
      </c>
      <c r="H67" s="86">
        <v>1</v>
      </c>
      <c r="I67" s="15">
        <v>50</v>
      </c>
      <c r="J67" s="80">
        <f t="shared" si="5"/>
        <v>50</v>
      </c>
      <c r="K67" s="17" t="s">
        <v>278</v>
      </c>
      <c r="L67" s="18">
        <v>25</v>
      </c>
      <c r="M67" s="23">
        <f t="shared" si="6"/>
        <v>25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13</v>
      </c>
      <c r="D70" s="85">
        <v>8</v>
      </c>
      <c r="E70" s="47">
        <f t="shared" si="0"/>
        <v>21</v>
      </c>
      <c r="F70" s="85">
        <v>0</v>
      </c>
      <c r="G70" s="47">
        <f t="shared" si="4"/>
        <v>18</v>
      </c>
      <c r="H70" s="86">
        <v>3</v>
      </c>
      <c r="I70" s="20">
        <v>50</v>
      </c>
      <c r="J70" s="80">
        <f t="shared" si="5"/>
        <v>150</v>
      </c>
      <c r="K70" s="17" t="s">
        <v>278</v>
      </c>
      <c r="L70" s="18">
        <v>50</v>
      </c>
      <c r="M70" s="23">
        <f t="shared" ref="M70:M134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5</v>
      </c>
      <c r="E71" s="47">
        <f t="shared" si="0"/>
        <v>5</v>
      </c>
      <c r="F71" s="85">
        <v>0</v>
      </c>
      <c r="G71" s="47">
        <f t="shared" si="4"/>
        <v>4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+ยกมา!G77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278</v>
      </c>
      <c r="L77" s="18">
        <v>25</v>
      </c>
      <c r="M77" s="23">
        <f t="shared" si="10"/>
        <v>25</v>
      </c>
    </row>
    <row r="78" spans="1:13" ht="25.5" x14ac:dyDescent="0.55000000000000004">
      <c r="A78" s="10">
        <v>74</v>
      </c>
      <c r="B78" s="19" t="s">
        <v>276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+ยกมา!G79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+ยกมา!G80</f>
        <v>6</v>
      </c>
      <c r="D80" s="85">
        <v>8</v>
      </c>
      <c r="E80" s="47">
        <f t="shared" si="0"/>
        <v>14</v>
      </c>
      <c r="F80" s="85">
        <v>0</v>
      </c>
      <c r="G80" s="47">
        <f t="shared" si="4"/>
        <v>12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>
        <v>0</v>
      </c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+ยกมา!G82</f>
        <v>3</v>
      </c>
      <c r="D82" s="85">
        <v>0</v>
      </c>
      <c r="E82" s="47">
        <f t="shared" si="0"/>
        <v>3</v>
      </c>
      <c r="F82" s="85">
        <v>0</v>
      </c>
      <c r="G82" s="47">
        <f t="shared" si="4"/>
        <v>2</v>
      </c>
      <c r="H82" s="86">
        <v>1</v>
      </c>
      <c r="I82" s="20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+ยกมา!G83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2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+ยกมา!G85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+ยกมา!G86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3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+ยกมา!G87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+ยกมา!G88</f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7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+ยกมา!G89</f>
        <v>8</v>
      </c>
      <c r="D89" s="85">
        <v>5</v>
      </c>
      <c r="E89" s="47">
        <f t="shared" si="0"/>
        <v>13</v>
      </c>
      <c r="F89" s="85">
        <v>0</v>
      </c>
      <c r="G89" s="47">
        <f t="shared" si="4"/>
        <v>13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+ยกมา!G91</f>
        <v>1</v>
      </c>
      <c r="D91" s="85">
        <v>3</v>
      </c>
      <c r="E91" s="47">
        <f t="shared" si="0"/>
        <v>4</v>
      </c>
      <c r="F91" s="85">
        <v>0</v>
      </c>
      <c r="G91" s="47">
        <f t="shared" si="4"/>
        <v>4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+ยกมา!G102</f>
        <v>18</v>
      </c>
      <c r="D102" s="85">
        <v>0</v>
      </c>
      <c r="E102" s="47">
        <f t="shared" si="0"/>
        <v>18</v>
      </c>
      <c r="F102" s="85">
        <v>0</v>
      </c>
      <c r="G102" s="47">
        <f t="shared" si="11"/>
        <v>18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+ยกมา!G104</f>
        <v>4</v>
      </c>
      <c r="D104" s="85">
        <v>0</v>
      </c>
      <c r="E104" s="47">
        <f t="shared" si="0"/>
        <v>4</v>
      </c>
      <c r="F104" s="85">
        <v>0</v>
      </c>
      <c r="G104" s="47">
        <f t="shared" si="11"/>
        <v>4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+ยกมา!G125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+ยกมา!G126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+ยกมา!G127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+ยกมา!G128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+ยกมา!G129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+ยกมา!G130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+ยกมา!G131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+ยกมา!G132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+ยกมา!G133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+ยกมา!G134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+ยกมา!G135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+ยกมา!G136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+ยกมา!G137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+ยกมา!G138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+ยกมา!G139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+ยกมา!G140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+ยกมา!G141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+ยกมา!G142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+ยกมา!G143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+ยกมา!G144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+ยกมา!G145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+ยกมา!G146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+ยกมา!G147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+ยกมา!G148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+ยกมา!G149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+ยกมา!G150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+ยกมา!G151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+ยกมา!G152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+ยกมา!G153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+ยกมา!G154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+ยกมา!G155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+ยกมา!G156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+ยกมา!G157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+ยกมา!G158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+ยกมา!G159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+ยกมา!G160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+ยกมา!G161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+ยกมา!G162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+ยกมา!G163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+ยกมา!G164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+ยกมา!G165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+ยกมา!G166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+ยกมา!G167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+ยกมา!G168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+ยกมา!G169</f>
        <v>46</v>
      </c>
      <c r="D169" s="85">
        <v>0</v>
      </c>
      <c r="E169" s="47">
        <f t="shared" si="13"/>
        <v>46</v>
      </c>
      <c r="F169" s="85">
        <v>0</v>
      </c>
      <c r="G169" s="47">
        <f t="shared" si="15"/>
        <v>45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+ยกมา!G170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+ยกมา!G171</f>
        <v>12</v>
      </c>
      <c r="D171" s="85">
        <v>0</v>
      </c>
      <c r="E171" s="47">
        <f t="shared" si="13"/>
        <v>12</v>
      </c>
      <c r="F171" s="85">
        <v>0</v>
      </c>
      <c r="G171" s="47">
        <f t="shared" si="15"/>
        <v>12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+ยกมา!G172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+ยกมา!G173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+ยกมา!G174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+ยกมา!G175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+ยกมา!G176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+ยกมา!G177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2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+ยกมา!G178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+ยกมา!G179</f>
        <v>1</v>
      </c>
      <c r="D179" s="85">
        <v>0</v>
      </c>
      <c r="E179" s="47">
        <f t="shared" si="13"/>
        <v>1</v>
      </c>
      <c r="F179" s="85">
        <v>0</v>
      </c>
      <c r="G179" s="47">
        <f t="shared" si="15"/>
        <v>0</v>
      </c>
      <c r="H179" s="86">
        <v>1</v>
      </c>
      <c r="I179" s="20">
        <v>120</v>
      </c>
      <c r="J179" s="80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+ยกมา!G180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+ยกมา!G181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+ยกมา!G182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+ยกมา!G183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+ยกมา!G184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+ยกมา!G185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+ยกมา!G186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+ยกมา!G187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+ยกมา!G188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+ยกมา!G189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+ยกมา!G190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+ยกมา!G191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+ยกมา!G192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+ยกมา!G193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+ยกมา!G194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+ยกมา!G195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+ยกมา!G196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+ยกมา!G197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+ยกมา!G198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+ยกมา!G199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+ยกมา!G200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+ยกมา!G201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+ยกมา!G202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+ยกมา!G203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+ยกมา!G204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+ยกมา!G205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+ยกมา!G206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+ยกมา!G207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+ยกมา!G208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+ยกมา!G209</f>
        <v>2</v>
      </c>
      <c r="D209" s="85">
        <v>0</v>
      </c>
      <c r="E209" s="47">
        <f t="shared" si="17"/>
        <v>2</v>
      </c>
      <c r="F209" s="85">
        <v>0</v>
      </c>
      <c r="G209" s="47">
        <f t="shared" si="15"/>
        <v>1</v>
      </c>
      <c r="H209" s="86">
        <v>1</v>
      </c>
      <c r="I209" s="20">
        <v>50</v>
      </c>
      <c r="J209" s="80">
        <f t="shared" si="16"/>
        <v>50</v>
      </c>
      <c r="K209" s="17" t="s">
        <v>278</v>
      </c>
      <c r="L209" s="18">
        <v>25</v>
      </c>
      <c r="M209" s="23">
        <f t="shared" si="18"/>
        <v>25</v>
      </c>
    </row>
    <row r="210" spans="1:13" ht="25.5" x14ac:dyDescent="0.55000000000000004">
      <c r="A210" s="10">
        <v>206</v>
      </c>
      <c r="B210" s="19" t="s">
        <v>267</v>
      </c>
      <c r="C210" s="79">
        <f>+ยกมา!G210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+ยกมา!G211</f>
        <v>0</v>
      </c>
      <c r="D211" s="85">
        <v>5</v>
      </c>
      <c r="E211" s="47">
        <f t="shared" si="17"/>
        <v>5</v>
      </c>
      <c r="F211" s="85">
        <v>0</v>
      </c>
      <c r="G211" s="47">
        <f t="shared" si="15"/>
        <v>5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+ยกมา!G212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+ยกมา!G213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+ยกมา!G214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+ยกมา!G215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+ยกมา!G216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+ยกมา!G217</f>
        <v>2</v>
      </c>
      <c r="D217" s="85">
        <v>20</v>
      </c>
      <c r="E217" s="47">
        <f t="shared" si="17"/>
        <v>22</v>
      </c>
      <c r="F217" s="85">
        <v>0</v>
      </c>
      <c r="G217" s="47">
        <f t="shared" si="15"/>
        <v>21</v>
      </c>
      <c r="H217" s="86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9" t="s">
        <v>272</v>
      </c>
      <c r="C218" s="79">
        <f>+ยกมา!G218</f>
        <v>4</v>
      </c>
      <c r="D218" s="85">
        <v>15</v>
      </c>
      <c r="E218" s="47">
        <f t="shared" si="17"/>
        <v>19</v>
      </c>
      <c r="F218" s="85">
        <v>0</v>
      </c>
      <c r="G218" s="47">
        <f t="shared" si="15"/>
        <v>18</v>
      </c>
      <c r="H218" s="86">
        <v>1</v>
      </c>
      <c r="I218" s="20">
        <v>25</v>
      </c>
      <c r="J218" s="80">
        <f t="shared" si="16"/>
        <v>25</v>
      </c>
      <c r="K218" s="17" t="s">
        <v>279</v>
      </c>
      <c r="L218" s="18">
        <v>5</v>
      </c>
      <c r="M218" s="23">
        <f t="shared" si="18"/>
        <v>20</v>
      </c>
    </row>
    <row r="219" spans="1:13" ht="25.5" x14ac:dyDescent="0.55000000000000004">
      <c r="A219" s="10">
        <v>215</v>
      </c>
      <c r="B219" s="19" t="s">
        <v>273</v>
      </c>
      <c r="C219" s="79">
        <f>+ยกมา!G219</f>
        <v>5</v>
      </c>
      <c r="D219" s="85">
        <v>0</v>
      </c>
      <c r="E219" s="47">
        <f t="shared" si="17"/>
        <v>5</v>
      </c>
      <c r="F219" s="85">
        <v>0</v>
      </c>
      <c r="G219" s="47">
        <f t="shared" si="15"/>
        <v>5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+ยกมา!G220</f>
        <v>0</v>
      </c>
      <c r="D220" s="85">
        <v>5</v>
      </c>
      <c r="E220" s="47">
        <f t="shared" si="17"/>
        <v>5</v>
      </c>
      <c r="F220" s="85">
        <v>0</v>
      </c>
      <c r="G220" s="47">
        <f t="shared" si="15"/>
        <v>4</v>
      </c>
      <c r="H220" s="86">
        <v>1</v>
      </c>
      <c r="I220" s="20">
        <v>45</v>
      </c>
      <c r="J220" s="80">
        <f t="shared" si="16"/>
        <v>45</v>
      </c>
      <c r="K220" s="17" t="s">
        <v>16</v>
      </c>
      <c r="L220" s="18">
        <v>0</v>
      </c>
      <c r="M220" s="23">
        <f t="shared" si="18"/>
        <v>45</v>
      </c>
    </row>
    <row r="221" spans="1:13" ht="25.5" x14ac:dyDescent="0.55000000000000004">
      <c r="A221" s="10">
        <v>217</v>
      </c>
      <c r="B221" s="19" t="s">
        <v>301</v>
      </c>
      <c r="C221" s="79">
        <f>+ยกมา!G221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+ยกมา!G222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+ยกมา!G223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+ยกมา!G224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1830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2085</v>
      </c>
    </row>
    <row r="258" spans="1:14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495</v>
      </c>
      <c r="L259" s="2">
        <v>250</v>
      </c>
      <c r="M259" s="2">
        <v>45</v>
      </c>
      <c r="N259" s="2">
        <v>200</v>
      </c>
    </row>
    <row r="260" spans="1:14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4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4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255</v>
      </c>
    </row>
    <row r="263" spans="1:14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1320</v>
      </c>
    </row>
    <row r="264" spans="1:14" ht="25.5" x14ac:dyDescent="0.55000000000000004">
      <c r="A264" s="1"/>
      <c r="E264" s="31"/>
      <c r="G264" s="31"/>
      <c r="I264" s="133" t="s">
        <v>209</v>
      </c>
      <c r="J264" s="134"/>
      <c r="K264" s="37">
        <v>1320</v>
      </c>
    </row>
    <row r="265" spans="1:14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4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66FF99"/>
  </sheetPr>
  <dimension ref="A1:Z341"/>
  <sheetViews>
    <sheetView zoomScale="115" zoomScaleNormal="115" workbookViewId="0">
      <pane xSplit="7" ySplit="4" topLeftCell="H11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+'1'!G5</f>
        <v>25</v>
      </c>
      <c r="D5" s="85">
        <v>0</v>
      </c>
      <c r="E5" s="47">
        <f t="shared" ref="E5:E125" si="0">C5+D5</f>
        <v>25</v>
      </c>
      <c r="F5" s="85">
        <v>0</v>
      </c>
      <c r="G5" s="47">
        <f>+E5-F5-H5</f>
        <v>24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46</v>
      </c>
      <c r="D6" s="85">
        <v>0</v>
      </c>
      <c r="E6" s="47">
        <f t="shared" si="0"/>
        <v>46</v>
      </c>
      <c r="F6" s="85">
        <v>0</v>
      </c>
      <c r="G6" s="47">
        <f t="shared" ref="G6:G100" si="4">+E6-F6-H6</f>
        <v>45</v>
      </c>
      <c r="H6" s="86">
        <v>1</v>
      </c>
      <c r="I6" s="15">
        <v>100</v>
      </c>
      <c r="J6" s="80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1</v>
      </c>
      <c r="D8" s="85">
        <v>0</v>
      </c>
      <c r="E8" s="47">
        <f>C8+D8</f>
        <v>1</v>
      </c>
      <c r="F8" s="85">
        <v>0</v>
      </c>
      <c r="G8" s="47">
        <f t="shared" si="4"/>
        <v>0</v>
      </c>
      <c r="H8" s="86">
        <v>1</v>
      </c>
      <c r="I8" s="15">
        <v>100</v>
      </c>
      <c r="J8" s="80">
        <f t="shared" si="5"/>
        <v>100</v>
      </c>
      <c r="K8" s="17" t="s">
        <v>278</v>
      </c>
      <c r="L8" s="18">
        <v>50</v>
      </c>
      <c r="M8" s="23">
        <f t="shared" si="6"/>
        <v>50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1</v>
      </c>
      <c r="D15" s="85">
        <v>0</v>
      </c>
      <c r="E15" s="47">
        <f t="shared" si="0"/>
        <v>1</v>
      </c>
      <c r="F15" s="85">
        <v>0</v>
      </c>
      <c r="G15" s="47">
        <f t="shared" si="4"/>
        <v>0</v>
      </c>
      <c r="H15" s="86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+'1'!G19</f>
        <v>6</v>
      </c>
      <c r="D19" s="85">
        <v>0</v>
      </c>
      <c r="E19" s="47">
        <f t="shared" si="0"/>
        <v>6</v>
      </c>
      <c r="F19" s="85">
        <v>0</v>
      </c>
      <c r="G19" s="47">
        <f t="shared" si="4"/>
        <v>1</v>
      </c>
      <c r="H19" s="86">
        <v>5</v>
      </c>
      <c r="I19" s="15">
        <v>50</v>
      </c>
      <c r="J19" s="80">
        <f t="shared" si="5"/>
        <v>250</v>
      </c>
      <c r="K19" s="17" t="s">
        <v>16</v>
      </c>
      <c r="L19" s="18">
        <v>0</v>
      </c>
      <c r="M19" s="23">
        <f t="shared" si="6"/>
        <v>250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4</v>
      </c>
      <c r="H23" s="86">
        <v>6</v>
      </c>
      <c r="I23" s="15">
        <v>100</v>
      </c>
      <c r="J23" s="80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2</v>
      </c>
      <c r="D25" s="85">
        <v>0</v>
      </c>
      <c r="E25" s="47">
        <f t="shared" si="0"/>
        <v>2</v>
      </c>
      <c r="F25" s="85">
        <v>0</v>
      </c>
      <c r="G25" s="47">
        <f t="shared" si="4"/>
        <v>2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3</v>
      </c>
      <c r="D32" s="85">
        <v>0</v>
      </c>
      <c r="E32" s="47">
        <f t="shared" si="0"/>
        <v>3</v>
      </c>
      <c r="F32" s="85">
        <v>0</v>
      </c>
      <c r="G32" s="47">
        <f t="shared" si="4"/>
        <v>3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3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19</v>
      </c>
      <c r="D37" s="85">
        <v>0</v>
      </c>
      <c r="E37" s="47">
        <f t="shared" si="0"/>
        <v>19</v>
      </c>
      <c r="F37" s="85">
        <v>1</v>
      </c>
      <c r="G37" s="47">
        <f t="shared" si="4"/>
        <v>14</v>
      </c>
      <c r="H37" s="86">
        <v>4</v>
      </c>
      <c r="I37" s="15">
        <v>100</v>
      </c>
      <c r="J37" s="80">
        <f t="shared" si="5"/>
        <v>400</v>
      </c>
      <c r="K37" s="17" t="s">
        <v>280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10</v>
      </c>
      <c r="D38" s="85">
        <v>0</v>
      </c>
      <c r="E38" s="47">
        <f t="shared" si="0"/>
        <v>10</v>
      </c>
      <c r="F38" s="85">
        <v>0</v>
      </c>
      <c r="G38" s="47">
        <f t="shared" si="4"/>
        <v>9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13</v>
      </c>
      <c r="D39" s="85">
        <v>0</v>
      </c>
      <c r="E39" s="47">
        <f t="shared" si="0"/>
        <v>13</v>
      </c>
      <c r="F39" s="85">
        <v>0</v>
      </c>
      <c r="G39" s="47">
        <f t="shared" si="4"/>
        <v>9</v>
      </c>
      <c r="H39" s="86">
        <v>4</v>
      </c>
      <c r="I39" s="15">
        <v>50</v>
      </c>
      <c r="J39" s="80">
        <f t="shared" si="5"/>
        <v>200</v>
      </c>
      <c r="K39" s="17" t="s">
        <v>278</v>
      </c>
      <c r="L39" s="18">
        <v>75</v>
      </c>
      <c r="M39" s="23">
        <f t="shared" si="6"/>
        <v>125</v>
      </c>
    </row>
    <row r="40" spans="1:13" ht="25.5" x14ac:dyDescent="0.55000000000000004">
      <c r="A40" s="10">
        <v>36</v>
      </c>
      <c r="B40" s="19" t="s">
        <v>51</v>
      </c>
      <c r="C40" s="79">
        <f>+'1'!G40</f>
        <v>25</v>
      </c>
      <c r="D40" s="85">
        <v>0</v>
      </c>
      <c r="E40" s="47">
        <f t="shared" si="0"/>
        <v>25</v>
      </c>
      <c r="F40" s="85">
        <v>0</v>
      </c>
      <c r="G40" s="101">
        <f t="shared" si="4"/>
        <v>20</v>
      </c>
      <c r="H40" s="86">
        <v>5</v>
      </c>
      <c r="I40" s="15">
        <v>50</v>
      </c>
      <c r="J40" s="80">
        <f t="shared" si="5"/>
        <v>250</v>
      </c>
      <c r="K40" s="17" t="s">
        <v>278</v>
      </c>
      <c r="L40" s="18">
        <v>125</v>
      </c>
      <c r="M40" s="23">
        <f t="shared" si="6"/>
        <v>125</v>
      </c>
    </row>
    <row r="41" spans="1:13" ht="25.5" x14ac:dyDescent="0.55000000000000004">
      <c r="A41" s="10">
        <v>37</v>
      </c>
      <c r="B41" s="19" t="s">
        <v>52</v>
      </c>
      <c r="C41" s="79">
        <f>+'1'!G41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2</v>
      </c>
      <c r="H44" s="86">
        <v>4</v>
      </c>
      <c r="I44" s="15">
        <v>50</v>
      </c>
      <c r="J44" s="80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+'1'!G46</f>
        <v>7</v>
      </c>
      <c r="D46" s="85">
        <v>0</v>
      </c>
      <c r="E46" s="47">
        <f t="shared" si="0"/>
        <v>7</v>
      </c>
      <c r="F46" s="85">
        <v>0</v>
      </c>
      <c r="G46" s="47">
        <f t="shared" si="4"/>
        <v>6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9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0</v>
      </c>
      <c r="H52" s="86">
        <v>1</v>
      </c>
      <c r="I52" s="21">
        <v>120</v>
      </c>
      <c r="J52" s="80">
        <f t="shared" si="5"/>
        <v>120</v>
      </c>
      <c r="K52" s="17" t="s">
        <v>278</v>
      </c>
      <c r="L52" s="18">
        <v>60</v>
      </c>
      <c r="M52" s="23">
        <f t="shared" si="6"/>
        <v>60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1</v>
      </c>
      <c r="D54" s="85">
        <v>0</v>
      </c>
      <c r="E54" s="47">
        <f t="shared" si="0"/>
        <v>1</v>
      </c>
      <c r="F54" s="85">
        <v>1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281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6</v>
      </c>
      <c r="D61" s="85">
        <v>0</v>
      </c>
      <c r="E61" s="47">
        <f t="shared" si="0"/>
        <v>6</v>
      </c>
      <c r="F61" s="85">
        <v>0</v>
      </c>
      <c r="G61" s="47">
        <f t="shared" si="4"/>
        <v>6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6</v>
      </c>
      <c r="D63" s="85">
        <v>0</v>
      </c>
      <c r="E63" s="47">
        <f t="shared" si="0"/>
        <v>6</v>
      </c>
      <c r="F63" s="85">
        <v>0</v>
      </c>
      <c r="G63" s="47">
        <f t="shared" si="4"/>
        <v>6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/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12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18</v>
      </c>
      <c r="D70" s="85">
        <v>0</v>
      </c>
      <c r="E70" s="47">
        <f t="shared" si="0"/>
        <v>18</v>
      </c>
      <c r="F70" s="85">
        <v>0</v>
      </c>
      <c r="G70" s="47">
        <f t="shared" si="4"/>
        <v>17</v>
      </c>
      <c r="H70" s="86">
        <v>1</v>
      </c>
      <c r="I70" s="20">
        <v>50</v>
      </c>
      <c r="J70" s="80">
        <f t="shared" si="5"/>
        <v>50</v>
      </c>
      <c r="K70" s="17" t="s">
        <v>278</v>
      </c>
      <c r="L70" s="18">
        <v>25</v>
      </c>
      <c r="M70" s="23">
        <f t="shared" ref="M70" si="10">SUM(J70-L70)</f>
        <v>25</v>
      </c>
    </row>
    <row r="71" spans="1:13" ht="25.5" x14ac:dyDescent="0.55000000000000004">
      <c r="A71" s="10">
        <v>67</v>
      </c>
      <c r="B71" s="19" t="s">
        <v>82</v>
      </c>
      <c r="C71" s="79">
        <f>+'1'!G71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4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ref="M71:M134" si="11">SUM(J71-L71)</f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1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1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1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1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1"/>
        <v>0</v>
      </c>
    </row>
    <row r="77" spans="1:13" ht="25.5" x14ac:dyDescent="0.55000000000000004">
      <c r="A77" s="10">
        <v>73</v>
      </c>
      <c r="B77" s="19" t="s">
        <v>275</v>
      </c>
      <c r="C77" s="79">
        <f>+'1'!G77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1"/>
        <v>0</v>
      </c>
    </row>
    <row r="78" spans="1:13" ht="25.5" x14ac:dyDescent="0.55000000000000004">
      <c r="A78" s="10">
        <v>74</v>
      </c>
      <c r="B78" s="19" t="s">
        <v>276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1"/>
        <v>0</v>
      </c>
    </row>
    <row r="79" spans="1:13" ht="25.5" x14ac:dyDescent="0.55000000000000004">
      <c r="A79" s="10">
        <v>75</v>
      </c>
      <c r="B79" s="19" t="s">
        <v>303</v>
      </c>
      <c r="C79" s="79">
        <f>+'1'!G79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+'1'!G80</f>
        <v>12</v>
      </c>
      <c r="D80" s="85">
        <v>0</v>
      </c>
      <c r="E80" s="47">
        <f t="shared" si="0"/>
        <v>12</v>
      </c>
      <c r="F80" s="85">
        <v>0</v>
      </c>
      <c r="G80" s="47">
        <f t="shared" si="4"/>
        <v>12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91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92</v>
      </c>
      <c r="C82" s="79">
        <f>+'1'!G82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0</v>
      </c>
      <c r="H82" s="86">
        <v>2</v>
      </c>
      <c r="I82" s="20">
        <v>55</v>
      </c>
      <c r="J82" s="80">
        <f t="shared" si="5"/>
        <v>110</v>
      </c>
      <c r="K82" s="17" t="s">
        <v>16</v>
      </c>
      <c r="L82" s="18">
        <v>0</v>
      </c>
      <c r="M82" s="23">
        <f t="shared" si="11"/>
        <v>110</v>
      </c>
    </row>
    <row r="83" spans="1:13" ht="25.5" x14ac:dyDescent="0.55000000000000004">
      <c r="A83" s="10">
        <v>79</v>
      </c>
      <c r="B83" s="19" t="s">
        <v>93</v>
      </c>
      <c r="C83" s="79">
        <f>+'1'!G83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1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23">
        <f t="shared" si="11"/>
        <v>55</v>
      </c>
    </row>
    <row r="84" spans="1:13" ht="25.5" x14ac:dyDescent="0.55000000000000004">
      <c r="A84" s="10">
        <v>80</v>
      </c>
      <c r="B84" s="19" t="s">
        <v>94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1"/>
        <v>0</v>
      </c>
    </row>
    <row r="85" spans="1:13" ht="25.5" x14ac:dyDescent="0.55000000000000004">
      <c r="A85" s="10">
        <v>81</v>
      </c>
      <c r="B85" s="19" t="s">
        <v>95</v>
      </c>
      <c r="C85" s="79">
        <f>+'1'!G85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1"/>
        <v>0</v>
      </c>
    </row>
    <row r="86" spans="1:13" ht="25.5" x14ac:dyDescent="0.55000000000000004">
      <c r="A86" s="10">
        <v>82</v>
      </c>
      <c r="B86" s="19" t="s">
        <v>96</v>
      </c>
      <c r="C86" s="79">
        <f>+'1'!G86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97</v>
      </c>
      <c r="C87" s="79">
        <f>+'1'!G87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98</v>
      </c>
      <c r="C88" s="79">
        <f>+'1'!G88</f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7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1"/>
        <v>0</v>
      </c>
    </row>
    <row r="89" spans="1:13" ht="25.5" x14ac:dyDescent="0.55000000000000004">
      <c r="A89" s="10">
        <v>85</v>
      </c>
      <c r="B89" s="19" t="s">
        <v>99</v>
      </c>
      <c r="C89" s="79">
        <f>+'1'!G89</f>
        <v>13</v>
      </c>
      <c r="D89" s="85">
        <v>0</v>
      </c>
      <c r="E89" s="47">
        <f t="shared" si="0"/>
        <v>13</v>
      </c>
      <c r="F89" s="85">
        <v>0</v>
      </c>
      <c r="G89" s="47">
        <f t="shared" si="4"/>
        <v>13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100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101</v>
      </c>
      <c r="C91" s="79">
        <f>+'1'!G91</f>
        <v>4</v>
      </c>
      <c r="D91" s="85">
        <v>0</v>
      </c>
      <c r="E91" s="47">
        <f t="shared" si="0"/>
        <v>4</v>
      </c>
      <c r="F91" s="85">
        <v>0</v>
      </c>
      <c r="G91" s="47">
        <f t="shared" si="4"/>
        <v>3</v>
      </c>
      <c r="H91" s="86">
        <v>1</v>
      </c>
      <c r="I91" s="20">
        <v>50</v>
      </c>
      <c r="J91" s="80">
        <f t="shared" si="5"/>
        <v>50</v>
      </c>
      <c r="K91" s="17" t="s">
        <v>282</v>
      </c>
      <c r="L91" s="18">
        <v>50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102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103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104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105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1"/>
        <v>0</v>
      </c>
    </row>
    <row r="96" spans="1:13" ht="25.5" x14ac:dyDescent="0.55000000000000004">
      <c r="A96" s="10">
        <v>92</v>
      </c>
      <c r="B96" s="19" t="s">
        <v>106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1"/>
        <v>0</v>
      </c>
    </row>
    <row r="97" spans="1:13" ht="25.5" x14ac:dyDescent="0.55000000000000004">
      <c r="A97" s="10">
        <v>93</v>
      </c>
      <c r="B97" s="19" t="s">
        <v>107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108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109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110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111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2">+E101-F101-H101</f>
        <v>0</v>
      </c>
      <c r="H101" s="86"/>
      <c r="I101" s="20">
        <v>60</v>
      </c>
      <c r="J101" s="80">
        <f t="shared" ref="J101:J164" si="13">+I101*H101</f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239</v>
      </c>
      <c r="C102" s="79">
        <f>+'1'!G102</f>
        <v>18</v>
      </c>
      <c r="D102" s="85">
        <v>0</v>
      </c>
      <c r="E102" s="47">
        <f t="shared" si="0"/>
        <v>18</v>
      </c>
      <c r="F102" s="85">
        <v>0</v>
      </c>
      <c r="G102" s="47">
        <f t="shared" si="12"/>
        <v>17</v>
      </c>
      <c r="H102" s="86">
        <v>1</v>
      </c>
      <c r="I102" s="20">
        <v>55</v>
      </c>
      <c r="J102" s="80">
        <f t="shared" si="13"/>
        <v>55</v>
      </c>
      <c r="K102" s="17" t="s">
        <v>16</v>
      </c>
      <c r="L102" s="18">
        <v>0</v>
      </c>
      <c r="M102" s="23">
        <f t="shared" si="11"/>
        <v>55</v>
      </c>
    </row>
    <row r="103" spans="1:13" ht="25.5" x14ac:dyDescent="0.55000000000000004">
      <c r="A103" s="10">
        <v>99</v>
      </c>
      <c r="B103" s="19" t="s">
        <v>113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2"/>
        <v>0</v>
      </c>
      <c r="H103" s="86"/>
      <c r="I103" s="20">
        <v>50</v>
      </c>
      <c r="J103" s="80">
        <f t="shared" si="13"/>
        <v>0</v>
      </c>
      <c r="K103" s="17" t="s">
        <v>16</v>
      </c>
      <c r="L103" s="18">
        <v>0</v>
      </c>
      <c r="M103" s="23">
        <f t="shared" si="11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+'1'!G104</f>
        <v>4</v>
      </c>
      <c r="D104" s="85">
        <v>0</v>
      </c>
      <c r="E104" s="47">
        <f t="shared" si="0"/>
        <v>4</v>
      </c>
      <c r="F104" s="85">
        <v>0</v>
      </c>
      <c r="G104" s="47">
        <f t="shared" si="12"/>
        <v>4</v>
      </c>
      <c r="H104" s="86"/>
      <c r="I104" s="20">
        <v>100</v>
      </c>
      <c r="J104" s="80">
        <f t="shared" si="13"/>
        <v>0</v>
      </c>
      <c r="K104" s="17" t="s">
        <v>16</v>
      </c>
      <c r="L104" s="18">
        <v>0</v>
      </c>
      <c r="M104" s="23">
        <f t="shared" si="11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2"/>
        <v>0</v>
      </c>
      <c r="H105" s="86"/>
      <c r="I105" s="20">
        <v>100</v>
      </c>
      <c r="J105" s="80">
        <f t="shared" si="13"/>
        <v>0</v>
      </c>
      <c r="K105" s="17" t="s">
        <v>16</v>
      </c>
      <c r="L105" s="18">
        <v>0</v>
      </c>
      <c r="M105" s="23">
        <f t="shared" si="11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2"/>
        <v>0</v>
      </c>
      <c r="H106" s="86"/>
      <c r="I106" s="22">
        <v>30</v>
      </c>
      <c r="J106" s="80">
        <f t="shared" si="13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2"/>
        <v>0</v>
      </c>
      <c r="H107" s="86"/>
      <c r="I107" s="22">
        <v>20</v>
      </c>
      <c r="J107" s="80">
        <f t="shared" si="13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2"/>
        <v>0</v>
      </c>
      <c r="H108" s="86"/>
      <c r="I108" s="20">
        <v>100</v>
      </c>
      <c r="J108" s="80">
        <f t="shared" si="13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2"/>
        <v>0</v>
      </c>
      <c r="H109" s="86"/>
      <c r="I109" s="20">
        <v>80</v>
      </c>
      <c r="J109" s="80">
        <f t="shared" si="13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2"/>
        <v>0</v>
      </c>
      <c r="H110" s="86"/>
      <c r="I110" s="20">
        <v>60</v>
      </c>
      <c r="J110" s="80">
        <f t="shared" si="13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2"/>
        <v>0</v>
      </c>
      <c r="H111" s="86"/>
      <c r="I111" s="20">
        <v>35</v>
      </c>
      <c r="J111" s="80">
        <f t="shared" si="13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2"/>
        <v>0</v>
      </c>
      <c r="H112" s="86"/>
      <c r="I112" s="20">
        <v>35</v>
      </c>
      <c r="J112" s="80">
        <f t="shared" si="13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2"/>
        <v>0</v>
      </c>
      <c r="H113" s="86"/>
      <c r="I113" s="20">
        <v>35</v>
      </c>
      <c r="J113" s="80">
        <f t="shared" si="13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2"/>
        <v>0</v>
      </c>
      <c r="H114" s="86"/>
      <c r="I114" s="20">
        <v>35</v>
      </c>
      <c r="J114" s="80">
        <f t="shared" si="13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2"/>
        <v>0</v>
      </c>
      <c r="H115" s="86"/>
      <c r="I115" s="20">
        <v>35</v>
      </c>
      <c r="J115" s="80">
        <f t="shared" si="13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2"/>
        <v>0</v>
      </c>
      <c r="H116" s="86"/>
      <c r="I116" s="20">
        <v>50</v>
      </c>
      <c r="J116" s="80">
        <f t="shared" si="13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2"/>
        <v>0</v>
      </c>
      <c r="H117" s="86"/>
      <c r="I117" s="20">
        <v>50</v>
      </c>
      <c r="J117" s="80">
        <f t="shared" si="13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2"/>
        <v>0</v>
      </c>
      <c r="H118" s="86"/>
      <c r="I118" s="20">
        <v>50</v>
      </c>
      <c r="J118" s="80">
        <f t="shared" si="13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2"/>
        <v>0</v>
      </c>
      <c r="H119" s="86"/>
      <c r="I119" s="20">
        <v>50</v>
      </c>
      <c r="J119" s="80">
        <f t="shared" si="13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2"/>
        <v>0</v>
      </c>
      <c r="H120" s="86"/>
      <c r="I120" s="20">
        <v>50</v>
      </c>
      <c r="J120" s="80">
        <f t="shared" si="13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2"/>
        <v>0</v>
      </c>
      <c r="H121" s="86"/>
      <c r="I121" s="20">
        <v>50</v>
      </c>
      <c r="J121" s="80">
        <f t="shared" si="13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2"/>
        <v>0</v>
      </c>
      <c r="H122" s="86"/>
      <c r="I122" s="20">
        <v>40</v>
      </c>
      <c r="J122" s="80">
        <f t="shared" si="13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2"/>
        <v>0</v>
      </c>
      <c r="H123" s="86"/>
      <c r="I123" s="20">
        <v>35</v>
      </c>
      <c r="J123" s="80">
        <f t="shared" si="13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2"/>
        <v>0</v>
      </c>
      <c r="H124" s="86"/>
      <c r="I124" s="20">
        <v>40</v>
      </c>
      <c r="J124" s="80">
        <f t="shared" si="13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2"/>
        <v>0</v>
      </c>
      <c r="H125" s="86"/>
      <c r="I125" s="20">
        <v>40</v>
      </c>
      <c r="J125" s="80">
        <f t="shared" si="13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+'1'!G126</f>
        <v>0</v>
      </c>
      <c r="D126" s="85">
        <v>0</v>
      </c>
      <c r="E126" s="47">
        <f t="shared" ref="E126:E189" si="14">C126+D126</f>
        <v>0</v>
      </c>
      <c r="F126" s="85">
        <v>0</v>
      </c>
      <c r="G126" s="47">
        <f t="shared" si="12"/>
        <v>0</v>
      </c>
      <c r="H126" s="86"/>
      <c r="I126" s="20">
        <v>30</v>
      </c>
      <c r="J126" s="80">
        <f t="shared" si="13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+'1'!G127</f>
        <v>0</v>
      </c>
      <c r="D127" s="85">
        <v>0</v>
      </c>
      <c r="E127" s="47">
        <f t="shared" si="14"/>
        <v>0</v>
      </c>
      <c r="F127" s="85">
        <v>0</v>
      </c>
      <c r="G127" s="47">
        <f t="shared" si="12"/>
        <v>0</v>
      </c>
      <c r="H127" s="86"/>
      <c r="I127" s="20">
        <v>40</v>
      </c>
      <c r="J127" s="80">
        <f t="shared" si="13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+'1'!G128</f>
        <v>81</v>
      </c>
      <c r="D128" s="85">
        <v>0</v>
      </c>
      <c r="E128" s="47">
        <f t="shared" si="14"/>
        <v>81</v>
      </c>
      <c r="F128" s="85">
        <v>0</v>
      </c>
      <c r="G128" s="47">
        <f t="shared" si="12"/>
        <v>81</v>
      </c>
      <c r="H128" s="86"/>
      <c r="I128" s="20">
        <v>20</v>
      </c>
      <c r="J128" s="80">
        <f t="shared" si="13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+'1'!G129</f>
        <v>0</v>
      </c>
      <c r="D129" s="85">
        <v>0</v>
      </c>
      <c r="E129" s="47">
        <f t="shared" si="14"/>
        <v>0</v>
      </c>
      <c r="F129" s="85">
        <v>0</v>
      </c>
      <c r="G129" s="47">
        <f t="shared" si="12"/>
        <v>0</v>
      </c>
      <c r="H129" s="86"/>
      <c r="I129" s="20">
        <v>35</v>
      </c>
      <c r="J129" s="80">
        <f t="shared" si="13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+'1'!G130</f>
        <v>0</v>
      </c>
      <c r="D130" s="85">
        <v>0</v>
      </c>
      <c r="E130" s="47">
        <f t="shared" si="14"/>
        <v>0</v>
      </c>
      <c r="F130" s="85">
        <v>0</v>
      </c>
      <c r="G130" s="47">
        <f t="shared" si="12"/>
        <v>0</v>
      </c>
      <c r="H130" s="86"/>
      <c r="I130" s="20">
        <v>40</v>
      </c>
      <c r="J130" s="80">
        <f t="shared" si="13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+'1'!G131</f>
        <v>0</v>
      </c>
      <c r="D131" s="85">
        <v>0</v>
      </c>
      <c r="E131" s="47">
        <f t="shared" si="14"/>
        <v>0</v>
      </c>
      <c r="F131" s="85">
        <v>0</v>
      </c>
      <c r="G131" s="47">
        <f t="shared" si="12"/>
        <v>0</v>
      </c>
      <c r="H131" s="86"/>
      <c r="I131" s="20">
        <v>50</v>
      </c>
      <c r="J131" s="80">
        <f t="shared" si="13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+'1'!G132</f>
        <v>0</v>
      </c>
      <c r="D132" s="85">
        <v>0</v>
      </c>
      <c r="E132" s="47">
        <f t="shared" si="14"/>
        <v>0</v>
      </c>
      <c r="F132" s="85">
        <v>0</v>
      </c>
      <c r="G132" s="47">
        <f t="shared" si="12"/>
        <v>0</v>
      </c>
      <c r="H132" s="86"/>
      <c r="I132" s="20">
        <v>55</v>
      </c>
      <c r="J132" s="80">
        <f t="shared" si="13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+'1'!G133</f>
        <v>0</v>
      </c>
      <c r="D133" s="85">
        <v>0</v>
      </c>
      <c r="E133" s="47">
        <f t="shared" si="14"/>
        <v>0</v>
      </c>
      <c r="F133" s="85">
        <v>0</v>
      </c>
      <c r="G133" s="47">
        <f t="shared" si="12"/>
        <v>0</v>
      </c>
      <c r="H133" s="86"/>
      <c r="I133" s="20">
        <v>55</v>
      </c>
      <c r="J133" s="80">
        <f t="shared" si="13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+'1'!G134</f>
        <v>0</v>
      </c>
      <c r="D134" s="85">
        <v>0</v>
      </c>
      <c r="E134" s="47">
        <f t="shared" si="14"/>
        <v>0</v>
      </c>
      <c r="F134" s="85">
        <v>0</v>
      </c>
      <c r="G134" s="47">
        <f t="shared" si="12"/>
        <v>0</v>
      </c>
      <c r="H134" s="86"/>
      <c r="I134" s="20">
        <v>45</v>
      </c>
      <c r="J134" s="80">
        <f t="shared" si="13"/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+'1'!G135</f>
        <v>0</v>
      </c>
      <c r="D135" s="85">
        <v>0</v>
      </c>
      <c r="E135" s="47">
        <f t="shared" si="14"/>
        <v>0</v>
      </c>
      <c r="F135" s="85">
        <v>0</v>
      </c>
      <c r="G135" s="47">
        <f t="shared" si="12"/>
        <v>0</v>
      </c>
      <c r="H135" s="86"/>
      <c r="I135" s="20">
        <v>45</v>
      </c>
      <c r="J135" s="80">
        <f t="shared" si="13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+'1'!G136</f>
        <v>0</v>
      </c>
      <c r="D136" s="85">
        <v>0</v>
      </c>
      <c r="E136" s="47">
        <f t="shared" si="14"/>
        <v>0</v>
      </c>
      <c r="F136" s="85">
        <v>0</v>
      </c>
      <c r="G136" s="47">
        <f t="shared" si="12"/>
        <v>0</v>
      </c>
      <c r="H136" s="86"/>
      <c r="I136" s="20">
        <v>55</v>
      </c>
      <c r="J136" s="80">
        <f t="shared" si="13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+'1'!G137</f>
        <v>0</v>
      </c>
      <c r="D137" s="85">
        <v>0</v>
      </c>
      <c r="E137" s="47">
        <f t="shared" si="14"/>
        <v>0</v>
      </c>
      <c r="F137" s="85">
        <v>0</v>
      </c>
      <c r="G137" s="47">
        <f t="shared" si="12"/>
        <v>0</v>
      </c>
      <c r="H137" s="86"/>
      <c r="I137" s="20">
        <v>45</v>
      </c>
      <c r="J137" s="80">
        <f t="shared" si="13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+'1'!G138</f>
        <v>0</v>
      </c>
      <c r="D138" s="85">
        <v>0</v>
      </c>
      <c r="E138" s="47">
        <f t="shared" si="14"/>
        <v>0</v>
      </c>
      <c r="F138" s="85">
        <v>0</v>
      </c>
      <c r="G138" s="47">
        <f t="shared" si="12"/>
        <v>0</v>
      </c>
      <c r="H138" s="86"/>
      <c r="I138" s="20">
        <v>45</v>
      </c>
      <c r="J138" s="80">
        <f t="shared" si="13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+'1'!G139</f>
        <v>0</v>
      </c>
      <c r="D139" s="85">
        <v>0</v>
      </c>
      <c r="E139" s="47">
        <f t="shared" si="14"/>
        <v>0</v>
      </c>
      <c r="F139" s="85">
        <v>0</v>
      </c>
      <c r="G139" s="47">
        <f t="shared" si="12"/>
        <v>0</v>
      </c>
      <c r="H139" s="86"/>
      <c r="I139" s="20">
        <v>45</v>
      </c>
      <c r="J139" s="80">
        <f t="shared" si="13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+'1'!G140</f>
        <v>0</v>
      </c>
      <c r="D140" s="85">
        <v>0</v>
      </c>
      <c r="E140" s="47">
        <f t="shared" si="14"/>
        <v>0</v>
      </c>
      <c r="F140" s="85">
        <v>0</v>
      </c>
      <c r="G140" s="47">
        <f t="shared" si="12"/>
        <v>0</v>
      </c>
      <c r="H140" s="86"/>
      <c r="I140" s="20">
        <v>45</v>
      </c>
      <c r="J140" s="80">
        <f t="shared" si="13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+'1'!G141</f>
        <v>0</v>
      </c>
      <c r="D141" s="85">
        <v>0</v>
      </c>
      <c r="E141" s="47">
        <f t="shared" si="14"/>
        <v>0</v>
      </c>
      <c r="F141" s="85">
        <v>0</v>
      </c>
      <c r="G141" s="47">
        <f t="shared" si="12"/>
        <v>0</v>
      </c>
      <c r="H141" s="86"/>
      <c r="I141" s="20">
        <v>45</v>
      </c>
      <c r="J141" s="80">
        <f t="shared" si="13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+'1'!G142</f>
        <v>0</v>
      </c>
      <c r="D142" s="85">
        <v>0</v>
      </c>
      <c r="E142" s="47">
        <f t="shared" si="14"/>
        <v>0</v>
      </c>
      <c r="F142" s="85">
        <v>0</v>
      </c>
      <c r="G142" s="47">
        <f t="shared" si="12"/>
        <v>0</v>
      </c>
      <c r="H142" s="86"/>
      <c r="I142" s="20">
        <v>45</v>
      </c>
      <c r="J142" s="80">
        <f t="shared" si="13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+'1'!G143</f>
        <v>0</v>
      </c>
      <c r="D143" s="85">
        <v>0</v>
      </c>
      <c r="E143" s="47">
        <f t="shared" si="14"/>
        <v>0</v>
      </c>
      <c r="F143" s="85">
        <v>0</v>
      </c>
      <c r="G143" s="47">
        <f t="shared" si="12"/>
        <v>0</v>
      </c>
      <c r="H143" s="86"/>
      <c r="I143" s="20">
        <v>120</v>
      </c>
      <c r="J143" s="80">
        <f t="shared" si="13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+'1'!G144</f>
        <v>0</v>
      </c>
      <c r="D144" s="85">
        <v>0</v>
      </c>
      <c r="E144" s="47">
        <f t="shared" si="14"/>
        <v>0</v>
      </c>
      <c r="F144" s="85">
        <v>0</v>
      </c>
      <c r="G144" s="47">
        <f t="shared" si="12"/>
        <v>0</v>
      </c>
      <c r="H144" s="86"/>
      <c r="I144" s="20">
        <v>120</v>
      </c>
      <c r="J144" s="80">
        <f t="shared" si="13"/>
        <v>0</v>
      </c>
      <c r="K144" s="17" t="s">
        <v>16</v>
      </c>
      <c r="L144" s="18">
        <v>0</v>
      </c>
      <c r="M144" s="23">
        <f t="shared" si="15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+'1'!G145</f>
        <v>0</v>
      </c>
      <c r="D145" s="85">
        <v>0</v>
      </c>
      <c r="E145" s="47">
        <f t="shared" si="14"/>
        <v>0</v>
      </c>
      <c r="F145" s="85">
        <v>0</v>
      </c>
      <c r="G145" s="47">
        <f t="shared" si="12"/>
        <v>0</v>
      </c>
      <c r="H145" s="86"/>
      <c r="I145" s="20">
        <v>120</v>
      </c>
      <c r="J145" s="80">
        <f t="shared" si="13"/>
        <v>0</v>
      </c>
      <c r="K145" s="17" t="s">
        <v>16</v>
      </c>
      <c r="L145" s="18">
        <v>0</v>
      </c>
      <c r="M145" s="23">
        <f t="shared" si="15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+'1'!G146</f>
        <v>0</v>
      </c>
      <c r="D146" s="85">
        <v>0</v>
      </c>
      <c r="E146" s="47">
        <f t="shared" si="14"/>
        <v>0</v>
      </c>
      <c r="F146" s="85">
        <v>0</v>
      </c>
      <c r="G146" s="47">
        <f t="shared" si="12"/>
        <v>0</v>
      </c>
      <c r="H146" s="86"/>
      <c r="I146" s="20">
        <v>120</v>
      </c>
      <c r="J146" s="80">
        <f t="shared" si="13"/>
        <v>0</v>
      </c>
      <c r="K146" s="17" t="s">
        <v>16</v>
      </c>
      <c r="L146" s="18">
        <v>0</v>
      </c>
      <c r="M146" s="23">
        <f t="shared" si="15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+'1'!G147</f>
        <v>0</v>
      </c>
      <c r="D147" s="85">
        <v>0</v>
      </c>
      <c r="E147" s="47">
        <f t="shared" si="14"/>
        <v>0</v>
      </c>
      <c r="F147" s="85">
        <v>0</v>
      </c>
      <c r="G147" s="47">
        <f t="shared" si="12"/>
        <v>0</v>
      </c>
      <c r="H147" s="86"/>
      <c r="I147" s="20">
        <v>185</v>
      </c>
      <c r="J147" s="80">
        <f t="shared" si="13"/>
        <v>0</v>
      </c>
      <c r="K147" s="17" t="s">
        <v>16</v>
      </c>
      <c r="L147" s="18">
        <v>0</v>
      </c>
      <c r="M147" s="23">
        <f t="shared" si="15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+'1'!G148</f>
        <v>0</v>
      </c>
      <c r="D148" s="85">
        <v>0</v>
      </c>
      <c r="E148" s="47">
        <f t="shared" si="14"/>
        <v>0</v>
      </c>
      <c r="F148" s="85">
        <v>0</v>
      </c>
      <c r="G148" s="47">
        <f t="shared" si="12"/>
        <v>0</v>
      </c>
      <c r="H148" s="86"/>
      <c r="I148" s="20">
        <v>185</v>
      </c>
      <c r="J148" s="80">
        <f t="shared" si="13"/>
        <v>0</v>
      </c>
      <c r="K148" s="17" t="s">
        <v>16</v>
      </c>
      <c r="L148" s="18">
        <v>0</v>
      </c>
      <c r="M148" s="23">
        <f t="shared" si="15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+'1'!G149</f>
        <v>0</v>
      </c>
      <c r="D149" s="85">
        <v>0</v>
      </c>
      <c r="E149" s="47">
        <f t="shared" si="14"/>
        <v>0</v>
      </c>
      <c r="F149" s="85">
        <v>0</v>
      </c>
      <c r="G149" s="47">
        <f t="shared" si="12"/>
        <v>0</v>
      </c>
      <c r="H149" s="86"/>
      <c r="I149" s="20">
        <v>185</v>
      </c>
      <c r="J149" s="80">
        <f t="shared" si="13"/>
        <v>0</v>
      </c>
      <c r="K149" s="17" t="s">
        <v>16</v>
      </c>
      <c r="L149" s="18">
        <v>0</v>
      </c>
      <c r="M149" s="23">
        <f t="shared" si="15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+'1'!G150</f>
        <v>0</v>
      </c>
      <c r="D150" s="85">
        <v>0</v>
      </c>
      <c r="E150" s="47">
        <f t="shared" si="14"/>
        <v>0</v>
      </c>
      <c r="F150" s="85">
        <v>0</v>
      </c>
      <c r="G150" s="47">
        <f t="shared" si="12"/>
        <v>0</v>
      </c>
      <c r="H150" s="86"/>
      <c r="I150" s="20">
        <v>185</v>
      </c>
      <c r="J150" s="80">
        <f t="shared" si="13"/>
        <v>0</v>
      </c>
      <c r="K150" s="17" t="s">
        <v>16</v>
      </c>
      <c r="L150" s="18">
        <v>0</v>
      </c>
      <c r="M150" s="23">
        <f t="shared" si="15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+'1'!G151</f>
        <v>0</v>
      </c>
      <c r="D151" s="85">
        <v>0</v>
      </c>
      <c r="E151" s="47">
        <f t="shared" si="14"/>
        <v>0</v>
      </c>
      <c r="F151" s="85">
        <v>0</v>
      </c>
      <c r="G151" s="47">
        <f t="shared" si="12"/>
        <v>0</v>
      </c>
      <c r="H151" s="86"/>
      <c r="I151" s="20">
        <v>150</v>
      </c>
      <c r="J151" s="80">
        <f t="shared" si="13"/>
        <v>0</v>
      </c>
      <c r="K151" s="17" t="s">
        <v>16</v>
      </c>
      <c r="L151" s="18">
        <v>0</v>
      </c>
      <c r="M151" s="23">
        <f t="shared" si="15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+'1'!G152</f>
        <v>0</v>
      </c>
      <c r="D152" s="85">
        <v>0</v>
      </c>
      <c r="E152" s="47">
        <f t="shared" si="14"/>
        <v>0</v>
      </c>
      <c r="F152" s="85">
        <v>0</v>
      </c>
      <c r="G152" s="47">
        <f t="shared" si="12"/>
        <v>0</v>
      </c>
      <c r="H152" s="86"/>
      <c r="I152" s="20">
        <v>120</v>
      </c>
      <c r="J152" s="80">
        <f t="shared" si="13"/>
        <v>0</v>
      </c>
      <c r="K152" s="17" t="s">
        <v>16</v>
      </c>
      <c r="L152" s="18">
        <v>0</v>
      </c>
      <c r="M152" s="23">
        <f t="shared" si="15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+'1'!G153</f>
        <v>0</v>
      </c>
      <c r="D153" s="85">
        <v>0</v>
      </c>
      <c r="E153" s="47">
        <f t="shared" si="14"/>
        <v>0</v>
      </c>
      <c r="F153" s="85">
        <v>0</v>
      </c>
      <c r="G153" s="47">
        <f t="shared" si="12"/>
        <v>0</v>
      </c>
      <c r="H153" s="86"/>
      <c r="I153" s="20">
        <v>120</v>
      </c>
      <c r="J153" s="80">
        <f t="shared" si="13"/>
        <v>0</v>
      </c>
      <c r="K153" s="17" t="s">
        <v>16</v>
      </c>
      <c r="L153" s="18">
        <v>0</v>
      </c>
      <c r="M153" s="23">
        <f t="shared" si="15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+'1'!G154</f>
        <v>0</v>
      </c>
      <c r="D154" s="85">
        <v>0</v>
      </c>
      <c r="E154" s="47">
        <f t="shared" si="14"/>
        <v>0</v>
      </c>
      <c r="F154" s="85">
        <v>0</v>
      </c>
      <c r="G154" s="47">
        <f t="shared" si="12"/>
        <v>0</v>
      </c>
      <c r="H154" s="86"/>
      <c r="I154" s="20">
        <v>120</v>
      </c>
      <c r="J154" s="80">
        <f t="shared" si="13"/>
        <v>0</v>
      </c>
      <c r="K154" s="17" t="s">
        <v>16</v>
      </c>
      <c r="L154" s="18">
        <v>0</v>
      </c>
      <c r="M154" s="23">
        <f t="shared" si="15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+'1'!G155</f>
        <v>0</v>
      </c>
      <c r="D155" s="85">
        <v>0</v>
      </c>
      <c r="E155" s="47">
        <f t="shared" si="14"/>
        <v>0</v>
      </c>
      <c r="F155" s="85">
        <v>0</v>
      </c>
      <c r="G155" s="47">
        <f t="shared" si="12"/>
        <v>0</v>
      </c>
      <c r="H155" s="86"/>
      <c r="I155" s="20">
        <v>185</v>
      </c>
      <c r="J155" s="80">
        <f t="shared" si="13"/>
        <v>0</v>
      </c>
      <c r="K155" s="17" t="s">
        <v>16</v>
      </c>
      <c r="L155" s="18">
        <v>0</v>
      </c>
      <c r="M155" s="23">
        <f t="shared" si="15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+'1'!G156</f>
        <v>0</v>
      </c>
      <c r="D156" s="85">
        <v>0</v>
      </c>
      <c r="E156" s="47">
        <f t="shared" si="14"/>
        <v>0</v>
      </c>
      <c r="F156" s="85">
        <v>0</v>
      </c>
      <c r="G156" s="47">
        <f t="shared" si="12"/>
        <v>0</v>
      </c>
      <c r="H156" s="86"/>
      <c r="I156" s="20">
        <v>185</v>
      </c>
      <c r="J156" s="80">
        <f t="shared" si="13"/>
        <v>0</v>
      </c>
      <c r="K156" s="17" t="s">
        <v>16</v>
      </c>
      <c r="L156" s="18">
        <v>0</v>
      </c>
      <c r="M156" s="23">
        <f t="shared" si="15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+'1'!G157</f>
        <v>0</v>
      </c>
      <c r="D157" s="85">
        <v>0</v>
      </c>
      <c r="E157" s="47">
        <f t="shared" si="14"/>
        <v>0</v>
      </c>
      <c r="F157" s="85">
        <v>0</v>
      </c>
      <c r="G157" s="47">
        <f t="shared" si="12"/>
        <v>0</v>
      </c>
      <c r="H157" s="86"/>
      <c r="I157" s="20">
        <v>185</v>
      </c>
      <c r="J157" s="80">
        <f t="shared" si="13"/>
        <v>0</v>
      </c>
      <c r="K157" s="17" t="s">
        <v>16</v>
      </c>
      <c r="L157" s="18">
        <v>0</v>
      </c>
      <c r="M157" s="23">
        <f t="shared" si="15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+'1'!G158</f>
        <v>0</v>
      </c>
      <c r="D158" s="85">
        <v>0</v>
      </c>
      <c r="E158" s="47">
        <f t="shared" si="14"/>
        <v>0</v>
      </c>
      <c r="F158" s="85">
        <v>0</v>
      </c>
      <c r="G158" s="47">
        <f t="shared" si="12"/>
        <v>0</v>
      </c>
      <c r="H158" s="86"/>
      <c r="I158" s="20">
        <v>185</v>
      </c>
      <c r="J158" s="80">
        <f t="shared" si="13"/>
        <v>0</v>
      </c>
      <c r="K158" s="17" t="s">
        <v>16</v>
      </c>
      <c r="L158" s="18">
        <v>0</v>
      </c>
      <c r="M158" s="23">
        <f t="shared" si="15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+'1'!G159</f>
        <v>0</v>
      </c>
      <c r="D159" s="85">
        <v>0</v>
      </c>
      <c r="E159" s="47">
        <f t="shared" si="14"/>
        <v>0</v>
      </c>
      <c r="F159" s="85">
        <v>0</v>
      </c>
      <c r="G159" s="47">
        <f t="shared" si="12"/>
        <v>0</v>
      </c>
      <c r="H159" s="86"/>
      <c r="I159" s="20">
        <v>135</v>
      </c>
      <c r="J159" s="80">
        <f t="shared" si="13"/>
        <v>0</v>
      </c>
      <c r="K159" s="17" t="s">
        <v>16</v>
      </c>
      <c r="L159" s="18">
        <v>0</v>
      </c>
      <c r="M159" s="23">
        <f t="shared" si="15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+'1'!G160</f>
        <v>0</v>
      </c>
      <c r="D160" s="85">
        <v>0</v>
      </c>
      <c r="E160" s="47">
        <f t="shared" si="14"/>
        <v>0</v>
      </c>
      <c r="F160" s="85">
        <v>0</v>
      </c>
      <c r="G160" s="47">
        <f t="shared" si="12"/>
        <v>0</v>
      </c>
      <c r="H160" s="86"/>
      <c r="I160" s="20">
        <v>90</v>
      </c>
      <c r="J160" s="80">
        <f t="shared" si="13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+'1'!G161</f>
        <v>0</v>
      </c>
      <c r="D161" s="85">
        <v>0</v>
      </c>
      <c r="E161" s="47">
        <f t="shared" si="14"/>
        <v>0</v>
      </c>
      <c r="F161" s="85">
        <v>0</v>
      </c>
      <c r="G161" s="47">
        <f t="shared" si="12"/>
        <v>0</v>
      </c>
      <c r="H161" s="86"/>
      <c r="I161" s="20">
        <v>90</v>
      </c>
      <c r="J161" s="80">
        <f t="shared" si="13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+'1'!G162</f>
        <v>0</v>
      </c>
      <c r="D162" s="85">
        <v>0</v>
      </c>
      <c r="E162" s="47">
        <f t="shared" si="14"/>
        <v>0</v>
      </c>
      <c r="F162" s="85">
        <v>0</v>
      </c>
      <c r="G162" s="47">
        <f t="shared" si="12"/>
        <v>0</v>
      </c>
      <c r="H162" s="86"/>
      <c r="I162" s="20">
        <v>90</v>
      </c>
      <c r="J162" s="80">
        <f t="shared" si="13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+'1'!G163</f>
        <v>0</v>
      </c>
      <c r="D163" s="85">
        <v>0</v>
      </c>
      <c r="E163" s="47">
        <f t="shared" si="14"/>
        <v>0</v>
      </c>
      <c r="F163" s="85">
        <v>0</v>
      </c>
      <c r="G163" s="47">
        <f t="shared" si="12"/>
        <v>0</v>
      </c>
      <c r="H163" s="86"/>
      <c r="I163" s="20">
        <v>90</v>
      </c>
      <c r="J163" s="80">
        <f t="shared" si="13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+'1'!G164</f>
        <v>0</v>
      </c>
      <c r="D164" s="85">
        <v>0</v>
      </c>
      <c r="E164" s="47">
        <f t="shared" si="14"/>
        <v>0</v>
      </c>
      <c r="F164" s="85">
        <v>0</v>
      </c>
      <c r="G164" s="47">
        <f t="shared" si="12"/>
        <v>0</v>
      </c>
      <c r="H164" s="86"/>
      <c r="I164" s="20">
        <v>25</v>
      </c>
      <c r="J164" s="80">
        <f t="shared" si="13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+'1'!G165</f>
        <v>0</v>
      </c>
      <c r="D165" s="85">
        <v>0</v>
      </c>
      <c r="E165" s="47">
        <f t="shared" si="14"/>
        <v>0</v>
      </c>
      <c r="F165" s="85">
        <v>0</v>
      </c>
      <c r="G165" s="47">
        <f t="shared" ref="G165:G227" si="16">+E165-F165-H165</f>
        <v>0</v>
      </c>
      <c r="H165" s="86"/>
      <c r="I165" s="20">
        <v>50</v>
      </c>
      <c r="J165" s="80">
        <f t="shared" ref="J165:J227" si="17">+I165*H165</f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+'1'!G166</f>
        <v>0</v>
      </c>
      <c r="D166" s="85">
        <v>0</v>
      </c>
      <c r="E166" s="47">
        <f t="shared" si="14"/>
        <v>0</v>
      </c>
      <c r="F166" s="85">
        <v>0</v>
      </c>
      <c r="G166" s="47">
        <f t="shared" si="16"/>
        <v>0</v>
      </c>
      <c r="H166" s="86"/>
      <c r="I166" s="20">
        <v>50</v>
      </c>
      <c r="J166" s="80">
        <f t="shared" si="17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+'1'!G167</f>
        <v>0</v>
      </c>
      <c r="D167" s="85">
        <v>0</v>
      </c>
      <c r="E167" s="47">
        <f t="shared" si="14"/>
        <v>0</v>
      </c>
      <c r="F167" s="85">
        <v>0</v>
      </c>
      <c r="G167" s="47">
        <f t="shared" si="16"/>
        <v>0</v>
      </c>
      <c r="H167" s="86"/>
      <c r="I167" s="20">
        <v>50</v>
      </c>
      <c r="J167" s="80">
        <f t="shared" si="17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+'1'!G168</f>
        <v>0</v>
      </c>
      <c r="D168" s="85">
        <v>0</v>
      </c>
      <c r="E168" s="47">
        <f t="shared" si="14"/>
        <v>0</v>
      </c>
      <c r="F168" s="85">
        <v>0</v>
      </c>
      <c r="G168" s="47">
        <f t="shared" si="16"/>
        <v>0</v>
      </c>
      <c r="H168" s="86"/>
      <c r="I168" s="20">
        <v>50</v>
      </c>
      <c r="J168" s="80">
        <f t="shared" si="17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+'1'!G169</f>
        <v>45</v>
      </c>
      <c r="D169" s="85">
        <v>0</v>
      </c>
      <c r="E169" s="47">
        <f t="shared" si="14"/>
        <v>45</v>
      </c>
      <c r="F169" s="85">
        <v>0</v>
      </c>
      <c r="G169" s="47">
        <f t="shared" si="16"/>
        <v>45</v>
      </c>
      <c r="H169" s="86"/>
      <c r="I169" s="20">
        <v>55</v>
      </c>
      <c r="J169" s="80">
        <f t="shared" si="17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+'1'!G170</f>
        <v>0</v>
      </c>
      <c r="D170" s="85">
        <v>0</v>
      </c>
      <c r="E170" s="47">
        <f t="shared" si="14"/>
        <v>0</v>
      </c>
      <c r="F170" s="85">
        <v>0</v>
      </c>
      <c r="G170" s="47">
        <f t="shared" si="16"/>
        <v>0</v>
      </c>
      <c r="H170" s="86"/>
      <c r="I170" s="20">
        <v>85</v>
      </c>
      <c r="J170" s="80">
        <f t="shared" si="17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+'1'!G171</f>
        <v>12</v>
      </c>
      <c r="D171" s="85">
        <v>0</v>
      </c>
      <c r="E171" s="47">
        <f t="shared" si="14"/>
        <v>12</v>
      </c>
      <c r="F171" s="85">
        <v>0</v>
      </c>
      <c r="G171" s="47">
        <f t="shared" si="16"/>
        <v>11</v>
      </c>
      <c r="H171" s="86">
        <v>1</v>
      </c>
      <c r="I171" s="20">
        <v>80</v>
      </c>
      <c r="J171" s="80">
        <f t="shared" si="17"/>
        <v>80</v>
      </c>
      <c r="K171" s="17" t="s">
        <v>16</v>
      </c>
      <c r="L171" s="18">
        <v>0</v>
      </c>
      <c r="M171" s="23">
        <f t="shared" si="15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+'1'!G172</f>
        <v>0</v>
      </c>
      <c r="D172" s="85">
        <v>0</v>
      </c>
      <c r="E172" s="47">
        <f t="shared" si="14"/>
        <v>0</v>
      </c>
      <c r="F172" s="85">
        <v>0</v>
      </c>
      <c r="G172" s="47">
        <f t="shared" si="16"/>
        <v>0</v>
      </c>
      <c r="H172" s="86"/>
      <c r="I172" s="20">
        <v>40</v>
      </c>
      <c r="J172" s="80">
        <f t="shared" si="17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+'1'!G173</f>
        <v>0</v>
      </c>
      <c r="D173" s="85">
        <v>0</v>
      </c>
      <c r="E173" s="47">
        <f t="shared" si="14"/>
        <v>0</v>
      </c>
      <c r="F173" s="85">
        <v>0</v>
      </c>
      <c r="G173" s="47">
        <f t="shared" si="16"/>
        <v>0</v>
      </c>
      <c r="H173" s="86"/>
      <c r="I173" s="20">
        <v>120</v>
      </c>
      <c r="J173" s="80">
        <f t="shared" si="17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+'1'!G174</f>
        <v>0</v>
      </c>
      <c r="D174" s="85">
        <v>0</v>
      </c>
      <c r="E174" s="47">
        <f t="shared" si="14"/>
        <v>0</v>
      </c>
      <c r="F174" s="85">
        <v>0</v>
      </c>
      <c r="G174" s="47">
        <f t="shared" si="16"/>
        <v>0</v>
      </c>
      <c r="H174" s="86"/>
      <c r="I174" s="20">
        <v>120</v>
      </c>
      <c r="J174" s="80">
        <f t="shared" si="17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+'1'!G175</f>
        <v>0</v>
      </c>
      <c r="D175" s="85">
        <v>0</v>
      </c>
      <c r="E175" s="47">
        <f t="shared" si="14"/>
        <v>0</v>
      </c>
      <c r="F175" s="85">
        <v>0</v>
      </c>
      <c r="G175" s="47">
        <f t="shared" si="16"/>
        <v>0</v>
      </c>
      <c r="H175" s="86"/>
      <c r="I175" s="20">
        <v>55</v>
      </c>
      <c r="J175" s="80">
        <f t="shared" si="17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+'1'!G176</f>
        <v>0</v>
      </c>
      <c r="D176" s="85">
        <v>0</v>
      </c>
      <c r="E176" s="47">
        <f t="shared" si="14"/>
        <v>0</v>
      </c>
      <c r="F176" s="85">
        <v>0</v>
      </c>
      <c r="G176" s="47">
        <f t="shared" si="16"/>
        <v>0</v>
      </c>
      <c r="H176" s="86"/>
      <c r="I176" s="20">
        <v>50</v>
      </c>
      <c r="J176" s="80">
        <f t="shared" si="17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+'1'!G177</f>
        <v>2</v>
      </c>
      <c r="D177" s="85">
        <v>0</v>
      </c>
      <c r="E177" s="47">
        <f t="shared" si="14"/>
        <v>2</v>
      </c>
      <c r="F177" s="85">
        <v>0</v>
      </c>
      <c r="G177" s="47">
        <f t="shared" si="16"/>
        <v>0</v>
      </c>
      <c r="H177" s="86">
        <v>2</v>
      </c>
      <c r="I177" s="20">
        <v>50</v>
      </c>
      <c r="J177" s="80">
        <f t="shared" si="17"/>
        <v>100</v>
      </c>
      <c r="K177" s="17" t="s">
        <v>16</v>
      </c>
      <c r="L177" s="18">
        <v>0</v>
      </c>
      <c r="M177" s="23">
        <f t="shared" si="15"/>
        <v>100</v>
      </c>
    </row>
    <row r="178" spans="1:13" ht="25.5" x14ac:dyDescent="0.55000000000000004">
      <c r="A178" s="10">
        <v>174</v>
      </c>
      <c r="B178" s="19" t="s">
        <v>189</v>
      </c>
      <c r="C178" s="79">
        <f>+'1'!G178</f>
        <v>0</v>
      </c>
      <c r="D178" s="85">
        <v>0</v>
      </c>
      <c r="E178" s="47">
        <f t="shared" si="14"/>
        <v>0</v>
      </c>
      <c r="F178" s="85">
        <v>0</v>
      </c>
      <c r="G178" s="47">
        <f t="shared" si="16"/>
        <v>0</v>
      </c>
      <c r="H178" s="86"/>
      <c r="I178" s="20">
        <v>120</v>
      </c>
      <c r="J178" s="80">
        <f t="shared" si="17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+'1'!G179</f>
        <v>0</v>
      </c>
      <c r="D179" s="85">
        <v>0</v>
      </c>
      <c r="E179" s="47">
        <f t="shared" si="14"/>
        <v>0</v>
      </c>
      <c r="F179" s="85">
        <v>0</v>
      </c>
      <c r="G179" s="47">
        <f t="shared" si="16"/>
        <v>0</v>
      </c>
      <c r="H179" s="86"/>
      <c r="I179" s="20">
        <v>120</v>
      </c>
      <c r="J179" s="80">
        <f t="shared" si="17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+'1'!G180</f>
        <v>0</v>
      </c>
      <c r="D180" s="85">
        <v>0</v>
      </c>
      <c r="E180" s="47">
        <f t="shared" si="14"/>
        <v>0</v>
      </c>
      <c r="F180" s="85">
        <v>0</v>
      </c>
      <c r="G180" s="47">
        <f t="shared" si="16"/>
        <v>0</v>
      </c>
      <c r="H180" s="86"/>
      <c r="I180" s="20">
        <v>10</v>
      </c>
      <c r="J180" s="80">
        <f t="shared" si="17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+'1'!G181</f>
        <v>0</v>
      </c>
      <c r="D181" s="85">
        <v>0</v>
      </c>
      <c r="E181" s="47">
        <f t="shared" si="14"/>
        <v>0</v>
      </c>
      <c r="F181" s="85">
        <v>0</v>
      </c>
      <c r="G181" s="47">
        <f t="shared" si="16"/>
        <v>0</v>
      </c>
      <c r="H181" s="86"/>
      <c r="I181" s="20">
        <v>35</v>
      </c>
      <c r="J181" s="80">
        <f t="shared" si="17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+'1'!G182</f>
        <v>0</v>
      </c>
      <c r="D182" s="85">
        <v>0</v>
      </c>
      <c r="E182" s="47">
        <f t="shared" si="14"/>
        <v>0</v>
      </c>
      <c r="F182" s="85">
        <v>0</v>
      </c>
      <c r="G182" s="47">
        <f t="shared" si="16"/>
        <v>0</v>
      </c>
      <c r="H182" s="86"/>
      <c r="I182" s="20">
        <v>10</v>
      </c>
      <c r="J182" s="80">
        <f t="shared" si="17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+'1'!G183</f>
        <v>0</v>
      </c>
      <c r="D183" s="85">
        <v>0</v>
      </c>
      <c r="E183" s="47">
        <f t="shared" si="14"/>
        <v>0</v>
      </c>
      <c r="F183" s="85">
        <v>0</v>
      </c>
      <c r="G183" s="47">
        <f t="shared" si="16"/>
        <v>0</v>
      </c>
      <c r="H183" s="86"/>
      <c r="I183" s="20">
        <v>10</v>
      </c>
      <c r="J183" s="80">
        <f t="shared" si="17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+'1'!G184</f>
        <v>0</v>
      </c>
      <c r="D184" s="85">
        <v>0</v>
      </c>
      <c r="E184" s="47">
        <f t="shared" si="14"/>
        <v>0</v>
      </c>
      <c r="F184" s="85">
        <v>0</v>
      </c>
      <c r="G184" s="47">
        <f t="shared" si="16"/>
        <v>0</v>
      </c>
      <c r="H184" s="86"/>
      <c r="I184" s="20">
        <v>10</v>
      </c>
      <c r="J184" s="80">
        <f t="shared" si="17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+'1'!G185</f>
        <v>0</v>
      </c>
      <c r="D185" s="85">
        <v>0</v>
      </c>
      <c r="E185" s="47">
        <f t="shared" si="14"/>
        <v>0</v>
      </c>
      <c r="F185" s="85">
        <v>0</v>
      </c>
      <c r="G185" s="47">
        <f t="shared" si="16"/>
        <v>0</v>
      </c>
      <c r="H185" s="86"/>
      <c r="I185" s="20">
        <v>10</v>
      </c>
      <c r="J185" s="80">
        <f t="shared" si="17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+'1'!G186</f>
        <v>0</v>
      </c>
      <c r="D186" s="85">
        <v>0</v>
      </c>
      <c r="E186" s="47">
        <f t="shared" si="14"/>
        <v>0</v>
      </c>
      <c r="F186" s="85">
        <v>0</v>
      </c>
      <c r="G186" s="47">
        <f t="shared" si="16"/>
        <v>0</v>
      </c>
      <c r="H186" s="86"/>
      <c r="I186" s="20">
        <v>10</v>
      </c>
      <c r="J186" s="80">
        <f t="shared" si="17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+'1'!G187</f>
        <v>0</v>
      </c>
      <c r="D187" s="85">
        <v>0</v>
      </c>
      <c r="E187" s="47">
        <f t="shared" si="14"/>
        <v>0</v>
      </c>
      <c r="F187" s="85">
        <v>0</v>
      </c>
      <c r="G187" s="47">
        <f t="shared" si="16"/>
        <v>0</v>
      </c>
      <c r="H187" s="86"/>
      <c r="I187" s="20">
        <v>25</v>
      </c>
      <c r="J187" s="80">
        <f t="shared" si="17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+'1'!G188</f>
        <v>0</v>
      </c>
      <c r="D188" s="85">
        <v>0</v>
      </c>
      <c r="E188" s="47">
        <f t="shared" si="14"/>
        <v>0</v>
      </c>
      <c r="F188" s="85">
        <v>0</v>
      </c>
      <c r="G188" s="47">
        <f t="shared" si="16"/>
        <v>0</v>
      </c>
      <c r="H188" s="86"/>
      <c r="I188" s="15">
        <v>15</v>
      </c>
      <c r="J188" s="80">
        <f t="shared" si="17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+'1'!G189</f>
        <v>0</v>
      </c>
      <c r="D189" s="85">
        <v>0</v>
      </c>
      <c r="E189" s="47">
        <f t="shared" si="14"/>
        <v>0</v>
      </c>
      <c r="F189" s="85">
        <v>0</v>
      </c>
      <c r="G189" s="47">
        <f t="shared" si="16"/>
        <v>0</v>
      </c>
      <c r="H189" s="86"/>
      <c r="I189" s="15">
        <v>25</v>
      </c>
      <c r="J189" s="80">
        <f t="shared" si="17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+'1'!G190</f>
        <v>0</v>
      </c>
      <c r="D190" s="85">
        <v>0</v>
      </c>
      <c r="E190" s="47">
        <f t="shared" ref="E190:E252" si="18">C190+D190</f>
        <v>0</v>
      </c>
      <c r="F190" s="85">
        <v>0</v>
      </c>
      <c r="G190" s="47">
        <f t="shared" si="16"/>
        <v>0</v>
      </c>
      <c r="H190" s="86"/>
      <c r="I190" s="15">
        <v>45</v>
      </c>
      <c r="J190" s="80">
        <f t="shared" si="17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+'1'!G191</f>
        <v>0</v>
      </c>
      <c r="D191" s="85">
        <v>0</v>
      </c>
      <c r="E191" s="47">
        <f t="shared" si="18"/>
        <v>0</v>
      </c>
      <c r="F191" s="85">
        <v>0</v>
      </c>
      <c r="G191" s="47">
        <f t="shared" si="16"/>
        <v>0</v>
      </c>
      <c r="H191" s="86"/>
      <c r="I191" s="15">
        <v>150</v>
      </c>
      <c r="J191" s="80">
        <f t="shared" si="17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+'1'!G192</f>
        <v>0</v>
      </c>
      <c r="D192" s="85">
        <v>0</v>
      </c>
      <c r="E192" s="47">
        <f t="shared" si="18"/>
        <v>0</v>
      </c>
      <c r="F192" s="85">
        <v>0</v>
      </c>
      <c r="G192" s="47">
        <f t="shared" si="16"/>
        <v>0</v>
      </c>
      <c r="H192" s="86"/>
      <c r="I192" s="15">
        <v>150</v>
      </c>
      <c r="J192" s="80">
        <f t="shared" si="17"/>
        <v>0</v>
      </c>
      <c r="K192" s="17" t="s">
        <v>16</v>
      </c>
      <c r="L192" s="18">
        <v>0</v>
      </c>
      <c r="M192" s="23">
        <f t="shared" si="15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+'1'!G193</f>
        <v>0</v>
      </c>
      <c r="D193" s="85">
        <v>0</v>
      </c>
      <c r="E193" s="47">
        <f t="shared" si="18"/>
        <v>0</v>
      </c>
      <c r="F193" s="85">
        <v>0</v>
      </c>
      <c r="G193" s="47">
        <f t="shared" si="16"/>
        <v>0</v>
      </c>
      <c r="H193" s="86"/>
      <c r="I193" s="15">
        <v>150</v>
      </c>
      <c r="J193" s="80">
        <f t="shared" si="17"/>
        <v>0</v>
      </c>
      <c r="K193" s="17" t="s">
        <v>16</v>
      </c>
      <c r="L193" s="18">
        <v>0</v>
      </c>
      <c r="M193" s="23">
        <f t="shared" si="15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+'1'!G194</f>
        <v>0</v>
      </c>
      <c r="D194" s="85">
        <v>0</v>
      </c>
      <c r="E194" s="47">
        <f t="shared" si="18"/>
        <v>0</v>
      </c>
      <c r="F194" s="85">
        <v>0</v>
      </c>
      <c r="G194" s="47">
        <f t="shared" si="16"/>
        <v>0</v>
      </c>
      <c r="H194" s="86"/>
      <c r="I194" s="15">
        <v>220</v>
      </c>
      <c r="J194" s="80">
        <f t="shared" si="17"/>
        <v>0</v>
      </c>
      <c r="K194" s="17" t="s">
        <v>16</v>
      </c>
      <c r="L194" s="18">
        <v>0</v>
      </c>
      <c r="M194" s="23">
        <f t="shared" si="15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+'1'!G195</f>
        <v>0</v>
      </c>
      <c r="D195" s="85">
        <v>0</v>
      </c>
      <c r="E195" s="47">
        <f t="shared" si="18"/>
        <v>0</v>
      </c>
      <c r="F195" s="85">
        <v>0</v>
      </c>
      <c r="G195" s="47">
        <f t="shared" si="16"/>
        <v>0</v>
      </c>
      <c r="H195" s="86"/>
      <c r="I195" s="15">
        <v>50</v>
      </c>
      <c r="J195" s="80">
        <f t="shared" si="17"/>
        <v>0</v>
      </c>
      <c r="K195" s="17" t="s">
        <v>16</v>
      </c>
      <c r="L195" s="18">
        <v>0</v>
      </c>
      <c r="M195" s="23">
        <f t="shared" si="15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+'1'!G196</f>
        <v>0</v>
      </c>
      <c r="D196" s="85">
        <v>0</v>
      </c>
      <c r="E196" s="47">
        <f t="shared" si="18"/>
        <v>0</v>
      </c>
      <c r="F196" s="85">
        <v>0</v>
      </c>
      <c r="G196" s="47">
        <f t="shared" si="16"/>
        <v>0</v>
      </c>
      <c r="H196" s="86"/>
      <c r="I196" s="15">
        <v>15</v>
      </c>
      <c r="J196" s="80">
        <f t="shared" si="17"/>
        <v>0</v>
      </c>
      <c r="K196" s="17" t="s">
        <v>16</v>
      </c>
      <c r="L196" s="18">
        <v>0</v>
      </c>
      <c r="M196" s="23">
        <f t="shared" si="15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+'1'!G197</f>
        <v>0</v>
      </c>
      <c r="D197" s="85">
        <v>0</v>
      </c>
      <c r="E197" s="47">
        <f t="shared" si="18"/>
        <v>0</v>
      </c>
      <c r="F197" s="85">
        <v>0</v>
      </c>
      <c r="G197" s="47">
        <f t="shared" si="16"/>
        <v>0</v>
      </c>
      <c r="H197" s="86"/>
      <c r="I197" s="15">
        <v>25</v>
      </c>
      <c r="J197" s="80">
        <f t="shared" si="17"/>
        <v>0</v>
      </c>
      <c r="K197" s="17" t="s">
        <v>16</v>
      </c>
      <c r="L197" s="18">
        <v>0</v>
      </c>
      <c r="M197" s="23">
        <f t="shared" si="15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+'1'!G198</f>
        <v>0</v>
      </c>
      <c r="D198" s="85">
        <v>0</v>
      </c>
      <c r="E198" s="47">
        <f t="shared" si="18"/>
        <v>0</v>
      </c>
      <c r="F198" s="85">
        <v>0</v>
      </c>
      <c r="G198" s="47">
        <f t="shared" si="16"/>
        <v>0</v>
      </c>
      <c r="H198" s="86"/>
      <c r="I198" s="15">
        <v>60</v>
      </c>
      <c r="J198" s="80">
        <f t="shared" si="17"/>
        <v>0</v>
      </c>
      <c r="K198" s="17" t="s">
        <v>16</v>
      </c>
      <c r="L198" s="18">
        <v>0</v>
      </c>
      <c r="M198" s="23">
        <f t="shared" si="15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+'1'!G199</f>
        <v>0</v>
      </c>
      <c r="D199" s="85">
        <v>0</v>
      </c>
      <c r="E199" s="47">
        <f t="shared" si="18"/>
        <v>0</v>
      </c>
      <c r="F199" s="85">
        <v>0</v>
      </c>
      <c r="G199" s="47">
        <f t="shared" si="16"/>
        <v>0</v>
      </c>
      <c r="H199" s="86"/>
      <c r="I199" s="15">
        <v>60</v>
      </c>
      <c r="J199" s="80">
        <f t="shared" si="17"/>
        <v>0</v>
      </c>
      <c r="K199" s="17" t="s">
        <v>16</v>
      </c>
      <c r="L199" s="18">
        <v>0</v>
      </c>
      <c r="M199" s="23">
        <f t="shared" ref="M199:M254" si="19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+'1'!G200</f>
        <v>0</v>
      </c>
      <c r="D200" s="85">
        <v>0</v>
      </c>
      <c r="E200" s="47">
        <f t="shared" si="18"/>
        <v>0</v>
      </c>
      <c r="F200" s="85">
        <v>0</v>
      </c>
      <c r="G200" s="47">
        <f t="shared" si="16"/>
        <v>0</v>
      </c>
      <c r="H200" s="86"/>
      <c r="I200" s="15">
        <v>80</v>
      </c>
      <c r="J200" s="80">
        <f t="shared" si="17"/>
        <v>0</v>
      </c>
      <c r="K200" s="17" t="s">
        <v>16</v>
      </c>
      <c r="L200" s="18">
        <v>0</v>
      </c>
      <c r="M200" s="23">
        <f t="shared" si="19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+'1'!G201</f>
        <v>0</v>
      </c>
      <c r="D201" s="85">
        <v>0</v>
      </c>
      <c r="E201" s="47">
        <f t="shared" si="18"/>
        <v>0</v>
      </c>
      <c r="F201" s="85">
        <v>0</v>
      </c>
      <c r="G201" s="47">
        <f t="shared" si="16"/>
        <v>0</v>
      </c>
      <c r="H201" s="86"/>
      <c r="I201" s="15">
        <v>120</v>
      </c>
      <c r="J201" s="80">
        <f t="shared" si="17"/>
        <v>0</v>
      </c>
      <c r="K201" s="17" t="s">
        <v>16</v>
      </c>
      <c r="L201" s="18">
        <v>0</v>
      </c>
      <c r="M201" s="23">
        <f t="shared" si="19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+'1'!G202</f>
        <v>0</v>
      </c>
      <c r="D202" s="85">
        <v>0</v>
      </c>
      <c r="E202" s="47">
        <f t="shared" si="18"/>
        <v>0</v>
      </c>
      <c r="F202" s="85">
        <v>0</v>
      </c>
      <c r="G202" s="47">
        <f t="shared" si="16"/>
        <v>0</v>
      </c>
      <c r="H202" s="86"/>
      <c r="I202" s="15">
        <v>55</v>
      </c>
      <c r="J202" s="80">
        <f t="shared" si="17"/>
        <v>0</v>
      </c>
      <c r="K202" s="17" t="s">
        <v>16</v>
      </c>
      <c r="L202" s="18">
        <v>0</v>
      </c>
      <c r="M202" s="23">
        <f t="shared" si="19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+'1'!G203</f>
        <v>0</v>
      </c>
      <c r="D203" s="85">
        <v>0</v>
      </c>
      <c r="E203" s="47">
        <f t="shared" si="18"/>
        <v>0</v>
      </c>
      <c r="F203" s="85">
        <v>0</v>
      </c>
      <c r="G203" s="47">
        <f t="shared" si="16"/>
        <v>0</v>
      </c>
      <c r="H203" s="86"/>
      <c r="I203" s="20">
        <v>0</v>
      </c>
      <c r="J203" s="80">
        <f t="shared" si="17"/>
        <v>0</v>
      </c>
      <c r="K203" s="17" t="s">
        <v>16</v>
      </c>
      <c r="L203" s="18">
        <v>0</v>
      </c>
      <c r="M203" s="23">
        <f t="shared" si="19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+'1'!G204</f>
        <v>0</v>
      </c>
      <c r="D204" s="85">
        <v>0</v>
      </c>
      <c r="E204" s="47">
        <f t="shared" si="18"/>
        <v>0</v>
      </c>
      <c r="F204" s="85">
        <v>0</v>
      </c>
      <c r="G204" s="47">
        <f t="shared" si="16"/>
        <v>0</v>
      </c>
      <c r="H204" s="86"/>
      <c r="I204" s="20">
        <v>0</v>
      </c>
      <c r="J204" s="80">
        <f t="shared" si="17"/>
        <v>0</v>
      </c>
      <c r="K204" s="17" t="s">
        <v>16</v>
      </c>
      <c r="L204" s="18">
        <v>0</v>
      </c>
      <c r="M204" s="23">
        <f t="shared" si="19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+'1'!G205</f>
        <v>0</v>
      </c>
      <c r="D205" s="85">
        <v>0</v>
      </c>
      <c r="E205" s="47">
        <f t="shared" si="18"/>
        <v>0</v>
      </c>
      <c r="F205" s="85">
        <v>0</v>
      </c>
      <c r="G205" s="47">
        <f t="shared" si="16"/>
        <v>0</v>
      </c>
      <c r="H205" s="86"/>
      <c r="I205" s="20">
        <v>50</v>
      </c>
      <c r="J205" s="80">
        <f t="shared" si="17"/>
        <v>0</v>
      </c>
      <c r="K205" s="17" t="s">
        <v>16</v>
      </c>
      <c r="L205" s="18">
        <v>0</v>
      </c>
      <c r="M205" s="23">
        <f t="shared" si="19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+'1'!G206</f>
        <v>0</v>
      </c>
      <c r="D206" s="85">
        <v>0</v>
      </c>
      <c r="E206" s="47">
        <f t="shared" si="18"/>
        <v>0</v>
      </c>
      <c r="F206" s="85">
        <v>0</v>
      </c>
      <c r="G206" s="47">
        <f t="shared" si="16"/>
        <v>0</v>
      </c>
      <c r="H206" s="86"/>
      <c r="I206" s="20">
        <v>50</v>
      </c>
      <c r="J206" s="80">
        <f t="shared" si="17"/>
        <v>0</v>
      </c>
      <c r="K206" s="17" t="s">
        <v>16</v>
      </c>
      <c r="L206" s="18">
        <v>0</v>
      </c>
      <c r="M206" s="23">
        <f t="shared" si="19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+'1'!G207</f>
        <v>0</v>
      </c>
      <c r="D207" s="85">
        <v>0</v>
      </c>
      <c r="E207" s="47">
        <f t="shared" si="18"/>
        <v>0</v>
      </c>
      <c r="F207" s="85">
        <v>0</v>
      </c>
      <c r="G207" s="47">
        <f t="shared" si="16"/>
        <v>0</v>
      </c>
      <c r="H207" s="86"/>
      <c r="I207" s="20">
        <v>25</v>
      </c>
      <c r="J207" s="80">
        <f t="shared" si="17"/>
        <v>0</v>
      </c>
      <c r="K207" s="17" t="s">
        <v>16</v>
      </c>
      <c r="L207" s="18">
        <v>0</v>
      </c>
      <c r="M207" s="23">
        <f t="shared" si="19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+'1'!G208</f>
        <v>0</v>
      </c>
      <c r="D208" s="85">
        <v>0</v>
      </c>
      <c r="E208" s="47">
        <f t="shared" si="18"/>
        <v>0</v>
      </c>
      <c r="F208" s="85">
        <v>0</v>
      </c>
      <c r="G208" s="47">
        <f t="shared" si="16"/>
        <v>0</v>
      </c>
      <c r="H208" s="86"/>
      <c r="I208" s="20">
        <v>45</v>
      </c>
      <c r="J208" s="80">
        <f t="shared" si="17"/>
        <v>0</v>
      </c>
      <c r="K208" s="17" t="s">
        <v>16</v>
      </c>
      <c r="L208" s="18">
        <v>0</v>
      </c>
      <c r="M208" s="23">
        <f t="shared" si="19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+'1'!G209</f>
        <v>1</v>
      </c>
      <c r="D209" s="85">
        <v>0</v>
      </c>
      <c r="E209" s="47">
        <f t="shared" si="18"/>
        <v>1</v>
      </c>
      <c r="F209" s="85">
        <v>0</v>
      </c>
      <c r="G209" s="47">
        <f t="shared" si="16"/>
        <v>0</v>
      </c>
      <c r="H209" s="86">
        <v>1</v>
      </c>
      <c r="I209" s="20">
        <v>50</v>
      </c>
      <c r="J209" s="80">
        <f t="shared" si="17"/>
        <v>50</v>
      </c>
      <c r="K209" s="17" t="s">
        <v>278</v>
      </c>
      <c r="L209" s="18">
        <v>25</v>
      </c>
      <c r="M209" s="23">
        <f t="shared" si="19"/>
        <v>25</v>
      </c>
    </row>
    <row r="210" spans="1:13" ht="25.5" x14ac:dyDescent="0.55000000000000004">
      <c r="A210" s="10">
        <v>206</v>
      </c>
      <c r="B210" s="19" t="s">
        <v>267</v>
      </c>
      <c r="C210" s="79">
        <f>+'1'!G210</f>
        <v>0</v>
      </c>
      <c r="D210" s="85">
        <v>0</v>
      </c>
      <c r="E210" s="47">
        <f t="shared" si="18"/>
        <v>0</v>
      </c>
      <c r="F210" s="85">
        <v>0</v>
      </c>
      <c r="G210" s="47">
        <f t="shared" si="16"/>
        <v>0</v>
      </c>
      <c r="H210" s="86"/>
      <c r="I210" s="20">
        <v>199</v>
      </c>
      <c r="J210" s="80">
        <f t="shared" si="17"/>
        <v>0</v>
      </c>
      <c r="K210" s="17" t="s">
        <v>16</v>
      </c>
      <c r="L210" s="18">
        <v>0</v>
      </c>
      <c r="M210" s="23">
        <f t="shared" si="19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+'1'!G211</f>
        <v>5</v>
      </c>
      <c r="D211" s="85">
        <v>0</v>
      </c>
      <c r="E211" s="47">
        <f t="shared" si="18"/>
        <v>5</v>
      </c>
      <c r="F211" s="85">
        <v>0</v>
      </c>
      <c r="G211" s="47">
        <f t="shared" si="16"/>
        <v>4</v>
      </c>
      <c r="H211" s="86">
        <v>1</v>
      </c>
      <c r="I211" s="20">
        <v>35</v>
      </c>
      <c r="J211" s="80">
        <f t="shared" si="17"/>
        <v>35</v>
      </c>
      <c r="K211" s="17" t="s">
        <v>16</v>
      </c>
      <c r="L211" s="18">
        <v>0</v>
      </c>
      <c r="M211" s="23">
        <f t="shared" si="19"/>
        <v>35</v>
      </c>
    </row>
    <row r="212" spans="1:13" ht="25.5" x14ac:dyDescent="0.55000000000000004">
      <c r="A212" s="10">
        <v>208</v>
      </c>
      <c r="B212" s="19" t="s">
        <v>245</v>
      </c>
      <c r="C212" s="79">
        <f>+'1'!G212</f>
        <v>0</v>
      </c>
      <c r="D212" s="85">
        <v>0</v>
      </c>
      <c r="E212" s="47">
        <f t="shared" si="18"/>
        <v>0</v>
      </c>
      <c r="F212" s="85">
        <v>0</v>
      </c>
      <c r="G212" s="47">
        <f t="shared" si="16"/>
        <v>0</v>
      </c>
      <c r="H212" s="86"/>
      <c r="I212" s="20">
        <v>40</v>
      </c>
      <c r="J212" s="80">
        <f t="shared" si="17"/>
        <v>0</v>
      </c>
      <c r="K212" s="17" t="s">
        <v>16</v>
      </c>
      <c r="L212" s="18">
        <v>0</v>
      </c>
      <c r="M212" s="23">
        <f t="shared" si="19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+'1'!G213</f>
        <v>0</v>
      </c>
      <c r="D213" s="85">
        <v>0</v>
      </c>
      <c r="E213" s="47">
        <f t="shared" si="18"/>
        <v>0</v>
      </c>
      <c r="F213" s="85">
        <v>0</v>
      </c>
      <c r="G213" s="47">
        <f t="shared" si="16"/>
        <v>0</v>
      </c>
      <c r="H213" s="86"/>
      <c r="I213" s="20">
        <v>40</v>
      </c>
      <c r="J213" s="80">
        <f t="shared" si="17"/>
        <v>0</v>
      </c>
      <c r="K213" s="17" t="s">
        <v>16</v>
      </c>
      <c r="L213" s="18">
        <v>0</v>
      </c>
      <c r="M213" s="23">
        <f t="shared" si="19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+'1'!G214</f>
        <v>0</v>
      </c>
      <c r="D214" s="85">
        <v>0</v>
      </c>
      <c r="E214" s="47">
        <f t="shared" si="18"/>
        <v>0</v>
      </c>
      <c r="F214" s="85">
        <v>0</v>
      </c>
      <c r="G214" s="47">
        <f t="shared" si="16"/>
        <v>0</v>
      </c>
      <c r="H214" s="86"/>
      <c r="I214" s="20"/>
      <c r="J214" s="80">
        <f t="shared" si="17"/>
        <v>0</v>
      </c>
      <c r="K214" s="17" t="s">
        <v>16</v>
      </c>
      <c r="L214" s="18">
        <v>0</v>
      </c>
      <c r="M214" s="23">
        <f t="shared" si="19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+'1'!G215</f>
        <v>0</v>
      </c>
      <c r="D215" s="85">
        <v>0</v>
      </c>
      <c r="E215" s="47">
        <f t="shared" si="18"/>
        <v>0</v>
      </c>
      <c r="F215" s="85">
        <v>0</v>
      </c>
      <c r="G215" s="47">
        <f t="shared" si="16"/>
        <v>0</v>
      </c>
      <c r="H215" s="86"/>
      <c r="I215" s="20">
        <v>30</v>
      </c>
      <c r="J215" s="80">
        <f t="shared" si="17"/>
        <v>0</v>
      </c>
      <c r="K215" s="17" t="s">
        <v>16</v>
      </c>
      <c r="L215" s="18">
        <v>0</v>
      </c>
      <c r="M215" s="23">
        <f t="shared" si="19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+'1'!G216</f>
        <v>0</v>
      </c>
      <c r="D216" s="85">
        <v>0</v>
      </c>
      <c r="E216" s="47">
        <f t="shared" si="18"/>
        <v>0</v>
      </c>
      <c r="F216" s="85">
        <v>0</v>
      </c>
      <c r="G216" s="47">
        <f t="shared" si="16"/>
        <v>0</v>
      </c>
      <c r="H216" s="86"/>
      <c r="I216" s="20">
        <v>30</v>
      </c>
      <c r="J216" s="80">
        <f t="shared" si="17"/>
        <v>0</v>
      </c>
      <c r="K216" s="17" t="s">
        <v>16</v>
      </c>
      <c r="L216" s="18">
        <v>0</v>
      </c>
      <c r="M216" s="23">
        <f t="shared" si="19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+'1'!G217</f>
        <v>21</v>
      </c>
      <c r="D217" s="85">
        <v>0</v>
      </c>
      <c r="E217" s="47">
        <f t="shared" si="18"/>
        <v>21</v>
      </c>
      <c r="F217" s="85">
        <v>0</v>
      </c>
      <c r="G217" s="47">
        <f t="shared" si="16"/>
        <v>19</v>
      </c>
      <c r="H217" s="86">
        <v>2</v>
      </c>
      <c r="I217" s="20">
        <v>25</v>
      </c>
      <c r="J217" s="80">
        <f t="shared" si="17"/>
        <v>50</v>
      </c>
      <c r="K217" s="17" t="s">
        <v>16</v>
      </c>
      <c r="L217" s="18">
        <v>0</v>
      </c>
      <c r="M217" s="23">
        <f t="shared" si="19"/>
        <v>50</v>
      </c>
    </row>
    <row r="218" spans="1:13" ht="25.5" x14ac:dyDescent="0.55000000000000004">
      <c r="A218" s="10">
        <v>214</v>
      </c>
      <c r="B218" s="19" t="s">
        <v>272</v>
      </c>
      <c r="C218" s="79">
        <f>+'1'!G218</f>
        <v>18</v>
      </c>
      <c r="D218" s="85">
        <v>0</v>
      </c>
      <c r="E218" s="47">
        <f t="shared" si="18"/>
        <v>18</v>
      </c>
      <c r="F218" s="85">
        <v>0</v>
      </c>
      <c r="G218" s="47">
        <f t="shared" si="16"/>
        <v>15</v>
      </c>
      <c r="H218" s="86">
        <v>3</v>
      </c>
      <c r="I218" s="20">
        <v>25</v>
      </c>
      <c r="J218" s="80">
        <f t="shared" si="17"/>
        <v>75</v>
      </c>
      <c r="K218" s="17" t="s">
        <v>278</v>
      </c>
      <c r="L218" s="18">
        <f>75-63</f>
        <v>12</v>
      </c>
      <c r="M218" s="23">
        <f t="shared" si="19"/>
        <v>63</v>
      </c>
    </row>
    <row r="219" spans="1:13" ht="25.5" x14ac:dyDescent="0.55000000000000004">
      <c r="A219" s="10">
        <v>215</v>
      </c>
      <c r="B219" s="19" t="s">
        <v>273</v>
      </c>
      <c r="C219" s="79">
        <f>+'1'!G219</f>
        <v>5</v>
      </c>
      <c r="D219" s="85">
        <v>0</v>
      </c>
      <c r="E219" s="47">
        <f t="shared" si="18"/>
        <v>5</v>
      </c>
      <c r="F219" s="85">
        <v>0</v>
      </c>
      <c r="G219" s="47">
        <f t="shared" si="16"/>
        <v>5</v>
      </c>
      <c r="H219" s="86"/>
      <c r="I219" s="20">
        <v>25</v>
      </c>
      <c r="J219" s="80">
        <f t="shared" si="17"/>
        <v>0</v>
      </c>
      <c r="K219" s="17" t="s">
        <v>16</v>
      </c>
      <c r="L219" s="18">
        <v>0</v>
      </c>
      <c r="M219" s="23">
        <f t="shared" si="19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+'1'!G220</f>
        <v>4</v>
      </c>
      <c r="D220" s="85">
        <v>0</v>
      </c>
      <c r="E220" s="47">
        <f t="shared" si="18"/>
        <v>4</v>
      </c>
      <c r="F220" s="85">
        <v>0</v>
      </c>
      <c r="G220" s="47">
        <f t="shared" si="16"/>
        <v>2</v>
      </c>
      <c r="H220" s="86">
        <v>2</v>
      </c>
      <c r="I220" s="20">
        <v>45</v>
      </c>
      <c r="J220" s="80">
        <f t="shared" si="17"/>
        <v>90</v>
      </c>
      <c r="K220" s="17" t="s">
        <v>16</v>
      </c>
      <c r="L220" s="18">
        <v>0</v>
      </c>
      <c r="M220" s="23">
        <f t="shared" si="19"/>
        <v>90</v>
      </c>
    </row>
    <row r="221" spans="1:13" ht="25.5" x14ac:dyDescent="0.55000000000000004">
      <c r="A221" s="10">
        <v>217</v>
      </c>
      <c r="B221" s="19" t="s">
        <v>301</v>
      </c>
      <c r="C221" s="79">
        <f>+'1'!G221</f>
        <v>0</v>
      </c>
      <c r="D221" s="85">
        <v>0</v>
      </c>
      <c r="E221" s="47">
        <f t="shared" si="18"/>
        <v>0</v>
      </c>
      <c r="F221" s="85">
        <v>0</v>
      </c>
      <c r="G221" s="47">
        <f t="shared" si="16"/>
        <v>0</v>
      </c>
      <c r="H221" s="86"/>
      <c r="I221" s="20">
        <v>35</v>
      </c>
      <c r="J221" s="80">
        <f t="shared" si="17"/>
        <v>0</v>
      </c>
      <c r="K221" s="17" t="s">
        <v>16</v>
      </c>
      <c r="L221" s="18">
        <v>0</v>
      </c>
      <c r="M221" s="23">
        <f t="shared" si="19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+'1'!G222</f>
        <v>0</v>
      </c>
      <c r="D222" s="85">
        <v>0</v>
      </c>
      <c r="E222" s="47">
        <f t="shared" si="18"/>
        <v>0</v>
      </c>
      <c r="F222" s="85">
        <v>0</v>
      </c>
      <c r="G222" s="47">
        <f t="shared" si="16"/>
        <v>0</v>
      </c>
      <c r="H222" s="86"/>
      <c r="I222" s="20">
        <v>35</v>
      </c>
      <c r="J222" s="80">
        <f t="shared" si="17"/>
        <v>0</v>
      </c>
      <c r="K222" s="17" t="s">
        <v>16</v>
      </c>
      <c r="L222" s="18">
        <v>0</v>
      </c>
      <c r="M222" s="23">
        <f t="shared" si="19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+'1'!G223</f>
        <v>0</v>
      </c>
      <c r="D223" s="85">
        <v>0</v>
      </c>
      <c r="E223" s="47">
        <f t="shared" si="18"/>
        <v>0</v>
      </c>
      <c r="F223" s="85">
        <v>0</v>
      </c>
      <c r="G223" s="47">
        <f t="shared" si="16"/>
        <v>0</v>
      </c>
      <c r="H223" s="86"/>
      <c r="I223" s="20">
        <v>40</v>
      </c>
      <c r="J223" s="80">
        <f t="shared" si="17"/>
        <v>0</v>
      </c>
      <c r="K223" s="17" t="s">
        <v>16</v>
      </c>
      <c r="L223" s="18">
        <v>0</v>
      </c>
      <c r="M223" s="23">
        <f t="shared" si="19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+'1'!G224</f>
        <v>0</v>
      </c>
      <c r="D224" s="85">
        <v>0</v>
      </c>
      <c r="E224" s="47">
        <f t="shared" si="18"/>
        <v>0</v>
      </c>
      <c r="F224" s="85">
        <v>0</v>
      </c>
      <c r="G224" s="47">
        <f t="shared" si="16"/>
        <v>0</v>
      </c>
      <c r="H224" s="86"/>
      <c r="I224" s="20">
        <v>35</v>
      </c>
      <c r="J224" s="80">
        <f t="shared" si="17"/>
        <v>0</v>
      </c>
      <c r="K224" s="17" t="s">
        <v>16</v>
      </c>
      <c r="L224" s="18">
        <v>0</v>
      </c>
      <c r="M224" s="23">
        <f t="shared" si="19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5">
        <v>0</v>
      </c>
      <c r="E225" s="47">
        <f t="shared" si="18"/>
        <v>0</v>
      </c>
      <c r="F225" s="85">
        <v>0</v>
      </c>
      <c r="G225" s="47">
        <f t="shared" si="16"/>
        <v>0</v>
      </c>
      <c r="H225" s="86"/>
      <c r="I225" s="20"/>
      <c r="J225" s="80">
        <f t="shared" si="17"/>
        <v>0</v>
      </c>
      <c r="K225" s="17" t="s">
        <v>16</v>
      </c>
      <c r="L225" s="18">
        <v>0</v>
      </c>
      <c r="M225" s="23">
        <f t="shared" si="19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5">
        <v>0</v>
      </c>
      <c r="E226" s="47">
        <f t="shared" si="18"/>
        <v>0</v>
      </c>
      <c r="F226" s="85">
        <v>0</v>
      </c>
      <c r="G226" s="47">
        <f t="shared" si="16"/>
        <v>0</v>
      </c>
      <c r="H226" s="86"/>
      <c r="I226" s="20"/>
      <c r="J226" s="80">
        <f t="shared" si="17"/>
        <v>0</v>
      </c>
      <c r="K226" s="17" t="s">
        <v>16</v>
      </c>
      <c r="L226" s="18">
        <v>0</v>
      </c>
      <c r="M226" s="23">
        <f t="shared" si="19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5">
        <v>0</v>
      </c>
      <c r="E227" s="47">
        <f t="shared" si="18"/>
        <v>0</v>
      </c>
      <c r="F227" s="85">
        <v>0</v>
      </c>
      <c r="G227" s="47">
        <f t="shared" si="16"/>
        <v>0</v>
      </c>
      <c r="H227" s="86"/>
      <c r="I227" s="20"/>
      <c r="J227" s="80">
        <f t="shared" si="17"/>
        <v>0</v>
      </c>
      <c r="K227" s="17" t="s">
        <v>16</v>
      </c>
      <c r="L227" s="18">
        <v>0</v>
      </c>
      <c r="M227" s="23">
        <f t="shared" si="19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5">
        <v>0</v>
      </c>
      <c r="E228" s="47">
        <f t="shared" si="18"/>
        <v>0</v>
      </c>
      <c r="F228" s="85">
        <v>0</v>
      </c>
      <c r="G228" s="47">
        <f t="shared" ref="G228:G254" si="20">+E228-F228-H228</f>
        <v>0</v>
      </c>
      <c r="H228" s="86"/>
      <c r="I228" s="20"/>
      <c r="J228" s="80">
        <f t="shared" ref="J228:J254" si="21">+I228*H228</f>
        <v>0</v>
      </c>
      <c r="K228" s="17" t="s">
        <v>16</v>
      </c>
      <c r="L228" s="18">
        <v>0</v>
      </c>
      <c r="M228" s="23">
        <f t="shared" si="19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5">
        <v>0</v>
      </c>
      <c r="E229" s="47">
        <f t="shared" si="18"/>
        <v>0</v>
      </c>
      <c r="F229" s="85">
        <v>0</v>
      </c>
      <c r="G229" s="47">
        <f t="shared" si="20"/>
        <v>0</v>
      </c>
      <c r="H229" s="86"/>
      <c r="I229" s="20"/>
      <c r="J229" s="80">
        <f t="shared" si="21"/>
        <v>0</v>
      </c>
      <c r="K229" s="17" t="s">
        <v>16</v>
      </c>
      <c r="L229" s="18">
        <v>0</v>
      </c>
      <c r="M229" s="23">
        <f t="shared" si="19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5">
        <v>0</v>
      </c>
      <c r="E230" s="47">
        <f t="shared" si="18"/>
        <v>0</v>
      </c>
      <c r="F230" s="85">
        <v>0</v>
      </c>
      <c r="G230" s="47">
        <f t="shared" si="20"/>
        <v>0</v>
      </c>
      <c r="H230" s="86"/>
      <c r="I230" s="20"/>
      <c r="J230" s="80">
        <f t="shared" si="21"/>
        <v>0</v>
      </c>
      <c r="K230" s="17" t="s">
        <v>16</v>
      </c>
      <c r="L230" s="18">
        <v>0</v>
      </c>
      <c r="M230" s="23">
        <f t="shared" si="19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5">
        <v>0</v>
      </c>
      <c r="E231" s="47">
        <f t="shared" si="18"/>
        <v>0</v>
      </c>
      <c r="F231" s="85">
        <v>0</v>
      </c>
      <c r="G231" s="47">
        <f t="shared" si="20"/>
        <v>0</v>
      </c>
      <c r="H231" s="86"/>
      <c r="I231" s="20"/>
      <c r="J231" s="80">
        <f t="shared" si="21"/>
        <v>0</v>
      </c>
      <c r="K231" s="17" t="s">
        <v>16</v>
      </c>
      <c r="L231" s="18">
        <v>0</v>
      </c>
      <c r="M231" s="23">
        <f t="shared" si="19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5">
        <v>0</v>
      </c>
      <c r="E232" s="47">
        <f t="shared" si="18"/>
        <v>0</v>
      </c>
      <c r="F232" s="85">
        <v>0</v>
      </c>
      <c r="G232" s="47">
        <f t="shared" si="20"/>
        <v>0</v>
      </c>
      <c r="H232" s="86"/>
      <c r="I232" s="20"/>
      <c r="J232" s="80">
        <f t="shared" si="21"/>
        <v>0</v>
      </c>
      <c r="K232" s="17" t="s">
        <v>16</v>
      </c>
      <c r="L232" s="18">
        <v>0</v>
      </c>
      <c r="M232" s="23">
        <f t="shared" si="19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5">
        <v>0</v>
      </c>
      <c r="E233" s="47">
        <f t="shared" si="18"/>
        <v>0</v>
      </c>
      <c r="F233" s="85">
        <v>0</v>
      </c>
      <c r="G233" s="47">
        <f t="shared" si="20"/>
        <v>0</v>
      </c>
      <c r="H233" s="86"/>
      <c r="I233" s="20"/>
      <c r="J233" s="80">
        <f t="shared" si="21"/>
        <v>0</v>
      </c>
      <c r="K233" s="17" t="s">
        <v>16</v>
      </c>
      <c r="L233" s="18">
        <v>0</v>
      </c>
      <c r="M233" s="23">
        <f t="shared" si="19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5">
        <v>0</v>
      </c>
      <c r="E234" s="47">
        <f t="shared" si="18"/>
        <v>0</v>
      </c>
      <c r="F234" s="85">
        <v>0</v>
      </c>
      <c r="G234" s="47">
        <f t="shared" si="20"/>
        <v>0</v>
      </c>
      <c r="H234" s="86"/>
      <c r="I234" s="20"/>
      <c r="J234" s="80">
        <f t="shared" si="21"/>
        <v>0</v>
      </c>
      <c r="K234" s="17" t="s">
        <v>16</v>
      </c>
      <c r="L234" s="18">
        <v>0</v>
      </c>
      <c r="M234" s="23">
        <f t="shared" si="19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5">
        <v>0</v>
      </c>
      <c r="E235" s="47">
        <f t="shared" si="18"/>
        <v>0</v>
      </c>
      <c r="F235" s="85">
        <v>0</v>
      </c>
      <c r="G235" s="47">
        <f t="shared" si="20"/>
        <v>0</v>
      </c>
      <c r="H235" s="86"/>
      <c r="I235" s="20"/>
      <c r="J235" s="80">
        <f t="shared" si="21"/>
        <v>0</v>
      </c>
      <c r="K235" s="17" t="s">
        <v>16</v>
      </c>
      <c r="L235" s="18">
        <v>0</v>
      </c>
      <c r="M235" s="23">
        <f t="shared" si="19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5">
        <v>0</v>
      </c>
      <c r="E236" s="47">
        <f t="shared" si="18"/>
        <v>0</v>
      </c>
      <c r="F236" s="85">
        <v>0</v>
      </c>
      <c r="G236" s="47">
        <f t="shared" si="20"/>
        <v>0</v>
      </c>
      <c r="H236" s="86"/>
      <c r="I236" s="20"/>
      <c r="J236" s="80">
        <f t="shared" si="21"/>
        <v>0</v>
      </c>
      <c r="K236" s="17" t="s">
        <v>16</v>
      </c>
      <c r="L236" s="18">
        <v>0</v>
      </c>
      <c r="M236" s="23">
        <f t="shared" si="19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5">
        <v>0</v>
      </c>
      <c r="E237" s="47">
        <f t="shared" si="18"/>
        <v>0</v>
      </c>
      <c r="F237" s="85">
        <v>0</v>
      </c>
      <c r="G237" s="47">
        <f t="shared" si="20"/>
        <v>0</v>
      </c>
      <c r="H237" s="86"/>
      <c r="I237" s="20"/>
      <c r="J237" s="80">
        <f t="shared" si="21"/>
        <v>0</v>
      </c>
      <c r="K237" s="17" t="s">
        <v>16</v>
      </c>
      <c r="L237" s="18">
        <v>0</v>
      </c>
      <c r="M237" s="23">
        <f t="shared" si="19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5">
        <v>0</v>
      </c>
      <c r="E238" s="47">
        <f t="shared" si="18"/>
        <v>0</v>
      </c>
      <c r="F238" s="85">
        <v>0</v>
      </c>
      <c r="G238" s="47">
        <f t="shared" si="20"/>
        <v>0</v>
      </c>
      <c r="H238" s="86"/>
      <c r="I238" s="20"/>
      <c r="J238" s="80">
        <f t="shared" si="21"/>
        <v>0</v>
      </c>
      <c r="K238" s="17" t="s">
        <v>16</v>
      </c>
      <c r="L238" s="18">
        <v>0</v>
      </c>
      <c r="M238" s="23">
        <f t="shared" si="19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5">
        <v>0</v>
      </c>
      <c r="E239" s="47">
        <f t="shared" si="18"/>
        <v>0</v>
      </c>
      <c r="F239" s="85">
        <v>0</v>
      </c>
      <c r="G239" s="47">
        <f t="shared" si="20"/>
        <v>0</v>
      </c>
      <c r="H239" s="86"/>
      <c r="I239" s="20"/>
      <c r="J239" s="80">
        <f t="shared" si="21"/>
        <v>0</v>
      </c>
      <c r="K239" s="17" t="s">
        <v>16</v>
      </c>
      <c r="L239" s="18">
        <v>0</v>
      </c>
      <c r="M239" s="23">
        <f t="shared" si="19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5">
        <v>0</v>
      </c>
      <c r="E240" s="47">
        <f t="shared" si="18"/>
        <v>0</v>
      </c>
      <c r="F240" s="85">
        <v>0</v>
      </c>
      <c r="G240" s="47">
        <f t="shared" si="20"/>
        <v>0</v>
      </c>
      <c r="H240" s="86"/>
      <c r="I240" s="20"/>
      <c r="J240" s="80">
        <f t="shared" si="21"/>
        <v>0</v>
      </c>
      <c r="K240" s="17" t="s">
        <v>16</v>
      </c>
      <c r="L240" s="18">
        <v>0</v>
      </c>
      <c r="M240" s="23">
        <f t="shared" si="19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5">
        <v>0</v>
      </c>
      <c r="E241" s="47">
        <f t="shared" si="18"/>
        <v>0</v>
      </c>
      <c r="F241" s="85">
        <v>0</v>
      </c>
      <c r="G241" s="47">
        <f t="shared" si="20"/>
        <v>0</v>
      </c>
      <c r="H241" s="86"/>
      <c r="I241" s="20"/>
      <c r="J241" s="80">
        <f t="shared" si="21"/>
        <v>0</v>
      </c>
      <c r="K241" s="17" t="s">
        <v>16</v>
      </c>
      <c r="L241" s="18">
        <v>0</v>
      </c>
      <c r="M241" s="23">
        <f t="shared" si="19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5">
        <v>0</v>
      </c>
      <c r="E242" s="47">
        <f t="shared" si="18"/>
        <v>0</v>
      </c>
      <c r="F242" s="85">
        <v>0</v>
      </c>
      <c r="G242" s="47">
        <f t="shared" si="20"/>
        <v>0</v>
      </c>
      <c r="H242" s="86"/>
      <c r="I242" s="20"/>
      <c r="J242" s="80">
        <f t="shared" si="21"/>
        <v>0</v>
      </c>
      <c r="K242" s="17" t="s">
        <v>16</v>
      </c>
      <c r="L242" s="18">
        <v>0</v>
      </c>
      <c r="M242" s="23">
        <f t="shared" si="19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5">
        <v>0</v>
      </c>
      <c r="E243" s="47">
        <f t="shared" si="18"/>
        <v>0</v>
      </c>
      <c r="F243" s="85">
        <v>0</v>
      </c>
      <c r="G243" s="47">
        <f t="shared" si="20"/>
        <v>0</v>
      </c>
      <c r="H243" s="86"/>
      <c r="I243" s="20"/>
      <c r="J243" s="80">
        <f t="shared" si="21"/>
        <v>0</v>
      </c>
      <c r="K243" s="17" t="s">
        <v>16</v>
      </c>
      <c r="L243" s="18">
        <v>0</v>
      </c>
      <c r="M243" s="23">
        <f t="shared" si="19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5">
        <v>0</v>
      </c>
      <c r="E244" s="47">
        <f t="shared" si="18"/>
        <v>0</v>
      </c>
      <c r="F244" s="85">
        <v>0</v>
      </c>
      <c r="G244" s="47">
        <f t="shared" si="20"/>
        <v>0</v>
      </c>
      <c r="H244" s="86"/>
      <c r="I244" s="20"/>
      <c r="J244" s="80">
        <f t="shared" si="21"/>
        <v>0</v>
      </c>
      <c r="K244" s="17" t="s">
        <v>16</v>
      </c>
      <c r="L244" s="18">
        <v>0</v>
      </c>
      <c r="M244" s="23">
        <f t="shared" si="19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5">
        <v>0</v>
      </c>
      <c r="E245" s="47">
        <f t="shared" si="18"/>
        <v>0</v>
      </c>
      <c r="F245" s="85">
        <v>0</v>
      </c>
      <c r="G245" s="47">
        <f t="shared" si="20"/>
        <v>0</v>
      </c>
      <c r="H245" s="86"/>
      <c r="I245" s="20"/>
      <c r="J245" s="80">
        <f t="shared" si="21"/>
        <v>0</v>
      </c>
      <c r="K245" s="17" t="s">
        <v>16</v>
      </c>
      <c r="L245" s="18">
        <v>0</v>
      </c>
      <c r="M245" s="23">
        <f t="shared" si="19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5">
        <v>0</v>
      </c>
      <c r="E246" s="47">
        <f t="shared" si="18"/>
        <v>0</v>
      </c>
      <c r="F246" s="85">
        <v>0</v>
      </c>
      <c r="G246" s="47">
        <f t="shared" si="20"/>
        <v>0</v>
      </c>
      <c r="H246" s="86"/>
      <c r="I246" s="20"/>
      <c r="J246" s="80">
        <f t="shared" si="21"/>
        <v>0</v>
      </c>
      <c r="K246" s="17" t="s">
        <v>16</v>
      </c>
      <c r="L246" s="18">
        <v>0</v>
      </c>
      <c r="M246" s="23">
        <f t="shared" si="19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5">
        <v>0</v>
      </c>
      <c r="E247" s="47">
        <f t="shared" si="18"/>
        <v>0</v>
      </c>
      <c r="F247" s="85">
        <v>0</v>
      </c>
      <c r="G247" s="47">
        <f t="shared" si="20"/>
        <v>0</v>
      </c>
      <c r="H247" s="86"/>
      <c r="I247" s="20"/>
      <c r="J247" s="80">
        <f t="shared" si="21"/>
        <v>0</v>
      </c>
      <c r="K247" s="17" t="s">
        <v>16</v>
      </c>
      <c r="L247" s="18">
        <v>0</v>
      </c>
      <c r="M247" s="23">
        <f t="shared" si="19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5">
        <v>0</v>
      </c>
      <c r="E248" s="47">
        <f t="shared" si="18"/>
        <v>0</v>
      </c>
      <c r="F248" s="85">
        <v>0</v>
      </c>
      <c r="G248" s="47">
        <f t="shared" si="20"/>
        <v>0</v>
      </c>
      <c r="H248" s="86"/>
      <c r="I248" s="20"/>
      <c r="J248" s="80">
        <f t="shared" si="21"/>
        <v>0</v>
      </c>
      <c r="K248" s="17" t="s">
        <v>16</v>
      </c>
      <c r="L248" s="18">
        <v>0</v>
      </c>
      <c r="M248" s="23">
        <f t="shared" si="19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5">
        <v>0</v>
      </c>
      <c r="E249" s="47">
        <f t="shared" si="18"/>
        <v>0</v>
      </c>
      <c r="F249" s="85">
        <v>0</v>
      </c>
      <c r="G249" s="47">
        <f t="shared" si="20"/>
        <v>0</v>
      </c>
      <c r="H249" s="86"/>
      <c r="I249" s="20"/>
      <c r="J249" s="80">
        <f t="shared" si="21"/>
        <v>0</v>
      </c>
      <c r="K249" s="17" t="s">
        <v>16</v>
      </c>
      <c r="L249" s="18">
        <v>0</v>
      </c>
      <c r="M249" s="23">
        <f t="shared" si="19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5">
        <v>0</v>
      </c>
      <c r="E250" s="47">
        <f t="shared" si="18"/>
        <v>0</v>
      </c>
      <c r="F250" s="85">
        <v>0</v>
      </c>
      <c r="G250" s="47">
        <f t="shared" si="20"/>
        <v>0</v>
      </c>
      <c r="H250" s="86"/>
      <c r="I250" s="20"/>
      <c r="J250" s="80">
        <f t="shared" si="21"/>
        <v>0</v>
      </c>
      <c r="K250" s="17" t="s">
        <v>16</v>
      </c>
      <c r="L250" s="18">
        <v>0</v>
      </c>
      <c r="M250" s="23">
        <f t="shared" si="19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5">
        <v>0</v>
      </c>
      <c r="E251" s="47">
        <f t="shared" si="18"/>
        <v>0</v>
      </c>
      <c r="F251" s="85">
        <v>0</v>
      </c>
      <c r="G251" s="47">
        <f t="shared" si="20"/>
        <v>0</v>
      </c>
      <c r="H251" s="86"/>
      <c r="I251" s="20"/>
      <c r="J251" s="80">
        <f t="shared" si="21"/>
        <v>0</v>
      </c>
      <c r="K251" s="17" t="s">
        <v>16</v>
      </c>
      <c r="L251" s="18">
        <v>0</v>
      </c>
      <c r="M251" s="23">
        <f t="shared" si="19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5">
        <v>0</v>
      </c>
      <c r="E252" s="47">
        <f t="shared" si="18"/>
        <v>0</v>
      </c>
      <c r="F252" s="85">
        <v>0</v>
      </c>
      <c r="G252" s="47">
        <f t="shared" si="20"/>
        <v>0</v>
      </c>
      <c r="H252" s="86"/>
      <c r="I252" s="20"/>
      <c r="J252" s="80">
        <f t="shared" si="21"/>
        <v>0</v>
      </c>
      <c r="K252" s="17" t="s">
        <v>16</v>
      </c>
      <c r="L252" s="18">
        <v>0</v>
      </c>
      <c r="M252" s="23">
        <f t="shared" si="19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5">
        <v>0</v>
      </c>
      <c r="E253" s="47">
        <f t="shared" ref="E253:E254" si="22">C253+D253</f>
        <v>0</v>
      </c>
      <c r="F253" s="85">
        <v>0</v>
      </c>
      <c r="G253" s="47">
        <f t="shared" si="20"/>
        <v>0</v>
      </c>
      <c r="H253" s="86"/>
      <c r="I253" s="20"/>
      <c r="J253" s="80">
        <f t="shared" si="21"/>
        <v>0</v>
      </c>
      <c r="K253" s="17" t="s">
        <v>16</v>
      </c>
      <c r="L253" s="18">
        <v>0</v>
      </c>
      <c r="M253" s="23">
        <f t="shared" si="19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5">
        <v>0</v>
      </c>
      <c r="E254" s="47">
        <f t="shared" si="22"/>
        <v>0</v>
      </c>
      <c r="F254" s="85">
        <v>0</v>
      </c>
      <c r="G254" s="47">
        <f t="shared" si="20"/>
        <v>0</v>
      </c>
      <c r="H254" s="86"/>
      <c r="I254" s="20"/>
      <c r="J254" s="80">
        <f t="shared" si="21"/>
        <v>0</v>
      </c>
      <c r="K254" s="17" t="s">
        <v>16</v>
      </c>
      <c r="L254" s="18">
        <v>0</v>
      </c>
      <c r="M254" s="23">
        <f t="shared" si="19"/>
        <v>0</v>
      </c>
      <c r="N254" s="23">
        <f>SUM(M5:M254)</f>
        <v>2948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3370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1433</v>
      </c>
      <c r="L259" s="2">
        <v>350</v>
      </c>
      <c r="M259" s="2">
        <v>50</v>
      </c>
      <c r="N259" s="2">
        <v>50</v>
      </c>
      <c r="O259" s="2">
        <v>150</v>
      </c>
      <c r="P259" s="2">
        <v>333</v>
      </c>
      <c r="Q259" s="2">
        <v>500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422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1500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1500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66FF99"/>
  </sheetPr>
  <dimension ref="A1:Z341"/>
  <sheetViews>
    <sheetView zoomScale="115" zoomScaleNormal="115" workbookViewId="0">
      <pane xSplit="7" ySplit="4" topLeftCell="H257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+'2'!G5</f>
        <v>24</v>
      </c>
      <c r="D5" s="85">
        <v>9</v>
      </c>
      <c r="E5" s="47">
        <f t="shared" ref="E5:E125" si="0">C5+D5</f>
        <v>33</v>
      </c>
      <c r="F5" s="85">
        <v>0</v>
      </c>
      <c r="G5" s="47">
        <f>+E5-F5-H5</f>
        <v>32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45</v>
      </c>
      <c r="D6" s="85">
        <v>15</v>
      </c>
      <c r="E6" s="47">
        <f t="shared" si="0"/>
        <v>60</v>
      </c>
      <c r="F6" s="85">
        <v>0</v>
      </c>
      <c r="G6" s="47">
        <f t="shared" ref="G6:G100" si="4">+E6-F6-H6</f>
        <v>59</v>
      </c>
      <c r="H6" s="86">
        <v>1</v>
      </c>
      <c r="I6" s="15">
        <v>100</v>
      </c>
      <c r="J6" s="80">
        <f t="shared" ref="J6:J100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+'2'!G19</f>
        <v>1</v>
      </c>
      <c r="D19" s="85">
        <v>0</v>
      </c>
      <c r="E19" s="47">
        <f t="shared" si="0"/>
        <v>1</v>
      </c>
      <c r="F19" s="85">
        <v>0</v>
      </c>
      <c r="G19" s="47">
        <f t="shared" si="4"/>
        <v>1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4</v>
      </c>
      <c r="D23" s="85">
        <v>0</v>
      </c>
      <c r="E23" s="47">
        <f t="shared" si="0"/>
        <v>4</v>
      </c>
      <c r="F23" s="85">
        <v>0</v>
      </c>
      <c r="G23" s="47">
        <f t="shared" si="4"/>
        <v>4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1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2</v>
      </c>
      <c r="D25" s="85">
        <v>0</v>
      </c>
      <c r="E25" s="47">
        <f t="shared" si="0"/>
        <v>2</v>
      </c>
      <c r="F25" s="85">
        <v>0</v>
      </c>
      <c r="G25" s="47">
        <f t="shared" si="4"/>
        <v>2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3</v>
      </c>
      <c r="D32" s="85">
        <v>0</v>
      </c>
      <c r="E32" s="47">
        <f t="shared" si="0"/>
        <v>3</v>
      </c>
      <c r="F32" s="85">
        <v>0</v>
      </c>
      <c r="G32" s="47">
        <f t="shared" si="4"/>
        <v>3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3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14</v>
      </c>
      <c r="D37" s="85">
        <v>0</v>
      </c>
      <c r="E37" s="47">
        <f t="shared" si="0"/>
        <v>14</v>
      </c>
      <c r="F37" s="85">
        <v>0</v>
      </c>
      <c r="G37" s="47">
        <f t="shared" si="4"/>
        <v>13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9</v>
      </c>
      <c r="D38" s="85">
        <v>0</v>
      </c>
      <c r="E38" s="47">
        <f t="shared" si="0"/>
        <v>9</v>
      </c>
      <c r="F38" s="85">
        <v>0</v>
      </c>
      <c r="G38" s="47">
        <f t="shared" si="4"/>
        <v>7</v>
      </c>
      <c r="H38" s="86">
        <v>2</v>
      </c>
      <c r="I38" s="15">
        <v>50</v>
      </c>
      <c r="J38" s="80">
        <f t="shared" si="5"/>
        <v>100</v>
      </c>
      <c r="K38" s="17" t="s">
        <v>298</v>
      </c>
      <c r="L38" s="18">
        <v>25</v>
      </c>
      <c r="M38" s="23">
        <f t="shared" si="6"/>
        <v>75</v>
      </c>
    </row>
    <row r="39" spans="1:13" ht="25.5" x14ac:dyDescent="0.55000000000000004">
      <c r="A39" s="10">
        <v>35</v>
      </c>
      <c r="B39" s="19" t="s">
        <v>50</v>
      </c>
      <c r="C39" s="79">
        <f>+'2'!G39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9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20</v>
      </c>
      <c r="D40" s="85">
        <v>0</v>
      </c>
      <c r="E40" s="47">
        <f t="shared" si="0"/>
        <v>20</v>
      </c>
      <c r="F40" s="85">
        <v>0</v>
      </c>
      <c r="G40" s="101">
        <f t="shared" si="4"/>
        <v>17</v>
      </c>
      <c r="H40" s="86">
        <v>3</v>
      </c>
      <c r="I40" s="15">
        <v>50</v>
      </c>
      <c r="J40" s="80">
        <f t="shared" si="5"/>
        <v>150</v>
      </c>
      <c r="K40" s="17" t="s">
        <v>298</v>
      </c>
      <c r="L40" s="18">
        <v>75</v>
      </c>
      <c r="M40" s="23">
        <f t="shared" si="6"/>
        <v>75</v>
      </c>
    </row>
    <row r="41" spans="1:13" ht="25.5" x14ac:dyDescent="0.55000000000000004">
      <c r="A41" s="10">
        <v>37</v>
      </c>
      <c r="B41" s="19" t="s">
        <v>52</v>
      </c>
      <c r="C41" s="79">
        <f>+'2'!G41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5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+'2'!G46</f>
        <v>6</v>
      </c>
      <c r="D46" s="85">
        <v>0</v>
      </c>
      <c r="E46" s="47">
        <f t="shared" si="0"/>
        <v>6</v>
      </c>
      <c r="F46" s="85">
        <v>0</v>
      </c>
      <c r="G46" s="47">
        <f t="shared" si="4"/>
        <v>6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6</v>
      </c>
      <c r="D61" s="85">
        <v>0</v>
      </c>
      <c r="E61" s="47">
        <f t="shared" si="0"/>
        <v>6</v>
      </c>
      <c r="F61" s="85">
        <v>0</v>
      </c>
      <c r="G61" s="47">
        <f t="shared" si="4"/>
        <v>0</v>
      </c>
      <c r="H61" s="86">
        <v>6</v>
      </c>
      <c r="I61" s="15">
        <v>50</v>
      </c>
      <c r="J61" s="80">
        <f t="shared" si="5"/>
        <v>300</v>
      </c>
      <c r="K61" s="17" t="s">
        <v>298</v>
      </c>
      <c r="L61" s="18">
        <v>150</v>
      </c>
      <c r="M61" s="23">
        <f t="shared" si="6"/>
        <v>150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6</v>
      </c>
      <c r="D63" s="85">
        <v>0</v>
      </c>
      <c r="E63" s="47">
        <f t="shared" si="0"/>
        <v>6</v>
      </c>
      <c r="F63" s="85">
        <v>0</v>
      </c>
      <c r="G63" s="47">
        <f t="shared" si="4"/>
        <v>1</v>
      </c>
      <c r="H63" s="86">
        <v>5</v>
      </c>
      <c r="I63" s="20">
        <v>50</v>
      </c>
      <c r="J63" s="80">
        <f t="shared" si="5"/>
        <v>250</v>
      </c>
      <c r="K63" s="17" t="s">
        <v>298</v>
      </c>
      <c r="L63" s="18">
        <v>125</v>
      </c>
      <c r="M63" s="23">
        <f t="shared" si="6"/>
        <v>125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11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17</v>
      </c>
      <c r="D70" s="85">
        <v>0</v>
      </c>
      <c r="E70" s="47">
        <f t="shared" si="0"/>
        <v>17</v>
      </c>
      <c r="F70" s="85">
        <v>0</v>
      </c>
      <c r="G70" s="47">
        <f t="shared" si="4"/>
        <v>9</v>
      </c>
      <c r="H70" s="86">
        <v>8</v>
      </c>
      <c r="I70" s="20">
        <v>50</v>
      </c>
      <c r="J70" s="80">
        <f t="shared" si="5"/>
        <v>400</v>
      </c>
      <c r="K70" s="17" t="s">
        <v>298</v>
      </c>
      <c r="L70" s="18">
        <v>200</v>
      </c>
      <c r="M70" s="23">
        <f t="shared" ref="M70:M134" si="10">SUM(J70-L70)</f>
        <v>200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4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0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+'2'!G79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+'2'!G80</f>
        <v>12</v>
      </c>
      <c r="D80" s="85">
        <v>0</v>
      </c>
      <c r="E80" s="47">
        <f t="shared" si="0"/>
        <v>12</v>
      </c>
      <c r="F80" s="85">
        <v>0</v>
      </c>
      <c r="G80" s="47">
        <f t="shared" si="4"/>
        <v>8</v>
      </c>
      <c r="H80" s="86">
        <v>4</v>
      </c>
      <c r="I80" s="22">
        <v>50</v>
      </c>
      <c r="J80" s="80">
        <f t="shared" si="5"/>
        <v>200</v>
      </c>
      <c r="K80" s="17" t="s">
        <v>299</v>
      </c>
      <c r="L80" s="18">
        <v>125</v>
      </c>
      <c r="M80" s="23">
        <f t="shared" si="10"/>
        <v>75</v>
      </c>
    </row>
    <row r="81" spans="1:13" ht="25.5" x14ac:dyDescent="0.55000000000000004">
      <c r="A81" s="10">
        <v>77</v>
      </c>
      <c r="B81" s="19" t="s">
        <v>91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2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+'2'!G87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11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+'2'!G88</f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7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+'2'!G89</f>
        <v>13</v>
      </c>
      <c r="D89" s="85">
        <v>7</v>
      </c>
      <c r="E89" s="47">
        <f t="shared" si="0"/>
        <v>20</v>
      </c>
      <c r="F89" s="85">
        <v>0</v>
      </c>
      <c r="G89" s="47">
        <f t="shared" si="4"/>
        <v>18</v>
      </c>
      <c r="H89" s="86">
        <v>2</v>
      </c>
      <c r="I89" s="20">
        <v>100</v>
      </c>
      <c r="J89" s="80">
        <f t="shared" si="5"/>
        <v>200</v>
      </c>
      <c r="K89" s="17" t="s">
        <v>16</v>
      </c>
      <c r="L89" s="18">
        <v>0</v>
      </c>
      <c r="M89" s="23">
        <f t="shared" si="10"/>
        <v>200</v>
      </c>
    </row>
    <row r="90" spans="1:13" ht="25.5" x14ac:dyDescent="0.55000000000000004">
      <c r="A90" s="10">
        <v>86</v>
      </c>
      <c r="B90" s="19" t="s">
        <v>100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2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23">
        <f t="shared" si="10"/>
        <v>50</v>
      </c>
    </row>
    <row r="92" spans="1:13" ht="25.5" x14ac:dyDescent="0.55000000000000004">
      <c r="A92" s="10">
        <v>88</v>
      </c>
      <c r="B92" s="19" t="s">
        <v>102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+'2'!G102</f>
        <v>17</v>
      </c>
      <c r="D102" s="85">
        <v>0</v>
      </c>
      <c r="E102" s="47">
        <f t="shared" si="0"/>
        <v>17</v>
      </c>
      <c r="F102" s="85">
        <v>0</v>
      </c>
      <c r="G102" s="47">
        <f t="shared" si="11"/>
        <v>14</v>
      </c>
      <c r="H102" s="86">
        <v>3</v>
      </c>
      <c r="I102" s="20">
        <v>55</v>
      </c>
      <c r="J102" s="80">
        <f t="shared" si="12"/>
        <v>165</v>
      </c>
      <c r="K102" s="17" t="s">
        <v>16</v>
      </c>
      <c r="L102" s="18">
        <v>0</v>
      </c>
      <c r="M102" s="23">
        <f t="shared" si="10"/>
        <v>165</v>
      </c>
    </row>
    <row r="103" spans="1:13" ht="25.5" x14ac:dyDescent="0.55000000000000004">
      <c r="A103" s="10">
        <v>99</v>
      </c>
      <c r="B103" s="19" t="s">
        <v>113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+'2'!G104</f>
        <v>4</v>
      </c>
      <c r="D104" s="85">
        <v>0</v>
      </c>
      <c r="E104" s="47">
        <f t="shared" si="0"/>
        <v>4</v>
      </c>
      <c r="F104" s="85">
        <v>0</v>
      </c>
      <c r="G104" s="47">
        <f t="shared" si="11"/>
        <v>3</v>
      </c>
      <c r="H104" s="86">
        <v>1</v>
      </c>
      <c r="I104" s="20">
        <v>100</v>
      </c>
      <c r="J104" s="80">
        <f t="shared" si="12"/>
        <v>100</v>
      </c>
      <c r="K104" s="17" t="s">
        <v>278</v>
      </c>
      <c r="L104" s="18">
        <v>50</v>
      </c>
      <c r="M104" s="23">
        <f t="shared" si="10"/>
        <v>50</v>
      </c>
    </row>
    <row r="105" spans="1:13" ht="25.5" x14ac:dyDescent="0.55000000000000004">
      <c r="A105" s="10">
        <v>101</v>
      </c>
      <c r="B105" s="19" t="s">
        <v>115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+'2'!G161</f>
        <v>0</v>
      </c>
      <c r="D161" s="85">
        <v>10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+'2'!G162</f>
        <v>0</v>
      </c>
      <c r="D162" s="85">
        <v>6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+'2'!G163</f>
        <v>0</v>
      </c>
      <c r="D163" s="85">
        <v>11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+'2'!G169</f>
        <v>45</v>
      </c>
      <c r="D169" s="85">
        <v>21</v>
      </c>
      <c r="E169" s="47">
        <f t="shared" si="13"/>
        <v>66</v>
      </c>
      <c r="F169" s="85">
        <v>0</v>
      </c>
      <c r="G169" s="47">
        <f t="shared" si="15"/>
        <v>65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+'2'!G171</f>
        <v>11</v>
      </c>
      <c r="D171" s="85">
        <v>0</v>
      </c>
      <c r="E171" s="47">
        <f t="shared" si="13"/>
        <v>11</v>
      </c>
      <c r="F171" s="85">
        <v>0</v>
      </c>
      <c r="G171" s="47">
        <f t="shared" si="15"/>
        <v>11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+'2'!G211</f>
        <v>4</v>
      </c>
      <c r="D211" s="85">
        <v>0</v>
      </c>
      <c r="E211" s="47">
        <f t="shared" si="17"/>
        <v>4</v>
      </c>
      <c r="F211" s="85">
        <v>0</v>
      </c>
      <c r="G211" s="47">
        <f t="shared" si="15"/>
        <v>0</v>
      </c>
      <c r="H211" s="86">
        <v>4</v>
      </c>
      <c r="I211" s="20">
        <v>35</v>
      </c>
      <c r="J211" s="80">
        <f t="shared" si="16"/>
        <v>140</v>
      </c>
      <c r="K211" s="17" t="s">
        <v>16</v>
      </c>
      <c r="L211" s="18">
        <v>0</v>
      </c>
      <c r="M211" s="23">
        <f t="shared" si="18"/>
        <v>140</v>
      </c>
    </row>
    <row r="212" spans="1:13" ht="25.5" x14ac:dyDescent="0.55000000000000004">
      <c r="A212" s="10">
        <v>208</v>
      </c>
      <c r="B212" s="19" t="s">
        <v>245</v>
      </c>
      <c r="C212" s="79">
        <f>+'2'!G212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+'2'!G217</f>
        <v>19</v>
      </c>
      <c r="D217" s="85">
        <v>0</v>
      </c>
      <c r="E217" s="47">
        <f t="shared" si="17"/>
        <v>19</v>
      </c>
      <c r="F217" s="85">
        <v>0</v>
      </c>
      <c r="G217" s="47">
        <f t="shared" si="15"/>
        <v>16</v>
      </c>
      <c r="H217" s="86">
        <v>3</v>
      </c>
      <c r="I217" s="20">
        <v>25</v>
      </c>
      <c r="J217" s="80">
        <f t="shared" si="16"/>
        <v>75</v>
      </c>
      <c r="K217" s="17" t="s">
        <v>16</v>
      </c>
      <c r="L217" s="18">
        <v>0</v>
      </c>
      <c r="M217" s="23">
        <f t="shared" si="18"/>
        <v>75</v>
      </c>
    </row>
    <row r="218" spans="1:13" ht="25.5" x14ac:dyDescent="0.55000000000000004">
      <c r="A218" s="10">
        <v>214</v>
      </c>
      <c r="B218" s="19" t="s">
        <v>272</v>
      </c>
      <c r="C218" s="79">
        <f>+'2'!G218</f>
        <v>15</v>
      </c>
      <c r="D218" s="85">
        <v>0</v>
      </c>
      <c r="E218" s="47">
        <f t="shared" si="17"/>
        <v>15</v>
      </c>
      <c r="F218" s="85">
        <v>0</v>
      </c>
      <c r="G218" s="47">
        <f t="shared" si="15"/>
        <v>14</v>
      </c>
      <c r="H218" s="86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9" t="s">
        <v>273</v>
      </c>
      <c r="C219" s="79">
        <f>+'2'!G219</f>
        <v>5</v>
      </c>
      <c r="D219" s="85">
        <v>0</v>
      </c>
      <c r="E219" s="47">
        <f t="shared" si="17"/>
        <v>5</v>
      </c>
      <c r="F219" s="85">
        <v>0</v>
      </c>
      <c r="G219" s="47">
        <f t="shared" si="15"/>
        <v>0</v>
      </c>
      <c r="H219" s="86">
        <v>5</v>
      </c>
      <c r="I219" s="20">
        <v>25</v>
      </c>
      <c r="J219" s="80">
        <f t="shared" si="16"/>
        <v>125</v>
      </c>
      <c r="K219" s="17" t="s">
        <v>300</v>
      </c>
      <c r="L219" s="18">
        <v>25</v>
      </c>
      <c r="M219" s="23">
        <f t="shared" si="18"/>
        <v>100</v>
      </c>
    </row>
    <row r="220" spans="1:13" ht="25.5" x14ac:dyDescent="0.55000000000000004">
      <c r="A220" s="10">
        <v>216</v>
      </c>
      <c r="B220" s="19" t="s">
        <v>277</v>
      </c>
      <c r="C220" s="79">
        <f>+'2'!G220</f>
        <v>2</v>
      </c>
      <c r="D220" s="85">
        <v>0</v>
      </c>
      <c r="E220" s="47">
        <f t="shared" si="17"/>
        <v>2</v>
      </c>
      <c r="F220" s="85">
        <v>0</v>
      </c>
      <c r="G220" s="47">
        <f t="shared" si="15"/>
        <v>0</v>
      </c>
      <c r="H220" s="86">
        <v>2</v>
      </c>
      <c r="I220" s="20">
        <v>45</v>
      </c>
      <c r="J220" s="80">
        <f t="shared" si="16"/>
        <v>90</v>
      </c>
      <c r="K220" s="17" t="s">
        <v>16</v>
      </c>
      <c r="L220" s="18">
        <v>0</v>
      </c>
      <c r="M220" s="23">
        <f t="shared" si="18"/>
        <v>90</v>
      </c>
    </row>
    <row r="221" spans="1:13" ht="25.5" x14ac:dyDescent="0.55000000000000004">
      <c r="A221" s="10">
        <v>217</v>
      </c>
      <c r="B221" s="19" t="s">
        <v>301</v>
      </c>
      <c r="C221" s="79">
        <f>+'2'!G221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2315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3090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1055</v>
      </c>
      <c r="L259" s="2">
        <v>500</v>
      </c>
      <c r="M259" s="2">
        <v>205</v>
      </c>
      <c r="N259" s="2">
        <v>150</v>
      </c>
      <c r="O259" s="2">
        <v>200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775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1245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1255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10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10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66FF99"/>
  </sheetPr>
  <dimension ref="A1:Z341"/>
  <sheetViews>
    <sheetView zoomScale="115" zoomScaleNormal="115" workbookViewId="0">
      <pane xSplit="7" ySplit="4" topLeftCell="H25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+'3'!G5</f>
        <v>32</v>
      </c>
      <c r="D5" s="85">
        <v>15</v>
      </c>
      <c r="E5" s="47">
        <f t="shared" ref="E5:E125" si="0">C5+D5</f>
        <v>47</v>
      </c>
      <c r="F5" s="85">
        <v>0</v>
      </c>
      <c r="G5" s="47">
        <f>+E5-F5-H5</f>
        <v>44</v>
      </c>
      <c r="H5" s="86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102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59</v>
      </c>
      <c r="D6" s="85">
        <v>30</v>
      </c>
      <c r="E6" s="47">
        <f t="shared" si="0"/>
        <v>89</v>
      </c>
      <c r="F6" s="85">
        <v>0</v>
      </c>
      <c r="G6" s="47">
        <f t="shared" ref="G6:G100" si="4">+E6-F6-H6</f>
        <v>89</v>
      </c>
      <c r="H6" s="86"/>
      <c r="I6" s="15">
        <v>100</v>
      </c>
      <c r="J6" s="80">
        <f t="shared" ref="J6:J100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3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2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0</v>
      </c>
      <c r="D14" s="85">
        <v>5</v>
      </c>
      <c r="E14" s="47">
        <f t="shared" si="0"/>
        <v>5</v>
      </c>
      <c r="F14" s="85">
        <v>0</v>
      </c>
      <c r="G14" s="47">
        <f t="shared" si="4"/>
        <v>3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102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0</v>
      </c>
      <c r="D15" s="85">
        <v>5</v>
      </c>
      <c r="E15" s="47">
        <f t="shared" si="0"/>
        <v>5</v>
      </c>
      <c r="F15" s="85">
        <v>0</v>
      </c>
      <c r="G15" s="47">
        <f t="shared" si="4"/>
        <v>5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5</v>
      </c>
      <c r="D17" s="85">
        <v>5</v>
      </c>
      <c r="E17" s="47">
        <f t="shared" si="0"/>
        <v>10</v>
      </c>
      <c r="F17" s="85">
        <v>0</v>
      </c>
      <c r="G17" s="47">
        <f t="shared" si="4"/>
        <v>10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+'3'!G19</f>
        <v>1</v>
      </c>
      <c r="D19" s="85">
        <v>0</v>
      </c>
      <c r="E19" s="47">
        <f t="shared" si="0"/>
        <v>1</v>
      </c>
      <c r="F19" s="85">
        <v>0</v>
      </c>
      <c r="G19" s="47">
        <f t="shared" si="4"/>
        <v>1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4</v>
      </c>
      <c r="D23" s="85">
        <v>15</v>
      </c>
      <c r="E23" s="47">
        <f t="shared" si="0"/>
        <v>19</v>
      </c>
      <c r="F23" s="85">
        <v>0</v>
      </c>
      <c r="G23" s="47">
        <f t="shared" si="4"/>
        <v>18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1</v>
      </c>
      <c r="D24" s="85">
        <v>2</v>
      </c>
      <c r="E24" s="47">
        <f t="shared" si="0"/>
        <v>3</v>
      </c>
      <c r="F24" s="85">
        <v>0</v>
      </c>
      <c r="G24" s="47">
        <f t="shared" si="4"/>
        <v>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2</v>
      </c>
      <c r="D25" s="85">
        <v>2</v>
      </c>
      <c r="E25" s="47">
        <f t="shared" si="0"/>
        <v>4</v>
      </c>
      <c r="F25" s="85">
        <v>0</v>
      </c>
      <c r="G25" s="47">
        <f t="shared" si="4"/>
        <v>4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3</v>
      </c>
      <c r="D32" s="85">
        <v>2</v>
      </c>
      <c r="E32" s="47">
        <f t="shared" si="0"/>
        <v>5</v>
      </c>
      <c r="F32" s="85">
        <v>0</v>
      </c>
      <c r="G32" s="47">
        <f t="shared" si="4"/>
        <v>5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3</v>
      </c>
      <c r="D33" s="85">
        <v>2</v>
      </c>
      <c r="E33" s="47">
        <f t="shared" si="0"/>
        <v>5</v>
      </c>
      <c r="F33" s="85">
        <v>0</v>
      </c>
      <c r="G33" s="47">
        <f t="shared" si="4"/>
        <v>5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13</v>
      </c>
      <c r="D37" s="85">
        <v>30</v>
      </c>
      <c r="E37" s="47">
        <f t="shared" si="0"/>
        <v>43</v>
      </c>
      <c r="F37" s="85">
        <v>0</v>
      </c>
      <c r="G37" s="47">
        <f t="shared" si="4"/>
        <v>42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102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7</v>
      </c>
      <c r="D38" s="85">
        <v>10</v>
      </c>
      <c r="E38" s="47">
        <f t="shared" si="0"/>
        <v>17</v>
      </c>
      <c r="F38" s="85">
        <v>0</v>
      </c>
      <c r="G38" s="47">
        <f t="shared" si="4"/>
        <v>16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102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9</v>
      </c>
      <c r="D39" s="85">
        <v>5</v>
      </c>
      <c r="E39" s="47">
        <f t="shared" si="0"/>
        <v>14</v>
      </c>
      <c r="F39" s="85">
        <v>0</v>
      </c>
      <c r="G39" s="47">
        <f t="shared" si="4"/>
        <v>14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17</v>
      </c>
      <c r="D40" s="85">
        <v>5</v>
      </c>
      <c r="E40" s="47">
        <f t="shared" si="0"/>
        <v>22</v>
      </c>
      <c r="F40" s="85">
        <v>0</v>
      </c>
      <c r="G40" s="47">
        <f t="shared" si="4"/>
        <v>17</v>
      </c>
      <c r="H40" s="86">
        <v>5</v>
      </c>
      <c r="I40" s="15">
        <v>50</v>
      </c>
      <c r="J40" s="80">
        <f t="shared" si="5"/>
        <v>250</v>
      </c>
      <c r="K40" s="17" t="s">
        <v>278</v>
      </c>
      <c r="L40" s="18">
        <v>125</v>
      </c>
      <c r="M40" s="102">
        <f t="shared" si="6"/>
        <v>125</v>
      </c>
    </row>
    <row r="41" spans="1:13" ht="25.5" x14ac:dyDescent="0.55000000000000004">
      <c r="A41" s="10">
        <v>37</v>
      </c>
      <c r="B41" s="19" t="s">
        <v>52</v>
      </c>
      <c r="C41" s="79">
        <f>+'3'!G41</f>
        <v>10</v>
      </c>
      <c r="D41" s="85">
        <v>5</v>
      </c>
      <c r="E41" s="47">
        <f t="shared" si="0"/>
        <v>15</v>
      </c>
      <c r="F41" s="85">
        <v>0</v>
      </c>
      <c r="G41" s="47">
        <f t="shared" si="4"/>
        <v>15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5</v>
      </c>
      <c r="D43" s="85">
        <v>3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2</v>
      </c>
      <c r="D44" s="85">
        <v>5</v>
      </c>
      <c r="E44" s="47">
        <f t="shared" si="0"/>
        <v>7</v>
      </c>
      <c r="F44" s="85">
        <v>0</v>
      </c>
      <c r="G44" s="47">
        <f t="shared" si="4"/>
        <v>7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+'3'!G46</f>
        <v>6</v>
      </c>
      <c r="D46" s="85">
        <v>10</v>
      </c>
      <c r="E46" s="47">
        <f t="shared" si="0"/>
        <v>16</v>
      </c>
      <c r="F46" s="85">
        <v>0</v>
      </c>
      <c r="G46" s="47">
        <f t="shared" si="4"/>
        <v>16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9</v>
      </c>
      <c r="D47" s="85">
        <v>10</v>
      </c>
      <c r="E47" s="47">
        <f t="shared" si="0"/>
        <v>19</v>
      </c>
      <c r="F47" s="85">
        <v>0</v>
      </c>
      <c r="G47" s="47">
        <f t="shared" si="4"/>
        <v>18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102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1</v>
      </c>
      <c r="D48" s="85">
        <v>5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1</v>
      </c>
      <c r="H50" s="86">
        <v>1</v>
      </c>
      <c r="I50" s="15">
        <v>120</v>
      </c>
      <c r="J50" s="80">
        <f t="shared" si="5"/>
        <v>120</v>
      </c>
      <c r="K50" s="17" t="s">
        <v>16</v>
      </c>
      <c r="L50" s="18">
        <v>0</v>
      </c>
      <c r="M50" s="102">
        <f t="shared" si="6"/>
        <v>120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2</v>
      </c>
      <c r="D51" s="85">
        <v>2</v>
      </c>
      <c r="E51" s="47">
        <f t="shared" si="0"/>
        <v>4</v>
      </c>
      <c r="F51" s="85">
        <v>2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281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5">
        <v>5</v>
      </c>
      <c r="E61" s="47">
        <f t="shared" si="0"/>
        <v>5</v>
      </c>
      <c r="F61" s="85">
        <v>0</v>
      </c>
      <c r="G61" s="47">
        <f t="shared" si="4"/>
        <v>5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1</v>
      </c>
      <c r="D63" s="85">
        <v>5</v>
      </c>
      <c r="E63" s="47">
        <f t="shared" si="0"/>
        <v>6</v>
      </c>
      <c r="F63" s="85">
        <v>0</v>
      </c>
      <c r="G63" s="47">
        <f t="shared" si="4"/>
        <v>5</v>
      </c>
      <c r="H63" s="86">
        <v>1</v>
      </c>
      <c r="I63" s="20">
        <v>50</v>
      </c>
      <c r="J63" s="80">
        <f t="shared" si="5"/>
        <v>50</v>
      </c>
      <c r="K63" s="17" t="s">
        <v>278</v>
      </c>
      <c r="L63" s="18">
        <v>25</v>
      </c>
      <c r="M63" s="102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11</v>
      </c>
      <c r="D66" s="85">
        <v>5</v>
      </c>
      <c r="E66" s="47">
        <f t="shared" si="0"/>
        <v>16</v>
      </c>
      <c r="F66" s="85">
        <v>0</v>
      </c>
      <c r="G66" s="47">
        <f t="shared" si="4"/>
        <v>16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3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102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9</v>
      </c>
      <c r="D70" s="85">
        <v>10</v>
      </c>
      <c r="E70" s="47">
        <f t="shared" si="0"/>
        <v>19</v>
      </c>
      <c r="F70" s="85">
        <v>0</v>
      </c>
      <c r="G70" s="47">
        <f t="shared" si="4"/>
        <v>18</v>
      </c>
      <c r="H70" s="86">
        <v>1</v>
      </c>
      <c r="I70" s="20">
        <v>50</v>
      </c>
      <c r="J70" s="80">
        <f t="shared" si="5"/>
        <v>50</v>
      </c>
      <c r="K70" s="17" t="s">
        <v>278</v>
      </c>
      <c r="L70" s="18">
        <v>25</v>
      </c>
      <c r="M70" s="23">
        <f t="shared" ref="M70:M134" si="10">SUM(J70-L70)</f>
        <v>25</v>
      </c>
    </row>
    <row r="71" spans="1:13" ht="25.5" x14ac:dyDescent="0.55000000000000004">
      <c r="A71" s="10">
        <v>67</v>
      </c>
      <c r="B71" s="19" t="s">
        <v>82</v>
      </c>
      <c r="C71" s="79">
        <f>+'3'!G71</f>
        <v>4</v>
      </c>
      <c r="D71" s="85">
        <v>5</v>
      </c>
      <c r="E71" s="47">
        <f t="shared" si="0"/>
        <v>9</v>
      </c>
      <c r="F71" s="85">
        <v>0</v>
      </c>
      <c r="G71" s="47">
        <f t="shared" si="4"/>
        <v>9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0</v>
      </c>
      <c r="D73" s="85">
        <v>3</v>
      </c>
      <c r="E73" s="47">
        <f t="shared" si="0"/>
        <v>3</v>
      </c>
      <c r="F73" s="85">
        <v>0</v>
      </c>
      <c r="G73" s="47">
        <f t="shared" si="4"/>
        <v>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0</v>
      </c>
      <c r="D74" s="85">
        <v>3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+'3'!G77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+'3'!G79</f>
        <v>0</v>
      </c>
      <c r="D79" s="85">
        <v>2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+'3'!G80</f>
        <v>8</v>
      </c>
      <c r="D80" s="85">
        <v>5</v>
      </c>
      <c r="E80" s="47">
        <f t="shared" si="0"/>
        <v>13</v>
      </c>
      <c r="F80" s="85">
        <v>0</v>
      </c>
      <c r="G80" s="47">
        <f t="shared" si="4"/>
        <v>10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5.5" x14ac:dyDescent="0.55000000000000004">
      <c r="A81" s="10">
        <v>77</v>
      </c>
      <c r="B81" s="19" t="s">
        <v>91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+'3'!G82</f>
        <v>0</v>
      </c>
      <c r="D82" s="85">
        <v>3</v>
      </c>
      <c r="E82" s="47">
        <f t="shared" si="0"/>
        <v>3</v>
      </c>
      <c r="F82" s="85">
        <v>0</v>
      </c>
      <c r="G82" s="47">
        <f t="shared" si="4"/>
        <v>1</v>
      </c>
      <c r="H82" s="86">
        <v>2</v>
      </c>
      <c r="I82" s="20">
        <v>55</v>
      </c>
      <c r="J82" s="80">
        <f t="shared" si="5"/>
        <v>110</v>
      </c>
      <c r="K82" s="17" t="s">
        <v>16</v>
      </c>
      <c r="L82" s="18">
        <v>0</v>
      </c>
      <c r="M82" s="23">
        <f t="shared" si="10"/>
        <v>110</v>
      </c>
    </row>
    <row r="83" spans="1:13" ht="25.5" x14ac:dyDescent="0.55000000000000004">
      <c r="A83" s="10">
        <v>79</v>
      </c>
      <c r="B83" s="19" t="s">
        <v>93</v>
      </c>
      <c r="C83" s="79">
        <f>+'3'!G83</f>
        <v>1</v>
      </c>
      <c r="D83" s="85">
        <v>3</v>
      </c>
      <c r="E83" s="47">
        <f t="shared" si="0"/>
        <v>4</v>
      </c>
      <c r="F83" s="85">
        <v>0</v>
      </c>
      <c r="G83" s="47">
        <f t="shared" si="4"/>
        <v>4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+'3'!G86</f>
        <v>2</v>
      </c>
      <c r="D86" s="85">
        <v>5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+'3'!G87</f>
        <v>11</v>
      </c>
      <c r="D87" s="85">
        <v>5</v>
      </c>
      <c r="E87" s="47">
        <f t="shared" si="0"/>
        <v>16</v>
      </c>
      <c r="F87" s="85">
        <v>0</v>
      </c>
      <c r="G87" s="47">
        <f t="shared" si="4"/>
        <v>16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+'3'!G88</f>
        <v>7</v>
      </c>
      <c r="D88" s="85">
        <v>0</v>
      </c>
      <c r="E88" s="47">
        <f t="shared" si="0"/>
        <v>7</v>
      </c>
      <c r="F88" s="85">
        <v>0</v>
      </c>
      <c r="G88" s="47">
        <f t="shared" si="4"/>
        <v>6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+'3'!G89</f>
        <v>18</v>
      </c>
      <c r="D89" s="85">
        <v>5</v>
      </c>
      <c r="E89" s="47">
        <f t="shared" si="0"/>
        <v>23</v>
      </c>
      <c r="F89" s="85">
        <v>0</v>
      </c>
      <c r="G89" s="47">
        <f t="shared" si="4"/>
        <v>22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+'3'!G91</f>
        <v>2</v>
      </c>
      <c r="D91" s="85">
        <v>3</v>
      </c>
      <c r="E91" s="47">
        <f t="shared" si="0"/>
        <v>5</v>
      </c>
      <c r="F91" s="85">
        <v>0</v>
      </c>
      <c r="G91" s="47">
        <f t="shared" si="4"/>
        <v>5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+'3'!G102</f>
        <v>14</v>
      </c>
      <c r="D102" s="85">
        <v>0</v>
      </c>
      <c r="E102" s="47">
        <f t="shared" si="0"/>
        <v>14</v>
      </c>
      <c r="F102" s="85">
        <v>0</v>
      </c>
      <c r="G102" s="47">
        <f t="shared" si="11"/>
        <v>13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+'3'!G103</f>
        <v>0</v>
      </c>
      <c r="D103" s="85">
        <v>5</v>
      </c>
      <c r="E103" s="47">
        <f t="shared" si="0"/>
        <v>5</v>
      </c>
      <c r="F103" s="85">
        <v>0</v>
      </c>
      <c r="G103" s="47">
        <f t="shared" si="11"/>
        <v>1</v>
      </c>
      <c r="H103" s="86">
        <v>4</v>
      </c>
      <c r="I103" s="20">
        <v>50</v>
      </c>
      <c r="J103" s="80">
        <f t="shared" si="12"/>
        <v>200</v>
      </c>
      <c r="K103" s="17" t="s">
        <v>16</v>
      </c>
      <c r="L103" s="18">
        <v>0</v>
      </c>
      <c r="M103" s="23">
        <f t="shared" si="10"/>
        <v>200</v>
      </c>
    </row>
    <row r="104" spans="1:13" ht="25.5" x14ac:dyDescent="0.55000000000000004">
      <c r="A104" s="10">
        <v>100</v>
      </c>
      <c r="B104" s="19" t="s">
        <v>114</v>
      </c>
      <c r="C104" s="79">
        <f>+'3'!G104</f>
        <v>3</v>
      </c>
      <c r="D104" s="85">
        <v>0</v>
      </c>
      <c r="E104" s="47">
        <f t="shared" si="0"/>
        <v>3</v>
      </c>
      <c r="F104" s="85">
        <v>0</v>
      </c>
      <c r="G104" s="47">
        <f t="shared" si="11"/>
        <v>3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+'3'!G126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+'3'!G128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+'3'!G161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+'3'!G162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+'3'!G163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+'3'!G169</f>
        <v>65</v>
      </c>
      <c r="D169" s="85">
        <v>0</v>
      </c>
      <c r="E169" s="47">
        <f t="shared" si="13"/>
        <v>65</v>
      </c>
      <c r="F169" s="85">
        <v>0</v>
      </c>
      <c r="G169" s="47">
        <f t="shared" si="15"/>
        <v>65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+'3'!G171</f>
        <v>11</v>
      </c>
      <c r="D171" s="85">
        <v>0</v>
      </c>
      <c r="E171" s="47">
        <f t="shared" si="13"/>
        <v>11</v>
      </c>
      <c r="F171" s="85">
        <v>0</v>
      </c>
      <c r="G171" s="47">
        <f t="shared" si="15"/>
        <v>11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+'3'!G177</f>
        <v>0</v>
      </c>
      <c r="D177" s="85">
        <v>5</v>
      </c>
      <c r="E177" s="47">
        <f t="shared" si="13"/>
        <v>5</v>
      </c>
      <c r="F177" s="85">
        <v>0</v>
      </c>
      <c r="G177" s="47">
        <f t="shared" si="15"/>
        <v>4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+'3'!G179</f>
        <v>0</v>
      </c>
      <c r="D179" s="85">
        <v>7</v>
      </c>
      <c r="E179" s="47">
        <f t="shared" si="13"/>
        <v>7</v>
      </c>
      <c r="F179" s="85">
        <v>0</v>
      </c>
      <c r="G179" s="47">
        <f t="shared" si="15"/>
        <v>7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+'3'!G209</f>
        <v>0</v>
      </c>
      <c r="D209" s="85">
        <v>2</v>
      </c>
      <c r="E209" s="47">
        <f t="shared" si="17"/>
        <v>2</v>
      </c>
      <c r="F209" s="85">
        <v>0</v>
      </c>
      <c r="G209" s="47">
        <f t="shared" si="15"/>
        <v>2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+'3'!G211</f>
        <v>0</v>
      </c>
      <c r="D211" s="85">
        <v>10</v>
      </c>
      <c r="E211" s="47">
        <f t="shared" si="17"/>
        <v>10</v>
      </c>
      <c r="F211" s="85">
        <v>0</v>
      </c>
      <c r="G211" s="47">
        <f t="shared" si="15"/>
        <v>10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+'3'!G212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+'3'!G217</f>
        <v>16</v>
      </c>
      <c r="D217" s="85">
        <v>10</v>
      </c>
      <c r="E217" s="47">
        <f t="shared" si="17"/>
        <v>26</v>
      </c>
      <c r="F217" s="85">
        <v>0</v>
      </c>
      <c r="G217" s="47">
        <f t="shared" si="15"/>
        <v>25</v>
      </c>
      <c r="H217" s="86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9" t="s">
        <v>272</v>
      </c>
      <c r="C218" s="79">
        <f>+'3'!G218</f>
        <v>14</v>
      </c>
      <c r="D218" s="85">
        <v>10</v>
      </c>
      <c r="E218" s="47">
        <f t="shared" si="17"/>
        <v>24</v>
      </c>
      <c r="F218" s="85">
        <v>2</v>
      </c>
      <c r="G218" s="47">
        <f t="shared" si="15"/>
        <v>22</v>
      </c>
      <c r="H218" s="86"/>
      <c r="I218" s="20">
        <v>25</v>
      </c>
      <c r="J218" s="80">
        <f t="shared" si="16"/>
        <v>0</v>
      </c>
      <c r="K218" s="17" t="s">
        <v>281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+'3'!G220</f>
        <v>0</v>
      </c>
      <c r="D220" s="85">
        <v>5</v>
      </c>
      <c r="E220" s="47">
        <f t="shared" si="17"/>
        <v>5</v>
      </c>
      <c r="F220" s="85">
        <v>0</v>
      </c>
      <c r="G220" s="47">
        <f t="shared" si="15"/>
        <v>5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302</v>
      </c>
      <c r="L221" s="18">
        <v>25</v>
      </c>
      <c r="M221" s="23">
        <f t="shared" si="18"/>
        <v>-25</v>
      </c>
    </row>
    <row r="222" spans="1:13" ht="25.5" x14ac:dyDescent="0.55000000000000004">
      <c r="A222" s="10">
        <v>218</v>
      </c>
      <c r="B222" s="19" t="s">
        <v>305</v>
      </c>
      <c r="C222" s="79">
        <f>+'3'!G222</f>
        <v>0</v>
      </c>
      <c r="D222" s="85">
        <v>40</v>
      </c>
      <c r="E222" s="47">
        <f t="shared" si="17"/>
        <v>40</v>
      </c>
      <c r="F222" s="85">
        <v>0</v>
      </c>
      <c r="G222" s="47">
        <f t="shared" si="15"/>
        <v>25</v>
      </c>
      <c r="H222" s="86">
        <v>15</v>
      </c>
      <c r="I222" s="20">
        <v>35</v>
      </c>
      <c r="J222" s="80">
        <f t="shared" si="16"/>
        <v>525</v>
      </c>
      <c r="K222" s="17" t="s">
        <v>302</v>
      </c>
      <c r="L222" s="18">
        <v>25</v>
      </c>
      <c r="M222" s="23">
        <f t="shared" si="18"/>
        <v>500</v>
      </c>
    </row>
    <row r="223" spans="1:13" ht="25.5" x14ac:dyDescent="0.55000000000000004">
      <c r="A223" s="10">
        <v>219</v>
      </c>
      <c r="B223" s="19" t="s">
        <v>310</v>
      </c>
      <c r="C223" s="79">
        <f>+'3'!G223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2575</v>
      </c>
    </row>
    <row r="258" spans="1:16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865</v>
      </c>
      <c r="L259" s="2">
        <v>300</v>
      </c>
      <c r="M259" s="2">
        <v>150</v>
      </c>
      <c r="N259" s="2">
        <v>80</v>
      </c>
      <c r="O259" s="2">
        <v>220</v>
      </c>
      <c r="P259" s="2">
        <v>115</v>
      </c>
    </row>
    <row r="260" spans="1:16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225</v>
      </c>
    </row>
    <row r="263" spans="1:16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1470</v>
      </c>
    </row>
    <row r="264" spans="1:16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1495</v>
      </c>
    </row>
    <row r="265" spans="1:16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25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25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66FF99"/>
  </sheetPr>
  <dimension ref="A1:Z341"/>
  <sheetViews>
    <sheetView zoomScale="130" zoomScaleNormal="130" workbookViewId="0">
      <pane xSplit="7" ySplit="4" topLeftCell="H7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+'4'!G5</f>
        <v>44</v>
      </c>
      <c r="D5" s="85">
        <v>0</v>
      </c>
      <c r="E5" s="47">
        <f t="shared" ref="E5:E125" si="0">C5+D5</f>
        <v>44</v>
      </c>
      <c r="F5" s="85">
        <v>0</v>
      </c>
      <c r="G5" s="47">
        <f>+E5-F5-H5</f>
        <v>39</v>
      </c>
      <c r="H5" s="86">
        <v>5</v>
      </c>
      <c r="I5" s="15">
        <v>50</v>
      </c>
      <c r="J5" s="80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89</v>
      </c>
      <c r="D6" s="85">
        <v>0</v>
      </c>
      <c r="E6" s="47">
        <f t="shared" si="0"/>
        <v>89</v>
      </c>
      <c r="F6" s="85">
        <v>0</v>
      </c>
      <c r="G6" s="47">
        <f t="shared" ref="G6:G100" si="4">+E6-F6-H6</f>
        <v>86</v>
      </c>
      <c r="H6" s="86">
        <v>3</v>
      </c>
      <c r="I6" s="15">
        <v>100</v>
      </c>
      <c r="J6" s="80">
        <f t="shared" ref="J6:J100" si="5">+I6*H6</f>
        <v>300</v>
      </c>
      <c r="K6" s="17" t="s">
        <v>278</v>
      </c>
      <c r="L6" s="18">
        <v>50</v>
      </c>
      <c r="M6" s="23">
        <f t="shared" ref="M6:M69" si="6">SUM(J6-L6)</f>
        <v>250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0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2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5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10</v>
      </c>
      <c r="D17" s="85">
        <v>0</v>
      </c>
      <c r="E17" s="47">
        <f t="shared" si="0"/>
        <v>10</v>
      </c>
      <c r="F17" s="85">
        <v>0</v>
      </c>
      <c r="G17" s="101">
        <f t="shared" si="4"/>
        <v>7</v>
      </c>
      <c r="H17" s="86">
        <v>3</v>
      </c>
      <c r="I17" s="15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+'4'!G19</f>
        <v>1</v>
      </c>
      <c r="D19" s="85">
        <v>0</v>
      </c>
      <c r="E19" s="47">
        <f t="shared" si="0"/>
        <v>1</v>
      </c>
      <c r="F19" s="85">
        <v>0</v>
      </c>
      <c r="G19" s="47">
        <f t="shared" si="4"/>
        <v>0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18</v>
      </c>
      <c r="D23" s="85">
        <v>0</v>
      </c>
      <c r="E23" s="47">
        <f t="shared" si="0"/>
        <v>18</v>
      </c>
      <c r="F23" s="85">
        <v>0</v>
      </c>
      <c r="G23" s="47">
        <f t="shared" si="4"/>
        <v>12</v>
      </c>
      <c r="H23" s="86">
        <v>6</v>
      </c>
      <c r="I23" s="15">
        <v>100</v>
      </c>
      <c r="J23" s="80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3</v>
      </c>
      <c r="D24" s="85">
        <v>0</v>
      </c>
      <c r="E24" s="47">
        <f t="shared" si="0"/>
        <v>3</v>
      </c>
      <c r="F24" s="85">
        <v>0</v>
      </c>
      <c r="G24" s="47">
        <f t="shared" si="4"/>
        <v>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4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5</v>
      </c>
      <c r="D32" s="85">
        <v>0</v>
      </c>
      <c r="E32" s="47">
        <f t="shared" si="0"/>
        <v>5</v>
      </c>
      <c r="F32" s="85">
        <v>0</v>
      </c>
      <c r="G32" s="47">
        <f t="shared" si="4"/>
        <v>5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5</v>
      </c>
      <c r="D33" s="85">
        <v>0</v>
      </c>
      <c r="E33" s="47">
        <f t="shared" si="0"/>
        <v>5</v>
      </c>
      <c r="F33" s="85">
        <v>0</v>
      </c>
      <c r="G33" s="47">
        <f t="shared" si="4"/>
        <v>5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42</v>
      </c>
      <c r="D37" s="85">
        <v>0</v>
      </c>
      <c r="E37" s="47">
        <f t="shared" si="0"/>
        <v>42</v>
      </c>
      <c r="F37" s="85">
        <v>0</v>
      </c>
      <c r="G37" s="47">
        <f t="shared" si="4"/>
        <v>29</v>
      </c>
      <c r="H37" s="86">
        <v>13</v>
      </c>
      <c r="I37" s="15">
        <v>100</v>
      </c>
      <c r="J37" s="80">
        <f t="shared" si="5"/>
        <v>1300</v>
      </c>
      <c r="K37" s="17" t="s">
        <v>16</v>
      </c>
      <c r="L37" s="18">
        <v>0</v>
      </c>
      <c r="M37" s="23">
        <f t="shared" si="6"/>
        <v>1300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16</v>
      </c>
      <c r="D38" s="85">
        <v>0</v>
      </c>
      <c r="E38" s="47">
        <f t="shared" si="0"/>
        <v>16</v>
      </c>
      <c r="F38" s="85">
        <v>0</v>
      </c>
      <c r="G38" s="47">
        <f t="shared" si="4"/>
        <v>16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+'4'!G39</f>
        <v>14</v>
      </c>
      <c r="D39" s="85">
        <v>0</v>
      </c>
      <c r="E39" s="47">
        <f t="shared" si="0"/>
        <v>14</v>
      </c>
      <c r="F39" s="85">
        <v>0</v>
      </c>
      <c r="G39" s="47">
        <f t="shared" si="4"/>
        <v>9</v>
      </c>
      <c r="H39" s="86">
        <v>5</v>
      </c>
      <c r="I39" s="15">
        <v>50</v>
      </c>
      <c r="J39" s="80">
        <f t="shared" si="5"/>
        <v>250</v>
      </c>
      <c r="K39" s="17" t="s">
        <v>278</v>
      </c>
      <c r="L39" s="18">
        <v>125</v>
      </c>
      <c r="M39" s="23">
        <f t="shared" si="6"/>
        <v>125</v>
      </c>
    </row>
    <row r="40" spans="1:13" ht="25.5" x14ac:dyDescent="0.55000000000000004">
      <c r="A40" s="10">
        <v>36</v>
      </c>
      <c r="B40" s="19" t="s">
        <v>51</v>
      </c>
      <c r="C40" s="79">
        <f>+'4'!G40</f>
        <v>17</v>
      </c>
      <c r="D40" s="85">
        <v>0</v>
      </c>
      <c r="E40" s="47">
        <f t="shared" si="0"/>
        <v>17</v>
      </c>
      <c r="F40" s="85">
        <v>0</v>
      </c>
      <c r="G40" s="47">
        <f t="shared" si="4"/>
        <v>12</v>
      </c>
      <c r="H40" s="86">
        <v>5</v>
      </c>
      <c r="I40" s="15">
        <v>50</v>
      </c>
      <c r="J40" s="80">
        <f t="shared" si="5"/>
        <v>250</v>
      </c>
      <c r="K40" s="17" t="s">
        <v>278</v>
      </c>
      <c r="L40" s="18">
        <v>125</v>
      </c>
      <c r="M40" s="23">
        <f t="shared" si="6"/>
        <v>125</v>
      </c>
    </row>
    <row r="41" spans="1:13" ht="25.5" x14ac:dyDescent="0.55000000000000004">
      <c r="A41" s="10">
        <v>37</v>
      </c>
      <c r="B41" s="19" t="s">
        <v>52</v>
      </c>
      <c r="C41" s="79">
        <f>+'4'!G41</f>
        <v>15</v>
      </c>
      <c r="D41" s="85">
        <v>0</v>
      </c>
      <c r="E41" s="47">
        <f t="shared" si="0"/>
        <v>15</v>
      </c>
      <c r="F41" s="85">
        <v>0</v>
      </c>
      <c r="G41" s="47">
        <f t="shared" si="4"/>
        <v>15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6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5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+'4'!G46</f>
        <v>16</v>
      </c>
      <c r="D46" s="85">
        <v>0</v>
      </c>
      <c r="E46" s="47">
        <f t="shared" si="0"/>
        <v>16</v>
      </c>
      <c r="F46" s="85">
        <v>0</v>
      </c>
      <c r="G46" s="47">
        <f t="shared" si="4"/>
        <v>13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18</v>
      </c>
      <c r="D47" s="85">
        <v>0</v>
      </c>
      <c r="E47" s="47">
        <f t="shared" si="0"/>
        <v>18</v>
      </c>
      <c r="F47" s="85">
        <v>0</v>
      </c>
      <c r="G47" s="47">
        <f t="shared" si="4"/>
        <v>15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1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0</v>
      </c>
      <c r="M51" s="23">
        <f t="shared" si="6"/>
        <v>120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5</v>
      </c>
      <c r="D61" s="85">
        <v>0</v>
      </c>
      <c r="E61" s="47">
        <f t="shared" si="0"/>
        <v>5</v>
      </c>
      <c r="F61" s="85">
        <v>0</v>
      </c>
      <c r="G61" s="47">
        <f t="shared" si="4"/>
        <v>5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16</v>
      </c>
      <c r="D66" s="85">
        <v>0</v>
      </c>
      <c r="E66" s="47">
        <f t="shared" si="0"/>
        <v>16</v>
      </c>
      <c r="F66" s="85">
        <v>0</v>
      </c>
      <c r="G66" s="47">
        <f t="shared" si="4"/>
        <v>14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0</v>
      </c>
      <c r="H67" s="86">
        <v>3</v>
      </c>
      <c r="I67" s="15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18</v>
      </c>
      <c r="D70" s="85">
        <v>0</v>
      </c>
      <c r="E70" s="47">
        <f t="shared" si="0"/>
        <v>18</v>
      </c>
      <c r="F70" s="85">
        <v>0</v>
      </c>
      <c r="G70" s="47">
        <f t="shared" si="4"/>
        <v>18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9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2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+'4'!G77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+'4'!G79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+'4'!G80</f>
        <v>10</v>
      </c>
      <c r="D80" s="85">
        <v>0</v>
      </c>
      <c r="E80" s="47">
        <f t="shared" si="0"/>
        <v>10</v>
      </c>
      <c r="F80" s="85">
        <v>0</v>
      </c>
      <c r="G80" s="101">
        <f t="shared" si="4"/>
        <v>7</v>
      </c>
      <c r="H80" s="86">
        <v>3</v>
      </c>
      <c r="I80" s="22">
        <v>50</v>
      </c>
      <c r="J80" s="80">
        <f t="shared" si="5"/>
        <v>150</v>
      </c>
      <c r="K80" s="17" t="s">
        <v>304</v>
      </c>
      <c r="L80" s="18">
        <v>50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+'4'!G82</f>
        <v>1</v>
      </c>
      <c r="D82" s="85">
        <v>0</v>
      </c>
      <c r="E82" s="47">
        <f t="shared" si="0"/>
        <v>1</v>
      </c>
      <c r="F82" s="85">
        <v>0</v>
      </c>
      <c r="G82" s="47">
        <f t="shared" si="4"/>
        <v>1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+'4'!G83</f>
        <v>4</v>
      </c>
      <c r="D83" s="85">
        <v>0</v>
      </c>
      <c r="E83" s="47">
        <f t="shared" si="0"/>
        <v>4</v>
      </c>
      <c r="F83" s="85">
        <v>0</v>
      </c>
      <c r="G83" s="47">
        <f t="shared" si="4"/>
        <v>3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23">
        <f t="shared" si="10"/>
        <v>55</v>
      </c>
    </row>
    <row r="84" spans="1:13" ht="25.5" x14ac:dyDescent="0.55000000000000004">
      <c r="A84" s="10">
        <v>80</v>
      </c>
      <c r="B84" s="19" t="s">
        <v>94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+'4'!G86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6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+'4'!G87</f>
        <v>16</v>
      </c>
      <c r="D87" s="85">
        <v>0</v>
      </c>
      <c r="E87" s="47">
        <f t="shared" si="0"/>
        <v>16</v>
      </c>
      <c r="F87" s="85">
        <v>0</v>
      </c>
      <c r="G87" s="47">
        <f t="shared" si="4"/>
        <v>15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+'4'!G88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5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+'4'!G89</f>
        <v>22</v>
      </c>
      <c r="D89" s="85">
        <v>0</v>
      </c>
      <c r="E89" s="47">
        <f t="shared" si="0"/>
        <v>22</v>
      </c>
      <c r="F89" s="85">
        <v>0</v>
      </c>
      <c r="G89" s="47">
        <f t="shared" si="4"/>
        <v>22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+'4'!G91</f>
        <v>5</v>
      </c>
      <c r="D91" s="85">
        <v>0</v>
      </c>
      <c r="E91" s="47">
        <f t="shared" si="0"/>
        <v>5</v>
      </c>
      <c r="F91" s="85">
        <v>0</v>
      </c>
      <c r="G91" s="47">
        <f t="shared" si="4"/>
        <v>5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+'4'!G102</f>
        <v>13</v>
      </c>
      <c r="D102" s="85">
        <v>0</v>
      </c>
      <c r="E102" s="47">
        <f t="shared" si="0"/>
        <v>13</v>
      </c>
      <c r="F102" s="85">
        <v>0</v>
      </c>
      <c r="G102" s="47">
        <f t="shared" si="11"/>
        <v>12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+'4'!G103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+'4'!G104</f>
        <v>3</v>
      </c>
      <c r="D104" s="85">
        <v>0</v>
      </c>
      <c r="E104" s="47">
        <f t="shared" si="0"/>
        <v>3</v>
      </c>
      <c r="F104" s="85">
        <v>0</v>
      </c>
      <c r="G104" s="47">
        <f t="shared" si="11"/>
        <v>2</v>
      </c>
      <c r="H104" s="86">
        <v>1</v>
      </c>
      <c r="I104" s="20">
        <v>100</v>
      </c>
      <c r="J104" s="80">
        <f t="shared" si="12"/>
        <v>100</v>
      </c>
      <c r="K104" s="17" t="s">
        <v>16</v>
      </c>
      <c r="L104" s="18">
        <v>0</v>
      </c>
      <c r="M104" s="23">
        <f t="shared" si="10"/>
        <v>100</v>
      </c>
    </row>
    <row r="105" spans="1:13" ht="25.5" x14ac:dyDescent="0.55000000000000004">
      <c r="A105" s="10">
        <v>101</v>
      </c>
      <c r="B105" s="19" t="s">
        <v>115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+'4'!G126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+'4'!G128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+'4'!G161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+'4'!G162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+'4'!G163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+'4'!G169</f>
        <v>65</v>
      </c>
      <c r="D169" s="85">
        <v>0</v>
      </c>
      <c r="E169" s="47">
        <f t="shared" si="13"/>
        <v>65</v>
      </c>
      <c r="F169" s="85">
        <v>0</v>
      </c>
      <c r="G169" s="47">
        <f t="shared" si="15"/>
        <v>64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+'4'!G171</f>
        <v>11</v>
      </c>
      <c r="D171" s="85">
        <v>0</v>
      </c>
      <c r="E171" s="47">
        <f t="shared" si="13"/>
        <v>11</v>
      </c>
      <c r="F171" s="85">
        <v>0</v>
      </c>
      <c r="G171" s="47">
        <f t="shared" si="15"/>
        <v>10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+'4'!G177</f>
        <v>4</v>
      </c>
      <c r="D177" s="85">
        <v>0</v>
      </c>
      <c r="E177" s="47">
        <f t="shared" si="13"/>
        <v>4</v>
      </c>
      <c r="F177" s="85">
        <v>0</v>
      </c>
      <c r="G177" s="47">
        <f t="shared" si="15"/>
        <v>3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+'4'!G179</f>
        <v>7</v>
      </c>
      <c r="D179" s="85">
        <v>0</v>
      </c>
      <c r="E179" s="47">
        <f t="shared" si="13"/>
        <v>7</v>
      </c>
      <c r="F179" s="85">
        <v>0</v>
      </c>
      <c r="G179" s="47">
        <f t="shared" si="15"/>
        <v>7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+'4'!G189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+'4'!G190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+'4'!G209</f>
        <v>2</v>
      </c>
      <c r="D209" s="85">
        <v>0</v>
      </c>
      <c r="E209" s="47">
        <f t="shared" si="17"/>
        <v>2</v>
      </c>
      <c r="F209" s="85">
        <v>0</v>
      </c>
      <c r="G209" s="47">
        <f t="shared" si="15"/>
        <v>2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+'4'!G211</f>
        <v>10</v>
      </c>
      <c r="D211" s="85">
        <v>0</v>
      </c>
      <c r="E211" s="47">
        <f t="shared" si="17"/>
        <v>10</v>
      </c>
      <c r="F211" s="85">
        <v>0</v>
      </c>
      <c r="G211" s="47">
        <f t="shared" si="15"/>
        <v>10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+'4'!G212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+'4'!G217</f>
        <v>25</v>
      </c>
      <c r="D217" s="85">
        <v>0</v>
      </c>
      <c r="E217" s="47">
        <f t="shared" si="17"/>
        <v>25</v>
      </c>
      <c r="F217" s="85">
        <v>0</v>
      </c>
      <c r="G217" s="47">
        <f t="shared" si="15"/>
        <v>9</v>
      </c>
      <c r="H217" s="86">
        <v>16</v>
      </c>
      <c r="I217" s="20">
        <v>25</v>
      </c>
      <c r="J217" s="80">
        <f t="shared" si="16"/>
        <v>400</v>
      </c>
      <c r="K217" s="17" t="s">
        <v>278</v>
      </c>
      <c r="L217" s="18">
        <v>200</v>
      </c>
      <c r="M217" s="23">
        <f t="shared" si="18"/>
        <v>200</v>
      </c>
    </row>
    <row r="218" spans="1:13" ht="25.5" x14ac:dyDescent="0.55000000000000004">
      <c r="A218" s="10">
        <v>214</v>
      </c>
      <c r="B218" s="19" t="s">
        <v>272</v>
      </c>
      <c r="C218" s="79">
        <f>+'4'!G218</f>
        <v>22</v>
      </c>
      <c r="D218" s="85">
        <v>0</v>
      </c>
      <c r="E218" s="47">
        <f t="shared" si="17"/>
        <v>22</v>
      </c>
      <c r="F218" s="85">
        <v>0</v>
      </c>
      <c r="G218" s="47">
        <f t="shared" si="15"/>
        <v>13</v>
      </c>
      <c r="H218" s="86">
        <v>9</v>
      </c>
      <c r="I218" s="20">
        <v>25</v>
      </c>
      <c r="J218" s="80">
        <f t="shared" si="16"/>
        <v>225</v>
      </c>
      <c r="K218" s="17" t="s">
        <v>278</v>
      </c>
      <c r="L218" s="18">
        <v>112</v>
      </c>
      <c r="M218" s="23">
        <f t="shared" si="18"/>
        <v>113</v>
      </c>
    </row>
    <row r="219" spans="1:13" ht="25.5" x14ac:dyDescent="0.55000000000000004">
      <c r="A219" s="10">
        <v>215</v>
      </c>
      <c r="B219" s="19" t="s">
        <v>273</v>
      </c>
      <c r="C219" s="79">
        <f>+'4'!G219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+'4'!G220</f>
        <v>5</v>
      </c>
      <c r="D220" s="85">
        <v>0</v>
      </c>
      <c r="E220" s="47">
        <f t="shared" si="17"/>
        <v>5</v>
      </c>
      <c r="F220" s="85">
        <v>0</v>
      </c>
      <c r="G220" s="47">
        <f t="shared" si="15"/>
        <v>5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+'4'!G222</f>
        <v>25</v>
      </c>
      <c r="D222" s="85">
        <v>0</v>
      </c>
      <c r="E222" s="47">
        <f t="shared" si="17"/>
        <v>25</v>
      </c>
      <c r="F222" s="85">
        <v>0</v>
      </c>
      <c r="G222" s="47">
        <f t="shared" si="15"/>
        <v>22</v>
      </c>
      <c r="H222" s="86">
        <v>3</v>
      </c>
      <c r="I222" s="20">
        <v>35</v>
      </c>
      <c r="J222" s="80">
        <f t="shared" si="16"/>
        <v>105</v>
      </c>
      <c r="K222" s="17" t="s">
        <v>306</v>
      </c>
      <c r="L222" s="18">
        <v>5</v>
      </c>
      <c r="M222" s="23">
        <f t="shared" si="18"/>
        <v>100</v>
      </c>
    </row>
    <row r="223" spans="1:13" ht="25.5" x14ac:dyDescent="0.55000000000000004">
      <c r="A223" s="10">
        <v>219</v>
      </c>
      <c r="B223" s="19" t="s">
        <v>310</v>
      </c>
      <c r="C223" s="79">
        <f>+'4'!G223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5228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5895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1300</v>
      </c>
      <c r="L259" s="2">
        <v>50</v>
      </c>
      <c r="M259" s="2">
        <v>100</v>
      </c>
      <c r="N259" s="2">
        <v>135</v>
      </c>
      <c r="O259" s="2">
        <v>110</v>
      </c>
      <c r="P259" s="2">
        <v>350</v>
      </c>
      <c r="Q259" s="2">
        <v>250</v>
      </c>
      <c r="R259" s="2">
        <v>205</v>
      </c>
      <c r="S259" s="2">
        <v>100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667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3913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3913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66FF99"/>
  </sheetPr>
  <dimension ref="A1:Z341"/>
  <sheetViews>
    <sheetView zoomScale="115" zoomScaleNormal="115" workbookViewId="0">
      <pane xSplit="7" ySplit="4" topLeftCell="I25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+'5'!G5</f>
        <v>39</v>
      </c>
      <c r="D5" s="85">
        <v>0</v>
      </c>
      <c r="E5" s="47">
        <f t="shared" ref="E5:E125" si="0">C5+D5</f>
        <v>39</v>
      </c>
      <c r="F5" s="85">
        <v>1</v>
      </c>
      <c r="G5" s="47">
        <f>+E5-F5-H5</f>
        <v>32</v>
      </c>
      <c r="H5" s="86">
        <v>6</v>
      </c>
      <c r="I5" s="15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86</v>
      </c>
      <c r="D6" s="85">
        <v>0</v>
      </c>
      <c r="E6" s="47">
        <f t="shared" si="0"/>
        <v>86</v>
      </c>
      <c r="F6" s="85">
        <v>0</v>
      </c>
      <c r="G6" s="47">
        <f t="shared" ref="G6:G100" si="4">+E6-F6-H6</f>
        <v>79</v>
      </c>
      <c r="H6" s="86">
        <v>7</v>
      </c>
      <c r="I6" s="15">
        <v>100</v>
      </c>
      <c r="J6" s="80">
        <f t="shared" ref="J6:J100" si="5">+I6*H6</f>
        <v>700</v>
      </c>
      <c r="K6" s="17" t="s">
        <v>278</v>
      </c>
      <c r="L6" s="18">
        <v>200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+'5'!G14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+'5'!G15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2</v>
      </c>
      <c r="H15" s="86">
        <v>3</v>
      </c>
      <c r="I15" s="20">
        <v>50</v>
      </c>
      <c r="J15" s="80">
        <f t="shared" si="5"/>
        <v>150</v>
      </c>
      <c r="K15" s="17" t="s">
        <v>16</v>
      </c>
      <c r="L15" s="18">
        <v>0</v>
      </c>
      <c r="M15" s="23">
        <f t="shared" si="6"/>
        <v>150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+'5'!G17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2</v>
      </c>
      <c r="H17" s="86">
        <v>5</v>
      </c>
      <c r="I17" s="15">
        <v>50</v>
      </c>
      <c r="J17" s="80">
        <f t="shared" si="5"/>
        <v>250</v>
      </c>
      <c r="K17" s="17" t="s">
        <v>16</v>
      </c>
      <c r="L17" s="18">
        <v>0</v>
      </c>
      <c r="M17" s="23">
        <f t="shared" si="6"/>
        <v>250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+'5'!G23</f>
        <v>12</v>
      </c>
      <c r="D23" s="85">
        <v>0</v>
      </c>
      <c r="E23" s="47">
        <f t="shared" si="0"/>
        <v>12</v>
      </c>
      <c r="F23" s="85">
        <v>0</v>
      </c>
      <c r="G23" s="47">
        <f t="shared" si="4"/>
        <v>7</v>
      </c>
      <c r="H23" s="86">
        <v>5</v>
      </c>
      <c r="I23" s="15">
        <v>100</v>
      </c>
      <c r="J23" s="80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+'5'!G24</f>
        <v>3</v>
      </c>
      <c r="D24" s="85">
        <v>0</v>
      </c>
      <c r="E24" s="47">
        <f t="shared" si="0"/>
        <v>3</v>
      </c>
      <c r="F24" s="85">
        <v>0</v>
      </c>
      <c r="G24" s="47">
        <f t="shared" si="4"/>
        <v>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+'5'!G25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4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5</v>
      </c>
      <c r="D32" s="85">
        <v>0</v>
      </c>
      <c r="E32" s="47">
        <f t="shared" si="0"/>
        <v>5</v>
      </c>
      <c r="F32" s="85">
        <v>0</v>
      </c>
      <c r="G32" s="47">
        <f t="shared" si="4"/>
        <v>4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+'5'!G33</f>
        <v>5</v>
      </c>
      <c r="D33" s="85">
        <v>0</v>
      </c>
      <c r="E33" s="47">
        <f t="shared" si="0"/>
        <v>5</v>
      </c>
      <c r="F33" s="85">
        <v>0</v>
      </c>
      <c r="G33" s="47">
        <f t="shared" si="4"/>
        <v>5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+'5'!G37</f>
        <v>29</v>
      </c>
      <c r="D37" s="85">
        <v>0</v>
      </c>
      <c r="E37" s="47">
        <f t="shared" si="0"/>
        <v>29</v>
      </c>
      <c r="F37" s="85">
        <v>2</v>
      </c>
      <c r="G37" s="47">
        <f t="shared" si="4"/>
        <v>18</v>
      </c>
      <c r="H37" s="86">
        <v>9</v>
      </c>
      <c r="I37" s="15">
        <v>100</v>
      </c>
      <c r="J37" s="80">
        <f t="shared" si="5"/>
        <v>900</v>
      </c>
      <c r="K37" s="17" t="s">
        <v>307</v>
      </c>
      <c r="L37" s="18">
        <v>0</v>
      </c>
      <c r="M37" s="23">
        <f t="shared" si="6"/>
        <v>900</v>
      </c>
    </row>
    <row r="38" spans="1:13" ht="25.5" x14ac:dyDescent="0.55000000000000004">
      <c r="A38" s="10">
        <v>34</v>
      </c>
      <c r="B38" s="19" t="s">
        <v>49</v>
      </c>
      <c r="C38" s="79">
        <f>+'5'!G38</f>
        <v>16</v>
      </c>
      <c r="D38" s="85">
        <v>0</v>
      </c>
      <c r="E38" s="47">
        <f t="shared" si="0"/>
        <v>16</v>
      </c>
      <c r="F38" s="85">
        <v>0</v>
      </c>
      <c r="G38" s="47">
        <f t="shared" si="4"/>
        <v>12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+'5'!G39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9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+'5'!G40</f>
        <v>12</v>
      </c>
      <c r="D40" s="85">
        <v>0</v>
      </c>
      <c r="E40" s="47">
        <f t="shared" si="0"/>
        <v>12</v>
      </c>
      <c r="F40" s="85">
        <v>0</v>
      </c>
      <c r="G40" s="47">
        <f t="shared" si="4"/>
        <v>12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+'5'!G41</f>
        <v>15</v>
      </c>
      <c r="D41" s="85">
        <v>0</v>
      </c>
      <c r="E41" s="47">
        <f t="shared" si="0"/>
        <v>15</v>
      </c>
      <c r="F41" s="85">
        <v>0</v>
      </c>
      <c r="G41" s="47">
        <f t="shared" si="4"/>
        <v>10</v>
      </c>
      <c r="H41" s="86">
        <v>5</v>
      </c>
      <c r="I41" s="15">
        <v>50</v>
      </c>
      <c r="J41" s="80">
        <f t="shared" si="5"/>
        <v>250</v>
      </c>
      <c r="K41" s="17" t="s">
        <v>16</v>
      </c>
      <c r="L41" s="18">
        <v>0</v>
      </c>
      <c r="M41" s="23">
        <f t="shared" si="6"/>
        <v>250</v>
      </c>
    </row>
    <row r="42" spans="1:13" ht="25.5" x14ac:dyDescent="0.55000000000000004">
      <c r="A42" s="10">
        <v>38</v>
      </c>
      <c r="B42" s="19" t="s">
        <v>53</v>
      </c>
      <c r="C42" s="79">
        <f>+'5'!G42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+'5'!G43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2</v>
      </c>
      <c r="H43" s="86">
        <v>4</v>
      </c>
      <c r="I43" s="15">
        <v>50</v>
      </c>
      <c r="J43" s="80">
        <f t="shared" si="5"/>
        <v>200</v>
      </c>
      <c r="K43" s="17" t="s">
        <v>16</v>
      </c>
      <c r="L43" s="18">
        <v>0</v>
      </c>
      <c r="M43" s="23">
        <f t="shared" si="6"/>
        <v>200</v>
      </c>
    </row>
    <row r="44" spans="1:13" ht="25.5" x14ac:dyDescent="0.55000000000000004">
      <c r="A44" s="10">
        <v>40</v>
      </c>
      <c r="B44" s="19" t="s">
        <v>55</v>
      </c>
      <c r="C44" s="79">
        <f>+'5'!G44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2</v>
      </c>
      <c r="H44" s="86">
        <v>3</v>
      </c>
      <c r="I44" s="15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+'5'!G46</f>
        <v>13</v>
      </c>
      <c r="D46" s="85">
        <v>0</v>
      </c>
      <c r="E46" s="47">
        <f t="shared" si="0"/>
        <v>13</v>
      </c>
      <c r="F46" s="85">
        <v>0</v>
      </c>
      <c r="G46" s="47">
        <f t="shared" si="4"/>
        <v>8</v>
      </c>
      <c r="H46" s="86">
        <v>5</v>
      </c>
      <c r="I46" s="15">
        <v>50</v>
      </c>
      <c r="J46" s="80">
        <f t="shared" si="5"/>
        <v>250</v>
      </c>
      <c r="K46" s="17" t="s">
        <v>16</v>
      </c>
      <c r="L46" s="18">
        <v>0</v>
      </c>
      <c r="M46" s="23">
        <f t="shared" si="6"/>
        <v>250</v>
      </c>
    </row>
    <row r="47" spans="1:13" ht="25.5" x14ac:dyDescent="0.55000000000000004">
      <c r="A47" s="10">
        <v>43</v>
      </c>
      <c r="B47" s="19" t="s">
        <v>58</v>
      </c>
      <c r="C47" s="79">
        <f>+'5'!G47</f>
        <v>15</v>
      </c>
      <c r="D47" s="85">
        <v>0</v>
      </c>
      <c r="E47" s="47">
        <f t="shared" si="0"/>
        <v>15</v>
      </c>
      <c r="F47" s="85">
        <v>0</v>
      </c>
      <c r="G47" s="47">
        <f t="shared" si="4"/>
        <v>10</v>
      </c>
      <c r="H47" s="86">
        <v>5</v>
      </c>
      <c r="I47" s="15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5.5" x14ac:dyDescent="0.55000000000000004">
      <c r="A48" s="10">
        <v>44</v>
      </c>
      <c r="B48" s="19" t="s">
        <v>59</v>
      </c>
      <c r="C48" s="79">
        <f>+'5'!G48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+'5'!G51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5</v>
      </c>
      <c r="D61" s="85">
        <v>0</v>
      </c>
      <c r="E61" s="47">
        <f t="shared" si="0"/>
        <v>5</v>
      </c>
      <c r="F61" s="85">
        <v>0</v>
      </c>
      <c r="G61" s="47">
        <f t="shared" si="4"/>
        <v>5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+'5'!G63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14</v>
      </c>
      <c r="D66" s="85">
        <v>0</v>
      </c>
      <c r="E66" s="47">
        <f t="shared" si="0"/>
        <v>14</v>
      </c>
      <c r="F66" s="85">
        <v>0</v>
      </c>
      <c r="G66" s="47">
        <f t="shared" si="4"/>
        <v>13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18</v>
      </c>
      <c r="D70" s="85">
        <v>0</v>
      </c>
      <c r="E70" s="47">
        <f t="shared" si="0"/>
        <v>18</v>
      </c>
      <c r="F70" s="85">
        <v>0</v>
      </c>
      <c r="G70" s="47">
        <f t="shared" si="4"/>
        <v>15</v>
      </c>
      <c r="H70" s="86">
        <v>3</v>
      </c>
      <c r="I70" s="20">
        <v>50</v>
      </c>
      <c r="J70" s="80">
        <f t="shared" si="5"/>
        <v>150</v>
      </c>
      <c r="K70" s="17" t="s">
        <v>278</v>
      </c>
      <c r="L70" s="18">
        <v>25</v>
      </c>
      <c r="M70" s="23">
        <f t="shared" ref="M70:M134" si="10">SUM(J70-L70)</f>
        <v>125</v>
      </c>
    </row>
    <row r="71" spans="1:13" ht="25.5" x14ac:dyDescent="0.55000000000000004">
      <c r="A71" s="10">
        <v>67</v>
      </c>
      <c r="B71" s="19" t="s">
        <v>82</v>
      </c>
      <c r="C71" s="79">
        <f>+'5'!G71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9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2</v>
      </c>
      <c r="D74" s="85">
        <v>0</v>
      </c>
      <c r="E74" s="47">
        <f t="shared" si="0"/>
        <v>2</v>
      </c>
      <c r="F74" s="85">
        <v>0</v>
      </c>
      <c r="G74" s="47">
        <f t="shared" si="4"/>
        <v>1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+'5'!G77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+'5'!G79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1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+'5'!G80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4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5.5" x14ac:dyDescent="0.55000000000000004">
      <c r="A81" s="10">
        <v>77</v>
      </c>
      <c r="B81" s="19" t="s">
        <v>91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+'5'!G82</f>
        <v>1</v>
      </c>
      <c r="D82" s="85">
        <v>0</v>
      </c>
      <c r="E82" s="47">
        <f t="shared" si="0"/>
        <v>1</v>
      </c>
      <c r="F82" s="85">
        <v>0</v>
      </c>
      <c r="G82" s="47">
        <f t="shared" si="4"/>
        <v>0</v>
      </c>
      <c r="H82" s="86">
        <v>1</v>
      </c>
      <c r="I82" s="20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+'5'!G83</f>
        <v>3</v>
      </c>
      <c r="D83" s="85">
        <v>0</v>
      </c>
      <c r="E83" s="47">
        <f t="shared" si="0"/>
        <v>3</v>
      </c>
      <c r="F83" s="85">
        <v>0</v>
      </c>
      <c r="G83" s="47">
        <f t="shared" si="4"/>
        <v>1</v>
      </c>
      <c r="H83" s="86">
        <v>2</v>
      </c>
      <c r="I83" s="22">
        <v>55</v>
      </c>
      <c r="J83" s="80">
        <f t="shared" si="5"/>
        <v>110</v>
      </c>
      <c r="K83" s="17" t="s">
        <v>16</v>
      </c>
      <c r="L83" s="18">
        <v>0</v>
      </c>
      <c r="M83" s="23">
        <f t="shared" si="10"/>
        <v>110</v>
      </c>
    </row>
    <row r="84" spans="1:13" ht="25.5" x14ac:dyDescent="0.55000000000000004">
      <c r="A84" s="10">
        <v>80</v>
      </c>
      <c r="B84" s="19" t="s">
        <v>94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+'5'!G86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2</v>
      </c>
      <c r="H86" s="86">
        <v>4</v>
      </c>
      <c r="I86" s="22">
        <v>100</v>
      </c>
      <c r="J86" s="80">
        <f t="shared" si="5"/>
        <v>400</v>
      </c>
      <c r="K86" s="17" t="s">
        <v>16</v>
      </c>
      <c r="L86" s="18">
        <v>0</v>
      </c>
      <c r="M86" s="23">
        <f t="shared" si="10"/>
        <v>400</v>
      </c>
    </row>
    <row r="87" spans="1:13" ht="25.5" x14ac:dyDescent="0.55000000000000004">
      <c r="A87" s="10">
        <v>83</v>
      </c>
      <c r="B87" s="19" t="s">
        <v>97</v>
      </c>
      <c r="C87" s="79">
        <f>+'5'!G87</f>
        <v>15</v>
      </c>
      <c r="D87" s="85">
        <v>0</v>
      </c>
      <c r="E87" s="47">
        <f t="shared" si="0"/>
        <v>15</v>
      </c>
      <c r="F87" s="85">
        <v>0</v>
      </c>
      <c r="G87" s="47">
        <f t="shared" si="4"/>
        <v>14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+'5'!G88</f>
        <v>5</v>
      </c>
      <c r="D88" s="85">
        <v>0</v>
      </c>
      <c r="E88" s="47">
        <f t="shared" si="0"/>
        <v>5</v>
      </c>
      <c r="F88" s="85">
        <v>0</v>
      </c>
      <c r="G88" s="47">
        <f t="shared" si="4"/>
        <v>4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+'5'!G89</f>
        <v>22</v>
      </c>
      <c r="D89" s="85">
        <v>0</v>
      </c>
      <c r="E89" s="47">
        <f t="shared" si="0"/>
        <v>22</v>
      </c>
      <c r="F89" s="85">
        <v>0</v>
      </c>
      <c r="G89" s="47">
        <f t="shared" si="4"/>
        <v>21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+'5'!G91</f>
        <v>5</v>
      </c>
      <c r="D91" s="85">
        <v>0</v>
      </c>
      <c r="E91" s="47">
        <f t="shared" si="0"/>
        <v>5</v>
      </c>
      <c r="F91" s="85">
        <v>0</v>
      </c>
      <c r="G91" s="47">
        <f t="shared" si="4"/>
        <v>4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23">
        <f t="shared" si="10"/>
        <v>50</v>
      </c>
    </row>
    <row r="92" spans="1:13" ht="25.5" x14ac:dyDescent="0.55000000000000004">
      <c r="A92" s="10">
        <v>88</v>
      </c>
      <c r="B92" s="19" t="s">
        <v>102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+'5'!G102</f>
        <v>12</v>
      </c>
      <c r="D102" s="85">
        <v>0</v>
      </c>
      <c r="E102" s="47">
        <f t="shared" si="0"/>
        <v>12</v>
      </c>
      <c r="F102" s="85">
        <v>0</v>
      </c>
      <c r="G102" s="47">
        <f t="shared" si="11"/>
        <v>12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+'5'!G103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0</v>
      </c>
      <c r="H103" s="86">
        <v>1</v>
      </c>
      <c r="I103" s="20">
        <v>50</v>
      </c>
      <c r="J103" s="80">
        <f t="shared" si="12"/>
        <v>50</v>
      </c>
      <c r="K103" s="17" t="s">
        <v>304</v>
      </c>
      <c r="L103" s="18">
        <v>50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+'5'!G104</f>
        <v>2</v>
      </c>
      <c r="D104" s="85">
        <v>0</v>
      </c>
      <c r="E104" s="47">
        <f t="shared" si="0"/>
        <v>2</v>
      </c>
      <c r="F104" s="85">
        <v>0</v>
      </c>
      <c r="G104" s="47">
        <f t="shared" si="11"/>
        <v>1</v>
      </c>
      <c r="H104" s="86">
        <v>1</v>
      </c>
      <c r="I104" s="20">
        <v>100</v>
      </c>
      <c r="J104" s="80">
        <f t="shared" si="12"/>
        <v>100</v>
      </c>
      <c r="K104" s="17" t="s">
        <v>16</v>
      </c>
      <c r="L104" s="18">
        <v>0</v>
      </c>
      <c r="M104" s="23">
        <f t="shared" si="10"/>
        <v>100</v>
      </c>
    </row>
    <row r="105" spans="1:13" ht="25.5" x14ac:dyDescent="0.55000000000000004">
      <c r="A105" s="10">
        <v>101</v>
      </c>
      <c r="B105" s="19" t="s">
        <v>115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+'5'!G126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+'5'!G128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+'5'!G161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+'5'!G162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+'5'!G163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+'5'!G169</f>
        <v>64</v>
      </c>
      <c r="D169" s="85">
        <v>0</v>
      </c>
      <c r="E169" s="47">
        <f t="shared" si="13"/>
        <v>64</v>
      </c>
      <c r="F169" s="85">
        <v>0</v>
      </c>
      <c r="G169" s="47">
        <f t="shared" si="15"/>
        <v>62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23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+'5'!G171</f>
        <v>10</v>
      </c>
      <c r="D171" s="85">
        <v>0</v>
      </c>
      <c r="E171" s="47">
        <f t="shared" si="13"/>
        <v>10</v>
      </c>
      <c r="F171" s="85">
        <v>0</v>
      </c>
      <c r="G171" s="47">
        <f t="shared" si="15"/>
        <v>9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+'5'!G177</f>
        <v>3</v>
      </c>
      <c r="D177" s="85">
        <v>0</v>
      </c>
      <c r="E177" s="47">
        <f t="shared" si="13"/>
        <v>3</v>
      </c>
      <c r="F177" s="85">
        <v>0</v>
      </c>
      <c r="G177" s="47">
        <f t="shared" si="15"/>
        <v>2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+'5'!G179</f>
        <v>7</v>
      </c>
      <c r="D179" s="85">
        <v>0</v>
      </c>
      <c r="E179" s="47">
        <f t="shared" si="13"/>
        <v>7</v>
      </c>
      <c r="F179" s="85">
        <v>0</v>
      </c>
      <c r="G179" s="47">
        <f t="shared" si="15"/>
        <v>7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+'5'!G189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+'5'!G190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+'5'!G209</f>
        <v>2</v>
      </c>
      <c r="D209" s="85">
        <v>0</v>
      </c>
      <c r="E209" s="47">
        <f t="shared" si="17"/>
        <v>2</v>
      </c>
      <c r="F209" s="85">
        <v>0</v>
      </c>
      <c r="G209" s="47">
        <f t="shared" si="15"/>
        <v>1</v>
      </c>
      <c r="H209" s="86">
        <v>1</v>
      </c>
      <c r="I209" s="20">
        <v>50</v>
      </c>
      <c r="J209" s="80">
        <f t="shared" si="16"/>
        <v>50</v>
      </c>
      <c r="K209" s="17" t="s">
        <v>16</v>
      </c>
      <c r="L209" s="18">
        <v>0</v>
      </c>
      <c r="M209" s="23">
        <f t="shared" si="18"/>
        <v>50</v>
      </c>
    </row>
    <row r="210" spans="1:13" ht="25.5" x14ac:dyDescent="0.55000000000000004">
      <c r="A210" s="10">
        <v>206</v>
      </c>
      <c r="B210" s="19" t="s">
        <v>267</v>
      </c>
      <c r="C210" s="79">
        <f>+'5'!G210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+'5'!G211</f>
        <v>10</v>
      </c>
      <c r="D211" s="85">
        <v>0</v>
      </c>
      <c r="E211" s="47">
        <f t="shared" si="17"/>
        <v>10</v>
      </c>
      <c r="F211" s="85">
        <v>0</v>
      </c>
      <c r="G211" s="47">
        <f t="shared" si="15"/>
        <v>6</v>
      </c>
      <c r="H211" s="86">
        <v>4</v>
      </c>
      <c r="I211" s="20">
        <v>35</v>
      </c>
      <c r="J211" s="80">
        <f t="shared" si="16"/>
        <v>140</v>
      </c>
      <c r="K211" s="17" t="s">
        <v>16</v>
      </c>
      <c r="L211" s="18">
        <v>0</v>
      </c>
      <c r="M211" s="23">
        <f t="shared" si="18"/>
        <v>140</v>
      </c>
    </row>
    <row r="212" spans="1:13" ht="25.5" x14ac:dyDescent="0.55000000000000004">
      <c r="A212" s="10">
        <v>208</v>
      </c>
      <c r="B212" s="19" t="s">
        <v>245</v>
      </c>
      <c r="C212" s="79">
        <f>+'5'!G212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+'5'!G217</f>
        <v>9</v>
      </c>
      <c r="D217" s="85">
        <v>0</v>
      </c>
      <c r="E217" s="47">
        <f t="shared" si="17"/>
        <v>9</v>
      </c>
      <c r="F217" s="85">
        <v>0</v>
      </c>
      <c r="G217" s="47">
        <f t="shared" si="15"/>
        <v>3</v>
      </c>
      <c r="H217" s="86">
        <v>6</v>
      </c>
      <c r="I217" s="20">
        <v>25</v>
      </c>
      <c r="J217" s="80">
        <f t="shared" si="16"/>
        <v>150</v>
      </c>
      <c r="K217" s="17" t="s">
        <v>16</v>
      </c>
      <c r="L217" s="18">
        <v>0</v>
      </c>
      <c r="M217" s="23">
        <f t="shared" si="18"/>
        <v>150</v>
      </c>
    </row>
    <row r="218" spans="1:13" ht="25.5" x14ac:dyDescent="0.55000000000000004">
      <c r="A218" s="10">
        <v>214</v>
      </c>
      <c r="B218" s="19" t="s">
        <v>272</v>
      </c>
      <c r="C218" s="79">
        <f>+'5'!G218</f>
        <v>13</v>
      </c>
      <c r="D218" s="85">
        <v>0</v>
      </c>
      <c r="E218" s="47">
        <f t="shared" si="17"/>
        <v>13</v>
      </c>
      <c r="F218" s="85">
        <v>0</v>
      </c>
      <c r="G218" s="47">
        <f t="shared" si="15"/>
        <v>9</v>
      </c>
      <c r="H218" s="86">
        <v>4</v>
      </c>
      <c r="I218" s="20">
        <v>25</v>
      </c>
      <c r="J218" s="80">
        <f t="shared" si="16"/>
        <v>100</v>
      </c>
      <c r="K218" s="17" t="s">
        <v>278</v>
      </c>
      <c r="L218" s="18">
        <v>25</v>
      </c>
      <c r="M218" s="23">
        <f t="shared" si="18"/>
        <v>75</v>
      </c>
    </row>
    <row r="219" spans="1:13" ht="25.5" x14ac:dyDescent="0.55000000000000004">
      <c r="A219" s="10">
        <v>215</v>
      </c>
      <c r="B219" s="19" t="s">
        <v>273</v>
      </c>
      <c r="C219" s="79">
        <f>+'5'!G219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+'5'!G220</f>
        <v>5</v>
      </c>
      <c r="D220" s="85">
        <v>0</v>
      </c>
      <c r="E220" s="47">
        <f t="shared" si="17"/>
        <v>5</v>
      </c>
      <c r="F220" s="85">
        <v>0</v>
      </c>
      <c r="G220" s="47">
        <f t="shared" si="15"/>
        <v>4</v>
      </c>
      <c r="H220" s="86">
        <v>1</v>
      </c>
      <c r="I220" s="20">
        <v>45</v>
      </c>
      <c r="J220" s="80">
        <f t="shared" si="16"/>
        <v>45</v>
      </c>
      <c r="K220" s="17" t="s">
        <v>16</v>
      </c>
      <c r="L220" s="18">
        <v>0</v>
      </c>
      <c r="M220" s="23">
        <f t="shared" si="18"/>
        <v>45</v>
      </c>
    </row>
    <row r="221" spans="1:13" ht="25.5" x14ac:dyDescent="0.55000000000000004">
      <c r="A221" s="10">
        <v>217</v>
      </c>
      <c r="B221" s="19" t="s">
        <v>301</v>
      </c>
      <c r="C221" s="79">
        <f>+'5'!G221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+'5'!G222</f>
        <v>22</v>
      </c>
      <c r="D222" s="85">
        <v>0</v>
      </c>
      <c r="E222" s="47">
        <f t="shared" si="17"/>
        <v>22</v>
      </c>
      <c r="F222" s="85">
        <v>0</v>
      </c>
      <c r="G222" s="47">
        <f t="shared" si="15"/>
        <v>22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6220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6520</v>
      </c>
    </row>
    <row r="258" spans="1:2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1685</v>
      </c>
      <c r="L259" s="2">
        <v>100</v>
      </c>
      <c r="M259" s="2">
        <v>275</v>
      </c>
      <c r="N259" s="2">
        <v>135</v>
      </c>
      <c r="O259" s="2">
        <v>100</v>
      </c>
      <c r="P259" s="2">
        <v>130</v>
      </c>
      <c r="Q259" s="2">
        <v>100</v>
      </c>
      <c r="R259" s="2">
        <v>300</v>
      </c>
      <c r="S259" s="2">
        <v>200</v>
      </c>
      <c r="T259" s="2">
        <v>50</v>
      </c>
      <c r="U259" s="2">
        <v>50</v>
      </c>
      <c r="V259" s="2">
        <v>50</v>
      </c>
      <c r="W259" s="2">
        <v>55</v>
      </c>
      <c r="X259" s="2">
        <v>65</v>
      </c>
      <c r="Y259" s="2">
        <v>75</v>
      </c>
    </row>
    <row r="260" spans="1:2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300</v>
      </c>
    </row>
    <row r="263" spans="1:2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4520</v>
      </c>
    </row>
    <row r="264" spans="1:2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4520</v>
      </c>
    </row>
    <row r="265" spans="1:2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5" x14ac:dyDescent="0.5">
      <c r="G267" s="2"/>
      <c r="I267" s="2"/>
    </row>
    <row r="268" spans="1:25" x14ac:dyDescent="0.5">
      <c r="G268" s="2"/>
      <c r="I268" s="2"/>
    </row>
    <row r="269" spans="1:25" x14ac:dyDescent="0.5">
      <c r="G269" s="2"/>
      <c r="I269" s="2"/>
    </row>
    <row r="270" spans="1:25" x14ac:dyDescent="0.5">
      <c r="G270" s="2"/>
      <c r="I270" s="2"/>
    </row>
    <row r="271" spans="1:25" x14ac:dyDescent="0.5">
      <c r="G271" s="2"/>
      <c r="I271" s="2"/>
    </row>
    <row r="272" spans="1:2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66FF99"/>
  </sheetPr>
  <dimension ref="A1:Z341"/>
  <sheetViews>
    <sheetView zoomScale="130" zoomScaleNormal="130" workbookViewId="0">
      <pane xSplit="7" ySplit="4" topLeftCell="H256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+'6'!G5</f>
        <v>32</v>
      </c>
      <c r="D5" s="85">
        <v>0</v>
      </c>
      <c r="E5" s="47">
        <f t="shared" ref="E5:E125" si="0">C5+D5</f>
        <v>32</v>
      </c>
      <c r="F5" s="85">
        <v>0</v>
      </c>
      <c r="G5" s="47">
        <f>+E5-F5-H5</f>
        <v>29</v>
      </c>
      <c r="H5" s="86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79</v>
      </c>
      <c r="D6" s="85">
        <v>0</v>
      </c>
      <c r="E6" s="47">
        <f t="shared" si="0"/>
        <v>79</v>
      </c>
      <c r="F6" s="85">
        <v>0</v>
      </c>
      <c r="G6" s="47">
        <f t="shared" ref="G6:G100" si="4">+E6-F6-H6</f>
        <v>76</v>
      </c>
      <c r="H6" s="86">
        <v>3</v>
      </c>
      <c r="I6" s="15">
        <v>100</v>
      </c>
      <c r="J6" s="80">
        <f t="shared" ref="J6:J100" si="5">+I6*H6</f>
        <v>300</v>
      </c>
      <c r="K6" s="17" t="s">
        <v>278</v>
      </c>
      <c r="L6" s="18">
        <v>50</v>
      </c>
      <c r="M6" s="23">
        <f t="shared" ref="M6:M69" si="6">SUM(J6-L6)</f>
        <v>250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0</v>
      </c>
      <c r="H15" s="86">
        <v>2</v>
      </c>
      <c r="I15" s="20">
        <v>50</v>
      </c>
      <c r="J15" s="80">
        <f t="shared" si="5"/>
        <v>100</v>
      </c>
      <c r="K15" s="17" t="s">
        <v>16</v>
      </c>
      <c r="L15" s="18">
        <v>0</v>
      </c>
      <c r="M15" s="23">
        <f t="shared" si="6"/>
        <v>100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+'6'!G17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0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+'6'!G23</f>
        <v>7</v>
      </c>
      <c r="D23" s="85">
        <v>0</v>
      </c>
      <c r="E23" s="47">
        <f t="shared" si="0"/>
        <v>7</v>
      </c>
      <c r="F23" s="85">
        <v>0</v>
      </c>
      <c r="G23" s="47">
        <f t="shared" si="4"/>
        <v>4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+'6'!G24</f>
        <v>3</v>
      </c>
      <c r="D24" s="85">
        <v>0</v>
      </c>
      <c r="E24" s="47">
        <f t="shared" si="0"/>
        <v>3</v>
      </c>
      <c r="F24" s="85">
        <v>0</v>
      </c>
      <c r="G24" s="47">
        <f t="shared" si="4"/>
        <v>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+'6'!G25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4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4</v>
      </c>
      <c r="D32" s="85">
        <v>0</v>
      </c>
      <c r="E32" s="47">
        <f t="shared" si="0"/>
        <v>4</v>
      </c>
      <c r="F32" s="85">
        <v>0</v>
      </c>
      <c r="G32" s="47">
        <f t="shared" si="4"/>
        <v>4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+'6'!G33</f>
        <v>5</v>
      </c>
      <c r="D33" s="85">
        <v>0</v>
      </c>
      <c r="E33" s="47">
        <f t="shared" si="0"/>
        <v>5</v>
      </c>
      <c r="F33" s="85">
        <v>0</v>
      </c>
      <c r="G33" s="47">
        <f t="shared" si="4"/>
        <v>5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+'6'!G37</f>
        <v>18</v>
      </c>
      <c r="D37" s="85">
        <v>0</v>
      </c>
      <c r="E37" s="47">
        <f t="shared" si="0"/>
        <v>18</v>
      </c>
      <c r="F37" s="85">
        <v>0</v>
      </c>
      <c r="G37" s="47">
        <f t="shared" si="4"/>
        <v>18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+'6'!G38</f>
        <v>12</v>
      </c>
      <c r="D38" s="85">
        <v>0</v>
      </c>
      <c r="E38" s="47">
        <f t="shared" si="0"/>
        <v>12</v>
      </c>
      <c r="F38" s="85">
        <v>0</v>
      </c>
      <c r="G38" s="47">
        <f t="shared" si="4"/>
        <v>10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+'6'!G39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5</v>
      </c>
      <c r="H39" s="86">
        <v>4</v>
      </c>
      <c r="I39" s="15">
        <v>50</v>
      </c>
      <c r="J39" s="80">
        <f t="shared" si="5"/>
        <v>200</v>
      </c>
      <c r="K39" s="17" t="s">
        <v>16</v>
      </c>
      <c r="L39" s="18">
        <v>0</v>
      </c>
      <c r="M39" s="23">
        <f t="shared" si="6"/>
        <v>200</v>
      </c>
    </row>
    <row r="40" spans="1:13" ht="25.5" x14ac:dyDescent="0.55000000000000004">
      <c r="A40" s="10">
        <v>36</v>
      </c>
      <c r="B40" s="19" t="s">
        <v>51</v>
      </c>
      <c r="C40" s="79">
        <f>+'6'!G40</f>
        <v>12</v>
      </c>
      <c r="D40" s="85">
        <v>0</v>
      </c>
      <c r="E40" s="47">
        <f t="shared" si="0"/>
        <v>12</v>
      </c>
      <c r="F40" s="85">
        <v>0</v>
      </c>
      <c r="G40" s="47">
        <f t="shared" si="4"/>
        <v>12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+'6'!G41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6</v>
      </c>
      <c r="H41" s="86">
        <v>4</v>
      </c>
      <c r="I41" s="15">
        <v>50</v>
      </c>
      <c r="J41" s="80">
        <f t="shared" si="5"/>
        <v>200</v>
      </c>
      <c r="K41" s="17" t="s">
        <v>16</v>
      </c>
      <c r="L41" s="18">
        <v>0</v>
      </c>
      <c r="M41" s="23">
        <f t="shared" si="6"/>
        <v>200</v>
      </c>
    </row>
    <row r="42" spans="1:13" ht="25.5" x14ac:dyDescent="0.55000000000000004">
      <c r="A42" s="10">
        <v>38</v>
      </c>
      <c r="B42" s="19" t="s">
        <v>53</v>
      </c>
      <c r="C42" s="79">
        <f>+'6'!G42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+'6'!G43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0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+'6'!G44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+'6'!G46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7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+'6'!G47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9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+'6'!G48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4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5</v>
      </c>
      <c r="D61" s="85">
        <v>0</v>
      </c>
      <c r="E61" s="47">
        <f t="shared" si="0"/>
        <v>5</v>
      </c>
      <c r="F61" s="85">
        <v>0</v>
      </c>
      <c r="G61" s="47">
        <f t="shared" si="4"/>
        <v>5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5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13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15</v>
      </c>
      <c r="D70" s="85">
        <v>0</v>
      </c>
      <c r="E70" s="47">
        <f t="shared" si="0"/>
        <v>15</v>
      </c>
      <c r="F70" s="85">
        <v>0</v>
      </c>
      <c r="G70" s="47">
        <f t="shared" si="4"/>
        <v>14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9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2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0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+'6'!G77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+'6'!G79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1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+'6'!G80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4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+'6'!G83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+'6'!G86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+'6'!G87</f>
        <v>14</v>
      </c>
      <c r="D87" s="85">
        <v>0</v>
      </c>
      <c r="E87" s="47">
        <f t="shared" si="0"/>
        <v>14</v>
      </c>
      <c r="F87" s="85">
        <v>0</v>
      </c>
      <c r="G87" s="47">
        <f t="shared" si="4"/>
        <v>13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+'6'!G88</f>
        <v>4</v>
      </c>
      <c r="D88" s="85">
        <v>0</v>
      </c>
      <c r="E88" s="47">
        <f t="shared" si="0"/>
        <v>4</v>
      </c>
      <c r="F88" s="85">
        <v>0</v>
      </c>
      <c r="G88" s="47">
        <f t="shared" si="4"/>
        <v>4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+'6'!G89</f>
        <v>21</v>
      </c>
      <c r="D89" s="85">
        <v>0</v>
      </c>
      <c r="E89" s="47">
        <f t="shared" si="0"/>
        <v>21</v>
      </c>
      <c r="F89" s="85">
        <v>0</v>
      </c>
      <c r="G89" s="47">
        <f t="shared" si="4"/>
        <v>21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+'6'!G91</f>
        <v>4</v>
      </c>
      <c r="D91" s="85">
        <v>0</v>
      </c>
      <c r="E91" s="47">
        <f t="shared" si="0"/>
        <v>4</v>
      </c>
      <c r="F91" s="85">
        <v>0</v>
      </c>
      <c r="G91" s="47">
        <f t="shared" si="4"/>
        <v>3</v>
      </c>
      <c r="H91" s="86">
        <v>1</v>
      </c>
      <c r="I91" s="20">
        <v>50</v>
      </c>
      <c r="J91" s="80">
        <f t="shared" si="5"/>
        <v>50</v>
      </c>
      <c r="K91" s="17" t="s">
        <v>16</v>
      </c>
      <c r="L91" s="18">
        <v>0</v>
      </c>
      <c r="M91" s="23">
        <f t="shared" si="10"/>
        <v>50</v>
      </c>
    </row>
    <row r="92" spans="1:13" ht="25.5" x14ac:dyDescent="0.55000000000000004">
      <c r="A92" s="10">
        <v>88</v>
      </c>
      <c r="B92" s="19" t="s">
        <v>102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+'6'!G102</f>
        <v>12</v>
      </c>
      <c r="D102" s="85">
        <v>0</v>
      </c>
      <c r="E102" s="47">
        <f t="shared" si="0"/>
        <v>12</v>
      </c>
      <c r="F102" s="85">
        <v>0</v>
      </c>
      <c r="G102" s="47">
        <f t="shared" si="11"/>
        <v>12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+'6'!G104</f>
        <v>1</v>
      </c>
      <c r="D104" s="85">
        <v>0</v>
      </c>
      <c r="E104" s="47">
        <f t="shared" si="0"/>
        <v>1</v>
      </c>
      <c r="F104" s="85">
        <v>0</v>
      </c>
      <c r="G104" s="47">
        <f t="shared" si="11"/>
        <v>1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+'6'!G126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+'6'!G128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81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+'6'!G161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+'6'!G162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+'6'!G163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+'6'!G169</f>
        <v>62</v>
      </c>
      <c r="D169" s="85">
        <v>0</v>
      </c>
      <c r="E169" s="47">
        <f t="shared" si="13"/>
        <v>62</v>
      </c>
      <c r="F169" s="85">
        <v>0</v>
      </c>
      <c r="G169" s="47">
        <f t="shared" si="15"/>
        <v>60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23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+'6'!G171</f>
        <v>9</v>
      </c>
      <c r="D171" s="85">
        <v>0</v>
      </c>
      <c r="E171" s="47">
        <f t="shared" si="13"/>
        <v>9</v>
      </c>
      <c r="F171" s="85">
        <v>0</v>
      </c>
      <c r="G171" s="47">
        <f t="shared" si="15"/>
        <v>8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+'6'!G177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2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+'6'!G179</f>
        <v>7</v>
      </c>
      <c r="D179" s="85">
        <v>0</v>
      </c>
      <c r="E179" s="47">
        <f t="shared" si="13"/>
        <v>7</v>
      </c>
      <c r="F179" s="85">
        <v>0</v>
      </c>
      <c r="G179" s="47">
        <f t="shared" si="15"/>
        <v>7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+'6'!G189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+'6'!G190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+'6'!G209</f>
        <v>1</v>
      </c>
      <c r="D209" s="85">
        <v>0</v>
      </c>
      <c r="E209" s="47">
        <f t="shared" si="17"/>
        <v>1</v>
      </c>
      <c r="F209" s="85">
        <v>0</v>
      </c>
      <c r="G209" s="47">
        <f t="shared" si="15"/>
        <v>1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+'6'!G211</f>
        <v>6</v>
      </c>
      <c r="D211" s="85">
        <v>0</v>
      </c>
      <c r="E211" s="47">
        <f t="shared" si="17"/>
        <v>6</v>
      </c>
      <c r="F211" s="85">
        <v>0</v>
      </c>
      <c r="G211" s="47">
        <f t="shared" si="15"/>
        <v>3</v>
      </c>
      <c r="H211" s="86">
        <v>3</v>
      </c>
      <c r="I211" s="20">
        <v>35</v>
      </c>
      <c r="J211" s="80">
        <f t="shared" si="16"/>
        <v>105</v>
      </c>
      <c r="K211" s="17" t="s">
        <v>16</v>
      </c>
      <c r="L211" s="18">
        <v>0</v>
      </c>
      <c r="M211" s="23">
        <f t="shared" si="18"/>
        <v>105</v>
      </c>
    </row>
    <row r="212" spans="1:13" ht="25.5" x14ac:dyDescent="0.55000000000000004">
      <c r="A212" s="10">
        <v>208</v>
      </c>
      <c r="B212" s="19" t="s">
        <v>245</v>
      </c>
      <c r="C212" s="79">
        <f>+'6'!G212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+'6'!G217</f>
        <v>3</v>
      </c>
      <c r="D217" s="85">
        <v>0</v>
      </c>
      <c r="E217" s="47">
        <f t="shared" si="17"/>
        <v>3</v>
      </c>
      <c r="F217" s="85">
        <v>0</v>
      </c>
      <c r="G217" s="47">
        <f t="shared" si="15"/>
        <v>1</v>
      </c>
      <c r="H217" s="86">
        <v>2</v>
      </c>
      <c r="I217" s="20">
        <v>25</v>
      </c>
      <c r="J217" s="80">
        <f t="shared" si="16"/>
        <v>50</v>
      </c>
      <c r="K217" s="17" t="s">
        <v>16</v>
      </c>
      <c r="L217" s="18">
        <v>0</v>
      </c>
      <c r="M217" s="23">
        <f t="shared" si="18"/>
        <v>50</v>
      </c>
    </row>
    <row r="218" spans="1:13" ht="25.5" x14ac:dyDescent="0.55000000000000004">
      <c r="A218" s="10">
        <v>214</v>
      </c>
      <c r="B218" s="19" t="s">
        <v>272</v>
      </c>
      <c r="C218" s="79">
        <f>+'6'!G218</f>
        <v>9</v>
      </c>
      <c r="D218" s="85">
        <v>0</v>
      </c>
      <c r="E218" s="47">
        <f t="shared" si="17"/>
        <v>9</v>
      </c>
      <c r="F218" s="85">
        <v>0</v>
      </c>
      <c r="G218" s="47">
        <f t="shared" si="15"/>
        <v>8</v>
      </c>
      <c r="H218" s="86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9" t="s">
        <v>273</v>
      </c>
      <c r="C219" s="79">
        <f>+'6'!G219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+'6'!G220</f>
        <v>4</v>
      </c>
      <c r="D220" s="85">
        <v>0</v>
      </c>
      <c r="E220" s="47">
        <f t="shared" si="17"/>
        <v>4</v>
      </c>
      <c r="F220" s="85">
        <v>0</v>
      </c>
      <c r="G220" s="47">
        <f t="shared" si="15"/>
        <v>4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+'6'!G222</f>
        <v>22</v>
      </c>
      <c r="D222" s="85">
        <v>0</v>
      </c>
      <c r="E222" s="47">
        <f t="shared" si="17"/>
        <v>22</v>
      </c>
      <c r="F222" s="85">
        <v>0</v>
      </c>
      <c r="G222" s="47">
        <f t="shared" si="15"/>
        <v>22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8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2455</v>
      </c>
    </row>
    <row r="258" spans="1:18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735</v>
      </c>
      <c r="L259" s="2">
        <v>100</v>
      </c>
      <c r="M259" s="2">
        <v>35</v>
      </c>
      <c r="N259" s="2">
        <v>100</v>
      </c>
      <c r="O259" s="2">
        <v>100</v>
      </c>
      <c r="P259" s="2">
        <v>100</v>
      </c>
      <c r="Q259" s="2">
        <v>100</v>
      </c>
      <c r="R259" s="2">
        <v>200</v>
      </c>
    </row>
    <row r="260" spans="1:18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8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8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18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1655</v>
      </c>
    </row>
    <row r="264" spans="1:18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1655</v>
      </c>
    </row>
    <row r="265" spans="1:18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8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8" x14ac:dyDescent="0.5">
      <c r="G267" s="2"/>
      <c r="I267" s="2"/>
    </row>
    <row r="268" spans="1:18" x14ac:dyDescent="0.5">
      <c r="G268" s="2"/>
      <c r="I268" s="2"/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66FF99"/>
  </sheetPr>
  <dimension ref="A1:Z341"/>
  <sheetViews>
    <sheetView zoomScale="70" zoomScaleNormal="70" workbookViewId="0">
      <pane xSplit="7" ySplit="4" topLeftCell="H251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+'7'!G5</f>
        <v>29</v>
      </c>
      <c r="D5" s="85">
        <v>10</v>
      </c>
      <c r="E5" s="47">
        <f t="shared" ref="E5:E125" si="0">C5+D5</f>
        <v>39</v>
      </c>
      <c r="F5" s="85">
        <v>0</v>
      </c>
      <c r="G5" s="47">
        <f>+E5-F5-H5</f>
        <v>32</v>
      </c>
      <c r="H5" s="86">
        <v>7</v>
      </c>
      <c r="I5" s="15">
        <v>50</v>
      </c>
      <c r="J5" s="80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76</v>
      </c>
      <c r="D6" s="85">
        <v>10</v>
      </c>
      <c r="E6" s="47">
        <f t="shared" si="0"/>
        <v>86</v>
      </c>
      <c r="F6" s="85">
        <v>0</v>
      </c>
      <c r="G6" s="47">
        <f t="shared" ref="G6:G100" si="4">+E6-F6-H6</f>
        <v>78</v>
      </c>
      <c r="H6" s="86">
        <v>8</v>
      </c>
      <c r="I6" s="15">
        <v>100</v>
      </c>
      <c r="J6" s="80">
        <f t="shared" ref="J6:J100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1</v>
      </c>
      <c r="D14" s="85">
        <v>3</v>
      </c>
      <c r="E14" s="47">
        <f t="shared" si="0"/>
        <v>4</v>
      </c>
      <c r="F14" s="85">
        <v>0</v>
      </c>
      <c r="G14" s="47">
        <f t="shared" si="4"/>
        <v>4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+'7'!G17</f>
        <v>0</v>
      </c>
      <c r="D17" s="85">
        <v>5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+'7'!G23</f>
        <v>4</v>
      </c>
      <c r="D23" s="85">
        <v>15</v>
      </c>
      <c r="E23" s="47">
        <f t="shared" si="0"/>
        <v>19</v>
      </c>
      <c r="F23" s="85">
        <v>0</v>
      </c>
      <c r="G23" s="47">
        <f t="shared" si="4"/>
        <v>18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+'7'!G24</f>
        <v>3</v>
      </c>
      <c r="D24" s="85">
        <v>2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+'7'!G25</f>
        <v>4</v>
      </c>
      <c r="D25" s="85">
        <v>2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4</v>
      </c>
      <c r="D32" s="85">
        <v>2</v>
      </c>
      <c r="E32" s="47">
        <f t="shared" si="0"/>
        <v>6</v>
      </c>
      <c r="F32" s="85">
        <v>0</v>
      </c>
      <c r="G32" s="47">
        <f t="shared" si="4"/>
        <v>6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+'7'!G33</f>
        <v>5</v>
      </c>
      <c r="D33" s="85">
        <v>2</v>
      </c>
      <c r="E33" s="47">
        <f t="shared" si="0"/>
        <v>7</v>
      </c>
      <c r="F33" s="85">
        <v>0</v>
      </c>
      <c r="G33" s="47">
        <f t="shared" si="4"/>
        <v>7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+'7'!G37</f>
        <v>18</v>
      </c>
      <c r="D37" s="85">
        <v>20</v>
      </c>
      <c r="E37" s="47">
        <f t="shared" si="0"/>
        <v>38</v>
      </c>
      <c r="F37" s="85">
        <v>0</v>
      </c>
      <c r="G37" s="47">
        <f t="shared" si="4"/>
        <v>37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+'7'!G38</f>
        <v>10</v>
      </c>
      <c r="D38" s="85">
        <v>8</v>
      </c>
      <c r="E38" s="47">
        <f t="shared" si="0"/>
        <v>18</v>
      </c>
      <c r="F38" s="85">
        <v>0</v>
      </c>
      <c r="G38" s="47">
        <f t="shared" si="4"/>
        <v>16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+'7'!G39</f>
        <v>5</v>
      </c>
      <c r="D39" s="85">
        <v>5</v>
      </c>
      <c r="E39" s="47">
        <f t="shared" si="0"/>
        <v>10</v>
      </c>
      <c r="F39" s="85">
        <v>0</v>
      </c>
      <c r="G39" s="47">
        <f t="shared" si="4"/>
        <v>10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+'7'!G40</f>
        <v>12</v>
      </c>
      <c r="D40" s="85">
        <v>5</v>
      </c>
      <c r="E40" s="47">
        <f t="shared" si="0"/>
        <v>17</v>
      </c>
      <c r="F40" s="85">
        <v>0</v>
      </c>
      <c r="G40" s="101">
        <f t="shared" si="4"/>
        <v>16</v>
      </c>
      <c r="H40" s="86">
        <v>1</v>
      </c>
      <c r="I40" s="15">
        <v>50</v>
      </c>
      <c r="J40" s="80">
        <f t="shared" si="5"/>
        <v>50</v>
      </c>
      <c r="K40" s="17" t="s">
        <v>278</v>
      </c>
      <c r="L40" s="18">
        <v>25</v>
      </c>
      <c r="M40" s="23">
        <f t="shared" si="6"/>
        <v>25</v>
      </c>
    </row>
    <row r="41" spans="1:13" ht="25.5" x14ac:dyDescent="0.55000000000000004">
      <c r="A41" s="10">
        <v>37</v>
      </c>
      <c r="B41" s="19" t="s">
        <v>52</v>
      </c>
      <c r="C41" s="79">
        <f>+'7'!G41</f>
        <v>6</v>
      </c>
      <c r="D41" s="85">
        <v>5</v>
      </c>
      <c r="E41" s="47">
        <f t="shared" si="0"/>
        <v>11</v>
      </c>
      <c r="F41" s="85">
        <v>0</v>
      </c>
      <c r="G41" s="47">
        <f t="shared" si="4"/>
        <v>6</v>
      </c>
      <c r="H41" s="86">
        <v>5</v>
      </c>
      <c r="I41" s="15">
        <v>50</v>
      </c>
      <c r="J41" s="80">
        <f t="shared" si="5"/>
        <v>250</v>
      </c>
      <c r="K41" s="17" t="s">
        <v>16</v>
      </c>
      <c r="L41" s="18">
        <v>0</v>
      </c>
      <c r="M41" s="23">
        <f t="shared" si="6"/>
        <v>250</v>
      </c>
    </row>
    <row r="42" spans="1:13" ht="25.5" x14ac:dyDescent="0.55000000000000004">
      <c r="A42" s="10">
        <v>38</v>
      </c>
      <c r="B42" s="19" t="s">
        <v>53</v>
      </c>
      <c r="C42" s="79">
        <f>+'7'!G42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+'7'!G43</f>
        <v>0</v>
      </c>
      <c r="D43" s="85">
        <v>5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+'7'!G44</f>
        <v>2</v>
      </c>
      <c r="D44" s="85">
        <v>5</v>
      </c>
      <c r="E44" s="47">
        <f t="shared" si="0"/>
        <v>7</v>
      </c>
      <c r="F44" s="85">
        <v>0</v>
      </c>
      <c r="G44" s="47">
        <f t="shared" si="4"/>
        <v>7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+'7'!G46</f>
        <v>7</v>
      </c>
      <c r="D46" s="85">
        <v>5</v>
      </c>
      <c r="E46" s="47">
        <f t="shared" si="0"/>
        <v>12</v>
      </c>
      <c r="F46" s="85">
        <v>0</v>
      </c>
      <c r="G46" s="47">
        <f t="shared" si="4"/>
        <v>8</v>
      </c>
      <c r="H46" s="86">
        <v>4</v>
      </c>
      <c r="I46" s="15">
        <v>50</v>
      </c>
      <c r="J46" s="80">
        <f t="shared" si="5"/>
        <v>200</v>
      </c>
      <c r="K46" s="17" t="s">
        <v>16</v>
      </c>
      <c r="L46" s="18">
        <v>0</v>
      </c>
      <c r="M46" s="23">
        <f t="shared" si="6"/>
        <v>200</v>
      </c>
    </row>
    <row r="47" spans="1:13" ht="25.5" x14ac:dyDescent="0.55000000000000004">
      <c r="A47" s="10">
        <v>43</v>
      </c>
      <c r="B47" s="19" t="s">
        <v>58</v>
      </c>
      <c r="C47" s="79">
        <f>+'7'!G47</f>
        <v>9</v>
      </c>
      <c r="D47" s="85">
        <v>5</v>
      </c>
      <c r="E47" s="47">
        <f t="shared" si="0"/>
        <v>14</v>
      </c>
      <c r="F47" s="85">
        <v>0</v>
      </c>
      <c r="G47" s="47">
        <f t="shared" si="4"/>
        <v>12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+'7'!G48</f>
        <v>4</v>
      </c>
      <c r="D48" s="85">
        <v>5</v>
      </c>
      <c r="E48" s="47">
        <f t="shared" si="0"/>
        <v>9</v>
      </c>
      <c r="F48" s="85">
        <v>0</v>
      </c>
      <c r="G48" s="47">
        <f t="shared" si="4"/>
        <v>9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0</v>
      </c>
      <c r="D49" s="85">
        <v>5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+'7'!G51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+'7'!G55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5</v>
      </c>
      <c r="D61" s="85">
        <v>2</v>
      </c>
      <c r="E61" s="47">
        <f t="shared" si="0"/>
        <v>7</v>
      </c>
      <c r="F61" s="85">
        <v>0</v>
      </c>
      <c r="G61" s="47">
        <f t="shared" si="4"/>
        <v>7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5</v>
      </c>
      <c r="D63" s="85">
        <v>2</v>
      </c>
      <c r="E63" s="47">
        <f t="shared" si="0"/>
        <v>7</v>
      </c>
      <c r="F63" s="85">
        <v>0</v>
      </c>
      <c r="G63" s="47">
        <f t="shared" si="4"/>
        <v>7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11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14</v>
      </c>
      <c r="D70" s="85">
        <v>8</v>
      </c>
      <c r="E70" s="47">
        <f t="shared" si="0"/>
        <v>22</v>
      </c>
      <c r="F70" s="85">
        <v>0</v>
      </c>
      <c r="G70" s="47">
        <f t="shared" si="4"/>
        <v>17</v>
      </c>
      <c r="H70" s="86">
        <v>5</v>
      </c>
      <c r="I70" s="20">
        <v>50</v>
      </c>
      <c r="J70" s="80">
        <f t="shared" si="5"/>
        <v>250</v>
      </c>
      <c r="K70" s="17" t="s">
        <v>278</v>
      </c>
      <c r="L70" s="18">
        <v>75</v>
      </c>
      <c r="M70" s="23">
        <f t="shared" ref="M70:M134" si="10">SUM(J70-L70)</f>
        <v>175</v>
      </c>
    </row>
    <row r="71" spans="1:13" ht="25.5" x14ac:dyDescent="0.55000000000000004">
      <c r="A71" s="10">
        <v>67</v>
      </c>
      <c r="B71" s="19" t="s">
        <v>82</v>
      </c>
      <c r="C71" s="79">
        <f>+'7'!G71</f>
        <v>9</v>
      </c>
      <c r="D71" s="85">
        <v>3</v>
      </c>
      <c r="E71" s="47">
        <f t="shared" si="0"/>
        <v>12</v>
      </c>
      <c r="F71" s="85">
        <v>0</v>
      </c>
      <c r="G71" s="47">
        <f t="shared" si="4"/>
        <v>12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+'7'!G77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+'7'!G79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0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+'7'!G80</f>
        <v>4</v>
      </c>
      <c r="D80" s="85">
        <v>5</v>
      </c>
      <c r="E80" s="47">
        <f t="shared" si="0"/>
        <v>9</v>
      </c>
      <c r="F80" s="85">
        <v>0</v>
      </c>
      <c r="G80" s="47">
        <f t="shared" si="4"/>
        <v>8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+'7'!G83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1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+'7'!G86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+'7'!G87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13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+'7'!G88</f>
        <v>4</v>
      </c>
      <c r="D88" s="85">
        <v>0</v>
      </c>
      <c r="E88" s="47">
        <f t="shared" si="0"/>
        <v>4</v>
      </c>
      <c r="F88" s="85">
        <v>0</v>
      </c>
      <c r="G88" s="47">
        <f t="shared" si="4"/>
        <v>4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+'7'!G89</f>
        <v>21</v>
      </c>
      <c r="D89" s="85">
        <v>0</v>
      </c>
      <c r="E89" s="47">
        <f t="shared" si="0"/>
        <v>21</v>
      </c>
      <c r="F89" s="85">
        <v>0</v>
      </c>
      <c r="G89" s="47">
        <f t="shared" si="4"/>
        <v>21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+'7'!G91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3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+'7'!G102</f>
        <v>12</v>
      </c>
      <c r="D102" s="85">
        <v>0</v>
      </c>
      <c r="E102" s="47">
        <f t="shared" si="0"/>
        <v>12</v>
      </c>
      <c r="F102" s="85">
        <v>0</v>
      </c>
      <c r="G102" s="47">
        <f t="shared" si="11"/>
        <v>12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+'7'!G104</f>
        <v>1</v>
      </c>
      <c r="D104" s="85">
        <v>0</v>
      </c>
      <c r="E104" s="47">
        <f t="shared" si="0"/>
        <v>1</v>
      </c>
      <c r="F104" s="85">
        <v>0</v>
      </c>
      <c r="G104" s="47">
        <f t="shared" si="11"/>
        <v>1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+'7'!G126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+'7'!G128</f>
        <v>81</v>
      </c>
      <c r="D128" s="85">
        <v>0</v>
      </c>
      <c r="E128" s="47">
        <f t="shared" si="13"/>
        <v>81</v>
      </c>
      <c r="F128" s="85">
        <v>0</v>
      </c>
      <c r="G128" s="47">
        <f t="shared" si="11"/>
        <v>79</v>
      </c>
      <c r="H128" s="86">
        <v>2</v>
      </c>
      <c r="I128" s="20">
        <v>20</v>
      </c>
      <c r="J128" s="80">
        <f t="shared" si="12"/>
        <v>40</v>
      </c>
      <c r="K128" s="17" t="s">
        <v>16</v>
      </c>
      <c r="L128" s="18">
        <v>20</v>
      </c>
      <c r="M128" s="23">
        <f t="shared" si="10"/>
        <v>20</v>
      </c>
    </row>
    <row r="129" spans="1:13" ht="25.5" x14ac:dyDescent="0.55000000000000004">
      <c r="A129" s="10">
        <v>125</v>
      </c>
      <c r="B129" s="19" t="s">
        <v>140</v>
      </c>
      <c r="C129" s="79">
        <f>+'7'!G129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+'7'!G161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+'7'!G162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+'7'!G163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+'7'!G169</f>
        <v>60</v>
      </c>
      <c r="D169" s="85">
        <v>0</v>
      </c>
      <c r="E169" s="47">
        <f t="shared" si="13"/>
        <v>60</v>
      </c>
      <c r="F169" s="85">
        <v>0</v>
      </c>
      <c r="G169" s="47">
        <f t="shared" si="15"/>
        <v>60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+'7'!G171</f>
        <v>8</v>
      </c>
      <c r="D171" s="85">
        <v>0</v>
      </c>
      <c r="E171" s="47">
        <f t="shared" si="13"/>
        <v>8</v>
      </c>
      <c r="F171" s="85">
        <v>0</v>
      </c>
      <c r="G171" s="47">
        <f t="shared" si="15"/>
        <v>8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+'7'!G177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0</v>
      </c>
      <c r="H177" s="86">
        <v>2</v>
      </c>
      <c r="I177" s="20">
        <v>50</v>
      </c>
      <c r="J177" s="80">
        <f t="shared" si="16"/>
        <v>100</v>
      </c>
      <c r="K177" s="17" t="s">
        <v>16</v>
      </c>
      <c r="L177" s="18">
        <v>0</v>
      </c>
      <c r="M177" s="23">
        <f t="shared" si="14"/>
        <v>100</v>
      </c>
    </row>
    <row r="178" spans="1:13" ht="25.5" x14ac:dyDescent="0.55000000000000004">
      <c r="A178" s="10">
        <v>174</v>
      </c>
      <c r="B178" s="19" t="s">
        <v>189</v>
      </c>
      <c r="C178" s="79">
        <f>+'7'!G178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+'7'!G179</f>
        <v>7</v>
      </c>
      <c r="D179" s="85">
        <v>0</v>
      </c>
      <c r="E179" s="47">
        <f t="shared" si="13"/>
        <v>7</v>
      </c>
      <c r="F179" s="85">
        <v>0</v>
      </c>
      <c r="G179" s="47">
        <f t="shared" si="15"/>
        <v>6</v>
      </c>
      <c r="H179" s="86">
        <v>1</v>
      </c>
      <c r="I179" s="20">
        <v>120</v>
      </c>
      <c r="J179" s="80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+'7'!G189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+'7'!G190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+'7'!G209</f>
        <v>1</v>
      </c>
      <c r="D209" s="85">
        <v>0</v>
      </c>
      <c r="E209" s="47">
        <f t="shared" si="17"/>
        <v>1</v>
      </c>
      <c r="F209" s="85">
        <v>0</v>
      </c>
      <c r="G209" s="47">
        <f t="shared" si="15"/>
        <v>1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+'7'!G211</f>
        <v>3</v>
      </c>
      <c r="D211" s="85">
        <v>5</v>
      </c>
      <c r="E211" s="47">
        <f t="shared" si="17"/>
        <v>8</v>
      </c>
      <c r="F211" s="85">
        <v>0</v>
      </c>
      <c r="G211" s="47">
        <f t="shared" si="15"/>
        <v>6</v>
      </c>
      <c r="H211" s="86">
        <v>2</v>
      </c>
      <c r="I211" s="20">
        <v>35</v>
      </c>
      <c r="J211" s="80">
        <f t="shared" si="16"/>
        <v>70</v>
      </c>
      <c r="K211" s="17" t="s">
        <v>16</v>
      </c>
      <c r="L211" s="18">
        <v>0</v>
      </c>
      <c r="M211" s="23">
        <f t="shared" si="18"/>
        <v>70</v>
      </c>
    </row>
    <row r="212" spans="1:13" ht="25.5" x14ac:dyDescent="0.55000000000000004">
      <c r="A212" s="10">
        <v>208</v>
      </c>
      <c r="B212" s="19" t="s">
        <v>245</v>
      </c>
      <c r="C212" s="79">
        <f>+'7'!G212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+'7'!G217</f>
        <v>1</v>
      </c>
      <c r="D217" s="85">
        <v>0</v>
      </c>
      <c r="E217" s="47">
        <f t="shared" si="17"/>
        <v>1</v>
      </c>
      <c r="F217" s="85">
        <v>0</v>
      </c>
      <c r="G217" s="47">
        <f t="shared" si="15"/>
        <v>1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+'7'!G218</f>
        <v>8</v>
      </c>
      <c r="D218" s="85">
        <v>0</v>
      </c>
      <c r="E218" s="47">
        <f t="shared" si="17"/>
        <v>8</v>
      </c>
      <c r="F218" s="85">
        <v>1</v>
      </c>
      <c r="G218" s="47">
        <f t="shared" si="15"/>
        <v>7</v>
      </c>
      <c r="H218" s="86"/>
      <c r="I218" s="20">
        <v>25</v>
      </c>
      <c r="J218" s="80">
        <f t="shared" si="16"/>
        <v>0</v>
      </c>
      <c r="K218" s="17" t="s">
        <v>281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+'7'!G220</f>
        <v>4</v>
      </c>
      <c r="D220" s="85">
        <v>5</v>
      </c>
      <c r="E220" s="47">
        <f t="shared" si="17"/>
        <v>9</v>
      </c>
      <c r="F220" s="85">
        <v>0</v>
      </c>
      <c r="G220" s="47">
        <f t="shared" si="15"/>
        <v>7</v>
      </c>
      <c r="H220" s="86">
        <v>2</v>
      </c>
      <c r="I220" s="20">
        <v>45</v>
      </c>
      <c r="J220" s="80">
        <f t="shared" si="16"/>
        <v>90</v>
      </c>
      <c r="K220" s="17" t="s">
        <v>16</v>
      </c>
      <c r="L220" s="18">
        <v>0</v>
      </c>
      <c r="M220" s="23">
        <f t="shared" si="18"/>
        <v>90</v>
      </c>
    </row>
    <row r="221" spans="1:13" ht="25.5" x14ac:dyDescent="0.55000000000000004">
      <c r="A221" s="10">
        <v>217</v>
      </c>
      <c r="B221" s="19" t="s">
        <v>301</v>
      </c>
      <c r="C221" s="79">
        <f>+'7'!G221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+'7'!G222</f>
        <v>22</v>
      </c>
      <c r="D222" s="85">
        <v>0</v>
      </c>
      <c r="E222" s="47">
        <f t="shared" si="17"/>
        <v>22</v>
      </c>
      <c r="F222" s="85">
        <v>0</v>
      </c>
      <c r="G222" s="47">
        <f t="shared" si="15"/>
        <v>20</v>
      </c>
      <c r="H222" s="86">
        <v>2</v>
      </c>
      <c r="I222" s="20">
        <v>35</v>
      </c>
      <c r="J222" s="80">
        <f t="shared" si="16"/>
        <v>70</v>
      </c>
      <c r="K222" s="17" t="s">
        <v>16</v>
      </c>
      <c r="L222" s="18">
        <v>0</v>
      </c>
      <c r="M222" s="23">
        <f t="shared" si="18"/>
        <v>70</v>
      </c>
    </row>
    <row r="223" spans="1:13" ht="25.5" x14ac:dyDescent="0.55000000000000004">
      <c r="A223" s="10">
        <v>219</v>
      </c>
      <c r="B223" s="19" t="s">
        <v>310</v>
      </c>
      <c r="C223" s="79">
        <f>+'7'!G223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3090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880</v>
      </c>
      <c r="L259" s="2">
        <v>150</v>
      </c>
      <c r="M259" s="2">
        <v>150</v>
      </c>
      <c r="N259" s="2">
        <v>200</v>
      </c>
      <c r="O259" s="2">
        <v>50</v>
      </c>
      <c r="P259" s="2">
        <v>150</v>
      </c>
      <c r="Q259" s="2">
        <v>100</v>
      </c>
      <c r="R259" s="2">
        <v>35</v>
      </c>
      <c r="S259" s="2">
        <v>45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120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2075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2170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95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95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66FF99"/>
  </sheetPr>
  <dimension ref="A1:Z341"/>
  <sheetViews>
    <sheetView zoomScale="70" zoomScaleNormal="70" workbookViewId="0">
      <pane xSplit="7" ySplit="4" topLeftCell="H25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+'8'!G5</f>
        <v>32</v>
      </c>
      <c r="D5" s="85">
        <v>0</v>
      </c>
      <c r="E5" s="47">
        <f t="shared" ref="E5:E125" si="0">C5+D5</f>
        <v>32</v>
      </c>
      <c r="F5" s="85">
        <v>0</v>
      </c>
      <c r="G5" s="47">
        <f>+E5-F5-H5</f>
        <v>29</v>
      </c>
      <c r="H5" s="86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102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+'8'!G6</f>
        <v>78</v>
      </c>
      <c r="D6" s="85">
        <v>0</v>
      </c>
      <c r="E6" s="47">
        <f t="shared" si="0"/>
        <v>78</v>
      </c>
      <c r="F6" s="85">
        <v>0</v>
      </c>
      <c r="G6" s="47">
        <f t="shared" ref="G6:G100" si="4">+E6-F6-H6</f>
        <v>75</v>
      </c>
      <c r="H6" s="86">
        <v>3</v>
      </c>
      <c r="I6" s="15">
        <v>100</v>
      </c>
      <c r="J6" s="80">
        <f t="shared" ref="J6:J100" si="5">+I6*H6</f>
        <v>300</v>
      </c>
      <c r="K6" s="17" t="s">
        <v>16</v>
      </c>
      <c r="L6" s="18">
        <v>0</v>
      </c>
      <c r="M6" s="102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3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2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+'8'!G14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4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+'8'!G17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3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102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+'8'!G22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+'8'!G23</f>
        <v>18</v>
      </c>
      <c r="D23" s="85">
        <v>0</v>
      </c>
      <c r="E23" s="47">
        <f t="shared" si="0"/>
        <v>18</v>
      </c>
      <c r="F23" s="85">
        <v>0</v>
      </c>
      <c r="G23" s="47">
        <f t="shared" si="4"/>
        <v>17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+'8'!G24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+'8'!G25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6</v>
      </c>
      <c r="D32" s="85">
        <v>0</v>
      </c>
      <c r="E32" s="47">
        <f t="shared" si="0"/>
        <v>6</v>
      </c>
      <c r="F32" s="85">
        <v>0</v>
      </c>
      <c r="G32" s="47">
        <f t="shared" si="4"/>
        <v>4</v>
      </c>
      <c r="H32" s="86">
        <v>2</v>
      </c>
      <c r="I32" s="15">
        <v>130</v>
      </c>
      <c r="J32" s="80">
        <f t="shared" si="5"/>
        <v>260</v>
      </c>
      <c r="K32" s="17" t="s">
        <v>278</v>
      </c>
      <c r="L32" s="18">
        <v>130</v>
      </c>
      <c r="M32" s="102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+'8'!G33</f>
        <v>7</v>
      </c>
      <c r="D33" s="85">
        <v>0</v>
      </c>
      <c r="E33" s="47">
        <f t="shared" si="0"/>
        <v>7</v>
      </c>
      <c r="F33" s="85">
        <v>0</v>
      </c>
      <c r="G33" s="47">
        <f t="shared" si="4"/>
        <v>4</v>
      </c>
      <c r="H33" s="86">
        <v>3</v>
      </c>
      <c r="I33" s="15">
        <v>130</v>
      </c>
      <c r="J33" s="80">
        <f t="shared" si="5"/>
        <v>390</v>
      </c>
      <c r="K33" s="17" t="s">
        <v>278</v>
      </c>
      <c r="L33" s="18">
        <v>195</v>
      </c>
      <c r="M33" s="102">
        <f t="shared" si="6"/>
        <v>195</v>
      </c>
    </row>
    <row r="34" spans="1:13" ht="25.5" x14ac:dyDescent="0.55000000000000004">
      <c r="A34" s="10">
        <v>30</v>
      </c>
      <c r="B34" s="19" t="s">
        <v>45</v>
      </c>
      <c r="C34" s="79">
        <f>+'8'!G34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+'8'!G37</f>
        <v>37</v>
      </c>
      <c r="D37" s="85">
        <v>0</v>
      </c>
      <c r="E37" s="47">
        <f t="shared" si="0"/>
        <v>37</v>
      </c>
      <c r="F37" s="85">
        <v>0</v>
      </c>
      <c r="G37" s="47">
        <f t="shared" si="4"/>
        <v>31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102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+'8'!G38</f>
        <v>16</v>
      </c>
      <c r="D38" s="85">
        <v>0</v>
      </c>
      <c r="E38" s="47">
        <f t="shared" si="0"/>
        <v>16</v>
      </c>
      <c r="F38" s="85">
        <v>0</v>
      </c>
      <c r="G38" s="47">
        <f t="shared" si="4"/>
        <v>13</v>
      </c>
      <c r="H38" s="86">
        <v>3</v>
      </c>
      <c r="I38" s="15">
        <v>50</v>
      </c>
      <c r="J38" s="80">
        <f t="shared" si="5"/>
        <v>150</v>
      </c>
      <c r="K38" s="17" t="s">
        <v>278</v>
      </c>
      <c r="L38" s="18">
        <v>25</v>
      </c>
      <c r="M38" s="102">
        <f t="shared" si="6"/>
        <v>125</v>
      </c>
    </row>
    <row r="39" spans="1:13" ht="25.5" x14ac:dyDescent="0.55000000000000004">
      <c r="A39" s="10">
        <v>35</v>
      </c>
      <c r="B39" s="19" t="s">
        <v>50</v>
      </c>
      <c r="C39" s="79">
        <f>+'8'!G39</f>
        <v>10</v>
      </c>
      <c r="D39" s="85">
        <v>0</v>
      </c>
      <c r="E39" s="47">
        <f t="shared" si="0"/>
        <v>10</v>
      </c>
      <c r="F39" s="85">
        <v>0</v>
      </c>
      <c r="G39" s="47">
        <f t="shared" si="4"/>
        <v>8</v>
      </c>
      <c r="H39" s="86">
        <v>2</v>
      </c>
      <c r="I39" s="15">
        <v>50</v>
      </c>
      <c r="J39" s="80">
        <f t="shared" si="5"/>
        <v>100</v>
      </c>
      <c r="K39" s="17" t="s">
        <v>278</v>
      </c>
      <c r="L39" s="18">
        <v>25</v>
      </c>
      <c r="M39" s="102">
        <f t="shared" si="6"/>
        <v>75</v>
      </c>
    </row>
    <row r="40" spans="1:13" ht="25.5" x14ac:dyDescent="0.55000000000000004">
      <c r="A40" s="10">
        <v>36</v>
      </c>
      <c r="B40" s="19" t="s">
        <v>51</v>
      </c>
      <c r="C40" s="79">
        <f>+'8'!G40</f>
        <v>16</v>
      </c>
      <c r="D40" s="85">
        <v>0</v>
      </c>
      <c r="E40" s="47">
        <f t="shared" si="0"/>
        <v>16</v>
      </c>
      <c r="F40" s="85">
        <v>0</v>
      </c>
      <c r="G40" s="47">
        <f t="shared" si="4"/>
        <v>13</v>
      </c>
      <c r="H40" s="86">
        <v>3</v>
      </c>
      <c r="I40" s="15">
        <v>50</v>
      </c>
      <c r="J40" s="80">
        <f t="shared" si="5"/>
        <v>150</v>
      </c>
      <c r="K40" s="17" t="s">
        <v>278</v>
      </c>
      <c r="L40" s="18">
        <v>75</v>
      </c>
      <c r="M40" s="102">
        <f t="shared" si="6"/>
        <v>75</v>
      </c>
    </row>
    <row r="41" spans="1:13" ht="25.5" x14ac:dyDescent="0.55000000000000004">
      <c r="A41" s="10">
        <v>37</v>
      </c>
      <c r="B41" s="19" t="s">
        <v>52</v>
      </c>
      <c r="C41" s="79">
        <f>+'8'!G41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+'8'!G43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2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+'8'!G44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6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102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+'8'!G46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7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102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+'8'!G47</f>
        <v>12</v>
      </c>
      <c r="D47" s="85">
        <v>0</v>
      </c>
      <c r="E47" s="47">
        <f t="shared" si="0"/>
        <v>12</v>
      </c>
      <c r="F47" s="85">
        <v>0</v>
      </c>
      <c r="G47" s="47">
        <f t="shared" si="4"/>
        <v>11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102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7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2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5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+'8'!G61</f>
        <v>7</v>
      </c>
      <c r="D61" s="85">
        <v>0</v>
      </c>
      <c r="E61" s="47">
        <f t="shared" si="0"/>
        <v>7</v>
      </c>
      <c r="F61" s="85">
        <v>0</v>
      </c>
      <c r="G61" s="47">
        <f t="shared" si="4"/>
        <v>7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+'8'!G63</f>
        <v>7</v>
      </c>
      <c r="D63" s="85">
        <v>0</v>
      </c>
      <c r="E63" s="47">
        <f t="shared" si="0"/>
        <v>7</v>
      </c>
      <c r="F63" s="85">
        <v>0</v>
      </c>
      <c r="G63" s="47">
        <f t="shared" si="4"/>
        <v>6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102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+'8'!G66</f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11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+'8'!G67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3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102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+'8'!G70</f>
        <v>17</v>
      </c>
      <c r="D70" s="85">
        <v>0</v>
      </c>
      <c r="E70" s="47">
        <f t="shared" si="0"/>
        <v>17</v>
      </c>
      <c r="F70" s="85">
        <v>0</v>
      </c>
      <c r="G70" s="47">
        <f t="shared" si="4"/>
        <v>14</v>
      </c>
      <c r="H70" s="86">
        <v>3</v>
      </c>
      <c r="I70" s="20">
        <v>50</v>
      </c>
      <c r="J70" s="80">
        <f t="shared" si="5"/>
        <v>150</v>
      </c>
      <c r="K70" s="17" t="s">
        <v>278</v>
      </c>
      <c r="L70" s="18">
        <v>75</v>
      </c>
      <c r="M70" s="102">
        <f t="shared" ref="M70:M134" si="10">SUM(J70-L70)</f>
        <v>75</v>
      </c>
    </row>
    <row r="71" spans="1:13" ht="25.5" x14ac:dyDescent="0.55000000000000004">
      <c r="A71" s="10">
        <v>67</v>
      </c>
      <c r="B71" s="19" t="s">
        <v>82</v>
      </c>
      <c r="C71" s="79">
        <f>+'8'!G71</f>
        <v>12</v>
      </c>
      <c r="D71" s="85">
        <v>0</v>
      </c>
      <c r="E71" s="47">
        <f t="shared" si="0"/>
        <v>12</v>
      </c>
      <c r="F71" s="85">
        <v>0</v>
      </c>
      <c r="G71" s="47">
        <f t="shared" si="4"/>
        <v>8</v>
      </c>
      <c r="H71" s="86">
        <v>4</v>
      </c>
      <c r="I71" s="20">
        <v>60</v>
      </c>
      <c r="J71" s="80">
        <f t="shared" si="5"/>
        <v>240</v>
      </c>
      <c r="K71" s="17" t="s">
        <v>278</v>
      </c>
      <c r="L71" s="18">
        <v>120</v>
      </c>
      <c r="M71" s="102">
        <f t="shared" si="10"/>
        <v>120</v>
      </c>
    </row>
    <row r="72" spans="1:13" ht="25.5" x14ac:dyDescent="0.55000000000000004">
      <c r="A72" s="10">
        <v>68</v>
      </c>
      <c r="B72" s="19" t="s">
        <v>83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+'8'!G73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+'8'!G77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+'8'!G79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7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2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v>3</v>
      </c>
      <c r="D83" s="85">
        <v>0</v>
      </c>
      <c r="E83" s="47">
        <f t="shared" si="0"/>
        <v>3</v>
      </c>
      <c r="F83" s="85">
        <v>0</v>
      </c>
      <c r="G83" s="47">
        <f t="shared" si="4"/>
        <v>3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+'8'!G86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+'8'!G87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13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+'8'!G88</f>
        <v>4</v>
      </c>
      <c r="D88" s="85">
        <v>0</v>
      </c>
      <c r="E88" s="47">
        <f t="shared" si="0"/>
        <v>4</v>
      </c>
      <c r="F88" s="85">
        <v>0</v>
      </c>
      <c r="G88" s="47">
        <f t="shared" si="4"/>
        <v>3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102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+'8'!G89</f>
        <v>21</v>
      </c>
      <c r="D89" s="85">
        <v>0</v>
      </c>
      <c r="E89" s="47">
        <f t="shared" si="0"/>
        <v>21</v>
      </c>
      <c r="F89" s="85">
        <v>0</v>
      </c>
      <c r="G89" s="47">
        <f t="shared" si="4"/>
        <v>21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+'8'!G91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3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+'8'!G102</f>
        <v>12</v>
      </c>
      <c r="D102" s="85">
        <v>0</v>
      </c>
      <c r="E102" s="47">
        <f t="shared" si="0"/>
        <v>12</v>
      </c>
      <c r="F102" s="85">
        <v>0</v>
      </c>
      <c r="G102" s="47">
        <f t="shared" si="11"/>
        <v>12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+'8'!G104</f>
        <v>1</v>
      </c>
      <c r="D104" s="85">
        <v>0</v>
      </c>
      <c r="E104" s="47">
        <f t="shared" si="0"/>
        <v>1</v>
      </c>
      <c r="F104" s="85">
        <v>0</v>
      </c>
      <c r="G104" s="47">
        <f t="shared" si="11"/>
        <v>1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+'8'!G126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+'8'!G128</f>
        <v>79</v>
      </c>
      <c r="D128" s="85">
        <v>0</v>
      </c>
      <c r="E128" s="47">
        <f t="shared" si="13"/>
        <v>79</v>
      </c>
      <c r="F128" s="85">
        <v>0</v>
      </c>
      <c r="G128" s="47">
        <f t="shared" si="11"/>
        <v>76</v>
      </c>
      <c r="H128" s="86">
        <v>3</v>
      </c>
      <c r="I128" s="20">
        <v>20</v>
      </c>
      <c r="J128" s="80">
        <f t="shared" si="12"/>
        <v>60</v>
      </c>
      <c r="K128" s="17" t="s">
        <v>278</v>
      </c>
      <c r="L128" s="18">
        <v>30</v>
      </c>
      <c r="M128" s="102">
        <f t="shared" si="10"/>
        <v>30</v>
      </c>
    </row>
    <row r="129" spans="1:13" ht="25.5" x14ac:dyDescent="0.55000000000000004">
      <c r="A129" s="10">
        <v>125</v>
      </c>
      <c r="B129" s="19" t="s">
        <v>140</v>
      </c>
      <c r="C129" s="79">
        <f>+'8'!G129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+'8'!G161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+'8'!G162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+'8'!G163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+'8'!G169</f>
        <v>60</v>
      </c>
      <c r="D169" s="85">
        <v>0</v>
      </c>
      <c r="E169" s="47">
        <f t="shared" si="13"/>
        <v>60</v>
      </c>
      <c r="F169" s="85">
        <v>0</v>
      </c>
      <c r="G169" s="47">
        <f t="shared" si="15"/>
        <v>59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102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+'8'!G171</f>
        <v>8</v>
      </c>
      <c r="D171" s="85">
        <v>0</v>
      </c>
      <c r="E171" s="47">
        <f t="shared" si="13"/>
        <v>8</v>
      </c>
      <c r="F171" s="85">
        <v>0</v>
      </c>
      <c r="G171" s="47">
        <f t="shared" si="15"/>
        <v>8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+'8'!G179</f>
        <v>6</v>
      </c>
      <c r="D179" s="85">
        <v>0</v>
      </c>
      <c r="E179" s="47">
        <f t="shared" si="13"/>
        <v>6</v>
      </c>
      <c r="F179" s="85">
        <v>0</v>
      </c>
      <c r="G179" s="47">
        <f t="shared" si="15"/>
        <v>6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+'8'!G189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+'8'!G190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+'8'!G211</f>
        <v>6</v>
      </c>
      <c r="D211" s="85">
        <v>0</v>
      </c>
      <c r="E211" s="47">
        <f t="shared" si="17"/>
        <v>6</v>
      </c>
      <c r="F211" s="85">
        <v>0</v>
      </c>
      <c r="G211" s="47">
        <f t="shared" si="15"/>
        <v>5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102">
        <f t="shared" si="18"/>
        <v>35</v>
      </c>
    </row>
    <row r="212" spans="1:13" ht="25.5" x14ac:dyDescent="0.55000000000000004">
      <c r="A212" s="10">
        <v>208</v>
      </c>
      <c r="B212" s="19" t="s">
        <v>245</v>
      </c>
      <c r="C212" s="79">
        <f>+'8'!G212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+'8'!G218</f>
        <v>7</v>
      </c>
      <c r="D218" s="85">
        <v>0</v>
      </c>
      <c r="E218" s="47">
        <f t="shared" si="17"/>
        <v>7</v>
      </c>
      <c r="F218" s="85">
        <v>0</v>
      </c>
      <c r="G218" s="47">
        <f t="shared" si="15"/>
        <v>3</v>
      </c>
      <c r="H218" s="86">
        <v>4</v>
      </c>
      <c r="I218" s="20">
        <v>25</v>
      </c>
      <c r="J218" s="80">
        <f t="shared" si="16"/>
        <v>100</v>
      </c>
      <c r="K218" s="17" t="s">
        <v>278</v>
      </c>
      <c r="L218" s="18">
        <v>50</v>
      </c>
      <c r="M218" s="102">
        <f t="shared" si="18"/>
        <v>50</v>
      </c>
    </row>
    <row r="219" spans="1:13" ht="25.5" x14ac:dyDescent="0.55000000000000004">
      <c r="A219" s="10">
        <v>215</v>
      </c>
      <c r="B219" s="19" t="s">
        <v>273</v>
      </c>
      <c r="C219" s="79">
        <f>+'8'!G219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+'8'!G220</f>
        <v>7</v>
      </c>
      <c r="D220" s="85">
        <v>0</v>
      </c>
      <c r="E220" s="47">
        <f t="shared" si="17"/>
        <v>7</v>
      </c>
      <c r="F220" s="85">
        <v>0</v>
      </c>
      <c r="G220" s="47">
        <f t="shared" si="15"/>
        <v>7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+'8'!G222</f>
        <v>20</v>
      </c>
      <c r="D222" s="85">
        <v>0</v>
      </c>
      <c r="E222" s="47">
        <f t="shared" si="17"/>
        <v>20</v>
      </c>
      <c r="F222" s="85">
        <v>0</v>
      </c>
      <c r="G222" s="47">
        <f t="shared" si="15"/>
        <v>20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2775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8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3500</v>
      </c>
    </row>
    <row r="258" spans="1:18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1080</v>
      </c>
      <c r="L259" s="2">
        <v>150</v>
      </c>
      <c r="M259" s="2">
        <v>250</v>
      </c>
      <c r="N259" s="2">
        <v>200</v>
      </c>
      <c r="O259" s="2">
        <v>75</v>
      </c>
      <c r="P259" s="2">
        <v>180</v>
      </c>
      <c r="Q259" s="2">
        <v>35</v>
      </c>
      <c r="R259" s="2">
        <v>190</v>
      </c>
    </row>
    <row r="260" spans="1:18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8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8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725</v>
      </c>
    </row>
    <row r="263" spans="1:18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1680</v>
      </c>
    </row>
    <row r="264" spans="1:18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1680</v>
      </c>
    </row>
    <row r="265" spans="1:18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8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8" x14ac:dyDescent="0.5">
      <c r="G267" s="2"/>
      <c r="I267" s="2"/>
    </row>
    <row r="268" spans="1:18" x14ac:dyDescent="0.5">
      <c r="G268" s="2"/>
      <c r="I268" s="2"/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66FF99"/>
  </sheetPr>
  <dimension ref="A1:Z341"/>
  <sheetViews>
    <sheetView zoomScale="85" zoomScaleNormal="85" workbookViewId="0">
      <pane xSplit="7" ySplit="4" topLeftCell="H25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+'9'!G5</f>
        <v>29</v>
      </c>
      <c r="D5" s="85">
        <v>0</v>
      </c>
      <c r="E5" s="47">
        <f t="shared" ref="E5:E125" si="0">C5+D5</f>
        <v>29</v>
      </c>
      <c r="F5" s="85">
        <v>0</v>
      </c>
      <c r="G5" s="47">
        <f>+E5-F5-H5</f>
        <v>29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75</v>
      </c>
      <c r="D6" s="85">
        <v>0</v>
      </c>
      <c r="E6" s="47">
        <f t="shared" si="0"/>
        <v>75</v>
      </c>
      <c r="F6" s="85">
        <v>0</v>
      </c>
      <c r="G6" s="47">
        <f t="shared" ref="G6:G100" si="4">+E6-F6-H6</f>
        <v>69</v>
      </c>
      <c r="H6" s="86">
        <v>6</v>
      </c>
      <c r="I6" s="15">
        <v>100</v>
      </c>
      <c r="J6" s="80">
        <f t="shared" ref="J6:J100" si="5">+I6*H6</f>
        <v>600</v>
      </c>
      <c r="K6" s="17" t="s">
        <v>16</v>
      </c>
      <c r="L6" s="18">
        <v>0</v>
      </c>
      <c r="M6" s="102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2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2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3</v>
      </c>
      <c r="H14" s="86">
        <v>1</v>
      </c>
      <c r="I14" s="20">
        <v>65</v>
      </c>
      <c r="J14" s="80">
        <f t="shared" si="5"/>
        <v>65</v>
      </c>
      <c r="K14" s="17" t="s">
        <v>278</v>
      </c>
      <c r="L14" s="18">
        <v>32</v>
      </c>
      <c r="M14" s="102">
        <f t="shared" si="6"/>
        <v>33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+'9'!G17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2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102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+'9'!G22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+'9'!G23</f>
        <v>17</v>
      </c>
      <c r="D23" s="85">
        <v>0</v>
      </c>
      <c r="E23" s="47">
        <f t="shared" si="0"/>
        <v>17</v>
      </c>
      <c r="F23" s="85">
        <v>0</v>
      </c>
      <c r="G23" s="47">
        <f t="shared" si="4"/>
        <v>15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102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+'9'!G24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+'9'!G25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4</v>
      </c>
      <c r="D32" s="85">
        <v>0</v>
      </c>
      <c r="E32" s="47">
        <f t="shared" si="0"/>
        <v>4</v>
      </c>
      <c r="F32" s="85">
        <v>0</v>
      </c>
      <c r="G32" s="47">
        <f t="shared" si="4"/>
        <v>3</v>
      </c>
      <c r="H32" s="86">
        <v>1</v>
      </c>
      <c r="I32" s="15">
        <v>130</v>
      </c>
      <c r="J32" s="80">
        <f t="shared" si="5"/>
        <v>130</v>
      </c>
      <c r="K32" s="17" t="s">
        <v>278</v>
      </c>
      <c r="L32" s="18">
        <v>65</v>
      </c>
      <c r="M32" s="102">
        <f t="shared" si="6"/>
        <v>65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+'9'!G33</f>
        <v>4</v>
      </c>
      <c r="D33" s="85">
        <v>0</v>
      </c>
      <c r="E33" s="47">
        <f t="shared" si="0"/>
        <v>4</v>
      </c>
      <c r="F33" s="85">
        <v>0</v>
      </c>
      <c r="G33" s="47">
        <f t="shared" si="4"/>
        <v>3</v>
      </c>
      <c r="H33" s="86">
        <v>1</v>
      </c>
      <c r="I33" s="15">
        <v>130</v>
      </c>
      <c r="J33" s="80">
        <f t="shared" si="5"/>
        <v>130</v>
      </c>
      <c r="K33" s="17" t="s">
        <v>278</v>
      </c>
      <c r="L33" s="18">
        <v>65</v>
      </c>
      <c r="M33" s="102">
        <f t="shared" si="6"/>
        <v>65</v>
      </c>
    </row>
    <row r="34" spans="1:13" ht="25.5" x14ac:dyDescent="0.55000000000000004">
      <c r="A34" s="10">
        <v>30</v>
      </c>
      <c r="B34" s="19" t="s">
        <v>45</v>
      </c>
      <c r="C34" s="79">
        <f>+'9'!G34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+'9'!G37</f>
        <v>31</v>
      </c>
      <c r="D37" s="85">
        <v>0</v>
      </c>
      <c r="E37" s="47">
        <f t="shared" si="0"/>
        <v>31</v>
      </c>
      <c r="F37" s="85">
        <v>0</v>
      </c>
      <c r="G37" s="47">
        <f t="shared" si="4"/>
        <v>25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+'9'!G38</f>
        <v>13</v>
      </c>
      <c r="D38" s="85">
        <v>0</v>
      </c>
      <c r="E38" s="47">
        <f t="shared" si="0"/>
        <v>13</v>
      </c>
      <c r="F38" s="85">
        <v>0</v>
      </c>
      <c r="G38" s="47">
        <f t="shared" si="4"/>
        <v>7</v>
      </c>
      <c r="H38" s="86">
        <v>6</v>
      </c>
      <c r="I38" s="15">
        <v>50</v>
      </c>
      <c r="J38" s="80">
        <f t="shared" si="5"/>
        <v>300</v>
      </c>
      <c r="K38" s="17" t="s">
        <v>278</v>
      </c>
      <c r="L38" s="18">
        <v>125</v>
      </c>
      <c r="M38" s="23">
        <f t="shared" si="6"/>
        <v>175</v>
      </c>
    </row>
    <row r="39" spans="1:13" ht="25.5" x14ac:dyDescent="0.55000000000000004">
      <c r="A39" s="10">
        <v>35</v>
      </c>
      <c r="B39" s="19" t="s">
        <v>50</v>
      </c>
      <c r="C39" s="79">
        <f>+'9'!G39</f>
        <v>8</v>
      </c>
      <c r="D39" s="85">
        <v>0</v>
      </c>
      <c r="E39" s="47">
        <f t="shared" si="0"/>
        <v>8</v>
      </c>
      <c r="F39" s="85">
        <v>0</v>
      </c>
      <c r="G39" s="47">
        <f t="shared" si="4"/>
        <v>6</v>
      </c>
      <c r="H39" s="86">
        <v>2</v>
      </c>
      <c r="I39" s="15">
        <v>50</v>
      </c>
      <c r="J39" s="80">
        <f t="shared" si="5"/>
        <v>100</v>
      </c>
      <c r="K39" s="17" t="s">
        <v>278</v>
      </c>
      <c r="L39" s="18">
        <v>50</v>
      </c>
      <c r="M39" s="23">
        <f>SUM(J39-L39)</f>
        <v>50</v>
      </c>
    </row>
    <row r="40" spans="1:13" ht="25.5" x14ac:dyDescent="0.55000000000000004">
      <c r="A40" s="10">
        <v>36</v>
      </c>
      <c r="B40" s="19" t="s">
        <v>51</v>
      </c>
      <c r="C40" s="79">
        <f>+'9'!G40</f>
        <v>13</v>
      </c>
      <c r="D40" s="85">
        <v>0</v>
      </c>
      <c r="E40" s="47">
        <f t="shared" si="0"/>
        <v>13</v>
      </c>
      <c r="F40" s="85">
        <v>0</v>
      </c>
      <c r="G40" s="47">
        <f t="shared" si="4"/>
        <v>9</v>
      </c>
      <c r="H40" s="86">
        <v>4</v>
      </c>
      <c r="I40" s="15">
        <v>50</v>
      </c>
      <c r="J40" s="80">
        <f t="shared" si="5"/>
        <v>200</v>
      </c>
      <c r="K40" s="17" t="s">
        <v>278</v>
      </c>
      <c r="L40" s="18">
        <v>100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+'9'!G41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+'9'!G43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3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+'9'!G44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6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+'9'!G46</f>
        <v>7</v>
      </c>
      <c r="D46" s="85">
        <v>0</v>
      </c>
      <c r="E46" s="47">
        <f t="shared" si="0"/>
        <v>7</v>
      </c>
      <c r="F46" s="85">
        <v>0</v>
      </c>
      <c r="G46" s="47">
        <f t="shared" si="4"/>
        <v>6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+'9'!G47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7</v>
      </c>
      <c r="H47" s="86">
        <v>4</v>
      </c>
      <c r="I47" s="15">
        <v>50</v>
      </c>
      <c r="J47" s="80">
        <f t="shared" si="5"/>
        <v>200</v>
      </c>
      <c r="K47" s="17" t="s">
        <v>309</v>
      </c>
      <c r="L47" s="18">
        <v>100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+'9'!G48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+'9'!G61</f>
        <v>7</v>
      </c>
      <c r="D61" s="85">
        <v>0</v>
      </c>
      <c r="E61" s="47">
        <f t="shared" si="0"/>
        <v>7</v>
      </c>
      <c r="F61" s="85">
        <v>0</v>
      </c>
      <c r="G61" s="47">
        <f t="shared" si="4"/>
        <v>2</v>
      </c>
      <c r="H61" s="86">
        <v>5</v>
      </c>
      <c r="I61" s="15">
        <v>50</v>
      </c>
      <c r="J61" s="80">
        <f t="shared" si="5"/>
        <v>250</v>
      </c>
      <c r="K61" s="17" t="s">
        <v>278</v>
      </c>
      <c r="L61" s="18">
        <v>125</v>
      </c>
      <c r="M61" s="23">
        <f t="shared" si="6"/>
        <v>125</v>
      </c>
    </row>
    <row r="62" spans="1:13" ht="25.5" x14ac:dyDescent="0.55000000000000004">
      <c r="A62" s="10">
        <v>58</v>
      </c>
      <c r="B62" s="19" t="s">
        <v>73</v>
      </c>
      <c r="C62" s="79">
        <f>+'9'!G62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6</v>
      </c>
      <c r="D63" s="85">
        <v>0</v>
      </c>
      <c r="E63" s="47">
        <f t="shared" si="0"/>
        <v>6</v>
      </c>
      <c r="F63" s="85">
        <v>0</v>
      </c>
      <c r="G63" s="47">
        <f t="shared" si="4"/>
        <v>5</v>
      </c>
      <c r="H63" s="86">
        <v>1</v>
      </c>
      <c r="I63" s="20">
        <v>50</v>
      </c>
      <c r="J63" s="80">
        <f t="shared" si="5"/>
        <v>50</v>
      </c>
      <c r="K63" s="17" t="s">
        <v>278</v>
      </c>
      <c r="L63" s="18">
        <v>25</v>
      </c>
      <c r="M63" s="23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+'9'!G66</f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11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3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v>15</v>
      </c>
      <c r="D70" s="85">
        <v>0</v>
      </c>
      <c r="E70" s="47">
        <f t="shared" si="0"/>
        <v>15</v>
      </c>
      <c r="F70" s="85">
        <v>0</v>
      </c>
      <c r="G70" s="47">
        <f t="shared" si="4"/>
        <v>12</v>
      </c>
      <c r="H70" s="86">
        <v>3</v>
      </c>
      <c r="I70" s="20">
        <v>50</v>
      </c>
      <c r="J70" s="80">
        <f t="shared" si="5"/>
        <v>150</v>
      </c>
      <c r="K70" s="17" t="s">
        <v>278</v>
      </c>
      <c r="L70" s="18">
        <v>75</v>
      </c>
      <c r="M70" s="23">
        <f t="shared" ref="M70:M134" si="10">SUM(J70-L70)</f>
        <v>75</v>
      </c>
    </row>
    <row r="71" spans="1:13" ht="25.5" x14ac:dyDescent="0.55000000000000004">
      <c r="A71" s="10">
        <v>67</v>
      </c>
      <c r="B71" s="19" t="s">
        <v>82</v>
      </c>
      <c r="C71" s="79">
        <f>+'9'!G71</f>
        <v>8</v>
      </c>
      <c r="D71" s="85">
        <v>0</v>
      </c>
      <c r="E71" s="47">
        <f t="shared" si="0"/>
        <v>8</v>
      </c>
      <c r="F71" s="85">
        <v>0</v>
      </c>
      <c r="G71" s="47">
        <f t="shared" si="4"/>
        <v>7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0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+'9'!G77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278</v>
      </c>
      <c r="L77" s="18">
        <v>25</v>
      </c>
      <c r="M77" s="23">
        <f t="shared" si="10"/>
        <v>25</v>
      </c>
    </row>
    <row r="78" spans="1:13" ht="25.5" x14ac:dyDescent="0.55000000000000004">
      <c r="A78" s="10">
        <v>74</v>
      </c>
      <c r="B78" s="19" t="s">
        <v>276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+'9'!G79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+'9'!G80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2</v>
      </c>
      <c r="H80" s="86">
        <v>5</v>
      </c>
      <c r="I80" s="22">
        <v>50</v>
      </c>
      <c r="J80" s="80">
        <f t="shared" si="5"/>
        <v>250</v>
      </c>
      <c r="K80" s="17" t="s">
        <v>278</v>
      </c>
      <c r="L80" s="18">
        <v>50</v>
      </c>
      <c r="M80" s="23">
        <f t="shared" si="10"/>
        <v>200</v>
      </c>
    </row>
    <row r="81" spans="1:13" ht="25.5" x14ac:dyDescent="0.55000000000000004">
      <c r="A81" s="10">
        <v>77</v>
      </c>
      <c r="B81" s="19" t="s">
        <v>91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+'9'!G82</f>
        <v>2</v>
      </c>
      <c r="D82" s="85">
        <v>0</v>
      </c>
      <c r="E82" s="47">
        <f t="shared" si="0"/>
        <v>2</v>
      </c>
      <c r="F82" s="85">
        <v>0</v>
      </c>
      <c r="G82" s="47">
        <f t="shared" si="4"/>
        <v>1</v>
      </c>
      <c r="H82" s="86">
        <v>1</v>
      </c>
      <c r="I82" s="20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+'9'!G83</f>
        <v>3</v>
      </c>
      <c r="D83" s="85">
        <v>0</v>
      </c>
      <c r="E83" s="47">
        <f t="shared" si="0"/>
        <v>3</v>
      </c>
      <c r="F83" s="85">
        <v>0</v>
      </c>
      <c r="G83" s="47">
        <f t="shared" si="4"/>
        <v>3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+'9'!G86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+'9'!G87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12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+'9'!G88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+'9'!G89</f>
        <v>21</v>
      </c>
      <c r="D89" s="85">
        <v>0</v>
      </c>
      <c r="E89" s="47">
        <f t="shared" si="0"/>
        <v>21</v>
      </c>
      <c r="F89" s="85">
        <v>0</v>
      </c>
      <c r="G89" s="47">
        <f t="shared" si="4"/>
        <v>20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+'9'!G91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2</v>
      </c>
      <c r="H91" s="86">
        <v>1</v>
      </c>
      <c r="I91" s="20">
        <v>50</v>
      </c>
      <c r="J91" s="80">
        <f t="shared" si="5"/>
        <v>50</v>
      </c>
      <c r="K91" s="17" t="s">
        <v>278</v>
      </c>
      <c r="L91" s="18">
        <v>25</v>
      </c>
      <c r="M91" s="23">
        <f t="shared" si="10"/>
        <v>25</v>
      </c>
    </row>
    <row r="92" spans="1:13" ht="25.5" x14ac:dyDescent="0.55000000000000004">
      <c r="A92" s="10">
        <v>88</v>
      </c>
      <c r="B92" s="19" t="s">
        <v>102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+'9'!G102</f>
        <v>12</v>
      </c>
      <c r="D102" s="85">
        <v>0</v>
      </c>
      <c r="E102" s="47">
        <f t="shared" si="0"/>
        <v>12</v>
      </c>
      <c r="F102" s="85">
        <v>0</v>
      </c>
      <c r="G102" s="47">
        <f t="shared" si="11"/>
        <v>11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1"/>
        <v>0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+'9'!G104</f>
        <v>1</v>
      </c>
      <c r="D104" s="85">
        <v>0</v>
      </c>
      <c r="E104" s="47">
        <f t="shared" si="0"/>
        <v>1</v>
      </c>
      <c r="F104" s="85">
        <v>0</v>
      </c>
      <c r="G104" s="47">
        <f t="shared" si="11"/>
        <v>0</v>
      </c>
      <c r="H104" s="86">
        <v>1</v>
      </c>
      <c r="I104" s="20">
        <v>100</v>
      </c>
      <c r="J104" s="80">
        <f t="shared" si="12"/>
        <v>100</v>
      </c>
      <c r="K104" s="17" t="s">
        <v>278</v>
      </c>
      <c r="L104" s="18">
        <v>50</v>
      </c>
      <c r="M104" s="23">
        <f t="shared" si="10"/>
        <v>50</v>
      </c>
    </row>
    <row r="105" spans="1:13" ht="25.5" x14ac:dyDescent="0.55000000000000004">
      <c r="A105" s="10">
        <v>101</v>
      </c>
      <c r="B105" s="19" t="s">
        <v>115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+'9'!G126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+'9'!G128</f>
        <v>76</v>
      </c>
      <c r="D128" s="85">
        <v>0</v>
      </c>
      <c r="E128" s="47">
        <f t="shared" si="13"/>
        <v>76</v>
      </c>
      <c r="F128" s="85">
        <v>0</v>
      </c>
      <c r="G128" s="47">
        <f t="shared" si="11"/>
        <v>76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+'9'!G161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+'9'!G162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+'9'!G163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+'9'!G169</f>
        <v>59</v>
      </c>
      <c r="D169" s="85">
        <v>0</v>
      </c>
      <c r="E169" s="47">
        <f t="shared" si="13"/>
        <v>59</v>
      </c>
      <c r="F169" s="85">
        <v>0</v>
      </c>
      <c r="G169" s="47">
        <f t="shared" si="15"/>
        <v>59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+'9'!G171</f>
        <v>8</v>
      </c>
      <c r="D171" s="85">
        <v>0</v>
      </c>
      <c r="E171" s="47">
        <f t="shared" si="13"/>
        <v>8</v>
      </c>
      <c r="F171" s="85">
        <v>0</v>
      </c>
      <c r="G171" s="47">
        <f t="shared" si="15"/>
        <v>5</v>
      </c>
      <c r="H171" s="86">
        <v>3</v>
      </c>
      <c r="I171" s="20">
        <v>80</v>
      </c>
      <c r="J171" s="80">
        <f t="shared" si="16"/>
        <v>240</v>
      </c>
      <c r="K171" s="17" t="s">
        <v>16</v>
      </c>
      <c r="L171" s="18">
        <v>0</v>
      </c>
      <c r="M171" s="23">
        <f t="shared" si="14"/>
        <v>240</v>
      </c>
    </row>
    <row r="172" spans="1:13" ht="25.5" x14ac:dyDescent="0.55000000000000004">
      <c r="A172" s="10">
        <v>168</v>
      </c>
      <c r="B172" s="19" t="s">
        <v>183</v>
      </c>
      <c r="C172" s="79">
        <f>+'9'!G172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+'9'!G179</f>
        <v>6</v>
      </c>
      <c r="D179" s="85">
        <v>0</v>
      </c>
      <c r="E179" s="47">
        <f t="shared" si="13"/>
        <v>6</v>
      </c>
      <c r="F179" s="85">
        <v>0</v>
      </c>
      <c r="G179" s="47">
        <f t="shared" si="15"/>
        <v>2</v>
      </c>
      <c r="H179" s="86">
        <v>4</v>
      </c>
      <c r="I179" s="20">
        <v>120</v>
      </c>
      <c r="J179" s="80">
        <f t="shared" si="16"/>
        <v>480</v>
      </c>
      <c r="K179" s="17" t="s">
        <v>16</v>
      </c>
      <c r="L179" s="18">
        <v>0</v>
      </c>
      <c r="M179" s="23">
        <f t="shared" si="14"/>
        <v>480</v>
      </c>
    </row>
    <row r="180" spans="1:13" ht="25.5" x14ac:dyDescent="0.55000000000000004">
      <c r="A180" s="10">
        <v>176</v>
      </c>
      <c r="B180" s="19" t="s">
        <v>191</v>
      </c>
      <c r="C180" s="79">
        <f>+'9'!G180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+'9'!G189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+'9'!G190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+'9'!G211</f>
        <v>5</v>
      </c>
      <c r="D211" s="85">
        <v>0</v>
      </c>
      <c r="E211" s="47">
        <f t="shared" si="17"/>
        <v>5</v>
      </c>
      <c r="F211" s="85">
        <v>0</v>
      </c>
      <c r="G211" s="47">
        <f t="shared" si="15"/>
        <v>0</v>
      </c>
      <c r="H211" s="86">
        <v>5</v>
      </c>
      <c r="I211" s="20">
        <v>35</v>
      </c>
      <c r="J211" s="80">
        <f t="shared" si="16"/>
        <v>175</v>
      </c>
      <c r="K211" s="17" t="s">
        <v>16</v>
      </c>
      <c r="L211" s="18">
        <v>0</v>
      </c>
      <c r="M211" s="23">
        <f t="shared" si="18"/>
        <v>175</v>
      </c>
    </row>
    <row r="212" spans="1:13" ht="25.5" x14ac:dyDescent="0.55000000000000004">
      <c r="A212" s="10">
        <v>208</v>
      </c>
      <c r="B212" s="19" t="s">
        <v>245</v>
      </c>
      <c r="C212" s="79">
        <f>+'9'!G212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+'9'!G218</f>
        <v>3</v>
      </c>
      <c r="D218" s="85">
        <v>0</v>
      </c>
      <c r="E218" s="47">
        <f t="shared" si="17"/>
        <v>3</v>
      </c>
      <c r="F218" s="85">
        <v>0</v>
      </c>
      <c r="G218" s="47">
        <f t="shared" si="15"/>
        <v>0</v>
      </c>
      <c r="H218" s="86">
        <v>3</v>
      </c>
      <c r="I218" s="20">
        <v>25</v>
      </c>
      <c r="J218" s="80">
        <f t="shared" si="16"/>
        <v>75</v>
      </c>
      <c r="K218" s="17" t="s">
        <v>278</v>
      </c>
      <c r="L218" s="18">
        <v>37</v>
      </c>
      <c r="M218" s="23">
        <f t="shared" si="18"/>
        <v>38</v>
      </c>
    </row>
    <row r="219" spans="1:13" ht="25.5" x14ac:dyDescent="0.55000000000000004">
      <c r="A219" s="10">
        <v>215</v>
      </c>
      <c r="B219" s="19" t="s">
        <v>273</v>
      </c>
      <c r="C219" s="79">
        <f>+'9'!G219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+'9'!G220</f>
        <v>7</v>
      </c>
      <c r="D220" s="85">
        <v>0</v>
      </c>
      <c r="E220" s="47">
        <f t="shared" si="17"/>
        <v>7</v>
      </c>
      <c r="F220" s="85">
        <v>0</v>
      </c>
      <c r="G220" s="47">
        <f t="shared" si="15"/>
        <v>7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+'9'!G222</f>
        <v>20</v>
      </c>
      <c r="D222" s="85">
        <v>0</v>
      </c>
      <c r="E222" s="47">
        <f t="shared" si="17"/>
        <v>20</v>
      </c>
      <c r="F222" s="85">
        <v>0</v>
      </c>
      <c r="G222" s="47">
        <f t="shared" si="15"/>
        <v>18</v>
      </c>
      <c r="H222" s="86">
        <v>2</v>
      </c>
      <c r="I222" s="20">
        <v>35</v>
      </c>
      <c r="J222" s="80">
        <f t="shared" si="16"/>
        <v>70</v>
      </c>
      <c r="K222" s="17" t="s">
        <v>278</v>
      </c>
      <c r="L222" s="18">
        <v>35</v>
      </c>
      <c r="M222" s="23">
        <f t="shared" si="18"/>
        <v>35</v>
      </c>
    </row>
    <row r="223" spans="1:13" ht="25.5" x14ac:dyDescent="0.55000000000000004">
      <c r="A223" s="10">
        <v>219</v>
      </c>
      <c r="B223" s="19" t="s">
        <v>310</v>
      </c>
      <c r="C223" s="79">
        <f>+'9'!G223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4176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8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5160</v>
      </c>
    </row>
    <row r="258" spans="1:18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1855</v>
      </c>
      <c r="L259" s="2">
        <v>300</v>
      </c>
      <c r="M259" s="2">
        <v>150</v>
      </c>
      <c r="N259" s="2">
        <v>150</v>
      </c>
      <c r="O259" s="2">
        <v>560</v>
      </c>
      <c r="P259" s="2">
        <v>130</v>
      </c>
      <c r="Q259" s="2">
        <v>380</v>
      </c>
      <c r="R259" s="2">
        <v>185</v>
      </c>
    </row>
    <row r="260" spans="1:18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8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8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984</v>
      </c>
    </row>
    <row r="263" spans="1:18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2306</v>
      </c>
    </row>
    <row r="264" spans="1:18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2306</v>
      </c>
    </row>
    <row r="265" spans="1:18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8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8" x14ac:dyDescent="0.5">
      <c r="G267" s="2"/>
      <c r="I267" s="2"/>
    </row>
    <row r="268" spans="1:18" x14ac:dyDescent="0.5">
      <c r="G268" s="2"/>
      <c r="I268" s="2"/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66FF99"/>
  </sheetPr>
  <dimension ref="A1:Z341"/>
  <sheetViews>
    <sheetView zoomScale="70" zoomScaleNormal="70" workbookViewId="0">
      <pane xSplit="7" ySplit="4" topLeftCell="H248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+'10'!G5</f>
        <v>29</v>
      </c>
      <c r="D5" s="85">
        <v>20</v>
      </c>
      <c r="E5" s="47">
        <f t="shared" ref="E5:E125" si="0">C5+D5</f>
        <v>49</v>
      </c>
      <c r="F5" s="85">
        <v>0</v>
      </c>
      <c r="G5" s="47">
        <f>+E5-F5-H5</f>
        <v>45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102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69</v>
      </c>
      <c r="D6" s="85">
        <v>0</v>
      </c>
      <c r="E6" s="47">
        <f t="shared" si="0"/>
        <v>69</v>
      </c>
      <c r="F6" s="85">
        <v>0</v>
      </c>
      <c r="G6" s="47">
        <f t="shared" ref="G6:G100" si="4">+E6-F6-H6</f>
        <v>61</v>
      </c>
      <c r="H6" s="86">
        <v>8</v>
      </c>
      <c r="I6" s="15">
        <v>100</v>
      </c>
      <c r="J6" s="80">
        <f t="shared" ref="J6:J100" si="5">+I6*H6</f>
        <v>800</v>
      </c>
      <c r="K6" s="17" t="s">
        <v>16</v>
      </c>
      <c r="L6" s="18">
        <v>0</v>
      </c>
      <c r="M6" s="102">
        <f t="shared" ref="M6:M69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2</v>
      </c>
      <c r="D12" s="85">
        <v>5</v>
      </c>
      <c r="E12" s="47">
        <f t="shared" si="0"/>
        <v>7</v>
      </c>
      <c r="F12" s="85">
        <v>0</v>
      </c>
      <c r="G12" s="47">
        <f t="shared" si="4"/>
        <v>5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2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1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102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0</v>
      </c>
      <c r="D15" s="85">
        <v>5</v>
      </c>
      <c r="E15" s="47">
        <f t="shared" si="0"/>
        <v>5</v>
      </c>
      <c r="F15" s="85">
        <v>0</v>
      </c>
      <c r="G15" s="47">
        <f t="shared" si="4"/>
        <v>5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+'10'!G17</f>
        <v>2</v>
      </c>
      <c r="D17" s="85">
        <v>5</v>
      </c>
      <c r="E17" s="47">
        <f t="shared" si="0"/>
        <v>7</v>
      </c>
      <c r="F17" s="85">
        <v>0</v>
      </c>
      <c r="G17" s="47">
        <f t="shared" si="4"/>
        <v>0</v>
      </c>
      <c r="H17" s="86">
        <v>7</v>
      </c>
      <c r="I17" s="15">
        <v>50</v>
      </c>
      <c r="J17" s="80">
        <f t="shared" si="5"/>
        <v>350</v>
      </c>
      <c r="K17" s="17" t="s">
        <v>16</v>
      </c>
      <c r="L17" s="18">
        <v>0</v>
      </c>
      <c r="M17" s="102">
        <f t="shared" si="6"/>
        <v>350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+'10'!G19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4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102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+'10'!G22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+'10'!G23</f>
        <v>15</v>
      </c>
      <c r="D23" s="85">
        <v>10</v>
      </c>
      <c r="E23" s="47">
        <f t="shared" si="0"/>
        <v>25</v>
      </c>
      <c r="F23" s="85">
        <v>0</v>
      </c>
      <c r="G23" s="47">
        <f t="shared" si="4"/>
        <v>23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102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+'10'!G24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+'10'!G25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3</v>
      </c>
      <c r="D32" s="85">
        <v>0</v>
      </c>
      <c r="E32" s="47">
        <f t="shared" si="0"/>
        <v>3</v>
      </c>
      <c r="F32" s="85">
        <v>0</v>
      </c>
      <c r="G32" s="47">
        <f t="shared" si="4"/>
        <v>3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+'10'!G33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3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+'10'!G37</f>
        <v>25</v>
      </c>
      <c r="D37" s="85">
        <v>15</v>
      </c>
      <c r="E37" s="47">
        <f t="shared" si="0"/>
        <v>40</v>
      </c>
      <c r="F37" s="85">
        <v>0</v>
      </c>
      <c r="G37" s="47">
        <f t="shared" si="4"/>
        <v>39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102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+'10'!G38</f>
        <v>7</v>
      </c>
      <c r="D38" s="85">
        <v>5</v>
      </c>
      <c r="E38" s="47">
        <f t="shared" si="0"/>
        <v>12</v>
      </c>
      <c r="F38" s="85">
        <v>0</v>
      </c>
      <c r="G38" s="47">
        <f t="shared" si="4"/>
        <v>12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+'10'!G39</f>
        <v>6</v>
      </c>
      <c r="D39" s="85">
        <v>5</v>
      </c>
      <c r="E39" s="47">
        <f t="shared" si="0"/>
        <v>11</v>
      </c>
      <c r="F39" s="85">
        <v>0</v>
      </c>
      <c r="G39" s="47">
        <f t="shared" si="4"/>
        <v>11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+'10'!G40</f>
        <v>9</v>
      </c>
      <c r="D40" s="85">
        <v>5</v>
      </c>
      <c r="E40" s="47">
        <f t="shared" si="0"/>
        <v>14</v>
      </c>
      <c r="F40" s="85">
        <v>0</v>
      </c>
      <c r="G40" s="47">
        <f t="shared" si="4"/>
        <v>14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+'10'!G41</f>
        <v>6</v>
      </c>
      <c r="D41" s="85">
        <v>5</v>
      </c>
      <c r="E41" s="47">
        <f t="shared" si="0"/>
        <v>11</v>
      </c>
      <c r="F41" s="85">
        <v>0</v>
      </c>
      <c r="G41" s="47">
        <f t="shared" si="4"/>
        <v>11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+'10'!G43</f>
        <v>3</v>
      </c>
      <c r="D43" s="85">
        <v>5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+'10'!G44</f>
        <v>6</v>
      </c>
      <c r="D44" s="85">
        <v>5</v>
      </c>
      <c r="E44" s="47">
        <f t="shared" si="0"/>
        <v>11</v>
      </c>
      <c r="F44" s="85">
        <v>0</v>
      </c>
      <c r="G44" s="47">
        <f t="shared" si="4"/>
        <v>10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102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+'10'!G46</f>
        <v>6</v>
      </c>
      <c r="D46" s="85">
        <v>10</v>
      </c>
      <c r="E46" s="47">
        <f t="shared" si="0"/>
        <v>16</v>
      </c>
      <c r="F46" s="85">
        <v>0</v>
      </c>
      <c r="G46" s="47">
        <f t="shared" si="4"/>
        <v>13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102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+'10'!G47</f>
        <v>7</v>
      </c>
      <c r="D47" s="85">
        <v>10</v>
      </c>
      <c r="E47" s="47">
        <f t="shared" si="0"/>
        <v>17</v>
      </c>
      <c r="F47" s="85">
        <v>0</v>
      </c>
      <c r="G47" s="47">
        <f t="shared" si="4"/>
        <v>15</v>
      </c>
      <c r="H47" s="86">
        <v>2</v>
      </c>
      <c r="I47" s="15">
        <v>50</v>
      </c>
      <c r="J47" s="80">
        <f t="shared" si="5"/>
        <v>100</v>
      </c>
      <c r="K47" s="17" t="s">
        <v>304</v>
      </c>
      <c r="L47" s="18">
        <v>50</v>
      </c>
      <c r="M47" s="102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+'10'!G48</f>
        <v>7</v>
      </c>
      <c r="D48" s="85">
        <v>5</v>
      </c>
      <c r="E48" s="47">
        <f t="shared" si="0"/>
        <v>12</v>
      </c>
      <c r="F48" s="85">
        <v>0</v>
      </c>
      <c r="G48" s="47">
        <f t="shared" si="4"/>
        <v>11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2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4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+'10'!G55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2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5</v>
      </c>
      <c r="D63" s="85">
        <v>0</v>
      </c>
      <c r="E63" s="47">
        <f t="shared" si="0"/>
        <v>5</v>
      </c>
      <c r="F63" s="85">
        <v>0</v>
      </c>
      <c r="G63" s="47">
        <f t="shared" si="4"/>
        <v>2</v>
      </c>
      <c r="H63" s="86">
        <v>3</v>
      </c>
      <c r="I63" s="20">
        <v>50</v>
      </c>
      <c r="J63" s="80">
        <f t="shared" si="5"/>
        <v>150</v>
      </c>
      <c r="K63" s="17" t="s">
        <v>278</v>
      </c>
      <c r="L63" s="18">
        <v>25</v>
      </c>
      <c r="M63" s="102">
        <f t="shared" si="6"/>
        <v>125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+'10'!G66</f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10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102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+'10'!G67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0</v>
      </c>
      <c r="H67" s="86">
        <v>3</v>
      </c>
      <c r="I67" s="15">
        <v>50</v>
      </c>
      <c r="J67" s="80">
        <f t="shared" si="5"/>
        <v>150</v>
      </c>
      <c r="K67" s="17" t="s">
        <v>16</v>
      </c>
      <c r="L67" s="18">
        <v>0</v>
      </c>
      <c r="M67" s="102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12</v>
      </c>
      <c r="D70" s="85">
        <v>5</v>
      </c>
      <c r="E70" s="47">
        <f t="shared" si="0"/>
        <v>17</v>
      </c>
      <c r="F70" s="85">
        <v>0</v>
      </c>
      <c r="G70" s="47">
        <f t="shared" si="4"/>
        <v>14</v>
      </c>
      <c r="H70" s="86">
        <v>3</v>
      </c>
      <c r="I70" s="20">
        <v>50</v>
      </c>
      <c r="J70" s="80">
        <f t="shared" si="5"/>
        <v>150</v>
      </c>
      <c r="K70" s="17" t="s">
        <v>278</v>
      </c>
      <c r="L70" s="18">
        <v>75</v>
      </c>
      <c r="M70" s="102">
        <f t="shared" ref="M70:M134" si="10">SUM(J70-L70)</f>
        <v>75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7</v>
      </c>
      <c r="D71" s="85">
        <v>0</v>
      </c>
      <c r="E71" s="47">
        <f t="shared" si="0"/>
        <v>7</v>
      </c>
      <c r="F71" s="85">
        <v>0</v>
      </c>
      <c r="G71" s="47">
        <f t="shared" si="4"/>
        <v>6</v>
      </c>
      <c r="H71" s="86">
        <v>1</v>
      </c>
      <c r="I71" s="20">
        <v>60</v>
      </c>
      <c r="J71" s="80">
        <f t="shared" si="5"/>
        <v>60</v>
      </c>
      <c r="K71" s="17" t="s">
        <v>278</v>
      </c>
      <c r="L71" s="18">
        <v>30</v>
      </c>
      <c r="M71" s="102">
        <f t="shared" si="10"/>
        <v>30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0</v>
      </c>
      <c r="D73" s="85">
        <v>5</v>
      </c>
      <c r="E73" s="47">
        <f t="shared" si="0"/>
        <v>5</v>
      </c>
      <c r="F73" s="85">
        <v>0</v>
      </c>
      <c r="G73" s="47">
        <f t="shared" si="4"/>
        <v>5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0</v>
      </c>
      <c r="D74" s="85">
        <v>5</v>
      </c>
      <c r="E74" s="47">
        <f t="shared" si="0"/>
        <v>5</v>
      </c>
      <c r="F74" s="85">
        <v>0</v>
      </c>
      <c r="G74" s="47">
        <f t="shared" si="4"/>
        <v>4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+'10'!G79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+'10'!G80</f>
        <v>2</v>
      </c>
      <c r="D80" s="85">
        <v>5</v>
      </c>
      <c r="E80" s="47">
        <f t="shared" si="0"/>
        <v>7</v>
      </c>
      <c r="F80" s="85">
        <v>0</v>
      </c>
      <c r="G80" s="47">
        <f t="shared" si="4"/>
        <v>4</v>
      </c>
      <c r="H80" s="86">
        <v>3</v>
      </c>
      <c r="I80" s="22">
        <v>50</v>
      </c>
      <c r="J80" s="80">
        <f t="shared" si="5"/>
        <v>150</v>
      </c>
      <c r="K80" s="17" t="s">
        <v>304</v>
      </c>
      <c r="L80" s="18">
        <v>50</v>
      </c>
      <c r="M80" s="102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+'10'!G82</f>
        <v>1</v>
      </c>
      <c r="D82" s="85">
        <v>3</v>
      </c>
      <c r="E82" s="47">
        <f t="shared" si="0"/>
        <v>4</v>
      </c>
      <c r="F82" s="85">
        <v>0</v>
      </c>
      <c r="G82" s="47">
        <f t="shared" si="4"/>
        <v>4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+'10'!G83</f>
        <v>3</v>
      </c>
      <c r="D83" s="85">
        <v>3</v>
      </c>
      <c r="E83" s="47">
        <f t="shared" si="0"/>
        <v>6</v>
      </c>
      <c r="F83" s="85">
        <v>0</v>
      </c>
      <c r="G83" s="47">
        <f t="shared" si="4"/>
        <v>6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+'10'!G86</f>
        <v>2</v>
      </c>
      <c r="D86" s="85">
        <v>5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+'10'!G87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+'10'!G88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+'10'!G89</f>
        <v>20</v>
      </c>
      <c r="D89" s="85">
        <v>0</v>
      </c>
      <c r="E89" s="47">
        <f t="shared" si="0"/>
        <v>20</v>
      </c>
      <c r="F89" s="85">
        <v>0</v>
      </c>
      <c r="G89" s="47">
        <f t="shared" si="4"/>
        <v>20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+'10'!G91</f>
        <v>2</v>
      </c>
      <c r="D91" s="85">
        <v>0</v>
      </c>
      <c r="E91" s="47">
        <f t="shared" si="0"/>
        <v>2</v>
      </c>
      <c r="F91" s="85">
        <v>0</v>
      </c>
      <c r="G91" s="47">
        <f t="shared" si="4"/>
        <v>2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+'10'!G102</f>
        <v>11</v>
      </c>
      <c r="D102" s="85">
        <v>0</v>
      </c>
      <c r="E102" s="47">
        <f t="shared" si="0"/>
        <v>11</v>
      </c>
      <c r="F102" s="85">
        <v>0</v>
      </c>
      <c r="G102" s="47">
        <f t="shared" si="11"/>
        <v>11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+'10'!G103</f>
        <v>0</v>
      </c>
      <c r="D103" s="85">
        <v>5</v>
      </c>
      <c r="E103" s="47">
        <f t="shared" si="0"/>
        <v>5</v>
      </c>
      <c r="F103" s="85">
        <v>0</v>
      </c>
      <c r="G103" s="47">
        <f t="shared" si="11"/>
        <v>5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+'10'!G126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+'10'!G128</f>
        <v>76</v>
      </c>
      <c r="D128" s="85">
        <v>0</v>
      </c>
      <c r="E128" s="47">
        <f t="shared" si="13"/>
        <v>76</v>
      </c>
      <c r="F128" s="85">
        <v>0</v>
      </c>
      <c r="G128" s="47">
        <f t="shared" si="11"/>
        <v>74</v>
      </c>
      <c r="H128" s="86">
        <v>2</v>
      </c>
      <c r="I128" s="20">
        <v>20</v>
      </c>
      <c r="J128" s="80">
        <f t="shared" si="12"/>
        <v>40</v>
      </c>
      <c r="K128" s="17" t="s">
        <v>278</v>
      </c>
      <c r="L128" s="18">
        <v>20</v>
      </c>
      <c r="M128" s="102">
        <f t="shared" si="10"/>
        <v>20</v>
      </c>
    </row>
    <row r="129" spans="1:13" ht="25.5" x14ac:dyDescent="0.55000000000000004">
      <c r="A129" s="10">
        <v>125</v>
      </c>
      <c r="B129" s="19" t="s">
        <v>140</v>
      </c>
      <c r="C129" s="79">
        <f>+'10'!G129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+'10'!G161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+'10'!G162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+'10'!G163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+'10'!G169</f>
        <v>59</v>
      </c>
      <c r="D169" s="85">
        <v>0</v>
      </c>
      <c r="E169" s="47">
        <f t="shared" si="13"/>
        <v>59</v>
      </c>
      <c r="F169" s="85">
        <v>0</v>
      </c>
      <c r="G169" s="47">
        <f t="shared" si="15"/>
        <v>59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+'10'!G171</f>
        <v>5</v>
      </c>
      <c r="D171" s="85">
        <v>0</v>
      </c>
      <c r="E171" s="47">
        <f t="shared" si="13"/>
        <v>5</v>
      </c>
      <c r="F171" s="85">
        <v>0</v>
      </c>
      <c r="G171" s="47">
        <f t="shared" si="15"/>
        <v>5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+'10'!G179</f>
        <v>2</v>
      </c>
      <c r="D179" s="85">
        <v>5</v>
      </c>
      <c r="E179" s="47">
        <f t="shared" si="13"/>
        <v>7</v>
      </c>
      <c r="F179" s="85">
        <v>0</v>
      </c>
      <c r="G179" s="47">
        <f t="shared" si="15"/>
        <v>5</v>
      </c>
      <c r="H179" s="86">
        <v>2</v>
      </c>
      <c r="I179" s="20">
        <v>120</v>
      </c>
      <c r="J179" s="80">
        <f t="shared" si="16"/>
        <v>240</v>
      </c>
      <c r="K179" s="17" t="s">
        <v>16</v>
      </c>
      <c r="L179" s="18">
        <v>0</v>
      </c>
      <c r="M179" s="102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+'10'!G180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+'10'!G189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+'10'!G190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+'10'!G211</f>
        <v>0</v>
      </c>
      <c r="D211" s="85">
        <v>5</v>
      </c>
      <c r="E211" s="47">
        <f t="shared" si="17"/>
        <v>5</v>
      </c>
      <c r="F211" s="85">
        <v>0</v>
      </c>
      <c r="G211" s="47">
        <f t="shared" si="15"/>
        <v>3</v>
      </c>
      <c r="H211" s="86">
        <v>2</v>
      </c>
      <c r="I211" s="20">
        <v>35</v>
      </c>
      <c r="J211" s="80">
        <f t="shared" si="16"/>
        <v>70</v>
      </c>
      <c r="K211" s="17" t="s">
        <v>16</v>
      </c>
      <c r="L211" s="18">
        <v>0</v>
      </c>
      <c r="M211" s="102">
        <f t="shared" si="18"/>
        <v>70</v>
      </c>
    </row>
    <row r="212" spans="1:13" ht="25.5" x14ac:dyDescent="0.55000000000000004">
      <c r="A212" s="10">
        <v>208</v>
      </c>
      <c r="B212" s="19" t="s">
        <v>245</v>
      </c>
      <c r="C212" s="79">
        <f>+'10'!G212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+'10'!G220</f>
        <v>7</v>
      </c>
      <c r="D220" s="85">
        <v>5</v>
      </c>
      <c r="E220" s="47">
        <f t="shared" si="17"/>
        <v>12</v>
      </c>
      <c r="F220" s="85">
        <v>0</v>
      </c>
      <c r="G220" s="47">
        <f t="shared" si="15"/>
        <v>11</v>
      </c>
      <c r="H220" s="86">
        <v>1</v>
      </c>
      <c r="I220" s="20">
        <v>45</v>
      </c>
      <c r="J220" s="80">
        <f t="shared" si="16"/>
        <v>45</v>
      </c>
      <c r="K220" s="17" t="s">
        <v>16</v>
      </c>
      <c r="L220" s="18">
        <v>0</v>
      </c>
      <c r="M220" s="102">
        <f t="shared" si="18"/>
        <v>45</v>
      </c>
    </row>
    <row r="221" spans="1:13" ht="25.5" x14ac:dyDescent="0.55000000000000004">
      <c r="A221" s="10">
        <v>217</v>
      </c>
      <c r="B221" s="19" t="s">
        <v>301</v>
      </c>
      <c r="C221" s="79">
        <f>+'10'!G221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+'10'!G222</f>
        <v>18</v>
      </c>
      <c r="D222" s="85">
        <v>0</v>
      </c>
      <c r="E222" s="47">
        <f t="shared" si="17"/>
        <v>18</v>
      </c>
      <c r="F222" s="85">
        <v>0</v>
      </c>
      <c r="G222" s="47">
        <f t="shared" si="15"/>
        <v>10</v>
      </c>
      <c r="H222" s="86">
        <v>8</v>
      </c>
      <c r="I222" s="20">
        <v>35</v>
      </c>
      <c r="J222" s="80">
        <f t="shared" si="16"/>
        <v>280</v>
      </c>
      <c r="K222" s="17" t="s">
        <v>278</v>
      </c>
      <c r="L222" s="18">
        <v>140</v>
      </c>
      <c r="M222" s="102">
        <f t="shared" si="18"/>
        <v>140</v>
      </c>
    </row>
    <row r="223" spans="1:13" ht="25.5" x14ac:dyDescent="0.55000000000000004">
      <c r="A223" s="10">
        <v>219</v>
      </c>
      <c r="B223" s="19" t="s">
        <v>310</v>
      </c>
      <c r="C223" s="79">
        <f>+'10'!G223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3395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3785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1315</v>
      </c>
      <c r="L259" s="2">
        <v>300</v>
      </c>
      <c r="M259" s="2">
        <v>250</v>
      </c>
      <c r="N259" s="2">
        <v>85</v>
      </c>
      <c r="O259" s="2">
        <v>35</v>
      </c>
      <c r="P259" s="2">
        <v>35</v>
      </c>
      <c r="Q259" s="2">
        <v>200</v>
      </c>
      <c r="R259" s="2">
        <v>265</v>
      </c>
      <c r="S259" s="2">
        <v>145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390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2065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2065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66FF99"/>
  </sheetPr>
  <dimension ref="A1:Z341"/>
  <sheetViews>
    <sheetView zoomScale="85" zoomScaleNormal="85" workbookViewId="0">
      <pane xSplit="7" ySplit="4" topLeftCell="I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+'11'!G5</f>
        <v>45</v>
      </c>
      <c r="D5" s="85">
        <v>0</v>
      </c>
      <c r="E5" s="47">
        <f t="shared" ref="E5:E125" si="0">C5+D5</f>
        <v>45</v>
      </c>
      <c r="F5" s="85">
        <v>0</v>
      </c>
      <c r="G5" s="47">
        <f>+E5-F5-H5</f>
        <v>44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61</v>
      </c>
      <c r="D6" s="85">
        <v>0</v>
      </c>
      <c r="E6" s="47">
        <f t="shared" si="0"/>
        <v>61</v>
      </c>
      <c r="F6" s="85">
        <v>0</v>
      </c>
      <c r="G6" s="47">
        <f t="shared" ref="G6:G100" si="4">+E6-F6-H6</f>
        <v>58</v>
      </c>
      <c r="H6" s="86">
        <v>3</v>
      </c>
      <c r="I6" s="15">
        <v>100</v>
      </c>
      <c r="J6" s="80">
        <f t="shared" ref="J6:J100" si="5">+I6*H6</f>
        <v>300</v>
      </c>
      <c r="K6" s="17" t="s">
        <v>16</v>
      </c>
      <c r="L6" s="18">
        <v>0</v>
      </c>
      <c r="M6" s="102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2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5</v>
      </c>
      <c r="D15" s="85">
        <v>0</v>
      </c>
      <c r="E15" s="47">
        <f t="shared" si="0"/>
        <v>5</v>
      </c>
      <c r="F15" s="85">
        <v>0</v>
      </c>
      <c r="G15" s="47">
        <f t="shared" si="4"/>
        <v>4</v>
      </c>
      <c r="H15" s="86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102">
        <f t="shared" si="6"/>
        <v>50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+'11'!G19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+'11'!G22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+'11'!G23</f>
        <v>23</v>
      </c>
      <c r="D23" s="85">
        <v>0</v>
      </c>
      <c r="E23" s="47">
        <f t="shared" si="0"/>
        <v>23</v>
      </c>
      <c r="F23" s="85">
        <v>0</v>
      </c>
      <c r="G23" s="47">
        <f t="shared" si="4"/>
        <v>23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+'11'!G24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4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102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+'11'!G25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3</v>
      </c>
      <c r="D32" s="85">
        <v>0</v>
      </c>
      <c r="E32" s="47">
        <f t="shared" si="0"/>
        <v>3</v>
      </c>
      <c r="F32" s="85">
        <v>0</v>
      </c>
      <c r="G32" s="47">
        <f t="shared" si="4"/>
        <v>2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65</v>
      </c>
      <c r="M32" s="102">
        <f t="shared" si="6"/>
        <v>65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+'11'!G33</f>
        <v>3</v>
      </c>
      <c r="D33" s="85">
        <v>0</v>
      </c>
      <c r="E33" s="47">
        <f t="shared" si="0"/>
        <v>3</v>
      </c>
      <c r="F33" s="85">
        <v>0</v>
      </c>
      <c r="G33" s="47">
        <f t="shared" si="4"/>
        <v>1</v>
      </c>
      <c r="H33" s="86">
        <v>2</v>
      </c>
      <c r="I33" s="15">
        <v>130</v>
      </c>
      <c r="J33" s="80">
        <f t="shared" si="5"/>
        <v>260</v>
      </c>
      <c r="K33" s="17" t="s">
        <v>16</v>
      </c>
      <c r="L33" s="18">
        <f>260-195</f>
        <v>65</v>
      </c>
      <c r="M33" s="102">
        <f t="shared" si="6"/>
        <v>195</v>
      </c>
    </row>
    <row r="34" spans="1:13" ht="25.5" x14ac:dyDescent="0.55000000000000004">
      <c r="A34" s="10">
        <v>30</v>
      </c>
      <c r="B34" s="19" t="s">
        <v>45</v>
      </c>
      <c r="C34" s="79">
        <f>+'11'!G34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+'11'!G37</f>
        <v>39</v>
      </c>
      <c r="D37" s="85">
        <v>0</v>
      </c>
      <c r="E37" s="47">
        <f t="shared" si="0"/>
        <v>39</v>
      </c>
      <c r="F37" s="85">
        <v>0</v>
      </c>
      <c r="G37" s="47">
        <f t="shared" si="4"/>
        <v>36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102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+'11'!G38</f>
        <v>12</v>
      </c>
      <c r="D38" s="85">
        <v>0</v>
      </c>
      <c r="E38" s="47">
        <f t="shared" si="0"/>
        <v>12</v>
      </c>
      <c r="F38" s="85">
        <v>0</v>
      </c>
      <c r="G38" s="47">
        <f t="shared" si="4"/>
        <v>12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v>10</v>
      </c>
      <c r="D39" s="85">
        <v>0</v>
      </c>
      <c r="E39" s="47">
        <f t="shared" si="0"/>
        <v>10</v>
      </c>
      <c r="F39" s="85">
        <v>0</v>
      </c>
      <c r="G39" s="47">
        <f t="shared" si="4"/>
        <v>9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25</v>
      </c>
      <c r="M39" s="102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+'11'!G40</f>
        <v>14</v>
      </c>
      <c r="D40" s="85">
        <v>0</v>
      </c>
      <c r="E40" s="47">
        <f t="shared" si="0"/>
        <v>14</v>
      </c>
      <c r="F40" s="85">
        <v>0</v>
      </c>
      <c r="G40" s="47">
        <f t="shared" si="4"/>
        <v>10</v>
      </c>
      <c r="H40" s="86">
        <v>4</v>
      </c>
      <c r="I40" s="15">
        <v>50</v>
      </c>
      <c r="J40" s="80">
        <f t="shared" si="5"/>
        <v>200</v>
      </c>
      <c r="K40" s="17" t="s">
        <v>16</v>
      </c>
      <c r="L40" s="18">
        <v>100</v>
      </c>
      <c r="M40" s="102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+'11'!G41</f>
        <v>11</v>
      </c>
      <c r="D41" s="85">
        <v>0</v>
      </c>
      <c r="E41" s="47">
        <f t="shared" si="0"/>
        <v>11</v>
      </c>
      <c r="F41" s="85">
        <v>0</v>
      </c>
      <c r="G41" s="47">
        <f t="shared" si="4"/>
        <v>9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102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+'11'!G42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+'11'!G43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+'11'!G44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+'11'!G46</f>
        <v>13</v>
      </c>
      <c r="D46" s="85">
        <v>0</v>
      </c>
      <c r="E46" s="47">
        <f t="shared" si="0"/>
        <v>13</v>
      </c>
      <c r="F46" s="85">
        <v>0</v>
      </c>
      <c r="G46" s="47">
        <f t="shared" si="4"/>
        <v>9</v>
      </c>
      <c r="H46" s="86">
        <v>4</v>
      </c>
      <c r="I46" s="15">
        <v>50</v>
      </c>
      <c r="J46" s="80">
        <f t="shared" si="5"/>
        <v>200</v>
      </c>
      <c r="K46" s="17" t="s">
        <v>16</v>
      </c>
      <c r="L46" s="18">
        <v>0</v>
      </c>
      <c r="M46" s="102">
        <f t="shared" si="6"/>
        <v>200</v>
      </c>
    </row>
    <row r="47" spans="1:13" ht="25.5" x14ac:dyDescent="0.55000000000000004">
      <c r="A47" s="10">
        <v>43</v>
      </c>
      <c r="B47" s="19" t="s">
        <v>58</v>
      </c>
      <c r="C47" s="79">
        <f>+'11'!G47</f>
        <v>15</v>
      </c>
      <c r="D47" s="85">
        <v>0</v>
      </c>
      <c r="E47" s="47">
        <f t="shared" si="0"/>
        <v>15</v>
      </c>
      <c r="F47" s="85">
        <v>0</v>
      </c>
      <c r="G47" s="47">
        <f t="shared" si="4"/>
        <v>9</v>
      </c>
      <c r="H47" s="86">
        <v>6</v>
      </c>
      <c r="I47" s="15">
        <v>50</v>
      </c>
      <c r="J47" s="80">
        <f t="shared" si="5"/>
        <v>300</v>
      </c>
      <c r="K47" s="17" t="s">
        <v>16</v>
      </c>
      <c r="L47" s="18">
        <v>0</v>
      </c>
      <c r="M47" s="102">
        <f t="shared" si="6"/>
        <v>300</v>
      </c>
    </row>
    <row r="48" spans="1:13" ht="25.5" x14ac:dyDescent="0.55000000000000004">
      <c r="A48" s="10">
        <v>44</v>
      </c>
      <c r="B48" s="19" t="s">
        <v>59</v>
      </c>
      <c r="C48" s="79">
        <f>+'11'!G48</f>
        <v>11</v>
      </c>
      <c r="D48" s="85">
        <v>0</v>
      </c>
      <c r="E48" s="47">
        <f t="shared" si="0"/>
        <v>11</v>
      </c>
      <c r="F48" s="85">
        <v>0</v>
      </c>
      <c r="G48" s="47">
        <f t="shared" si="4"/>
        <v>9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102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+'11'!G49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3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102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2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102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10</v>
      </c>
      <c r="D66" s="85">
        <v>0</v>
      </c>
      <c r="E66" s="47">
        <f t="shared" si="0"/>
        <v>10</v>
      </c>
      <c r="F66" s="85">
        <v>0</v>
      </c>
      <c r="G66" s="47">
        <f t="shared" si="4"/>
        <v>10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14</v>
      </c>
      <c r="D70" s="85">
        <v>0</v>
      </c>
      <c r="E70" s="47">
        <f t="shared" si="0"/>
        <v>14</v>
      </c>
      <c r="F70" s="85">
        <v>0</v>
      </c>
      <c r="G70" s="47">
        <f t="shared" si="4"/>
        <v>12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25</v>
      </c>
      <c r="M70" s="102">
        <f t="shared" ref="M70:M134" si="10">SUM(J70-L70)</f>
        <v>75</v>
      </c>
    </row>
    <row r="71" spans="1:13" ht="25.5" x14ac:dyDescent="0.55000000000000004">
      <c r="A71" s="10">
        <v>67</v>
      </c>
      <c r="B71" s="19" t="s">
        <v>82</v>
      </c>
      <c r="C71" s="79">
        <f>+'11'!G71</f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3</v>
      </c>
      <c r="H71" s="86">
        <v>3</v>
      </c>
      <c r="I71" s="20">
        <v>60</v>
      </c>
      <c r="J71" s="80">
        <f t="shared" si="5"/>
        <v>180</v>
      </c>
      <c r="K71" s="17" t="s">
        <v>16</v>
      </c>
      <c r="L71" s="18">
        <v>90</v>
      </c>
      <c r="M71" s="102">
        <f t="shared" si="10"/>
        <v>90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+'11'!G73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4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102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+'11'!G74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3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+'11'!G79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+'11'!G80</f>
        <v>4</v>
      </c>
      <c r="D80" s="85">
        <v>0</v>
      </c>
      <c r="E80" s="47">
        <f t="shared" si="0"/>
        <v>4</v>
      </c>
      <c r="F80" s="85">
        <v>0</v>
      </c>
      <c r="G80" s="47">
        <f t="shared" si="4"/>
        <v>3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102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+'11'!G82</f>
        <v>4</v>
      </c>
      <c r="D82" s="85">
        <v>0</v>
      </c>
      <c r="E82" s="47">
        <f t="shared" si="0"/>
        <v>4</v>
      </c>
      <c r="F82" s="85">
        <v>0</v>
      </c>
      <c r="G82" s="47">
        <f t="shared" si="4"/>
        <v>4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+'11'!G83</f>
        <v>6</v>
      </c>
      <c r="D83" s="85">
        <v>0</v>
      </c>
      <c r="E83" s="47">
        <f t="shared" si="0"/>
        <v>6</v>
      </c>
      <c r="F83" s="85">
        <v>0</v>
      </c>
      <c r="G83" s="47">
        <f t="shared" si="4"/>
        <v>5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102">
        <f t="shared" si="10"/>
        <v>55</v>
      </c>
    </row>
    <row r="84" spans="1:13" ht="25.5" x14ac:dyDescent="0.55000000000000004">
      <c r="A84" s="10">
        <v>80</v>
      </c>
      <c r="B84" s="19" t="s">
        <v>94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+'11'!G86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+'11'!G87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+'11'!G88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+'11'!G89</f>
        <v>20</v>
      </c>
      <c r="D89" s="85">
        <v>0</v>
      </c>
      <c r="E89" s="47">
        <f t="shared" si="0"/>
        <v>20</v>
      </c>
      <c r="F89" s="85">
        <v>0</v>
      </c>
      <c r="G89" s="47">
        <f t="shared" si="4"/>
        <v>20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+'11'!G91</f>
        <v>2</v>
      </c>
      <c r="D91" s="85">
        <v>0</v>
      </c>
      <c r="E91" s="47">
        <f t="shared" si="0"/>
        <v>2</v>
      </c>
      <c r="F91" s="85">
        <v>0</v>
      </c>
      <c r="G91" s="47">
        <f t="shared" si="4"/>
        <v>0</v>
      </c>
      <c r="H91" s="86">
        <v>2</v>
      </c>
      <c r="I91" s="20">
        <v>50</v>
      </c>
      <c r="J91" s="80">
        <f t="shared" si="5"/>
        <v>100</v>
      </c>
      <c r="K91" s="17" t="s">
        <v>16</v>
      </c>
      <c r="L91" s="18">
        <v>50</v>
      </c>
      <c r="M91" s="102">
        <f t="shared" si="10"/>
        <v>50</v>
      </c>
    </row>
    <row r="92" spans="1:13" ht="25.5" x14ac:dyDescent="0.55000000000000004">
      <c r="A92" s="10">
        <v>88</v>
      </c>
      <c r="B92" s="19" t="s">
        <v>102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+'11'!G102</f>
        <v>11</v>
      </c>
      <c r="D102" s="85">
        <v>0</v>
      </c>
      <c r="E102" s="47">
        <f t="shared" si="0"/>
        <v>11</v>
      </c>
      <c r="F102" s="85">
        <v>0</v>
      </c>
      <c r="G102" s="47">
        <f t="shared" si="11"/>
        <v>11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+'11'!G103</f>
        <v>5</v>
      </c>
      <c r="D103" s="85">
        <v>0</v>
      </c>
      <c r="E103" s="47">
        <f t="shared" si="0"/>
        <v>5</v>
      </c>
      <c r="F103" s="85">
        <v>0</v>
      </c>
      <c r="G103" s="47">
        <f t="shared" si="11"/>
        <v>5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+'11'!G126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+'11'!G128</f>
        <v>74</v>
      </c>
      <c r="D128" s="85">
        <v>0</v>
      </c>
      <c r="E128" s="47">
        <f t="shared" si="13"/>
        <v>74</v>
      </c>
      <c r="F128" s="85">
        <v>0</v>
      </c>
      <c r="G128" s="47">
        <f t="shared" si="11"/>
        <v>73</v>
      </c>
      <c r="H128" s="86">
        <v>1</v>
      </c>
      <c r="I128" s="20">
        <v>20</v>
      </c>
      <c r="J128" s="80">
        <f t="shared" si="12"/>
        <v>20</v>
      </c>
      <c r="K128" s="17" t="s">
        <v>16</v>
      </c>
      <c r="L128" s="18">
        <v>10</v>
      </c>
      <c r="M128" s="102">
        <f t="shared" si="10"/>
        <v>10</v>
      </c>
    </row>
    <row r="129" spans="1:13" ht="25.5" x14ac:dyDescent="0.55000000000000004">
      <c r="A129" s="10">
        <v>125</v>
      </c>
      <c r="B129" s="19" t="s">
        <v>140</v>
      </c>
      <c r="C129" s="79">
        <f>+'11'!G129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+'11'!G161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+'11'!G162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+'11'!G163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+'11'!G169</f>
        <v>59</v>
      </c>
      <c r="D169" s="85">
        <v>0</v>
      </c>
      <c r="E169" s="47">
        <f t="shared" si="13"/>
        <v>59</v>
      </c>
      <c r="F169" s="85">
        <v>0</v>
      </c>
      <c r="G169" s="47">
        <f t="shared" si="15"/>
        <v>59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+'11'!G171</f>
        <v>5</v>
      </c>
      <c r="D171" s="85">
        <v>0</v>
      </c>
      <c r="E171" s="47">
        <f t="shared" si="13"/>
        <v>5</v>
      </c>
      <c r="F171" s="85">
        <v>0</v>
      </c>
      <c r="G171" s="47">
        <f t="shared" si="15"/>
        <v>5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+'11'!G179</f>
        <v>5</v>
      </c>
      <c r="D179" s="85">
        <v>0</v>
      </c>
      <c r="E179" s="47">
        <f t="shared" si="13"/>
        <v>5</v>
      </c>
      <c r="F179" s="85">
        <v>0</v>
      </c>
      <c r="G179" s="47">
        <f t="shared" si="15"/>
        <v>4</v>
      </c>
      <c r="H179" s="86">
        <v>1</v>
      </c>
      <c r="I179" s="20">
        <v>120</v>
      </c>
      <c r="J179" s="80">
        <f t="shared" si="16"/>
        <v>120</v>
      </c>
      <c r="K179" s="17" t="s">
        <v>16</v>
      </c>
      <c r="L179" s="18">
        <v>0</v>
      </c>
      <c r="M179" s="102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+'11'!G180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+'11'!G189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+'11'!G190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+'11'!G205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+'11'!G206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+'11'!G207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+'11'!G208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+'11'!G209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+'11'!G211</f>
        <v>3</v>
      </c>
      <c r="D211" s="85">
        <v>0</v>
      </c>
      <c r="E211" s="47">
        <f t="shared" si="17"/>
        <v>3</v>
      </c>
      <c r="F211" s="85">
        <v>0</v>
      </c>
      <c r="G211" s="47">
        <f t="shared" si="15"/>
        <v>2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102">
        <f t="shared" si="18"/>
        <v>35</v>
      </c>
    </row>
    <row r="212" spans="1:13" ht="25.5" x14ac:dyDescent="0.55000000000000004">
      <c r="A212" s="10">
        <v>208</v>
      </c>
      <c r="B212" s="19" t="s">
        <v>245</v>
      </c>
      <c r="C212" s="79">
        <f>+'11'!G212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+'11'!G220</f>
        <v>11</v>
      </c>
      <c r="D220" s="85">
        <v>0</v>
      </c>
      <c r="E220" s="47">
        <f t="shared" si="17"/>
        <v>11</v>
      </c>
      <c r="F220" s="85">
        <v>0</v>
      </c>
      <c r="G220" s="47">
        <f t="shared" si="15"/>
        <v>11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+'11'!G221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+'11'!G222</f>
        <v>10</v>
      </c>
      <c r="D222" s="85">
        <v>0</v>
      </c>
      <c r="E222" s="47">
        <f t="shared" si="17"/>
        <v>10</v>
      </c>
      <c r="F222" s="85">
        <v>0</v>
      </c>
      <c r="G222" s="47">
        <f t="shared" si="15"/>
        <v>0</v>
      </c>
      <c r="H222" s="86">
        <v>10</v>
      </c>
      <c r="I222" s="20">
        <v>35</v>
      </c>
      <c r="J222" s="80">
        <f t="shared" si="16"/>
        <v>350</v>
      </c>
      <c r="K222" s="17" t="s">
        <v>16</v>
      </c>
      <c r="L222" s="18">
        <v>175</v>
      </c>
      <c r="M222" s="102">
        <f t="shared" si="18"/>
        <v>175</v>
      </c>
    </row>
    <row r="223" spans="1:13" ht="25.5" x14ac:dyDescent="0.55000000000000004">
      <c r="A223" s="10">
        <v>219</v>
      </c>
      <c r="B223" s="19" t="s">
        <v>310</v>
      </c>
      <c r="C223" s="79">
        <f>+'11'!G223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2875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3480</v>
      </c>
    </row>
    <row r="258" spans="1:16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535</v>
      </c>
      <c r="L259" s="2">
        <v>100</v>
      </c>
      <c r="M259" s="2">
        <v>100</v>
      </c>
      <c r="N259" s="2">
        <v>50</v>
      </c>
      <c r="O259" s="2">
        <v>100</v>
      </c>
      <c r="P259" s="2">
        <v>185</v>
      </c>
    </row>
    <row r="260" spans="1:16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605</v>
      </c>
    </row>
    <row r="263" spans="1:16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2325</v>
      </c>
    </row>
    <row r="264" spans="1:16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2325</v>
      </c>
    </row>
    <row r="265" spans="1:16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66FF99"/>
  </sheetPr>
  <dimension ref="A1:Z341"/>
  <sheetViews>
    <sheetView zoomScale="70" zoomScaleNormal="70" workbookViewId="0">
      <pane xSplit="7" ySplit="4" topLeftCell="H239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+'12'!G5</f>
        <v>44</v>
      </c>
      <c r="D5" s="85">
        <v>0</v>
      </c>
      <c r="E5" s="47">
        <f t="shared" ref="E5:E125" si="0">C5+D5</f>
        <v>44</v>
      </c>
      <c r="F5" s="85">
        <v>0</v>
      </c>
      <c r="G5" s="47">
        <f>+E5-F5-H5</f>
        <v>35</v>
      </c>
      <c r="H5" s="86">
        <v>9</v>
      </c>
      <c r="I5" s="15">
        <v>50</v>
      </c>
      <c r="J5" s="80">
        <f>+I5*H5</f>
        <v>450</v>
      </c>
      <c r="K5" s="17" t="s">
        <v>16</v>
      </c>
      <c r="L5" s="18">
        <v>0</v>
      </c>
      <c r="M5" s="102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58</v>
      </c>
      <c r="D6" s="85">
        <v>0</v>
      </c>
      <c r="E6" s="47">
        <f t="shared" si="0"/>
        <v>58</v>
      </c>
      <c r="F6" s="85">
        <v>0</v>
      </c>
      <c r="G6" s="47">
        <f t="shared" ref="G6:G100" si="4">+E6-F6-H6</f>
        <v>49</v>
      </c>
      <c r="H6" s="86">
        <v>9</v>
      </c>
      <c r="I6" s="15">
        <v>100</v>
      </c>
      <c r="J6" s="80">
        <f t="shared" ref="J6:J100" si="5">+I6*H6</f>
        <v>900</v>
      </c>
      <c r="K6" s="17" t="s">
        <v>16</v>
      </c>
      <c r="L6" s="18">
        <v>250</v>
      </c>
      <c r="M6" s="102">
        <f t="shared" ref="M6:M69" si="6">SUM(J6-L6)</f>
        <v>650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2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2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0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102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2</v>
      </c>
      <c r="H15" s="86">
        <v>2</v>
      </c>
      <c r="I15" s="20">
        <v>50</v>
      </c>
      <c r="J15" s="80">
        <f t="shared" si="5"/>
        <v>100</v>
      </c>
      <c r="K15" s="17" t="s">
        <v>16</v>
      </c>
      <c r="L15" s="18">
        <v>0</v>
      </c>
      <c r="M15" s="102">
        <f t="shared" si="6"/>
        <v>100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+'12'!G19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+'12'!G22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1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102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+'12'!G23</f>
        <v>23</v>
      </c>
      <c r="D23" s="85">
        <v>0</v>
      </c>
      <c r="E23" s="47">
        <f t="shared" si="0"/>
        <v>23</v>
      </c>
      <c r="F23" s="85">
        <v>0</v>
      </c>
      <c r="G23" s="47">
        <f t="shared" si="4"/>
        <v>19</v>
      </c>
      <c r="H23" s="86">
        <v>4</v>
      </c>
      <c r="I23" s="15">
        <v>100</v>
      </c>
      <c r="J23" s="80">
        <f t="shared" si="5"/>
        <v>400</v>
      </c>
      <c r="K23" s="17" t="s">
        <v>16</v>
      </c>
      <c r="L23" s="18">
        <v>0</v>
      </c>
      <c r="M23" s="102">
        <f t="shared" si="6"/>
        <v>400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+'12'!G24</f>
        <v>4</v>
      </c>
      <c r="D24" s="85">
        <v>0</v>
      </c>
      <c r="E24" s="47">
        <f t="shared" si="0"/>
        <v>4</v>
      </c>
      <c r="F24" s="85">
        <v>0</v>
      </c>
      <c r="G24" s="47">
        <f t="shared" si="4"/>
        <v>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+'12'!G25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2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+'12'!G33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1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+'12'!G37</f>
        <v>36</v>
      </c>
      <c r="D37" s="85">
        <v>0</v>
      </c>
      <c r="E37" s="47">
        <f t="shared" si="0"/>
        <v>36</v>
      </c>
      <c r="F37" s="85">
        <v>0</v>
      </c>
      <c r="G37" s="47">
        <f t="shared" si="4"/>
        <v>28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0</v>
      </c>
      <c r="M37" s="102">
        <f t="shared" si="6"/>
        <v>800</v>
      </c>
    </row>
    <row r="38" spans="1:13" ht="25.5" x14ac:dyDescent="0.55000000000000004">
      <c r="A38" s="10">
        <v>34</v>
      </c>
      <c r="B38" s="19" t="s">
        <v>49</v>
      </c>
      <c r="C38" s="79">
        <f>+'12'!G38</f>
        <v>12</v>
      </c>
      <c r="D38" s="85">
        <v>0</v>
      </c>
      <c r="E38" s="47">
        <f t="shared" si="0"/>
        <v>12</v>
      </c>
      <c r="F38" s="85">
        <v>0</v>
      </c>
      <c r="G38" s="47">
        <f t="shared" si="4"/>
        <v>12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+'12'!G39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9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+'12'!G40</f>
        <v>10</v>
      </c>
      <c r="D40" s="85">
        <v>0</v>
      </c>
      <c r="E40" s="47">
        <f t="shared" si="0"/>
        <v>10</v>
      </c>
      <c r="F40" s="85">
        <v>0</v>
      </c>
      <c r="G40" s="47">
        <f t="shared" si="4"/>
        <v>10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+'12'!G41</f>
        <v>9</v>
      </c>
      <c r="D41" s="85">
        <v>0</v>
      </c>
      <c r="E41" s="47">
        <f t="shared" si="0"/>
        <v>9</v>
      </c>
      <c r="F41" s="85">
        <v>0</v>
      </c>
      <c r="G41" s="47">
        <f t="shared" si="4"/>
        <v>7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102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+'12'!G42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+'12'!G43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5</v>
      </c>
      <c r="H43" s="86">
        <v>3</v>
      </c>
      <c r="I43" s="15">
        <v>50</v>
      </c>
      <c r="J43" s="80">
        <f t="shared" si="5"/>
        <v>150</v>
      </c>
      <c r="K43" s="17" t="s">
        <v>16</v>
      </c>
      <c r="L43" s="18">
        <v>0</v>
      </c>
      <c r="M43" s="102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+'12'!G44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+'12'!G46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8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102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+'12'!G47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7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50</v>
      </c>
      <c r="M47" s="102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+'12'!G48</f>
        <v>9</v>
      </c>
      <c r="D48" s="85">
        <v>0</v>
      </c>
      <c r="E48" s="47">
        <f t="shared" si="0"/>
        <v>9</v>
      </c>
      <c r="F48" s="85">
        <v>0</v>
      </c>
      <c r="G48" s="47">
        <f t="shared" si="4"/>
        <v>8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2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2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102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1</v>
      </c>
      <c r="H61" s="86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102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10</v>
      </c>
      <c r="D66" s="85">
        <v>0</v>
      </c>
      <c r="E66" s="47">
        <f t="shared" si="0"/>
        <v>10</v>
      </c>
      <c r="F66" s="85">
        <v>0</v>
      </c>
      <c r="G66" s="47">
        <f t="shared" si="4"/>
        <v>4</v>
      </c>
      <c r="H66" s="86">
        <v>6</v>
      </c>
      <c r="I66" s="15">
        <v>50</v>
      </c>
      <c r="J66" s="80">
        <f t="shared" si="5"/>
        <v>300</v>
      </c>
      <c r="K66" s="17" t="s">
        <v>16</v>
      </c>
      <c r="L66" s="18">
        <v>50</v>
      </c>
      <c r="M66" s="102">
        <f t="shared" si="6"/>
        <v>250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12</v>
      </c>
      <c r="D70" s="85">
        <v>0</v>
      </c>
      <c r="E70" s="47">
        <f t="shared" si="0"/>
        <v>12</v>
      </c>
      <c r="F70" s="85">
        <v>0</v>
      </c>
      <c r="G70" s="47">
        <f t="shared" si="4"/>
        <v>9</v>
      </c>
      <c r="H70" s="86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102">
        <f t="shared" ref="M70:M134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3</v>
      </c>
      <c r="D71" s="85">
        <v>0</v>
      </c>
      <c r="E71" s="47">
        <f t="shared" si="0"/>
        <v>3</v>
      </c>
      <c r="F71" s="85">
        <v>0</v>
      </c>
      <c r="G71" s="47">
        <f t="shared" si="4"/>
        <v>3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4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v>1</v>
      </c>
      <c r="D79" s="85">
        <v>0</v>
      </c>
      <c r="E79" s="47">
        <f>C79+D79</f>
        <v>1</v>
      </c>
      <c r="F79" s="85">
        <v>0</v>
      </c>
      <c r="G79" s="47">
        <f>+E79-F79-H79</f>
        <v>0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102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+'12'!G80</f>
        <v>3</v>
      </c>
      <c r="D80" s="85">
        <v>0</v>
      </c>
      <c r="E80" s="47">
        <f t="shared" si="0"/>
        <v>3</v>
      </c>
      <c r="F80" s="85">
        <v>0</v>
      </c>
      <c r="G80" s="47">
        <f t="shared" si="4"/>
        <v>1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102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+'12'!G82</f>
        <v>4</v>
      </c>
      <c r="D82" s="85">
        <v>0</v>
      </c>
      <c r="E82" s="47">
        <f t="shared" si="0"/>
        <v>4</v>
      </c>
      <c r="F82" s="85">
        <v>0</v>
      </c>
      <c r="G82" s="47">
        <f t="shared" si="4"/>
        <v>3</v>
      </c>
      <c r="H82" s="86">
        <v>1</v>
      </c>
      <c r="I82" s="20">
        <v>55</v>
      </c>
      <c r="J82" s="80">
        <f t="shared" si="5"/>
        <v>55</v>
      </c>
      <c r="K82" s="17" t="s">
        <v>16</v>
      </c>
      <c r="L82" s="18">
        <v>0</v>
      </c>
      <c r="M82" s="102">
        <f t="shared" si="10"/>
        <v>55</v>
      </c>
    </row>
    <row r="83" spans="1:13" ht="25.5" x14ac:dyDescent="0.55000000000000004">
      <c r="A83" s="10">
        <v>79</v>
      </c>
      <c r="B83" s="19" t="s">
        <v>93</v>
      </c>
      <c r="C83" s="79">
        <f>+'12'!G83</f>
        <v>5</v>
      </c>
      <c r="D83" s="85">
        <v>0</v>
      </c>
      <c r="E83" s="47">
        <f t="shared" si="0"/>
        <v>5</v>
      </c>
      <c r="F83" s="85">
        <v>1</v>
      </c>
      <c r="G83" s="47">
        <f t="shared" si="4"/>
        <v>2</v>
      </c>
      <c r="H83" s="86">
        <v>2</v>
      </c>
      <c r="I83" s="22">
        <v>55</v>
      </c>
      <c r="J83" s="80">
        <f t="shared" si="5"/>
        <v>110</v>
      </c>
      <c r="K83" s="17" t="s">
        <v>16</v>
      </c>
      <c r="L83" s="18">
        <v>0</v>
      </c>
      <c r="M83" s="102">
        <f t="shared" si="10"/>
        <v>110</v>
      </c>
    </row>
    <row r="84" spans="1:13" ht="25.5" x14ac:dyDescent="0.55000000000000004">
      <c r="A84" s="10">
        <v>80</v>
      </c>
      <c r="B84" s="19" t="s">
        <v>94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+'12'!G86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+'12'!G87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11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102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+'12'!G88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+'12'!G89</f>
        <v>20</v>
      </c>
      <c r="D89" s="85">
        <v>0</v>
      </c>
      <c r="E89" s="47">
        <f t="shared" si="0"/>
        <v>20</v>
      </c>
      <c r="F89" s="85">
        <v>0</v>
      </c>
      <c r="G89" s="47">
        <f t="shared" si="4"/>
        <v>15</v>
      </c>
      <c r="H89" s="86">
        <v>5</v>
      </c>
      <c r="I89" s="20">
        <v>100</v>
      </c>
      <c r="J89" s="80">
        <f t="shared" si="5"/>
        <v>500</v>
      </c>
      <c r="K89" s="17" t="s">
        <v>16</v>
      </c>
      <c r="L89" s="18">
        <v>0</v>
      </c>
      <c r="M89" s="102">
        <f t="shared" si="10"/>
        <v>500</v>
      </c>
    </row>
    <row r="90" spans="1:13" ht="25.5" x14ac:dyDescent="0.55000000000000004">
      <c r="A90" s="10">
        <v>86</v>
      </c>
      <c r="B90" s="19" t="s">
        <v>100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+'12'!G102</f>
        <v>11</v>
      </c>
      <c r="D102" s="85">
        <v>0</v>
      </c>
      <c r="E102" s="47">
        <f t="shared" si="0"/>
        <v>11</v>
      </c>
      <c r="F102" s="85">
        <v>0</v>
      </c>
      <c r="G102" s="47">
        <f t="shared" si="11"/>
        <v>11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+'12'!G103</f>
        <v>5</v>
      </c>
      <c r="D103" s="85">
        <v>0</v>
      </c>
      <c r="E103" s="47">
        <f t="shared" si="0"/>
        <v>5</v>
      </c>
      <c r="F103" s="85">
        <v>0</v>
      </c>
      <c r="G103" s="47">
        <f t="shared" si="11"/>
        <v>3</v>
      </c>
      <c r="H103" s="86">
        <v>2</v>
      </c>
      <c r="I103" s="20">
        <v>50</v>
      </c>
      <c r="J103" s="80">
        <f t="shared" si="12"/>
        <v>100</v>
      </c>
      <c r="K103" s="17" t="s">
        <v>16</v>
      </c>
      <c r="L103" s="18">
        <v>0</v>
      </c>
      <c r="M103" s="102">
        <f t="shared" si="10"/>
        <v>100</v>
      </c>
    </row>
    <row r="104" spans="1:13" ht="25.5" x14ac:dyDescent="0.55000000000000004">
      <c r="A104" s="10">
        <v>100</v>
      </c>
      <c r="B104" s="19" t="s">
        <v>114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+'12'!G126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+'12'!G128</f>
        <v>73</v>
      </c>
      <c r="D128" s="85">
        <v>0</v>
      </c>
      <c r="E128" s="47">
        <f t="shared" si="13"/>
        <v>73</v>
      </c>
      <c r="F128" s="85">
        <v>0</v>
      </c>
      <c r="G128" s="47">
        <f t="shared" si="11"/>
        <v>73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+'12'!G161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+'12'!G162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+'12'!G163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+'12'!G169</f>
        <v>59</v>
      </c>
      <c r="D169" s="85">
        <v>0</v>
      </c>
      <c r="E169" s="47">
        <f t="shared" si="13"/>
        <v>59</v>
      </c>
      <c r="F169" s="85">
        <v>0</v>
      </c>
      <c r="G169" s="47">
        <f t="shared" si="15"/>
        <v>57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102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+'12'!G170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+'12'!G171</f>
        <v>5</v>
      </c>
      <c r="D171" s="85">
        <v>0</v>
      </c>
      <c r="E171" s="47">
        <f t="shared" si="13"/>
        <v>5</v>
      </c>
      <c r="F171" s="85">
        <v>0</v>
      </c>
      <c r="G171" s="47">
        <f t="shared" si="15"/>
        <v>5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+'12'!G179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4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+'12'!G189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+'12'!G190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+'12'!G211</f>
        <v>2</v>
      </c>
      <c r="D211" s="85">
        <v>0</v>
      </c>
      <c r="E211" s="47">
        <f t="shared" si="17"/>
        <v>2</v>
      </c>
      <c r="F211" s="85">
        <v>0</v>
      </c>
      <c r="G211" s="47">
        <f t="shared" si="15"/>
        <v>0</v>
      </c>
      <c r="H211" s="86">
        <v>2</v>
      </c>
      <c r="I211" s="20">
        <v>35</v>
      </c>
      <c r="J211" s="80">
        <f t="shared" si="16"/>
        <v>70</v>
      </c>
      <c r="K211" s="17" t="s">
        <v>16</v>
      </c>
      <c r="L211" s="18">
        <v>0</v>
      </c>
      <c r="M211" s="102">
        <f t="shared" si="18"/>
        <v>70</v>
      </c>
    </row>
    <row r="212" spans="1:13" ht="25.5" x14ac:dyDescent="0.55000000000000004">
      <c r="A212" s="10">
        <v>208</v>
      </c>
      <c r="B212" s="19" t="s">
        <v>245</v>
      </c>
      <c r="C212" s="79">
        <f>+'12'!G212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+'12'!G220</f>
        <v>11</v>
      </c>
      <c r="D220" s="85">
        <v>0</v>
      </c>
      <c r="E220" s="47">
        <f t="shared" si="17"/>
        <v>11</v>
      </c>
      <c r="F220" s="85">
        <v>2</v>
      </c>
      <c r="G220" s="47">
        <f t="shared" si="15"/>
        <v>4</v>
      </c>
      <c r="H220" s="86">
        <v>5</v>
      </c>
      <c r="I220" s="20">
        <v>45</v>
      </c>
      <c r="J220" s="80">
        <f t="shared" si="16"/>
        <v>225</v>
      </c>
      <c r="K220" s="17" t="s">
        <v>16</v>
      </c>
      <c r="L220" s="18">
        <v>75</v>
      </c>
      <c r="M220" s="102">
        <f t="shared" si="18"/>
        <v>150</v>
      </c>
    </row>
    <row r="221" spans="1:13" ht="25.5" x14ac:dyDescent="0.55000000000000004">
      <c r="A221" s="10">
        <v>217</v>
      </c>
      <c r="B221" s="19" t="s">
        <v>301</v>
      </c>
      <c r="C221" s="79">
        <f>+'12'!G221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4935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5360</v>
      </c>
    </row>
    <row r="258" spans="1:21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1705</v>
      </c>
      <c r="L259" s="2">
        <v>150</v>
      </c>
      <c r="M259" s="2">
        <v>400</v>
      </c>
      <c r="N259" s="2">
        <v>500</v>
      </c>
      <c r="O259" s="2">
        <v>85</v>
      </c>
      <c r="P259" s="2">
        <v>55</v>
      </c>
      <c r="Q259" s="2">
        <v>65</v>
      </c>
      <c r="R259" s="2">
        <v>100</v>
      </c>
      <c r="S259" s="2">
        <v>100</v>
      </c>
      <c r="T259" s="2">
        <v>200</v>
      </c>
      <c r="U259" s="2">
        <v>50</v>
      </c>
    </row>
    <row r="260" spans="1:21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1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1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425</v>
      </c>
    </row>
    <row r="263" spans="1:21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3215</v>
      </c>
    </row>
    <row r="264" spans="1:21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3215</v>
      </c>
    </row>
    <row r="265" spans="1:21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1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1" x14ac:dyDescent="0.5">
      <c r="G267" s="2"/>
      <c r="I267" s="2"/>
    </row>
    <row r="268" spans="1:21" x14ac:dyDescent="0.5">
      <c r="G268" s="2"/>
      <c r="I268" s="2"/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66FF99"/>
  </sheetPr>
  <dimension ref="A1:Z341"/>
  <sheetViews>
    <sheetView zoomScale="115" zoomScaleNormal="115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+'13'!G5</f>
        <v>35</v>
      </c>
      <c r="D5" s="85">
        <v>0</v>
      </c>
      <c r="E5" s="47">
        <f t="shared" ref="E5:E125" si="0">C5+D5</f>
        <v>35</v>
      </c>
      <c r="F5" s="85">
        <v>0</v>
      </c>
      <c r="G5" s="47">
        <f>+E5-F5-H5</f>
        <v>28</v>
      </c>
      <c r="H5" s="86">
        <v>7</v>
      </c>
      <c r="I5" s="15">
        <v>50</v>
      </c>
      <c r="J5" s="80">
        <f>+I5*H5</f>
        <v>350</v>
      </c>
      <c r="K5" s="17" t="s">
        <v>16</v>
      </c>
      <c r="L5" s="18">
        <v>50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49</v>
      </c>
      <c r="D6" s="85">
        <v>0</v>
      </c>
      <c r="E6" s="47">
        <f t="shared" si="0"/>
        <v>49</v>
      </c>
      <c r="F6" s="85">
        <v>0</v>
      </c>
      <c r="G6" s="47">
        <f t="shared" ref="G6:G100" si="4">+E6-F6-H6</f>
        <v>43</v>
      </c>
      <c r="H6" s="86">
        <v>6</v>
      </c>
      <c r="I6" s="15">
        <v>100</v>
      </c>
      <c r="J6" s="80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0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2</v>
      </c>
      <c r="D15" s="85">
        <v>0</v>
      </c>
      <c r="E15" s="47">
        <f t="shared" si="0"/>
        <v>2</v>
      </c>
      <c r="F15" s="85">
        <v>0</v>
      </c>
      <c r="G15" s="47">
        <f t="shared" si="4"/>
        <v>2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+'13'!G19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+'13'!G22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1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+'13'!G23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18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+'13'!G24</f>
        <v>4</v>
      </c>
      <c r="D24" s="85">
        <v>0</v>
      </c>
      <c r="E24" s="47">
        <f t="shared" si="0"/>
        <v>4</v>
      </c>
      <c r="F24" s="85">
        <v>2</v>
      </c>
      <c r="G24" s="47">
        <f t="shared" si="4"/>
        <v>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+'13'!G25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0</v>
      </c>
      <c r="H32" s="86">
        <v>2</v>
      </c>
      <c r="I32" s="15">
        <v>130</v>
      </c>
      <c r="J32" s="80">
        <f t="shared" si="5"/>
        <v>260</v>
      </c>
      <c r="K32" s="17" t="s">
        <v>16</v>
      </c>
      <c r="L32" s="18">
        <v>130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+'13'!G33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0</v>
      </c>
      <c r="H33" s="86">
        <v>1</v>
      </c>
      <c r="I33" s="15">
        <v>130</v>
      </c>
      <c r="J33" s="80">
        <f t="shared" si="5"/>
        <v>130</v>
      </c>
      <c r="K33" s="17" t="s">
        <v>16</v>
      </c>
      <c r="L33" s="18">
        <v>65</v>
      </c>
      <c r="M33" s="23">
        <f t="shared" si="6"/>
        <v>65</v>
      </c>
    </row>
    <row r="34" spans="1:13" ht="25.5" x14ac:dyDescent="0.55000000000000004">
      <c r="A34" s="10">
        <v>30</v>
      </c>
      <c r="B34" s="19" t="s">
        <v>45</v>
      </c>
      <c r="C34" s="79">
        <f>+'13'!G34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+'13'!G37</f>
        <v>28</v>
      </c>
      <c r="D37" s="85">
        <v>0</v>
      </c>
      <c r="E37" s="47">
        <f t="shared" si="0"/>
        <v>28</v>
      </c>
      <c r="F37" s="85">
        <v>0</v>
      </c>
      <c r="G37" s="47">
        <f t="shared" si="4"/>
        <v>24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+'13'!G38</f>
        <v>12</v>
      </c>
      <c r="D38" s="85">
        <v>0</v>
      </c>
      <c r="E38" s="47">
        <f t="shared" si="0"/>
        <v>12</v>
      </c>
      <c r="F38" s="85">
        <v>0</v>
      </c>
      <c r="G38" s="47">
        <f t="shared" si="4"/>
        <v>10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50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+'13'!G39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7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+'13'!G40</f>
        <v>10</v>
      </c>
      <c r="D40" s="85">
        <v>0</v>
      </c>
      <c r="E40" s="47">
        <f t="shared" si="0"/>
        <v>10</v>
      </c>
      <c r="F40" s="85">
        <v>0</v>
      </c>
      <c r="G40" s="47">
        <f t="shared" si="4"/>
        <v>9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25</v>
      </c>
      <c r="M40" s="23">
        <f t="shared" si="6"/>
        <v>25</v>
      </c>
    </row>
    <row r="41" spans="1:13" ht="25.5" x14ac:dyDescent="0.55000000000000004">
      <c r="A41" s="10">
        <v>37</v>
      </c>
      <c r="B41" s="19" t="s">
        <v>52</v>
      </c>
      <c r="C41" s="79">
        <f>+'13'!G41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+'13'!G43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3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+'13'!G44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10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+'13'!G46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5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+'13'!G47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2</v>
      </c>
      <c r="H47" s="86">
        <v>5</v>
      </c>
      <c r="I47" s="15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5.5" x14ac:dyDescent="0.55000000000000004">
      <c r="A48" s="10">
        <v>44</v>
      </c>
      <c r="B48" s="19" t="s">
        <v>59</v>
      </c>
      <c r="C48" s="79">
        <f>+'13'!G48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1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1</v>
      </c>
      <c r="D61" s="85">
        <v>0</v>
      </c>
      <c r="E61" s="47">
        <f t="shared" si="0"/>
        <v>1</v>
      </c>
      <c r="F61" s="85">
        <v>0</v>
      </c>
      <c r="G61" s="47">
        <f t="shared" si="4"/>
        <v>1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0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4</v>
      </c>
      <c r="D66" s="85">
        <v>0</v>
      </c>
      <c r="E66" s="47">
        <f t="shared" si="0"/>
        <v>4</v>
      </c>
      <c r="F66" s="85">
        <v>0</v>
      </c>
      <c r="G66" s="47">
        <f t="shared" si="4"/>
        <v>4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9</v>
      </c>
      <c r="D70" s="85">
        <v>0</v>
      </c>
      <c r="E70" s="47">
        <f t="shared" si="0"/>
        <v>9</v>
      </c>
      <c r="F70" s="85">
        <v>0</v>
      </c>
      <c r="G70" s="47">
        <f t="shared" si="4"/>
        <v>5</v>
      </c>
      <c r="H70" s="86">
        <v>4</v>
      </c>
      <c r="I70" s="20">
        <v>50</v>
      </c>
      <c r="J70" s="80">
        <f t="shared" si="5"/>
        <v>200</v>
      </c>
      <c r="K70" s="17" t="s">
        <v>16</v>
      </c>
      <c r="L70" s="18">
        <v>75</v>
      </c>
      <c r="M70" s="23">
        <f t="shared" ref="M70:M134" si="10">SUM(J70-L70)</f>
        <v>125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3</v>
      </c>
      <c r="D71" s="85">
        <v>0</v>
      </c>
      <c r="E71" s="47">
        <f t="shared" si="0"/>
        <v>3</v>
      </c>
      <c r="F71" s="85">
        <v>0</v>
      </c>
      <c r="G71" s="47">
        <f t="shared" si="4"/>
        <v>3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4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+'13'!G77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+'13'!G79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+'13'!G80</f>
        <v>1</v>
      </c>
      <c r="D80" s="85">
        <v>0</v>
      </c>
      <c r="E80" s="47">
        <f t="shared" si="0"/>
        <v>1</v>
      </c>
      <c r="F80" s="85">
        <v>0</v>
      </c>
      <c r="G80" s="47">
        <f t="shared" si="4"/>
        <v>0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+'13'!G82</f>
        <v>3</v>
      </c>
      <c r="D82" s="85">
        <v>0</v>
      </c>
      <c r="E82" s="47">
        <f t="shared" si="0"/>
        <v>3</v>
      </c>
      <c r="F82" s="85">
        <v>0</v>
      </c>
      <c r="G82" s="47">
        <f t="shared" si="4"/>
        <v>3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+'13'!G83</f>
        <v>2</v>
      </c>
      <c r="D83" s="85">
        <v>0</v>
      </c>
      <c r="E83" s="47">
        <f t="shared" si="0"/>
        <v>2</v>
      </c>
      <c r="F83" s="85">
        <v>0</v>
      </c>
      <c r="G83" s="47">
        <f t="shared" si="4"/>
        <v>1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0</v>
      </c>
      <c r="M83" s="23">
        <f t="shared" si="10"/>
        <v>55</v>
      </c>
    </row>
    <row r="84" spans="1:13" ht="25.5" x14ac:dyDescent="0.55000000000000004">
      <c r="A84" s="10">
        <v>80</v>
      </c>
      <c r="B84" s="19" t="s">
        <v>94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+'13'!G86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+'13'!G87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+'13'!G88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2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+'13'!G89</f>
        <v>15</v>
      </c>
      <c r="D89" s="85">
        <v>0</v>
      </c>
      <c r="E89" s="47">
        <f t="shared" si="0"/>
        <v>15</v>
      </c>
      <c r="F89" s="85">
        <v>0</v>
      </c>
      <c r="G89" s="47">
        <f t="shared" si="4"/>
        <v>15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+'13'!G102</f>
        <v>11</v>
      </c>
      <c r="D102" s="85">
        <v>0</v>
      </c>
      <c r="E102" s="47">
        <f t="shared" si="0"/>
        <v>11</v>
      </c>
      <c r="F102" s="85">
        <v>0</v>
      </c>
      <c r="G102" s="47">
        <f t="shared" si="11"/>
        <v>10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+'13'!G103</f>
        <v>3</v>
      </c>
      <c r="D103" s="85">
        <v>0</v>
      </c>
      <c r="E103" s="47">
        <f t="shared" si="0"/>
        <v>3</v>
      </c>
      <c r="F103" s="85">
        <v>0</v>
      </c>
      <c r="G103" s="47">
        <f t="shared" si="11"/>
        <v>3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+'13'!G126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+'13'!G128</f>
        <v>73</v>
      </c>
      <c r="D128" s="85">
        <v>0</v>
      </c>
      <c r="E128" s="47">
        <f t="shared" si="13"/>
        <v>73</v>
      </c>
      <c r="F128" s="85">
        <v>0</v>
      </c>
      <c r="G128" s="47">
        <f t="shared" si="11"/>
        <v>73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+'13'!G161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+'13'!G162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+'13'!G163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+'13'!G169</f>
        <v>57</v>
      </c>
      <c r="D169" s="85">
        <v>0</v>
      </c>
      <c r="E169" s="47">
        <f t="shared" si="13"/>
        <v>57</v>
      </c>
      <c r="F169" s="85">
        <v>0</v>
      </c>
      <c r="G169" s="47">
        <f t="shared" si="15"/>
        <v>54</v>
      </c>
      <c r="H169" s="86">
        <v>3</v>
      </c>
      <c r="I169" s="20">
        <v>55</v>
      </c>
      <c r="J169" s="80">
        <f t="shared" si="16"/>
        <v>165</v>
      </c>
      <c r="K169" s="17" t="s">
        <v>16</v>
      </c>
      <c r="L169" s="18">
        <v>0</v>
      </c>
      <c r="M169" s="23">
        <f t="shared" si="14"/>
        <v>165</v>
      </c>
    </row>
    <row r="170" spans="1:13" ht="25.5" x14ac:dyDescent="0.55000000000000004">
      <c r="A170" s="10">
        <v>166</v>
      </c>
      <c r="B170" s="19" t="s">
        <v>181</v>
      </c>
      <c r="C170" s="79">
        <f>+'13'!G170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+'13'!G171</f>
        <v>5</v>
      </c>
      <c r="D171" s="85">
        <v>0</v>
      </c>
      <c r="E171" s="47">
        <f t="shared" si="13"/>
        <v>5</v>
      </c>
      <c r="F171" s="85">
        <v>0</v>
      </c>
      <c r="G171" s="47">
        <f t="shared" si="15"/>
        <v>4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+'13'!G179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4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+'13'!G189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+'13'!G190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+'13'!G209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+'13'!G212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+'13'!G220</f>
        <v>4</v>
      </c>
      <c r="D220" s="85">
        <v>0</v>
      </c>
      <c r="E220" s="47">
        <f t="shared" si="17"/>
        <v>4</v>
      </c>
      <c r="F220" s="85">
        <v>0</v>
      </c>
      <c r="G220" s="47">
        <f t="shared" si="15"/>
        <v>2</v>
      </c>
      <c r="H220" s="86">
        <v>2</v>
      </c>
      <c r="I220" s="20">
        <v>45</v>
      </c>
      <c r="J220" s="80">
        <f t="shared" si="16"/>
        <v>90</v>
      </c>
      <c r="K220" s="17" t="s">
        <v>16</v>
      </c>
      <c r="L220" s="18">
        <f>90-68</f>
        <v>22</v>
      </c>
      <c r="M220" s="23">
        <f t="shared" si="18"/>
        <v>68</v>
      </c>
    </row>
    <row r="221" spans="1:13" ht="25.5" x14ac:dyDescent="0.55000000000000004">
      <c r="A221" s="10">
        <v>217</v>
      </c>
      <c r="B221" s="19" t="s">
        <v>301</v>
      </c>
      <c r="C221" s="79">
        <f>+'13'!G221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3128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3595</v>
      </c>
    </row>
    <row r="258" spans="1:14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980</v>
      </c>
      <c r="L259" s="2">
        <v>500</v>
      </c>
      <c r="M259" s="2">
        <v>300</v>
      </c>
      <c r="N259" s="2">
        <v>180</v>
      </c>
    </row>
    <row r="260" spans="1:14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467</v>
      </c>
    </row>
    <row r="263" spans="1:14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2133</v>
      </c>
    </row>
    <row r="264" spans="1:14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2133</v>
      </c>
    </row>
    <row r="265" spans="1:14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4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66FF99"/>
  </sheetPr>
  <dimension ref="A1:Z341"/>
  <sheetViews>
    <sheetView zoomScale="115" zoomScaleNormal="115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+'14'!G5</f>
        <v>28</v>
      </c>
      <c r="D5" s="85">
        <v>10</v>
      </c>
      <c r="E5" s="47">
        <f t="shared" ref="E5:E125" si="0">C5+D5</f>
        <v>38</v>
      </c>
      <c r="F5" s="85">
        <v>0</v>
      </c>
      <c r="G5" s="47">
        <f>+E5-F5-H5</f>
        <v>34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102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43</v>
      </c>
      <c r="D6" s="85">
        <v>5</v>
      </c>
      <c r="E6" s="47">
        <f t="shared" si="0"/>
        <v>48</v>
      </c>
      <c r="F6" s="85">
        <v>0</v>
      </c>
      <c r="G6" s="47">
        <f t="shared" ref="G6:G100" si="4">+E6-F6-H6</f>
        <v>42</v>
      </c>
      <c r="H6" s="86">
        <v>6</v>
      </c>
      <c r="I6" s="15">
        <v>100</v>
      </c>
      <c r="J6" s="80">
        <f t="shared" ref="J6:J100" si="5">+I6*H6</f>
        <v>600</v>
      </c>
      <c r="K6" s="17" t="s">
        <v>16</v>
      </c>
      <c r="L6" s="18">
        <v>150</v>
      </c>
      <c r="M6" s="102">
        <f t="shared" ref="M6:M69" si="6">SUM(J6-L6)</f>
        <v>450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2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2</v>
      </c>
      <c r="D15" s="85">
        <v>5</v>
      </c>
      <c r="E15" s="47">
        <f t="shared" si="0"/>
        <v>7</v>
      </c>
      <c r="F15" s="85">
        <v>0</v>
      </c>
      <c r="G15" s="47">
        <f t="shared" si="4"/>
        <v>7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+'14'!G17</f>
        <v>0</v>
      </c>
      <c r="D17" s="85">
        <v>5</v>
      </c>
      <c r="E17" s="47">
        <f t="shared" si="0"/>
        <v>5</v>
      </c>
      <c r="F17" s="85">
        <v>0</v>
      </c>
      <c r="G17" s="47">
        <f t="shared" si="4"/>
        <v>4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102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+'14'!G19</f>
        <v>4</v>
      </c>
      <c r="D19" s="85">
        <v>5</v>
      </c>
      <c r="E19" s="47">
        <f t="shared" si="0"/>
        <v>9</v>
      </c>
      <c r="F19" s="85">
        <v>0</v>
      </c>
      <c r="G19" s="47">
        <f t="shared" si="4"/>
        <v>4</v>
      </c>
      <c r="H19" s="86">
        <v>5</v>
      </c>
      <c r="I19" s="15">
        <v>50</v>
      </c>
      <c r="J19" s="80">
        <f t="shared" si="5"/>
        <v>250</v>
      </c>
      <c r="K19" s="17" t="s">
        <v>16</v>
      </c>
      <c r="L19" s="18">
        <v>0</v>
      </c>
      <c r="M19" s="102">
        <f t="shared" si="6"/>
        <v>250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+'14'!G22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0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102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+'14'!G23</f>
        <v>18</v>
      </c>
      <c r="D23" s="85">
        <v>5</v>
      </c>
      <c r="E23" s="47">
        <f t="shared" si="0"/>
        <v>23</v>
      </c>
      <c r="F23" s="85">
        <v>1</v>
      </c>
      <c r="G23" s="47">
        <f t="shared" si="4"/>
        <v>19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102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+'14'!G24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1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102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+'14'!G25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5">
        <v>2</v>
      </c>
      <c r="E32" s="47">
        <f t="shared" si="0"/>
        <v>2</v>
      </c>
      <c r="F32" s="85">
        <v>0</v>
      </c>
      <c r="G32" s="47">
        <f t="shared" si="4"/>
        <v>2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+'14'!G33</f>
        <v>0</v>
      </c>
      <c r="D33" s="85">
        <v>1</v>
      </c>
      <c r="E33" s="47">
        <f t="shared" si="0"/>
        <v>1</v>
      </c>
      <c r="F33" s="85">
        <v>0</v>
      </c>
      <c r="G33" s="47">
        <f t="shared" si="4"/>
        <v>1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+'14'!G37</f>
        <v>24</v>
      </c>
      <c r="D37" s="85">
        <v>10</v>
      </c>
      <c r="E37" s="47">
        <f t="shared" si="0"/>
        <v>34</v>
      </c>
      <c r="F37" s="85">
        <v>2</v>
      </c>
      <c r="G37" s="47">
        <f t="shared" si="4"/>
        <v>25</v>
      </c>
      <c r="H37" s="86">
        <v>7</v>
      </c>
      <c r="I37" s="15">
        <v>100</v>
      </c>
      <c r="J37" s="80">
        <f t="shared" si="5"/>
        <v>700</v>
      </c>
      <c r="K37" s="17" t="s">
        <v>16</v>
      </c>
      <c r="L37" s="18">
        <v>0</v>
      </c>
      <c r="M37" s="102">
        <f t="shared" si="6"/>
        <v>700</v>
      </c>
    </row>
    <row r="38" spans="1:13" ht="25.5" x14ac:dyDescent="0.55000000000000004">
      <c r="A38" s="10">
        <v>34</v>
      </c>
      <c r="B38" s="19" t="s">
        <v>49</v>
      </c>
      <c r="C38" s="79">
        <f>+'14'!G38</f>
        <v>10</v>
      </c>
      <c r="D38" s="85">
        <v>8</v>
      </c>
      <c r="E38" s="47">
        <f t="shared" si="0"/>
        <v>18</v>
      </c>
      <c r="F38" s="85">
        <v>0</v>
      </c>
      <c r="G38" s="47">
        <f t="shared" si="4"/>
        <v>18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+'14'!G39</f>
        <v>7</v>
      </c>
      <c r="D39" s="85">
        <v>5</v>
      </c>
      <c r="E39" s="47">
        <f t="shared" si="0"/>
        <v>12</v>
      </c>
      <c r="F39" s="85">
        <v>0</v>
      </c>
      <c r="G39" s="47">
        <f t="shared" si="4"/>
        <v>11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25</v>
      </c>
      <c r="M39" s="102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+'14'!G40</f>
        <v>9</v>
      </c>
      <c r="D40" s="85">
        <v>5</v>
      </c>
      <c r="E40" s="47">
        <f t="shared" si="0"/>
        <v>14</v>
      </c>
      <c r="F40" s="85">
        <v>0</v>
      </c>
      <c r="G40" s="47">
        <f t="shared" si="4"/>
        <v>12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50</v>
      </c>
      <c r="M40" s="102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+'14'!G41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6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102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+'14'!G43</f>
        <v>3</v>
      </c>
      <c r="D43" s="85">
        <v>5</v>
      </c>
      <c r="E43" s="47">
        <f t="shared" si="0"/>
        <v>8</v>
      </c>
      <c r="F43" s="85">
        <v>0</v>
      </c>
      <c r="G43" s="47">
        <f t="shared" si="4"/>
        <v>5</v>
      </c>
      <c r="H43" s="86">
        <v>3</v>
      </c>
      <c r="I43" s="15">
        <v>50</v>
      </c>
      <c r="J43" s="80">
        <f t="shared" si="5"/>
        <v>150</v>
      </c>
      <c r="K43" s="17" t="s">
        <v>16</v>
      </c>
      <c r="L43" s="18">
        <v>0</v>
      </c>
      <c r="M43" s="102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+'14'!G44</f>
        <v>10</v>
      </c>
      <c r="D44" s="85">
        <v>5</v>
      </c>
      <c r="E44" s="47">
        <f t="shared" si="0"/>
        <v>15</v>
      </c>
      <c r="F44" s="85">
        <v>0</v>
      </c>
      <c r="G44" s="47">
        <f t="shared" si="4"/>
        <v>13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102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+'14'!G46</f>
        <v>5</v>
      </c>
      <c r="D46" s="85">
        <v>5</v>
      </c>
      <c r="E46" s="47">
        <f t="shared" si="0"/>
        <v>10</v>
      </c>
      <c r="F46" s="85">
        <v>0</v>
      </c>
      <c r="G46" s="47">
        <f t="shared" si="4"/>
        <v>9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102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+'14'!G47</f>
        <v>2</v>
      </c>
      <c r="D47" s="85">
        <v>5</v>
      </c>
      <c r="E47" s="47">
        <f t="shared" si="0"/>
        <v>7</v>
      </c>
      <c r="F47" s="85">
        <v>0</v>
      </c>
      <c r="G47" s="47">
        <f t="shared" si="4"/>
        <v>4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50</v>
      </c>
      <c r="M47" s="102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+'14'!G48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+'14'!G49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1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0</v>
      </c>
      <c r="M51" s="102">
        <f t="shared" si="6"/>
        <v>120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0</v>
      </c>
      <c r="M55" s="102">
        <f t="shared" si="6"/>
        <v>120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1</v>
      </c>
      <c r="D61" s="85">
        <v>0</v>
      </c>
      <c r="E61" s="47">
        <f t="shared" si="0"/>
        <v>1</v>
      </c>
      <c r="F61" s="85">
        <v>0</v>
      </c>
      <c r="G61" s="47">
        <f t="shared" si="4"/>
        <v>1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4</v>
      </c>
      <c r="D66" s="85">
        <v>0</v>
      </c>
      <c r="E66" s="47">
        <f t="shared" si="0"/>
        <v>4</v>
      </c>
      <c r="F66" s="85">
        <v>0</v>
      </c>
      <c r="G66" s="47">
        <f t="shared" si="4"/>
        <v>0</v>
      </c>
      <c r="H66" s="86">
        <v>4</v>
      </c>
      <c r="I66" s="15">
        <v>50</v>
      </c>
      <c r="J66" s="80">
        <f t="shared" si="5"/>
        <v>200</v>
      </c>
      <c r="K66" s="17" t="s">
        <v>16</v>
      </c>
      <c r="L66" s="18">
        <v>100</v>
      </c>
      <c r="M66" s="102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+'14'!G67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5</v>
      </c>
      <c r="D70" s="85">
        <v>0</v>
      </c>
      <c r="E70" s="47">
        <f t="shared" si="0"/>
        <v>5</v>
      </c>
      <c r="F70" s="85">
        <v>0</v>
      </c>
      <c r="G70" s="47">
        <f t="shared" si="4"/>
        <v>5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3</v>
      </c>
      <c r="D71" s="85">
        <v>0</v>
      </c>
      <c r="E71" s="47">
        <f t="shared" si="0"/>
        <v>3</v>
      </c>
      <c r="F71" s="85">
        <v>0</v>
      </c>
      <c r="G71" s="47">
        <f t="shared" si="4"/>
        <v>1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60</v>
      </c>
      <c r="M71" s="102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3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102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2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+'14'!G77</f>
        <v>1</v>
      </c>
      <c r="D77" s="85">
        <v>2</v>
      </c>
      <c r="E77" s="47">
        <f t="shared" si="0"/>
        <v>3</v>
      </c>
      <c r="F77" s="85">
        <v>0</v>
      </c>
      <c r="G77" s="47">
        <f t="shared" si="4"/>
        <v>3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+'14'!G79</f>
        <v>0</v>
      </c>
      <c r="D79" s="85">
        <v>2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+'14'!G80</f>
        <v>0</v>
      </c>
      <c r="D80" s="85">
        <v>5</v>
      </c>
      <c r="E80" s="47">
        <f t="shared" si="0"/>
        <v>5</v>
      </c>
      <c r="F80" s="85">
        <v>0</v>
      </c>
      <c r="G80" s="47">
        <f t="shared" si="4"/>
        <v>5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+'14'!G82</f>
        <v>3</v>
      </c>
      <c r="D82" s="85">
        <v>2</v>
      </c>
      <c r="E82" s="47">
        <f t="shared" si="0"/>
        <v>5</v>
      </c>
      <c r="F82" s="85">
        <v>0</v>
      </c>
      <c r="G82" s="47">
        <f t="shared" si="4"/>
        <v>5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+'14'!G83</f>
        <v>1</v>
      </c>
      <c r="D83" s="85">
        <v>2</v>
      </c>
      <c r="E83" s="47">
        <f t="shared" si="0"/>
        <v>3</v>
      </c>
      <c r="F83" s="85">
        <v>0</v>
      </c>
      <c r="G83" s="47">
        <f t="shared" si="4"/>
        <v>3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+'14'!G86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+'14'!G87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+'14'!G88</f>
        <v>2</v>
      </c>
      <c r="D88" s="85">
        <v>5</v>
      </c>
      <c r="E88" s="47">
        <f t="shared" si="0"/>
        <v>7</v>
      </c>
      <c r="F88" s="85">
        <v>0</v>
      </c>
      <c r="G88" s="47">
        <f t="shared" si="4"/>
        <v>6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102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+'14'!G89</f>
        <v>15</v>
      </c>
      <c r="D89" s="85">
        <v>0</v>
      </c>
      <c r="E89" s="47">
        <f t="shared" si="0"/>
        <v>15</v>
      </c>
      <c r="F89" s="85">
        <v>0</v>
      </c>
      <c r="G89" s="47">
        <f t="shared" si="4"/>
        <v>11</v>
      </c>
      <c r="H89" s="86">
        <v>4</v>
      </c>
      <c r="I89" s="20">
        <v>100</v>
      </c>
      <c r="J89" s="80">
        <f t="shared" si="5"/>
        <v>400</v>
      </c>
      <c r="K89" s="17" t="s">
        <v>16</v>
      </c>
      <c r="L89" s="18">
        <v>100</v>
      </c>
      <c r="M89" s="102">
        <f t="shared" si="10"/>
        <v>300</v>
      </c>
    </row>
    <row r="90" spans="1:13" ht="25.5" x14ac:dyDescent="0.55000000000000004">
      <c r="A90" s="10">
        <v>86</v>
      </c>
      <c r="B90" s="19" t="s">
        <v>100</v>
      </c>
      <c r="C90" s="79">
        <f>+'14'!G90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+'14'!G102</f>
        <v>10</v>
      </c>
      <c r="D102" s="85">
        <v>0</v>
      </c>
      <c r="E102" s="47">
        <f t="shared" si="0"/>
        <v>10</v>
      </c>
      <c r="F102" s="85">
        <v>0</v>
      </c>
      <c r="G102" s="47">
        <f t="shared" si="11"/>
        <v>9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102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+'14'!G103</f>
        <v>3</v>
      </c>
      <c r="D103" s="85">
        <v>0</v>
      </c>
      <c r="E103" s="47">
        <f t="shared" si="0"/>
        <v>3</v>
      </c>
      <c r="F103" s="85">
        <v>0</v>
      </c>
      <c r="G103" s="47">
        <f t="shared" si="11"/>
        <v>2</v>
      </c>
      <c r="H103" s="86">
        <v>1</v>
      </c>
      <c r="I103" s="20">
        <v>50</v>
      </c>
      <c r="J103" s="80">
        <f t="shared" si="12"/>
        <v>50</v>
      </c>
      <c r="K103" s="17" t="s">
        <v>16</v>
      </c>
      <c r="L103" s="18">
        <v>0</v>
      </c>
      <c r="M103" s="102">
        <f t="shared" si="10"/>
        <v>50</v>
      </c>
    </row>
    <row r="104" spans="1:13" ht="25.5" x14ac:dyDescent="0.55000000000000004">
      <c r="A104" s="10">
        <v>100</v>
      </c>
      <c r="B104" s="19" t="s">
        <v>114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+'14'!G126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+'14'!G128</f>
        <v>73</v>
      </c>
      <c r="D128" s="85">
        <v>0</v>
      </c>
      <c r="E128" s="47">
        <f t="shared" si="13"/>
        <v>73</v>
      </c>
      <c r="F128" s="85">
        <v>0</v>
      </c>
      <c r="G128" s="47">
        <f t="shared" si="11"/>
        <v>69</v>
      </c>
      <c r="H128" s="86">
        <v>4</v>
      </c>
      <c r="I128" s="20">
        <v>20</v>
      </c>
      <c r="J128" s="80">
        <f t="shared" si="12"/>
        <v>80</v>
      </c>
      <c r="K128" s="17" t="s">
        <v>16</v>
      </c>
      <c r="L128" s="18">
        <v>40</v>
      </c>
      <c r="M128" s="102">
        <f t="shared" si="10"/>
        <v>40</v>
      </c>
    </row>
    <row r="129" spans="1:13" ht="25.5" x14ac:dyDescent="0.55000000000000004">
      <c r="A129" s="10">
        <v>125</v>
      </c>
      <c r="B129" s="19" t="s">
        <v>140</v>
      </c>
      <c r="C129" s="79">
        <f>+'14'!G129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+'14'!G161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+'14'!G162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+'14'!G163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+'14'!G169</f>
        <v>54</v>
      </c>
      <c r="D169" s="85">
        <v>0</v>
      </c>
      <c r="E169" s="47">
        <f t="shared" si="13"/>
        <v>54</v>
      </c>
      <c r="F169" s="85">
        <v>0</v>
      </c>
      <c r="G169" s="47">
        <f t="shared" si="15"/>
        <v>51</v>
      </c>
      <c r="H169" s="86">
        <v>3</v>
      </c>
      <c r="I169" s="20">
        <v>55</v>
      </c>
      <c r="J169" s="80">
        <f t="shared" si="16"/>
        <v>165</v>
      </c>
      <c r="K169" s="17" t="s">
        <v>16</v>
      </c>
      <c r="L169" s="18">
        <v>0</v>
      </c>
      <c r="M169" s="23">
        <f t="shared" si="14"/>
        <v>165</v>
      </c>
    </row>
    <row r="170" spans="1:13" ht="25.5" x14ac:dyDescent="0.55000000000000004">
      <c r="A170" s="10">
        <v>166</v>
      </c>
      <c r="B170" s="19" t="s">
        <v>181</v>
      </c>
      <c r="C170" s="79">
        <f>+'14'!G170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+'14'!G171</f>
        <v>4</v>
      </c>
      <c r="D171" s="85">
        <v>0</v>
      </c>
      <c r="E171" s="47">
        <f t="shared" si="13"/>
        <v>4</v>
      </c>
      <c r="F171" s="85">
        <v>0</v>
      </c>
      <c r="G171" s="47">
        <f t="shared" si="15"/>
        <v>2</v>
      </c>
      <c r="H171" s="86">
        <v>2</v>
      </c>
      <c r="I171" s="20">
        <v>80</v>
      </c>
      <c r="J171" s="80">
        <f t="shared" si="16"/>
        <v>160</v>
      </c>
      <c r="K171" s="17" t="s">
        <v>16</v>
      </c>
      <c r="L171" s="18">
        <v>0</v>
      </c>
      <c r="M171" s="23">
        <f t="shared" si="14"/>
        <v>160</v>
      </c>
    </row>
    <row r="172" spans="1:13" ht="25.5" x14ac:dyDescent="0.55000000000000004">
      <c r="A172" s="10">
        <v>168</v>
      </c>
      <c r="B172" s="19" t="s">
        <v>183</v>
      </c>
      <c r="C172" s="79">
        <f>+'14'!G172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+'14'!G177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+'14'!G179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4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+'14'!G189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+'14'!G190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+'14'!G209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+'14'!G211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+'14'!G212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+'14'!G217</f>
        <v>0</v>
      </c>
      <c r="D217" s="85">
        <v>5</v>
      </c>
      <c r="E217" s="47">
        <f t="shared" si="17"/>
        <v>5</v>
      </c>
      <c r="F217" s="85">
        <v>0</v>
      </c>
      <c r="G217" s="47">
        <f t="shared" si="15"/>
        <v>5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+'14'!G218</f>
        <v>0</v>
      </c>
      <c r="D218" s="85">
        <v>5</v>
      </c>
      <c r="E218" s="47">
        <f t="shared" si="17"/>
        <v>5</v>
      </c>
      <c r="F218" s="85">
        <v>0</v>
      </c>
      <c r="G218" s="47">
        <f t="shared" si="15"/>
        <v>5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+'14'!G219</f>
        <v>0</v>
      </c>
      <c r="D219" s="85">
        <v>3</v>
      </c>
      <c r="E219" s="47">
        <f t="shared" si="17"/>
        <v>3</v>
      </c>
      <c r="F219" s="85">
        <v>0</v>
      </c>
      <c r="G219" s="47">
        <f t="shared" si="15"/>
        <v>3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+'14'!G220</f>
        <v>2</v>
      </c>
      <c r="D220" s="85">
        <v>0</v>
      </c>
      <c r="E220" s="47">
        <f t="shared" si="17"/>
        <v>2</v>
      </c>
      <c r="F220" s="85">
        <v>0</v>
      </c>
      <c r="G220" s="47">
        <f t="shared" si="15"/>
        <v>2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+'14'!G221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4120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4695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1920</v>
      </c>
      <c r="L259" s="2">
        <v>500</v>
      </c>
      <c r="M259" s="2">
        <v>500</v>
      </c>
      <c r="N259" s="2">
        <v>500</v>
      </c>
      <c r="O259" s="2">
        <v>100</v>
      </c>
      <c r="P259" s="2">
        <v>150</v>
      </c>
      <c r="Q259" s="2">
        <v>170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575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2185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2185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66FF99"/>
  </sheetPr>
  <dimension ref="A1:Z341"/>
  <sheetViews>
    <sheetView zoomScale="70" zoomScaleNormal="70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+'15'!G5</f>
        <v>34</v>
      </c>
      <c r="D5" s="85">
        <v>0</v>
      </c>
      <c r="E5" s="47">
        <f t="shared" ref="E5:E125" si="0">C5+D5</f>
        <v>34</v>
      </c>
      <c r="F5" s="85">
        <v>0</v>
      </c>
      <c r="G5" s="47">
        <f>+E5-F5-H5</f>
        <v>34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42</v>
      </c>
      <c r="D6" s="85">
        <v>0</v>
      </c>
      <c r="E6" s="47">
        <f t="shared" si="0"/>
        <v>42</v>
      </c>
      <c r="F6" s="85">
        <v>0</v>
      </c>
      <c r="G6" s="47">
        <f t="shared" ref="G6:G100" si="4">+E6-F6-H6</f>
        <v>39</v>
      </c>
      <c r="H6" s="86">
        <v>3</v>
      </c>
      <c r="I6" s="15">
        <v>100</v>
      </c>
      <c r="J6" s="80">
        <f t="shared" ref="J6:J100" si="5">+I6*H6</f>
        <v>300</v>
      </c>
      <c r="K6" s="17" t="s">
        <v>16</v>
      </c>
      <c r="L6" s="18">
        <v>100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7</v>
      </c>
      <c r="D15" s="85">
        <v>0</v>
      </c>
      <c r="E15" s="47">
        <f t="shared" si="0"/>
        <v>7</v>
      </c>
      <c r="F15" s="85">
        <v>0</v>
      </c>
      <c r="G15" s="47">
        <f t="shared" si="4"/>
        <v>7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+'15'!G17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+'15'!G19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+'15'!G23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+'15'!G24</f>
        <v>1</v>
      </c>
      <c r="D24" s="85">
        <v>0</v>
      </c>
      <c r="E24" s="47">
        <f t="shared" si="0"/>
        <v>1</v>
      </c>
      <c r="F24" s="85">
        <v>0</v>
      </c>
      <c r="G24" s="47">
        <f t="shared" si="4"/>
        <v>1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+'15'!G25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1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+'15'!G33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1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+'15'!G37</f>
        <v>25</v>
      </c>
      <c r="D37" s="85">
        <v>0</v>
      </c>
      <c r="E37" s="47">
        <f t="shared" si="0"/>
        <v>25</v>
      </c>
      <c r="F37" s="85">
        <v>0</v>
      </c>
      <c r="G37" s="47">
        <f t="shared" si="4"/>
        <v>21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+'15'!G38</f>
        <v>18</v>
      </c>
      <c r="D38" s="85">
        <v>0</v>
      </c>
      <c r="E38" s="47">
        <f t="shared" si="0"/>
        <v>18</v>
      </c>
      <c r="F38" s="85">
        <v>0</v>
      </c>
      <c r="G38" s="47">
        <f t="shared" si="4"/>
        <v>18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+'15'!G39</f>
        <v>11</v>
      </c>
      <c r="D39" s="85">
        <v>0</v>
      </c>
      <c r="E39" s="47">
        <f t="shared" si="0"/>
        <v>11</v>
      </c>
      <c r="F39" s="85">
        <v>0</v>
      </c>
      <c r="G39" s="47">
        <f t="shared" si="4"/>
        <v>10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25</v>
      </c>
      <c r="M39" s="23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+'15'!G40</f>
        <v>12</v>
      </c>
      <c r="D40" s="85">
        <v>0</v>
      </c>
      <c r="E40" s="47">
        <f t="shared" si="0"/>
        <v>12</v>
      </c>
      <c r="F40" s="85">
        <v>0</v>
      </c>
      <c r="G40" s="47">
        <f t="shared" si="4"/>
        <v>12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+'15'!G41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5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+'15'!G43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+'15'!G44</f>
        <v>13</v>
      </c>
      <c r="D44" s="85">
        <v>0</v>
      </c>
      <c r="E44" s="47">
        <f t="shared" si="0"/>
        <v>13</v>
      </c>
      <c r="F44" s="85">
        <v>0</v>
      </c>
      <c r="G44" s="47">
        <f t="shared" si="4"/>
        <v>13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+'15'!G46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9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+'15'!G47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4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+'15'!G48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1</v>
      </c>
      <c r="D61" s="85">
        <v>0</v>
      </c>
      <c r="E61" s="47">
        <f t="shared" si="0"/>
        <v>1</v>
      </c>
      <c r="F61" s="85">
        <v>0</v>
      </c>
      <c r="G61" s="47">
        <f t="shared" si="4"/>
        <v>1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5</v>
      </c>
      <c r="D67" s="85">
        <v>5</v>
      </c>
      <c r="E67" s="47">
        <f t="shared" si="0"/>
        <v>10</v>
      </c>
      <c r="F67" s="85">
        <v>0</v>
      </c>
      <c r="G67" s="47">
        <f t="shared" si="4"/>
        <v>9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25</v>
      </c>
      <c r="M67" s="23">
        <f t="shared" si="6"/>
        <v>25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5</v>
      </c>
      <c r="D70" s="85">
        <v>8</v>
      </c>
      <c r="E70" s="47">
        <f t="shared" si="0"/>
        <v>13</v>
      </c>
      <c r="F70" s="85">
        <v>0</v>
      </c>
      <c r="G70" s="47">
        <f t="shared" si="4"/>
        <v>11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25</v>
      </c>
      <c r="M70" s="23">
        <f t="shared" ref="M70:M134" si="10">SUM(J70-L70)</f>
        <v>75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1</v>
      </c>
      <c r="D71" s="85">
        <v>0</v>
      </c>
      <c r="E71" s="47">
        <f t="shared" si="0"/>
        <v>1</v>
      </c>
      <c r="F71" s="85">
        <v>0</v>
      </c>
      <c r="G71" s="47">
        <f t="shared" si="4"/>
        <v>1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2</v>
      </c>
      <c r="D74" s="85">
        <v>0</v>
      </c>
      <c r="E74" s="47">
        <f t="shared" si="0"/>
        <v>2</v>
      </c>
      <c r="F74" s="85">
        <v>0</v>
      </c>
      <c r="G74" s="47">
        <f t="shared" si="4"/>
        <v>1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+'15'!G77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1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10"/>
        <v>100</v>
      </c>
    </row>
    <row r="78" spans="1:13" ht="25.5" x14ac:dyDescent="0.55000000000000004">
      <c r="A78" s="10">
        <v>74</v>
      </c>
      <c r="B78" s="19" t="s">
        <v>276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+'15'!G79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+'15'!G80</f>
        <v>5</v>
      </c>
      <c r="D80" s="85">
        <v>0</v>
      </c>
      <c r="E80" s="47">
        <f t="shared" si="0"/>
        <v>5</v>
      </c>
      <c r="F80" s="85">
        <v>0</v>
      </c>
      <c r="G80" s="47">
        <f t="shared" si="4"/>
        <v>5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+'15'!G82</f>
        <v>5</v>
      </c>
      <c r="D82" s="85">
        <v>0</v>
      </c>
      <c r="E82" s="47">
        <f t="shared" si="0"/>
        <v>5</v>
      </c>
      <c r="F82" s="85">
        <v>0</v>
      </c>
      <c r="G82" s="47">
        <f t="shared" si="4"/>
        <v>5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+'15'!G83</f>
        <v>3</v>
      </c>
      <c r="D83" s="85">
        <v>0</v>
      </c>
      <c r="E83" s="47">
        <f t="shared" si="0"/>
        <v>3</v>
      </c>
      <c r="F83" s="85">
        <v>0</v>
      </c>
      <c r="G83" s="47">
        <f t="shared" si="4"/>
        <v>3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+'15'!G86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+'15'!G87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+'15'!G88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+'15'!G89</f>
        <v>11</v>
      </c>
      <c r="D89" s="85">
        <v>0</v>
      </c>
      <c r="E89" s="47">
        <f t="shared" si="0"/>
        <v>11</v>
      </c>
      <c r="F89" s="85">
        <v>0</v>
      </c>
      <c r="G89" s="47">
        <f t="shared" si="4"/>
        <v>10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+'15'!G102</f>
        <v>9</v>
      </c>
      <c r="D102" s="85">
        <v>0</v>
      </c>
      <c r="E102" s="47">
        <f t="shared" si="0"/>
        <v>9</v>
      </c>
      <c r="F102" s="85">
        <v>0</v>
      </c>
      <c r="G102" s="47">
        <f t="shared" si="11"/>
        <v>9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+'15'!G103</f>
        <v>2</v>
      </c>
      <c r="D103" s="85">
        <v>0</v>
      </c>
      <c r="E103" s="47">
        <f t="shared" si="0"/>
        <v>2</v>
      </c>
      <c r="F103" s="85">
        <v>0</v>
      </c>
      <c r="G103" s="47">
        <f t="shared" si="11"/>
        <v>2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+'15'!G126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+'15'!G128</f>
        <v>69</v>
      </c>
      <c r="D128" s="85">
        <v>0</v>
      </c>
      <c r="E128" s="47">
        <f t="shared" si="13"/>
        <v>69</v>
      </c>
      <c r="F128" s="85">
        <v>0</v>
      </c>
      <c r="G128" s="47">
        <f t="shared" si="11"/>
        <v>69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+'15'!G161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+'15'!G162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+'15'!G163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+'15'!G169</f>
        <v>51</v>
      </c>
      <c r="D169" s="85">
        <v>0</v>
      </c>
      <c r="E169" s="47">
        <f t="shared" si="13"/>
        <v>51</v>
      </c>
      <c r="F169" s="85">
        <v>0</v>
      </c>
      <c r="G169" s="47">
        <f t="shared" si="15"/>
        <v>51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+'15'!G171</f>
        <v>2</v>
      </c>
      <c r="D171" s="85">
        <v>0</v>
      </c>
      <c r="E171" s="47">
        <f t="shared" si="13"/>
        <v>2</v>
      </c>
      <c r="F171" s="85">
        <v>0</v>
      </c>
      <c r="G171" s="47">
        <f t="shared" si="15"/>
        <v>2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+'15'!G179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4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+'15'!G180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+'15'!G189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+'15'!G190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+'15'!G203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+'15'!G204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+'15'!G205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+'15'!G206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+'15'!G207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+'15'!G208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+'15'!G209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+'15'!G210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+'15'!G211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+'15'!G212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+'15'!G213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+'15'!G214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+'15'!G215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+'15'!G216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+'15'!G217</f>
        <v>5</v>
      </c>
      <c r="D217" s="85">
        <v>0</v>
      </c>
      <c r="E217" s="47">
        <f t="shared" si="17"/>
        <v>5</v>
      </c>
      <c r="F217" s="85">
        <v>0</v>
      </c>
      <c r="G217" s="47">
        <f t="shared" si="15"/>
        <v>4</v>
      </c>
      <c r="H217" s="86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1" t="s">
        <v>272</v>
      </c>
      <c r="C218" s="79">
        <f>+'15'!G218</f>
        <v>5</v>
      </c>
      <c r="D218" s="85">
        <v>0</v>
      </c>
      <c r="E218" s="47">
        <f t="shared" si="17"/>
        <v>5</v>
      </c>
      <c r="F218" s="85">
        <v>0</v>
      </c>
      <c r="G218" s="47">
        <f t="shared" si="15"/>
        <v>4</v>
      </c>
      <c r="H218" s="86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1" t="s">
        <v>273</v>
      </c>
      <c r="C219" s="79">
        <f>+'15'!G219</f>
        <v>3</v>
      </c>
      <c r="D219" s="85">
        <v>0</v>
      </c>
      <c r="E219" s="47">
        <f t="shared" si="17"/>
        <v>3</v>
      </c>
      <c r="F219" s="85">
        <v>0</v>
      </c>
      <c r="G219" s="47">
        <f t="shared" si="15"/>
        <v>3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+'15'!G220</f>
        <v>2</v>
      </c>
      <c r="D220" s="85">
        <v>0</v>
      </c>
      <c r="E220" s="47">
        <f t="shared" si="17"/>
        <v>2</v>
      </c>
      <c r="F220" s="85">
        <v>0</v>
      </c>
      <c r="G220" s="47">
        <f t="shared" si="15"/>
        <v>2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+'15'!G221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+'15'!G222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+'15'!G223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+'15'!G224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1275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1" ht="25.5" x14ac:dyDescent="0.55000000000000004">
      <c r="A257" s="1"/>
      <c r="B257" s="1"/>
      <c r="C257" s="31"/>
      <c r="E257" s="31"/>
      <c r="G257" s="31"/>
      <c r="H257" s="32"/>
      <c r="I257" s="147" t="s">
        <v>202</v>
      </c>
      <c r="J257" s="147"/>
      <c r="K257" s="33">
        <f>SUM(J5:J256)</f>
        <v>1450</v>
      </c>
    </row>
    <row r="258" spans="1:11" ht="25.5" x14ac:dyDescent="0.55000000000000004">
      <c r="A258" s="1"/>
      <c r="B258" s="1"/>
      <c r="C258" s="31"/>
      <c r="E258" s="31"/>
      <c r="G258" s="31"/>
      <c r="I258" s="133" t="s">
        <v>203</v>
      </c>
      <c r="J258" s="134"/>
      <c r="K258" s="36">
        <v>15</v>
      </c>
    </row>
    <row r="259" spans="1:11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B260" s="1"/>
      <c r="C260" s="31"/>
      <c r="E260" s="31"/>
      <c r="G260" s="31"/>
      <c r="I260" s="133" t="s">
        <v>205</v>
      </c>
      <c r="J260" s="134"/>
      <c r="K260" s="36">
        <v>0</v>
      </c>
    </row>
    <row r="261" spans="1:11" ht="25.5" x14ac:dyDescent="0.55000000000000004">
      <c r="A261" s="1"/>
      <c r="B261" s="1"/>
      <c r="C261" s="31"/>
      <c r="E261" s="31"/>
      <c r="G261" s="31"/>
      <c r="I261" s="133" t="s">
        <v>206</v>
      </c>
      <c r="J261" s="134"/>
      <c r="K261" s="36">
        <v>0</v>
      </c>
    </row>
    <row r="262" spans="1:11" ht="25.5" x14ac:dyDescent="0.55000000000000004">
      <c r="A262" s="1"/>
      <c r="B262" s="1"/>
      <c r="C262" s="31"/>
      <c r="E262" s="31"/>
      <c r="G262" s="31"/>
      <c r="I262" s="133" t="s">
        <v>207</v>
      </c>
      <c r="J262" s="134"/>
      <c r="K262" s="37">
        <f>SUM(L5:L255)</f>
        <v>175</v>
      </c>
    </row>
    <row r="263" spans="1:11" ht="25.5" x14ac:dyDescent="0.55000000000000004">
      <c r="A263" s="1"/>
      <c r="B263" s="1"/>
      <c r="C263" s="31"/>
      <c r="E263" s="31"/>
      <c r="G263" s="31"/>
      <c r="I263" s="133" t="s">
        <v>208</v>
      </c>
      <c r="J263" s="134"/>
      <c r="K263" s="33">
        <f>K257-K258-K259-K261-K262</f>
        <v>1260</v>
      </c>
    </row>
    <row r="264" spans="1:11" ht="25.5" x14ac:dyDescent="0.55000000000000004">
      <c r="A264" s="1"/>
      <c r="B264" s="1"/>
      <c r="C264" s="31"/>
      <c r="E264" s="31"/>
      <c r="G264" s="31"/>
      <c r="I264" s="133" t="s">
        <v>209</v>
      </c>
      <c r="J264" s="134"/>
      <c r="K264" s="37">
        <v>1260</v>
      </c>
    </row>
    <row r="265" spans="1:11" ht="25.5" x14ac:dyDescent="0.55000000000000004">
      <c r="A265" s="1"/>
      <c r="B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1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66FF99"/>
  </sheetPr>
  <dimension ref="A1:Z341"/>
  <sheetViews>
    <sheetView zoomScale="115" zoomScaleNormal="115" workbookViewId="0">
      <pane xSplit="7" ySplit="4" topLeftCell="H252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+'16'!G5</f>
        <v>34</v>
      </c>
      <c r="D5" s="85">
        <v>0</v>
      </c>
      <c r="E5" s="47">
        <f t="shared" ref="E5:E125" si="0">C5+D5</f>
        <v>34</v>
      </c>
      <c r="F5" s="85">
        <v>0</v>
      </c>
      <c r="G5" s="47">
        <f>+E5-F5-H5</f>
        <v>28</v>
      </c>
      <c r="H5" s="86">
        <v>6</v>
      </c>
      <c r="I5" s="15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39</v>
      </c>
      <c r="D6" s="85">
        <v>0</v>
      </c>
      <c r="E6" s="47">
        <f t="shared" si="0"/>
        <v>39</v>
      </c>
      <c r="F6" s="85">
        <v>0</v>
      </c>
      <c r="G6" s="47">
        <f t="shared" ref="G6:G100" si="4">+E6-F6-H6</f>
        <v>34</v>
      </c>
      <c r="H6" s="86">
        <v>5</v>
      </c>
      <c r="I6" s="15">
        <v>100</v>
      </c>
      <c r="J6" s="80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2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7</v>
      </c>
      <c r="D15" s="85">
        <v>0</v>
      </c>
      <c r="E15" s="47">
        <f t="shared" si="0"/>
        <v>7</v>
      </c>
      <c r="F15" s="85">
        <v>0</v>
      </c>
      <c r="G15" s="47">
        <f t="shared" si="4"/>
        <v>4</v>
      </c>
      <c r="H15" s="86">
        <v>3</v>
      </c>
      <c r="I15" s="20">
        <v>50</v>
      </c>
      <c r="J15" s="80">
        <f t="shared" si="5"/>
        <v>150</v>
      </c>
      <c r="K15" s="17" t="s">
        <v>16</v>
      </c>
      <c r="L15" s="18">
        <v>0</v>
      </c>
      <c r="M15" s="23">
        <f t="shared" si="6"/>
        <v>150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+'16'!G17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3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+'16'!G19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3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+'16'!G23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+'16'!G24</f>
        <v>1</v>
      </c>
      <c r="D24" s="85">
        <v>0</v>
      </c>
      <c r="E24" s="47">
        <f t="shared" si="0"/>
        <v>1</v>
      </c>
      <c r="F24" s="85">
        <v>0</v>
      </c>
      <c r="G24" s="47">
        <f t="shared" si="4"/>
        <v>1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+'16'!G25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6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1</v>
      </c>
      <c r="D32" s="85">
        <v>0</v>
      </c>
      <c r="E32" s="47">
        <f t="shared" si="0"/>
        <v>1</v>
      </c>
      <c r="F32" s="85">
        <v>0</v>
      </c>
      <c r="G32" s="47">
        <f t="shared" si="4"/>
        <v>0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+'16'!G33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0</v>
      </c>
      <c r="H33" s="86">
        <v>1</v>
      </c>
      <c r="I33" s="15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+'16'!G37</f>
        <v>21</v>
      </c>
      <c r="D37" s="85">
        <v>0</v>
      </c>
      <c r="E37" s="47">
        <f t="shared" si="0"/>
        <v>21</v>
      </c>
      <c r="F37" s="85">
        <v>0</v>
      </c>
      <c r="G37" s="47">
        <f t="shared" si="4"/>
        <v>18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+'16'!G38</f>
        <v>18</v>
      </c>
      <c r="D38" s="85">
        <v>0</v>
      </c>
      <c r="E38" s="47">
        <f t="shared" si="0"/>
        <v>18</v>
      </c>
      <c r="F38" s="85">
        <v>0</v>
      </c>
      <c r="G38" s="47">
        <f t="shared" si="4"/>
        <v>15</v>
      </c>
      <c r="H38" s="86">
        <v>3</v>
      </c>
      <c r="I38" s="15">
        <v>50</v>
      </c>
      <c r="J38" s="80">
        <f t="shared" si="5"/>
        <v>150</v>
      </c>
      <c r="K38" s="17" t="s">
        <v>16</v>
      </c>
      <c r="L38" s="18">
        <v>25</v>
      </c>
      <c r="M38" s="23">
        <f t="shared" si="6"/>
        <v>125</v>
      </c>
    </row>
    <row r="39" spans="1:13" ht="25.5" x14ac:dyDescent="0.55000000000000004">
      <c r="A39" s="10">
        <v>35</v>
      </c>
      <c r="B39" s="19" t="s">
        <v>50</v>
      </c>
      <c r="C39" s="79">
        <f>+'16'!G39</f>
        <v>10</v>
      </c>
      <c r="D39" s="85">
        <v>0</v>
      </c>
      <c r="E39" s="47">
        <f t="shared" si="0"/>
        <v>10</v>
      </c>
      <c r="F39" s="85">
        <v>0</v>
      </c>
      <c r="G39" s="47">
        <f t="shared" si="4"/>
        <v>7</v>
      </c>
      <c r="H39" s="86">
        <v>3</v>
      </c>
      <c r="I39" s="15">
        <v>50</v>
      </c>
      <c r="J39" s="80">
        <f t="shared" si="5"/>
        <v>150</v>
      </c>
      <c r="K39" s="17" t="s">
        <v>16</v>
      </c>
      <c r="L39" s="18">
        <v>50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+'16'!G40</f>
        <v>12</v>
      </c>
      <c r="D40" s="85">
        <v>0</v>
      </c>
      <c r="E40" s="47">
        <f t="shared" si="0"/>
        <v>12</v>
      </c>
      <c r="F40" s="85">
        <v>0</v>
      </c>
      <c r="G40" s="47">
        <f t="shared" si="4"/>
        <v>11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+'16'!G41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+'16'!G43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+'16'!G44</f>
        <v>13</v>
      </c>
      <c r="D44" s="85">
        <v>0</v>
      </c>
      <c r="E44" s="47">
        <f t="shared" si="0"/>
        <v>13</v>
      </c>
      <c r="F44" s="85">
        <v>0</v>
      </c>
      <c r="G44" s="47">
        <f t="shared" si="4"/>
        <v>10</v>
      </c>
      <c r="H44" s="86">
        <v>3</v>
      </c>
      <c r="I44" s="15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+'16'!G45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+'16'!G46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7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+'16'!G47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1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+'16'!G48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v>4</v>
      </c>
      <c r="D61" s="85">
        <v>0</v>
      </c>
      <c r="E61" s="47">
        <f t="shared" si="0"/>
        <v>4</v>
      </c>
      <c r="F61" s="85">
        <v>0</v>
      </c>
      <c r="G61" s="47">
        <f t="shared" si="4"/>
        <v>2</v>
      </c>
      <c r="H61" s="86">
        <v>2</v>
      </c>
      <c r="I61" s="15">
        <v>50</v>
      </c>
      <c r="J61" s="80">
        <f t="shared" si="5"/>
        <v>100</v>
      </c>
      <c r="K61" s="17" t="s">
        <v>16</v>
      </c>
      <c r="L61" s="18">
        <v>50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1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9</v>
      </c>
      <c r="D67" s="85">
        <v>0</v>
      </c>
      <c r="E67" s="47">
        <f t="shared" si="0"/>
        <v>9</v>
      </c>
      <c r="F67" s="85">
        <v>0</v>
      </c>
      <c r="G67" s="47">
        <f t="shared" si="4"/>
        <v>8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25</v>
      </c>
      <c r="M67" s="23">
        <f t="shared" si="6"/>
        <v>25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11</v>
      </c>
      <c r="D70" s="85">
        <v>0</v>
      </c>
      <c r="E70" s="47">
        <f t="shared" si="0"/>
        <v>11</v>
      </c>
      <c r="F70" s="85">
        <v>0</v>
      </c>
      <c r="G70" s="47">
        <f t="shared" si="4"/>
        <v>9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75</v>
      </c>
      <c r="M70" s="23">
        <f t="shared" ref="M70:M134" si="10">SUM(J70-L70)</f>
        <v>25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1</v>
      </c>
      <c r="D71" s="85">
        <v>0</v>
      </c>
      <c r="E71" s="47">
        <f t="shared" si="0"/>
        <v>1</v>
      </c>
      <c r="F71" s="85">
        <v>0</v>
      </c>
      <c r="G71" s="47">
        <f t="shared" si="4"/>
        <v>1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1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+'16'!G77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25</v>
      </c>
      <c r="M77" s="23">
        <f t="shared" si="10"/>
        <v>25</v>
      </c>
    </row>
    <row r="78" spans="1:13" ht="25.5" x14ac:dyDescent="0.55000000000000004">
      <c r="A78" s="10">
        <v>74</v>
      </c>
      <c r="B78" s="19" t="s">
        <v>276</v>
      </c>
      <c r="C78" s="79">
        <f>+'16'!G78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+'16'!G79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v>3</v>
      </c>
      <c r="D80" s="85">
        <v>0</v>
      </c>
      <c r="E80" s="47">
        <f t="shared" si="0"/>
        <v>3</v>
      </c>
      <c r="F80" s="85">
        <v>0</v>
      </c>
      <c r="G80" s="47">
        <f t="shared" si="4"/>
        <v>1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+'16'!G82</f>
        <v>5</v>
      </c>
      <c r="D82" s="85">
        <v>0</v>
      </c>
      <c r="E82" s="47">
        <f t="shared" si="0"/>
        <v>5</v>
      </c>
      <c r="F82" s="85">
        <v>0</v>
      </c>
      <c r="G82" s="47">
        <f t="shared" si="4"/>
        <v>0</v>
      </c>
      <c r="H82" s="86">
        <v>5</v>
      </c>
      <c r="I82" s="20">
        <v>55</v>
      </c>
      <c r="J82" s="80">
        <f t="shared" si="5"/>
        <v>275</v>
      </c>
      <c r="K82" s="17" t="s">
        <v>16</v>
      </c>
      <c r="L82" s="18">
        <v>0</v>
      </c>
      <c r="M82" s="23">
        <f t="shared" si="10"/>
        <v>275</v>
      </c>
    </row>
    <row r="83" spans="1:13" ht="25.5" x14ac:dyDescent="0.55000000000000004">
      <c r="A83" s="10">
        <v>79</v>
      </c>
      <c r="B83" s="19" t="s">
        <v>93</v>
      </c>
      <c r="C83" s="79">
        <f>+'16'!G83</f>
        <v>3</v>
      </c>
      <c r="D83" s="85">
        <v>0</v>
      </c>
      <c r="E83" s="47">
        <f t="shared" si="0"/>
        <v>3</v>
      </c>
      <c r="F83" s="85">
        <v>0</v>
      </c>
      <c r="G83" s="47">
        <f t="shared" si="4"/>
        <v>1</v>
      </c>
      <c r="H83" s="86">
        <v>2</v>
      </c>
      <c r="I83" s="22">
        <v>55</v>
      </c>
      <c r="J83" s="80">
        <f t="shared" si="5"/>
        <v>110</v>
      </c>
      <c r="K83" s="17" t="s">
        <v>16</v>
      </c>
      <c r="L83" s="18">
        <v>0</v>
      </c>
      <c r="M83" s="23">
        <f t="shared" si="10"/>
        <v>110</v>
      </c>
    </row>
    <row r="84" spans="1:13" ht="25.5" x14ac:dyDescent="0.55000000000000004">
      <c r="A84" s="10">
        <v>80</v>
      </c>
      <c r="B84" s="19" t="s">
        <v>94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+'16'!G86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+'16'!G87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+'16'!G88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5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+'16'!G89</f>
        <v>10</v>
      </c>
      <c r="D89" s="85">
        <v>0</v>
      </c>
      <c r="E89" s="47">
        <f t="shared" si="0"/>
        <v>10</v>
      </c>
      <c r="F89" s="85">
        <v>0</v>
      </c>
      <c r="G89" s="47">
        <f t="shared" si="4"/>
        <v>10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+'16'!G102</f>
        <v>9</v>
      </c>
      <c r="D102" s="85">
        <v>0</v>
      </c>
      <c r="E102" s="47">
        <f t="shared" si="0"/>
        <v>9</v>
      </c>
      <c r="F102" s="85">
        <v>0</v>
      </c>
      <c r="G102" s="47">
        <f t="shared" si="11"/>
        <v>9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+'16'!G103</f>
        <v>2</v>
      </c>
      <c r="D103" s="85">
        <v>0</v>
      </c>
      <c r="E103" s="47">
        <f t="shared" si="0"/>
        <v>2</v>
      </c>
      <c r="F103" s="85">
        <v>0</v>
      </c>
      <c r="G103" s="47">
        <f t="shared" si="11"/>
        <v>2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+'16'!G126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+'16'!G128</f>
        <v>69</v>
      </c>
      <c r="D128" s="85">
        <v>0</v>
      </c>
      <c r="E128" s="47">
        <f t="shared" si="13"/>
        <v>69</v>
      </c>
      <c r="F128" s="85">
        <v>0</v>
      </c>
      <c r="G128" s="47">
        <f t="shared" si="11"/>
        <v>69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+'16'!G161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+'16'!G162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6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+'16'!G163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+'16'!G169</f>
        <v>51</v>
      </c>
      <c r="D169" s="85">
        <v>0</v>
      </c>
      <c r="E169" s="47">
        <f t="shared" si="13"/>
        <v>51</v>
      </c>
      <c r="F169" s="85">
        <v>0</v>
      </c>
      <c r="G169" s="47">
        <f t="shared" si="15"/>
        <v>48</v>
      </c>
      <c r="H169" s="86">
        <v>3</v>
      </c>
      <c r="I169" s="20">
        <v>55</v>
      </c>
      <c r="J169" s="80">
        <f t="shared" si="16"/>
        <v>165</v>
      </c>
      <c r="K169" s="17" t="s">
        <v>16</v>
      </c>
      <c r="L169" s="18">
        <v>0</v>
      </c>
      <c r="M169" s="23">
        <f t="shared" si="14"/>
        <v>165</v>
      </c>
    </row>
    <row r="170" spans="1:13" ht="25.5" x14ac:dyDescent="0.55000000000000004">
      <c r="A170" s="10">
        <v>166</v>
      </c>
      <c r="B170" s="19" t="s">
        <v>181</v>
      </c>
      <c r="C170" s="79">
        <f>+'16'!G170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+'16'!G171</f>
        <v>2</v>
      </c>
      <c r="D171" s="85">
        <v>0</v>
      </c>
      <c r="E171" s="47">
        <f t="shared" si="13"/>
        <v>2</v>
      </c>
      <c r="F171" s="85">
        <v>0</v>
      </c>
      <c r="G171" s="47">
        <f t="shared" si="15"/>
        <v>2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+'16'!G178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+'16'!G179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2</v>
      </c>
      <c r="H179" s="86">
        <v>2</v>
      </c>
      <c r="I179" s="20">
        <v>120</v>
      </c>
      <c r="J179" s="80">
        <f t="shared" si="16"/>
        <v>240</v>
      </c>
      <c r="K179" s="17" t="s">
        <v>16</v>
      </c>
      <c r="L179" s="18">
        <v>0</v>
      </c>
      <c r="M179" s="23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+'16'!G180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+'16'!G189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+'16'!G190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+'16'!G209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245</v>
      </c>
      <c r="C212" s="79">
        <f>+'16'!G212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+'16'!G217</f>
        <v>4</v>
      </c>
      <c r="D217" s="85">
        <v>0</v>
      </c>
      <c r="E217" s="47">
        <f t="shared" si="17"/>
        <v>4</v>
      </c>
      <c r="F217" s="85">
        <v>0</v>
      </c>
      <c r="G217" s="47">
        <f t="shared" si="15"/>
        <v>0</v>
      </c>
      <c r="H217" s="86">
        <v>4</v>
      </c>
      <c r="I217" s="20">
        <v>25</v>
      </c>
      <c r="J217" s="80">
        <f t="shared" si="16"/>
        <v>100</v>
      </c>
      <c r="K217" s="17" t="s">
        <v>16</v>
      </c>
      <c r="L217" s="18">
        <v>0</v>
      </c>
      <c r="M217" s="23">
        <f t="shared" si="18"/>
        <v>100</v>
      </c>
    </row>
    <row r="218" spans="1:13" ht="25.5" x14ac:dyDescent="0.55000000000000004">
      <c r="A218" s="10">
        <v>214</v>
      </c>
      <c r="B218" s="19" t="s">
        <v>272</v>
      </c>
      <c r="C218" s="79">
        <f>+'16'!G218</f>
        <v>4</v>
      </c>
      <c r="D218" s="85">
        <v>0</v>
      </c>
      <c r="E218" s="47">
        <f t="shared" si="17"/>
        <v>4</v>
      </c>
      <c r="F218" s="85">
        <v>0</v>
      </c>
      <c r="G218" s="47">
        <f t="shared" si="15"/>
        <v>0</v>
      </c>
      <c r="H218" s="86">
        <v>4</v>
      </c>
      <c r="I218" s="20">
        <v>25</v>
      </c>
      <c r="J218" s="80">
        <f t="shared" si="16"/>
        <v>100</v>
      </c>
      <c r="K218" s="17" t="s">
        <v>16</v>
      </c>
      <c r="L218" s="18">
        <v>0</v>
      </c>
      <c r="M218" s="23">
        <f t="shared" si="18"/>
        <v>100</v>
      </c>
    </row>
    <row r="219" spans="1:13" ht="25.5" x14ac:dyDescent="0.55000000000000004">
      <c r="A219" s="10">
        <v>215</v>
      </c>
      <c r="B219" s="19" t="s">
        <v>273</v>
      </c>
      <c r="C219" s="79">
        <f>+'16'!G219</f>
        <v>3</v>
      </c>
      <c r="D219" s="85">
        <v>0</v>
      </c>
      <c r="E219" s="47">
        <f t="shared" si="17"/>
        <v>3</v>
      </c>
      <c r="F219" s="85">
        <v>0</v>
      </c>
      <c r="G219" s="47">
        <f t="shared" si="15"/>
        <v>2</v>
      </c>
      <c r="H219" s="86">
        <v>1</v>
      </c>
      <c r="I219" s="20">
        <v>25</v>
      </c>
      <c r="J219" s="80">
        <f t="shared" si="16"/>
        <v>25</v>
      </c>
      <c r="K219" s="17" t="s">
        <v>16</v>
      </c>
      <c r="L219" s="18">
        <v>0</v>
      </c>
      <c r="M219" s="23">
        <f t="shared" si="18"/>
        <v>25</v>
      </c>
    </row>
    <row r="220" spans="1:13" ht="25.5" x14ac:dyDescent="0.55000000000000004">
      <c r="A220" s="10">
        <v>216</v>
      </c>
      <c r="B220" s="19" t="s">
        <v>277</v>
      </c>
      <c r="C220" s="79">
        <f>+'16'!G220</f>
        <v>2</v>
      </c>
      <c r="D220" s="85">
        <v>0</v>
      </c>
      <c r="E220" s="47">
        <f t="shared" si="17"/>
        <v>2</v>
      </c>
      <c r="F220" s="85">
        <v>0</v>
      </c>
      <c r="G220" s="47">
        <f t="shared" si="15"/>
        <v>2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+'16'!G221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3970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4220</v>
      </c>
    </row>
    <row r="258" spans="1:14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370</v>
      </c>
      <c r="L259" s="2">
        <v>150</v>
      </c>
      <c r="M259" s="2">
        <v>115</v>
      </c>
      <c r="N259" s="2">
        <v>105</v>
      </c>
    </row>
    <row r="260" spans="1:14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4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4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250</v>
      </c>
    </row>
    <row r="263" spans="1:14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3585</v>
      </c>
    </row>
    <row r="264" spans="1:14" ht="25.5" x14ac:dyDescent="0.55000000000000004">
      <c r="A264" s="1"/>
      <c r="E264" s="31"/>
      <c r="G264" s="31"/>
      <c r="I264" s="133" t="s">
        <v>209</v>
      </c>
      <c r="J264" s="134"/>
      <c r="K264" s="37">
        <v>3585</v>
      </c>
    </row>
    <row r="265" spans="1:14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4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66FF99"/>
  </sheetPr>
  <dimension ref="A1:Z341"/>
  <sheetViews>
    <sheetView zoomScaleNormal="100" workbookViewId="0">
      <pane xSplit="7" ySplit="4" topLeftCell="H257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+'17'!G5</f>
        <v>28</v>
      </c>
      <c r="D5" s="85">
        <v>20</v>
      </c>
      <c r="E5" s="47">
        <f t="shared" ref="E5:E125" si="0">C5+D5</f>
        <v>48</v>
      </c>
      <c r="F5" s="85">
        <v>0</v>
      </c>
      <c r="G5" s="47">
        <f>+E5-F5-H5</f>
        <v>46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34</v>
      </c>
      <c r="D6" s="85">
        <v>30</v>
      </c>
      <c r="E6" s="47">
        <f t="shared" si="0"/>
        <v>64</v>
      </c>
      <c r="F6" s="85">
        <v>0</v>
      </c>
      <c r="G6" s="47">
        <f t="shared" ref="G6:G100" si="4">+E6-F6-H6</f>
        <v>58</v>
      </c>
      <c r="H6" s="86">
        <v>6</v>
      </c>
      <c r="I6" s="15">
        <v>100</v>
      </c>
      <c r="J6" s="80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2</v>
      </c>
      <c r="D12" s="85">
        <v>10</v>
      </c>
      <c r="E12" s="47">
        <f t="shared" si="0"/>
        <v>12</v>
      </c>
      <c r="F12" s="85">
        <v>1</v>
      </c>
      <c r="G12" s="47">
        <f t="shared" si="4"/>
        <v>11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1</v>
      </c>
      <c r="D14" s="85">
        <v>2</v>
      </c>
      <c r="E14" s="47">
        <f t="shared" si="0"/>
        <v>3</v>
      </c>
      <c r="F14" s="85">
        <v>0</v>
      </c>
      <c r="G14" s="47">
        <f t="shared" si="4"/>
        <v>0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4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+'17'!G17</f>
        <v>3</v>
      </c>
      <c r="D17" s="85">
        <v>5</v>
      </c>
      <c r="E17" s="47">
        <f t="shared" si="0"/>
        <v>8</v>
      </c>
      <c r="F17" s="85">
        <v>0</v>
      </c>
      <c r="G17" s="47">
        <f t="shared" si="4"/>
        <v>7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50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+'17'!G19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3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+'17'!G23</f>
        <v>19</v>
      </c>
      <c r="D23" s="85">
        <v>10</v>
      </c>
      <c r="E23" s="47">
        <f t="shared" si="0"/>
        <v>29</v>
      </c>
      <c r="F23" s="85">
        <v>1</v>
      </c>
      <c r="G23" s="47">
        <f t="shared" si="4"/>
        <v>26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3</v>
      </c>
      <c r="D24" s="85">
        <v>0</v>
      </c>
      <c r="E24" s="47">
        <f t="shared" si="0"/>
        <v>3</v>
      </c>
      <c r="F24" s="85">
        <v>0</v>
      </c>
      <c r="G24" s="47">
        <f t="shared" si="4"/>
        <v>2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3</v>
      </c>
      <c r="H25" s="86">
        <v>1</v>
      </c>
      <c r="I25" s="21">
        <v>100</v>
      </c>
      <c r="J25" s="80">
        <f t="shared" si="5"/>
        <v>100</v>
      </c>
      <c r="K25" s="17" t="s">
        <v>16</v>
      </c>
      <c r="L25" s="18">
        <v>0</v>
      </c>
      <c r="M25" s="23">
        <f t="shared" si="6"/>
        <v>100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5">
        <v>2</v>
      </c>
      <c r="E32" s="47">
        <f t="shared" si="0"/>
        <v>2</v>
      </c>
      <c r="F32" s="85">
        <v>0</v>
      </c>
      <c r="G32" s="47">
        <f t="shared" si="4"/>
        <v>0</v>
      </c>
      <c r="H32" s="86">
        <v>2</v>
      </c>
      <c r="I32" s="15">
        <v>130</v>
      </c>
      <c r="J32" s="80">
        <f t="shared" si="5"/>
        <v>260</v>
      </c>
      <c r="K32" s="17" t="s">
        <v>16</v>
      </c>
      <c r="L32" s="18">
        <v>0</v>
      </c>
      <c r="M32" s="23">
        <f t="shared" si="6"/>
        <v>260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+'17'!G33</f>
        <v>0</v>
      </c>
      <c r="D33" s="85">
        <v>2</v>
      </c>
      <c r="E33" s="47">
        <f t="shared" si="0"/>
        <v>2</v>
      </c>
      <c r="F33" s="85">
        <v>0</v>
      </c>
      <c r="G33" s="47">
        <f t="shared" si="4"/>
        <v>1</v>
      </c>
      <c r="H33" s="86">
        <v>1</v>
      </c>
      <c r="I33" s="15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+'17'!G37</f>
        <v>18</v>
      </c>
      <c r="D37" s="85">
        <v>20</v>
      </c>
      <c r="E37" s="47">
        <f t="shared" si="0"/>
        <v>38</v>
      </c>
      <c r="F37" s="85">
        <v>1</v>
      </c>
      <c r="G37" s="47">
        <f t="shared" si="4"/>
        <v>37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+'17'!G38</f>
        <v>15</v>
      </c>
      <c r="D38" s="85">
        <v>5</v>
      </c>
      <c r="E38" s="47">
        <f t="shared" si="0"/>
        <v>20</v>
      </c>
      <c r="F38" s="85">
        <v>0</v>
      </c>
      <c r="G38" s="47">
        <f t="shared" si="4"/>
        <v>13</v>
      </c>
      <c r="H38" s="86">
        <v>7</v>
      </c>
      <c r="I38" s="15">
        <v>50</v>
      </c>
      <c r="J38" s="80">
        <f t="shared" si="5"/>
        <v>350</v>
      </c>
      <c r="K38" s="17" t="s">
        <v>16</v>
      </c>
      <c r="L38" s="18">
        <v>175</v>
      </c>
      <c r="M38" s="23">
        <f t="shared" si="6"/>
        <v>175</v>
      </c>
    </row>
    <row r="39" spans="1:13" ht="25.5" x14ac:dyDescent="0.55000000000000004">
      <c r="A39" s="10">
        <v>35</v>
      </c>
      <c r="B39" s="19" t="s">
        <v>50</v>
      </c>
      <c r="C39" s="79">
        <f>+'17'!G39</f>
        <v>7</v>
      </c>
      <c r="D39" s="85">
        <v>5</v>
      </c>
      <c r="E39" s="47">
        <f t="shared" si="0"/>
        <v>12</v>
      </c>
      <c r="F39" s="85">
        <v>0</v>
      </c>
      <c r="G39" s="47">
        <f t="shared" si="4"/>
        <v>11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25</v>
      </c>
      <c r="M39" s="23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+'17'!G40</f>
        <v>11</v>
      </c>
      <c r="D40" s="85">
        <v>5</v>
      </c>
      <c r="E40" s="47">
        <f t="shared" si="0"/>
        <v>16</v>
      </c>
      <c r="F40" s="85">
        <v>0</v>
      </c>
      <c r="G40" s="47">
        <f t="shared" si="4"/>
        <v>14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50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+'17'!G41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+'17'!G43</f>
        <v>5</v>
      </c>
      <c r="D43" s="85">
        <v>10</v>
      </c>
      <c r="E43" s="47">
        <f t="shared" si="0"/>
        <v>15</v>
      </c>
      <c r="F43" s="85">
        <v>0</v>
      </c>
      <c r="G43" s="47">
        <f t="shared" si="4"/>
        <v>15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+'17'!G44</f>
        <v>10</v>
      </c>
      <c r="D44" s="85">
        <v>0</v>
      </c>
      <c r="E44" s="47">
        <f t="shared" si="0"/>
        <v>10</v>
      </c>
      <c r="F44" s="85">
        <v>1</v>
      </c>
      <c r="G44" s="47">
        <f t="shared" si="4"/>
        <v>9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+'17'!G46</f>
        <v>7</v>
      </c>
      <c r="D46" s="85">
        <v>10</v>
      </c>
      <c r="E46" s="47">
        <f t="shared" si="0"/>
        <v>17</v>
      </c>
      <c r="F46" s="85">
        <v>0</v>
      </c>
      <c r="G46" s="47">
        <f t="shared" si="4"/>
        <v>16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+'17'!G47</f>
        <v>1</v>
      </c>
      <c r="D47" s="85">
        <v>10</v>
      </c>
      <c r="E47" s="47">
        <f t="shared" si="0"/>
        <v>11</v>
      </c>
      <c r="F47" s="85">
        <v>0</v>
      </c>
      <c r="G47" s="47">
        <f t="shared" si="4"/>
        <v>10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+'17'!G48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1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1</v>
      </c>
      <c r="D51" s="85">
        <v>2</v>
      </c>
      <c r="E51" s="47">
        <f t="shared" si="0"/>
        <v>3</v>
      </c>
      <c r="F51" s="85">
        <v>0</v>
      </c>
      <c r="G51" s="47">
        <f t="shared" si="4"/>
        <v>3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0</v>
      </c>
      <c r="M55" s="23">
        <f t="shared" si="6"/>
        <v>120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1</v>
      </c>
      <c r="H61" s="86">
        <v>1</v>
      </c>
      <c r="I61" s="15">
        <v>50</v>
      </c>
      <c r="J61" s="80">
        <f t="shared" si="5"/>
        <v>50</v>
      </c>
      <c r="K61" s="17" t="s">
        <v>16</v>
      </c>
      <c r="L61" s="18">
        <v>25</v>
      </c>
      <c r="M61" s="23">
        <f t="shared" si="6"/>
        <v>25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5">
        <v>3</v>
      </c>
      <c r="E64" s="47">
        <f t="shared" si="0"/>
        <v>3</v>
      </c>
      <c r="F64" s="85">
        <v>0</v>
      </c>
      <c r="G64" s="47">
        <f t="shared" si="4"/>
        <v>2</v>
      </c>
      <c r="H64" s="86">
        <v>1</v>
      </c>
      <c r="I64" s="21">
        <v>30</v>
      </c>
      <c r="J64" s="80">
        <f t="shared" si="5"/>
        <v>30</v>
      </c>
      <c r="K64" s="17" t="s">
        <v>16</v>
      </c>
      <c r="L64" s="18">
        <v>0</v>
      </c>
      <c r="M64" s="23">
        <f t="shared" si="6"/>
        <v>30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5">
        <v>3</v>
      </c>
      <c r="E65" s="47">
        <f t="shared" si="0"/>
        <v>3</v>
      </c>
      <c r="F65" s="85">
        <v>0</v>
      </c>
      <c r="G65" s="47">
        <f t="shared" si="4"/>
        <v>3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0</v>
      </c>
      <c r="D66" s="85">
        <v>15</v>
      </c>
      <c r="E66" s="47">
        <f t="shared" si="0"/>
        <v>15</v>
      </c>
      <c r="F66" s="85">
        <v>0</v>
      </c>
      <c r="G66" s="47">
        <f t="shared" si="4"/>
        <v>15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8</v>
      </c>
      <c r="D67" s="85">
        <v>0</v>
      </c>
      <c r="E67" s="47">
        <f t="shared" si="0"/>
        <v>8</v>
      </c>
      <c r="F67" s="85">
        <v>0</v>
      </c>
      <c r="G67" s="47">
        <f t="shared" si="4"/>
        <v>7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25</v>
      </c>
      <c r="M67" s="23">
        <f t="shared" si="6"/>
        <v>25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+'17'!G70</f>
        <v>9</v>
      </c>
      <c r="D70" s="85">
        <v>8</v>
      </c>
      <c r="E70" s="47">
        <f t="shared" si="0"/>
        <v>17</v>
      </c>
      <c r="F70" s="85">
        <v>0</v>
      </c>
      <c r="G70" s="47">
        <f t="shared" si="4"/>
        <v>14</v>
      </c>
      <c r="H70" s="86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23">
        <f t="shared" ref="M70:M134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+'17'!G71</f>
        <v>1</v>
      </c>
      <c r="D71" s="85">
        <v>0</v>
      </c>
      <c r="E71" s="47">
        <f t="shared" si="0"/>
        <v>1</v>
      </c>
      <c r="F71" s="85">
        <v>0</v>
      </c>
      <c r="G71" s="47">
        <f t="shared" si="4"/>
        <v>0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30</v>
      </c>
      <c r="M71" s="23">
        <f t="shared" si="10"/>
        <v>30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1</v>
      </c>
      <c r="D73" s="85">
        <v>7</v>
      </c>
      <c r="E73" s="47">
        <f t="shared" si="0"/>
        <v>8</v>
      </c>
      <c r="F73" s="85">
        <v>0</v>
      </c>
      <c r="G73" s="47">
        <f t="shared" si="4"/>
        <v>8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1</v>
      </c>
      <c r="D74" s="85">
        <v>7</v>
      </c>
      <c r="E74" s="47">
        <f t="shared" si="0"/>
        <v>8</v>
      </c>
      <c r="F74" s="85">
        <v>0</v>
      </c>
      <c r="G74" s="47">
        <f t="shared" si="4"/>
        <v>6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+'17'!G78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303</v>
      </c>
      <c r="C79" s="79">
        <f>+'17'!G79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2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+'17'!G80</f>
        <v>1</v>
      </c>
      <c r="D80" s="85">
        <v>10</v>
      </c>
      <c r="E80" s="47">
        <f t="shared" si="0"/>
        <v>11</v>
      </c>
      <c r="F80" s="85">
        <v>0</v>
      </c>
      <c r="G80" s="47">
        <f t="shared" si="4"/>
        <v>11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+'17'!G83</f>
        <v>1</v>
      </c>
      <c r="D83" s="85">
        <v>0</v>
      </c>
      <c r="E83" s="47">
        <f t="shared" si="0"/>
        <v>1</v>
      </c>
      <c r="F83" s="85">
        <v>0</v>
      </c>
      <c r="G83" s="47">
        <f t="shared" si="4"/>
        <v>0</v>
      </c>
      <c r="H83" s="86">
        <v>1</v>
      </c>
      <c r="I83" s="22">
        <v>55</v>
      </c>
      <c r="J83" s="80">
        <f t="shared" si="5"/>
        <v>55</v>
      </c>
      <c r="K83" s="17" t="s">
        <v>16</v>
      </c>
      <c r="L83" s="18">
        <v>25</v>
      </c>
      <c r="M83" s="23">
        <f t="shared" si="10"/>
        <v>30</v>
      </c>
    </row>
    <row r="84" spans="1:13" ht="25.5" x14ac:dyDescent="0.55000000000000004">
      <c r="A84" s="10">
        <v>80</v>
      </c>
      <c r="B84" s="19" t="s">
        <v>94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+'17'!G86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+'17'!G87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+'17'!G88</f>
        <v>5</v>
      </c>
      <c r="D88" s="85">
        <v>5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+'17'!G89</f>
        <v>10</v>
      </c>
      <c r="D89" s="85">
        <v>0</v>
      </c>
      <c r="E89" s="47">
        <f t="shared" si="0"/>
        <v>10</v>
      </c>
      <c r="F89" s="85">
        <v>0</v>
      </c>
      <c r="G89" s="47">
        <f t="shared" si="4"/>
        <v>10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+'17'!G102</f>
        <v>9</v>
      </c>
      <c r="D102" s="85">
        <v>0</v>
      </c>
      <c r="E102" s="47">
        <f t="shared" si="0"/>
        <v>9</v>
      </c>
      <c r="F102" s="85">
        <v>0</v>
      </c>
      <c r="G102" s="47">
        <f t="shared" si="11"/>
        <v>8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+'17'!G103</f>
        <v>2</v>
      </c>
      <c r="D103" s="85">
        <v>5</v>
      </c>
      <c r="E103" s="47">
        <f t="shared" si="0"/>
        <v>7</v>
      </c>
      <c r="F103" s="85">
        <v>0</v>
      </c>
      <c r="G103" s="47">
        <f t="shared" si="11"/>
        <v>7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+'17'!G126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+'17'!G128</f>
        <v>69</v>
      </c>
      <c r="D128" s="85">
        <v>0</v>
      </c>
      <c r="E128" s="47">
        <f t="shared" si="13"/>
        <v>69</v>
      </c>
      <c r="F128" s="85">
        <v>0</v>
      </c>
      <c r="G128" s="47">
        <f t="shared" si="11"/>
        <v>69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+'17'!G161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+'17'!G162</f>
        <v>6</v>
      </c>
      <c r="D162" s="85">
        <v>0</v>
      </c>
      <c r="E162" s="47">
        <f t="shared" si="13"/>
        <v>6</v>
      </c>
      <c r="F162" s="85">
        <v>0</v>
      </c>
      <c r="G162" s="47">
        <f t="shared" si="11"/>
        <v>5</v>
      </c>
      <c r="H162" s="86">
        <v>1</v>
      </c>
      <c r="I162" s="20">
        <v>90</v>
      </c>
      <c r="J162" s="80">
        <f t="shared" si="12"/>
        <v>90</v>
      </c>
      <c r="K162" s="17" t="s">
        <v>16</v>
      </c>
      <c r="L162" s="18">
        <v>0</v>
      </c>
      <c r="M162" s="23">
        <f t="shared" si="14"/>
        <v>90</v>
      </c>
    </row>
    <row r="163" spans="1:13" ht="25.5" x14ac:dyDescent="0.55000000000000004">
      <c r="A163" s="10">
        <v>159</v>
      </c>
      <c r="B163" s="19" t="s">
        <v>174</v>
      </c>
      <c r="C163" s="79">
        <f>+'17'!G163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+'17'!G169</f>
        <v>48</v>
      </c>
      <c r="D169" s="85">
        <v>0</v>
      </c>
      <c r="E169" s="47">
        <f t="shared" si="13"/>
        <v>48</v>
      </c>
      <c r="F169" s="85">
        <v>0</v>
      </c>
      <c r="G169" s="47">
        <f t="shared" si="15"/>
        <v>48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+'17'!G170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+'17'!G171</f>
        <v>2</v>
      </c>
      <c r="D171" s="85">
        <v>0</v>
      </c>
      <c r="E171" s="47">
        <f t="shared" si="13"/>
        <v>2</v>
      </c>
      <c r="F171" s="85">
        <v>0</v>
      </c>
      <c r="G171" s="47">
        <f t="shared" si="15"/>
        <v>2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+'17'!G177</f>
        <v>0</v>
      </c>
      <c r="D177" s="85">
        <v>5</v>
      </c>
      <c r="E177" s="47">
        <f t="shared" si="13"/>
        <v>5</v>
      </c>
      <c r="F177" s="85">
        <v>0</v>
      </c>
      <c r="G177" s="47">
        <f t="shared" si="15"/>
        <v>2</v>
      </c>
      <c r="H177" s="86">
        <v>3</v>
      </c>
      <c r="I177" s="20">
        <v>50</v>
      </c>
      <c r="J177" s="80">
        <f t="shared" si="16"/>
        <v>150</v>
      </c>
      <c r="K177" s="17" t="s">
        <v>16</v>
      </c>
      <c r="L177" s="18">
        <v>0</v>
      </c>
      <c r="M177" s="23">
        <f t="shared" si="14"/>
        <v>150</v>
      </c>
    </row>
    <row r="178" spans="1:13" ht="25.5" x14ac:dyDescent="0.55000000000000004">
      <c r="A178" s="10">
        <v>174</v>
      </c>
      <c r="B178" s="19" t="s">
        <v>189</v>
      </c>
      <c r="C178" s="79">
        <f>+'17'!G178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+'17'!G179</f>
        <v>2</v>
      </c>
      <c r="D179" s="85">
        <v>5</v>
      </c>
      <c r="E179" s="47">
        <f t="shared" si="13"/>
        <v>7</v>
      </c>
      <c r="F179" s="85">
        <v>0</v>
      </c>
      <c r="G179" s="47">
        <f t="shared" si="15"/>
        <v>6</v>
      </c>
      <c r="H179" s="86">
        <v>1</v>
      </c>
      <c r="I179" s="20">
        <v>120</v>
      </c>
      <c r="J179" s="80">
        <f t="shared" si="16"/>
        <v>120</v>
      </c>
      <c r="K179" s="17" t="s">
        <v>16</v>
      </c>
      <c r="L179" s="18">
        <v>0</v>
      </c>
      <c r="M179" s="23">
        <f t="shared" si="14"/>
        <v>120</v>
      </c>
    </row>
    <row r="180" spans="1:13" ht="25.5" x14ac:dyDescent="0.55000000000000004">
      <c r="A180" s="10">
        <v>176</v>
      </c>
      <c r="B180" s="19" t="s">
        <v>191</v>
      </c>
      <c r="C180" s="79">
        <f>+'17'!G180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+'17'!G189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+'17'!G190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260</v>
      </c>
      <c r="C203" s="79">
        <f>+'17'!G203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262</v>
      </c>
      <c r="C205" s="79">
        <f>+'17'!G205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263</v>
      </c>
      <c r="C206" s="79">
        <f>+'17'!G206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264</v>
      </c>
      <c r="C207" s="79">
        <f>+'17'!G207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265</v>
      </c>
      <c r="C208" s="79">
        <f>+'17'!G208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266</v>
      </c>
      <c r="C209" s="79">
        <f>+'17'!G209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267</v>
      </c>
      <c r="C210" s="79">
        <f>+'17'!G210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244</v>
      </c>
      <c r="C211" s="79">
        <f>+'17'!G211</f>
        <v>0</v>
      </c>
      <c r="D211" s="85">
        <v>15</v>
      </c>
      <c r="E211" s="47">
        <f t="shared" si="17"/>
        <v>15</v>
      </c>
      <c r="F211" s="85">
        <v>0</v>
      </c>
      <c r="G211" s="47">
        <f t="shared" si="15"/>
        <v>14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23">
        <f t="shared" si="18"/>
        <v>35</v>
      </c>
    </row>
    <row r="212" spans="1:13" ht="25.5" x14ac:dyDescent="0.55000000000000004">
      <c r="A212" s="10">
        <v>208</v>
      </c>
      <c r="B212" s="19" t="s">
        <v>245</v>
      </c>
      <c r="C212" s="79">
        <f>+'17'!G212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246</v>
      </c>
      <c r="C213" s="79">
        <f>+'17'!G213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268</v>
      </c>
      <c r="C214" s="79">
        <f>+'17'!G214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269</v>
      </c>
      <c r="C215" s="79">
        <f>+'17'!G215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270</v>
      </c>
      <c r="C216" s="79">
        <f>+'17'!G216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271</v>
      </c>
      <c r="C217" s="79">
        <f>+'17'!G217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272</v>
      </c>
      <c r="C218" s="79">
        <f>+'17'!G218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273</v>
      </c>
      <c r="C219" s="79">
        <f>+'17'!G219</f>
        <v>2</v>
      </c>
      <c r="D219" s="85">
        <v>0</v>
      </c>
      <c r="E219" s="47">
        <f t="shared" si="17"/>
        <v>2</v>
      </c>
      <c r="F219" s="85">
        <v>0</v>
      </c>
      <c r="G219" s="47">
        <f t="shared" si="15"/>
        <v>2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277</v>
      </c>
      <c r="C220" s="79">
        <f>+'17'!G220</f>
        <v>2</v>
      </c>
      <c r="D220" s="85">
        <v>0</v>
      </c>
      <c r="E220" s="47">
        <f t="shared" si="17"/>
        <v>2</v>
      </c>
      <c r="F220" s="85">
        <v>2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301</v>
      </c>
      <c r="C221" s="79">
        <f>+'17'!G221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305</v>
      </c>
      <c r="C222" s="79">
        <f>+'17'!G222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310</v>
      </c>
      <c r="C223" s="79">
        <f>+'17'!G223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 t="s">
        <v>311</v>
      </c>
      <c r="C224" s="79">
        <f>+'17'!G224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3185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3590</v>
      </c>
    </row>
    <row r="258" spans="1:16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1175</v>
      </c>
      <c r="L259" s="2">
        <v>120</v>
      </c>
      <c r="M259" s="2">
        <v>510</v>
      </c>
      <c r="N259" s="2">
        <v>50</v>
      </c>
      <c r="O259" s="2">
        <v>245</v>
      </c>
      <c r="P259" s="2">
        <v>250</v>
      </c>
    </row>
    <row r="260" spans="1:16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405</v>
      </c>
      <c r="M262" s="2">
        <f>3590-405</f>
        <v>3185</v>
      </c>
    </row>
    <row r="263" spans="1:16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1995</v>
      </c>
    </row>
    <row r="264" spans="1:16" ht="25.5" x14ac:dyDescent="0.55000000000000004">
      <c r="A264" s="1"/>
      <c r="E264" s="31"/>
      <c r="G264" s="31"/>
      <c r="I264" s="133" t="s">
        <v>209</v>
      </c>
      <c r="J264" s="134"/>
      <c r="K264" s="37">
        <v>1945</v>
      </c>
    </row>
    <row r="265" spans="1:16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-50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-50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66FF99"/>
  </sheetPr>
  <dimension ref="A1:Z341"/>
  <sheetViews>
    <sheetView zoomScale="70" zoomScaleNormal="70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+'18'!G5</f>
        <v>46</v>
      </c>
      <c r="D5" s="85">
        <v>0</v>
      </c>
      <c r="E5" s="47">
        <f t="shared" ref="E5:E125" si="0">C5+D5</f>
        <v>46</v>
      </c>
      <c r="F5" s="85">
        <v>0</v>
      </c>
      <c r="G5" s="47">
        <f>+E5-F5-H5</f>
        <v>37</v>
      </c>
      <c r="H5" s="86">
        <v>9</v>
      </c>
      <c r="I5" s="15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58</v>
      </c>
      <c r="D6" s="85">
        <v>0</v>
      </c>
      <c r="E6" s="47">
        <f t="shared" si="0"/>
        <v>58</v>
      </c>
      <c r="F6" s="85">
        <v>0</v>
      </c>
      <c r="G6" s="47">
        <f t="shared" ref="G6:G100" si="4">+E6-F6-H6</f>
        <v>50</v>
      </c>
      <c r="H6" s="86">
        <v>8</v>
      </c>
      <c r="I6" s="15">
        <v>100</v>
      </c>
      <c r="J6" s="80">
        <f t="shared" ref="J6:J100" si="5">+I6*H6</f>
        <v>800</v>
      </c>
      <c r="K6" s="17" t="s">
        <v>16</v>
      </c>
      <c r="L6" s="18">
        <v>50</v>
      </c>
      <c r="M6" s="23">
        <f t="shared" ref="M6:M69" si="6">SUM(J6-L6)</f>
        <v>750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9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4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50</v>
      </c>
      <c r="M16" s="23">
        <f t="shared" si="6"/>
        <v>-50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+'18'!G17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4</v>
      </c>
      <c r="H17" s="86">
        <v>3</v>
      </c>
      <c r="I17" s="15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+'18'!G19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3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+'18'!G23</f>
        <v>26</v>
      </c>
      <c r="D23" s="85">
        <v>0</v>
      </c>
      <c r="E23" s="47">
        <f t="shared" si="0"/>
        <v>26</v>
      </c>
      <c r="F23" s="85">
        <v>0</v>
      </c>
      <c r="G23" s="47">
        <f t="shared" si="4"/>
        <v>24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50</v>
      </c>
      <c r="M23" s="23">
        <f t="shared" si="6"/>
        <v>150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+'18'!G24</f>
        <v>2</v>
      </c>
      <c r="D24" s="85">
        <v>0</v>
      </c>
      <c r="E24" s="47">
        <f t="shared" si="0"/>
        <v>2</v>
      </c>
      <c r="F24" s="85">
        <v>1</v>
      </c>
      <c r="G24" s="47">
        <f t="shared" si="4"/>
        <v>0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50</v>
      </c>
      <c r="M24" s="23">
        <f t="shared" si="6"/>
        <v>50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+'18'!G25</f>
        <v>3</v>
      </c>
      <c r="D25" s="85">
        <v>0</v>
      </c>
      <c r="E25" s="47">
        <f t="shared" si="0"/>
        <v>3</v>
      </c>
      <c r="F25" s="85">
        <v>2</v>
      </c>
      <c r="G25" s="47">
        <f t="shared" si="4"/>
        <v>0</v>
      </c>
      <c r="H25" s="86">
        <v>1</v>
      </c>
      <c r="I25" s="21">
        <v>100</v>
      </c>
      <c r="J25" s="80">
        <f t="shared" si="5"/>
        <v>100</v>
      </c>
      <c r="K25" s="17" t="s">
        <v>16</v>
      </c>
      <c r="L25" s="18">
        <v>50</v>
      </c>
      <c r="M25" s="23">
        <f t="shared" si="6"/>
        <v>50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+'18'!G33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1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+'18'!G37</f>
        <v>37</v>
      </c>
      <c r="D37" s="85">
        <v>0</v>
      </c>
      <c r="E37" s="47">
        <f t="shared" si="0"/>
        <v>37</v>
      </c>
      <c r="F37" s="85">
        <v>1</v>
      </c>
      <c r="G37" s="47">
        <f t="shared" si="4"/>
        <v>28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0</v>
      </c>
      <c r="M37" s="23">
        <f t="shared" si="6"/>
        <v>800</v>
      </c>
    </row>
    <row r="38" spans="1:13" ht="25.5" x14ac:dyDescent="0.55000000000000004">
      <c r="A38" s="10">
        <v>34</v>
      </c>
      <c r="B38" s="19" t="s">
        <v>49</v>
      </c>
      <c r="C38" s="79">
        <f>+'18'!G38</f>
        <v>13</v>
      </c>
      <c r="D38" s="85">
        <v>0</v>
      </c>
      <c r="E38" s="47">
        <f t="shared" si="0"/>
        <v>13</v>
      </c>
      <c r="F38" s="85">
        <v>0</v>
      </c>
      <c r="G38" s="47">
        <f t="shared" si="4"/>
        <v>9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+'18'!G39</f>
        <v>11</v>
      </c>
      <c r="D39" s="85">
        <v>0</v>
      </c>
      <c r="E39" s="47">
        <f t="shared" si="0"/>
        <v>11</v>
      </c>
      <c r="F39" s="85">
        <v>0</v>
      </c>
      <c r="G39" s="47">
        <f t="shared" si="4"/>
        <v>9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25</v>
      </c>
      <c r="M39" s="23">
        <f t="shared" si="6"/>
        <v>75</v>
      </c>
    </row>
    <row r="40" spans="1:13" ht="25.5" x14ac:dyDescent="0.55000000000000004">
      <c r="A40" s="10">
        <v>36</v>
      </c>
      <c r="B40" s="19" t="s">
        <v>51</v>
      </c>
      <c r="C40" s="79">
        <f>+'18'!G40</f>
        <v>14</v>
      </c>
      <c r="D40" s="85">
        <v>0</v>
      </c>
      <c r="E40" s="47">
        <f t="shared" si="0"/>
        <v>14</v>
      </c>
      <c r="F40" s="85">
        <v>0</v>
      </c>
      <c r="G40" s="47">
        <f t="shared" si="4"/>
        <v>11</v>
      </c>
      <c r="H40" s="86">
        <v>3</v>
      </c>
      <c r="I40" s="15">
        <v>50</v>
      </c>
      <c r="J40" s="80">
        <f t="shared" si="5"/>
        <v>150</v>
      </c>
      <c r="K40" s="17" t="s">
        <v>16</v>
      </c>
      <c r="L40" s="18">
        <v>100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+'18'!G41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+'18'!G43</f>
        <v>15</v>
      </c>
      <c r="D43" s="85">
        <v>0</v>
      </c>
      <c r="E43" s="47">
        <f t="shared" si="0"/>
        <v>15</v>
      </c>
      <c r="F43" s="85">
        <v>0</v>
      </c>
      <c r="G43" s="47">
        <f t="shared" si="4"/>
        <v>15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+'18'!G44</f>
        <v>9</v>
      </c>
      <c r="D44" s="85">
        <v>0</v>
      </c>
      <c r="E44" s="47">
        <f t="shared" si="0"/>
        <v>9</v>
      </c>
      <c r="F44" s="85">
        <v>0</v>
      </c>
      <c r="G44" s="47">
        <f t="shared" si="4"/>
        <v>9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+'18'!G46</f>
        <v>16</v>
      </c>
      <c r="D46" s="85">
        <v>0</v>
      </c>
      <c r="E46" s="47">
        <f t="shared" si="0"/>
        <v>16</v>
      </c>
      <c r="F46" s="85">
        <v>0</v>
      </c>
      <c r="G46" s="47">
        <f t="shared" si="4"/>
        <v>15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+'18'!G47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7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+'18'!G48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0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0</v>
      </c>
      <c r="H50" s="86">
        <v>2</v>
      </c>
      <c r="I50" s="15">
        <v>120</v>
      </c>
      <c r="J50" s="80">
        <f t="shared" si="5"/>
        <v>240</v>
      </c>
      <c r="K50" s="17" t="s">
        <v>16</v>
      </c>
      <c r="L50" s="18">
        <v>70</v>
      </c>
      <c r="M50" s="23">
        <f t="shared" si="6"/>
        <v>170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3</v>
      </c>
      <c r="D51" s="85">
        <v>0</v>
      </c>
      <c r="E51" s="47">
        <f t="shared" si="0"/>
        <v>3</v>
      </c>
      <c r="F51" s="85">
        <v>0</v>
      </c>
      <c r="G51" s="47">
        <f t="shared" si="4"/>
        <v>2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20</v>
      </c>
      <c r="M51" s="23">
        <f t="shared" si="6"/>
        <v>100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20</v>
      </c>
      <c r="M55" s="23">
        <f t="shared" si="6"/>
        <v>100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1</v>
      </c>
      <c r="D61" s="85">
        <v>0</v>
      </c>
      <c r="E61" s="47">
        <f t="shared" si="0"/>
        <v>1</v>
      </c>
      <c r="F61" s="85">
        <v>0</v>
      </c>
      <c r="G61" s="47">
        <f t="shared" si="4"/>
        <v>0</v>
      </c>
      <c r="H61" s="86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+'18'!G63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2</v>
      </c>
      <c r="D64" s="85">
        <v>0</v>
      </c>
      <c r="E64" s="47">
        <f t="shared" si="0"/>
        <v>2</v>
      </c>
      <c r="F64" s="85">
        <v>0</v>
      </c>
      <c r="G64" s="47">
        <f t="shared" si="4"/>
        <v>2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3</v>
      </c>
      <c r="D65" s="85">
        <v>0</v>
      </c>
      <c r="E65" s="47">
        <f t="shared" si="0"/>
        <v>3</v>
      </c>
      <c r="F65" s="85">
        <v>0</v>
      </c>
      <c r="G65" s="47">
        <f t="shared" si="4"/>
        <v>3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15</v>
      </c>
      <c r="D66" s="85">
        <v>0</v>
      </c>
      <c r="E66" s="47">
        <f t="shared" si="0"/>
        <v>15</v>
      </c>
      <c r="F66" s="85">
        <v>0</v>
      </c>
      <c r="G66" s="47">
        <f t="shared" si="4"/>
        <v>12</v>
      </c>
      <c r="H66" s="86">
        <v>3</v>
      </c>
      <c r="I66" s="15">
        <v>50</v>
      </c>
      <c r="J66" s="80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7</v>
      </c>
      <c r="D67" s="85">
        <v>0</v>
      </c>
      <c r="E67" s="47">
        <f t="shared" si="0"/>
        <v>7</v>
      </c>
      <c r="F67" s="85">
        <v>0</v>
      </c>
      <c r="G67" s="47">
        <f t="shared" si="4"/>
        <v>5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50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14</v>
      </c>
      <c r="D70" s="85">
        <v>0</v>
      </c>
      <c r="E70" s="47">
        <f t="shared" si="0"/>
        <v>14</v>
      </c>
      <c r="F70" s="85">
        <v>0</v>
      </c>
      <c r="G70" s="47">
        <f t="shared" si="4"/>
        <v>10</v>
      </c>
      <c r="H70" s="86">
        <v>4</v>
      </c>
      <c r="I70" s="20">
        <v>50</v>
      </c>
      <c r="J70" s="80">
        <f t="shared" si="5"/>
        <v>200</v>
      </c>
      <c r="K70" s="17" t="s">
        <v>16</v>
      </c>
      <c r="L70" s="18">
        <v>0</v>
      </c>
      <c r="M70" s="23">
        <f t="shared" ref="M70:M134" si="10">SUM(J70-L70)</f>
        <v>200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8</v>
      </c>
      <c r="D73" s="85">
        <v>0</v>
      </c>
      <c r="E73" s="47">
        <f t="shared" si="0"/>
        <v>8</v>
      </c>
      <c r="F73" s="85">
        <v>0</v>
      </c>
      <c r="G73" s="47">
        <f t="shared" si="4"/>
        <v>6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5.5" x14ac:dyDescent="0.55000000000000004">
      <c r="A74" s="10">
        <v>70</v>
      </c>
      <c r="B74" s="19" t="s">
        <v>85</v>
      </c>
      <c r="C74" s="79">
        <f>+'18'!G74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4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+'18'!G77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+'18'!G79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1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+'18'!G80</f>
        <v>11</v>
      </c>
      <c r="D80" s="85">
        <v>0</v>
      </c>
      <c r="E80" s="47">
        <f t="shared" si="0"/>
        <v>11</v>
      </c>
      <c r="F80" s="85">
        <v>0</v>
      </c>
      <c r="G80" s="47">
        <f t="shared" si="4"/>
        <v>11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91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+'18'!G86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+'18'!G87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+'18'!G88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+'18'!G89</f>
        <v>10</v>
      </c>
      <c r="D89" s="85">
        <v>0</v>
      </c>
      <c r="E89" s="47">
        <f t="shared" si="0"/>
        <v>10</v>
      </c>
      <c r="F89" s="85">
        <v>0</v>
      </c>
      <c r="G89" s="47">
        <f t="shared" si="4"/>
        <v>9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+'18'!G102</f>
        <v>8</v>
      </c>
      <c r="D102" s="85">
        <v>0</v>
      </c>
      <c r="E102" s="47">
        <f t="shared" si="0"/>
        <v>8</v>
      </c>
      <c r="F102" s="85">
        <v>0</v>
      </c>
      <c r="G102" s="47">
        <f t="shared" si="11"/>
        <v>8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+'18'!G103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11"/>
        <v>5</v>
      </c>
      <c r="H103" s="86">
        <v>2</v>
      </c>
      <c r="I103" s="20">
        <v>50</v>
      </c>
      <c r="J103" s="80">
        <f t="shared" si="12"/>
        <v>100</v>
      </c>
      <c r="K103" s="17" t="s">
        <v>16</v>
      </c>
      <c r="L103" s="18">
        <v>0</v>
      </c>
      <c r="M103" s="23">
        <f t="shared" si="10"/>
        <v>100</v>
      </c>
    </row>
    <row r="104" spans="1:13" ht="25.5" x14ac:dyDescent="0.55000000000000004">
      <c r="A104" s="10">
        <v>100</v>
      </c>
      <c r="B104" s="19" t="s">
        <v>114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+'18'!G126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+'18'!G128</f>
        <v>69</v>
      </c>
      <c r="D128" s="85">
        <v>0</v>
      </c>
      <c r="E128" s="47">
        <f t="shared" si="13"/>
        <v>69</v>
      </c>
      <c r="F128" s="85">
        <v>0</v>
      </c>
      <c r="G128" s="47">
        <f t="shared" si="11"/>
        <v>66</v>
      </c>
      <c r="H128" s="86">
        <v>3</v>
      </c>
      <c r="I128" s="20">
        <v>20</v>
      </c>
      <c r="J128" s="80">
        <f t="shared" si="12"/>
        <v>60</v>
      </c>
      <c r="K128" s="17" t="s">
        <v>16</v>
      </c>
      <c r="L128" s="18">
        <v>40</v>
      </c>
      <c r="M128" s="23">
        <f t="shared" si="10"/>
        <v>20</v>
      </c>
    </row>
    <row r="129" spans="1:13" ht="25.5" x14ac:dyDescent="0.55000000000000004">
      <c r="A129" s="10">
        <v>125</v>
      </c>
      <c r="B129" s="19" t="s">
        <v>140</v>
      </c>
      <c r="C129" s="79">
        <f>+'18'!G129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+'18'!G161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+'18'!G162</f>
        <v>5</v>
      </c>
      <c r="D162" s="85">
        <v>0</v>
      </c>
      <c r="E162" s="47">
        <f t="shared" si="13"/>
        <v>5</v>
      </c>
      <c r="F162" s="85">
        <v>0</v>
      </c>
      <c r="G162" s="47">
        <f t="shared" si="11"/>
        <v>5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+'18'!G163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+'18'!G169</f>
        <v>48</v>
      </c>
      <c r="D169" s="85">
        <v>0</v>
      </c>
      <c r="E169" s="47">
        <f t="shared" si="13"/>
        <v>48</v>
      </c>
      <c r="F169" s="85">
        <v>0</v>
      </c>
      <c r="G169" s="47">
        <f t="shared" si="15"/>
        <v>47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+'18'!G170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+'18'!G171</f>
        <v>2</v>
      </c>
      <c r="D171" s="85">
        <v>0</v>
      </c>
      <c r="E171" s="47">
        <f t="shared" si="13"/>
        <v>2</v>
      </c>
      <c r="F171" s="85">
        <v>0</v>
      </c>
      <c r="G171" s="47">
        <f t="shared" si="15"/>
        <v>2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+'18'!G172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+'18'!G177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1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+'18'!G178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+'18'!G179</f>
        <v>6</v>
      </c>
      <c r="D179" s="85">
        <v>0</v>
      </c>
      <c r="E179" s="47">
        <f t="shared" si="13"/>
        <v>6</v>
      </c>
      <c r="F179" s="85">
        <v>0</v>
      </c>
      <c r="G179" s="47">
        <f t="shared" si="15"/>
        <v>4</v>
      </c>
      <c r="H179" s="86">
        <v>2</v>
      </c>
      <c r="I179" s="20">
        <v>120</v>
      </c>
      <c r="J179" s="80">
        <f t="shared" si="16"/>
        <v>240</v>
      </c>
      <c r="K179" s="17" t="s">
        <v>16</v>
      </c>
      <c r="L179" s="18">
        <v>0</v>
      </c>
      <c r="M179" s="23">
        <f t="shared" si="14"/>
        <v>240</v>
      </c>
    </row>
    <row r="180" spans="1:13" ht="25.5" x14ac:dyDescent="0.55000000000000004">
      <c r="A180" s="10">
        <v>176</v>
      </c>
      <c r="B180" s="19" t="s">
        <v>191</v>
      </c>
      <c r="C180" s="79">
        <f>+'18'!G180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+'18'!G189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+'18'!G190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+'18'!G203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+'18'!G204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+'18'!G205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+'18'!G206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+'18'!G207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+'18'!G208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+'18'!G209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+'18'!G210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+'18'!G211</f>
        <v>14</v>
      </c>
      <c r="D211" s="85">
        <v>0</v>
      </c>
      <c r="E211" s="47">
        <f t="shared" si="17"/>
        <v>14</v>
      </c>
      <c r="F211" s="85">
        <v>0</v>
      </c>
      <c r="G211" s="47">
        <f t="shared" si="15"/>
        <v>13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23">
        <f t="shared" si="18"/>
        <v>35</v>
      </c>
    </row>
    <row r="212" spans="1:13" ht="25.5" x14ac:dyDescent="0.55000000000000004">
      <c r="A212" s="10">
        <v>208</v>
      </c>
      <c r="B212" s="11" t="s">
        <v>245</v>
      </c>
      <c r="C212" s="79">
        <f>+'18'!G212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+'18'!G213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+'18'!G214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+'18'!G215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+'18'!G216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+'18'!G217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+'18'!G218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+'18'!G219</f>
        <v>2</v>
      </c>
      <c r="D219" s="85">
        <v>0</v>
      </c>
      <c r="E219" s="47">
        <f t="shared" si="17"/>
        <v>2</v>
      </c>
      <c r="F219" s="85">
        <v>0</v>
      </c>
      <c r="G219" s="47">
        <f t="shared" si="15"/>
        <v>1</v>
      </c>
      <c r="H219" s="86">
        <v>1</v>
      </c>
      <c r="I219" s="20">
        <v>25</v>
      </c>
      <c r="J219" s="80">
        <f t="shared" si="16"/>
        <v>25</v>
      </c>
      <c r="K219" s="17" t="s">
        <v>16</v>
      </c>
      <c r="L219" s="18">
        <v>0</v>
      </c>
      <c r="M219" s="23">
        <f t="shared" si="18"/>
        <v>25</v>
      </c>
    </row>
    <row r="220" spans="1:13" ht="25.5" x14ac:dyDescent="0.55000000000000004">
      <c r="A220" s="10">
        <v>216</v>
      </c>
      <c r="B220" s="11" t="s">
        <v>277</v>
      </c>
      <c r="C220" s="79">
        <f>+'18'!G220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+'18'!G221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+'18'!G222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+'18'!G223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+'18'!G224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4930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4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5505</v>
      </c>
    </row>
    <row r="258" spans="1:24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2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2195</v>
      </c>
      <c r="L259" s="2">
        <v>100</v>
      </c>
      <c r="M259" s="2">
        <v>150</v>
      </c>
      <c r="N259" s="2">
        <v>50</v>
      </c>
      <c r="O259" s="2">
        <v>50</v>
      </c>
      <c r="P259" s="2">
        <v>100</v>
      </c>
      <c r="Q259" s="2">
        <v>100</v>
      </c>
      <c r="R259" s="2">
        <v>500</v>
      </c>
      <c r="S259" s="2">
        <v>150</v>
      </c>
      <c r="T259" s="2">
        <v>320</v>
      </c>
      <c r="U259" s="2">
        <v>100</v>
      </c>
      <c r="V259" s="2">
        <v>125</v>
      </c>
      <c r="W259" s="2">
        <v>160</v>
      </c>
      <c r="X259" s="2">
        <v>290</v>
      </c>
    </row>
    <row r="260" spans="1:24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24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24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575</v>
      </c>
    </row>
    <row r="263" spans="1:24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2720</v>
      </c>
    </row>
    <row r="264" spans="1:24" ht="25.5" x14ac:dyDescent="0.55000000000000004">
      <c r="A264" s="1"/>
      <c r="E264" s="31"/>
      <c r="G264" s="31"/>
      <c r="I264" s="133" t="s">
        <v>209</v>
      </c>
      <c r="J264" s="134"/>
      <c r="K264" s="37">
        <v>2750</v>
      </c>
    </row>
    <row r="265" spans="1:24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30</v>
      </c>
    </row>
    <row r="266" spans="1:24" ht="25.5" x14ac:dyDescent="0.55000000000000004">
      <c r="G266" s="2"/>
      <c r="I266" s="133" t="s">
        <v>211</v>
      </c>
      <c r="J266" s="134"/>
      <c r="K266" s="33">
        <f>+K264-K263</f>
        <v>30</v>
      </c>
    </row>
    <row r="267" spans="1:24" x14ac:dyDescent="0.5">
      <c r="G267" s="2"/>
      <c r="I267" s="2"/>
    </row>
    <row r="268" spans="1:24" x14ac:dyDescent="0.5">
      <c r="G268" s="2"/>
      <c r="I268" s="2"/>
    </row>
    <row r="269" spans="1:24" x14ac:dyDescent="0.5">
      <c r="G269" s="2"/>
      <c r="I269" s="2"/>
    </row>
    <row r="270" spans="1:24" x14ac:dyDescent="0.5">
      <c r="G270" s="2"/>
      <c r="I270" s="2"/>
    </row>
    <row r="271" spans="1:24" x14ac:dyDescent="0.5">
      <c r="G271" s="2"/>
      <c r="I271" s="2"/>
    </row>
    <row r="272" spans="1:2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66FF99"/>
  </sheetPr>
  <dimension ref="A1:Z341"/>
  <sheetViews>
    <sheetView zoomScale="70" zoomScaleNormal="70" workbookViewId="0">
      <pane xSplit="7" ySplit="4" topLeftCell="H260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+'19'!G5</f>
        <v>37</v>
      </c>
      <c r="D5" s="85">
        <v>0</v>
      </c>
      <c r="E5" s="47">
        <f t="shared" ref="E5:E125" si="0">C5+D5</f>
        <v>37</v>
      </c>
      <c r="F5" s="85">
        <v>0</v>
      </c>
      <c r="G5" s="47">
        <f>+E5-F5-H5</f>
        <v>30</v>
      </c>
      <c r="H5" s="86">
        <v>7</v>
      </c>
      <c r="I5" s="20">
        <v>50</v>
      </c>
      <c r="J5" s="80">
        <f>+I5*H5</f>
        <v>350</v>
      </c>
      <c r="K5" s="17" t="s">
        <v>16</v>
      </c>
      <c r="L5" s="18">
        <v>0</v>
      </c>
      <c r="M5" s="102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50</v>
      </c>
      <c r="D6" s="85">
        <v>0</v>
      </c>
      <c r="E6" s="47">
        <f t="shared" si="0"/>
        <v>50</v>
      </c>
      <c r="F6" s="85">
        <v>0</v>
      </c>
      <c r="G6" s="47">
        <f t="shared" ref="G6:G100" si="4">+E6-F6-H6</f>
        <v>35</v>
      </c>
      <c r="H6" s="86">
        <v>15</v>
      </c>
      <c r="I6" s="20">
        <v>100</v>
      </c>
      <c r="J6" s="80">
        <f t="shared" ref="J6:J100" si="5">+I6*H6</f>
        <v>1500</v>
      </c>
      <c r="K6" s="17" t="s">
        <v>16</v>
      </c>
      <c r="L6" s="18">
        <v>450</v>
      </c>
      <c r="M6" s="102">
        <f t="shared" ref="M6:M69" si="6">SUM(J6-L6)</f>
        <v>1050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7</v>
      </c>
      <c r="H12" s="86">
        <v>2</v>
      </c>
      <c r="I12" s="15">
        <v>50</v>
      </c>
      <c r="J12" s="80">
        <f t="shared" si="5"/>
        <v>100</v>
      </c>
      <c r="K12" s="17" t="s">
        <v>16</v>
      </c>
      <c r="L12" s="18">
        <v>0</v>
      </c>
      <c r="M12" s="102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4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+'19'!G17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3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102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+'19'!G19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2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102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+'19'!G23</f>
        <v>24</v>
      </c>
      <c r="D23" s="85">
        <v>0</v>
      </c>
      <c r="E23" s="47">
        <f t="shared" si="0"/>
        <v>24</v>
      </c>
      <c r="F23" s="85">
        <v>0</v>
      </c>
      <c r="G23" s="47">
        <f t="shared" si="4"/>
        <v>17</v>
      </c>
      <c r="H23" s="86">
        <v>7</v>
      </c>
      <c r="I23" s="15">
        <v>100</v>
      </c>
      <c r="J23" s="80">
        <f t="shared" si="5"/>
        <v>700</v>
      </c>
      <c r="K23" s="17" t="s">
        <v>16</v>
      </c>
      <c r="L23" s="18">
        <v>50</v>
      </c>
      <c r="M23" s="102">
        <f t="shared" si="6"/>
        <v>650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+'19'!G33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0</v>
      </c>
      <c r="H33" s="86">
        <v>1</v>
      </c>
      <c r="I33" s="15">
        <v>130</v>
      </c>
      <c r="J33" s="80">
        <f t="shared" si="5"/>
        <v>130</v>
      </c>
      <c r="K33" s="17" t="s">
        <v>16</v>
      </c>
      <c r="L33" s="18">
        <v>0</v>
      </c>
      <c r="M33" s="102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+'19'!G34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+'19'!G37</f>
        <v>28</v>
      </c>
      <c r="D37" s="85">
        <v>0</v>
      </c>
      <c r="E37" s="47">
        <f t="shared" si="0"/>
        <v>28</v>
      </c>
      <c r="F37" s="85">
        <v>0</v>
      </c>
      <c r="G37" s="47">
        <f t="shared" si="4"/>
        <v>16</v>
      </c>
      <c r="H37" s="86">
        <v>12</v>
      </c>
      <c r="I37" s="15">
        <v>100</v>
      </c>
      <c r="J37" s="80">
        <f t="shared" si="5"/>
        <v>1200</v>
      </c>
      <c r="K37" s="17" t="s">
        <v>16</v>
      </c>
      <c r="L37" s="18">
        <v>0</v>
      </c>
      <c r="M37" s="102">
        <f t="shared" si="6"/>
        <v>1200</v>
      </c>
    </row>
    <row r="38" spans="1:13" ht="25.5" x14ac:dyDescent="0.55000000000000004">
      <c r="A38" s="10">
        <v>34</v>
      </c>
      <c r="B38" s="19" t="s">
        <v>49</v>
      </c>
      <c r="C38" s="79">
        <f>+'19'!G38</f>
        <v>9</v>
      </c>
      <c r="D38" s="85">
        <v>0</v>
      </c>
      <c r="E38" s="47">
        <f t="shared" si="0"/>
        <v>9</v>
      </c>
      <c r="F38" s="85">
        <v>0</v>
      </c>
      <c r="G38" s="47">
        <f t="shared" si="4"/>
        <v>3</v>
      </c>
      <c r="H38" s="86">
        <v>6</v>
      </c>
      <c r="I38" s="15">
        <v>50</v>
      </c>
      <c r="J38" s="80">
        <f t="shared" si="5"/>
        <v>300</v>
      </c>
      <c r="K38" s="17" t="s">
        <v>16</v>
      </c>
      <c r="L38" s="18">
        <v>100</v>
      </c>
      <c r="M38" s="102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+'19'!G39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7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102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+'19'!G40</f>
        <v>11</v>
      </c>
      <c r="D40" s="85">
        <v>0</v>
      </c>
      <c r="E40" s="47">
        <f t="shared" si="0"/>
        <v>11</v>
      </c>
      <c r="F40" s="85">
        <v>0</v>
      </c>
      <c r="G40" s="47">
        <f t="shared" si="4"/>
        <v>10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25</v>
      </c>
      <c r="M40" s="102">
        <f t="shared" si="6"/>
        <v>25</v>
      </c>
    </row>
    <row r="41" spans="1:13" ht="25.5" x14ac:dyDescent="0.55000000000000004">
      <c r="A41" s="10">
        <v>37</v>
      </c>
      <c r="B41" s="19" t="s">
        <v>52</v>
      </c>
      <c r="C41" s="79">
        <f>+'19'!G41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1</v>
      </c>
      <c r="H41" s="86">
        <v>3</v>
      </c>
      <c r="I41" s="15">
        <v>50</v>
      </c>
      <c r="J41" s="80">
        <f t="shared" si="5"/>
        <v>150</v>
      </c>
      <c r="K41" s="17" t="s">
        <v>16</v>
      </c>
      <c r="L41" s="18">
        <v>100</v>
      </c>
      <c r="M41" s="102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+'19'!G43</f>
        <v>15</v>
      </c>
      <c r="D43" s="85">
        <v>0</v>
      </c>
      <c r="E43" s="47">
        <f t="shared" si="0"/>
        <v>15</v>
      </c>
      <c r="F43" s="85">
        <v>0</v>
      </c>
      <c r="G43" s="47">
        <f t="shared" si="4"/>
        <v>12</v>
      </c>
      <c r="H43" s="86">
        <v>3</v>
      </c>
      <c r="I43" s="15">
        <v>50</v>
      </c>
      <c r="J43" s="80">
        <f t="shared" si="5"/>
        <v>150</v>
      </c>
      <c r="K43" s="17" t="s">
        <v>16</v>
      </c>
      <c r="L43" s="18">
        <v>0</v>
      </c>
      <c r="M43" s="102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+'19'!G44</f>
        <v>9</v>
      </c>
      <c r="D44" s="85">
        <v>0</v>
      </c>
      <c r="E44" s="47">
        <f t="shared" si="0"/>
        <v>9</v>
      </c>
      <c r="F44" s="85">
        <v>0</v>
      </c>
      <c r="G44" s="47">
        <f t="shared" si="4"/>
        <v>5</v>
      </c>
      <c r="H44" s="86">
        <v>4</v>
      </c>
      <c r="I44" s="15">
        <v>50</v>
      </c>
      <c r="J44" s="80">
        <f t="shared" si="5"/>
        <v>200</v>
      </c>
      <c r="K44" s="17" t="s">
        <v>16</v>
      </c>
      <c r="L44" s="18">
        <v>0</v>
      </c>
      <c r="M44" s="102">
        <f t="shared" si="6"/>
        <v>200</v>
      </c>
    </row>
    <row r="45" spans="1:13" ht="25.5" x14ac:dyDescent="0.55000000000000004">
      <c r="A45" s="10">
        <v>41</v>
      </c>
      <c r="B45" s="19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+'19'!G46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8</v>
      </c>
      <c r="H46" s="86">
        <v>7</v>
      </c>
      <c r="I46" s="15">
        <v>50</v>
      </c>
      <c r="J46" s="80">
        <f t="shared" si="5"/>
        <v>350</v>
      </c>
      <c r="K46" s="17" t="s">
        <v>16</v>
      </c>
      <c r="L46" s="18">
        <v>0</v>
      </c>
      <c r="M46" s="102">
        <f t="shared" si="6"/>
        <v>350</v>
      </c>
    </row>
    <row r="47" spans="1:13" ht="25.5" x14ac:dyDescent="0.55000000000000004">
      <c r="A47" s="10">
        <v>43</v>
      </c>
      <c r="B47" s="19" t="s">
        <v>58</v>
      </c>
      <c r="C47" s="79">
        <f>+'19'!G47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0</v>
      </c>
      <c r="H47" s="86">
        <v>7</v>
      </c>
      <c r="I47" s="15">
        <v>50</v>
      </c>
      <c r="J47" s="80">
        <f t="shared" si="5"/>
        <v>350</v>
      </c>
      <c r="K47" s="17" t="s">
        <v>16</v>
      </c>
      <c r="L47" s="18">
        <v>0</v>
      </c>
      <c r="M47" s="102">
        <f t="shared" si="6"/>
        <v>350</v>
      </c>
    </row>
    <row r="48" spans="1:13" ht="25.5" x14ac:dyDescent="0.55000000000000004">
      <c r="A48" s="10">
        <v>44</v>
      </c>
      <c r="B48" s="19" t="s">
        <v>59</v>
      </c>
      <c r="C48" s="79">
        <f>+'19'!G48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5</v>
      </c>
      <c r="H48" s="86">
        <v>3</v>
      </c>
      <c r="I48" s="15">
        <v>50</v>
      </c>
      <c r="J48" s="80">
        <f t="shared" si="5"/>
        <v>150</v>
      </c>
      <c r="K48" s="17" t="s">
        <v>16</v>
      </c>
      <c r="L48" s="18">
        <v>0</v>
      </c>
      <c r="M48" s="102">
        <f t="shared" si="6"/>
        <v>150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0</v>
      </c>
      <c r="H51" s="86">
        <v>2</v>
      </c>
      <c r="I51" s="15">
        <v>120</v>
      </c>
      <c r="J51" s="80">
        <f t="shared" si="5"/>
        <v>240</v>
      </c>
      <c r="K51" s="17" t="s">
        <v>16</v>
      </c>
      <c r="L51" s="18">
        <v>70</v>
      </c>
      <c r="M51" s="102">
        <f t="shared" si="6"/>
        <v>170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0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102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2</v>
      </c>
      <c r="D64" s="85">
        <v>0</v>
      </c>
      <c r="E64" s="47">
        <f t="shared" si="0"/>
        <v>2</v>
      </c>
      <c r="F64" s="85">
        <v>0</v>
      </c>
      <c r="G64" s="47">
        <f t="shared" si="4"/>
        <v>1</v>
      </c>
      <c r="H64" s="86">
        <v>1</v>
      </c>
      <c r="I64" s="21">
        <v>30</v>
      </c>
      <c r="J64" s="80">
        <f t="shared" si="5"/>
        <v>30</v>
      </c>
      <c r="K64" s="17" t="s">
        <v>16</v>
      </c>
      <c r="L64" s="18">
        <v>0</v>
      </c>
      <c r="M64" s="102">
        <f t="shared" si="6"/>
        <v>30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3</v>
      </c>
      <c r="D65" s="85">
        <v>0</v>
      </c>
      <c r="E65" s="47">
        <f t="shared" si="0"/>
        <v>3</v>
      </c>
      <c r="F65" s="85">
        <v>0</v>
      </c>
      <c r="G65" s="47">
        <f t="shared" si="4"/>
        <v>3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+'19'!G66</f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10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102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+'19'!G67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1</v>
      </c>
      <c r="H67" s="86">
        <v>4</v>
      </c>
      <c r="I67" s="15">
        <v>50</v>
      </c>
      <c r="J67" s="80">
        <f t="shared" si="5"/>
        <v>200</v>
      </c>
      <c r="K67" s="17" t="s">
        <v>16</v>
      </c>
      <c r="L67" s="18">
        <v>100</v>
      </c>
      <c r="M67" s="102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10</v>
      </c>
      <c r="D70" s="85">
        <v>0</v>
      </c>
      <c r="E70" s="47">
        <f t="shared" si="0"/>
        <v>10</v>
      </c>
      <c r="F70" s="85">
        <v>0</v>
      </c>
      <c r="G70" s="47">
        <f t="shared" si="4"/>
        <v>8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50</v>
      </c>
      <c r="M70" s="102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1</v>
      </c>
      <c r="H73" s="86">
        <v>5</v>
      </c>
      <c r="I73" s="20">
        <v>60</v>
      </c>
      <c r="J73" s="80">
        <f t="shared" si="5"/>
        <v>300</v>
      </c>
      <c r="K73" s="17" t="s">
        <v>16</v>
      </c>
      <c r="L73" s="18">
        <v>0</v>
      </c>
      <c r="M73" s="102">
        <f t="shared" si="10"/>
        <v>300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1</v>
      </c>
      <c r="H74" s="86">
        <v>3</v>
      </c>
      <c r="I74" s="22">
        <v>120</v>
      </c>
      <c r="J74" s="80">
        <f t="shared" si="5"/>
        <v>360</v>
      </c>
      <c r="K74" s="17" t="s">
        <v>16</v>
      </c>
      <c r="L74" s="18">
        <v>0</v>
      </c>
      <c r="M74" s="102">
        <f t="shared" si="10"/>
        <v>360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+'19'!G77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25</v>
      </c>
      <c r="M77" s="102">
        <f t="shared" si="10"/>
        <v>25</v>
      </c>
    </row>
    <row r="78" spans="1:13" ht="25.5" x14ac:dyDescent="0.55000000000000004">
      <c r="A78" s="10">
        <v>74</v>
      </c>
      <c r="B78" s="19" t="s">
        <v>276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+'19'!G79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0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25</v>
      </c>
      <c r="M79" s="102">
        <f>SUM(J79-L79)</f>
        <v>25</v>
      </c>
    </row>
    <row r="80" spans="1:13" ht="25.5" x14ac:dyDescent="0.55000000000000004">
      <c r="A80" s="10">
        <v>76</v>
      </c>
      <c r="B80" s="19" t="s">
        <v>247</v>
      </c>
      <c r="C80" s="79">
        <f>+'19'!G80</f>
        <v>11</v>
      </c>
      <c r="D80" s="85">
        <v>0</v>
      </c>
      <c r="E80" s="47">
        <f t="shared" si="0"/>
        <v>11</v>
      </c>
      <c r="F80" s="85">
        <v>0</v>
      </c>
      <c r="G80" s="47">
        <f t="shared" si="4"/>
        <v>8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102">
        <f t="shared" si="10"/>
        <v>150</v>
      </c>
    </row>
    <row r="81" spans="1:13" ht="25.5" x14ac:dyDescent="0.55000000000000004">
      <c r="A81" s="10">
        <v>77</v>
      </c>
      <c r="B81" s="19" t="s">
        <v>91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+'19'!G85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+'19'!G86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+'19'!G87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10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102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+'19'!G88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+'19'!G89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+'19'!G102</f>
        <v>8</v>
      </c>
      <c r="D102" s="85">
        <v>0</v>
      </c>
      <c r="E102" s="47">
        <f t="shared" si="0"/>
        <v>8</v>
      </c>
      <c r="F102" s="85">
        <v>0</v>
      </c>
      <c r="G102" s="47">
        <f t="shared" si="11"/>
        <v>6</v>
      </c>
      <c r="H102" s="86">
        <v>2</v>
      </c>
      <c r="I102" s="20">
        <v>55</v>
      </c>
      <c r="J102" s="80">
        <f t="shared" si="12"/>
        <v>110</v>
      </c>
      <c r="K102" s="17" t="s">
        <v>16</v>
      </c>
      <c r="L102" s="18">
        <v>0</v>
      </c>
      <c r="M102" s="102">
        <f t="shared" si="10"/>
        <v>110</v>
      </c>
    </row>
    <row r="103" spans="1:13" ht="25.5" x14ac:dyDescent="0.55000000000000004">
      <c r="A103" s="10">
        <v>99</v>
      </c>
      <c r="B103" s="19" t="s">
        <v>113</v>
      </c>
      <c r="C103" s="79">
        <f>+'19'!G103</f>
        <v>5</v>
      </c>
      <c r="D103" s="85">
        <v>0</v>
      </c>
      <c r="E103" s="47">
        <f t="shared" si="0"/>
        <v>5</v>
      </c>
      <c r="F103" s="85">
        <v>0</v>
      </c>
      <c r="G103" s="47">
        <f t="shared" si="11"/>
        <v>4</v>
      </c>
      <c r="H103" s="86">
        <v>1</v>
      </c>
      <c r="I103" s="20">
        <v>50</v>
      </c>
      <c r="J103" s="80">
        <f t="shared" si="12"/>
        <v>50</v>
      </c>
      <c r="K103" s="17" t="s">
        <v>16</v>
      </c>
      <c r="L103" s="18">
        <v>0</v>
      </c>
      <c r="M103" s="102">
        <f t="shared" si="10"/>
        <v>50</v>
      </c>
    </row>
    <row r="104" spans="1:13" ht="25.5" x14ac:dyDescent="0.55000000000000004">
      <c r="A104" s="10">
        <v>100</v>
      </c>
      <c r="B104" s="19" t="s">
        <v>114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+'19'!G125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+'19'!G126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+'19'!G127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+'19'!G128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+'19'!G129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+'19'!G130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+'19'!G131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+'19'!G132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+'19'!G133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+'19'!G134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+'19'!G135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+'19'!G136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+'19'!G137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+'19'!G138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+'19'!G139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+'19'!G140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+'19'!G141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+'19'!G142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+'19'!G143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+'19'!G144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+'19'!G145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+'19'!G146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+'19'!G147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+'19'!G148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+'19'!G149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+'19'!G150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+'19'!G151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+'19'!G152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+'19'!G153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+'19'!G154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+'19'!G155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+'19'!G156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+'19'!G157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+'19'!G158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+'19'!G159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+'19'!G160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+'19'!G161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+'19'!G162</f>
        <v>5</v>
      </c>
      <c r="D162" s="85">
        <v>0</v>
      </c>
      <c r="E162" s="47">
        <f t="shared" si="13"/>
        <v>5</v>
      </c>
      <c r="F162" s="85">
        <v>0</v>
      </c>
      <c r="G162" s="47">
        <f t="shared" si="11"/>
        <v>5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+'19'!G163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11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+'19'!G164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+'19'!G165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+'19'!G166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+'19'!G167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+'19'!G168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+'19'!G169</f>
        <v>47</v>
      </c>
      <c r="D169" s="85">
        <v>0</v>
      </c>
      <c r="E169" s="47">
        <f t="shared" si="13"/>
        <v>47</v>
      </c>
      <c r="F169" s="85">
        <v>0</v>
      </c>
      <c r="G169" s="47">
        <f t="shared" si="15"/>
        <v>45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102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+'19'!G170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+'19'!G171</f>
        <v>2</v>
      </c>
      <c r="D171" s="85">
        <v>0</v>
      </c>
      <c r="E171" s="47">
        <f t="shared" si="13"/>
        <v>2</v>
      </c>
      <c r="F171" s="85">
        <v>0</v>
      </c>
      <c r="G171" s="47">
        <f t="shared" si="15"/>
        <v>1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102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+'19'!G172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+'19'!G173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+'19'!G174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+'19'!G175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+'19'!G176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+'19'!G177</f>
        <v>1</v>
      </c>
      <c r="D177" s="85">
        <v>0</v>
      </c>
      <c r="E177" s="47">
        <f t="shared" si="13"/>
        <v>1</v>
      </c>
      <c r="F177" s="85">
        <v>0</v>
      </c>
      <c r="G177" s="47">
        <f t="shared" si="15"/>
        <v>0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102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+'19'!G178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+'19'!G179</f>
        <v>4</v>
      </c>
      <c r="D179" s="85">
        <v>0</v>
      </c>
      <c r="E179" s="47">
        <f t="shared" si="13"/>
        <v>4</v>
      </c>
      <c r="F179" s="85">
        <v>0</v>
      </c>
      <c r="G179" s="47">
        <f t="shared" si="15"/>
        <v>0</v>
      </c>
      <c r="H179" s="86">
        <v>4</v>
      </c>
      <c r="I179" s="20">
        <v>120</v>
      </c>
      <c r="J179" s="80">
        <f t="shared" si="16"/>
        <v>480</v>
      </c>
      <c r="K179" s="17" t="s">
        <v>16</v>
      </c>
      <c r="L179" s="18">
        <v>0</v>
      </c>
      <c r="M179" s="102">
        <f t="shared" si="14"/>
        <v>480</v>
      </c>
    </row>
    <row r="180" spans="1:13" ht="25.5" x14ac:dyDescent="0.55000000000000004">
      <c r="A180" s="10">
        <v>176</v>
      </c>
      <c r="B180" s="19" t="s">
        <v>191</v>
      </c>
      <c r="C180" s="79">
        <f>+'19'!G180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+'19'!G181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+'19'!G182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+'19'!G183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+'19'!G184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+'19'!G185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+'19'!G186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+'19'!G187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+'19'!G189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+'19'!G190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+'19'!G199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+'19'!G200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+'19'!G201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+'19'!G202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+'19'!G203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+'19'!G204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+'19'!G205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+'19'!G206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+'19'!G207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+'19'!G208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+'19'!G209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+'19'!G210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+'19'!G211</f>
        <v>13</v>
      </c>
      <c r="D211" s="85">
        <v>0</v>
      </c>
      <c r="E211" s="47">
        <f t="shared" si="17"/>
        <v>13</v>
      </c>
      <c r="F211" s="85">
        <v>8</v>
      </c>
      <c r="G211" s="47">
        <f t="shared" si="15"/>
        <v>0</v>
      </c>
      <c r="H211" s="86">
        <v>5</v>
      </c>
      <c r="I211" s="20">
        <v>35</v>
      </c>
      <c r="J211" s="80">
        <f t="shared" si="16"/>
        <v>175</v>
      </c>
      <c r="K211" s="17" t="s">
        <v>16</v>
      </c>
      <c r="L211" s="18">
        <v>0</v>
      </c>
      <c r="M211" s="102">
        <f t="shared" si="18"/>
        <v>175</v>
      </c>
    </row>
    <row r="212" spans="1:13" ht="25.5" x14ac:dyDescent="0.55000000000000004">
      <c r="A212" s="10">
        <v>208</v>
      </c>
      <c r="B212" s="11" t="s">
        <v>245</v>
      </c>
      <c r="C212" s="79">
        <f>+'19'!G212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+'19'!G213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+'19'!G214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+'19'!G215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+'19'!G216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+'19'!G217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+'19'!G218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+'19'!G219</f>
        <v>1</v>
      </c>
      <c r="D219" s="85">
        <v>0</v>
      </c>
      <c r="E219" s="47">
        <f t="shared" si="17"/>
        <v>1</v>
      </c>
      <c r="F219" s="85">
        <v>0</v>
      </c>
      <c r="G219" s="47">
        <f t="shared" si="15"/>
        <v>1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+'19'!G220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+'19'!G221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+'19'!G222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+'19'!G223</f>
        <v>0</v>
      </c>
      <c r="D223" s="85">
        <v>15</v>
      </c>
      <c r="E223" s="47">
        <f t="shared" si="17"/>
        <v>15</v>
      </c>
      <c r="F223" s="85">
        <v>0</v>
      </c>
      <c r="G223" s="47">
        <f t="shared" si="15"/>
        <v>15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+'19'!G224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7600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3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8620</v>
      </c>
    </row>
    <row r="258" spans="1:23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2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2580</v>
      </c>
      <c r="L259" s="2">
        <v>250</v>
      </c>
      <c r="M259" s="2">
        <v>155</v>
      </c>
      <c r="N259" s="2">
        <v>300</v>
      </c>
      <c r="O259" s="2">
        <v>100</v>
      </c>
      <c r="P259" s="2">
        <v>100</v>
      </c>
      <c r="Q259" s="2">
        <v>540</v>
      </c>
      <c r="R259" s="2">
        <v>110</v>
      </c>
      <c r="S259" s="2">
        <v>510</v>
      </c>
      <c r="T259" s="2">
        <v>220</v>
      </c>
      <c r="U259" s="2">
        <v>35</v>
      </c>
      <c r="V259" s="2">
        <v>100</v>
      </c>
      <c r="W259" s="2">
        <v>160</v>
      </c>
    </row>
    <row r="260" spans="1:23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23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23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1020</v>
      </c>
    </row>
    <row r="263" spans="1:23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5005</v>
      </c>
    </row>
    <row r="264" spans="1:23" ht="25.5" x14ac:dyDescent="0.55000000000000004">
      <c r="A264" s="1"/>
      <c r="E264" s="31"/>
      <c r="G264" s="31"/>
      <c r="I264" s="133" t="s">
        <v>209</v>
      </c>
      <c r="J264" s="134"/>
      <c r="K264" s="37">
        <v>5035</v>
      </c>
    </row>
    <row r="265" spans="1:23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30</v>
      </c>
    </row>
    <row r="266" spans="1:23" ht="25.5" x14ac:dyDescent="0.55000000000000004">
      <c r="G266" s="2"/>
      <c r="I266" s="133" t="s">
        <v>211</v>
      </c>
      <c r="J266" s="134"/>
      <c r="K266" s="33">
        <f>+K264-K263</f>
        <v>30</v>
      </c>
    </row>
    <row r="267" spans="1:23" x14ac:dyDescent="0.5">
      <c r="G267" s="2"/>
      <c r="I267" s="2"/>
    </row>
    <row r="268" spans="1:23" x14ac:dyDescent="0.5">
      <c r="G268" s="2"/>
      <c r="I268" s="2"/>
    </row>
    <row r="269" spans="1:23" x14ac:dyDescent="0.5">
      <c r="G269" s="2"/>
      <c r="I269" s="2"/>
    </row>
    <row r="270" spans="1:23" x14ac:dyDescent="0.5">
      <c r="G270" s="2"/>
      <c r="I270" s="2"/>
    </row>
    <row r="271" spans="1:23" x14ac:dyDescent="0.5">
      <c r="G271" s="2"/>
      <c r="I271" s="2"/>
    </row>
    <row r="272" spans="1:2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66FF99"/>
  </sheetPr>
  <dimension ref="A1:Z341"/>
  <sheetViews>
    <sheetView zoomScale="85" zoomScaleNormal="85" workbookViewId="0">
      <pane xSplit="7" ySplit="4" topLeftCell="H251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+'20'!G5</f>
        <v>30</v>
      </c>
      <c r="D5" s="85">
        <v>0</v>
      </c>
      <c r="E5" s="47">
        <f t="shared" ref="E5:E125" si="0">C5+D5</f>
        <v>30</v>
      </c>
      <c r="F5" s="85">
        <v>1</v>
      </c>
      <c r="G5" s="47">
        <f>+E5-F5-H5</f>
        <v>23</v>
      </c>
      <c r="H5" s="86">
        <v>6</v>
      </c>
      <c r="I5" s="20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35</v>
      </c>
      <c r="D6" s="85">
        <v>0</v>
      </c>
      <c r="E6" s="47">
        <f t="shared" si="0"/>
        <v>35</v>
      </c>
      <c r="F6" s="85">
        <v>1</v>
      </c>
      <c r="G6" s="47">
        <f t="shared" ref="G6:G100" si="4">+E6-F6-H6</f>
        <v>21</v>
      </c>
      <c r="H6" s="86">
        <v>13</v>
      </c>
      <c r="I6" s="20">
        <v>100</v>
      </c>
      <c r="J6" s="80">
        <f t="shared" ref="J6:J100" si="5">+I6*H6</f>
        <v>1300</v>
      </c>
      <c r="K6" s="17" t="s">
        <v>16</v>
      </c>
      <c r="L6" s="18">
        <v>0</v>
      </c>
      <c r="M6" s="23">
        <f t="shared" ref="M6:M69" si="6">SUM(J6-L6)</f>
        <v>1300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6</v>
      </c>
      <c r="H12" s="86">
        <v>1</v>
      </c>
      <c r="I12" s="15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3</v>
      </c>
      <c r="H15" s="86">
        <v>1</v>
      </c>
      <c r="I15" s="15">
        <v>50</v>
      </c>
      <c r="J15" s="80">
        <f t="shared" si="5"/>
        <v>50</v>
      </c>
      <c r="K15" s="17" t="s">
        <v>16</v>
      </c>
      <c r="L15" s="18">
        <v>50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+'20'!G17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3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+'20'!G19</f>
        <v>2</v>
      </c>
      <c r="D19" s="85">
        <v>0</v>
      </c>
      <c r="E19" s="47">
        <f t="shared" si="0"/>
        <v>2</v>
      </c>
      <c r="F19" s="85">
        <v>0</v>
      </c>
      <c r="G19" s="47">
        <f t="shared" si="4"/>
        <v>1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+'20'!G23</f>
        <v>17</v>
      </c>
      <c r="D23" s="85">
        <v>0</v>
      </c>
      <c r="E23" s="47">
        <f t="shared" si="0"/>
        <v>17</v>
      </c>
      <c r="F23" s="85">
        <v>0</v>
      </c>
      <c r="G23" s="47">
        <f t="shared" si="4"/>
        <v>10</v>
      </c>
      <c r="H23" s="86">
        <v>7</v>
      </c>
      <c r="I23" s="15">
        <v>100</v>
      </c>
      <c r="J23" s="80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+'20'!G37</f>
        <v>16</v>
      </c>
      <c r="D37" s="85">
        <v>0</v>
      </c>
      <c r="E37" s="47">
        <f t="shared" si="0"/>
        <v>16</v>
      </c>
      <c r="F37" s="85">
        <v>0</v>
      </c>
      <c r="G37" s="47">
        <f t="shared" si="4"/>
        <v>8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100</v>
      </c>
      <c r="M37" s="23">
        <f t="shared" si="6"/>
        <v>700</v>
      </c>
    </row>
    <row r="38" spans="1:13" ht="25.5" x14ac:dyDescent="0.55000000000000004">
      <c r="A38" s="10">
        <v>34</v>
      </c>
      <c r="B38" s="19" t="s">
        <v>49</v>
      </c>
      <c r="C38" s="79">
        <f>+'20'!G38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0</v>
      </c>
      <c r="H38" s="86">
        <v>3</v>
      </c>
      <c r="I38" s="15">
        <v>50</v>
      </c>
      <c r="J38" s="80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+'20'!G39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3</v>
      </c>
      <c r="H39" s="86">
        <v>4</v>
      </c>
      <c r="I39" s="15">
        <v>50</v>
      </c>
      <c r="J39" s="80">
        <f t="shared" si="5"/>
        <v>200</v>
      </c>
      <c r="K39" s="17" t="s">
        <v>16</v>
      </c>
      <c r="L39" s="18">
        <v>75</v>
      </c>
      <c r="M39" s="23">
        <f t="shared" si="6"/>
        <v>125</v>
      </c>
    </row>
    <row r="40" spans="1:13" ht="25.5" x14ac:dyDescent="0.55000000000000004">
      <c r="A40" s="10">
        <v>36</v>
      </c>
      <c r="B40" s="19" t="s">
        <v>51</v>
      </c>
      <c r="C40" s="79">
        <f>+'20'!G40</f>
        <v>10</v>
      </c>
      <c r="D40" s="85">
        <v>0</v>
      </c>
      <c r="E40" s="47">
        <f t="shared" si="0"/>
        <v>10</v>
      </c>
      <c r="F40" s="85">
        <v>0</v>
      </c>
      <c r="G40" s="47">
        <f t="shared" si="4"/>
        <v>4</v>
      </c>
      <c r="H40" s="86">
        <v>6</v>
      </c>
      <c r="I40" s="15">
        <v>50</v>
      </c>
      <c r="J40" s="80">
        <f t="shared" si="5"/>
        <v>300</v>
      </c>
      <c r="K40" s="17" t="s">
        <v>16</v>
      </c>
      <c r="L40" s="18">
        <v>100</v>
      </c>
      <c r="M40" s="23">
        <f t="shared" si="6"/>
        <v>200</v>
      </c>
    </row>
    <row r="41" spans="1:13" ht="25.5" x14ac:dyDescent="0.55000000000000004">
      <c r="A41" s="10">
        <v>37</v>
      </c>
      <c r="B41" s="19" t="s">
        <v>52</v>
      </c>
      <c r="C41" s="79">
        <f>+'20'!G41</f>
        <v>1</v>
      </c>
      <c r="D41" s="85">
        <v>0</v>
      </c>
      <c r="E41" s="47">
        <f t="shared" si="0"/>
        <v>1</v>
      </c>
      <c r="F41" s="85">
        <v>0</v>
      </c>
      <c r="G41" s="47">
        <f t="shared" si="4"/>
        <v>1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+'20'!G43</f>
        <v>12</v>
      </c>
      <c r="D43" s="85">
        <v>0</v>
      </c>
      <c r="E43" s="47">
        <f t="shared" si="0"/>
        <v>12</v>
      </c>
      <c r="F43" s="85">
        <v>0</v>
      </c>
      <c r="G43" s="47">
        <f t="shared" si="4"/>
        <v>12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+'20'!G44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1</v>
      </c>
      <c r="H44" s="86">
        <v>4</v>
      </c>
      <c r="I44" s="15">
        <v>50</v>
      </c>
      <c r="J44" s="80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13" ht="25.5" x14ac:dyDescent="0.55000000000000004">
      <c r="A45" s="10">
        <v>41</v>
      </c>
      <c r="B45" s="19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+'20'!G46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0</v>
      </c>
      <c r="H46" s="86">
        <v>8</v>
      </c>
      <c r="I46" s="15">
        <v>50</v>
      </c>
      <c r="J46" s="80">
        <f t="shared" si="5"/>
        <v>400</v>
      </c>
      <c r="K46" s="17" t="s">
        <v>16</v>
      </c>
      <c r="L46" s="18">
        <v>0</v>
      </c>
      <c r="M46" s="23">
        <f t="shared" si="6"/>
        <v>400</v>
      </c>
    </row>
    <row r="47" spans="1:13" ht="25.5" x14ac:dyDescent="0.55000000000000004">
      <c r="A47" s="10">
        <v>43</v>
      </c>
      <c r="B47" s="19" t="s">
        <v>58</v>
      </c>
      <c r="C47" s="79">
        <f>+'20'!G47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+'20'!G48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3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1</v>
      </c>
      <c r="D64" s="85">
        <v>0</v>
      </c>
      <c r="E64" s="47">
        <f t="shared" si="0"/>
        <v>1</v>
      </c>
      <c r="F64" s="85">
        <v>0</v>
      </c>
      <c r="G64" s="47">
        <f t="shared" si="4"/>
        <v>0</v>
      </c>
      <c r="H64" s="86">
        <v>1</v>
      </c>
      <c r="I64" s="21">
        <v>30</v>
      </c>
      <c r="J64" s="80">
        <f t="shared" si="5"/>
        <v>30</v>
      </c>
      <c r="K64" s="17" t="s">
        <v>16</v>
      </c>
      <c r="L64" s="18">
        <v>0</v>
      </c>
      <c r="M64" s="23">
        <f t="shared" si="6"/>
        <v>30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3</v>
      </c>
      <c r="D65" s="85">
        <v>0</v>
      </c>
      <c r="E65" s="47">
        <f t="shared" si="0"/>
        <v>3</v>
      </c>
      <c r="F65" s="85">
        <v>0</v>
      </c>
      <c r="G65" s="47">
        <f t="shared" si="4"/>
        <v>1</v>
      </c>
      <c r="H65" s="86">
        <v>2</v>
      </c>
      <c r="I65" s="21">
        <v>30</v>
      </c>
      <c r="J65" s="80">
        <f t="shared" si="5"/>
        <v>60</v>
      </c>
      <c r="K65" s="17" t="s">
        <v>16</v>
      </c>
      <c r="L65" s="18">
        <v>0</v>
      </c>
      <c r="M65" s="23">
        <f t="shared" si="6"/>
        <v>60</v>
      </c>
    </row>
    <row r="66" spans="1:13" ht="25.5" x14ac:dyDescent="0.55000000000000004">
      <c r="A66" s="10">
        <v>62</v>
      </c>
      <c r="B66" s="19" t="s">
        <v>77</v>
      </c>
      <c r="C66" s="79">
        <f>+'20'!G66</f>
        <v>10</v>
      </c>
      <c r="D66" s="85">
        <v>0</v>
      </c>
      <c r="E66" s="47">
        <f t="shared" si="0"/>
        <v>10</v>
      </c>
      <c r="F66" s="85">
        <v>0</v>
      </c>
      <c r="G66" s="47">
        <f t="shared" si="4"/>
        <v>9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+'20'!G67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1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8</v>
      </c>
      <c r="D70" s="85">
        <v>0</v>
      </c>
      <c r="E70" s="47">
        <f t="shared" si="0"/>
        <v>8</v>
      </c>
      <c r="F70" s="85">
        <v>0</v>
      </c>
      <c r="G70" s="47">
        <f t="shared" si="4"/>
        <v>7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1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+'20'!G79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+'20'!G80</f>
        <v>8</v>
      </c>
      <c r="D80" s="85">
        <v>0</v>
      </c>
      <c r="E80" s="47">
        <f t="shared" si="0"/>
        <v>8</v>
      </c>
      <c r="F80" s="85">
        <v>0</v>
      </c>
      <c r="G80" s="47">
        <f t="shared" si="4"/>
        <v>2</v>
      </c>
      <c r="H80" s="86">
        <v>6</v>
      </c>
      <c r="I80" s="22">
        <v>50</v>
      </c>
      <c r="J80" s="80">
        <f t="shared" si="5"/>
        <v>300</v>
      </c>
      <c r="K80" s="17" t="s">
        <v>16</v>
      </c>
      <c r="L80" s="18">
        <v>0</v>
      </c>
      <c r="M80" s="23">
        <f t="shared" si="10"/>
        <v>300</v>
      </c>
    </row>
    <row r="81" spans="1:13" ht="25.5" x14ac:dyDescent="0.55000000000000004">
      <c r="A81" s="10">
        <v>77</v>
      </c>
      <c r="B81" s="19" t="s">
        <v>91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+'20'!G86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+'20'!G87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9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23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+'20'!G88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+'20'!G89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+'20'!G102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11"/>
        <v>6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+'20'!G103</f>
        <v>4</v>
      </c>
      <c r="D103" s="85">
        <v>0</v>
      </c>
      <c r="E103" s="47">
        <f t="shared" si="0"/>
        <v>4</v>
      </c>
      <c r="F103" s="85">
        <v>0</v>
      </c>
      <c r="G103" s="47">
        <f t="shared" si="11"/>
        <v>3</v>
      </c>
      <c r="H103" s="86">
        <v>1</v>
      </c>
      <c r="I103" s="20">
        <v>50</v>
      </c>
      <c r="J103" s="80">
        <f t="shared" si="12"/>
        <v>50</v>
      </c>
      <c r="K103" s="17" t="s">
        <v>16</v>
      </c>
      <c r="L103" s="18">
        <v>0</v>
      </c>
      <c r="M103" s="23">
        <f t="shared" si="10"/>
        <v>50</v>
      </c>
    </row>
    <row r="104" spans="1:13" ht="25.5" x14ac:dyDescent="0.55000000000000004">
      <c r="A104" s="10">
        <v>100</v>
      </c>
      <c r="B104" s="19" t="s">
        <v>114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+'20'!G126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+'20'!G128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+'20'!G161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10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+'20'!G162</f>
        <v>5</v>
      </c>
      <c r="D162" s="85">
        <v>0</v>
      </c>
      <c r="E162" s="47">
        <f t="shared" si="13"/>
        <v>5</v>
      </c>
      <c r="F162" s="85">
        <v>0</v>
      </c>
      <c r="G162" s="47">
        <f t="shared" si="11"/>
        <v>4</v>
      </c>
      <c r="H162" s="86">
        <v>1</v>
      </c>
      <c r="I162" s="20">
        <v>90</v>
      </c>
      <c r="J162" s="80">
        <f t="shared" si="12"/>
        <v>90</v>
      </c>
      <c r="K162" s="17" t="s">
        <v>16</v>
      </c>
      <c r="L162" s="18">
        <v>0</v>
      </c>
      <c r="M162" s="23">
        <f t="shared" si="14"/>
        <v>90</v>
      </c>
    </row>
    <row r="163" spans="1:13" ht="25.5" x14ac:dyDescent="0.55000000000000004">
      <c r="A163" s="10">
        <v>159</v>
      </c>
      <c r="B163" s="19" t="s">
        <v>174</v>
      </c>
      <c r="C163" s="79">
        <f>+'20'!G163</f>
        <v>11</v>
      </c>
      <c r="D163" s="85">
        <v>0</v>
      </c>
      <c r="E163" s="47">
        <f t="shared" si="13"/>
        <v>11</v>
      </c>
      <c r="F163" s="85">
        <v>0</v>
      </c>
      <c r="G163" s="47">
        <f t="shared" si="11"/>
        <v>8</v>
      </c>
      <c r="H163" s="86">
        <v>3</v>
      </c>
      <c r="I163" s="20">
        <v>90</v>
      </c>
      <c r="J163" s="80">
        <f t="shared" si="12"/>
        <v>270</v>
      </c>
      <c r="K163" s="17" t="s">
        <v>16</v>
      </c>
      <c r="L163" s="18">
        <v>0</v>
      </c>
      <c r="M163" s="23">
        <f t="shared" si="14"/>
        <v>270</v>
      </c>
    </row>
    <row r="164" spans="1:13" ht="25.5" x14ac:dyDescent="0.55000000000000004">
      <c r="A164" s="10">
        <v>160</v>
      </c>
      <c r="B164" s="19" t="s">
        <v>175</v>
      </c>
      <c r="C164" s="79">
        <f>+'20'!G164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+'20'!G169</f>
        <v>45</v>
      </c>
      <c r="D169" s="85">
        <v>0</v>
      </c>
      <c r="E169" s="47">
        <f t="shared" si="13"/>
        <v>45</v>
      </c>
      <c r="F169" s="85">
        <v>0</v>
      </c>
      <c r="G169" s="47">
        <f t="shared" si="15"/>
        <v>44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+'20'!G170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+'20'!G171</f>
        <v>1</v>
      </c>
      <c r="D171" s="85">
        <v>0</v>
      </c>
      <c r="E171" s="47">
        <f t="shared" si="13"/>
        <v>1</v>
      </c>
      <c r="F171" s="85">
        <v>0</v>
      </c>
      <c r="G171" s="47">
        <f t="shared" si="15"/>
        <v>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+'20'!G189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+'20'!G190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+'20'!G212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+'20'!G219</f>
        <v>1</v>
      </c>
      <c r="D219" s="85">
        <v>0</v>
      </c>
      <c r="E219" s="47">
        <f t="shared" si="17"/>
        <v>1</v>
      </c>
      <c r="F219" s="85">
        <v>0</v>
      </c>
      <c r="G219" s="47">
        <f t="shared" si="15"/>
        <v>0</v>
      </c>
      <c r="H219" s="86">
        <v>1</v>
      </c>
      <c r="I219" s="20">
        <v>25</v>
      </c>
      <c r="J219" s="80">
        <f t="shared" si="16"/>
        <v>25</v>
      </c>
      <c r="K219" s="17" t="s">
        <v>16</v>
      </c>
      <c r="L219" s="18">
        <v>5</v>
      </c>
      <c r="M219" s="23">
        <f t="shared" si="18"/>
        <v>20</v>
      </c>
    </row>
    <row r="220" spans="1:13" ht="25.5" x14ac:dyDescent="0.55000000000000004">
      <c r="A220" s="10">
        <v>216</v>
      </c>
      <c r="B220" s="11" t="s">
        <v>277</v>
      </c>
      <c r="C220" s="79">
        <f>+'20'!G220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+'20'!G223</f>
        <v>15</v>
      </c>
      <c r="D223" s="85">
        <v>15</v>
      </c>
      <c r="E223" s="47">
        <f t="shared" si="17"/>
        <v>30</v>
      </c>
      <c r="F223" s="85">
        <v>0</v>
      </c>
      <c r="G223" s="47">
        <f t="shared" si="15"/>
        <v>28</v>
      </c>
      <c r="H223" s="86">
        <v>2</v>
      </c>
      <c r="I223" s="20">
        <v>40</v>
      </c>
      <c r="J223" s="80">
        <f t="shared" si="16"/>
        <v>80</v>
      </c>
      <c r="K223" s="17" t="s">
        <v>16</v>
      </c>
      <c r="L223" s="18">
        <v>0</v>
      </c>
      <c r="M223" s="23">
        <f t="shared" si="18"/>
        <v>80</v>
      </c>
    </row>
    <row r="224" spans="1:13" ht="25.5" x14ac:dyDescent="0.55000000000000004">
      <c r="A224" s="10">
        <v>220</v>
      </c>
      <c r="B224" s="11" t="s">
        <v>311</v>
      </c>
      <c r="C224" s="79">
        <f>+'20'!G224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5385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3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5715</v>
      </c>
    </row>
    <row r="258" spans="1:23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2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1790</v>
      </c>
      <c r="L259" s="2">
        <v>350</v>
      </c>
      <c r="M259" s="2">
        <v>200</v>
      </c>
      <c r="N259" s="2">
        <v>100</v>
      </c>
      <c r="O259" s="2">
        <v>150</v>
      </c>
      <c r="P259" s="2">
        <v>50</v>
      </c>
      <c r="Q259" s="2">
        <v>100</v>
      </c>
      <c r="R259" s="2">
        <v>50</v>
      </c>
      <c r="S259" s="2">
        <v>140</v>
      </c>
      <c r="T259" s="2">
        <v>150</v>
      </c>
      <c r="U259" s="2">
        <v>150</v>
      </c>
      <c r="V259" s="2">
        <v>50</v>
      </c>
      <c r="W259" s="2">
        <v>300</v>
      </c>
    </row>
    <row r="260" spans="1:23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23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23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330</v>
      </c>
    </row>
    <row r="263" spans="1:23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3580</v>
      </c>
    </row>
    <row r="264" spans="1:23" ht="25.5" x14ac:dyDescent="0.55000000000000004">
      <c r="A264" s="1"/>
      <c r="E264" s="31"/>
      <c r="G264" s="31"/>
      <c r="I264" s="133" t="s">
        <v>209</v>
      </c>
      <c r="J264" s="134"/>
      <c r="K264" s="37">
        <v>3580</v>
      </c>
    </row>
    <row r="265" spans="1:23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23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3" x14ac:dyDescent="0.5">
      <c r="G267" s="2"/>
      <c r="I267" s="2"/>
    </row>
    <row r="268" spans="1:23" x14ac:dyDescent="0.5">
      <c r="G268" s="2"/>
      <c r="I268" s="2"/>
    </row>
    <row r="269" spans="1:23" x14ac:dyDescent="0.5">
      <c r="G269" s="2"/>
      <c r="I269" s="2"/>
    </row>
    <row r="270" spans="1:23" x14ac:dyDescent="0.5">
      <c r="G270" s="2"/>
      <c r="I270" s="2"/>
    </row>
    <row r="271" spans="1:23" x14ac:dyDescent="0.5">
      <c r="G271" s="2"/>
      <c r="I271" s="2"/>
    </row>
    <row r="272" spans="1:2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66FF99"/>
  </sheetPr>
  <dimension ref="A1:Z341"/>
  <sheetViews>
    <sheetView zoomScale="70" zoomScaleNormal="70" workbookViewId="0">
      <pane xSplit="7" ySplit="4" topLeftCell="H250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+'21'!G5</f>
        <v>23</v>
      </c>
      <c r="D5" s="85">
        <v>10</v>
      </c>
      <c r="E5" s="47">
        <f t="shared" ref="E5:E125" si="0">C5+D5</f>
        <v>33</v>
      </c>
      <c r="F5" s="85">
        <v>0</v>
      </c>
      <c r="G5" s="47">
        <f>+E5-F5-H5</f>
        <v>24</v>
      </c>
      <c r="H5" s="86">
        <v>9</v>
      </c>
      <c r="I5" s="20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21</v>
      </c>
      <c r="D6" s="85">
        <v>5</v>
      </c>
      <c r="E6" s="47">
        <f t="shared" si="0"/>
        <v>26</v>
      </c>
      <c r="F6" s="85">
        <v>0</v>
      </c>
      <c r="G6" s="47">
        <f t="shared" ref="G6:G100" si="4">+E6-F6-H6</f>
        <v>21</v>
      </c>
      <c r="H6" s="86">
        <v>5</v>
      </c>
      <c r="I6" s="20">
        <v>100</v>
      </c>
      <c r="J6" s="80">
        <f t="shared" ref="J6:J10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3</v>
      </c>
      <c r="H12" s="86">
        <v>3</v>
      </c>
      <c r="I12" s="15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3</v>
      </c>
      <c r="D15" s="85">
        <v>3</v>
      </c>
      <c r="E15" s="47">
        <f t="shared" si="0"/>
        <v>6</v>
      </c>
      <c r="F15" s="85">
        <v>0</v>
      </c>
      <c r="G15" s="47">
        <f t="shared" si="4"/>
        <v>4</v>
      </c>
      <c r="H15" s="86">
        <v>2</v>
      </c>
      <c r="I15" s="15">
        <v>50</v>
      </c>
      <c r="J15" s="80">
        <f t="shared" si="5"/>
        <v>100</v>
      </c>
      <c r="K15" s="17" t="s">
        <v>16</v>
      </c>
      <c r="L15" s="18">
        <v>0</v>
      </c>
      <c r="M15" s="23">
        <f t="shared" si="6"/>
        <v>100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+'21'!G17</f>
        <v>3</v>
      </c>
      <c r="D17" s="85">
        <v>5</v>
      </c>
      <c r="E17" s="47">
        <f t="shared" si="0"/>
        <v>8</v>
      </c>
      <c r="F17" s="85">
        <v>0</v>
      </c>
      <c r="G17" s="47">
        <f t="shared" si="4"/>
        <v>7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+'21'!G19</f>
        <v>1</v>
      </c>
      <c r="D19" s="85">
        <v>5</v>
      </c>
      <c r="E19" s="47">
        <f t="shared" si="0"/>
        <v>6</v>
      </c>
      <c r="F19" s="85">
        <v>0</v>
      </c>
      <c r="G19" s="47">
        <f t="shared" si="4"/>
        <v>3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+'21'!G23</f>
        <v>10</v>
      </c>
      <c r="D23" s="85">
        <v>5</v>
      </c>
      <c r="E23" s="47">
        <f t="shared" si="0"/>
        <v>15</v>
      </c>
      <c r="F23" s="85">
        <v>0</v>
      </c>
      <c r="G23" s="47">
        <f t="shared" si="4"/>
        <v>15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+'21'!G37</f>
        <v>8</v>
      </c>
      <c r="D37" s="85">
        <v>15</v>
      </c>
      <c r="E37" s="47">
        <f t="shared" si="0"/>
        <v>23</v>
      </c>
      <c r="F37" s="85">
        <v>0</v>
      </c>
      <c r="G37" s="47">
        <f t="shared" si="4"/>
        <v>17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+'21'!G38</f>
        <v>0</v>
      </c>
      <c r="D38" s="85">
        <v>8</v>
      </c>
      <c r="E38" s="47">
        <f t="shared" si="0"/>
        <v>8</v>
      </c>
      <c r="F38" s="85">
        <v>0</v>
      </c>
      <c r="G38" s="47">
        <f t="shared" si="4"/>
        <v>6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+'21'!G39</f>
        <v>3</v>
      </c>
      <c r="D39" s="85">
        <v>5</v>
      </c>
      <c r="E39" s="47">
        <f t="shared" si="0"/>
        <v>8</v>
      </c>
      <c r="F39" s="85">
        <v>0</v>
      </c>
      <c r="G39" s="47">
        <f t="shared" si="4"/>
        <v>7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+'21'!G40</f>
        <v>4</v>
      </c>
      <c r="D40" s="85">
        <v>5</v>
      </c>
      <c r="E40" s="47">
        <f t="shared" si="0"/>
        <v>9</v>
      </c>
      <c r="F40" s="85">
        <v>0</v>
      </c>
      <c r="G40" s="47">
        <f t="shared" si="4"/>
        <v>8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+'21'!G41</f>
        <v>1</v>
      </c>
      <c r="D41" s="85">
        <v>5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+'21'!G43</f>
        <v>12</v>
      </c>
      <c r="D43" s="85">
        <v>5</v>
      </c>
      <c r="E43" s="47">
        <f t="shared" si="0"/>
        <v>17</v>
      </c>
      <c r="F43" s="85">
        <v>0</v>
      </c>
      <c r="G43" s="47">
        <f t="shared" si="4"/>
        <v>14</v>
      </c>
      <c r="H43" s="86">
        <v>3</v>
      </c>
      <c r="I43" s="15">
        <v>50</v>
      </c>
      <c r="J43" s="80">
        <f t="shared" si="5"/>
        <v>150</v>
      </c>
      <c r="K43" s="17" t="s">
        <v>16</v>
      </c>
      <c r="L43" s="18">
        <v>0</v>
      </c>
      <c r="M43" s="23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+'21'!G44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+'21'!G46</f>
        <v>0</v>
      </c>
      <c r="D46" s="85">
        <v>10</v>
      </c>
      <c r="E46" s="47">
        <f t="shared" si="0"/>
        <v>10</v>
      </c>
      <c r="F46" s="85">
        <v>0</v>
      </c>
      <c r="G46" s="47">
        <f t="shared" si="4"/>
        <v>10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+'21'!G47</f>
        <v>0</v>
      </c>
      <c r="D47" s="85">
        <v>10</v>
      </c>
      <c r="E47" s="47">
        <f t="shared" si="0"/>
        <v>10</v>
      </c>
      <c r="F47" s="85">
        <v>0</v>
      </c>
      <c r="G47" s="47">
        <f t="shared" si="4"/>
        <v>8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+'21'!G48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0</v>
      </c>
      <c r="D61" s="85">
        <v>2</v>
      </c>
      <c r="E61" s="47">
        <f t="shared" si="0"/>
        <v>2</v>
      </c>
      <c r="F61" s="85">
        <v>0</v>
      </c>
      <c r="G61" s="47">
        <f t="shared" si="4"/>
        <v>2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0</v>
      </c>
      <c r="D63" s="85">
        <v>2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1</v>
      </c>
      <c r="D65" s="85">
        <v>0</v>
      </c>
      <c r="E65" s="47">
        <f t="shared" si="0"/>
        <v>1</v>
      </c>
      <c r="F65" s="85">
        <v>0</v>
      </c>
      <c r="G65" s="47">
        <f t="shared" si="4"/>
        <v>1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9</v>
      </c>
      <c r="D66" s="85">
        <v>5</v>
      </c>
      <c r="E66" s="47">
        <f t="shared" si="0"/>
        <v>14</v>
      </c>
      <c r="F66" s="85">
        <v>0</v>
      </c>
      <c r="G66" s="47">
        <f t="shared" si="4"/>
        <v>13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1</v>
      </c>
      <c r="D67" s="85">
        <v>5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7</v>
      </c>
      <c r="D70" s="85">
        <v>8</v>
      </c>
      <c r="E70" s="47">
        <f t="shared" si="0"/>
        <v>15</v>
      </c>
      <c r="F70" s="85">
        <v>0</v>
      </c>
      <c r="G70" s="47">
        <f t="shared" si="4"/>
        <v>13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23">
        <f t="shared" ref="M70:M134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0</v>
      </c>
      <c r="D71" s="85">
        <v>3</v>
      </c>
      <c r="E71" s="47">
        <f t="shared" si="0"/>
        <v>3</v>
      </c>
      <c r="F71" s="85">
        <v>0</v>
      </c>
      <c r="G71" s="47">
        <f t="shared" si="4"/>
        <v>2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1</v>
      </c>
      <c r="D73" s="85">
        <v>0</v>
      </c>
      <c r="E73" s="47">
        <f t="shared" si="0"/>
        <v>1</v>
      </c>
      <c r="F73" s="85">
        <v>0</v>
      </c>
      <c r="G73" s="47">
        <f t="shared" si="4"/>
        <v>0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+'21'!G77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+'21'!G79</f>
        <v>0</v>
      </c>
      <c r="D79" s="85">
        <v>2</v>
      </c>
      <c r="E79" s="47">
        <f>C79+D79</f>
        <v>2</v>
      </c>
      <c r="F79" s="85">
        <v>0</v>
      </c>
      <c r="G79" s="47">
        <f>+E79-F79-H79</f>
        <v>1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+'21'!G80</f>
        <v>2</v>
      </c>
      <c r="D80" s="85">
        <v>8</v>
      </c>
      <c r="E80" s="47">
        <f t="shared" si="0"/>
        <v>10</v>
      </c>
      <c r="F80" s="85">
        <v>0</v>
      </c>
      <c r="G80" s="47">
        <f t="shared" si="4"/>
        <v>9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+'21'!G85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+'21'!G86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+'21'!G87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7</v>
      </c>
      <c r="H87" s="86">
        <v>2</v>
      </c>
      <c r="I87" s="20">
        <v>55</v>
      </c>
      <c r="J87" s="80">
        <f t="shared" si="5"/>
        <v>110</v>
      </c>
      <c r="K87" s="17" t="s">
        <v>16</v>
      </c>
      <c r="L87" s="18">
        <v>0</v>
      </c>
      <c r="M87" s="23">
        <f t="shared" si="10"/>
        <v>110</v>
      </c>
    </row>
    <row r="88" spans="1:13" ht="25.5" x14ac:dyDescent="0.55000000000000004">
      <c r="A88" s="10">
        <v>84</v>
      </c>
      <c r="B88" s="19" t="s">
        <v>98</v>
      </c>
      <c r="C88" s="79">
        <f>+'21'!G88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10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+'21'!G89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+'21'!G102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11"/>
        <v>6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+'21'!G103</f>
        <v>3</v>
      </c>
      <c r="D103" s="85">
        <v>0</v>
      </c>
      <c r="E103" s="47">
        <f t="shared" si="0"/>
        <v>3</v>
      </c>
      <c r="F103" s="85">
        <v>0</v>
      </c>
      <c r="G103" s="47">
        <f t="shared" si="11"/>
        <v>2</v>
      </c>
      <c r="H103" s="86">
        <v>1</v>
      </c>
      <c r="I103" s="20">
        <v>50</v>
      </c>
      <c r="J103" s="80">
        <f t="shared" si="12"/>
        <v>50</v>
      </c>
      <c r="K103" s="17" t="s">
        <v>16</v>
      </c>
      <c r="L103" s="18">
        <v>0</v>
      </c>
      <c r="M103" s="23">
        <f t="shared" si="10"/>
        <v>50</v>
      </c>
    </row>
    <row r="104" spans="1:13" ht="25.5" x14ac:dyDescent="0.55000000000000004">
      <c r="A104" s="10">
        <v>100</v>
      </c>
      <c r="B104" s="19" t="s">
        <v>114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+'21'!G125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+'21'!G126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+'21'!G128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+'21'!G161</f>
        <v>10</v>
      </c>
      <c r="D161" s="85">
        <v>0</v>
      </c>
      <c r="E161" s="47">
        <f t="shared" si="13"/>
        <v>10</v>
      </c>
      <c r="F161" s="85">
        <v>0</v>
      </c>
      <c r="G161" s="47">
        <f t="shared" si="11"/>
        <v>9</v>
      </c>
      <c r="H161" s="86">
        <v>1</v>
      </c>
      <c r="I161" s="20">
        <v>90</v>
      </c>
      <c r="J161" s="80">
        <f t="shared" si="12"/>
        <v>90</v>
      </c>
      <c r="K161" s="17" t="s">
        <v>16</v>
      </c>
      <c r="L161" s="18">
        <v>0</v>
      </c>
      <c r="M161" s="23">
        <f t="shared" si="14"/>
        <v>90</v>
      </c>
    </row>
    <row r="162" spans="1:13" ht="25.5" x14ac:dyDescent="0.55000000000000004">
      <c r="A162" s="10">
        <v>158</v>
      </c>
      <c r="B162" s="19" t="s">
        <v>173</v>
      </c>
      <c r="C162" s="79">
        <f>+'21'!G162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+'21'!G163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+'21'!G169</f>
        <v>44</v>
      </c>
      <c r="D169" s="85">
        <v>0</v>
      </c>
      <c r="E169" s="47">
        <f t="shared" si="13"/>
        <v>44</v>
      </c>
      <c r="F169" s="85">
        <v>0</v>
      </c>
      <c r="G169" s="47">
        <f t="shared" si="15"/>
        <v>43</v>
      </c>
      <c r="H169" s="86">
        <v>1</v>
      </c>
      <c r="I169" s="20">
        <v>55</v>
      </c>
      <c r="J169" s="80">
        <f t="shared" si="16"/>
        <v>55</v>
      </c>
      <c r="K169" s="17" t="s">
        <v>16</v>
      </c>
      <c r="L169" s="18">
        <v>0</v>
      </c>
      <c r="M169" s="23">
        <f t="shared" si="14"/>
        <v>55</v>
      </c>
    </row>
    <row r="170" spans="1:13" ht="25.5" x14ac:dyDescent="0.55000000000000004">
      <c r="A170" s="10">
        <v>166</v>
      </c>
      <c r="B170" s="19" t="s">
        <v>181</v>
      </c>
      <c r="C170" s="79">
        <f>+'21'!G170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+'21'!G171</f>
        <v>1</v>
      </c>
      <c r="D171" s="85">
        <v>0</v>
      </c>
      <c r="E171" s="47">
        <f t="shared" si="13"/>
        <v>1</v>
      </c>
      <c r="F171" s="85">
        <v>0</v>
      </c>
      <c r="G171" s="47">
        <f t="shared" si="15"/>
        <v>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+'21'!G189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+'21'!G190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+'21'!G205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+'21'!G206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+'21'!G207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+'21'!G208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+'21'!G209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+'21'!G211</f>
        <v>0</v>
      </c>
      <c r="D211" s="85">
        <v>8</v>
      </c>
      <c r="E211" s="47">
        <f t="shared" si="17"/>
        <v>8</v>
      </c>
      <c r="F211" s="85">
        <v>0</v>
      </c>
      <c r="G211" s="47">
        <f t="shared" si="15"/>
        <v>5</v>
      </c>
      <c r="H211" s="86">
        <v>3</v>
      </c>
      <c r="I211" s="20">
        <v>35</v>
      </c>
      <c r="J211" s="80">
        <f t="shared" si="16"/>
        <v>105</v>
      </c>
      <c r="K211" s="17" t="s">
        <v>16</v>
      </c>
      <c r="L211" s="18">
        <v>0</v>
      </c>
      <c r="M211" s="23">
        <f t="shared" si="18"/>
        <v>105</v>
      </c>
    </row>
    <row r="212" spans="1:13" ht="25.5" x14ac:dyDescent="0.55000000000000004">
      <c r="A212" s="10">
        <v>208</v>
      </c>
      <c r="B212" s="11" t="s">
        <v>245</v>
      </c>
      <c r="C212" s="79">
        <f>+'21'!G212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+'21'!G223</f>
        <v>28</v>
      </c>
      <c r="D223" s="85">
        <v>0</v>
      </c>
      <c r="E223" s="47">
        <f t="shared" si="17"/>
        <v>28</v>
      </c>
      <c r="F223" s="85">
        <v>0</v>
      </c>
      <c r="G223" s="47">
        <f t="shared" si="15"/>
        <v>27</v>
      </c>
      <c r="H223" s="86">
        <v>1</v>
      </c>
      <c r="I223" s="20">
        <v>40</v>
      </c>
      <c r="J223" s="80">
        <f t="shared" si="16"/>
        <v>40</v>
      </c>
      <c r="K223" s="17" t="s">
        <v>16</v>
      </c>
      <c r="L223" s="18">
        <v>0</v>
      </c>
      <c r="M223" s="23">
        <f t="shared" si="18"/>
        <v>40</v>
      </c>
    </row>
    <row r="224" spans="1:13" ht="25.5" x14ac:dyDescent="0.55000000000000004">
      <c r="A224" s="10">
        <v>220</v>
      </c>
      <c r="B224" s="11" t="s">
        <v>311</v>
      </c>
      <c r="C224" s="79">
        <f>+'21'!G224</f>
        <v>0</v>
      </c>
      <c r="D224" s="85">
        <v>6</v>
      </c>
      <c r="E224" s="47">
        <f t="shared" si="17"/>
        <v>6</v>
      </c>
      <c r="F224" s="85">
        <v>0</v>
      </c>
      <c r="G224" s="47">
        <f t="shared" si="15"/>
        <v>6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3370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3370</v>
      </c>
    </row>
    <row r="258" spans="1:17" ht="25.5" x14ac:dyDescent="0.55000000000000004">
      <c r="A258" s="1"/>
      <c r="E258" s="31"/>
      <c r="G258" s="31"/>
      <c r="I258" s="133" t="s">
        <v>203</v>
      </c>
      <c r="J258" s="134"/>
      <c r="K258" s="36">
        <v>0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915</v>
      </c>
      <c r="L259" s="2">
        <v>50</v>
      </c>
      <c r="M259" s="2">
        <v>70</v>
      </c>
      <c r="N259" s="2">
        <v>240</v>
      </c>
      <c r="O259" s="2">
        <v>200</v>
      </c>
      <c r="P259" s="2">
        <v>305</v>
      </c>
      <c r="Q259" s="2">
        <v>50</v>
      </c>
    </row>
    <row r="260" spans="1:17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7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2455</v>
      </c>
    </row>
    <row r="264" spans="1:17" ht="25.5" x14ac:dyDescent="0.55000000000000004">
      <c r="A264" s="1"/>
      <c r="E264" s="31"/>
      <c r="G264" s="31"/>
      <c r="I264" s="133" t="s">
        <v>209</v>
      </c>
      <c r="J264" s="134"/>
      <c r="K264" s="37">
        <v>2455</v>
      </c>
    </row>
    <row r="265" spans="1:17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66FF99"/>
  </sheetPr>
  <dimension ref="A1:Z341"/>
  <sheetViews>
    <sheetView zoomScaleNormal="100" workbookViewId="0">
      <pane xSplit="7" ySplit="4" topLeftCell="H251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+'22'!G5</f>
        <v>24</v>
      </c>
      <c r="D5" s="85">
        <v>0</v>
      </c>
      <c r="E5" s="47">
        <f t="shared" ref="E5:E125" si="0">C5+D5</f>
        <v>24</v>
      </c>
      <c r="F5" s="85">
        <v>0</v>
      </c>
      <c r="G5" s="47">
        <f>+E5-F5-H5</f>
        <v>22</v>
      </c>
      <c r="H5" s="86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21</v>
      </c>
      <c r="D6" s="85">
        <v>0</v>
      </c>
      <c r="E6" s="47">
        <f t="shared" si="0"/>
        <v>21</v>
      </c>
      <c r="F6" s="85">
        <v>0</v>
      </c>
      <c r="G6" s="47">
        <f t="shared" ref="G6:G100" si="4">+E6-F6-H6</f>
        <v>18</v>
      </c>
      <c r="H6" s="86">
        <v>3</v>
      </c>
      <c r="I6" s="20">
        <v>100</v>
      </c>
      <c r="J6" s="80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3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4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+'22'!G17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+'22'!G19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3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+'22'!G23</f>
        <v>15</v>
      </c>
      <c r="D23" s="85">
        <v>0</v>
      </c>
      <c r="E23" s="47">
        <f t="shared" si="0"/>
        <v>15</v>
      </c>
      <c r="F23" s="85">
        <v>0</v>
      </c>
      <c r="G23" s="47">
        <f t="shared" si="4"/>
        <v>15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+'22'!G37</f>
        <v>17</v>
      </c>
      <c r="D37" s="85">
        <v>0</v>
      </c>
      <c r="E37" s="47">
        <f t="shared" si="0"/>
        <v>17</v>
      </c>
      <c r="F37" s="85">
        <v>0</v>
      </c>
      <c r="G37" s="47">
        <f t="shared" si="4"/>
        <v>15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+'22'!G38</f>
        <v>6</v>
      </c>
      <c r="D38" s="85">
        <v>0</v>
      </c>
      <c r="E38" s="47">
        <f t="shared" si="0"/>
        <v>6</v>
      </c>
      <c r="F38" s="85">
        <v>0</v>
      </c>
      <c r="G38" s="47">
        <f t="shared" si="4"/>
        <v>6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+'22'!G39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7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+'22'!G40</f>
        <v>8</v>
      </c>
      <c r="D40" s="85">
        <v>0</v>
      </c>
      <c r="E40" s="47">
        <f t="shared" si="0"/>
        <v>8</v>
      </c>
      <c r="F40" s="85">
        <v>0</v>
      </c>
      <c r="G40" s="47">
        <f t="shared" si="4"/>
        <v>8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+'22'!G41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+'22'!G43</f>
        <v>14</v>
      </c>
      <c r="D43" s="85">
        <v>0</v>
      </c>
      <c r="E43" s="47">
        <f t="shared" si="0"/>
        <v>14</v>
      </c>
      <c r="F43" s="85">
        <v>0</v>
      </c>
      <c r="G43" s="47">
        <f t="shared" si="4"/>
        <v>14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+'22'!G46</f>
        <v>10</v>
      </c>
      <c r="D46" s="85">
        <v>0</v>
      </c>
      <c r="E46" s="47">
        <f t="shared" si="0"/>
        <v>10</v>
      </c>
      <c r="F46" s="85">
        <v>0</v>
      </c>
      <c r="G46" s="47">
        <f t="shared" si="4"/>
        <v>8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+'22'!G47</f>
        <v>8</v>
      </c>
      <c r="D47" s="85">
        <v>0</v>
      </c>
      <c r="E47" s="47">
        <f t="shared" si="0"/>
        <v>8</v>
      </c>
      <c r="F47" s="85">
        <v>0</v>
      </c>
      <c r="G47" s="47">
        <f t="shared" si="4"/>
        <v>4</v>
      </c>
      <c r="H47" s="86">
        <v>4</v>
      </c>
      <c r="I47" s="15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5.5" x14ac:dyDescent="0.55000000000000004">
      <c r="A48" s="10">
        <v>44</v>
      </c>
      <c r="B48" s="19" t="s">
        <v>59</v>
      </c>
      <c r="C48" s="79">
        <f>+'22'!G48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2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1</v>
      </c>
      <c r="D65" s="85">
        <v>0</v>
      </c>
      <c r="E65" s="47">
        <f t="shared" si="0"/>
        <v>1</v>
      </c>
      <c r="F65" s="85">
        <v>0</v>
      </c>
      <c r="G65" s="47">
        <f t="shared" si="4"/>
        <v>0</v>
      </c>
      <c r="H65" s="86">
        <v>1</v>
      </c>
      <c r="I65" s="21">
        <v>30</v>
      </c>
      <c r="J65" s="80">
        <f t="shared" si="5"/>
        <v>30</v>
      </c>
      <c r="K65" s="17" t="s">
        <v>16</v>
      </c>
      <c r="L65" s="18">
        <v>0</v>
      </c>
      <c r="M65" s="23">
        <f t="shared" si="6"/>
        <v>30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10</v>
      </c>
      <c r="H66" s="86">
        <v>3</v>
      </c>
      <c r="I66" s="15">
        <v>50</v>
      </c>
      <c r="J66" s="80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13</v>
      </c>
      <c r="D70" s="85">
        <v>0</v>
      </c>
      <c r="E70" s="47">
        <f t="shared" si="0"/>
        <v>13</v>
      </c>
      <c r="F70" s="85">
        <v>0</v>
      </c>
      <c r="G70" s="47">
        <f t="shared" si="4"/>
        <v>12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+'22'!G77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+'22'!G79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1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+'22'!G80</f>
        <v>9</v>
      </c>
      <c r="D80" s="85">
        <v>0</v>
      </c>
      <c r="E80" s="47">
        <f t="shared" si="0"/>
        <v>9</v>
      </c>
      <c r="F80" s="85">
        <v>0</v>
      </c>
      <c r="G80" s="47">
        <f t="shared" si="4"/>
        <v>8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+'22'!G85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+'22'!G86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+'22'!G87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+'22'!G88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9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+'22'!G89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+'22'!G102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11"/>
        <v>6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+'22'!G103</f>
        <v>2</v>
      </c>
      <c r="D103" s="85">
        <v>0</v>
      </c>
      <c r="E103" s="47">
        <f t="shared" si="0"/>
        <v>2</v>
      </c>
      <c r="F103" s="85">
        <v>0</v>
      </c>
      <c r="G103" s="47">
        <f t="shared" si="11"/>
        <v>1</v>
      </c>
      <c r="H103" s="86">
        <v>1</v>
      </c>
      <c r="I103" s="20">
        <v>50</v>
      </c>
      <c r="J103" s="80">
        <f t="shared" si="12"/>
        <v>50</v>
      </c>
      <c r="K103" s="17" t="s">
        <v>16</v>
      </c>
      <c r="L103" s="18">
        <v>0</v>
      </c>
      <c r="M103" s="23">
        <f t="shared" si="10"/>
        <v>50</v>
      </c>
    </row>
    <row r="104" spans="1:13" ht="25.5" x14ac:dyDescent="0.55000000000000004">
      <c r="A104" s="10">
        <v>100</v>
      </c>
      <c r="B104" s="19" t="s">
        <v>114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+'22'!G125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+'22'!G126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+'22'!G128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+'22'!G161</f>
        <v>9</v>
      </c>
      <c r="D161" s="85">
        <v>0</v>
      </c>
      <c r="E161" s="47">
        <f t="shared" si="13"/>
        <v>9</v>
      </c>
      <c r="F161" s="85">
        <v>0</v>
      </c>
      <c r="G161" s="47">
        <f t="shared" si="11"/>
        <v>9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+'22'!G162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+'22'!G163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+'22'!G169</f>
        <v>43</v>
      </c>
      <c r="D169" s="85">
        <v>0</v>
      </c>
      <c r="E169" s="47">
        <f t="shared" si="13"/>
        <v>43</v>
      </c>
      <c r="F169" s="85">
        <v>0</v>
      </c>
      <c r="G169" s="47">
        <f t="shared" si="15"/>
        <v>43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+'22'!G171</f>
        <v>1</v>
      </c>
      <c r="D171" s="85">
        <v>0</v>
      </c>
      <c r="E171" s="47">
        <f t="shared" si="13"/>
        <v>1</v>
      </c>
      <c r="F171" s="85">
        <v>0</v>
      </c>
      <c r="G171" s="47">
        <f t="shared" si="15"/>
        <v>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+'22'!G189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+'22'!G190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+'22'!G205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+'22'!G206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+'22'!G207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+'22'!G208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+'22'!G209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+'22'!G211</f>
        <v>5</v>
      </c>
      <c r="D211" s="85">
        <v>0</v>
      </c>
      <c r="E211" s="47">
        <f t="shared" si="17"/>
        <v>5</v>
      </c>
      <c r="F211" s="85">
        <v>0</v>
      </c>
      <c r="G211" s="47">
        <f t="shared" si="15"/>
        <v>4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23">
        <f t="shared" si="18"/>
        <v>35</v>
      </c>
    </row>
    <row r="212" spans="1:13" ht="25.5" x14ac:dyDescent="0.55000000000000004">
      <c r="A212" s="10">
        <v>208</v>
      </c>
      <c r="B212" s="11" t="s">
        <v>245</v>
      </c>
      <c r="C212" s="79">
        <f>+'22'!G212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+'22'!G223</f>
        <v>27</v>
      </c>
      <c r="D223" s="85">
        <v>0</v>
      </c>
      <c r="E223" s="47">
        <f t="shared" si="17"/>
        <v>27</v>
      </c>
      <c r="F223" s="85">
        <v>0</v>
      </c>
      <c r="G223" s="47">
        <f t="shared" si="15"/>
        <v>26</v>
      </c>
      <c r="H223" s="86">
        <v>1</v>
      </c>
      <c r="I223" s="20">
        <v>40</v>
      </c>
      <c r="J223" s="80">
        <f t="shared" si="16"/>
        <v>40</v>
      </c>
      <c r="K223" s="17" t="s">
        <v>16</v>
      </c>
      <c r="L223" s="18">
        <v>0</v>
      </c>
      <c r="M223" s="23">
        <f t="shared" si="18"/>
        <v>40</v>
      </c>
    </row>
    <row r="224" spans="1:13" ht="25.5" x14ac:dyDescent="0.55000000000000004">
      <c r="A224" s="10">
        <v>220</v>
      </c>
      <c r="B224" s="11" t="s">
        <v>311</v>
      </c>
      <c r="C224" s="79">
        <f>+'22'!G224</f>
        <v>6</v>
      </c>
      <c r="D224" s="85">
        <v>0</v>
      </c>
      <c r="E224" s="47">
        <f t="shared" si="17"/>
        <v>6</v>
      </c>
      <c r="F224" s="85">
        <v>0</v>
      </c>
      <c r="G224" s="47">
        <f t="shared" si="15"/>
        <v>6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1415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1415</v>
      </c>
    </row>
    <row r="258" spans="1:16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485</v>
      </c>
      <c r="L259" s="2">
        <v>100</v>
      </c>
      <c r="M259" s="2">
        <v>50</v>
      </c>
      <c r="N259" s="2">
        <v>150</v>
      </c>
      <c r="O259" s="2">
        <v>100</v>
      </c>
      <c r="P259" s="2">
        <v>85</v>
      </c>
    </row>
    <row r="260" spans="1:16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6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915</v>
      </c>
    </row>
    <row r="264" spans="1:16" ht="25.5" x14ac:dyDescent="0.55000000000000004">
      <c r="A264" s="1"/>
      <c r="E264" s="31"/>
      <c r="G264" s="31"/>
      <c r="I264" s="133" t="s">
        <v>209</v>
      </c>
      <c r="J264" s="134"/>
      <c r="K264" s="37">
        <v>965</v>
      </c>
    </row>
    <row r="265" spans="1:16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50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50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66FF99"/>
  </sheetPr>
  <dimension ref="A1:Z341"/>
  <sheetViews>
    <sheetView zoomScale="90" zoomScaleNormal="90" workbookViewId="0">
      <pane xSplit="7" ySplit="4" topLeftCell="H249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A76" sqref="A76:A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+'23'!G5</f>
        <v>22</v>
      </c>
      <c r="D5" s="85">
        <v>0</v>
      </c>
      <c r="E5" s="47">
        <f t="shared" ref="E5:E125" si="0">C5+D5</f>
        <v>22</v>
      </c>
      <c r="F5" s="85">
        <v>0</v>
      </c>
      <c r="G5" s="47">
        <f>+E5-F5-H5</f>
        <v>22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18</v>
      </c>
      <c r="D6" s="85">
        <v>0</v>
      </c>
      <c r="E6" s="47">
        <f t="shared" si="0"/>
        <v>18</v>
      </c>
      <c r="F6" s="85">
        <v>0</v>
      </c>
      <c r="G6" s="47">
        <f t="shared" ref="G6:G100" si="4">+E6-F6-H6</f>
        <v>15</v>
      </c>
      <c r="H6" s="86">
        <v>3</v>
      </c>
      <c r="I6" s="20">
        <v>100</v>
      </c>
      <c r="J6" s="80">
        <f t="shared" ref="J6:J10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3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15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4</v>
      </c>
      <c r="D15" s="85">
        <v>0</v>
      </c>
      <c r="E15" s="47">
        <f t="shared" si="0"/>
        <v>4</v>
      </c>
      <c r="F15" s="85">
        <v>0</v>
      </c>
      <c r="G15" s="47">
        <f t="shared" si="4"/>
        <v>4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+'23'!G17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+'23'!G19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2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+'23'!G23</f>
        <v>15</v>
      </c>
      <c r="D23" s="85">
        <v>0</v>
      </c>
      <c r="E23" s="47">
        <f t="shared" si="0"/>
        <v>15</v>
      </c>
      <c r="F23" s="85">
        <v>0</v>
      </c>
      <c r="G23" s="47">
        <f t="shared" si="4"/>
        <v>12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+'23'!G29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+'23'!G37</f>
        <v>15</v>
      </c>
      <c r="D37" s="85">
        <v>0</v>
      </c>
      <c r="E37" s="47">
        <f t="shared" si="0"/>
        <v>15</v>
      </c>
      <c r="F37" s="85">
        <v>0</v>
      </c>
      <c r="G37" s="47">
        <f t="shared" si="4"/>
        <v>12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+'23'!G38</f>
        <v>6</v>
      </c>
      <c r="D38" s="85">
        <v>0</v>
      </c>
      <c r="E38" s="47">
        <f t="shared" si="0"/>
        <v>6</v>
      </c>
      <c r="F38" s="85">
        <v>0</v>
      </c>
      <c r="G38" s="47">
        <f t="shared" si="4"/>
        <v>5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+'23'!G39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6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25</v>
      </c>
      <c r="M39" s="23">
        <f t="shared" si="6"/>
        <v>25</v>
      </c>
    </row>
    <row r="40" spans="1:13" ht="25.5" x14ac:dyDescent="0.55000000000000004">
      <c r="A40" s="10">
        <v>36</v>
      </c>
      <c r="B40" s="19" t="s">
        <v>51</v>
      </c>
      <c r="C40" s="79">
        <f>+'23'!G40</f>
        <v>8</v>
      </c>
      <c r="D40" s="85">
        <v>0</v>
      </c>
      <c r="E40" s="47">
        <f t="shared" si="0"/>
        <v>8</v>
      </c>
      <c r="F40" s="85">
        <v>0</v>
      </c>
      <c r="G40" s="47">
        <f t="shared" si="4"/>
        <v>8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+'23'!G41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+'23'!G43</f>
        <v>14</v>
      </c>
      <c r="D43" s="85">
        <v>0</v>
      </c>
      <c r="E43" s="47">
        <f t="shared" si="0"/>
        <v>14</v>
      </c>
      <c r="F43" s="85">
        <v>0</v>
      </c>
      <c r="G43" s="47">
        <f t="shared" si="4"/>
        <v>13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+'23'!G46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6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+'23'!G47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1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+'23'!G48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2</v>
      </c>
      <c r="D61" s="85">
        <v>0</v>
      </c>
      <c r="E61" s="47">
        <f t="shared" si="0"/>
        <v>2</v>
      </c>
      <c r="F61" s="85">
        <v>0</v>
      </c>
      <c r="G61" s="47">
        <f t="shared" si="4"/>
        <v>2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10</v>
      </c>
      <c r="D66" s="85">
        <v>0</v>
      </c>
      <c r="E66" s="47">
        <f t="shared" si="0"/>
        <v>10</v>
      </c>
      <c r="F66" s="85">
        <v>0</v>
      </c>
      <c r="G66" s="47">
        <f t="shared" si="4"/>
        <v>10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5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12</v>
      </c>
      <c r="D70" s="85">
        <v>0</v>
      </c>
      <c r="E70" s="47">
        <f t="shared" si="0"/>
        <v>12</v>
      </c>
      <c r="F70" s="85">
        <v>0</v>
      </c>
      <c r="G70" s="47">
        <f t="shared" si="4"/>
        <v>11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+'23'!G77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+'23'!G79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1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+'23'!G80</f>
        <v>8</v>
      </c>
      <c r="D80" s="85">
        <v>0</v>
      </c>
      <c r="E80" s="47">
        <f t="shared" si="0"/>
        <v>8</v>
      </c>
      <c r="F80" s="85">
        <v>0</v>
      </c>
      <c r="G80" s="47">
        <f t="shared" si="4"/>
        <v>6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23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+'23'!G85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+'23'!G86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+'23'!G87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+'23'!G88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9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+'23'!G89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+'23'!G102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11"/>
        <v>5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+'23'!G103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+'23'!G125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+'23'!G126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+'23'!G128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+'23'!G161</f>
        <v>9</v>
      </c>
      <c r="D161" s="85">
        <v>0</v>
      </c>
      <c r="E161" s="47">
        <f t="shared" si="13"/>
        <v>9</v>
      </c>
      <c r="F161" s="85">
        <v>0</v>
      </c>
      <c r="G161" s="47">
        <f t="shared" si="11"/>
        <v>8</v>
      </c>
      <c r="H161" s="86">
        <v>1</v>
      </c>
      <c r="I161" s="20">
        <v>90</v>
      </c>
      <c r="J161" s="80">
        <f t="shared" si="12"/>
        <v>90</v>
      </c>
      <c r="K161" s="17" t="s">
        <v>16</v>
      </c>
      <c r="L161" s="18">
        <v>0</v>
      </c>
      <c r="M161" s="23">
        <f t="shared" si="14"/>
        <v>90</v>
      </c>
    </row>
    <row r="162" spans="1:13" ht="25.5" x14ac:dyDescent="0.55000000000000004">
      <c r="A162" s="10">
        <v>158</v>
      </c>
      <c r="B162" s="19" t="s">
        <v>173</v>
      </c>
      <c r="C162" s="79">
        <f>+'23'!G162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+'23'!G163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+'23'!G169</f>
        <v>43</v>
      </c>
      <c r="D169" s="85">
        <v>0</v>
      </c>
      <c r="E169" s="47">
        <f t="shared" si="13"/>
        <v>43</v>
      </c>
      <c r="F169" s="85">
        <v>0</v>
      </c>
      <c r="G169" s="47">
        <f t="shared" si="15"/>
        <v>43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+'23'!G171</f>
        <v>1</v>
      </c>
      <c r="D171" s="85">
        <v>0</v>
      </c>
      <c r="E171" s="47">
        <f t="shared" si="13"/>
        <v>1</v>
      </c>
      <c r="F171" s="85">
        <v>0</v>
      </c>
      <c r="G171" s="47">
        <f t="shared" si="15"/>
        <v>1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+'23'!G189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+'23'!G190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+'23'!G205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+'23'!G206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+'23'!G207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+'23'!G208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+'23'!G209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+'23'!G211</f>
        <v>4</v>
      </c>
      <c r="D211" s="85">
        <v>0</v>
      </c>
      <c r="E211" s="47">
        <f t="shared" si="17"/>
        <v>4</v>
      </c>
      <c r="F211" s="85">
        <v>0</v>
      </c>
      <c r="G211" s="47">
        <f t="shared" si="15"/>
        <v>4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+'23'!G212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+'23'!G223</f>
        <v>26</v>
      </c>
      <c r="D223" s="85">
        <v>0</v>
      </c>
      <c r="E223" s="47">
        <f t="shared" si="17"/>
        <v>26</v>
      </c>
      <c r="F223" s="85">
        <v>0</v>
      </c>
      <c r="G223" s="47">
        <f t="shared" si="15"/>
        <v>26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+'23'!G224</f>
        <v>6</v>
      </c>
      <c r="D224" s="85">
        <v>0</v>
      </c>
      <c r="E224" s="47">
        <f t="shared" si="17"/>
        <v>6</v>
      </c>
      <c r="F224" s="85">
        <v>0</v>
      </c>
      <c r="G224" s="47">
        <f t="shared" si="15"/>
        <v>4</v>
      </c>
      <c r="H224" s="86">
        <v>2</v>
      </c>
      <c r="I224" s="20">
        <v>35</v>
      </c>
      <c r="J224" s="80">
        <f t="shared" si="16"/>
        <v>70</v>
      </c>
      <c r="K224" s="17" t="s">
        <v>16</v>
      </c>
      <c r="L224" s="18">
        <v>0</v>
      </c>
      <c r="M224" s="23">
        <f t="shared" si="18"/>
        <v>70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1855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1880</v>
      </c>
    </row>
    <row r="258" spans="1:15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535</v>
      </c>
      <c r="L259" s="2">
        <v>300</v>
      </c>
      <c r="M259" s="2">
        <v>50</v>
      </c>
      <c r="N259" s="2">
        <v>135</v>
      </c>
      <c r="O259" s="2">
        <v>50</v>
      </c>
    </row>
    <row r="260" spans="1:15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25</v>
      </c>
    </row>
    <row r="263" spans="1:15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1305</v>
      </c>
    </row>
    <row r="264" spans="1:15" ht="25.5" x14ac:dyDescent="0.55000000000000004">
      <c r="A264" s="1"/>
      <c r="E264" s="31"/>
      <c r="G264" s="31"/>
      <c r="I264" s="133" t="s">
        <v>209</v>
      </c>
      <c r="J264" s="134"/>
      <c r="K264" s="37">
        <v>1305</v>
      </c>
    </row>
    <row r="265" spans="1:15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66FF99"/>
  </sheetPr>
  <dimension ref="A1:Z341"/>
  <sheetViews>
    <sheetView zoomScale="115" zoomScaleNormal="115" workbookViewId="0">
      <pane xSplit="7" ySplit="4" topLeftCell="H251" activePane="bottomRight" state="frozen"/>
      <selection activeCell="J224" sqref="J224"/>
      <selection pane="topRight" activeCell="J224" sqref="J224"/>
      <selection pane="bottomLeft" activeCell="J224" sqref="J224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+'24'!G5</f>
        <v>22</v>
      </c>
      <c r="D5" s="85">
        <v>20</v>
      </c>
      <c r="E5" s="47">
        <f t="shared" ref="E5:E125" si="0">C5+D5</f>
        <v>42</v>
      </c>
      <c r="F5" s="85">
        <v>0</v>
      </c>
      <c r="G5" s="47">
        <f>+E5-F5-H5</f>
        <v>42</v>
      </c>
      <c r="H5" s="86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15</v>
      </c>
      <c r="D6" s="85">
        <v>40</v>
      </c>
      <c r="E6" s="47">
        <f t="shared" si="0"/>
        <v>55</v>
      </c>
      <c r="F6" s="85">
        <v>0</v>
      </c>
      <c r="G6" s="47">
        <f t="shared" ref="G6:G100" si="4">+E6-F6-H6</f>
        <v>53</v>
      </c>
      <c r="H6" s="86">
        <v>2</v>
      </c>
      <c r="I6" s="20">
        <v>100</v>
      </c>
      <c r="J6" s="80">
        <f t="shared" ref="J6:J100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3</v>
      </c>
      <c r="D12" s="85">
        <v>5</v>
      </c>
      <c r="E12" s="47">
        <f t="shared" si="0"/>
        <v>8</v>
      </c>
      <c r="F12" s="85">
        <v>0</v>
      </c>
      <c r="G12" s="47">
        <f t="shared" si="4"/>
        <v>8</v>
      </c>
      <c r="H12" s="86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1</v>
      </c>
      <c r="D14" s="85">
        <v>2</v>
      </c>
      <c r="E14" s="47">
        <f t="shared" si="0"/>
        <v>3</v>
      </c>
      <c r="F14" s="85">
        <v>0</v>
      </c>
      <c r="G14" s="47">
        <f t="shared" si="4"/>
        <v>1</v>
      </c>
      <c r="H14" s="86">
        <v>2</v>
      </c>
      <c r="I14" s="15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4</v>
      </c>
      <c r="D15" s="85">
        <v>5</v>
      </c>
      <c r="E15" s="47">
        <f t="shared" si="0"/>
        <v>9</v>
      </c>
      <c r="F15" s="85">
        <v>0</v>
      </c>
      <c r="G15" s="47">
        <f t="shared" si="4"/>
        <v>8</v>
      </c>
      <c r="H15" s="86">
        <v>1</v>
      </c>
      <c r="I15" s="15">
        <v>50</v>
      </c>
      <c r="J15" s="80">
        <f t="shared" si="5"/>
        <v>50</v>
      </c>
      <c r="K15" s="17" t="s">
        <v>16</v>
      </c>
      <c r="L15" s="18">
        <v>25</v>
      </c>
      <c r="M15" s="23">
        <f t="shared" si="6"/>
        <v>25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+'24'!G17</f>
        <v>7</v>
      </c>
      <c r="D17" s="85">
        <v>5</v>
      </c>
      <c r="E17" s="47">
        <f t="shared" si="0"/>
        <v>12</v>
      </c>
      <c r="F17" s="85">
        <v>0</v>
      </c>
      <c r="G17" s="47">
        <f t="shared" si="4"/>
        <v>11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+'24'!G19</f>
        <v>2</v>
      </c>
      <c r="D19" s="85">
        <v>2</v>
      </c>
      <c r="E19" s="47">
        <f t="shared" si="0"/>
        <v>4</v>
      </c>
      <c r="F19" s="85">
        <v>0</v>
      </c>
      <c r="G19" s="47">
        <f t="shared" si="4"/>
        <v>3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+'24'!G23</f>
        <v>12</v>
      </c>
      <c r="D23" s="85">
        <v>15</v>
      </c>
      <c r="E23" s="47">
        <f t="shared" si="0"/>
        <v>27</v>
      </c>
      <c r="F23" s="85">
        <v>0</v>
      </c>
      <c r="G23" s="47">
        <f t="shared" si="4"/>
        <v>25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5">
        <v>3</v>
      </c>
      <c r="E32" s="47">
        <f t="shared" si="0"/>
        <v>3</v>
      </c>
      <c r="F32" s="85">
        <v>0</v>
      </c>
      <c r="G32" s="47">
        <f t="shared" si="4"/>
        <v>2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23">
        <f t="shared" si="6"/>
        <v>130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+'24'!G33</f>
        <v>0</v>
      </c>
      <c r="D33" s="85">
        <v>3</v>
      </c>
      <c r="E33" s="47">
        <f t="shared" si="0"/>
        <v>3</v>
      </c>
      <c r="F33" s="85">
        <v>0</v>
      </c>
      <c r="G33" s="47">
        <f t="shared" si="4"/>
        <v>1</v>
      </c>
      <c r="H33" s="86">
        <v>2</v>
      </c>
      <c r="I33" s="15">
        <v>130</v>
      </c>
      <c r="J33" s="80">
        <f t="shared" si="5"/>
        <v>260</v>
      </c>
      <c r="K33" s="17" t="s">
        <v>16</v>
      </c>
      <c r="L33" s="18">
        <v>0</v>
      </c>
      <c r="M33" s="23">
        <f t="shared" si="6"/>
        <v>260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12</v>
      </c>
      <c r="D37" s="85">
        <v>25</v>
      </c>
      <c r="E37" s="47">
        <f t="shared" si="0"/>
        <v>37</v>
      </c>
      <c r="F37" s="85">
        <v>0</v>
      </c>
      <c r="G37" s="47">
        <f t="shared" si="4"/>
        <v>31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100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5</v>
      </c>
      <c r="D38" s="85">
        <v>8</v>
      </c>
      <c r="E38" s="47">
        <f t="shared" si="0"/>
        <v>13</v>
      </c>
      <c r="F38" s="85">
        <v>0</v>
      </c>
      <c r="G38" s="47">
        <f t="shared" si="4"/>
        <v>9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+'24'!G39</f>
        <v>6</v>
      </c>
      <c r="D39" s="85">
        <v>5</v>
      </c>
      <c r="E39" s="47">
        <f t="shared" si="0"/>
        <v>11</v>
      </c>
      <c r="F39" s="85">
        <v>0</v>
      </c>
      <c r="G39" s="47">
        <f t="shared" si="4"/>
        <v>9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25</v>
      </c>
      <c r="M39" s="23">
        <f t="shared" si="6"/>
        <v>75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8</v>
      </c>
      <c r="D40" s="85">
        <v>5</v>
      </c>
      <c r="E40" s="47">
        <f t="shared" si="0"/>
        <v>13</v>
      </c>
      <c r="F40" s="85">
        <v>0</v>
      </c>
      <c r="G40" s="47">
        <f t="shared" si="4"/>
        <v>9</v>
      </c>
      <c r="H40" s="86">
        <v>4</v>
      </c>
      <c r="I40" s="15">
        <v>50</v>
      </c>
      <c r="J40" s="80">
        <f t="shared" si="5"/>
        <v>200</v>
      </c>
      <c r="K40" s="17" t="s">
        <v>16</v>
      </c>
      <c r="L40" s="18">
        <v>75</v>
      </c>
      <c r="M40" s="23">
        <f t="shared" si="6"/>
        <v>125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5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13</v>
      </c>
      <c r="D43" s="85">
        <v>10</v>
      </c>
      <c r="E43" s="47">
        <f t="shared" si="0"/>
        <v>23</v>
      </c>
      <c r="F43" s="85">
        <v>0</v>
      </c>
      <c r="G43" s="47">
        <f t="shared" si="4"/>
        <v>20</v>
      </c>
      <c r="H43" s="86">
        <v>3</v>
      </c>
      <c r="I43" s="15">
        <v>50</v>
      </c>
      <c r="J43" s="80">
        <f t="shared" si="5"/>
        <v>150</v>
      </c>
      <c r="K43" s="17" t="s">
        <v>16</v>
      </c>
      <c r="L43" s="18">
        <v>0</v>
      </c>
      <c r="M43" s="23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0</v>
      </c>
      <c r="D44" s="85">
        <v>10</v>
      </c>
      <c r="E44" s="47">
        <f t="shared" si="0"/>
        <v>10</v>
      </c>
      <c r="F44" s="85">
        <v>0</v>
      </c>
      <c r="G44" s="47">
        <f t="shared" si="4"/>
        <v>10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+'24'!G46</f>
        <v>6</v>
      </c>
      <c r="D46" s="85">
        <v>15</v>
      </c>
      <c r="E46" s="47">
        <f t="shared" si="0"/>
        <v>21</v>
      </c>
      <c r="F46" s="85">
        <v>0</v>
      </c>
      <c r="G46" s="47">
        <f t="shared" si="4"/>
        <v>20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1</v>
      </c>
      <c r="D47" s="85">
        <v>15</v>
      </c>
      <c r="E47" s="47">
        <f t="shared" si="0"/>
        <v>16</v>
      </c>
      <c r="F47" s="85">
        <v>0</v>
      </c>
      <c r="G47" s="47">
        <f t="shared" si="4"/>
        <v>13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3</v>
      </c>
      <c r="D48" s="85">
        <v>5</v>
      </c>
      <c r="E48" s="47">
        <f t="shared" si="0"/>
        <v>8</v>
      </c>
      <c r="F48" s="85">
        <v>0</v>
      </c>
      <c r="G48" s="47">
        <f t="shared" si="4"/>
        <v>6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0</v>
      </c>
      <c r="D49" s="85">
        <v>5</v>
      </c>
      <c r="E49" s="47">
        <f t="shared" si="0"/>
        <v>5</v>
      </c>
      <c r="F49" s="85">
        <v>0</v>
      </c>
      <c r="G49" s="47">
        <f t="shared" si="4"/>
        <v>5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0</v>
      </c>
      <c r="H50" s="86">
        <v>2</v>
      </c>
      <c r="I50" s="15">
        <v>120</v>
      </c>
      <c r="J50" s="80">
        <f t="shared" si="5"/>
        <v>240</v>
      </c>
      <c r="K50" s="17" t="s">
        <v>16</v>
      </c>
      <c r="L50" s="18">
        <v>20</v>
      </c>
      <c r="M50" s="23">
        <f t="shared" si="6"/>
        <v>220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5">
        <v>2</v>
      </c>
      <c r="E51" s="47">
        <f t="shared" si="0"/>
        <v>2</v>
      </c>
      <c r="F51" s="85">
        <v>0</v>
      </c>
      <c r="G51" s="47">
        <f t="shared" si="4"/>
        <v>1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20</v>
      </c>
      <c r="M51" s="23">
        <f t="shared" si="6"/>
        <v>100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1</v>
      </c>
      <c r="H52" s="86">
        <v>1</v>
      </c>
      <c r="I52" s="21">
        <v>120</v>
      </c>
      <c r="J52" s="80">
        <f t="shared" si="5"/>
        <v>120</v>
      </c>
      <c r="K52" s="17" t="s">
        <v>16</v>
      </c>
      <c r="L52" s="18">
        <v>20</v>
      </c>
      <c r="M52" s="23">
        <f t="shared" si="6"/>
        <v>100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0</v>
      </c>
      <c r="D55" s="85">
        <v>4</v>
      </c>
      <c r="E55" s="47">
        <f t="shared" si="0"/>
        <v>4</v>
      </c>
      <c r="F55" s="85">
        <v>0</v>
      </c>
      <c r="G55" s="47">
        <f t="shared" si="4"/>
        <v>3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20</v>
      </c>
      <c r="M55" s="23">
        <f t="shared" si="6"/>
        <v>100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2</v>
      </c>
      <c r="D61" s="85">
        <v>3</v>
      </c>
      <c r="E61" s="47">
        <f t="shared" si="0"/>
        <v>5</v>
      </c>
      <c r="F61" s="85">
        <v>0</v>
      </c>
      <c r="G61" s="47">
        <f t="shared" si="4"/>
        <v>3</v>
      </c>
      <c r="H61" s="86">
        <v>2</v>
      </c>
      <c r="I61" s="15">
        <v>50</v>
      </c>
      <c r="J61" s="80">
        <f t="shared" si="5"/>
        <v>100</v>
      </c>
      <c r="K61" s="17" t="s">
        <v>16</v>
      </c>
      <c r="L61" s="18">
        <v>0</v>
      </c>
      <c r="M61" s="23">
        <f t="shared" si="6"/>
        <v>100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1</v>
      </c>
      <c r="D63" s="85">
        <v>3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10</v>
      </c>
      <c r="D66" s="85">
        <v>0</v>
      </c>
      <c r="E66" s="47">
        <f t="shared" si="0"/>
        <v>10</v>
      </c>
      <c r="F66" s="85">
        <v>0</v>
      </c>
      <c r="G66" s="47">
        <f t="shared" si="4"/>
        <v>6</v>
      </c>
      <c r="H66" s="86">
        <v>4</v>
      </c>
      <c r="I66" s="15">
        <v>50</v>
      </c>
      <c r="J66" s="80">
        <f t="shared" si="5"/>
        <v>200</v>
      </c>
      <c r="K66" s="17" t="s">
        <v>16</v>
      </c>
      <c r="L66" s="18">
        <v>50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5</v>
      </c>
      <c r="D67" s="85">
        <v>5</v>
      </c>
      <c r="E67" s="47">
        <f t="shared" si="0"/>
        <v>10</v>
      </c>
      <c r="F67" s="85">
        <v>1</v>
      </c>
      <c r="G67" s="47">
        <f t="shared" si="4"/>
        <v>6</v>
      </c>
      <c r="H67" s="86">
        <v>3</v>
      </c>
      <c r="I67" s="15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11</v>
      </c>
      <c r="D70" s="85">
        <v>10</v>
      </c>
      <c r="E70" s="47">
        <f t="shared" si="0"/>
        <v>21</v>
      </c>
      <c r="F70" s="85">
        <v>0</v>
      </c>
      <c r="G70" s="47">
        <f t="shared" si="4"/>
        <v>18</v>
      </c>
      <c r="H70" s="86">
        <v>3</v>
      </c>
      <c r="I70" s="20">
        <v>50</v>
      </c>
      <c r="J70" s="80">
        <f t="shared" si="5"/>
        <v>150</v>
      </c>
      <c r="K70" s="17" t="s">
        <v>16</v>
      </c>
      <c r="L70" s="18">
        <v>25</v>
      </c>
      <c r="M70" s="23">
        <f t="shared" ref="M70:M134" si="10">SUM(J70-L70)</f>
        <v>125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2</v>
      </c>
      <c r="D71" s="85">
        <v>2</v>
      </c>
      <c r="E71" s="47">
        <f t="shared" si="0"/>
        <v>4</v>
      </c>
      <c r="F71" s="85">
        <v>0</v>
      </c>
      <c r="G71" s="47">
        <f t="shared" si="4"/>
        <v>4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0</v>
      </c>
      <c r="D73" s="85">
        <v>8</v>
      </c>
      <c r="E73" s="47">
        <f t="shared" si="0"/>
        <v>8</v>
      </c>
      <c r="F73" s="85">
        <v>0</v>
      </c>
      <c r="G73" s="47">
        <f t="shared" si="4"/>
        <v>7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1</v>
      </c>
      <c r="D74" s="85">
        <v>8</v>
      </c>
      <c r="E74" s="47">
        <f t="shared" si="0"/>
        <v>9</v>
      </c>
      <c r="F74" s="85">
        <v>0</v>
      </c>
      <c r="G74" s="47">
        <f t="shared" si="4"/>
        <v>7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+'24'!G77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+'24'!G79</f>
        <v>1</v>
      </c>
      <c r="D79" s="85">
        <v>2</v>
      </c>
      <c r="E79" s="47">
        <f>C79+D79</f>
        <v>3</v>
      </c>
      <c r="F79" s="85">
        <v>0</v>
      </c>
      <c r="G79" s="47">
        <f>+E79-F79-H79</f>
        <v>2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+'24'!G80</f>
        <v>6</v>
      </c>
      <c r="D80" s="85">
        <v>10</v>
      </c>
      <c r="E80" s="47">
        <f t="shared" si="0"/>
        <v>16</v>
      </c>
      <c r="F80" s="85">
        <v>0</v>
      </c>
      <c r="G80" s="47">
        <f t="shared" si="4"/>
        <v>13</v>
      </c>
      <c r="H80" s="86">
        <v>3</v>
      </c>
      <c r="I80" s="22">
        <v>50</v>
      </c>
      <c r="J80" s="80">
        <f t="shared" si="5"/>
        <v>150</v>
      </c>
      <c r="K80" s="17" t="s">
        <v>16</v>
      </c>
      <c r="L80" s="18">
        <v>0</v>
      </c>
      <c r="M80" s="23">
        <f t="shared" si="10"/>
        <v>150</v>
      </c>
    </row>
    <row r="81" spans="1:13" ht="25.5" x14ac:dyDescent="0.55000000000000004">
      <c r="A81" s="10">
        <v>77</v>
      </c>
      <c r="B81" s="19" t="s">
        <v>91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+'24'!G85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+'24'!G86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+'24'!G87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+'24'!G88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9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+'24'!G89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8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v>3</v>
      </c>
      <c r="D91" s="85">
        <v>3</v>
      </c>
      <c r="E91" s="47">
        <f t="shared" si="0"/>
        <v>6</v>
      </c>
      <c r="F91" s="85">
        <v>0</v>
      </c>
      <c r="G91" s="47">
        <f t="shared" si="4"/>
        <v>3</v>
      </c>
      <c r="H91" s="86">
        <v>3</v>
      </c>
      <c r="I91" s="20">
        <v>50</v>
      </c>
      <c r="J91" s="80">
        <f t="shared" si="5"/>
        <v>150</v>
      </c>
      <c r="K91" s="17" t="s">
        <v>16</v>
      </c>
      <c r="L91" s="18">
        <v>50</v>
      </c>
      <c r="M91" s="23">
        <f t="shared" si="10"/>
        <v>100</v>
      </c>
    </row>
    <row r="92" spans="1:13" ht="25.5" x14ac:dyDescent="0.55000000000000004">
      <c r="A92" s="10">
        <v>88</v>
      </c>
      <c r="B92" s="19" t="s">
        <v>102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+'24'!G102</f>
        <v>5</v>
      </c>
      <c r="D102" s="85">
        <v>0</v>
      </c>
      <c r="E102" s="47">
        <f t="shared" si="0"/>
        <v>5</v>
      </c>
      <c r="F102" s="85">
        <v>0</v>
      </c>
      <c r="G102" s="47">
        <f t="shared" si="11"/>
        <v>5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+'24'!G103</f>
        <v>1</v>
      </c>
      <c r="D103" s="85">
        <v>5</v>
      </c>
      <c r="E103" s="47">
        <f t="shared" si="0"/>
        <v>6</v>
      </c>
      <c r="F103" s="85">
        <v>0</v>
      </c>
      <c r="G103" s="47">
        <f t="shared" si="11"/>
        <v>6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+'24'!G125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+'24'!G126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+'24'!G128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+'24'!G161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+'24'!G162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+'24'!G163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+'24'!G169</f>
        <v>43</v>
      </c>
      <c r="D169" s="85">
        <v>0</v>
      </c>
      <c r="E169" s="47">
        <f t="shared" si="13"/>
        <v>43</v>
      </c>
      <c r="F169" s="85">
        <v>0</v>
      </c>
      <c r="G169" s="47">
        <f t="shared" si="15"/>
        <v>43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+'24'!G171</f>
        <v>1</v>
      </c>
      <c r="D171" s="85">
        <v>0</v>
      </c>
      <c r="E171" s="47">
        <f t="shared" si="13"/>
        <v>1</v>
      </c>
      <c r="F171" s="85">
        <v>0</v>
      </c>
      <c r="G171" s="47">
        <f t="shared" si="15"/>
        <v>0</v>
      </c>
      <c r="H171" s="86">
        <v>1</v>
      </c>
      <c r="I171" s="20">
        <v>80</v>
      </c>
      <c r="J171" s="80">
        <f t="shared" si="16"/>
        <v>80</v>
      </c>
      <c r="K171" s="17" t="s">
        <v>16</v>
      </c>
      <c r="L171" s="18">
        <v>0</v>
      </c>
      <c r="M171" s="23">
        <f t="shared" si="14"/>
        <v>80</v>
      </c>
    </row>
    <row r="172" spans="1:13" ht="25.5" x14ac:dyDescent="0.55000000000000004">
      <c r="A172" s="10">
        <v>168</v>
      </c>
      <c r="B172" s="19" t="s">
        <v>183</v>
      </c>
      <c r="C172" s="79">
        <f>+'24'!G172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+'24'!G177</f>
        <v>0</v>
      </c>
      <c r="D177" s="85">
        <v>5</v>
      </c>
      <c r="E177" s="47">
        <f t="shared" si="13"/>
        <v>5</v>
      </c>
      <c r="F177" s="85">
        <v>0</v>
      </c>
      <c r="G177" s="47">
        <f t="shared" si="15"/>
        <v>2</v>
      </c>
      <c r="H177" s="86">
        <v>3</v>
      </c>
      <c r="I177" s="20">
        <v>50</v>
      </c>
      <c r="J177" s="80">
        <f t="shared" si="16"/>
        <v>150</v>
      </c>
      <c r="K177" s="17" t="s">
        <v>16</v>
      </c>
      <c r="L177" s="18">
        <v>0</v>
      </c>
      <c r="M177" s="23">
        <f t="shared" si="14"/>
        <v>150</v>
      </c>
    </row>
    <row r="178" spans="1:13" ht="25.5" x14ac:dyDescent="0.55000000000000004">
      <c r="A178" s="10">
        <v>174</v>
      </c>
      <c r="B178" s="19" t="s">
        <v>189</v>
      </c>
      <c r="C178" s="79">
        <f>+'24'!G178</f>
        <v>0</v>
      </c>
      <c r="D178" s="85">
        <v>8</v>
      </c>
      <c r="E178" s="47">
        <f t="shared" si="13"/>
        <v>8</v>
      </c>
      <c r="F178" s="85">
        <v>0</v>
      </c>
      <c r="G178" s="47">
        <f t="shared" si="15"/>
        <v>8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+'24'!G179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+'24'!G189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+'24'!G190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+'24'!G205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+'24'!G206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+'24'!G207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+'24'!G208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+'24'!G209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+'24'!G211</f>
        <v>4</v>
      </c>
      <c r="D211" s="85">
        <v>10</v>
      </c>
      <c r="E211" s="47">
        <f t="shared" si="17"/>
        <v>14</v>
      </c>
      <c r="F211" s="85">
        <v>0</v>
      </c>
      <c r="G211" s="47">
        <f t="shared" si="15"/>
        <v>5</v>
      </c>
      <c r="H211" s="86">
        <v>9</v>
      </c>
      <c r="I211" s="20">
        <v>35</v>
      </c>
      <c r="J211" s="80">
        <f t="shared" si="16"/>
        <v>315</v>
      </c>
      <c r="K211" s="17" t="s">
        <v>16</v>
      </c>
      <c r="L211" s="18">
        <v>0</v>
      </c>
      <c r="M211" s="23">
        <f t="shared" si="18"/>
        <v>315</v>
      </c>
    </row>
    <row r="212" spans="1:13" ht="25.5" x14ac:dyDescent="0.55000000000000004">
      <c r="A212" s="10">
        <v>208</v>
      </c>
      <c r="B212" s="11" t="s">
        <v>245</v>
      </c>
      <c r="C212" s="79">
        <f>+'24'!G212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+'24'!G217</f>
        <v>0</v>
      </c>
      <c r="D217" s="85">
        <v>5</v>
      </c>
      <c r="E217" s="47">
        <f t="shared" si="17"/>
        <v>5</v>
      </c>
      <c r="F217" s="85">
        <v>0</v>
      </c>
      <c r="G217" s="47">
        <f t="shared" si="15"/>
        <v>5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+'24'!G218</f>
        <v>0</v>
      </c>
      <c r="D218" s="85">
        <v>5</v>
      </c>
      <c r="E218" s="47">
        <f t="shared" si="17"/>
        <v>5</v>
      </c>
      <c r="F218" s="85">
        <v>0</v>
      </c>
      <c r="G218" s="47">
        <f t="shared" si="15"/>
        <v>3</v>
      </c>
      <c r="H218" s="86">
        <v>2</v>
      </c>
      <c r="I218" s="20">
        <v>25</v>
      </c>
      <c r="J218" s="80">
        <f t="shared" si="16"/>
        <v>50</v>
      </c>
      <c r="K218" s="17" t="s">
        <v>16</v>
      </c>
      <c r="L218" s="18">
        <v>0</v>
      </c>
      <c r="M218" s="23">
        <f t="shared" si="18"/>
        <v>50</v>
      </c>
    </row>
    <row r="219" spans="1:13" ht="25.5" x14ac:dyDescent="0.55000000000000004">
      <c r="A219" s="10">
        <v>215</v>
      </c>
      <c r="B219" s="11" t="s">
        <v>273</v>
      </c>
      <c r="C219" s="79">
        <f>+'24'!G219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+'24'!G220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+'24'!G223</f>
        <v>26</v>
      </c>
      <c r="D223" s="85">
        <v>0</v>
      </c>
      <c r="E223" s="47">
        <f t="shared" si="17"/>
        <v>26</v>
      </c>
      <c r="F223" s="85">
        <v>0</v>
      </c>
      <c r="G223" s="47">
        <f t="shared" si="15"/>
        <v>23</v>
      </c>
      <c r="H223" s="86">
        <v>3</v>
      </c>
      <c r="I223" s="20">
        <v>40</v>
      </c>
      <c r="J223" s="80">
        <f t="shared" si="16"/>
        <v>120</v>
      </c>
      <c r="K223" s="17" t="s">
        <v>16</v>
      </c>
      <c r="L223" s="18">
        <v>0</v>
      </c>
      <c r="M223" s="23">
        <f t="shared" si="18"/>
        <v>120</v>
      </c>
    </row>
    <row r="224" spans="1:13" ht="25.5" x14ac:dyDescent="0.55000000000000004">
      <c r="A224" s="10">
        <v>220</v>
      </c>
      <c r="B224" s="11" t="s">
        <v>311</v>
      </c>
      <c r="C224" s="79">
        <f>+'24'!G224</f>
        <v>4</v>
      </c>
      <c r="D224" s="85">
        <v>0</v>
      </c>
      <c r="E224" s="47">
        <f t="shared" si="17"/>
        <v>4</v>
      </c>
      <c r="F224" s="85">
        <v>0</v>
      </c>
      <c r="G224" s="47">
        <f t="shared" si="15"/>
        <v>3</v>
      </c>
      <c r="H224" s="86">
        <v>1</v>
      </c>
      <c r="I224" s="20">
        <v>35</v>
      </c>
      <c r="J224" s="80">
        <f t="shared" si="16"/>
        <v>35</v>
      </c>
      <c r="K224" s="17" t="s">
        <v>16</v>
      </c>
      <c r="L224" s="18">
        <v>0</v>
      </c>
      <c r="M224" s="23">
        <f t="shared" si="18"/>
        <v>35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4940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5370</v>
      </c>
    </row>
    <row r="258" spans="1:17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2010</v>
      </c>
      <c r="L259" s="2">
        <v>85</v>
      </c>
      <c r="M259" s="2">
        <v>475</v>
      </c>
      <c r="N259" s="2">
        <v>35</v>
      </c>
      <c r="O259" s="2">
        <v>300</v>
      </c>
      <c r="P259" s="2">
        <v>1015</v>
      </c>
      <c r="Q259" s="2">
        <v>100</v>
      </c>
    </row>
    <row r="260" spans="1:17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430</v>
      </c>
    </row>
    <row r="263" spans="1:17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2915</v>
      </c>
    </row>
    <row r="264" spans="1:17" ht="25.5" x14ac:dyDescent="0.55000000000000004">
      <c r="A264" s="1"/>
      <c r="E264" s="31"/>
      <c r="G264" s="31"/>
      <c r="I264" s="133" t="s">
        <v>209</v>
      </c>
      <c r="J264" s="134"/>
      <c r="K264" s="37">
        <v>2915</v>
      </c>
    </row>
    <row r="265" spans="1:17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66FF99"/>
  </sheetPr>
  <dimension ref="A1:Z341"/>
  <sheetViews>
    <sheetView zoomScale="115" zoomScaleNormal="115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N120" sqref="N1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+'25'!G5</f>
        <v>42</v>
      </c>
      <c r="D5" s="85">
        <v>0</v>
      </c>
      <c r="E5" s="47">
        <f t="shared" ref="E5:E125" si="0">C5+D5</f>
        <v>42</v>
      </c>
      <c r="F5" s="85">
        <v>0</v>
      </c>
      <c r="G5" s="47">
        <f>+E5-F5-H5</f>
        <v>40</v>
      </c>
      <c r="H5" s="86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102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53</v>
      </c>
      <c r="D6" s="85">
        <v>0</v>
      </c>
      <c r="E6" s="47">
        <f t="shared" si="0"/>
        <v>53</v>
      </c>
      <c r="F6" s="85">
        <v>0</v>
      </c>
      <c r="G6" s="47">
        <f t="shared" ref="G6:G100" si="4">+E6-F6-H6</f>
        <v>49</v>
      </c>
      <c r="H6" s="86">
        <v>4</v>
      </c>
      <c r="I6" s="20">
        <v>100</v>
      </c>
      <c r="J6" s="80">
        <f t="shared" ref="J6:J100" si="5">+I6*H6</f>
        <v>400</v>
      </c>
      <c r="K6" s="17" t="s">
        <v>16</v>
      </c>
      <c r="L6" s="18">
        <v>0</v>
      </c>
      <c r="M6" s="102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4</v>
      </c>
      <c r="H12" s="86">
        <v>4</v>
      </c>
      <c r="I12" s="15">
        <v>50</v>
      </c>
      <c r="J12" s="80">
        <f t="shared" si="5"/>
        <v>200</v>
      </c>
      <c r="K12" s="17" t="s">
        <v>16</v>
      </c>
      <c r="L12" s="18">
        <v>0</v>
      </c>
      <c r="M12" s="102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0</v>
      </c>
      <c r="H14" s="86">
        <v>1</v>
      </c>
      <c r="I14" s="15">
        <v>65</v>
      </c>
      <c r="J14" s="80">
        <f t="shared" si="5"/>
        <v>65</v>
      </c>
      <c r="K14" s="17" t="s">
        <v>16</v>
      </c>
      <c r="L14" s="18">
        <v>0</v>
      </c>
      <c r="M14" s="102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8</v>
      </c>
      <c r="D15" s="85">
        <v>0</v>
      </c>
      <c r="E15" s="47">
        <f t="shared" si="0"/>
        <v>8</v>
      </c>
      <c r="F15" s="85">
        <v>0</v>
      </c>
      <c r="G15" s="47">
        <f t="shared" si="4"/>
        <v>8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+'25'!G17</f>
        <v>11</v>
      </c>
      <c r="D17" s="85">
        <v>0</v>
      </c>
      <c r="E17" s="47">
        <f t="shared" si="0"/>
        <v>11</v>
      </c>
      <c r="F17" s="85">
        <v>0</v>
      </c>
      <c r="G17" s="47">
        <f t="shared" si="4"/>
        <v>11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+'25'!G19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3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102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+'25'!G23</f>
        <v>25</v>
      </c>
      <c r="D23" s="85">
        <v>0</v>
      </c>
      <c r="E23" s="47">
        <f t="shared" si="0"/>
        <v>25</v>
      </c>
      <c r="F23" s="85">
        <v>0</v>
      </c>
      <c r="G23" s="47">
        <f t="shared" si="4"/>
        <v>22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102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2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+'25'!G33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1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+'25'!G37</f>
        <v>31</v>
      </c>
      <c r="D37" s="85">
        <v>0</v>
      </c>
      <c r="E37" s="47">
        <f t="shared" si="0"/>
        <v>31</v>
      </c>
      <c r="F37" s="85">
        <v>0</v>
      </c>
      <c r="G37" s="47">
        <f t="shared" si="4"/>
        <v>23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0</v>
      </c>
      <c r="M37" s="102">
        <f t="shared" si="6"/>
        <v>800</v>
      </c>
    </row>
    <row r="38" spans="1:13" ht="25.5" x14ac:dyDescent="0.55000000000000004">
      <c r="A38" s="10">
        <v>34</v>
      </c>
      <c r="B38" s="19" t="s">
        <v>49</v>
      </c>
      <c r="C38" s="79">
        <f>+'25'!G38</f>
        <v>9</v>
      </c>
      <c r="D38" s="85">
        <v>0</v>
      </c>
      <c r="E38" s="47">
        <f t="shared" si="0"/>
        <v>9</v>
      </c>
      <c r="F38" s="85">
        <v>0</v>
      </c>
      <c r="G38" s="47">
        <f t="shared" si="4"/>
        <v>7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102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+'25'!G39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7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102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+'25'!G40</f>
        <v>9</v>
      </c>
      <c r="D40" s="85">
        <v>0</v>
      </c>
      <c r="E40" s="47">
        <f t="shared" si="0"/>
        <v>9</v>
      </c>
      <c r="F40" s="85">
        <v>0</v>
      </c>
      <c r="G40" s="47">
        <f t="shared" si="4"/>
        <v>8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102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+'25'!G41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+'25'!G43</f>
        <v>20</v>
      </c>
      <c r="D43" s="85">
        <v>0</v>
      </c>
      <c r="E43" s="47">
        <f t="shared" si="0"/>
        <v>20</v>
      </c>
      <c r="F43" s="85">
        <v>0</v>
      </c>
      <c r="G43" s="47">
        <f t="shared" si="4"/>
        <v>19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2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+'25'!G44</f>
        <v>10</v>
      </c>
      <c r="D44" s="85">
        <v>0</v>
      </c>
      <c r="E44" s="47">
        <f t="shared" si="0"/>
        <v>10</v>
      </c>
      <c r="F44" s="85">
        <v>0</v>
      </c>
      <c r="G44" s="47">
        <f t="shared" si="4"/>
        <v>6</v>
      </c>
      <c r="H44" s="86">
        <v>4</v>
      </c>
      <c r="I44" s="15">
        <v>50</v>
      </c>
      <c r="J44" s="80">
        <f t="shared" si="5"/>
        <v>200</v>
      </c>
      <c r="K44" s="17" t="s">
        <v>16</v>
      </c>
      <c r="L44" s="18">
        <v>50</v>
      </c>
      <c r="M44" s="102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+'25'!G46</f>
        <v>20</v>
      </c>
      <c r="D46" s="85">
        <v>0</v>
      </c>
      <c r="E46" s="47">
        <f t="shared" si="0"/>
        <v>20</v>
      </c>
      <c r="F46" s="85">
        <v>0</v>
      </c>
      <c r="G46" s="47">
        <f t="shared" si="4"/>
        <v>18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102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+'25'!G47</f>
        <v>13</v>
      </c>
      <c r="D47" s="85">
        <v>0</v>
      </c>
      <c r="E47" s="47">
        <f t="shared" si="0"/>
        <v>13</v>
      </c>
      <c r="F47" s="85">
        <v>0</v>
      </c>
      <c r="G47" s="47">
        <f t="shared" si="4"/>
        <v>13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+'25'!G48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4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102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+'25'!G49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3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0</v>
      </c>
      <c r="M49" s="102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3</v>
      </c>
      <c r="D61" s="85">
        <v>0</v>
      </c>
      <c r="E61" s="47">
        <f t="shared" si="0"/>
        <v>3</v>
      </c>
      <c r="F61" s="85">
        <v>0</v>
      </c>
      <c r="G61" s="47">
        <f t="shared" si="4"/>
        <v>3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+'25'!G66</f>
        <v>6</v>
      </c>
      <c r="D66" s="85">
        <v>0</v>
      </c>
      <c r="E66" s="47">
        <f t="shared" si="0"/>
        <v>6</v>
      </c>
      <c r="F66" s="85">
        <v>0</v>
      </c>
      <c r="G66" s="47">
        <f t="shared" si="4"/>
        <v>3</v>
      </c>
      <c r="H66" s="86">
        <v>3</v>
      </c>
      <c r="I66" s="15">
        <v>50</v>
      </c>
      <c r="J66" s="80">
        <f t="shared" si="5"/>
        <v>150</v>
      </c>
      <c r="K66" s="17" t="s">
        <v>16</v>
      </c>
      <c r="L66" s="18">
        <v>0</v>
      </c>
      <c r="M66" s="102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+'25'!G67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18</v>
      </c>
      <c r="D70" s="85">
        <v>0</v>
      </c>
      <c r="E70" s="47">
        <f t="shared" si="0"/>
        <v>18</v>
      </c>
      <c r="F70" s="85">
        <v>0</v>
      </c>
      <c r="G70" s="47">
        <f t="shared" si="4"/>
        <v>18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4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7</v>
      </c>
      <c r="D73" s="85">
        <v>0</v>
      </c>
      <c r="E73" s="47">
        <f t="shared" si="0"/>
        <v>7</v>
      </c>
      <c r="F73" s="85">
        <v>0</v>
      </c>
      <c r="G73" s="47">
        <f t="shared" si="4"/>
        <v>4</v>
      </c>
      <c r="H73" s="86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102">
        <f t="shared" si="10"/>
        <v>180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7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+'25'!G77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+'25'!G79</f>
        <v>2</v>
      </c>
      <c r="D79" s="85">
        <v>0</v>
      </c>
      <c r="E79" s="47">
        <f>C79+D79</f>
        <v>2</v>
      </c>
      <c r="F79" s="85">
        <v>0</v>
      </c>
      <c r="G79" s="47">
        <f>+E79-F79-H79</f>
        <v>1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102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+'25'!G80</f>
        <v>13</v>
      </c>
      <c r="D80" s="85">
        <v>0</v>
      </c>
      <c r="E80" s="47">
        <f t="shared" si="0"/>
        <v>13</v>
      </c>
      <c r="F80" s="85">
        <v>0</v>
      </c>
      <c r="G80" s="47">
        <f t="shared" si="4"/>
        <v>11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0</v>
      </c>
      <c r="M80" s="102">
        <f t="shared" si="10"/>
        <v>100</v>
      </c>
    </row>
    <row r="81" spans="1:13" ht="25.5" x14ac:dyDescent="0.55000000000000004">
      <c r="A81" s="10">
        <v>77</v>
      </c>
      <c r="B81" s="19" t="s">
        <v>91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+'25'!G85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+'25'!G86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+'25'!G87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+'25'!G88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9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+'25'!G89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+'25'!G91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3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+'25'!G102</f>
        <v>5</v>
      </c>
      <c r="D102" s="85">
        <v>0</v>
      </c>
      <c r="E102" s="47">
        <f t="shared" si="0"/>
        <v>5</v>
      </c>
      <c r="F102" s="85">
        <v>0</v>
      </c>
      <c r="G102" s="47">
        <f t="shared" si="11"/>
        <v>5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+'25'!G103</f>
        <v>6</v>
      </c>
      <c r="D103" s="85">
        <v>0</v>
      </c>
      <c r="E103" s="47">
        <f t="shared" si="0"/>
        <v>6</v>
      </c>
      <c r="F103" s="85">
        <v>0</v>
      </c>
      <c r="G103" s="47">
        <f t="shared" si="11"/>
        <v>3</v>
      </c>
      <c r="H103" s="86">
        <v>3</v>
      </c>
      <c r="I103" s="20">
        <v>50</v>
      </c>
      <c r="J103" s="80">
        <f t="shared" si="12"/>
        <v>150</v>
      </c>
      <c r="K103" s="17" t="s">
        <v>16</v>
      </c>
      <c r="L103" s="18">
        <v>0</v>
      </c>
      <c r="M103" s="102">
        <f t="shared" si="10"/>
        <v>150</v>
      </c>
    </row>
    <row r="104" spans="1:13" ht="25.5" x14ac:dyDescent="0.55000000000000004">
      <c r="A104" s="10">
        <v>100</v>
      </c>
      <c r="B104" s="19" t="s">
        <v>114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+'25'!G125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+'25'!G126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+'25'!G128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+'25'!G161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+'25'!G162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+'25'!G163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+'25'!G169</f>
        <v>43</v>
      </c>
      <c r="D169" s="85">
        <v>0</v>
      </c>
      <c r="E169" s="47">
        <f t="shared" si="13"/>
        <v>43</v>
      </c>
      <c r="F169" s="85">
        <v>0</v>
      </c>
      <c r="G169" s="47">
        <f t="shared" si="15"/>
        <v>41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102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+'25'!G170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+'25'!G177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2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+'25'!G178</f>
        <v>8</v>
      </c>
      <c r="D178" s="85">
        <v>0</v>
      </c>
      <c r="E178" s="47">
        <f t="shared" si="13"/>
        <v>8</v>
      </c>
      <c r="F178" s="85">
        <v>0</v>
      </c>
      <c r="G178" s="47">
        <f t="shared" si="15"/>
        <v>8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+'25'!G189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+'25'!G190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+'25'!G205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+'25'!G206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+'25'!G207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+'25'!G208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+'25'!G209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+'25'!G211</f>
        <v>5</v>
      </c>
      <c r="D211" s="85">
        <v>0</v>
      </c>
      <c r="E211" s="47">
        <f t="shared" si="17"/>
        <v>5</v>
      </c>
      <c r="F211" s="85">
        <v>0</v>
      </c>
      <c r="G211" s="47">
        <f t="shared" si="15"/>
        <v>5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+'25'!G212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+'25'!G217</f>
        <v>5</v>
      </c>
      <c r="D217" s="85">
        <v>0</v>
      </c>
      <c r="E217" s="47">
        <f t="shared" si="17"/>
        <v>5</v>
      </c>
      <c r="F217" s="85">
        <v>0</v>
      </c>
      <c r="G217" s="47">
        <f t="shared" si="15"/>
        <v>4</v>
      </c>
      <c r="H217" s="86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102">
        <f t="shared" si="18"/>
        <v>25</v>
      </c>
    </row>
    <row r="218" spans="1:13" ht="25.5" x14ac:dyDescent="0.55000000000000004">
      <c r="A218" s="10">
        <v>214</v>
      </c>
      <c r="B218" s="11" t="s">
        <v>272</v>
      </c>
      <c r="C218" s="79">
        <f>+'25'!G218</f>
        <v>3</v>
      </c>
      <c r="D218" s="85">
        <v>0</v>
      </c>
      <c r="E218" s="47">
        <f t="shared" si="17"/>
        <v>3</v>
      </c>
      <c r="F218" s="85">
        <v>0</v>
      </c>
      <c r="G218" s="47">
        <f t="shared" si="15"/>
        <v>0</v>
      </c>
      <c r="H218" s="86">
        <v>3</v>
      </c>
      <c r="I218" s="20">
        <v>25</v>
      </c>
      <c r="J218" s="80">
        <f t="shared" si="16"/>
        <v>75</v>
      </c>
      <c r="K218" s="17" t="s">
        <v>16</v>
      </c>
      <c r="L218" s="18">
        <v>0</v>
      </c>
      <c r="M218" s="102">
        <f t="shared" si="18"/>
        <v>75</v>
      </c>
    </row>
    <row r="219" spans="1:13" ht="25.5" x14ac:dyDescent="0.55000000000000004">
      <c r="A219" s="10">
        <v>215</v>
      </c>
      <c r="B219" s="11" t="s">
        <v>273</v>
      </c>
      <c r="C219" s="79">
        <f>+'25'!G219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+'25'!G223</f>
        <v>23</v>
      </c>
      <c r="D223" s="85">
        <v>0</v>
      </c>
      <c r="E223" s="47">
        <f t="shared" si="17"/>
        <v>23</v>
      </c>
      <c r="F223" s="85">
        <v>0</v>
      </c>
      <c r="G223" s="47">
        <f t="shared" si="15"/>
        <v>22</v>
      </c>
      <c r="H223" s="86">
        <v>1</v>
      </c>
      <c r="I223" s="20">
        <v>40</v>
      </c>
      <c r="J223" s="80">
        <f t="shared" si="16"/>
        <v>40</v>
      </c>
      <c r="K223" s="17" t="s">
        <v>16</v>
      </c>
      <c r="L223" s="18">
        <v>0</v>
      </c>
      <c r="M223" s="102">
        <f t="shared" si="18"/>
        <v>40</v>
      </c>
    </row>
    <row r="224" spans="1:13" ht="25.5" x14ac:dyDescent="0.55000000000000004">
      <c r="A224" s="10">
        <v>220</v>
      </c>
      <c r="B224" s="11" t="s">
        <v>311</v>
      </c>
      <c r="C224" s="79">
        <f>+'25'!G224</f>
        <v>3</v>
      </c>
      <c r="D224" s="85">
        <v>0</v>
      </c>
      <c r="E224" s="47">
        <f t="shared" si="17"/>
        <v>3</v>
      </c>
      <c r="F224" s="85">
        <v>0</v>
      </c>
      <c r="G224" s="47">
        <f t="shared" si="15"/>
        <v>3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3580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3630</v>
      </c>
    </row>
    <row r="258" spans="1:18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1150</v>
      </c>
      <c r="L259" s="2">
        <v>150</v>
      </c>
      <c r="M259" s="2">
        <v>100</v>
      </c>
      <c r="N259" s="2">
        <v>175</v>
      </c>
      <c r="O259" s="2">
        <v>365</v>
      </c>
      <c r="P259" s="2">
        <v>100</v>
      </c>
      <c r="Q259" s="2">
        <v>160</v>
      </c>
      <c r="R259" s="2">
        <v>100</v>
      </c>
    </row>
    <row r="260" spans="1:18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8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8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50</v>
      </c>
    </row>
    <row r="263" spans="1:18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2415</v>
      </c>
    </row>
    <row r="264" spans="1:18" ht="25.5" x14ac:dyDescent="0.55000000000000004">
      <c r="A264" s="1"/>
      <c r="E264" s="31"/>
      <c r="G264" s="31"/>
      <c r="I264" s="133" t="s">
        <v>209</v>
      </c>
      <c r="J264" s="134"/>
      <c r="K264" s="37">
        <v>2415</v>
      </c>
    </row>
    <row r="265" spans="1:18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8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8" x14ac:dyDescent="0.5">
      <c r="G267" s="2"/>
      <c r="I267" s="2"/>
    </row>
    <row r="268" spans="1:18" x14ac:dyDescent="0.5">
      <c r="G268" s="2"/>
      <c r="I268" s="2"/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66FF99"/>
  </sheetPr>
  <dimension ref="A1:Z341"/>
  <sheetViews>
    <sheetView zoomScaleNormal="100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+'26'!G5</f>
        <v>40</v>
      </c>
      <c r="D5" s="85">
        <v>0</v>
      </c>
      <c r="E5" s="47">
        <f t="shared" ref="E5:E125" si="0">C5+D5</f>
        <v>40</v>
      </c>
      <c r="F5" s="85">
        <v>0</v>
      </c>
      <c r="G5" s="47">
        <f>+E5-F5-H5</f>
        <v>33</v>
      </c>
      <c r="H5" s="86">
        <v>7</v>
      </c>
      <c r="I5" s="20">
        <v>50</v>
      </c>
      <c r="J5" s="80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49</v>
      </c>
      <c r="D6" s="85">
        <v>0</v>
      </c>
      <c r="E6" s="47">
        <f t="shared" si="0"/>
        <v>49</v>
      </c>
      <c r="F6" s="85">
        <v>0</v>
      </c>
      <c r="G6" s="47">
        <f t="shared" ref="G6:G100" si="4">+E6-F6-H6</f>
        <v>43</v>
      </c>
      <c r="H6" s="86">
        <v>6</v>
      </c>
      <c r="I6" s="20">
        <v>100</v>
      </c>
      <c r="J6" s="80">
        <f t="shared" ref="J6:J100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2</v>
      </c>
      <c r="H12" s="86">
        <v>2</v>
      </c>
      <c r="I12" s="15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8</v>
      </c>
      <c r="D15" s="85">
        <v>0</v>
      </c>
      <c r="E15" s="47">
        <f t="shared" si="0"/>
        <v>8</v>
      </c>
      <c r="F15" s="85">
        <v>0</v>
      </c>
      <c r="G15" s="47">
        <f t="shared" si="4"/>
        <v>8</v>
      </c>
      <c r="H15" s="86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+'26'!G17</f>
        <v>11</v>
      </c>
      <c r="D17" s="85">
        <v>0</v>
      </c>
      <c r="E17" s="47">
        <f t="shared" si="0"/>
        <v>11</v>
      </c>
      <c r="F17" s="85">
        <v>0</v>
      </c>
      <c r="G17" s="47">
        <f t="shared" si="4"/>
        <v>11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+'26'!G19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1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+'26'!G22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+'26'!G23</f>
        <v>22</v>
      </c>
      <c r="D23" s="85">
        <v>0</v>
      </c>
      <c r="E23" s="47">
        <f t="shared" si="0"/>
        <v>22</v>
      </c>
      <c r="F23" s="85">
        <v>0</v>
      </c>
      <c r="G23" s="47">
        <f t="shared" si="4"/>
        <v>21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0</v>
      </c>
      <c r="H32" s="86">
        <v>2</v>
      </c>
      <c r="I32" s="15">
        <v>130</v>
      </c>
      <c r="J32" s="80">
        <f t="shared" si="5"/>
        <v>260</v>
      </c>
      <c r="K32" s="17" t="s">
        <v>16</v>
      </c>
      <c r="L32" s="18">
        <v>0</v>
      </c>
      <c r="M32" s="23">
        <f t="shared" si="6"/>
        <v>260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+'26'!G33</f>
        <v>1</v>
      </c>
      <c r="D33" s="85">
        <v>0</v>
      </c>
      <c r="E33" s="47">
        <f t="shared" si="0"/>
        <v>1</v>
      </c>
      <c r="F33" s="85">
        <v>0</v>
      </c>
      <c r="G33" s="47">
        <f t="shared" si="4"/>
        <v>0</v>
      </c>
      <c r="H33" s="86">
        <v>1</v>
      </c>
      <c r="I33" s="15">
        <v>130</v>
      </c>
      <c r="J33" s="80">
        <f t="shared" si="5"/>
        <v>130</v>
      </c>
      <c r="K33" s="17" t="s">
        <v>16</v>
      </c>
      <c r="L33" s="18">
        <v>0</v>
      </c>
      <c r="M33" s="23">
        <f t="shared" si="6"/>
        <v>130</v>
      </c>
    </row>
    <row r="34" spans="1:13" ht="25.5" x14ac:dyDescent="0.55000000000000004">
      <c r="A34" s="10">
        <v>30</v>
      </c>
      <c r="B34" s="19" t="s">
        <v>45</v>
      </c>
      <c r="C34" s="79">
        <f>+'26'!G34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+'26'!G37</f>
        <v>23</v>
      </c>
      <c r="D37" s="85">
        <v>0</v>
      </c>
      <c r="E37" s="47">
        <f t="shared" si="0"/>
        <v>23</v>
      </c>
      <c r="F37" s="85">
        <v>0</v>
      </c>
      <c r="G37" s="47">
        <f t="shared" si="4"/>
        <v>13</v>
      </c>
      <c r="H37" s="86">
        <v>10</v>
      </c>
      <c r="I37" s="15">
        <v>100</v>
      </c>
      <c r="J37" s="80">
        <f t="shared" si="5"/>
        <v>1000</v>
      </c>
      <c r="K37" s="17" t="s">
        <v>16</v>
      </c>
      <c r="L37" s="18">
        <v>0</v>
      </c>
      <c r="M37" s="23">
        <f t="shared" si="6"/>
        <v>1000</v>
      </c>
    </row>
    <row r="38" spans="1:13" ht="25.5" x14ac:dyDescent="0.55000000000000004">
      <c r="A38" s="10">
        <v>34</v>
      </c>
      <c r="B38" s="19" t="s">
        <v>49</v>
      </c>
      <c r="C38" s="79">
        <f>+'26'!G38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5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+'26'!G39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5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+'26'!G40</f>
        <v>8</v>
      </c>
      <c r="D40" s="85">
        <v>0</v>
      </c>
      <c r="E40" s="47">
        <f t="shared" si="0"/>
        <v>8</v>
      </c>
      <c r="F40" s="85">
        <v>0</v>
      </c>
      <c r="G40" s="47">
        <f t="shared" si="4"/>
        <v>7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+'26'!G41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3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+'26'!G42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+'26'!G43</f>
        <v>19</v>
      </c>
      <c r="D43" s="85">
        <v>0</v>
      </c>
      <c r="E43" s="47">
        <f t="shared" si="0"/>
        <v>19</v>
      </c>
      <c r="F43" s="85">
        <v>0</v>
      </c>
      <c r="G43" s="47">
        <f t="shared" si="4"/>
        <v>18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+'26'!G44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4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+'26'!G46</f>
        <v>18</v>
      </c>
      <c r="D46" s="85">
        <v>0</v>
      </c>
      <c r="E46" s="47">
        <f t="shared" si="0"/>
        <v>18</v>
      </c>
      <c r="F46" s="85">
        <v>0</v>
      </c>
      <c r="G46" s="47">
        <f t="shared" si="4"/>
        <v>14</v>
      </c>
      <c r="H46" s="86">
        <v>4</v>
      </c>
      <c r="I46" s="15">
        <v>50</v>
      </c>
      <c r="J46" s="80">
        <f t="shared" si="5"/>
        <v>200</v>
      </c>
      <c r="K46" s="17" t="s">
        <v>16</v>
      </c>
      <c r="L46" s="18">
        <v>0</v>
      </c>
      <c r="M46" s="23">
        <f t="shared" si="6"/>
        <v>200</v>
      </c>
    </row>
    <row r="47" spans="1:13" ht="25.5" x14ac:dyDescent="0.55000000000000004">
      <c r="A47" s="10">
        <v>43</v>
      </c>
      <c r="B47" s="19" t="s">
        <v>58</v>
      </c>
      <c r="C47" s="79">
        <f>+'26'!G47</f>
        <v>13</v>
      </c>
      <c r="D47" s="85">
        <v>0</v>
      </c>
      <c r="E47" s="47">
        <f t="shared" si="0"/>
        <v>13</v>
      </c>
      <c r="F47" s="85">
        <v>0</v>
      </c>
      <c r="G47" s="47">
        <f t="shared" si="4"/>
        <v>7</v>
      </c>
      <c r="H47" s="86">
        <v>6</v>
      </c>
      <c r="I47" s="15">
        <v>50</v>
      </c>
      <c r="J47" s="80">
        <f t="shared" si="5"/>
        <v>300</v>
      </c>
      <c r="K47" s="17" t="s">
        <v>16</v>
      </c>
      <c r="L47" s="18">
        <v>0</v>
      </c>
      <c r="M47" s="23">
        <f t="shared" si="6"/>
        <v>300</v>
      </c>
    </row>
    <row r="48" spans="1:13" ht="25.5" x14ac:dyDescent="0.55000000000000004">
      <c r="A48" s="10">
        <v>44</v>
      </c>
      <c r="B48" s="19" t="s">
        <v>59</v>
      </c>
      <c r="C48" s="79">
        <f>+'26'!G48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1</v>
      </c>
      <c r="H48" s="86">
        <v>3</v>
      </c>
      <c r="I48" s="15">
        <v>50</v>
      </c>
      <c r="J48" s="80">
        <f t="shared" si="5"/>
        <v>150</v>
      </c>
      <c r="K48" s="17" t="s">
        <v>16</v>
      </c>
      <c r="L48" s="18">
        <v>0</v>
      </c>
      <c r="M48" s="23">
        <f t="shared" si="6"/>
        <v>150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2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3</v>
      </c>
      <c r="D61" s="85">
        <v>0</v>
      </c>
      <c r="E61" s="47">
        <f t="shared" si="0"/>
        <v>3</v>
      </c>
      <c r="F61" s="85">
        <v>0</v>
      </c>
      <c r="G61" s="47">
        <f t="shared" si="4"/>
        <v>3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4</v>
      </c>
      <c r="D63" s="85">
        <v>0</v>
      </c>
      <c r="E63" s="47">
        <f t="shared" si="0"/>
        <v>4</v>
      </c>
      <c r="F63" s="85">
        <v>0</v>
      </c>
      <c r="G63" s="47">
        <f t="shared" si="4"/>
        <v>3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3</v>
      </c>
      <c r="D66" s="85">
        <v>0</v>
      </c>
      <c r="E66" s="47">
        <f t="shared" si="0"/>
        <v>3</v>
      </c>
      <c r="F66" s="85">
        <v>0</v>
      </c>
      <c r="G66" s="47">
        <f t="shared" si="4"/>
        <v>2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18</v>
      </c>
      <c r="D70" s="85">
        <v>0</v>
      </c>
      <c r="E70" s="47">
        <f t="shared" si="0"/>
        <v>18</v>
      </c>
      <c r="F70" s="85">
        <v>0</v>
      </c>
      <c r="G70" s="47">
        <f t="shared" si="4"/>
        <v>12</v>
      </c>
      <c r="H70" s="86">
        <v>6</v>
      </c>
      <c r="I70" s="20">
        <v>50</v>
      </c>
      <c r="J70" s="80">
        <f t="shared" si="5"/>
        <v>300</v>
      </c>
      <c r="K70" s="17" t="s">
        <v>16</v>
      </c>
      <c r="L70" s="18">
        <v>50</v>
      </c>
      <c r="M70" s="23">
        <f t="shared" ref="M70:M134" si="10">SUM(J70-L70)</f>
        <v>250</v>
      </c>
    </row>
    <row r="71" spans="1:13" ht="25.5" x14ac:dyDescent="0.55000000000000004">
      <c r="A71" s="10">
        <v>67</v>
      </c>
      <c r="B71" s="19" t="s">
        <v>82</v>
      </c>
      <c r="C71" s="79">
        <f>+'26'!G71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4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2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5.5" x14ac:dyDescent="0.55000000000000004">
      <c r="A74" s="10">
        <v>70</v>
      </c>
      <c r="B74" s="19" t="s">
        <v>85</v>
      </c>
      <c r="C74" s="79">
        <f>+'26'!G74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7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+'26'!G77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+'26'!G79</f>
        <v>1</v>
      </c>
      <c r="D79" s="85">
        <v>0</v>
      </c>
      <c r="E79" s="47">
        <f>C79+D79</f>
        <v>1</v>
      </c>
      <c r="F79" s="85">
        <v>0</v>
      </c>
      <c r="G79" s="47">
        <f>+E79-F79-H79</f>
        <v>0</v>
      </c>
      <c r="H79" s="86">
        <v>1</v>
      </c>
      <c r="I79" s="20">
        <v>50</v>
      </c>
      <c r="J79" s="80">
        <f>+I79*H79</f>
        <v>50</v>
      </c>
      <c r="K79" s="17" t="s">
        <v>16</v>
      </c>
      <c r="L79" s="18">
        <v>0</v>
      </c>
      <c r="M79" s="23">
        <f>SUM(J79-L79)</f>
        <v>50</v>
      </c>
    </row>
    <row r="80" spans="1:13" ht="25.5" x14ac:dyDescent="0.55000000000000004">
      <c r="A80" s="10">
        <v>76</v>
      </c>
      <c r="B80" s="19" t="s">
        <v>247</v>
      </c>
      <c r="C80" s="79">
        <f>+'26'!G80</f>
        <v>11</v>
      </c>
      <c r="D80" s="85">
        <v>0</v>
      </c>
      <c r="E80" s="47">
        <f t="shared" si="0"/>
        <v>11</v>
      </c>
      <c r="F80" s="85">
        <v>0</v>
      </c>
      <c r="G80" s="47">
        <f t="shared" si="4"/>
        <v>10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+'26'!G85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+'26'!G86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7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+'26'!G87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+'26'!G88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9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+'26'!G89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+'26'!G91</f>
        <v>3</v>
      </c>
      <c r="D91" s="85">
        <v>0</v>
      </c>
      <c r="E91" s="47">
        <f t="shared" si="0"/>
        <v>3</v>
      </c>
      <c r="F91" s="85">
        <v>0</v>
      </c>
      <c r="G91" s="47">
        <f t="shared" si="4"/>
        <v>1</v>
      </c>
      <c r="H91" s="86">
        <v>2</v>
      </c>
      <c r="I91" s="20">
        <v>50</v>
      </c>
      <c r="J91" s="80">
        <f t="shared" si="5"/>
        <v>100</v>
      </c>
      <c r="K91" s="17" t="s">
        <v>16</v>
      </c>
      <c r="L91" s="18">
        <v>0</v>
      </c>
      <c r="M91" s="23">
        <f t="shared" si="10"/>
        <v>100</v>
      </c>
    </row>
    <row r="92" spans="1:13" ht="25.5" x14ac:dyDescent="0.55000000000000004">
      <c r="A92" s="10">
        <v>88</v>
      </c>
      <c r="B92" s="19" t="s">
        <v>102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+'26'!G102</f>
        <v>5</v>
      </c>
      <c r="D102" s="85">
        <v>0</v>
      </c>
      <c r="E102" s="47">
        <f t="shared" si="0"/>
        <v>5</v>
      </c>
      <c r="F102" s="85">
        <v>0</v>
      </c>
      <c r="G102" s="47">
        <f t="shared" si="11"/>
        <v>4</v>
      </c>
      <c r="H102" s="86">
        <v>1</v>
      </c>
      <c r="I102" s="20">
        <v>55</v>
      </c>
      <c r="J102" s="80">
        <f t="shared" si="12"/>
        <v>55</v>
      </c>
      <c r="K102" s="17" t="s">
        <v>16</v>
      </c>
      <c r="L102" s="18">
        <v>0</v>
      </c>
      <c r="M102" s="23">
        <f t="shared" si="10"/>
        <v>55</v>
      </c>
    </row>
    <row r="103" spans="1:13" ht="25.5" x14ac:dyDescent="0.55000000000000004">
      <c r="A103" s="10">
        <v>99</v>
      </c>
      <c r="B103" s="19" t="s">
        <v>113</v>
      </c>
      <c r="C103" s="79">
        <f>+'26'!G103</f>
        <v>3</v>
      </c>
      <c r="D103" s="85">
        <v>0</v>
      </c>
      <c r="E103" s="47">
        <f t="shared" si="0"/>
        <v>3</v>
      </c>
      <c r="F103" s="85">
        <v>0</v>
      </c>
      <c r="G103" s="47">
        <f t="shared" si="11"/>
        <v>1</v>
      </c>
      <c r="H103" s="86">
        <v>2</v>
      </c>
      <c r="I103" s="20">
        <v>50</v>
      </c>
      <c r="J103" s="80">
        <f t="shared" si="12"/>
        <v>100</v>
      </c>
      <c r="K103" s="17" t="s">
        <v>16</v>
      </c>
      <c r="L103" s="18">
        <v>0</v>
      </c>
      <c r="M103" s="23">
        <f t="shared" si="10"/>
        <v>100</v>
      </c>
    </row>
    <row r="104" spans="1:13" ht="25.5" x14ac:dyDescent="0.55000000000000004">
      <c r="A104" s="10">
        <v>100</v>
      </c>
      <c r="B104" s="19" t="s">
        <v>114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+'26'!G125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+'26'!G126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+'26'!G128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+'26'!G161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+'26'!G162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+'26'!G163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8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+'26'!G169</f>
        <v>41</v>
      </c>
      <c r="D169" s="85">
        <v>0</v>
      </c>
      <c r="E169" s="47">
        <f t="shared" si="13"/>
        <v>41</v>
      </c>
      <c r="F169" s="85">
        <v>0</v>
      </c>
      <c r="G169" s="47">
        <f t="shared" si="15"/>
        <v>41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+'26'!G177</f>
        <v>2</v>
      </c>
      <c r="D177" s="85">
        <v>0</v>
      </c>
      <c r="E177" s="47">
        <f t="shared" si="13"/>
        <v>2</v>
      </c>
      <c r="F177" s="85">
        <v>0</v>
      </c>
      <c r="G177" s="47">
        <f t="shared" si="15"/>
        <v>1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+'26'!G178</f>
        <v>8</v>
      </c>
      <c r="D178" s="85">
        <v>0</v>
      </c>
      <c r="E178" s="47">
        <f t="shared" si="13"/>
        <v>8</v>
      </c>
      <c r="F178" s="85">
        <v>0</v>
      </c>
      <c r="G178" s="47">
        <f t="shared" si="15"/>
        <v>6</v>
      </c>
      <c r="H178" s="86">
        <v>2</v>
      </c>
      <c r="I178" s="20">
        <v>120</v>
      </c>
      <c r="J178" s="80">
        <f t="shared" si="16"/>
        <v>240</v>
      </c>
      <c r="K178" s="17" t="s">
        <v>16</v>
      </c>
      <c r="L178" s="18">
        <v>0</v>
      </c>
      <c r="M178" s="23">
        <f t="shared" si="14"/>
        <v>240</v>
      </c>
    </row>
    <row r="179" spans="1:13" ht="25.5" x14ac:dyDescent="0.55000000000000004">
      <c r="A179" s="10">
        <v>175</v>
      </c>
      <c r="B179" s="19" t="s">
        <v>190</v>
      </c>
      <c r="C179" s="79">
        <f>+'26'!G179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+'26'!G189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+'26'!G190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+'26'!G205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+'26'!G206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+'26'!G207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+'26'!G208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+'26'!G209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+'26'!G211</f>
        <v>5</v>
      </c>
      <c r="D211" s="85">
        <v>0</v>
      </c>
      <c r="E211" s="47">
        <f t="shared" si="17"/>
        <v>5</v>
      </c>
      <c r="F211" s="85">
        <v>0</v>
      </c>
      <c r="G211" s="47">
        <f t="shared" si="15"/>
        <v>0</v>
      </c>
      <c r="H211" s="86">
        <v>5</v>
      </c>
      <c r="I211" s="20">
        <v>35</v>
      </c>
      <c r="J211" s="80">
        <f t="shared" si="16"/>
        <v>175</v>
      </c>
      <c r="K211" s="17" t="s">
        <v>16</v>
      </c>
      <c r="L211" s="18">
        <v>0</v>
      </c>
      <c r="M211" s="23">
        <f t="shared" si="18"/>
        <v>175</v>
      </c>
    </row>
    <row r="212" spans="1:13" ht="25.5" x14ac:dyDescent="0.55000000000000004">
      <c r="A212" s="10">
        <v>208</v>
      </c>
      <c r="B212" s="11" t="s">
        <v>245</v>
      </c>
      <c r="C212" s="79">
        <f>+'26'!G212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+'26'!G217</f>
        <v>4</v>
      </c>
      <c r="D217" s="85">
        <v>0</v>
      </c>
      <c r="E217" s="47">
        <f t="shared" si="17"/>
        <v>4</v>
      </c>
      <c r="F217" s="85">
        <v>0</v>
      </c>
      <c r="G217" s="47">
        <f t="shared" si="15"/>
        <v>2</v>
      </c>
      <c r="H217" s="86">
        <v>2</v>
      </c>
      <c r="I217" s="20">
        <v>25</v>
      </c>
      <c r="J217" s="80">
        <f t="shared" si="16"/>
        <v>50</v>
      </c>
      <c r="K217" s="17" t="s">
        <v>16</v>
      </c>
      <c r="L217" s="18">
        <v>0</v>
      </c>
      <c r="M217" s="23">
        <f t="shared" si="18"/>
        <v>50</v>
      </c>
    </row>
    <row r="218" spans="1:13" ht="25.5" x14ac:dyDescent="0.55000000000000004">
      <c r="A218" s="10">
        <v>214</v>
      </c>
      <c r="B218" s="11" t="s">
        <v>272</v>
      </c>
      <c r="C218" s="79">
        <f>+'26'!G218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+'26'!G223</f>
        <v>22</v>
      </c>
      <c r="D223" s="85">
        <v>0</v>
      </c>
      <c r="E223" s="47">
        <f t="shared" si="17"/>
        <v>22</v>
      </c>
      <c r="F223" s="85">
        <v>0</v>
      </c>
      <c r="G223" s="47">
        <f t="shared" si="15"/>
        <v>22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+'26'!G224</f>
        <v>3</v>
      </c>
      <c r="D224" s="85">
        <v>0</v>
      </c>
      <c r="E224" s="47">
        <f t="shared" si="17"/>
        <v>3</v>
      </c>
      <c r="F224" s="85">
        <v>0</v>
      </c>
      <c r="G224" s="47">
        <f t="shared" si="15"/>
        <v>3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5230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20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5280</v>
      </c>
    </row>
    <row r="258" spans="1:20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20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1470</v>
      </c>
      <c r="L259" s="2">
        <v>100</v>
      </c>
      <c r="M259" s="2">
        <v>300</v>
      </c>
      <c r="N259" s="2">
        <v>350</v>
      </c>
      <c r="O259" s="2">
        <v>50</v>
      </c>
      <c r="P259" s="2">
        <v>200</v>
      </c>
      <c r="Q259" s="2">
        <v>50</v>
      </c>
      <c r="R259" s="2">
        <v>170</v>
      </c>
      <c r="S259" s="2">
        <v>150</v>
      </c>
      <c r="T259" s="2">
        <v>100</v>
      </c>
    </row>
    <row r="260" spans="1:20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20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20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50</v>
      </c>
    </row>
    <row r="263" spans="1:20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3745</v>
      </c>
    </row>
    <row r="264" spans="1:20" ht="25.5" x14ac:dyDescent="0.55000000000000004">
      <c r="A264" s="1"/>
      <c r="E264" s="31"/>
      <c r="G264" s="31"/>
      <c r="I264" s="133" t="s">
        <v>209</v>
      </c>
      <c r="J264" s="134"/>
      <c r="K264" s="37">
        <v>3745</v>
      </c>
    </row>
    <row r="265" spans="1:20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20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0" x14ac:dyDescent="0.5">
      <c r="G267" s="2"/>
      <c r="I267" s="2"/>
    </row>
    <row r="268" spans="1:20" x14ac:dyDescent="0.5">
      <c r="G268" s="2"/>
      <c r="I268" s="2"/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66FF99"/>
  </sheetPr>
  <dimension ref="A1:Z341"/>
  <sheetViews>
    <sheetView zoomScaleNormal="100" workbookViewId="0">
      <pane xSplit="7" ySplit="4" topLeftCell="H5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Q260" sqref="Q26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+'27'!G5</f>
        <v>33</v>
      </c>
      <c r="D5" s="85">
        <v>0</v>
      </c>
      <c r="E5" s="47">
        <f t="shared" ref="E5:E125" si="0">C5+D5</f>
        <v>33</v>
      </c>
      <c r="F5" s="85">
        <v>0</v>
      </c>
      <c r="G5" s="47">
        <f>+E5-F5-H5</f>
        <v>31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43</v>
      </c>
      <c r="D6" s="85">
        <v>0</v>
      </c>
      <c r="E6" s="47">
        <f t="shared" si="0"/>
        <v>43</v>
      </c>
      <c r="F6" s="85">
        <v>0</v>
      </c>
      <c r="G6" s="47">
        <f t="shared" ref="G6:G100" si="4">+E6-F6-H6</f>
        <v>41</v>
      </c>
      <c r="H6" s="86">
        <v>2</v>
      </c>
      <c r="I6" s="15">
        <v>100</v>
      </c>
      <c r="J6" s="80">
        <f t="shared" ref="J6:J100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1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8</v>
      </c>
      <c r="D15" s="85">
        <v>0</v>
      </c>
      <c r="E15" s="47">
        <f t="shared" si="0"/>
        <v>8</v>
      </c>
      <c r="F15" s="85">
        <v>0</v>
      </c>
      <c r="G15" s="47">
        <f t="shared" si="4"/>
        <v>7</v>
      </c>
      <c r="H15" s="86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+'27'!G17</f>
        <v>11</v>
      </c>
      <c r="D17" s="85">
        <v>0</v>
      </c>
      <c r="E17" s="47">
        <f t="shared" si="0"/>
        <v>11</v>
      </c>
      <c r="F17" s="85">
        <v>0</v>
      </c>
      <c r="G17" s="47">
        <f t="shared" si="4"/>
        <v>11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+'27'!G19</f>
        <v>1</v>
      </c>
      <c r="D19" s="85">
        <v>0</v>
      </c>
      <c r="E19" s="47">
        <f t="shared" si="0"/>
        <v>1</v>
      </c>
      <c r="F19" s="85">
        <v>0</v>
      </c>
      <c r="G19" s="47">
        <f t="shared" si="4"/>
        <v>1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+'27'!G22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0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+'27'!G23</f>
        <v>21</v>
      </c>
      <c r="D23" s="85">
        <v>0</v>
      </c>
      <c r="E23" s="47">
        <f t="shared" si="0"/>
        <v>21</v>
      </c>
      <c r="F23" s="85">
        <v>0</v>
      </c>
      <c r="G23" s="47">
        <f t="shared" si="4"/>
        <v>20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+'27'!G37</f>
        <v>13</v>
      </c>
      <c r="D37" s="85">
        <v>0</v>
      </c>
      <c r="E37" s="47">
        <f t="shared" si="0"/>
        <v>13</v>
      </c>
      <c r="F37" s="85">
        <v>0</v>
      </c>
      <c r="G37" s="47">
        <f t="shared" si="4"/>
        <v>11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+'27'!G38</f>
        <v>5</v>
      </c>
      <c r="D38" s="85">
        <v>0</v>
      </c>
      <c r="E38" s="47">
        <f t="shared" si="0"/>
        <v>5</v>
      </c>
      <c r="F38" s="85">
        <v>0</v>
      </c>
      <c r="G38" s="47">
        <f t="shared" si="4"/>
        <v>1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+'27'!G39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4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+'27'!G40</f>
        <v>7</v>
      </c>
      <c r="D40" s="85">
        <v>0</v>
      </c>
      <c r="E40" s="47">
        <f t="shared" si="0"/>
        <v>7</v>
      </c>
      <c r="F40" s="85">
        <v>0</v>
      </c>
      <c r="G40" s="47">
        <f t="shared" si="4"/>
        <v>6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+'27'!G41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0</v>
      </c>
      <c r="H41" s="86">
        <v>3</v>
      </c>
      <c r="I41" s="15">
        <v>50</v>
      </c>
      <c r="J41" s="80">
        <f t="shared" si="5"/>
        <v>150</v>
      </c>
      <c r="K41" s="17" t="s">
        <v>16</v>
      </c>
      <c r="L41" s="18">
        <v>0</v>
      </c>
      <c r="M41" s="23">
        <f t="shared" si="6"/>
        <v>150</v>
      </c>
    </row>
    <row r="42" spans="1:13" ht="25.5" x14ac:dyDescent="0.55000000000000004">
      <c r="A42" s="10">
        <v>38</v>
      </c>
      <c r="B42" s="19" t="s">
        <v>53</v>
      </c>
      <c r="C42" s="79">
        <f>+'27'!G42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+'27'!G43</f>
        <v>18</v>
      </c>
      <c r="D43" s="85">
        <v>0</v>
      </c>
      <c r="E43" s="47">
        <f t="shared" si="0"/>
        <v>18</v>
      </c>
      <c r="F43" s="85">
        <v>0</v>
      </c>
      <c r="G43" s="47">
        <f t="shared" si="4"/>
        <v>18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+'27'!G44</f>
        <v>4</v>
      </c>
      <c r="D44" s="85">
        <v>0</v>
      </c>
      <c r="E44" s="47">
        <f t="shared" si="0"/>
        <v>4</v>
      </c>
      <c r="F44" s="85">
        <v>0</v>
      </c>
      <c r="G44" s="47">
        <f t="shared" si="4"/>
        <v>3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+'27'!G46</f>
        <v>14</v>
      </c>
      <c r="D46" s="85">
        <v>0</v>
      </c>
      <c r="E46" s="47">
        <f t="shared" si="0"/>
        <v>14</v>
      </c>
      <c r="F46" s="85">
        <v>0</v>
      </c>
      <c r="G46" s="47">
        <f t="shared" si="4"/>
        <v>12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+'27'!G47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3</v>
      </c>
      <c r="H47" s="86">
        <v>4</v>
      </c>
      <c r="I47" s="15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5.5" x14ac:dyDescent="0.55000000000000004">
      <c r="A48" s="10">
        <v>44</v>
      </c>
      <c r="B48" s="19" t="s">
        <v>59</v>
      </c>
      <c r="C48" s="79">
        <f>+'27'!G48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1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0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0</v>
      </c>
      <c r="M51" s="23">
        <f t="shared" si="6"/>
        <v>120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3</v>
      </c>
      <c r="D61" s="85">
        <v>0</v>
      </c>
      <c r="E61" s="47">
        <f t="shared" si="0"/>
        <v>3</v>
      </c>
      <c r="F61" s="85">
        <v>0</v>
      </c>
      <c r="G61" s="47">
        <f t="shared" si="4"/>
        <v>3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2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2</v>
      </c>
      <c r="D66" s="85">
        <v>0</v>
      </c>
      <c r="E66" s="47">
        <f t="shared" si="0"/>
        <v>2</v>
      </c>
      <c r="F66" s="85">
        <v>0</v>
      </c>
      <c r="G66" s="47">
        <f t="shared" si="4"/>
        <v>1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12</v>
      </c>
      <c r="D70" s="85">
        <v>0</v>
      </c>
      <c r="E70" s="47">
        <f t="shared" si="0"/>
        <v>12</v>
      </c>
      <c r="F70" s="85">
        <v>0</v>
      </c>
      <c r="G70" s="47">
        <f t="shared" si="4"/>
        <v>6</v>
      </c>
      <c r="H70" s="86">
        <v>6</v>
      </c>
      <c r="I70" s="20">
        <v>50</v>
      </c>
      <c r="J70" s="80">
        <f t="shared" si="5"/>
        <v>300</v>
      </c>
      <c r="K70" s="17" t="s">
        <v>16</v>
      </c>
      <c r="L70" s="18">
        <v>0</v>
      </c>
      <c r="M70" s="23">
        <f t="shared" ref="M70:M134" si="10">SUM(J70-L70)</f>
        <v>300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2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10"/>
        <v>120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7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+'27'!G77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+'27'!G79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+'27'!G80</f>
        <v>10</v>
      </c>
      <c r="D80" s="85">
        <v>0</v>
      </c>
      <c r="E80" s="47">
        <f t="shared" si="0"/>
        <v>10</v>
      </c>
      <c r="F80" s="85">
        <v>0</v>
      </c>
      <c r="G80" s="47">
        <f t="shared" si="4"/>
        <v>5</v>
      </c>
      <c r="H80" s="86">
        <v>5</v>
      </c>
      <c r="I80" s="22">
        <v>50</v>
      </c>
      <c r="J80" s="80">
        <f t="shared" si="5"/>
        <v>250</v>
      </c>
      <c r="K80" s="17" t="s">
        <v>16</v>
      </c>
      <c r="L80" s="18">
        <v>0</v>
      </c>
      <c r="M80" s="23">
        <f t="shared" si="10"/>
        <v>250</v>
      </c>
    </row>
    <row r="81" spans="1:13" ht="25.5" x14ac:dyDescent="0.55000000000000004">
      <c r="A81" s="10">
        <v>77</v>
      </c>
      <c r="B81" s="19" t="s">
        <v>91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+'27'!G85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+'27'!G86</f>
        <v>7</v>
      </c>
      <c r="D86" s="85">
        <v>0</v>
      </c>
      <c r="E86" s="47">
        <f t="shared" si="0"/>
        <v>7</v>
      </c>
      <c r="F86" s="85">
        <v>0</v>
      </c>
      <c r="G86" s="47">
        <f t="shared" si="4"/>
        <v>6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+'27'!G87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+'27'!G88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8</v>
      </c>
      <c r="H88" s="86">
        <v>1</v>
      </c>
      <c r="I88" s="20">
        <v>60</v>
      </c>
      <c r="J88" s="80">
        <f t="shared" si="5"/>
        <v>60</v>
      </c>
      <c r="K88" s="17" t="s">
        <v>16</v>
      </c>
      <c r="L88" s="18">
        <v>0</v>
      </c>
      <c r="M88" s="23">
        <f t="shared" si="10"/>
        <v>60</v>
      </c>
    </row>
    <row r="89" spans="1:13" ht="25.5" x14ac:dyDescent="0.55000000000000004">
      <c r="A89" s="10">
        <v>85</v>
      </c>
      <c r="B89" s="19" t="s">
        <v>99</v>
      </c>
      <c r="C89" s="79">
        <f>+'27'!G89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6</v>
      </c>
      <c r="H89" s="86">
        <v>2</v>
      </c>
      <c r="I89" s="20">
        <v>100</v>
      </c>
      <c r="J89" s="80">
        <f t="shared" si="5"/>
        <v>200</v>
      </c>
      <c r="K89" s="17" t="s">
        <v>16</v>
      </c>
      <c r="L89" s="18">
        <v>50</v>
      </c>
      <c r="M89" s="23">
        <f t="shared" si="10"/>
        <v>150</v>
      </c>
    </row>
    <row r="90" spans="1:13" ht="25.5" x14ac:dyDescent="0.55000000000000004">
      <c r="A90" s="10">
        <v>86</v>
      </c>
      <c r="B90" s="19" t="s">
        <v>100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+'27'!G91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+'27'!G102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11"/>
        <v>4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+'27'!G103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+'27'!G125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+'27'!G126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+'27'!G128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+'27'!G161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+'27'!G162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+'27'!G163</f>
        <v>8</v>
      </c>
      <c r="D163" s="85">
        <v>0</v>
      </c>
      <c r="E163" s="47">
        <f t="shared" si="13"/>
        <v>8</v>
      </c>
      <c r="F163" s="85">
        <v>0</v>
      </c>
      <c r="G163" s="47">
        <f t="shared" si="11"/>
        <v>7</v>
      </c>
      <c r="H163" s="86">
        <v>1</v>
      </c>
      <c r="I163" s="20">
        <v>90</v>
      </c>
      <c r="J163" s="80">
        <f t="shared" si="12"/>
        <v>90</v>
      </c>
      <c r="K163" s="17" t="s">
        <v>16</v>
      </c>
      <c r="L163" s="18">
        <v>0</v>
      </c>
      <c r="M163" s="23">
        <f t="shared" si="14"/>
        <v>90</v>
      </c>
    </row>
    <row r="164" spans="1:13" ht="25.5" x14ac:dyDescent="0.55000000000000004">
      <c r="A164" s="10">
        <v>160</v>
      </c>
      <c r="B164" s="19" t="s">
        <v>175</v>
      </c>
      <c r="C164" s="79">
        <f>+'27'!G164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+'27'!G169</f>
        <v>41</v>
      </c>
      <c r="D169" s="85">
        <v>0</v>
      </c>
      <c r="E169" s="47">
        <f t="shared" si="13"/>
        <v>41</v>
      </c>
      <c r="F169" s="85">
        <v>0</v>
      </c>
      <c r="G169" s="47">
        <f t="shared" si="15"/>
        <v>38</v>
      </c>
      <c r="H169" s="86">
        <v>3</v>
      </c>
      <c r="I169" s="20">
        <v>55</v>
      </c>
      <c r="J169" s="80">
        <f t="shared" si="16"/>
        <v>165</v>
      </c>
      <c r="K169" s="17" t="s">
        <v>16</v>
      </c>
      <c r="L169" s="18">
        <v>0</v>
      </c>
      <c r="M169" s="23">
        <f t="shared" si="14"/>
        <v>165</v>
      </c>
    </row>
    <row r="170" spans="1:13" ht="25.5" x14ac:dyDescent="0.55000000000000004">
      <c r="A170" s="10">
        <v>166</v>
      </c>
      <c r="B170" s="19" t="s">
        <v>181</v>
      </c>
      <c r="C170" s="79">
        <f>+'27'!G170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+'27'!G177</f>
        <v>1</v>
      </c>
      <c r="D177" s="85">
        <v>0</v>
      </c>
      <c r="E177" s="47">
        <f t="shared" si="13"/>
        <v>1</v>
      </c>
      <c r="F177" s="85">
        <v>0</v>
      </c>
      <c r="G177" s="47">
        <f t="shared" si="15"/>
        <v>1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+'27'!G178</f>
        <v>6</v>
      </c>
      <c r="D178" s="85">
        <v>0</v>
      </c>
      <c r="E178" s="47">
        <f t="shared" si="13"/>
        <v>6</v>
      </c>
      <c r="F178" s="85">
        <v>0</v>
      </c>
      <c r="G178" s="47">
        <f t="shared" si="15"/>
        <v>2</v>
      </c>
      <c r="H178" s="86">
        <v>4</v>
      </c>
      <c r="I178" s="20">
        <v>120</v>
      </c>
      <c r="J178" s="80">
        <f t="shared" si="16"/>
        <v>480</v>
      </c>
      <c r="K178" s="17" t="s">
        <v>16</v>
      </c>
      <c r="L178" s="18">
        <v>0</v>
      </c>
      <c r="M178" s="23">
        <f t="shared" si="14"/>
        <v>480</v>
      </c>
    </row>
    <row r="179" spans="1:13" ht="25.5" x14ac:dyDescent="0.55000000000000004">
      <c r="A179" s="10">
        <v>175</v>
      </c>
      <c r="B179" s="19" t="s">
        <v>190</v>
      </c>
      <c r="C179" s="79">
        <f>+'27'!G179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+'27'!G189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+'27'!G190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+'27'!G205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+'27'!G206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+'27'!G207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+'27'!G208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+'27'!G209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+'27'!G212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+'27'!G217</f>
        <v>2</v>
      </c>
      <c r="D217" s="85">
        <v>0</v>
      </c>
      <c r="E217" s="47">
        <f t="shared" si="17"/>
        <v>2</v>
      </c>
      <c r="F217" s="85">
        <v>0</v>
      </c>
      <c r="G217" s="47">
        <f t="shared" si="15"/>
        <v>0</v>
      </c>
      <c r="H217" s="86">
        <v>2</v>
      </c>
      <c r="I217" s="20">
        <v>25</v>
      </c>
      <c r="J217" s="80">
        <f t="shared" si="16"/>
        <v>50</v>
      </c>
      <c r="K217" s="17" t="s">
        <v>16</v>
      </c>
      <c r="L217" s="18">
        <v>0</v>
      </c>
      <c r="M217" s="23">
        <f t="shared" si="18"/>
        <v>50</v>
      </c>
    </row>
    <row r="218" spans="1:13" ht="25.5" x14ac:dyDescent="0.55000000000000004">
      <c r="A218" s="10">
        <v>214</v>
      </c>
      <c r="B218" s="11" t="s">
        <v>272</v>
      </c>
      <c r="C218" s="79">
        <f>+'27'!G218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+'27'!G223</f>
        <v>22</v>
      </c>
      <c r="D223" s="85">
        <v>0</v>
      </c>
      <c r="E223" s="47">
        <f t="shared" si="17"/>
        <v>22</v>
      </c>
      <c r="F223" s="85">
        <v>0</v>
      </c>
      <c r="G223" s="47">
        <f t="shared" si="15"/>
        <v>22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+'27'!G224</f>
        <v>3</v>
      </c>
      <c r="D224" s="85">
        <v>0</v>
      </c>
      <c r="E224" s="47">
        <f t="shared" si="17"/>
        <v>3</v>
      </c>
      <c r="F224" s="85">
        <v>0</v>
      </c>
      <c r="G224" s="47">
        <f t="shared" si="15"/>
        <v>3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3755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3805</v>
      </c>
    </row>
    <row r="258" spans="1:17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890</v>
      </c>
      <c r="L259" s="2">
        <v>250</v>
      </c>
      <c r="M259" s="2">
        <v>100</v>
      </c>
      <c r="N259" s="2">
        <v>135</v>
      </c>
      <c r="O259" s="2">
        <v>155</v>
      </c>
      <c r="P259" s="2">
        <v>50</v>
      </c>
      <c r="Q259" s="2">
        <v>200</v>
      </c>
    </row>
    <row r="260" spans="1:17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50</v>
      </c>
    </row>
    <row r="263" spans="1:17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2850</v>
      </c>
    </row>
    <row r="264" spans="1:17" ht="25.5" x14ac:dyDescent="0.55000000000000004">
      <c r="A264" s="1"/>
      <c r="E264" s="31"/>
      <c r="G264" s="31"/>
      <c r="I264" s="133" t="s">
        <v>209</v>
      </c>
      <c r="J264" s="134"/>
      <c r="K264" s="37">
        <v>2850</v>
      </c>
    </row>
    <row r="265" spans="1:17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66FF99"/>
  </sheetPr>
  <dimension ref="A1:Z341"/>
  <sheetViews>
    <sheetView zoomScale="115" zoomScaleNormal="115" workbookViewId="0">
      <pane xSplit="7" ySplit="4" topLeftCell="H257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+'28'!G5</f>
        <v>31</v>
      </c>
      <c r="D5" s="85">
        <v>5</v>
      </c>
      <c r="E5" s="47">
        <f t="shared" ref="E5:E125" si="0">C5+D5</f>
        <v>36</v>
      </c>
      <c r="F5" s="85">
        <v>0</v>
      </c>
      <c r="G5" s="47">
        <f>+E5-F5-H5</f>
        <v>28</v>
      </c>
      <c r="H5" s="86">
        <v>8</v>
      </c>
      <c r="I5" s="15">
        <v>50</v>
      </c>
      <c r="J5" s="80">
        <f>+I5*H5</f>
        <v>400</v>
      </c>
      <c r="K5" s="17" t="s">
        <v>16</v>
      </c>
      <c r="L5" s="18">
        <v>0</v>
      </c>
      <c r="M5" s="23">
        <f>SUM(J5-L5)</f>
        <v>400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41</v>
      </c>
      <c r="D6" s="85">
        <v>10</v>
      </c>
      <c r="E6" s="47">
        <f t="shared" si="0"/>
        <v>51</v>
      </c>
      <c r="F6" s="85">
        <v>0</v>
      </c>
      <c r="G6" s="47">
        <f t="shared" ref="G6:G100" si="4">+E6-F6-H6</f>
        <v>44</v>
      </c>
      <c r="H6" s="86">
        <v>7</v>
      </c>
      <c r="I6" s="15">
        <v>100</v>
      </c>
      <c r="J6" s="80">
        <f t="shared" ref="J6:J100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1</v>
      </c>
      <c r="D12" s="85">
        <v>5</v>
      </c>
      <c r="E12" s="47">
        <f t="shared" si="0"/>
        <v>6</v>
      </c>
      <c r="F12" s="85">
        <v>1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5">
        <v>2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7</v>
      </c>
      <c r="D15" s="85">
        <v>5</v>
      </c>
      <c r="E15" s="47">
        <f t="shared" si="0"/>
        <v>12</v>
      </c>
      <c r="F15" s="85">
        <v>0</v>
      </c>
      <c r="G15" s="47">
        <f t="shared" si="4"/>
        <v>12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+'28'!G17</f>
        <v>11</v>
      </c>
      <c r="D17" s="85">
        <v>5</v>
      </c>
      <c r="E17" s="47">
        <f t="shared" si="0"/>
        <v>16</v>
      </c>
      <c r="F17" s="85">
        <v>0</v>
      </c>
      <c r="G17" s="47">
        <f t="shared" si="4"/>
        <v>14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50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+'28'!G19</f>
        <v>1</v>
      </c>
      <c r="D19" s="85">
        <v>5</v>
      </c>
      <c r="E19" s="47">
        <f t="shared" si="0"/>
        <v>6</v>
      </c>
      <c r="F19" s="85">
        <v>0</v>
      </c>
      <c r="G19" s="47">
        <f t="shared" si="4"/>
        <v>5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+'28'!G23</f>
        <v>20</v>
      </c>
      <c r="D23" s="85">
        <v>5</v>
      </c>
      <c r="E23" s="47">
        <f t="shared" si="0"/>
        <v>25</v>
      </c>
      <c r="F23" s="85">
        <v>2</v>
      </c>
      <c r="G23" s="47">
        <f t="shared" si="4"/>
        <v>20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+'28'!G37</f>
        <v>11</v>
      </c>
      <c r="D37" s="85">
        <v>10</v>
      </c>
      <c r="E37" s="47">
        <f t="shared" si="0"/>
        <v>21</v>
      </c>
      <c r="F37" s="85">
        <v>1</v>
      </c>
      <c r="G37" s="47">
        <f t="shared" si="4"/>
        <v>9</v>
      </c>
      <c r="H37" s="86">
        <v>11</v>
      </c>
      <c r="I37" s="15">
        <v>100</v>
      </c>
      <c r="J37" s="80">
        <f t="shared" si="5"/>
        <v>1100</v>
      </c>
      <c r="K37" s="17" t="s">
        <v>16</v>
      </c>
      <c r="L37" s="18">
        <v>0</v>
      </c>
      <c r="M37" s="23">
        <f t="shared" si="6"/>
        <v>1100</v>
      </c>
    </row>
    <row r="38" spans="1:13" ht="25.5" x14ac:dyDescent="0.55000000000000004">
      <c r="A38" s="10">
        <v>34</v>
      </c>
      <c r="B38" s="19" t="s">
        <v>49</v>
      </c>
      <c r="C38" s="79">
        <f>+'28'!G38</f>
        <v>1</v>
      </c>
      <c r="D38" s="85">
        <v>5</v>
      </c>
      <c r="E38" s="47">
        <f t="shared" si="0"/>
        <v>6</v>
      </c>
      <c r="F38" s="85">
        <v>0</v>
      </c>
      <c r="G38" s="47">
        <f t="shared" si="4"/>
        <v>1</v>
      </c>
      <c r="H38" s="86">
        <v>5</v>
      </c>
      <c r="I38" s="15">
        <v>50</v>
      </c>
      <c r="J38" s="80">
        <f t="shared" si="5"/>
        <v>250</v>
      </c>
      <c r="K38" s="17" t="s">
        <v>16</v>
      </c>
      <c r="L38" s="18">
        <v>0</v>
      </c>
      <c r="M38" s="23">
        <f t="shared" si="6"/>
        <v>250</v>
      </c>
    </row>
    <row r="39" spans="1:13" ht="25.5" x14ac:dyDescent="0.55000000000000004">
      <c r="A39" s="10">
        <v>35</v>
      </c>
      <c r="B39" s="19" t="s">
        <v>50</v>
      </c>
      <c r="C39" s="79">
        <f>+'28'!G39</f>
        <v>4</v>
      </c>
      <c r="D39" s="85">
        <v>5</v>
      </c>
      <c r="E39" s="47">
        <f t="shared" si="0"/>
        <v>9</v>
      </c>
      <c r="F39" s="85">
        <v>0</v>
      </c>
      <c r="G39" s="47">
        <f t="shared" si="4"/>
        <v>8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+'28'!G40</f>
        <v>6</v>
      </c>
      <c r="D40" s="85">
        <v>15</v>
      </c>
      <c r="E40" s="47">
        <f t="shared" si="0"/>
        <v>21</v>
      </c>
      <c r="F40" s="85">
        <v>0</v>
      </c>
      <c r="G40" s="47">
        <f t="shared" si="4"/>
        <v>21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+'28'!G41</f>
        <v>0</v>
      </c>
      <c r="D41" s="85">
        <v>5</v>
      </c>
      <c r="E41" s="47">
        <f t="shared" si="0"/>
        <v>5</v>
      </c>
      <c r="F41" s="85">
        <v>0</v>
      </c>
      <c r="G41" s="47">
        <f t="shared" si="4"/>
        <v>4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+'28'!G43</f>
        <v>18</v>
      </c>
      <c r="D43" s="85">
        <v>5</v>
      </c>
      <c r="E43" s="47">
        <f t="shared" si="0"/>
        <v>23</v>
      </c>
      <c r="F43" s="85">
        <v>0</v>
      </c>
      <c r="G43" s="47">
        <f t="shared" si="4"/>
        <v>22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+'28'!G44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3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+'28'!G46</f>
        <v>12</v>
      </c>
      <c r="D46" s="85">
        <v>5</v>
      </c>
      <c r="E46" s="47">
        <f t="shared" si="0"/>
        <v>17</v>
      </c>
      <c r="F46" s="85">
        <v>0</v>
      </c>
      <c r="G46" s="47">
        <f t="shared" si="4"/>
        <v>12</v>
      </c>
      <c r="H46" s="86">
        <v>5</v>
      </c>
      <c r="I46" s="15">
        <v>50</v>
      </c>
      <c r="J46" s="80">
        <f t="shared" si="5"/>
        <v>250</v>
      </c>
      <c r="K46" s="17" t="s">
        <v>16</v>
      </c>
      <c r="L46" s="18">
        <v>0</v>
      </c>
      <c r="M46" s="23">
        <f t="shared" si="6"/>
        <v>250</v>
      </c>
    </row>
    <row r="47" spans="1:13" ht="25.5" x14ac:dyDescent="0.55000000000000004">
      <c r="A47" s="10">
        <v>43</v>
      </c>
      <c r="B47" s="19" t="s">
        <v>58</v>
      </c>
      <c r="C47" s="79">
        <f>+'28'!G47</f>
        <v>3</v>
      </c>
      <c r="D47" s="85">
        <v>10</v>
      </c>
      <c r="E47" s="47">
        <f t="shared" si="0"/>
        <v>13</v>
      </c>
      <c r="F47" s="85">
        <v>0</v>
      </c>
      <c r="G47" s="47">
        <f t="shared" si="4"/>
        <v>8</v>
      </c>
      <c r="H47" s="86">
        <v>5</v>
      </c>
      <c r="I47" s="15">
        <v>50</v>
      </c>
      <c r="J47" s="80">
        <f t="shared" si="5"/>
        <v>250</v>
      </c>
      <c r="K47" s="17" t="s">
        <v>16</v>
      </c>
      <c r="L47" s="18">
        <v>0</v>
      </c>
      <c r="M47" s="23">
        <f t="shared" si="6"/>
        <v>250</v>
      </c>
    </row>
    <row r="48" spans="1:13" ht="25.5" x14ac:dyDescent="0.55000000000000004">
      <c r="A48" s="10">
        <v>44</v>
      </c>
      <c r="B48" s="19" t="s">
        <v>59</v>
      </c>
      <c r="C48" s="79">
        <f>+'28'!G48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1</v>
      </c>
      <c r="D49" s="85">
        <v>0</v>
      </c>
      <c r="E49" s="47">
        <f t="shared" si="0"/>
        <v>1</v>
      </c>
      <c r="F49" s="85">
        <v>0</v>
      </c>
      <c r="G49" s="47">
        <f t="shared" si="4"/>
        <v>0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50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1</v>
      </c>
      <c r="H55" s="86">
        <v>2</v>
      </c>
      <c r="I55" s="21">
        <v>120</v>
      </c>
      <c r="J55" s="80">
        <f t="shared" si="5"/>
        <v>240</v>
      </c>
      <c r="K55" s="17" t="s">
        <v>16</v>
      </c>
      <c r="L55" s="18">
        <v>40</v>
      </c>
      <c r="M55" s="23">
        <f t="shared" si="6"/>
        <v>200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v>1</v>
      </c>
      <c r="D60" s="85">
        <v>2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v>4</v>
      </c>
      <c r="D61" s="85">
        <v>2</v>
      </c>
      <c r="E61" s="47">
        <f t="shared" si="0"/>
        <v>6</v>
      </c>
      <c r="F61" s="85">
        <v>0</v>
      </c>
      <c r="G61" s="47">
        <f t="shared" si="4"/>
        <v>5</v>
      </c>
      <c r="H61" s="86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1</v>
      </c>
      <c r="D66" s="85">
        <v>5</v>
      </c>
      <c r="E66" s="47">
        <f t="shared" si="0"/>
        <v>6</v>
      </c>
      <c r="F66" s="85">
        <v>0</v>
      </c>
      <c r="G66" s="47">
        <f t="shared" si="4"/>
        <v>5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5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6</v>
      </c>
      <c r="D70" s="85">
        <v>5</v>
      </c>
      <c r="E70" s="47">
        <f t="shared" si="0"/>
        <v>11</v>
      </c>
      <c r="F70" s="85">
        <v>0</v>
      </c>
      <c r="G70" s="47">
        <f t="shared" si="4"/>
        <v>8</v>
      </c>
      <c r="H70" s="86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23">
        <f t="shared" ref="M70:M134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0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6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+'28'!G79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+'28'!G80</f>
        <v>5</v>
      </c>
      <c r="D80" s="85">
        <v>5</v>
      </c>
      <c r="E80" s="47">
        <f t="shared" si="0"/>
        <v>10</v>
      </c>
      <c r="F80" s="85">
        <v>0</v>
      </c>
      <c r="G80" s="47">
        <f t="shared" si="4"/>
        <v>8</v>
      </c>
      <c r="H80" s="86">
        <v>2</v>
      </c>
      <c r="I80" s="22">
        <v>50</v>
      </c>
      <c r="J80" s="80">
        <f t="shared" si="5"/>
        <v>100</v>
      </c>
      <c r="K80" s="17" t="s">
        <v>16</v>
      </c>
      <c r="L80" s="18">
        <v>50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+'28'!G85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+'28'!G86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6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+'28'!G87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7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+'28'!G88</f>
        <v>8</v>
      </c>
      <c r="D88" s="85">
        <v>0</v>
      </c>
      <c r="E88" s="47">
        <f t="shared" si="0"/>
        <v>8</v>
      </c>
      <c r="F88" s="85">
        <v>0</v>
      </c>
      <c r="G88" s="47">
        <f t="shared" si="4"/>
        <v>8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+'28'!G89</f>
        <v>6</v>
      </c>
      <c r="D89" s="85">
        <v>0</v>
      </c>
      <c r="E89" s="47">
        <f t="shared" si="0"/>
        <v>6</v>
      </c>
      <c r="F89" s="85">
        <v>0</v>
      </c>
      <c r="G89" s="47">
        <f t="shared" si="4"/>
        <v>6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+'28'!G91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+'28'!G102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11"/>
        <v>4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+'28'!G103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+'28'!G125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+'28'!G126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+'28'!G128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+'28'!G161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+'28'!G162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+'28'!G163</f>
        <v>7</v>
      </c>
      <c r="D163" s="85">
        <v>0</v>
      </c>
      <c r="E163" s="47">
        <f t="shared" si="13"/>
        <v>7</v>
      </c>
      <c r="F163" s="85">
        <v>0</v>
      </c>
      <c r="G163" s="47">
        <f t="shared" si="11"/>
        <v>7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+'28'!G169</f>
        <v>38</v>
      </c>
      <c r="D169" s="85">
        <v>0</v>
      </c>
      <c r="E169" s="47">
        <f t="shared" si="13"/>
        <v>38</v>
      </c>
      <c r="F169" s="85">
        <v>0</v>
      </c>
      <c r="G169" s="47">
        <f t="shared" si="15"/>
        <v>38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+'28'!G177</f>
        <v>1</v>
      </c>
      <c r="D177" s="85">
        <v>0</v>
      </c>
      <c r="E177" s="47">
        <f t="shared" si="13"/>
        <v>1</v>
      </c>
      <c r="F177" s="85">
        <v>0</v>
      </c>
      <c r="G177" s="47">
        <f t="shared" si="15"/>
        <v>0</v>
      </c>
      <c r="H177" s="86">
        <v>1</v>
      </c>
      <c r="I177" s="20">
        <v>50</v>
      </c>
      <c r="J177" s="80">
        <f t="shared" si="16"/>
        <v>50</v>
      </c>
      <c r="K177" s="17" t="s">
        <v>16</v>
      </c>
      <c r="L177" s="18">
        <v>0</v>
      </c>
      <c r="M177" s="23">
        <f t="shared" si="14"/>
        <v>50</v>
      </c>
    </row>
    <row r="178" spans="1:13" ht="25.5" x14ac:dyDescent="0.55000000000000004">
      <c r="A178" s="10">
        <v>174</v>
      </c>
      <c r="B178" s="19" t="s">
        <v>189</v>
      </c>
      <c r="C178" s="79">
        <f>+'28'!G178</f>
        <v>2</v>
      </c>
      <c r="D178" s="85">
        <v>0</v>
      </c>
      <c r="E178" s="47">
        <f t="shared" si="13"/>
        <v>2</v>
      </c>
      <c r="F178" s="85">
        <v>0</v>
      </c>
      <c r="G178" s="47">
        <f t="shared" si="15"/>
        <v>0</v>
      </c>
      <c r="H178" s="86">
        <v>2</v>
      </c>
      <c r="I178" s="20">
        <v>120</v>
      </c>
      <c r="J178" s="80">
        <f t="shared" si="16"/>
        <v>240</v>
      </c>
      <c r="K178" s="17" t="s">
        <v>16</v>
      </c>
      <c r="L178" s="18">
        <v>0</v>
      </c>
      <c r="M178" s="23">
        <f t="shared" si="14"/>
        <v>240</v>
      </c>
    </row>
    <row r="179" spans="1:13" ht="25.5" x14ac:dyDescent="0.55000000000000004">
      <c r="A179" s="10">
        <v>175</v>
      </c>
      <c r="B179" s="19" t="s">
        <v>190</v>
      </c>
      <c r="C179" s="79">
        <f>+'28'!G179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+'28'!G189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+'28'!G190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+'28'!G205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+'28'!G206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+'28'!G207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+'28'!G208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+'28'!G209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+'28'!G211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35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245</v>
      </c>
      <c r="C212" s="79">
        <f>+'28'!G212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+'28'!G223</f>
        <v>22</v>
      </c>
      <c r="D223" s="85">
        <v>0</v>
      </c>
      <c r="E223" s="47">
        <f t="shared" si="17"/>
        <v>22</v>
      </c>
      <c r="F223" s="85">
        <v>0</v>
      </c>
      <c r="G223" s="47">
        <f t="shared" si="15"/>
        <v>21</v>
      </c>
      <c r="H223" s="86">
        <v>1</v>
      </c>
      <c r="I223" s="20">
        <v>40</v>
      </c>
      <c r="J223" s="80">
        <f t="shared" si="16"/>
        <v>40</v>
      </c>
      <c r="K223" s="17" t="s">
        <v>16</v>
      </c>
      <c r="L223" s="18">
        <v>0</v>
      </c>
      <c r="M223" s="23">
        <f t="shared" si="18"/>
        <v>40</v>
      </c>
    </row>
    <row r="224" spans="1:13" ht="25.5" x14ac:dyDescent="0.55000000000000004">
      <c r="A224" s="10">
        <v>220</v>
      </c>
      <c r="B224" s="11" t="s">
        <v>311</v>
      </c>
      <c r="C224" s="79">
        <f>+'28'!G224</f>
        <v>3</v>
      </c>
      <c r="D224" s="85">
        <v>0</v>
      </c>
      <c r="E224" s="47">
        <f t="shared" si="17"/>
        <v>3</v>
      </c>
      <c r="F224" s="85">
        <v>0</v>
      </c>
      <c r="G224" s="47">
        <f t="shared" si="15"/>
        <v>2</v>
      </c>
      <c r="H224" s="86">
        <v>1</v>
      </c>
      <c r="I224" s="20">
        <v>35</v>
      </c>
      <c r="J224" s="80">
        <f t="shared" si="16"/>
        <v>35</v>
      </c>
      <c r="K224" s="17" t="s">
        <v>16</v>
      </c>
      <c r="L224" s="18">
        <v>0</v>
      </c>
      <c r="M224" s="23">
        <f t="shared" si="18"/>
        <v>35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4770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4960</v>
      </c>
    </row>
    <row r="258" spans="1:19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1640</v>
      </c>
      <c r="L259" s="2">
        <v>50</v>
      </c>
      <c r="M259" s="2">
        <v>40</v>
      </c>
      <c r="N259" s="2">
        <v>210</v>
      </c>
      <c r="O259" s="2">
        <v>10</v>
      </c>
      <c r="P259" s="2">
        <v>210</v>
      </c>
      <c r="Q259" s="2">
        <v>120</v>
      </c>
      <c r="R259" s="2">
        <v>500</v>
      </c>
      <c r="S259" s="2">
        <v>500</v>
      </c>
    </row>
    <row r="260" spans="1:19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190</v>
      </c>
    </row>
    <row r="263" spans="1:19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3115</v>
      </c>
    </row>
    <row r="264" spans="1:19" ht="25.5" x14ac:dyDescent="0.55000000000000004">
      <c r="A264" s="1"/>
      <c r="E264" s="31"/>
      <c r="G264" s="31"/>
      <c r="I264" s="133" t="s">
        <v>209</v>
      </c>
      <c r="J264" s="134"/>
      <c r="K264" s="37">
        <v>3115</v>
      </c>
    </row>
    <row r="265" spans="1:19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66FF99"/>
  </sheetPr>
  <dimension ref="A1:Z341"/>
  <sheetViews>
    <sheetView zoomScaleNormal="100" workbookViewId="0">
      <pane xSplit="7" ySplit="4" topLeftCell="H248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P254" sqref="P25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+'29'!G5</f>
        <v>28</v>
      </c>
      <c r="D5" s="85">
        <v>0</v>
      </c>
      <c r="E5" s="47">
        <f t="shared" ref="E5:E125" si="0">C5+D5</f>
        <v>28</v>
      </c>
      <c r="F5" s="85">
        <v>0</v>
      </c>
      <c r="G5" s="47">
        <f>+E5-F5-H5</f>
        <v>27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44</v>
      </c>
      <c r="D6" s="85">
        <v>0</v>
      </c>
      <c r="E6" s="47">
        <f t="shared" si="0"/>
        <v>44</v>
      </c>
      <c r="F6" s="85">
        <v>0</v>
      </c>
      <c r="G6" s="47">
        <f t="shared" ref="G6:G100" si="4">+E6-F6-H6</f>
        <v>43</v>
      </c>
      <c r="H6" s="86">
        <v>1</v>
      </c>
      <c r="I6" s="15">
        <v>100</v>
      </c>
      <c r="J6" s="80">
        <f t="shared" ref="J6:J100" si="5">+I6*H6</f>
        <v>100</v>
      </c>
      <c r="K6" s="17" t="s">
        <v>16</v>
      </c>
      <c r="L6" s="18">
        <v>0</v>
      </c>
      <c r="M6" s="102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12</v>
      </c>
      <c r="D15" s="85">
        <v>0</v>
      </c>
      <c r="E15" s="47">
        <f t="shared" si="0"/>
        <v>12</v>
      </c>
      <c r="F15" s="85">
        <v>0</v>
      </c>
      <c r="G15" s="47">
        <f t="shared" si="4"/>
        <v>12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+'29'!G17</f>
        <v>14</v>
      </c>
      <c r="D17" s="85">
        <v>0</v>
      </c>
      <c r="E17" s="47">
        <f t="shared" si="0"/>
        <v>14</v>
      </c>
      <c r="F17" s="85">
        <v>0</v>
      </c>
      <c r="G17" s="47">
        <f t="shared" si="4"/>
        <v>14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+'29'!G19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+'29'!G23</f>
        <v>20</v>
      </c>
      <c r="D23" s="85">
        <v>0</v>
      </c>
      <c r="E23" s="47">
        <f t="shared" si="0"/>
        <v>20</v>
      </c>
      <c r="F23" s="85">
        <v>0</v>
      </c>
      <c r="G23" s="47">
        <f t="shared" si="4"/>
        <v>19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+'29'!G37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8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102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+'29'!G38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1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+'29'!G39</f>
        <v>8</v>
      </c>
      <c r="D39" s="85">
        <v>0</v>
      </c>
      <c r="E39" s="47">
        <f t="shared" si="0"/>
        <v>8</v>
      </c>
      <c r="F39" s="85">
        <v>0</v>
      </c>
      <c r="G39" s="47">
        <f t="shared" si="4"/>
        <v>8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+'29'!G40</f>
        <v>21</v>
      </c>
      <c r="D40" s="85">
        <v>0</v>
      </c>
      <c r="E40" s="47">
        <f t="shared" si="0"/>
        <v>21</v>
      </c>
      <c r="F40" s="85">
        <v>0</v>
      </c>
      <c r="G40" s="47">
        <f t="shared" si="4"/>
        <v>21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+'29'!G41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4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+'29'!G43</f>
        <v>22</v>
      </c>
      <c r="D43" s="85">
        <v>0</v>
      </c>
      <c r="E43" s="47">
        <f t="shared" si="0"/>
        <v>22</v>
      </c>
      <c r="F43" s="85">
        <v>0</v>
      </c>
      <c r="G43" s="47">
        <f t="shared" si="4"/>
        <v>22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+'29'!G44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3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+'29'!G46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11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102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+'29'!G47</f>
        <v>8</v>
      </c>
      <c r="D47" s="85">
        <v>0</v>
      </c>
      <c r="E47" s="47">
        <f t="shared" si="0"/>
        <v>8</v>
      </c>
      <c r="F47" s="85">
        <v>0</v>
      </c>
      <c r="G47" s="47">
        <f t="shared" si="4"/>
        <v>6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102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+'29'!G48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5</v>
      </c>
      <c r="D61" s="85">
        <v>0</v>
      </c>
      <c r="E61" s="47">
        <f t="shared" si="0"/>
        <v>5</v>
      </c>
      <c r="F61" s="85">
        <v>0</v>
      </c>
      <c r="G61" s="47">
        <f t="shared" si="4"/>
        <v>5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5</v>
      </c>
      <c r="D66" s="85">
        <v>0</v>
      </c>
      <c r="E66" s="47">
        <f t="shared" si="0"/>
        <v>5</v>
      </c>
      <c r="F66" s="85">
        <v>0</v>
      </c>
      <c r="G66" s="47">
        <f t="shared" si="4"/>
        <v>5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3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25</v>
      </c>
      <c r="M67" s="102">
        <f t="shared" si="6"/>
        <v>75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8</v>
      </c>
      <c r="D70" s="85">
        <v>0</v>
      </c>
      <c r="E70" s="47">
        <f t="shared" si="0"/>
        <v>8</v>
      </c>
      <c r="F70" s="85">
        <v>0</v>
      </c>
      <c r="G70" s="47">
        <f t="shared" si="4"/>
        <v>7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102">
        <f t="shared" ref="M70:M134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+'29'!G71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6</v>
      </c>
      <c r="D74" s="85">
        <v>0</v>
      </c>
      <c r="E74" s="47">
        <f t="shared" si="0"/>
        <v>6</v>
      </c>
      <c r="F74" s="85">
        <v>0</v>
      </c>
      <c r="G74" s="47">
        <f t="shared" si="4"/>
        <v>4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+'29'!G79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+'29'!G80</f>
        <v>8</v>
      </c>
      <c r="D80" s="85">
        <v>0</v>
      </c>
      <c r="E80" s="47">
        <f t="shared" si="0"/>
        <v>8</v>
      </c>
      <c r="F80" s="85">
        <v>0</v>
      </c>
      <c r="G80" s="47">
        <f t="shared" si="4"/>
        <v>7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0</v>
      </c>
      <c r="M80" s="23">
        <f t="shared" si="10"/>
        <v>50</v>
      </c>
    </row>
    <row r="81" spans="1:13" ht="25.5" x14ac:dyDescent="0.55000000000000004">
      <c r="A81" s="10">
        <v>77</v>
      </c>
      <c r="B81" s="19" t="s">
        <v>91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+'29'!G85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+'29'!G86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6</v>
      </c>
      <c r="H86" s="86"/>
      <c r="I86" s="22">
        <v>100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97</v>
      </c>
      <c r="C87" s="79">
        <f>+'29'!G87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6</v>
      </c>
      <c r="H87" s="86">
        <v>1</v>
      </c>
      <c r="I87" s="20">
        <v>55</v>
      </c>
      <c r="J87" s="80">
        <f t="shared" si="5"/>
        <v>55</v>
      </c>
      <c r="K87" s="17" t="s">
        <v>16</v>
      </c>
      <c r="L87" s="18">
        <v>0</v>
      </c>
      <c r="M87" s="102">
        <f t="shared" si="10"/>
        <v>55</v>
      </c>
    </row>
    <row r="88" spans="1:13" ht="25.5" x14ac:dyDescent="0.55000000000000004">
      <c r="A88" s="10">
        <v>84</v>
      </c>
      <c r="B88" s="19" t="s">
        <v>98</v>
      </c>
      <c r="C88" s="79">
        <f>+'29'!G88</f>
        <v>8</v>
      </c>
      <c r="D88" s="85">
        <v>0</v>
      </c>
      <c r="E88" s="47">
        <f t="shared" si="0"/>
        <v>8</v>
      </c>
      <c r="F88" s="85">
        <v>0</v>
      </c>
      <c r="G88" s="47">
        <f t="shared" si="4"/>
        <v>8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+'29'!G89</f>
        <v>6</v>
      </c>
      <c r="D89" s="85">
        <v>0</v>
      </c>
      <c r="E89" s="47">
        <f t="shared" si="0"/>
        <v>6</v>
      </c>
      <c r="F89" s="85">
        <v>0</v>
      </c>
      <c r="G89" s="47">
        <f t="shared" si="4"/>
        <v>6</v>
      </c>
      <c r="H89" s="86"/>
      <c r="I89" s="20">
        <v>100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100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+'29'!G91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+'29'!G102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11"/>
        <v>4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+'29'!G103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+'29'!G125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+'29'!G126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+'29'!G127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+'29'!G128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+'29'!G129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+'29'!G130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+'29'!G131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+'29'!G132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+'29'!G133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+'29'!G134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+'29'!G135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+'29'!G136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+'29'!G137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+'29'!G138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+'29'!G139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+'29'!G140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+'29'!G141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+'29'!G142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+'29'!G143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+'29'!G144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+'29'!G145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+'29'!G146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+'29'!G147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+'29'!G148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+'29'!G149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+'29'!G150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+'29'!G151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+'29'!G152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+'29'!G153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+'29'!G154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+'29'!G155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+'29'!G156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+'29'!G157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+'29'!G158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+'29'!G159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+'29'!G160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+'29'!G161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+'29'!G162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+'29'!G163</f>
        <v>7</v>
      </c>
      <c r="D163" s="85">
        <v>0</v>
      </c>
      <c r="E163" s="47">
        <f t="shared" si="13"/>
        <v>7</v>
      </c>
      <c r="F163" s="85">
        <v>0</v>
      </c>
      <c r="G163" s="47">
        <f t="shared" si="11"/>
        <v>7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+'29'!G164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+'29'!G165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+'29'!G166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+'29'!G167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+'29'!G168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+'29'!G169</f>
        <v>38</v>
      </c>
      <c r="D169" s="85">
        <v>0</v>
      </c>
      <c r="E169" s="47">
        <f t="shared" si="13"/>
        <v>38</v>
      </c>
      <c r="F169" s="85">
        <v>0</v>
      </c>
      <c r="G169" s="47">
        <f t="shared" si="15"/>
        <v>38</v>
      </c>
      <c r="H169" s="86"/>
      <c r="I169" s="20">
        <v>55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181</v>
      </c>
      <c r="C170" s="79">
        <f>+'29'!G170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+'29'!G171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+'29'!G172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+'29'!G173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+'29'!G174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+'29'!G175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+'29'!G176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+'29'!G177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+'29'!G178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+'29'!G179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+'29'!G180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+'29'!G181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+'29'!G182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+'29'!G183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+'29'!G184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+'29'!G185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+'29'!G186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+'29'!G187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+'29'!G189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+'29'!G190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+'29'!G199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+'29'!G200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+'29'!G201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+'29'!G202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+'29'!G203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+'29'!G204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+'29'!G205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+'29'!G206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+'29'!G207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+'29'!G208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+'29'!G209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+'29'!G210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v>5</v>
      </c>
      <c r="D211" s="85">
        <v>0</v>
      </c>
      <c r="E211" s="47">
        <f t="shared" si="17"/>
        <v>5</v>
      </c>
      <c r="F211" s="85">
        <v>0</v>
      </c>
      <c r="G211" s="47">
        <f t="shared" si="15"/>
        <v>4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23">
        <f t="shared" si="18"/>
        <v>35</v>
      </c>
    </row>
    <row r="212" spans="1:13" ht="25.5" x14ac:dyDescent="0.55000000000000004">
      <c r="A212" s="10">
        <v>208</v>
      </c>
      <c r="B212" s="11" t="s">
        <v>245</v>
      </c>
      <c r="C212" s="79">
        <f>+'29'!G212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+'29'!G213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+'29'!G214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+'29'!G215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+'29'!G216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+'29'!G217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+'29'!G218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+'29'!G219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+'29'!G220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+'29'!G221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+'29'!G222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+'29'!G223</f>
        <v>21</v>
      </c>
      <c r="D223" s="85">
        <v>0</v>
      </c>
      <c r="E223" s="47">
        <f t="shared" si="17"/>
        <v>21</v>
      </c>
      <c r="F223" s="85">
        <v>0</v>
      </c>
      <c r="G223" s="47">
        <f t="shared" si="15"/>
        <v>21</v>
      </c>
      <c r="H223" s="86"/>
      <c r="I223" s="20">
        <v>40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 t="s">
        <v>311</v>
      </c>
      <c r="C224" s="79">
        <f>+'29'!G224</f>
        <v>2</v>
      </c>
      <c r="D224" s="85">
        <v>0</v>
      </c>
      <c r="E224" s="47">
        <f t="shared" si="17"/>
        <v>2</v>
      </c>
      <c r="F224" s="85">
        <v>0</v>
      </c>
      <c r="G224" s="47">
        <f t="shared" si="15"/>
        <v>1</v>
      </c>
      <c r="H224" s="86">
        <v>1</v>
      </c>
      <c r="I224" s="20">
        <v>35</v>
      </c>
      <c r="J224" s="80">
        <f t="shared" si="16"/>
        <v>35</v>
      </c>
      <c r="K224" s="17" t="s">
        <v>16</v>
      </c>
      <c r="L224" s="18">
        <v>0</v>
      </c>
      <c r="M224" s="23">
        <f t="shared" si="18"/>
        <v>35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1065</v>
      </c>
    </row>
    <row r="258" spans="1:12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50</v>
      </c>
      <c r="L259" s="2">
        <v>50</v>
      </c>
    </row>
    <row r="260" spans="1:12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2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2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25</v>
      </c>
    </row>
    <row r="263" spans="1:12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975</v>
      </c>
    </row>
    <row r="264" spans="1:12" ht="25.5" x14ac:dyDescent="0.55000000000000004">
      <c r="A264" s="1"/>
      <c r="E264" s="31"/>
      <c r="G264" s="31"/>
      <c r="I264" s="133" t="s">
        <v>209</v>
      </c>
      <c r="J264" s="134"/>
      <c r="K264" s="37">
        <v>990</v>
      </c>
    </row>
    <row r="265" spans="1:12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15</v>
      </c>
    </row>
    <row r="266" spans="1:12" ht="25.5" x14ac:dyDescent="0.55000000000000004">
      <c r="G266" s="2"/>
      <c r="I266" s="133" t="s">
        <v>211</v>
      </c>
      <c r="J266" s="134"/>
      <c r="K266" s="33">
        <f>+K264-K263</f>
        <v>15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66FF99"/>
  </sheetPr>
  <dimension ref="A1:Z341"/>
  <sheetViews>
    <sheetView zoomScale="130" zoomScaleNormal="130" workbookViewId="0">
      <pane xSplit="7" ySplit="4" topLeftCell="H254" activePane="bottomRight" state="frozen"/>
      <selection activeCell="A76" sqref="A76:A254"/>
      <selection pane="topRight" activeCell="A76" sqref="A76:A254"/>
      <selection pane="bottomLeft" activeCell="A76" sqref="A76:A254"/>
      <selection pane="bottomRight" activeCell="O260" sqref="O26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274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+'30'!G5</f>
        <v>27</v>
      </c>
      <c r="D5" s="85">
        <v>0</v>
      </c>
      <c r="E5" s="47">
        <f t="shared" ref="E5:E125" si="0">C5+D5</f>
        <v>27</v>
      </c>
      <c r="F5" s="85">
        <v>0</v>
      </c>
      <c r="G5" s="47">
        <f>+E5-F5-H5</f>
        <v>25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2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43</v>
      </c>
      <c r="D6" s="85">
        <v>0</v>
      </c>
      <c r="E6" s="47">
        <f t="shared" si="0"/>
        <v>43</v>
      </c>
      <c r="F6" s="85">
        <v>0</v>
      </c>
      <c r="G6" s="47">
        <f t="shared" ref="G6:G100" si="4">+E6-F6-H6</f>
        <v>38</v>
      </c>
      <c r="H6" s="86">
        <v>5</v>
      </c>
      <c r="I6" s="15">
        <v>100</v>
      </c>
      <c r="J6" s="80">
        <f t="shared" ref="J6:J100" si="5">+I6*H6</f>
        <v>500</v>
      </c>
      <c r="K6" s="17" t="s">
        <v>16</v>
      </c>
      <c r="L6" s="18">
        <v>0</v>
      </c>
      <c r="M6" s="102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0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102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1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12</v>
      </c>
      <c r="D15" s="85">
        <v>0</v>
      </c>
      <c r="E15" s="47">
        <f t="shared" si="0"/>
        <v>12</v>
      </c>
      <c r="F15" s="85">
        <v>0</v>
      </c>
      <c r="G15" s="47">
        <f t="shared" si="4"/>
        <v>10</v>
      </c>
      <c r="H15" s="86">
        <v>2</v>
      </c>
      <c r="I15" s="20">
        <v>50</v>
      </c>
      <c r="J15" s="80">
        <f t="shared" si="5"/>
        <v>100</v>
      </c>
      <c r="K15" s="17" t="s">
        <v>16</v>
      </c>
      <c r="L15" s="18">
        <v>0</v>
      </c>
      <c r="M15" s="102">
        <f t="shared" si="6"/>
        <v>100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+'30'!G17</f>
        <v>14</v>
      </c>
      <c r="D17" s="85">
        <v>0</v>
      </c>
      <c r="E17" s="47">
        <f t="shared" si="0"/>
        <v>14</v>
      </c>
      <c r="F17" s="85">
        <v>0</v>
      </c>
      <c r="G17" s="47">
        <f t="shared" si="4"/>
        <v>11</v>
      </c>
      <c r="H17" s="86">
        <v>3</v>
      </c>
      <c r="I17" s="15">
        <v>50</v>
      </c>
      <c r="J17" s="80">
        <f t="shared" si="5"/>
        <v>150</v>
      </c>
      <c r="K17" s="17" t="s">
        <v>16</v>
      </c>
      <c r="L17" s="18">
        <v>25</v>
      </c>
      <c r="M17" s="102">
        <f t="shared" si="6"/>
        <v>125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+'30'!G19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3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102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+'30'!G23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16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102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+'30'!G37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0</v>
      </c>
      <c r="H37" s="86">
        <v>8</v>
      </c>
      <c r="I37" s="15">
        <v>100</v>
      </c>
      <c r="J37" s="80">
        <f t="shared" si="5"/>
        <v>800</v>
      </c>
      <c r="K37" s="17" t="s">
        <v>16</v>
      </c>
      <c r="L37" s="18">
        <v>0</v>
      </c>
      <c r="M37" s="102">
        <f t="shared" si="6"/>
        <v>800</v>
      </c>
    </row>
    <row r="38" spans="1:13" ht="25.5" x14ac:dyDescent="0.55000000000000004">
      <c r="A38" s="10">
        <v>34</v>
      </c>
      <c r="B38" s="19" t="s">
        <v>49</v>
      </c>
      <c r="C38" s="79">
        <f>+'30'!G38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0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102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+'30'!G39</f>
        <v>8</v>
      </c>
      <c r="D39" s="85">
        <v>0</v>
      </c>
      <c r="E39" s="47">
        <f t="shared" si="0"/>
        <v>8</v>
      </c>
      <c r="F39" s="85">
        <v>0</v>
      </c>
      <c r="G39" s="47">
        <f t="shared" si="4"/>
        <v>8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+'30'!G40</f>
        <v>21</v>
      </c>
      <c r="D40" s="85">
        <v>0</v>
      </c>
      <c r="E40" s="47">
        <f t="shared" si="0"/>
        <v>21</v>
      </c>
      <c r="F40" s="85">
        <v>0</v>
      </c>
      <c r="G40" s="47">
        <f t="shared" si="4"/>
        <v>18</v>
      </c>
      <c r="H40" s="86">
        <v>3</v>
      </c>
      <c r="I40" s="15">
        <v>50</v>
      </c>
      <c r="J40" s="80">
        <f t="shared" si="5"/>
        <v>150</v>
      </c>
      <c r="K40" s="17" t="s">
        <v>16</v>
      </c>
      <c r="L40" s="18">
        <v>75</v>
      </c>
      <c r="M40" s="102">
        <f t="shared" si="6"/>
        <v>75</v>
      </c>
    </row>
    <row r="41" spans="1:13" ht="25.5" x14ac:dyDescent="0.55000000000000004">
      <c r="A41" s="10">
        <v>37</v>
      </c>
      <c r="B41" s="19" t="s">
        <v>52</v>
      </c>
      <c r="C41" s="79">
        <f>+'30'!G41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3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102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+'30'!G42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+'30'!G43</f>
        <v>22</v>
      </c>
      <c r="D43" s="85">
        <v>0</v>
      </c>
      <c r="E43" s="47">
        <f t="shared" si="0"/>
        <v>22</v>
      </c>
      <c r="F43" s="85">
        <v>0</v>
      </c>
      <c r="G43" s="47">
        <f t="shared" si="4"/>
        <v>22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+'30'!G44</f>
        <v>3</v>
      </c>
      <c r="D44" s="85">
        <v>0</v>
      </c>
      <c r="E44" s="47">
        <f t="shared" si="0"/>
        <v>3</v>
      </c>
      <c r="F44" s="85">
        <v>1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+'30'!G46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7</v>
      </c>
      <c r="H46" s="86">
        <v>4</v>
      </c>
      <c r="I46" s="15">
        <v>50</v>
      </c>
      <c r="J46" s="80">
        <f t="shared" si="5"/>
        <v>200</v>
      </c>
      <c r="K46" s="17" t="s">
        <v>16</v>
      </c>
      <c r="L46" s="18">
        <v>100</v>
      </c>
      <c r="M46" s="102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6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102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+'30'!G48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0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2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1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5</v>
      </c>
      <c r="D61" s="85">
        <v>0</v>
      </c>
      <c r="E61" s="47">
        <f t="shared" si="0"/>
        <v>5</v>
      </c>
      <c r="F61" s="85">
        <v>0</v>
      </c>
      <c r="G61" s="47">
        <f t="shared" si="4"/>
        <v>3</v>
      </c>
      <c r="H61" s="86">
        <v>2</v>
      </c>
      <c r="I61" s="15">
        <v>50</v>
      </c>
      <c r="J61" s="80">
        <f t="shared" si="5"/>
        <v>100</v>
      </c>
      <c r="K61" s="17" t="s">
        <v>16</v>
      </c>
      <c r="L61" s="18">
        <v>50</v>
      </c>
      <c r="M61" s="102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2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102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5</v>
      </c>
      <c r="D66" s="85">
        <v>0</v>
      </c>
      <c r="E66" s="47">
        <f t="shared" si="0"/>
        <v>5</v>
      </c>
      <c r="F66" s="85">
        <v>0</v>
      </c>
      <c r="G66" s="47">
        <f t="shared" si="4"/>
        <v>4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3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7</v>
      </c>
      <c r="D70" s="85">
        <v>0</v>
      </c>
      <c r="E70" s="47">
        <f t="shared" si="0"/>
        <v>7</v>
      </c>
      <c r="F70" s="85">
        <v>0</v>
      </c>
      <c r="G70" s="47">
        <f t="shared" si="4"/>
        <v>7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4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2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3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+'30'!G77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1" t="s">
        <v>303</v>
      </c>
      <c r="C79" s="79">
        <f>+'30'!G79</f>
        <v>0</v>
      </c>
      <c r="D79" s="85">
        <v>0</v>
      </c>
      <c r="E79" s="47">
        <f>C79+D79</f>
        <v>0</v>
      </c>
      <c r="F79" s="85">
        <v>0</v>
      </c>
      <c r="G79" s="47">
        <f>+E79-F79-H79</f>
        <v>0</v>
      </c>
      <c r="H79" s="86"/>
      <c r="I79" s="20">
        <v>50</v>
      </c>
      <c r="J79" s="80">
        <f>+I79*H79</f>
        <v>0</v>
      </c>
      <c r="K79" s="17" t="s">
        <v>16</v>
      </c>
      <c r="L79" s="18">
        <v>0</v>
      </c>
      <c r="M79" s="23">
        <f>SUM(J79-L79)</f>
        <v>0</v>
      </c>
    </row>
    <row r="80" spans="1:13" ht="25.5" x14ac:dyDescent="0.55000000000000004">
      <c r="A80" s="10">
        <v>76</v>
      </c>
      <c r="B80" s="19" t="s">
        <v>247</v>
      </c>
      <c r="C80" s="79">
        <f>+'30'!G80</f>
        <v>7</v>
      </c>
      <c r="D80" s="85">
        <v>0</v>
      </c>
      <c r="E80" s="47">
        <f t="shared" si="0"/>
        <v>7</v>
      </c>
      <c r="F80" s="85">
        <v>0</v>
      </c>
      <c r="G80" s="47">
        <f t="shared" si="4"/>
        <v>6</v>
      </c>
      <c r="H80" s="86">
        <v>1</v>
      </c>
      <c r="I80" s="22">
        <v>50</v>
      </c>
      <c r="J80" s="80">
        <f t="shared" si="5"/>
        <v>50</v>
      </c>
      <c r="K80" s="17" t="s">
        <v>16</v>
      </c>
      <c r="L80" s="18">
        <v>25</v>
      </c>
      <c r="M80" s="23">
        <f t="shared" si="10"/>
        <v>25</v>
      </c>
    </row>
    <row r="81" spans="1:13" ht="25.5" x14ac:dyDescent="0.55000000000000004">
      <c r="A81" s="10">
        <v>77</v>
      </c>
      <c r="B81" s="19" t="s">
        <v>91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2">
        <v>50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92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93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94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95</v>
      </c>
      <c r="C85" s="79">
        <f>+'30'!G85</f>
        <v>0</v>
      </c>
      <c r="D85" s="85">
        <v>0</v>
      </c>
      <c r="E85" s="47">
        <f t="shared" si="0"/>
        <v>0</v>
      </c>
      <c r="F85" s="85">
        <v>0</v>
      </c>
      <c r="G85" s="47">
        <f t="shared" si="4"/>
        <v>0</v>
      </c>
      <c r="H85" s="86"/>
      <c r="I85" s="22">
        <v>55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96</v>
      </c>
      <c r="C86" s="79">
        <f>+'30'!G86</f>
        <v>6</v>
      </c>
      <c r="D86" s="85">
        <v>0</v>
      </c>
      <c r="E86" s="47">
        <f t="shared" si="0"/>
        <v>6</v>
      </c>
      <c r="F86" s="85">
        <v>0</v>
      </c>
      <c r="G86" s="47">
        <f t="shared" si="4"/>
        <v>5</v>
      </c>
      <c r="H86" s="86">
        <v>1</v>
      </c>
      <c r="I86" s="22">
        <v>100</v>
      </c>
      <c r="J86" s="80">
        <f t="shared" si="5"/>
        <v>100</v>
      </c>
      <c r="K86" s="17" t="s">
        <v>16</v>
      </c>
      <c r="L86" s="18">
        <v>0</v>
      </c>
      <c r="M86" s="23">
        <f t="shared" si="10"/>
        <v>100</v>
      </c>
    </row>
    <row r="87" spans="1:13" ht="25.5" x14ac:dyDescent="0.55000000000000004">
      <c r="A87" s="10">
        <v>83</v>
      </c>
      <c r="B87" s="19" t="s">
        <v>97</v>
      </c>
      <c r="C87" s="79">
        <f>+'30'!G87</f>
        <v>6</v>
      </c>
      <c r="D87" s="85">
        <v>0</v>
      </c>
      <c r="E87" s="47">
        <f t="shared" si="0"/>
        <v>6</v>
      </c>
      <c r="F87" s="85">
        <v>0</v>
      </c>
      <c r="G87" s="47">
        <f t="shared" si="4"/>
        <v>6</v>
      </c>
      <c r="H87" s="86"/>
      <c r="I87" s="20">
        <v>55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98</v>
      </c>
      <c r="C88" s="79">
        <f>+'30'!G88</f>
        <v>8</v>
      </c>
      <c r="D88" s="85">
        <v>0</v>
      </c>
      <c r="E88" s="47">
        <f t="shared" si="0"/>
        <v>8</v>
      </c>
      <c r="F88" s="85">
        <v>0</v>
      </c>
      <c r="G88" s="47">
        <f t="shared" si="4"/>
        <v>8</v>
      </c>
      <c r="H88" s="86"/>
      <c r="I88" s="20">
        <v>60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99</v>
      </c>
      <c r="C89" s="79">
        <f>+'30'!G89</f>
        <v>6</v>
      </c>
      <c r="D89" s="85">
        <v>0</v>
      </c>
      <c r="E89" s="47">
        <f t="shared" si="0"/>
        <v>6</v>
      </c>
      <c r="F89" s="85">
        <v>0</v>
      </c>
      <c r="G89" s="47">
        <f t="shared" si="4"/>
        <v>5</v>
      </c>
      <c r="H89" s="86">
        <v>1</v>
      </c>
      <c r="I89" s="20">
        <v>100</v>
      </c>
      <c r="J89" s="80">
        <f t="shared" si="5"/>
        <v>100</v>
      </c>
      <c r="K89" s="17" t="s">
        <v>16</v>
      </c>
      <c r="L89" s="18">
        <v>0</v>
      </c>
      <c r="M89" s="23">
        <f t="shared" si="10"/>
        <v>100</v>
      </c>
    </row>
    <row r="90" spans="1:13" ht="25.5" x14ac:dyDescent="0.55000000000000004">
      <c r="A90" s="10">
        <v>86</v>
      </c>
      <c r="B90" s="19" t="s">
        <v>100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55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101</v>
      </c>
      <c r="C91" s="79">
        <f>+'30'!G91</f>
        <v>1</v>
      </c>
      <c r="D91" s="85">
        <v>0</v>
      </c>
      <c r="E91" s="47">
        <f t="shared" si="0"/>
        <v>1</v>
      </c>
      <c r="F91" s="85">
        <v>0</v>
      </c>
      <c r="G91" s="47">
        <f t="shared" si="4"/>
        <v>1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102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50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103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2">
        <v>120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104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250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105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106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107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108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45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109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110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si="4"/>
        <v>0</v>
      </c>
      <c r="H100" s="86"/>
      <c r="I100" s="20">
        <v>50</v>
      </c>
      <c r="J100" s="80">
        <f t="shared" si="5"/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111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ref="G101:G164" si="11">+E101-F101-H101</f>
        <v>0</v>
      </c>
      <c r="H101" s="86"/>
      <c r="I101" s="20">
        <v>60</v>
      </c>
      <c r="J101" s="80">
        <f t="shared" ref="J101:J164" si="12">+I101*H101</f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239</v>
      </c>
      <c r="C102" s="79">
        <f>+'30'!G102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11"/>
        <v>4</v>
      </c>
      <c r="H102" s="86"/>
      <c r="I102" s="20">
        <v>55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113</v>
      </c>
      <c r="C103" s="79">
        <f>+'30'!G103</f>
        <v>1</v>
      </c>
      <c r="D103" s="85">
        <v>0</v>
      </c>
      <c r="E103" s="47">
        <f t="shared" si="0"/>
        <v>1</v>
      </c>
      <c r="F103" s="85">
        <v>0</v>
      </c>
      <c r="G103" s="47">
        <f t="shared" si="11"/>
        <v>1</v>
      </c>
      <c r="H103" s="86"/>
      <c r="I103" s="20">
        <v>50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114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115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0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116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30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117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2">
        <v>20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118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100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120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80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121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60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122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123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40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35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79">
        <f>+'30'!G125</f>
        <v>0</v>
      </c>
      <c r="D125" s="85">
        <v>0</v>
      </c>
      <c r="E125" s="47">
        <f t="shared" si="0"/>
        <v>0</v>
      </c>
      <c r="F125" s="85">
        <v>0</v>
      </c>
      <c r="G125" s="47">
        <f t="shared" si="11"/>
        <v>0</v>
      </c>
      <c r="H125" s="86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79">
        <f>+'30'!G126</f>
        <v>0</v>
      </c>
      <c r="D126" s="85">
        <v>0</v>
      </c>
      <c r="E126" s="47">
        <f t="shared" ref="E126:E189" si="13">C126+D126</f>
        <v>0</v>
      </c>
      <c r="F126" s="85">
        <v>0</v>
      </c>
      <c r="G126" s="47">
        <f t="shared" si="11"/>
        <v>0</v>
      </c>
      <c r="H126" s="86"/>
      <c r="I126" s="20">
        <v>30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79">
        <f>+'30'!G127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1"/>
        <v>0</v>
      </c>
      <c r="H127" s="86"/>
      <c r="I127" s="20">
        <v>40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79">
        <f>+'30'!G128</f>
        <v>66</v>
      </c>
      <c r="D128" s="85">
        <v>0</v>
      </c>
      <c r="E128" s="47">
        <f t="shared" si="13"/>
        <v>66</v>
      </c>
      <c r="F128" s="85">
        <v>0</v>
      </c>
      <c r="G128" s="47">
        <f t="shared" si="11"/>
        <v>66</v>
      </c>
      <c r="H128" s="86"/>
      <c r="I128" s="20">
        <v>20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79">
        <f>+'30'!G129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35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79">
        <f>+'30'!G130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40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79">
        <f>+'30'!G131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79">
        <f>+'30'!G132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79">
        <f>+'30'!G133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79">
        <f>+'30'!G134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si="10"/>
        <v>0</v>
      </c>
    </row>
    <row r="135" spans="1:13" ht="25.5" x14ac:dyDescent="0.55000000000000004">
      <c r="A135" s="10">
        <v>131</v>
      </c>
      <c r="B135" s="19" t="s">
        <v>146</v>
      </c>
      <c r="C135" s="79">
        <f>+'30'!G135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ref="M135:M198" si="14">SUM(J135-L135)</f>
        <v>0</v>
      </c>
    </row>
    <row r="136" spans="1:13" ht="25.5" x14ac:dyDescent="0.55000000000000004">
      <c r="A136" s="10">
        <v>132</v>
      </c>
      <c r="B136" s="19" t="s">
        <v>147</v>
      </c>
      <c r="C136" s="79">
        <f>+'30'!G136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55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148</v>
      </c>
      <c r="C137" s="79">
        <f>+'30'!G137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149</v>
      </c>
      <c r="C138" s="79">
        <f>+'30'!G138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150</v>
      </c>
      <c r="C139" s="79">
        <f>+'30'!G139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151</v>
      </c>
      <c r="C140" s="79">
        <f>+'30'!G140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152</v>
      </c>
      <c r="C141" s="79">
        <f>+'30'!G141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153</v>
      </c>
      <c r="C142" s="79">
        <f>+'30'!G142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154</v>
      </c>
      <c r="C143" s="79">
        <f>+'30'!G143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155</v>
      </c>
      <c r="C144" s="79">
        <f>+'30'!G144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156</v>
      </c>
      <c r="C145" s="79">
        <f>+'30'!G145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157</v>
      </c>
      <c r="C146" s="79">
        <f>+'30'!G146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158</v>
      </c>
      <c r="C147" s="79">
        <f>+'30'!G147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159</v>
      </c>
      <c r="C148" s="79">
        <f>+'30'!G148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160</v>
      </c>
      <c r="C149" s="79">
        <f>+'30'!G149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161</v>
      </c>
      <c r="C150" s="79">
        <f>+'30'!G150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26" ht="25.5" x14ac:dyDescent="0.55000000000000004">
      <c r="A151" s="10">
        <v>147</v>
      </c>
      <c r="B151" s="19" t="s">
        <v>248</v>
      </c>
      <c r="C151" s="79">
        <f>+'30'!G151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150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163</v>
      </c>
      <c r="C152" s="79">
        <f>+'30'!G152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  <c r="Z152" s="29"/>
    </row>
    <row r="153" spans="1:26" ht="25.5" x14ac:dyDescent="0.55000000000000004">
      <c r="A153" s="10">
        <v>149</v>
      </c>
      <c r="B153" s="19" t="s">
        <v>164</v>
      </c>
      <c r="C153" s="79">
        <f>+'30'!G153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165</v>
      </c>
      <c r="C154" s="79">
        <f>+'30'!G154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120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166</v>
      </c>
      <c r="C155" s="79">
        <f>+'30'!G155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167</v>
      </c>
      <c r="C156" s="79">
        <f>+'30'!G156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168</v>
      </c>
      <c r="C157" s="79">
        <f>+'30'!G157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169</v>
      </c>
      <c r="C158" s="79">
        <f>+'30'!G158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170</v>
      </c>
      <c r="C159" s="79">
        <f>+'30'!G159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135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171</v>
      </c>
      <c r="C160" s="79">
        <f>+'30'!G160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172</v>
      </c>
      <c r="C161" s="79">
        <f>+'30'!G161</f>
        <v>8</v>
      </c>
      <c r="D161" s="85">
        <v>0</v>
      </c>
      <c r="E161" s="47">
        <f t="shared" si="13"/>
        <v>8</v>
      </c>
      <c r="F161" s="85">
        <v>0</v>
      </c>
      <c r="G161" s="47">
        <f t="shared" si="11"/>
        <v>8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173</v>
      </c>
      <c r="C162" s="79">
        <f>+'30'!G162</f>
        <v>4</v>
      </c>
      <c r="D162" s="85">
        <v>0</v>
      </c>
      <c r="E162" s="47">
        <f t="shared" si="13"/>
        <v>4</v>
      </c>
      <c r="F162" s="85">
        <v>0</v>
      </c>
      <c r="G162" s="47">
        <f t="shared" si="11"/>
        <v>4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174</v>
      </c>
      <c r="C163" s="79">
        <f>+'30'!G163</f>
        <v>7</v>
      </c>
      <c r="D163" s="85">
        <v>0</v>
      </c>
      <c r="E163" s="47">
        <f t="shared" si="13"/>
        <v>7</v>
      </c>
      <c r="F163" s="85">
        <v>0</v>
      </c>
      <c r="G163" s="47">
        <f t="shared" si="11"/>
        <v>7</v>
      </c>
      <c r="H163" s="86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175</v>
      </c>
      <c r="C164" s="79">
        <f>+'30'!G164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si="11"/>
        <v>0</v>
      </c>
      <c r="H164" s="86"/>
      <c r="I164" s="20">
        <v>25</v>
      </c>
      <c r="J164" s="80">
        <f t="shared" si="12"/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176</v>
      </c>
      <c r="C165" s="79">
        <f>+'30'!G165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ref="G165:G227" si="15">+E165-F165-H165</f>
        <v>0</v>
      </c>
      <c r="H165" s="86"/>
      <c r="I165" s="20">
        <v>50</v>
      </c>
      <c r="J165" s="80">
        <f t="shared" ref="J165:J227" si="16">+I165*H165</f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177</v>
      </c>
      <c r="C166" s="79">
        <f>+'30'!G166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178</v>
      </c>
      <c r="C167" s="79">
        <f>+'30'!G167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179</v>
      </c>
      <c r="C168" s="79">
        <f>+'30'!G168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180</v>
      </c>
      <c r="C169" s="79">
        <f>+'30'!G169</f>
        <v>38</v>
      </c>
      <c r="D169" s="85">
        <v>0</v>
      </c>
      <c r="E169" s="47">
        <f t="shared" si="13"/>
        <v>38</v>
      </c>
      <c r="F169" s="85">
        <v>0</v>
      </c>
      <c r="G169" s="47">
        <f t="shared" si="15"/>
        <v>36</v>
      </c>
      <c r="H169" s="86">
        <v>2</v>
      </c>
      <c r="I169" s="20">
        <v>55</v>
      </c>
      <c r="J169" s="80">
        <f t="shared" si="16"/>
        <v>110</v>
      </c>
      <c r="K169" s="17" t="s">
        <v>16</v>
      </c>
      <c r="L169" s="18">
        <v>0</v>
      </c>
      <c r="M169" s="23">
        <f t="shared" si="14"/>
        <v>110</v>
      </c>
    </row>
    <row r="170" spans="1:13" ht="25.5" x14ac:dyDescent="0.55000000000000004">
      <c r="A170" s="10">
        <v>166</v>
      </c>
      <c r="B170" s="19" t="s">
        <v>181</v>
      </c>
      <c r="C170" s="79">
        <f>+'30'!G170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182</v>
      </c>
      <c r="C171" s="79">
        <f>+'30'!G171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80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183</v>
      </c>
      <c r="C172" s="79">
        <f>+'30'!G172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40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184</v>
      </c>
      <c r="C173" s="79">
        <f>+'30'!G173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185</v>
      </c>
      <c r="C174" s="79">
        <f>+'30'!G174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186</v>
      </c>
      <c r="C175" s="79">
        <f>+'30'!G175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55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187</v>
      </c>
      <c r="C176" s="79">
        <f>+'30'!G176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188</v>
      </c>
      <c r="C177" s="79">
        <f>+'30'!G177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189</v>
      </c>
      <c r="C178" s="79">
        <f>+'30'!G178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190</v>
      </c>
      <c r="C179" s="79">
        <f>+'30'!G179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191</v>
      </c>
      <c r="C180" s="79">
        <f>+'30'!G180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10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192</v>
      </c>
      <c r="C181" s="79">
        <f>+'30'!G181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35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193</v>
      </c>
      <c r="C182" s="79">
        <f>+'30'!G182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194</v>
      </c>
      <c r="C183" s="79">
        <f>+'30'!G183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195</v>
      </c>
      <c r="C184" s="79">
        <f>+'30'!G184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196</v>
      </c>
      <c r="C185" s="79">
        <f>+'30'!G185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197</v>
      </c>
      <c r="C186" s="79">
        <f>+'30'!G186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198</v>
      </c>
      <c r="C187" s="79">
        <f>+'30'!G187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25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+'30'!G189</f>
        <v>0</v>
      </c>
      <c r="D189" s="85">
        <v>0</v>
      </c>
      <c r="E189" s="47">
        <f t="shared" si="13"/>
        <v>0</v>
      </c>
      <c r="F189" s="85">
        <v>0</v>
      </c>
      <c r="G189" s="47">
        <f t="shared" si="15"/>
        <v>0</v>
      </c>
      <c r="H189" s="86"/>
      <c r="I189" s="15">
        <v>25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+'30'!G190</f>
        <v>0</v>
      </c>
      <c r="D190" s="85">
        <v>0</v>
      </c>
      <c r="E190" s="47">
        <f t="shared" ref="E190:E252" si="17">C190+D190</f>
        <v>0</v>
      </c>
      <c r="F190" s="85">
        <v>0</v>
      </c>
      <c r="G190" s="47">
        <f t="shared" si="15"/>
        <v>0</v>
      </c>
      <c r="H190" s="86"/>
      <c r="I190" s="15">
        <v>45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199</v>
      </c>
      <c r="C191" s="79">
        <f>+'30'!G191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200</v>
      </c>
      <c r="C192" s="79">
        <f>+'30'!G192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201</v>
      </c>
      <c r="C193" s="79">
        <f>+'30'!G193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252</v>
      </c>
      <c r="C194" s="79">
        <f>+'30'!G194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220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15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+'30'!G197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60</v>
      </c>
      <c r="J198" s="80">
        <f t="shared" si="16"/>
        <v>0</v>
      </c>
      <c r="K198" s="17" t="s">
        <v>16</v>
      </c>
      <c r="L198" s="18">
        <v>0</v>
      </c>
      <c r="M198" s="23">
        <f t="shared" si="14"/>
        <v>0</v>
      </c>
    </row>
    <row r="199" spans="1:13" ht="25.5" x14ac:dyDescent="0.55000000000000004">
      <c r="A199" s="10">
        <v>195</v>
      </c>
      <c r="B199" s="19" t="s">
        <v>257</v>
      </c>
      <c r="C199" s="79">
        <f>+'30'!G199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15">
        <v>60</v>
      </c>
      <c r="J199" s="80">
        <f t="shared" si="16"/>
        <v>0</v>
      </c>
      <c r="K199" s="17" t="s">
        <v>16</v>
      </c>
      <c r="L199" s="18">
        <v>0</v>
      </c>
      <c r="M199" s="23">
        <f t="shared" ref="M199:M254" si="18">SUM(J199-L199)</f>
        <v>0</v>
      </c>
    </row>
    <row r="200" spans="1:13" ht="25.5" x14ac:dyDescent="0.55000000000000004">
      <c r="A200" s="10">
        <v>196</v>
      </c>
      <c r="B200" s="19" t="s">
        <v>17</v>
      </c>
      <c r="C200" s="79">
        <f>+'30'!G200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80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258</v>
      </c>
      <c r="C201" s="79">
        <f>+'30'!G201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259</v>
      </c>
      <c r="C202" s="79">
        <f>+'30'!G202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15">
        <v>55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260</v>
      </c>
      <c r="C203" s="79">
        <f>+'30'!G203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261</v>
      </c>
      <c r="C204" s="79">
        <f>+'30'!G204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262</v>
      </c>
      <c r="C205" s="79">
        <f>+'30'!G205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263</v>
      </c>
      <c r="C206" s="79">
        <f>+'30'!G206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50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264</v>
      </c>
      <c r="C207" s="79">
        <f>+'30'!G207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265</v>
      </c>
      <c r="C208" s="79">
        <f>+'30'!G208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45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266</v>
      </c>
      <c r="C209" s="79">
        <f>+'30'!G209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50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267</v>
      </c>
      <c r="C210" s="79">
        <f>+'30'!G210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199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244</v>
      </c>
      <c r="C211" s="79">
        <f>+'30'!G211</f>
        <v>4</v>
      </c>
      <c r="D211" s="85">
        <v>0</v>
      </c>
      <c r="E211" s="47">
        <f t="shared" si="17"/>
        <v>4</v>
      </c>
      <c r="F211" s="85">
        <v>0</v>
      </c>
      <c r="G211" s="47">
        <f t="shared" si="15"/>
        <v>3</v>
      </c>
      <c r="H211" s="86">
        <v>1</v>
      </c>
      <c r="I211" s="20">
        <v>35</v>
      </c>
      <c r="J211" s="80">
        <f t="shared" si="16"/>
        <v>35</v>
      </c>
      <c r="K211" s="17" t="s">
        <v>16</v>
      </c>
      <c r="L211" s="18">
        <v>0</v>
      </c>
      <c r="M211" s="23">
        <f t="shared" si="18"/>
        <v>35</v>
      </c>
    </row>
    <row r="212" spans="1:13" ht="25.5" x14ac:dyDescent="0.55000000000000004">
      <c r="A212" s="10">
        <v>208</v>
      </c>
      <c r="B212" s="11" t="s">
        <v>245</v>
      </c>
      <c r="C212" s="79">
        <f>+'30'!G212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246</v>
      </c>
      <c r="C213" s="79">
        <f>+'30'!G213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40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268</v>
      </c>
      <c r="C214" s="79">
        <f>+'30'!G214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269</v>
      </c>
      <c r="C215" s="79">
        <f>+'30'!G215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>
        <v>30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270</v>
      </c>
      <c r="C216" s="79">
        <f>+'30'!G216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>
        <v>30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271</v>
      </c>
      <c r="C217" s="79">
        <f>+'30'!G217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272</v>
      </c>
      <c r="C218" s="79">
        <f>+'30'!G218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273</v>
      </c>
      <c r="C219" s="79">
        <f>+'30'!G219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277</v>
      </c>
      <c r="C220" s="79">
        <f>+'30'!G220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>
        <v>45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301</v>
      </c>
      <c r="C221" s="79">
        <f>+'30'!G221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>
        <v>35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305</v>
      </c>
      <c r="C222" s="79">
        <f>+'30'!G222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>
        <v>35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310</v>
      </c>
      <c r="C223" s="79">
        <f>+'30'!G223</f>
        <v>21</v>
      </c>
      <c r="D223" s="85">
        <v>0</v>
      </c>
      <c r="E223" s="47">
        <f t="shared" si="17"/>
        <v>21</v>
      </c>
      <c r="F223" s="85">
        <v>0</v>
      </c>
      <c r="G223" s="47">
        <f t="shared" si="15"/>
        <v>20</v>
      </c>
      <c r="H223" s="86">
        <v>1</v>
      </c>
      <c r="I223" s="20">
        <v>40</v>
      </c>
      <c r="J223" s="80">
        <f t="shared" si="16"/>
        <v>40</v>
      </c>
      <c r="K223" s="17" t="s">
        <v>16</v>
      </c>
      <c r="L223" s="18">
        <v>0</v>
      </c>
      <c r="M223" s="23">
        <f t="shared" si="18"/>
        <v>40</v>
      </c>
    </row>
    <row r="224" spans="1:13" ht="25.5" x14ac:dyDescent="0.55000000000000004">
      <c r="A224" s="10">
        <v>220</v>
      </c>
      <c r="B224" s="11" t="s">
        <v>311</v>
      </c>
      <c r="C224" s="79">
        <f>+'30'!G224</f>
        <v>1</v>
      </c>
      <c r="D224" s="85">
        <v>0</v>
      </c>
      <c r="E224" s="47">
        <f t="shared" si="17"/>
        <v>1</v>
      </c>
      <c r="F224" s="85">
        <v>0</v>
      </c>
      <c r="G224" s="47">
        <f t="shared" si="15"/>
        <v>1</v>
      </c>
      <c r="H224" s="86"/>
      <c r="I224" s="20">
        <v>35</v>
      </c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3255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E256" s="24"/>
      <c r="F256" s="25"/>
      <c r="G256" s="24"/>
      <c r="H256" s="145" t="s">
        <v>212</v>
      </c>
      <c r="I256" s="146"/>
      <c r="J256" s="30">
        <f>+X138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47" t="s">
        <v>202</v>
      </c>
      <c r="J257" s="147"/>
      <c r="K257" s="33">
        <f>SUM(J5:J256)</f>
        <v>3555</v>
      </c>
    </row>
    <row r="258" spans="1:15" ht="25.5" x14ac:dyDescent="0.55000000000000004">
      <c r="A258" s="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535</v>
      </c>
      <c r="L259" s="2">
        <v>150</v>
      </c>
      <c r="M259" s="2">
        <v>85</v>
      </c>
      <c r="N259" s="2">
        <v>100</v>
      </c>
      <c r="O259" s="2">
        <v>200</v>
      </c>
    </row>
    <row r="260" spans="1:15" ht="25.5" x14ac:dyDescent="0.55000000000000004">
      <c r="A260" s="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E262" s="31"/>
      <c r="G262" s="31"/>
      <c r="I262" s="133" t="s">
        <v>207</v>
      </c>
      <c r="J262" s="134"/>
      <c r="K262" s="37">
        <f>SUM(L5:L255)</f>
        <v>300</v>
      </c>
    </row>
    <row r="263" spans="1:15" ht="25.5" x14ac:dyDescent="0.55000000000000004">
      <c r="A263" s="1"/>
      <c r="E263" s="31"/>
      <c r="G263" s="31"/>
      <c r="I263" s="133" t="s">
        <v>208</v>
      </c>
      <c r="J263" s="134"/>
      <c r="K263" s="33">
        <f>K257-K258-K259-K261-K262</f>
        <v>2705</v>
      </c>
    </row>
    <row r="264" spans="1:15" ht="25.5" x14ac:dyDescent="0.55000000000000004">
      <c r="A264" s="1"/>
      <c r="E264" s="31"/>
      <c r="G264" s="31"/>
      <c r="I264" s="133" t="s">
        <v>209</v>
      </c>
      <c r="J264" s="134"/>
      <c r="K264" s="37">
        <v>2705</v>
      </c>
    </row>
    <row r="265" spans="1:15" ht="25.5" x14ac:dyDescent="0.55000000000000004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243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50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36" t="s">
        <v>10</v>
      </c>
      <c r="O3" s="150" t="s">
        <v>1</v>
      </c>
      <c r="P3" s="150" t="s">
        <v>2</v>
      </c>
      <c r="Q3" s="148" t="s">
        <v>3</v>
      </c>
      <c r="R3" s="148" t="s">
        <v>4</v>
      </c>
      <c r="S3" s="148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36" t="s">
        <v>10</v>
      </c>
    </row>
    <row r="4" spans="1:26" s="5" customFormat="1" ht="27" thickBot="1" x14ac:dyDescent="0.6">
      <c r="A4" s="150"/>
      <c r="B4" s="150"/>
      <c r="C4" s="149"/>
      <c r="D4" s="149"/>
      <c r="E4" s="149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36"/>
      <c r="O4" s="150"/>
      <c r="P4" s="150"/>
      <c r="Q4" s="149"/>
      <c r="R4" s="149"/>
      <c r="S4" s="149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3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2" t="s">
        <v>119</v>
      </c>
      <c r="Q107" s="143"/>
      <c r="R107" s="143"/>
      <c r="S107" s="143"/>
      <c r="T107" s="143"/>
      <c r="U107" s="143"/>
      <c r="V107" s="143"/>
      <c r="W107" s="14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1" t="s">
        <v>213</v>
      </c>
      <c r="N205" s="14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45" t="s">
        <v>212</v>
      </c>
      <c r="I206" s="14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47" t="s">
        <v>202</v>
      </c>
      <c r="J207" s="14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33" t="s">
        <v>203</v>
      </c>
      <c r="J208" s="13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5.5" x14ac:dyDescent="0.55000000000000004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5.5" x14ac:dyDescent="0.55000000000000004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33" t="s">
        <v>208</v>
      </c>
      <c r="J213" s="13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33" t="s">
        <v>209</v>
      </c>
      <c r="J214" s="134"/>
      <c r="K214" s="37">
        <v>0</v>
      </c>
    </row>
    <row r="215" spans="1:11" ht="25.5" x14ac:dyDescent="0.55000000000000004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5.5" x14ac:dyDescent="0.55000000000000004">
      <c r="G216" s="2"/>
      <c r="I216" s="133" t="s">
        <v>211</v>
      </c>
      <c r="J216" s="13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2024-08-01T04:36:33Z</cp:lastPrinted>
  <dcterms:created xsi:type="dcterms:W3CDTF">2023-12-01T06:41:03Z</dcterms:created>
  <dcterms:modified xsi:type="dcterms:W3CDTF">2024-08-01T04:37:51Z</dcterms:modified>
</cp:coreProperties>
</file>