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งานบูธ\Stock บูธ\ปี 67\7.ก.ค\"/>
    </mc:Choice>
  </mc:AlternateContent>
  <xr:revisionPtr revIDLastSave="0" documentId="13_ncr:1_{7F8F0807-C8F0-44E7-90CD-821F0DAB55EA}" xr6:coauthVersionLast="47" xr6:coauthVersionMax="47" xr10:uidLastSave="{00000000-0000-0000-0000-000000000000}"/>
  <bookViews>
    <workbookView xWindow="-120" yWindow="-120" windowWidth="29040" windowHeight="15720" tabRatio="907" firstSheet="1" activeTab="3" xr2:uid="{DFAF8F83-514B-4FC5-A4C3-F2BAA0624829}"/>
  </bookViews>
  <sheets>
    <sheet name="ค่าใช้จ่าย" sheetId="97" r:id="rId1"/>
    <sheet name="รายการส่วนลด" sheetId="98" r:id="rId2"/>
    <sheet name="รายการคืนสินค้า" sheetId="99" r:id="rId3"/>
    <sheet name="สรุป" sheetId="8" r:id="rId4"/>
    <sheet name="ยกมา" sheetId="33" r:id="rId5"/>
    <sheet name="1" sheetId="66" r:id="rId6"/>
    <sheet name="2" sheetId="67" r:id="rId7"/>
    <sheet name="3" sheetId="70" r:id="rId8"/>
    <sheet name="4" sheetId="71" r:id="rId9"/>
    <sheet name="5" sheetId="68" r:id="rId10"/>
    <sheet name="6" sheetId="69" r:id="rId11"/>
    <sheet name="7" sheetId="72" r:id="rId12"/>
    <sheet name="8" sheetId="73" r:id="rId13"/>
    <sheet name="9" sheetId="74" r:id="rId14"/>
    <sheet name="10" sheetId="75" r:id="rId15"/>
    <sheet name="11" sheetId="76" r:id="rId16"/>
    <sheet name="12" sheetId="77" r:id="rId17"/>
    <sheet name="13" sheetId="78" r:id="rId18"/>
    <sheet name="14" sheetId="79" r:id="rId19"/>
    <sheet name="15" sheetId="80" r:id="rId20"/>
    <sheet name="16" sheetId="81" r:id="rId21"/>
    <sheet name="17" sheetId="82" r:id="rId22"/>
    <sheet name="18" sheetId="83" r:id="rId23"/>
    <sheet name="19" sheetId="84" r:id="rId24"/>
    <sheet name="20" sheetId="85" r:id="rId25"/>
    <sheet name="21" sheetId="86" r:id="rId26"/>
    <sheet name="22" sheetId="87" r:id="rId27"/>
    <sheet name="23" sheetId="88" r:id="rId28"/>
    <sheet name="24" sheetId="89" r:id="rId29"/>
    <sheet name="25" sheetId="90" r:id="rId30"/>
    <sheet name="26" sheetId="91" r:id="rId31"/>
    <sheet name="27" sheetId="92" r:id="rId32"/>
    <sheet name="28" sheetId="93" r:id="rId33"/>
    <sheet name="29" sheetId="94" r:id="rId34"/>
    <sheet name="30" sheetId="95" r:id="rId35"/>
    <sheet name="31." sheetId="96" r:id="rId36"/>
    <sheet name="31" sheetId="64" state="hidden" r:id="rId37"/>
  </sheets>
  <definedNames>
    <definedName name="_xlnm._FilterDatabase" localSheetId="5" hidden="1">'1'!$A$1:$Y$266</definedName>
    <definedName name="_xlnm._FilterDatabase" localSheetId="14" hidden="1">'10'!$A$1:$Y$266</definedName>
    <definedName name="_xlnm._FilterDatabase" localSheetId="15" hidden="1">'11'!$A$1:$Y$266</definedName>
    <definedName name="_xlnm._FilterDatabase" localSheetId="16" hidden="1">'12'!$A$1:$Y$266</definedName>
    <definedName name="_xlnm._FilterDatabase" localSheetId="17" hidden="1">'13'!$A$1:$Y$266</definedName>
    <definedName name="_xlnm._FilterDatabase" localSheetId="18" hidden="1">'14'!$A$1:$Y$266</definedName>
    <definedName name="_xlnm._FilterDatabase" localSheetId="19" hidden="1">'15'!$A$1:$Y$266</definedName>
    <definedName name="_xlnm._FilterDatabase" localSheetId="20" hidden="1">'16'!$A$1:$Y$266</definedName>
    <definedName name="_xlnm._FilterDatabase" localSheetId="21" hidden="1">'17'!$A$1:$Y$266</definedName>
    <definedName name="_xlnm._FilterDatabase" localSheetId="22" hidden="1">'18'!$A$1:$Y$266</definedName>
    <definedName name="_xlnm._FilterDatabase" localSheetId="23" hidden="1">'19'!$A$1:$Y$266</definedName>
    <definedName name="_xlnm._FilterDatabase" localSheetId="6" hidden="1">'2'!$A$1:$Y$266</definedName>
    <definedName name="_xlnm._FilterDatabase" localSheetId="24" hidden="1">'20'!$A$1:$Y$266</definedName>
    <definedName name="_xlnm._FilterDatabase" localSheetId="25" hidden="1">'21'!$A$1:$Y$266</definedName>
    <definedName name="_xlnm._FilterDatabase" localSheetId="26" hidden="1">'22'!$A$1:$Y$266</definedName>
    <definedName name="_xlnm._FilterDatabase" localSheetId="27" hidden="1">'23'!$A$1:$Y$266</definedName>
    <definedName name="_xlnm._FilterDatabase" localSheetId="28" hidden="1">'24'!$A$1:$Y$266</definedName>
    <definedName name="_xlnm._FilterDatabase" localSheetId="29" hidden="1">'25'!$A$1:$Y$266</definedName>
    <definedName name="_xlnm._FilterDatabase" localSheetId="30" hidden="1">'26'!$A$1:$Y$266</definedName>
    <definedName name="_xlnm._FilterDatabase" localSheetId="31" hidden="1">'27'!$A$1:$Y$266</definedName>
    <definedName name="_xlnm._FilterDatabase" localSheetId="32" hidden="1">'28'!$A$1:$Y$266</definedName>
    <definedName name="_xlnm._FilterDatabase" localSheetId="33" hidden="1">'29'!$A$1:$Y$266</definedName>
    <definedName name="_xlnm._FilterDatabase" localSheetId="7" hidden="1">'3'!$A$1:$Y$266</definedName>
    <definedName name="_xlnm._FilterDatabase" localSheetId="34" hidden="1">'30'!$A$1:$Y$266</definedName>
    <definedName name="_xlnm._FilterDatabase" localSheetId="36" hidden="1">'31'!$A$1:$Y$216</definedName>
    <definedName name="_xlnm._FilterDatabase" localSheetId="35" hidden="1">'31.'!$A$1:$Y$266</definedName>
    <definedName name="_xlnm._FilterDatabase" localSheetId="8" hidden="1">'4'!$A$1:$Y$266</definedName>
    <definedName name="_xlnm._FilterDatabase" localSheetId="9" hidden="1">'5'!$A$1:$Y$266</definedName>
    <definedName name="_xlnm._FilterDatabase" localSheetId="10" hidden="1">'6'!$A$1:$Y$266</definedName>
    <definedName name="_xlnm._FilterDatabase" localSheetId="11" hidden="1">'7'!$A$1:$Y$266</definedName>
    <definedName name="_xlnm._FilterDatabase" localSheetId="12" hidden="1">'8'!$A$1:$Y$266</definedName>
    <definedName name="_xlnm._FilterDatabase" localSheetId="13" hidden="1">'9'!$A$1:$Y$266</definedName>
    <definedName name="_xlnm._FilterDatabase" localSheetId="4" hidden="1">ยกมา!$A$1:$Y$266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5" i="8" l="1"/>
  <c r="S35" i="8" s="1"/>
  <c r="T35" i="8"/>
  <c r="Q35" i="8"/>
  <c r="P35" i="8"/>
  <c r="P34" i="8"/>
  <c r="O35" i="8"/>
  <c r="N35" i="8"/>
  <c r="M35" i="8"/>
  <c r="O34" i="8"/>
  <c r="T34" i="8"/>
  <c r="R34" i="8"/>
  <c r="Q34" i="8"/>
  <c r="N34" i="8"/>
  <c r="M34" i="8"/>
  <c r="T33" i="8" l="1"/>
  <c r="Q33" i="8"/>
  <c r="P33" i="8"/>
  <c r="O33" i="8"/>
  <c r="N33" i="8"/>
  <c r="M33" i="8"/>
  <c r="T32" i="8"/>
  <c r="R32" i="8"/>
  <c r="Q32" i="8"/>
  <c r="P32" i="8"/>
  <c r="O32" i="8"/>
  <c r="N32" i="8"/>
  <c r="M32" i="8"/>
  <c r="C6" i="93"/>
  <c r="C7" i="93"/>
  <c r="C8" i="93"/>
  <c r="C9" i="93"/>
  <c r="C10" i="93"/>
  <c r="C11" i="93"/>
  <c r="C12" i="93"/>
  <c r="C13" i="93"/>
  <c r="C14" i="93"/>
  <c r="C15" i="93"/>
  <c r="C16" i="93"/>
  <c r="C17" i="93"/>
  <c r="C18" i="93"/>
  <c r="C19" i="93"/>
  <c r="C20" i="93"/>
  <c r="C21" i="93"/>
  <c r="C22" i="93"/>
  <c r="C23" i="93"/>
  <c r="C24" i="93"/>
  <c r="C25" i="93"/>
  <c r="C26" i="93"/>
  <c r="C27" i="93"/>
  <c r="C28" i="93"/>
  <c r="C29" i="93"/>
  <c r="C30" i="93"/>
  <c r="C31" i="93"/>
  <c r="C32" i="93"/>
  <c r="C33" i="93"/>
  <c r="C34" i="93"/>
  <c r="C35" i="93"/>
  <c r="C36" i="93"/>
  <c r="C38" i="93"/>
  <c r="C39" i="93"/>
  <c r="C40" i="93"/>
  <c r="C41" i="93"/>
  <c r="C42" i="93"/>
  <c r="C43" i="93"/>
  <c r="C44" i="93"/>
  <c r="C45" i="93"/>
  <c r="C46" i="93"/>
  <c r="C47" i="93"/>
  <c r="C48" i="93"/>
  <c r="C49" i="93"/>
  <c r="C50" i="93"/>
  <c r="C51" i="93"/>
  <c r="C52" i="93"/>
  <c r="C53" i="93"/>
  <c r="C54" i="93"/>
  <c r="C55" i="93"/>
  <c r="C56" i="93"/>
  <c r="C57" i="93"/>
  <c r="C58" i="93"/>
  <c r="C59" i="93"/>
  <c r="C60" i="93"/>
  <c r="C61" i="93"/>
  <c r="C62" i="93"/>
  <c r="C63" i="93"/>
  <c r="C64" i="93"/>
  <c r="C65" i="93"/>
  <c r="C66" i="93"/>
  <c r="C67" i="93"/>
  <c r="C68" i="93"/>
  <c r="C69" i="93"/>
  <c r="C70" i="93"/>
  <c r="C71" i="93"/>
  <c r="C72" i="93"/>
  <c r="C73" i="93"/>
  <c r="C74" i="93"/>
  <c r="C75" i="93"/>
  <c r="C76" i="93"/>
  <c r="C77" i="93"/>
  <c r="C78" i="93"/>
  <c r="C79" i="93"/>
  <c r="C80" i="93"/>
  <c r="C81" i="93"/>
  <c r="C82" i="93"/>
  <c r="C83" i="93"/>
  <c r="C84" i="93"/>
  <c r="C85" i="93"/>
  <c r="C86" i="93"/>
  <c r="C87" i="93"/>
  <c r="C88" i="93"/>
  <c r="C89" i="93"/>
  <c r="C90" i="93"/>
  <c r="C91" i="93"/>
  <c r="C92" i="93"/>
  <c r="C93" i="93"/>
  <c r="C94" i="93"/>
  <c r="C95" i="93"/>
  <c r="C96" i="93"/>
  <c r="C97" i="93"/>
  <c r="C98" i="93"/>
  <c r="C99" i="93"/>
  <c r="C100" i="93"/>
  <c r="C101" i="93"/>
  <c r="C102" i="93"/>
  <c r="C103" i="93"/>
  <c r="C104" i="93"/>
  <c r="C105" i="93"/>
  <c r="C106" i="93"/>
  <c r="C107" i="93"/>
  <c r="C108" i="93"/>
  <c r="C109" i="93"/>
  <c r="C110" i="93"/>
  <c r="C111" i="93"/>
  <c r="C112" i="93"/>
  <c r="C113" i="93"/>
  <c r="C114" i="93"/>
  <c r="C115" i="93"/>
  <c r="C116" i="93"/>
  <c r="C117" i="93"/>
  <c r="C118" i="93"/>
  <c r="C119" i="93"/>
  <c r="C120" i="93"/>
  <c r="C121" i="93"/>
  <c r="C122" i="93"/>
  <c r="C123" i="93"/>
  <c r="C124" i="93"/>
  <c r="C125" i="93"/>
  <c r="C126" i="93"/>
  <c r="C127" i="93"/>
  <c r="C128" i="93"/>
  <c r="C129" i="93"/>
  <c r="C130" i="93"/>
  <c r="C131" i="93"/>
  <c r="C132" i="93"/>
  <c r="C133" i="93"/>
  <c r="C134" i="93"/>
  <c r="C135" i="93"/>
  <c r="C136" i="93"/>
  <c r="C137" i="93"/>
  <c r="C138" i="93"/>
  <c r="C139" i="93"/>
  <c r="C140" i="93"/>
  <c r="C141" i="93"/>
  <c r="C142" i="93"/>
  <c r="C143" i="93"/>
  <c r="C144" i="93"/>
  <c r="C145" i="93"/>
  <c r="C146" i="93"/>
  <c r="C147" i="93"/>
  <c r="C148" i="93"/>
  <c r="C149" i="93"/>
  <c r="C150" i="93"/>
  <c r="C151" i="93"/>
  <c r="C152" i="93"/>
  <c r="C153" i="93"/>
  <c r="C154" i="93"/>
  <c r="C155" i="93"/>
  <c r="C156" i="93"/>
  <c r="C157" i="93"/>
  <c r="C158" i="93"/>
  <c r="C159" i="93"/>
  <c r="C160" i="93"/>
  <c r="C161" i="93"/>
  <c r="C162" i="93"/>
  <c r="C163" i="93"/>
  <c r="C164" i="93"/>
  <c r="C165" i="93"/>
  <c r="C166" i="93"/>
  <c r="C167" i="93"/>
  <c r="C168" i="93"/>
  <c r="C169" i="93"/>
  <c r="C170" i="93"/>
  <c r="C171" i="93"/>
  <c r="C172" i="93"/>
  <c r="C173" i="93"/>
  <c r="C174" i="93"/>
  <c r="C175" i="93"/>
  <c r="C176" i="93"/>
  <c r="C177" i="93"/>
  <c r="C178" i="93"/>
  <c r="C179" i="93"/>
  <c r="C180" i="93"/>
  <c r="C181" i="93"/>
  <c r="C182" i="93"/>
  <c r="C183" i="93"/>
  <c r="C184" i="93"/>
  <c r="C185" i="93"/>
  <c r="C186" i="93"/>
  <c r="C187" i="93"/>
  <c r="C188" i="93"/>
  <c r="C189" i="93"/>
  <c r="C190" i="93"/>
  <c r="C191" i="93"/>
  <c r="C192" i="93"/>
  <c r="C193" i="93"/>
  <c r="C194" i="93"/>
  <c r="C195" i="93"/>
  <c r="C196" i="93"/>
  <c r="C197" i="93"/>
  <c r="C198" i="93"/>
  <c r="C199" i="93"/>
  <c r="C200" i="93"/>
  <c r="C201" i="93"/>
  <c r="C202" i="93"/>
  <c r="C203" i="93"/>
  <c r="C204" i="93"/>
  <c r="C205" i="93"/>
  <c r="C206" i="93"/>
  <c r="C207" i="93"/>
  <c r="C208" i="93"/>
  <c r="C209" i="93"/>
  <c r="C210" i="93"/>
  <c r="C211" i="93"/>
  <c r="C212" i="93"/>
  <c r="C213" i="93"/>
  <c r="C214" i="93"/>
  <c r="C215" i="93"/>
  <c r="C216" i="93"/>
  <c r="C217" i="93"/>
  <c r="C5" i="93"/>
  <c r="T31" i="8"/>
  <c r="R31" i="8"/>
  <c r="Q31" i="8"/>
  <c r="P31" i="8"/>
  <c r="O31" i="8"/>
  <c r="N31" i="8"/>
  <c r="M31" i="8"/>
  <c r="T30" i="8"/>
  <c r="Q30" i="8"/>
  <c r="R30" i="8"/>
  <c r="P30" i="8"/>
  <c r="O30" i="8"/>
  <c r="N30" i="8"/>
  <c r="M30" i="8"/>
  <c r="C6" i="91"/>
  <c r="C7" i="91"/>
  <c r="C8" i="91"/>
  <c r="C9" i="91"/>
  <c r="C10" i="91"/>
  <c r="C11" i="91"/>
  <c r="C12" i="91"/>
  <c r="C13" i="91"/>
  <c r="C14" i="91"/>
  <c r="C15" i="91"/>
  <c r="C16" i="91"/>
  <c r="C17" i="91"/>
  <c r="C18" i="91"/>
  <c r="C19" i="91"/>
  <c r="C20" i="91"/>
  <c r="C21" i="91"/>
  <c r="C22" i="91"/>
  <c r="C23" i="91"/>
  <c r="C24" i="91"/>
  <c r="C25" i="91"/>
  <c r="C26" i="91"/>
  <c r="C27" i="91"/>
  <c r="C28" i="91"/>
  <c r="C29" i="91"/>
  <c r="C30" i="91"/>
  <c r="C31" i="91"/>
  <c r="C32" i="91"/>
  <c r="C33" i="91"/>
  <c r="C34" i="91"/>
  <c r="C35" i="91"/>
  <c r="C36" i="91"/>
  <c r="C37" i="91"/>
  <c r="C38" i="91"/>
  <c r="C39" i="91"/>
  <c r="C40" i="91"/>
  <c r="C41" i="91"/>
  <c r="C42" i="91"/>
  <c r="C43" i="91"/>
  <c r="C44" i="91"/>
  <c r="C45" i="91"/>
  <c r="C46" i="91"/>
  <c r="C47" i="91"/>
  <c r="C48" i="91"/>
  <c r="C50" i="91"/>
  <c r="C51" i="91"/>
  <c r="C52" i="91"/>
  <c r="C53" i="91"/>
  <c r="C54" i="91"/>
  <c r="C55" i="91"/>
  <c r="C56" i="91"/>
  <c r="C57" i="91"/>
  <c r="C58" i="91"/>
  <c r="C59" i="91"/>
  <c r="C60" i="91"/>
  <c r="C61" i="91"/>
  <c r="C62" i="91"/>
  <c r="C63" i="91"/>
  <c r="C64" i="91"/>
  <c r="C65" i="91"/>
  <c r="C68" i="91"/>
  <c r="C69" i="91"/>
  <c r="C70" i="91"/>
  <c r="C71" i="91"/>
  <c r="C72" i="91"/>
  <c r="C73" i="91"/>
  <c r="C74" i="91"/>
  <c r="C75" i="91"/>
  <c r="C76" i="91"/>
  <c r="C77" i="91"/>
  <c r="C78" i="91"/>
  <c r="C79" i="91"/>
  <c r="C80" i="91"/>
  <c r="C81" i="91"/>
  <c r="C82" i="91"/>
  <c r="C83" i="91"/>
  <c r="C84" i="91"/>
  <c r="C85" i="91"/>
  <c r="C86" i="91"/>
  <c r="C87" i="91"/>
  <c r="C88" i="91"/>
  <c r="C89" i="91"/>
  <c r="C90" i="91"/>
  <c r="C91" i="91"/>
  <c r="C92" i="91"/>
  <c r="C93" i="91"/>
  <c r="C94" i="91"/>
  <c r="C95" i="91"/>
  <c r="C96" i="91"/>
  <c r="C97" i="91"/>
  <c r="C98" i="91"/>
  <c r="C99" i="91"/>
  <c r="C100" i="91"/>
  <c r="C101" i="91"/>
  <c r="C102" i="91"/>
  <c r="C103" i="91"/>
  <c r="C104" i="91"/>
  <c r="C105" i="91"/>
  <c r="C106" i="91"/>
  <c r="C107" i="91"/>
  <c r="C108" i="91"/>
  <c r="C109" i="91"/>
  <c r="C110" i="91"/>
  <c r="C111" i="91"/>
  <c r="C112" i="91"/>
  <c r="C113" i="91"/>
  <c r="C114" i="91"/>
  <c r="C115" i="91"/>
  <c r="C116" i="91"/>
  <c r="C117" i="91"/>
  <c r="C118" i="91"/>
  <c r="C119" i="91"/>
  <c r="C120" i="91"/>
  <c r="C121" i="91"/>
  <c r="C122" i="91"/>
  <c r="C123" i="91"/>
  <c r="C124" i="91"/>
  <c r="C125" i="91"/>
  <c r="C126" i="91"/>
  <c r="C127" i="91"/>
  <c r="C128" i="91"/>
  <c r="C129" i="91"/>
  <c r="C130" i="91"/>
  <c r="C131" i="91"/>
  <c r="C132" i="91"/>
  <c r="C133" i="91"/>
  <c r="C134" i="91"/>
  <c r="C135" i="91"/>
  <c r="C136" i="91"/>
  <c r="C137" i="91"/>
  <c r="C138" i="91"/>
  <c r="C139" i="91"/>
  <c r="C140" i="91"/>
  <c r="C141" i="91"/>
  <c r="C142" i="91"/>
  <c r="C143" i="91"/>
  <c r="C144" i="91"/>
  <c r="C145" i="91"/>
  <c r="C146" i="91"/>
  <c r="C147" i="91"/>
  <c r="C148" i="91"/>
  <c r="C149" i="91"/>
  <c r="C150" i="91"/>
  <c r="C151" i="91"/>
  <c r="C152" i="91"/>
  <c r="C153" i="91"/>
  <c r="C154" i="91"/>
  <c r="C155" i="91"/>
  <c r="C156" i="91"/>
  <c r="C157" i="91"/>
  <c r="C158" i="91"/>
  <c r="C159" i="91"/>
  <c r="C160" i="91"/>
  <c r="C161" i="91"/>
  <c r="C162" i="91"/>
  <c r="C163" i="91"/>
  <c r="C164" i="91"/>
  <c r="C165" i="91"/>
  <c r="C166" i="91"/>
  <c r="C167" i="91"/>
  <c r="C168" i="91"/>
  <c r="C169" i="91"/>
  <c r="C170" i="91"/>
  <c r="C171" i="91"/>
  <c r="C172" i="91"/>
  <c r="C173" i="91"/>
  <c r="C174" i="91"/>
  <c r="C175" i="91"/>
  <c r="C176" i="91"/>
  <c r="C177" i="91"/>
  <c r="C178" i="91"/>
  <c r="C179" i="91"/>
  <c r="C180" i="91"/>
  <c r="C181" i="91"/>
  <c r="C182" i="91"/>
  <c r="C183" i="91"/>
  <c r="C184" i="91"/>
  <c r="C185" i="91"/>
  <c r="C186" i="91"/>
  <c r="C187" i="91"/>
  <c r="C188" i="91"/>
  <c r="C189" i="91"/>
  <c r="C190" i="91"/>
  <c r="C191" i="91"/>
  <c r="C192" i="91"/>
  <c r="C193" i="91"/>
  <c r="C194" i="91"/>
  <c r="C195" i="91"/>
  <c r="C196" i="91"/>
  <c r="C197" i="91"/>
  <c r="C198" i="91"/>
  <c r="C199" i="91"/>
  <c r="C200" i="91"/>
  <c r="C201" i="91"/>
  <c r="C202" i="91"/>
  <c r="C203" i="91"/>
  <c r="C204" i="91"/>
  <c r="C205" i="91"/>
  <c r="C206" i="91"/>
  <c r="C207" i="91"/>
  <c r="C208" i="91"/>
  <c r="C209" i="91"/>
  <c r="C210" i="91"/>
  <c r="C211" i="91"/>
  <c r="C212" i="91"/>
  <c r="C213" i="91"/>
  <c r="C214" i="91"/>
  <c r="C215" i="91"/>
  <c r="C216" i="91"/>
  <c r="C217" i="91"/>
  <c r="C5" i="91"/>
  <c r="T29" i="8"/>
  <c r="R29" i="8"/>
  <c r="Q29" i="8"/>
  <c r="P29" i="8"/>
  <c r="O29" i="8"/>
  <c r="N29" i="8"/>
  <c r="M29" i="8"/>
  <c r="C6" i="90"/>
  <c r="C7" i="90"/>
  <c r="C8" i="90"/>
  <c r="C9" i="90"/>
  <c r="C10" i="90"/>
  <c r="C11" i="90"/>
  <c r="C12" i="90"/>
  <c r="C13" i="90"/>
  <c r="C14" i="90"/>
  <c r="C15" i="90"/>
  <c r="C16" i="90"/>
  <c r="C17" i="90"/>
  <c r="C18" i="90"/>
  <c r="C19" i="90"/>
  <c r="C20" i="90"/>
  <c r="C21" i="90"/>
  <c r="C22" i="90"/>
  <c r="C23" i="90"/>
  <c r="C24" i="90"/>
  <c r="C25" i="90"/>
  <c r="C26" i="90"/>
  <c r="C27" i="90"/>
  <c r="C28" i="90"/>
  <c r="C29" i="90"/>
  <c r="C30" i="90"/>
  <c r="C31" i="90"/>
  <c r="C32" i="90"/>
  <c r="C33" i="90"/>
  <c r="C34" i="90"/>
  <c r="C35" i="90"/>
  <c r="C36" i="90"/>
  <c r="C37" i="90"/>
  <c r="C38" i="90"/>
  <c r="C40" i="90"/>
  <c r="C41" i="90"/>
  <c r="C42" i="90"/>
  <c r="C43" i="90"/>
  <c r="C44" i="90"/>
  <c r="C45" i="90"/>
  <c r="C46" i="90"/>
  <c r="C47" i="90"/>
  <c r="C48" i="90"/>
  <c r="C49" i="90"/>
  <c r="C50" i="90"/>
  <c r="C51" i="90"/>
  <c r="C52" i="90"/>
  <c r="C53" i="90"/>
  <c r="C54" i="90"/>
  <c r="C55" i="90"/>
  <c r="C56" i="90"/>
  <c r="C57" i="90"/>
  <c r="C58" i="90"/>
  <c r="C59" i="90"/>
  <c r="C60" i="90"/>
  <c r="C61" i="90"/>
  <c r="C62" i="90"/>
  <c r="C63" i="90"/>
  <c r="C64" i="90"/>
  <c r="C65" i="90"/>
  <c r="C66" i="90"/>
  <c r="C67" i="90"/>
  <c r="C68" i="90"/>
  <c r="C69" i="90"/>
  <c r="C70" i="90"/>
  <c r="C71" i="90"/>
  <c r="C72" i="90"/>
  <c r="C73" i="90"/>
  <c r="C74" i="90"/>
  <c r="C75" i="90"/>
  <c r="C76" i="90"/>
  <c r="C77" i="90"/>
  <c r="C78" i="90"/>
  <c r="C79" i="90"/>
  <c r="C80" i="90"/>
  <c r="C81" i="90"/>
  <c r="C82" i="90"/>
  <c r="C83" i="90"/>
  <c r="C84" i="90"/>
  <c r="C85" i="90"/>
  <c r="C86" i="90"/>
  <c r="C87" i="90"/>
  <c r="C88" i="90"/>
  <c r="C89" i="90"/>
  <c r="C90" i="90"/>
  <c r="C91" i="90"/>
  <c r="C92" i="90"/>
  <c r="C93" i="90"/>
  <c r="C94" i="90"/>
  <c r="C95" i="90"/>
  <c r="C96" i="90"/>
  <c r="C97" i="90"/>
  <c r="C98" i="90"/>
  <c r="C99" i="90"/>
  <c r="C100" i="90"/>
  <c r="C101" i="90"/>
  <c r="C102" i="90"/>
  <c r="C103" i="90"/>
  <c r="C104" i="90"/>
  <c r="C105" i="90"/>
  <c r="C106" i="90"/>
  <c r="C107" i="90"/>
  <c r="C108" i="90"/>
  <c r="C109" i="90"/>
  <c r="C110" i="90"/>
  <c r="C111" i="90"/>
  <c r="C112" i="90"/>
  <c r="C113" i="90"/>
  <c r="C114" i="90"/>
  <c r="C115" i="90"/>
  <c r="C116" i="90"/>
  <c r="C117" i="90"/>
  <c r="C118" i="90"/>
  <c r="C119" i="90"/>
  <c r="C120" i="90"/>
  <c r="C121" i="90"/>
  <c r="C122" i="90"/>
  <c r="C123" i="90"/>
  <c r="C124" i="90"/>
  <c r="C125" i="90"/>
  <c r="C126" i="90"/>
  <c r="C127" i="90"/>
  <c r="C128" i="90"/>
  <c r="C129" i="90"/>
  <c r="C130" i="90"/>
  <c r="C131" i="90"/>
  <c r="C132" i="90"/>
  <c r="C133" i="90"/>
  <c r="C134" i="90"/>
  <c r="C135" i="90"/>
  <c r="C136" i="90"/>
  <c r="C137" i="90"/>
  <c r="C138" i="90"/>
  <c r="C139" i="90"/>
  <c r="C140" i="90"/>
  <c r="C141" i="90"/>
  <c r="C142" i="90"/>
  <c r="C143" i="90"/>
  <c r="C144" i="90"/>
  <c r="C145" i="90"/>
  <c r="C146" i="90"/>
  <c r="C147" i="90"/>
  <c r="C148" i="90"/>
  <c r="C149" i="90"/>
  <c r="C150" i="90"/>
  <c r="C151" i="90"/>
  <c r="C152" i="90"/>
  <c r="C153" i="90"/>
  <c r="C154" i="90"/>
  <c r="C155" i="90"/>
  <c r="C156" i="90"/>
  <c r="C157" i="90"/>
  <c r="C158" i="90"/>
  <c r="C159" i="90"/>
  <c r="C160" i="90"/>
  <c r="C161" i="90"/>
  <c r="C162" i="90"/>
  <c r="C163" i="90"/>
  <c r="C164" i="90"/>
  <c r="C165" i="90"/>
  <c r="C166" i="90"/>
  <c r="C167" i="90"/>
  <c r="C168" i="90"/>
  <c r="C169" i="90"/>
  <c r="C170" i="90"/>
  <c r="C171" i="90"/>
  <c r="C172" i="90"/>
  <c r="C173" i="90"/>
  <c r="C174" i="90"/>
  <c r="C175" i="90"/>
  <c r="C176" i="90"/>
  <c r="C177" i="90"/>
  <c r="C178" i="90"/>
  <c r="C179" i="90"/>
  <c r="C180" i="90"/>
  <c r="C181" i="90"/>
  <c r="C182" i="90"/>
  <c r="C183" i="90"/>
  <c r="C184" i="90"/>
  <c r="C185" i="90"/>
  <c r="C186" i="90"/>
  <c r="C187" i="90"/>
  <c r="C188" i="90"/>
  <c r="C189" i="90"/>
  <c r="C190" i="90"/>
  <c r="C191" i="90"/>
  <c r="C192" i="90"/>
  <c r="C193" i="90"/>
  <c r="C194" i="90"/>
  <c r="C195" i="90"/>
  <c r="C196" i="90"/>
  <c r="C197" i="90"/>
  <c r="C198" i="90"/>
  <c r="C199" i="90"/>
  <c r="C200" i="90"/>
  <c r="C201" i="90"/>
  <c r="C202" i="90"/>
  <c r="C203" i="90"/>
  <c r="C204" i="90"/>
  <c r="C205" i="90"/>
  <c r="C206" i="90"/>
  <c r="C207" i="90"/>
  <c r="C208" i="90"/>
  <c r="C209" i="90"/>
  <c r="C210" i="90"/>
  <c r="C211" i="90"/>
  <c r="C212" i="90"/>
  <c r="C213" i="90"/>
  <c r="C214" i="90"/>
  <c r="C215" i="90"/>
  <c r="C216" i="90"/>
  <c r="C217" i="90"/>
  <c r="C5" i="90"/>
  <c r="T21" i="8"/>
  <c r="Q21" i="8"/>
  <c r="P21" i="8"/>
  <c r="O21" i="8"/>
  <c r="T28" i="8"/>
  <c r="R28" i="8"/>
  <c r="Q28" i="8"/>
  <c r="P28" i="8"/>
  <c r="O28" i="8"/>
  <c r="N28" i="8"/>
  <c r="M28" i="8"/>
  <c r="N27" i="8"/>
  <c r="T27" i="8"/>
  <c r="R27" i="8"/>
  <c r="Q27" i="8"/>
  <c r="P27" i="8"/>
  <c r="O27" i="8"/>
  <c r="T26" i="8"/>
  <c r="Q26" i="8"/>
  <c r="P26" i="8"/>
  <c r="O26" i="8"/>
  <c r="T25" i="8"/>
  <c r="Q25" i="8"/>
  <c r="P25" i="8"/>
  <c r="O25" i="8"/>
  <c r="T24" i="8"/>
  <c r="Q24" i="8"/>
  <c r="P24" i="8"/>
  <c r="O24" i="8"/>
  <c r="T23" i="8"/>
  <c r="Q23" i="8"/>
  <c r="P23" i="8"/>
  <c r="O23" i="8"/>
  <c r="T22" i="8"/>
  <c r="Q22" i="8"/>
  <c r="P22" i="8"/>
  <c r="O22" i="8"/>
  <c r="T20" i="8"/>
  <c r="Q20" i="8"/>
  <c r="P20" i="8"/>
  <c r="O20" i="8"/>
  <c r="T19" i="8"/>
  <c r="Q19" i="8"/>
  <c r="P19" i="8"/>
  <c r="O19" i="8"/>
  <c r="T18" i="8" l="1"/>
  <c r="Q18" i="8"/>
  <c r="P18" i="8"/>
  <c r="O18" i="8"/>
  <c r="T17" i="8"/>
  <c r="Q17" i="8"/>
  <c r="P17" i="8"/>
  <c r="O17" i="8"/>
  <c r="T14" i="8" l="1"/>
  <c r="O15" i="8"/>
  <c r="P15" i="8"/>
  <c r="Q15" i="8"/>
  <c r="T15" i="8"/>
  <c r="T16" i="8" l="1"/>
  <c r="Q16" i="8"/>
  <c r="P16" i="8"/>
  <c r="O16" i="8"/>
  <c r="T13" i="8"/>
  <c r="H37" i="76"/>
  <c r="P13" i="8"/>
  <c r="P14" i="8"/>
  <c r="Q13" i="8"/>
  <c r="Q14" i="8"/>
  <c r="O13" i="8"/>
  <c r="O14" i="8"/>
  <c r="T12" i="8"/>
  <c r="Q12" i="8"/>
  <c r="P12" i="8"/>
  <c r="O12" i="8"/>
  <c r="K262" i="76"/>
  <c r="N15" i="8" s="1"/>
  <c r="K259" i="76"/>
  <c r="R15" i="8" s="1"/>
  <c r="K262" i="77"/>
  <c r="N16" i="8" s="1"/>
  <c r="K259" i="77"/>
  <c r="R16" i="8" s="1"/>
  <c r="K262" i="78"/>
  <c r="N17" i="8" s="1"/>
  <c r="K259" i="78"/>
  <c r="R17" i="8" s="1"/>
  <c r="K262" i="79"/>
  <c r="N18" i="8" s="1"/>
  <c r="K259" i="79"/>
  <c r="R18" i="8" s="1"/>
  <c r="K262" i="80"/>
  <c r="N19" i="8" s="1"/>
  <c r="K259" i="80"/>
  <c r="R19" i="8" s="1"/>
  <c r="K262" i="81"/>
  <c r="N20" i="8" s="1"/>
  <c r="K259" i="81"/>
  <c r="R20" i="8" s="1"/>
  <c r="K262" i="82"/>
  <c r="N21" i="8" s="1"/>
  <c r="K259" i="82"/>
  <c r="R21" i="8" s="1"/>
  <c r="K262" i="83"/>
  <c r="N22" i="8" s="1"/>
  <c r="K259" i="83"/>
  <c r="R22" i="8" s="1"/>
  <c r="K262" i="84"/>
  <c r="N23" i="8" s="1"/>
  <c r="K259" i="84"/>
  <c r="R23" i="8" s="1"/>
  <c r="K262" i="85"/>
  <c r="N24" i="8" s="1"/>
  <c r="K259" i="85"/>
  <c r="R24" i="8" s="1"/>
  <c r="K262" i="86"/>
  <c r="N25" i="8" s="1"/>
  <c r="K259" i="86"/>
  <c r="R25" i="8" s="1"/>
  <c r="K262" i="87"/>
  <c r="N26" i="8" s="1"/>
  <c r="K259" i="87"/>
  <c r="R26" i="8" s="1"/>
  <c r="K262" i="88"/>
  <c r="K259" i="88"/>
  <c r="K262" i="89"/>
  <c r="K259" i="89"/>
  <c r="K262" i="90"/>
  <c r="K259" i="90"/>
  <c r="K262" i="91"/>
  <c r="K259" i="91"/>
  <c r="K262" i="92"/>
  <c r="K259" i="92"/>
  <c r="K262" i="93"/>
  <c r="K259" i="93"/>
  <c r="K262" i="94"/>
  <c r="K259" i="94"/>
  <c r="R33" i="8" s="1"/>
  <c r="K262" i="95"/>
  <c r="K259" i="95"/>
  <c r="K262" i="96"/>
  <c r="K259" i="96"/>
  <c r="K262" i="75"/>
  <c r="N14" i="8" s="1"/>
  <c r="K259" i="75"/>
  <c r="R14" i="8" s="1"/>
  <c r="K262" i="74"/>
  <c r="N13" i="8" s="1"/>
  <c r="K259" i="74"/>
  <c r="R13" i="8" s="1"/>
  <c r="T11" i="8"/>
  <c r="Q11" i="8"/>
  <c r="P11" i="8"/>
  <c r="O11" i="8"/>
  <c r="T10" i="8"/>
  <c r="Q10" i="8"/>
  <c r="P10" i="8"/>
  <c r="O10" i="8"/>
  <c r="T9" i="8" l="1"/>
  <c r="Q9" i="8"/>
  <c r="P9" i="8"/>
  <c r="O9" i="8"/>
  <c r="T8" i="8"/>
  <c r="Q8" i="8"/>
  <c r="P8" i="8"/>
  <c r="O8" i="8"/>
  <c r="T7" i="8"/>
  <c r="Q7" i="8"/>
  <c r="P7" i="8"/>
  <c r="O7" i="8"/>
  <c r="D25" i="99" l="1"/>
  <c r="C25" i="99"/>
  <c r="D25" i="98"/>
  <c r="C25" i="98"/>
  <c r="C14" i="97"/>
  <c r="T6" i="8" l="1"/>
  <c r="Q6" i="8"/>
  <c r="P6" i="8"/>
  <c r="O6" i="8"/>
  <c r="S15" i="33" l="1"/>
  <c r="U15" i="33" s="1"/>
  <c r="X15" i="33"/>
  <c r="S16" i="33"/>
  <c r="U16" i="33" s="1"/>
  <c r="X16" i="33"/>
  <c r="S17" i="33"/>
  <c r="U17" i="33" s="1"/>
  <c r="X17" i="33"/>
  <c r="S18" i="33"/>
  <c r="U18" i="33" s="1"/>
  <c r="X18" i="33"/>
  <c r="S19" i="33"/>
  <c r="U19" i="33" s="1"/>
  <c r="X19" i="33"/>
  <c r="S20" i="33"/>
  <c r="U20" i="33" s="1"/>
  <c r="X20" i="33"/>
  <c r="S21" i="33"/>
  <c r="U21" i="33" s="1"/>
  <c r="X21" i="33"/>
  <c r="S22" i="33"/>
  <c r="U22" i="33" s="1"/>
  <c r="X22" i="33"/>
  <c r="S23" i="33"/>
  <c r="U23" i="33" s="1"/>
  <c r="X23" i="33"/>
  <c r="S24" i="33"/>
  <c r="U24" i="33" s="1"/>
  <c r="X24" i="33"/>
  <c r="S25" i="33"/>
  <c r="U25" i="33" s="1"/>
  <c r="X25" i="33"/>
  <c r="S26" i="33"/>
  <c r="U26" i="33" s="1"/>
  <c r="X26" i="33"/>
  <c r="S27" i="33"/>
  <c r="U27" i="33" s="1"/>
  <c r="X27" i="33"/>
  <c r="S28" i="33"/>
  <c r="U28" i="33" s="1"/>
  <c r="X28" i="33"/>
  <c r="S29" i="33"/>
  <c r="U29" i="33" s="1"/>
  <c r="X29" i="33"/>
  <c r="S15" i="66"/>
  <c r="U15" i="66" s="1"/>
  <c r="X15" i="66"/>
  <c r="S16" i="66"/>
  <c r="U16" i="66" s="1"/>
  <c r="X16" i="66"/>
  <c r="S17" i="66"/>
  <c r="U17" i="66" s="1"/>
  <c r="X17" i="66"/>
  <c r="S18" i="66"/>
  <c r="U18" i="66" s="1"/>
  <c r="X18" i="66"/>
  <c r="S19" i="66"/>
  <c r="U19" i="66" s="1"/>
  <c r="X19" i="66"/>
  <c r="S20" i="66"/>
  <c r="U20" i="66" s="1"/>
  <c r="X20" i="66"/>
  <c r="S21" i="66"/>
  <c r="U21" i="66" s="1"/>
  <c r="X21" i="66"/>
  <c r="S22" i="66"/>
  <c r="U22" i="66" s="1"/>
  <c r="X22" i="66"/>
  <c r="S23" i="66"/>
  <c r="U23" i="66" s="1"/>
  <c r="X23" i="66"/>
  <c r="S24" i="66"/>
  <c r="U24" i="66" s="1"/>
  <c r="X24" i="66"/>
  <c r="S25" i="66"/>
  <c r="U25" i="66" s="1"/>
  <c r="X25" i="66"/>
  <c r="S26" i="66"/>
  <c r="U26" i="66" s="1"/>
  <c r="X26" i="66"/>
  <c r="S27" i="66"/>
  <c r="U27" i="66" s="1"/>
  <c r="X27" i="66"/>
  <c r="S28" i="66"/>
  <c r="U28" i="66" s="1"/>
  <c r="X28" i="66"/>
  <c r="S29" i="66"/>
  <c r="U29" i="66" s="1"/>
  <c r="X29" i="66"/>
  <c r="S15" i="67"/>
  <c r="U15" i="67" s="1"/>
  <c r="X15" i="67"/>
  <c r="S16" i="67"/>
  <c r="U16" i="67" s="1"/>
  <c r="X16" i="67"/>
  <c r="S17" i="67"/>
  <c r="U17" i="67" s="1"/>
  <c r="X17" i="67"/>
  <c r="S18" i="67"/>
  <c r="U18" i="67" s="1"/>
  <c r="X18" i="67"/>
  <c r="S19" i="67"/>
  <c r="U19" i="67" s="1"/>
  <c r="X19" i="67"/>
  <c r="S20" i="67"/>
  <c r="U20" i="67" s="1"/>
  <c r="X20" i="67"/>
  <c r="S21" i="67"/>
  <c r="U21" i="67" s="1"/>
  <c r="X21" i="67"/>
  <c r="S22" i="67"/>
  <c r="U22" i="67" s="1"/>
  <c r="X22" i="67"/>
  <c r="S23" i="67"/>
  <c r="U23" i="67" s="1"/>
  <c r="X23" i="67"/>
  <c r="S24" i="67"/>
  <c r="U24" i="67" s="1"/>
  <c r="X24" i="67"/>
  <c r="S25" i="67"/>
  <c r="U25" i="67" s="1"/>
  <c r="X25" i="67"/>
  <c r="S26" i="67"/>
  <c r="U26" i="67" s="1"/>
  <c r="X26" i="67"/>
  <c r="S27" i="67"/>
  <c r="U27" i="67" s="1"/>
  <c r="X27" i="67"/>
  <c r="S28" i="67"/>
  <c r="U28" i="67" s="1"/>
  <c r="X28" i="67"/>
  <c r="S29" i="67"/>
  <c r="U29" i="67" s="1"/>
  <c r="X29" i="67"/>
  <c r="S15" i="70"/>
  <c r="U15" i="70" s="1"/>
  <c r="X15" i="70"/>
  <c r="S16" i="70"/>
  <c r="U16" i="70" s="1"/>
  <c r="X16" i="70"/>
  <c r="S17" i="70"/>
  <c r="U17" i="70" s="1"/>
  <c r="X17" i="70"/>
  <c r="S18" i="70"/>
  <c r="U18" i="70" s="1"/>
  <c r="X18" i="70"/>
  <c r="S19" i="70"/>
  <c r="U19" i="70" s="1"/>
  <c r="X19" i="70"/>
  <c r="S20" i="70"/>
  <c r="U20" i="70" s="1"/>
  <c r="X20" i="70"/>
  <c r="S21" i="70"/>
  <c r="U21" i="70" s="1"/>
  <c r="X21" i="70"/>
  <c r="S22" i="70"/>
  <c r="U22" i="70" s="1"/>
  <c r="X22" i="70"/>
  <c r="S23" i="70"/>
  <c r="U23" i="70" s="1"/>
  <c r="X23" i="70"/>
  <c r="S24" i="70"/>
  <c r="U24" i="70" s="1"/>
  <c r="X24" i="70"/>
  <c r="S25" i="70"/>
  <c r="U25" i="70" s="1"/>
  <c r="X25" i="70"/>
  <c r="S26" i="70"/>
  <c r="U26" i="70" s="1"/>
  <c r="X26" i="70"/>
  <c r="S27" i="70"/>
  <c r="U27" i="70" s="1"/>
  <c r="X27" i="70"/>
  <c r="S28" i="70"/>
  <c r="U28" i="70" s="1"/>
  <c r="X28" i="70"/>
  <c r="S29" i="70"/>
  <c r="U29" i="70" s="1"/>
  <c r="X29" i="70"/>
  <c r="S15" i="68"/>
  <c r="U15" i="68" s="1"/>
  <c r="X15" i="68"/>
  <c r="S16" i="68"/>
  <c r="U16" i="68" s="1"/>
  <c r="X16" i="68"/>
  <c r="S17" i="68"/>
  <c r="U17" i="68" s="1"/>
  <c r="X17" i="68"/>
  <c r="S18" i="68"/>
  <c r="U18" i="68" s="1"/>
  <c r="X18" i="68"/>
  <c r="S19" i="68"/>
  <c r="U19" i="68" s="1"/>
  <c r="X19" i="68"/>
  <c r="S20" i="68"/>
  <c r="U20" i="68" s="1"/>
  <c r="X20" i="68"/>
  <c r="S21" i="68"/>
  <c r="U21" i="68" s="1"/>
  <c r="X21" i="68"/>
  <c r="S22" i="68"/>
  <c r="U22" i="68" s="1"/>
  <c r="X22" i="68"/>
  <c r="S23" i="68"/>
  <c r="U23" i="68" s="1"/>
  <c r="X23" i="68"/>
  <c r="S24" i="68"/>
  <c r="U24" i="68" s="1"/>
  <c r="X24" i="68"/>
  <c r="S25" i="68"/>
  <c r="U25" i="68" s="1"/>
  <c r="X25" i="68"/>
  <c r="S26" i="68"/>
  <c r="U26" i="68" s="1"/>
  <c r="X26" i="68"/>
  <c r="S27" i="68"/>
  <c r="U27" i="68" s="1"/>
  <c r="X27" i="68"/>
  <c r="S28" i="68"/>
  <c r="U28" i="68" s="1"/>
  <c r="X28" i="68"/>
  <c r="S29" i="68"/>
  <c r="U29" i="68" s="1"/>
  <c r="X29" i="68"/>
  <c r="S15" i="69"/>
  <c r="U15" i="69" s="1"/>
  <c r="X15" i="69"/>
  <c r="S16" i="69"/>
  <c r="U16" i="69" s="1"/>
  <c r="X16" i="69"/>
  <c r="S17" i="69"/>
  <c r="U17" i="69" s="1"/>
  <c r="X17" i="69"/>
  <c r="S18" i="69"/>
  <c r="U18" i="69" s="1"/>
  <c r="X18" i="69"/>
  <c r="S19" i="69"/>
  <c r="U19" i="69" s="1"/>
  <c r="X19" i="69"/>
  <c r="S20" i="69"/>
  <c r="U20" i="69" s="1"/>
  <c r="X20" i="69"/>
  <c r="S21" i="69"/>
  <c r="U21" i="69" s="1"/>
  <c r="X21" i="69"/>
  <c r="S22" i="69"/>
  <c r="U22" i="69" s="1"/>
  <c r="X22" i="69"/>
  <c r="S23" i="69"/>
  <c r="U23" i="69" s="1"/>
  <c r="X23" i="69"/>
  <c r="S24" i="69"/>
  <c r="U24" i="69" s="1"/>
  <c r="X24" i="69"/>
  <c r="S25" i="69"/>
  <c r="U25" i="69" s="1"/>
  <c r="X25" i="69"/>
  <c r="S26" i="69"/>
  <c r="U26" i="69" s="1"/>
  <c r="X26" i="69"/>
  <c r="S27" i="69"/>
  <c r="U27" i="69" s="1"/>
  <c r="X27" i="69"/>
  <c r="S28" i="69"/>
  <c r="U28" i="69" s="1"/>
  <c r="X28" i="69"/>
  <c r="S29" i="69"/>
  <c r="U29" i="69" s="1"/>
  <c r="X29" i="69"/>
  <c r="S15" i="72"/>
  <c r="U15" i="72" s="1"/>
  <c r="X15" i="72"/>
  <c r="S16" i="72"/>
  <c r="U16" i="72" s="1"/>
  <c r="X16" i="72"/>
  <c r="S17" i="72"/>
  <c r="U17" i="72" s="1"/>
  <c r="X17" i="72"/>
  <c r="S18" i="72"/>
  <c r="U18" i="72" s="1"/>
  <c r="X18" i="72"/>
  <c r="S19" i="72"/>
  <c r="U19" i="72" s="1"/>
  <c r="X19" i="72"/>
  <c r="S20" i="72"/>
  <c r="U20" i="72" s="1"/>
  <c r="X20" i="72"/>
  <c r="S21" i="72"/>
  <c r="U21" i="72" s="1"/>
  <c r="X21" i="72"/>
  <c r="S22" i="72"/>
  <c r="U22" i="72" s="1"/>
  <c r="X22" i="72"/>
  <c r="S23" i="72"/>
  <c r="U23" i="72" s="1"/>
  <c r="X23" i="72"/>
  <c r="S24" i="72"/>
  <c r="U24" i="72" s="1"/>
  <c r="X24" i="72"/>
  <c r="S25" i="72"/>
  <c r="U25" i="72" s="1"/>
  <c r="X25" i="72"/>
  <c r="S26" i="72"/>
  <c r="U26" i="72" s="1"/>
  <c r="X26" i="72"/>
  <c r="S27" i="72"/>
  <c r="U27" i="72" s="1"/>
  <c r="X27" i="72"/>
  <c r="S28" i="72"/>
  <c r="U28" i="72" s="1"/>
  <c r="X28" i="72"/>
  <c r="S29" i="72"/>
  <c r="U29" i="72" s="1"/>
  <c r="X29" i="72"/>
  <c r="S15" i="73"/>
  <c r="U15" i="73" s="1"/>
  <c r="X15" i="73"/>
  <c r="S16" i="73"/>
  <c r="U16" i="73" s="1"/>
  <c r="X16" i="73"/>
  <c r="S17" i="73"/>
  <c r="U17" i="73" s="1"/>
  <c r="X17" i="73"/>
  <c r="S18" i="73"/>
  <c r="U18" i="73" s="1"/>
  <c r="X18" i="73"/>
  <c r="S19" i="73"/>
  <c r="U19" i="73" s="1"/>
  <c r="X19" i="73"/>
  <c r="S20" i="73"/>
  <c r="U20" i="73" s="1"/>
  <c r="X20" i="73"/>
  <c r="S21" i="73"/>
  <c r="U21" i="73" s="1"/>
  <c r="X21" i="73"/>
  <c r="S22" i="73"/>
  <c r="U22" i="73" s="1"/>
  <c r="X22" i="73"/>
  <c r="S23" i="73"/>
  <c r="U23" i="73" s="1"/>
  <c r="X23" i="73"/>
  <c r="S24" i="73"/>
  <c r="U24" i="73" s="1"/>
  <c r="X24" i="73"/>
  <c r="S25" i="73"/>
  <c r="U25" i="73" s="1"/>
  <c r="X25" i="73"/>
  <c r="S26" i="73"/>
  <c r="U26" i="73" s="1"/>
  <c r="X26" i="73"/>
  <c r="S27" i="73"/>
  <c r="U27" i="73" s="1"/>
  <c r="X27" i="73"/>
  <c r="S28" i="73"/>
  <c r="U28" i="73" s="1"/>
  <c r="X28" i="73"/>
  <c r="S29" i="73"/>
  <c r="U29" i="73" s="1"/>
  <c r="X29" i="73"/>
  <c r="S15" i="74"/>
  <c r="U15" i="74" s="1"/>
  <c r="X15" i="74"/>
  <c r="S16" i="74"/>
  <c r="U16" i="74" s="1"/>
  <c r="X16" i="74"/>
  <c r="S17" i="74"/>
  <c r="U17" i="74" s="1"/>
  <c r="X17" i="74"/>
  <c r="S18" i="74"/>
  <c r="U18" i="74" s="1"/>
  <c r="X18" i="74"/>
  <c r="S19" i="74"/>
  <c r="U19" i="74" s="1"/>
  <c r="X19" i="74"/>
  <c r="S20" i="74"/>
  <c r="U20" i="74" s="1"/>
  <c r="X20" i="74"/>
  <c r="S21" i="74"/>
  <c r="U21" i="74" s="1"/>
  <c r="X21" i="74"/>
  <c r="S22" i="74"/>
  <c r="U22" i="74" s="1"/>
  <c r="X22" i="74"/>
  <c r="S23" i="74"/>
  <c r="U23" i="74" s="1"/>
  <c r="X23" i="74"/>
  <c r="S24" i="74"/>
  <c r="U24" i="74" s="1"/>
  <c r="X24" i="74"/>
  <c r="S25" i="74"/>
  <c r="U25" i="74" s="1"/>
  <c r="X25" i="74"/>
  <c r="S26" i="74"/>
  <c r="U26" i="74" s="1"/>
  <c r="X26" i="74"/>
  <c r="S27" i="74"/>
  <c r="U27" i="74" s="1"/>
  <c r="X27" i="74"/>
  <c r="S28" i="74"/>
  <c r="U28" i="74" s="1"/>
  <c r="X28" i="74"/>
  <c r="S29" i="74"/>
  <c r="U29" i="74" s="1"/>
  <c r="X29" i="74"/>
  <c r="S15" i="75"/>
  <c r="U15" i="75" s="1"/>
  <c r="X15" i="75"/>
  <c r="S16" i="75"/>
  <c r="U16" i="75" s="1"/>
  <c r="X16" i="75"/>
  <c r="S17" i="75"/>
  <c r="U17" i="75" s="1"/>
  <c r="X17" i="75"/>
  <c r="S18" i="75"/>
  <c r="U18" i="75" s="1"/>
  <c r="X18" i="75"/>
  <c r="S19" i="75"/>
  <c r="U19" i="75" s="1"/>
  <c r="X19" i="75"/>
  <c r="S20" i="75"/>
  <c r="U20" i="75" s="1"/>
  <c r="X20" i="75"/>
  <c r="S21" i="75"/>
  <c r="U21" i="75" s="1"/>
  <c r="X21" i="75"/>
  <c r="S22" i="75"/>
  <c r="U22" i="75" s="1"/>
  <c r="X22" i="75"/>
  <c r="S23" i="75"/>
  <c r="U23" i="75" s="1"/>
  <c r="X23" i="75"/>
  <c r="S24" i="75"/>
  <c r="U24" i="75" s="1"/>
  <c r="X24" i="75"/>
  <c r="S25" i="75"/>
  <c r="U25" i="75" s="1"/>
  <c r="X25" i="75"/>
  <c r="S26" i="75"/>
  <c r="U26" i="75" s="1"/>
  <c r="X26" i="75"/>
  <c r="S27" i="75"/>
  <c r="U27" i="75" s="1"/>
  <c r="X27" i="75"/>
  <c r="S28" i="75"/>
  <c r="U28" i="75" s="1"/>
  <c r="X28" i="75"/>
  <c r="S29" i="75"/>
  <c r="U29" i="75" s="1"/>
  <c r="X29" i="75"/>
  <c r="S15" i="76"/>
  <c r="U15" i="76" s="1"/>
  <c r="X15" i="76"/>
  <c r="S16" i="76"/>
  <c r="U16" i="76" s="1"/>
  <c r="X16" i="76"/>
  <c r="S17" i="76"/>
  <c r="U17" i="76" s="1"/>
  <c r="X17" i="76"/>
  <c r="S18" i="76"/>
  <c r="U18" i="76" s="1"/>
  <c r="X18" i="76"/>
  <c r="S19" i="76"/>
  <c r="U19" i="76" s="1"/>
  <c r="X19" i="76"/>
  <c r="S20" i="76"/>
  <c r="U20" i="76" s="1"/>
  <c r="X20" i="76"/>
  <c r="S21" i="76"/>
  <c r="U21" i="76" s="1"/>
  <c r="X21" i="76"/>
  <c r="S22" i="76"/>
  <c r="U22" i="76" s="1"/>
  <c r="X22" i="76"/>
  <c r="S23" i="76"/>
  <c r="U23" i="76" s="1"/>
  <c r="X23" i="76"/>
  <c r="S24" i="76"/>
  <c r="U24" i="76" s="1"/>
  <c r="X24" i="76"/>
  <c r="S25" i="76"/>
  <c r="U25" i="76" s="1"/>
  <c r="X25" i="76"/>
  <c r="S26" i="76"/>
  <c r="U26" i="76" s="1"/>
  <c r="X26" i="76"/>
  <c r="S27" i="76"/>
  <c r="U27" i="76" s="1"/>
  <c r="X27" i="76"/>
  <c r="S28" i="76"/>
  <c r="U28" i="76" s="1"/>
  <c r="X28" i="76"/>
  <c r="S29" i="76"/>
  <c r="U29" i="76" s="1"/>
  <c r="X29" i="76"/>
  <c r="S15" i="77"/>
  <c r="U15" i="77" s="1"/>
  <c r="X15" i="77"/>
  <c r="S16" i="77"/>
  <c r="U16" i="77" s="1"/>
  <c r="X16" i="77"/>
  <c r="S17" i="77"/>
  <c r="U17" i="77" s="1"/>
  <c r="X17" i="77"/>
  <c r="S18" i="77"/>
  <c r="U18" i="77" s="1"/>
  <c r="X18" i="77"/>
  <c r="S19" i="77"/>
  <c r="U19" i="77" s="1"/>
  <c r="X19" i="77"/>
  <c r="S20" i="77"/>
  <c r="U20" i="77" s="1"/>
  <c r="X20" i="77"/>
  <c r="S21" i="77"/>
  <c r="U21" i="77" s="1"/>
  <c r="X21" i="77"/>
  <c r="S22" i="77"/>
  <c r="U22" i="77" s="1"/>
  <c r="X22" i="77"/>
  <c r="S23" i="77"/>
  <c r="U23" i="77" s="1"/>
  <c r="X23" i="77"/>
  <c r="S24" i="77"/>
  <c r="U24" i="77" s="1"/>
  <c r="X24" i="77"/>
  <c r="S25" i="77"/>
  <c r="U25" i="77" s="1"/>
  <c r="X25" i="77"/>
  <c r="S26" i="77"/>
  <c r="U26" i="77" s="1"/>
  <c r="X26" i="77"/>
  <c r="S27" i="77"/>
  <c r="U27" i="77" s="1"/>
  <c r="X27" i="77"/>
  <c r="S28" i="77"/>
  <c r="U28" i="77" s="1"/>
  <c r="X28" i="77"/>
  <c r="S29" i="77"/>
  <c r="U29" i="77" s="1"/>
  <c r="X29" i="77"/>
  <c r="S15" i="78"/>
  <c r="U15" i="78" s="1"/>
  <c r="X15" i="78"/>
  <c r="S16" i="78"/>
  <c r="U16" i="78" s="1"/>
  <c r="X16" i="78"/>
  <c r="S17" i="78"/>
  <c r="U17" i="78" s="1"/>
  <c r="X17" i="78"/>
  <c r="S18" i="78"/>
  <c r="U18" i="78" s="1"/>
  <c r="X18" i="78"/>
  <c r="S19" i="78"/>
  <c r="U19" i="78" s="1"/>
  <c r="X19" i="78"/>
  <c r="S20" i="78"/>
  <c r="U20" i="78" s="1"/>
  <c r="X20" i="78"/>
  <c r="S21" i="78"/>
  <c r="U21" i="78" s="1"/>
  <c r="X21" i="78"/>
  <c r="S22" i="78"/>
  <c r="U22" i="78" s="1"/>
  <c r="X22" i="78"/>
  <c r="S23" i="78"/>
  <c r="U23" i="78" s="1"/>
  <c r="X23" i="78"/>
  <c r="S24" i="78"/>
  <c r="U24" i="78" s="1"/>
  <c r="X24" i="78"/>
  <c r="S25" i="78"/>
  <c r="U25" i="78" s="1"/>
  <c r="X25" i="78"/>
  <c r="S26" i="78"/>
  <c r="U26" i="78" s="1"/>
  <c r="X26" i="78"/>
  <c r="S27" i="78"/>
  <c r="U27" i="78" s="1"/>
  <c r="X27" i="78"/>
  <c r="S28" i="78"/>
  <c r="U28" i="78" s="1"/>
  <c r="X28" i="78"/>
  <c r="S29" i="78"/>
  <c r="U29" i="78" s="1"/>
  <c r="X29" i="78"/>
  <c r="S15" i="79"/>
  <c r="U15" i="79" s="1"/>
  <c r="X15" i="79"/>
  <c r="S16" i="79"/>
  <c r="U16" i="79" s="1"/>
  <c r="X16" i="79"/>
  <c r="S17" i="79"/>
  <c r="U17" i="79" s="1"/>
  <c r="X17" i="79"/>
  <c r="S18" i="79"/>
  <c r="U18" i="79" s="1"/>
  <c r="X18" i="79"/>
  <c r="S19" i="79"/>
  <c r="U19" i="79" s="1"/>
  <c r="X19" i="79"/>
  <c r="S20" i="79"/>
  <c r="U20" i="79" s="1"/>
  <c r="X20" i="79"/>
  <c r="S21" i="79"/>
  <c r="U21" i="79" s="1"/>
  <c r="X21" i="79"/>
  <c r="S22" i="79"/>
  <c r="U22" i="79" s="1"/>
  <c r="X22" i="79"/>
  <c r="S23" i="79"/>
  <c r="U23" i="79" s="1"/>
  <c r="X23" i="79"/>
  <c r="S24" i="79"/>
  <c r="U24" i="79" s="1"/>
  <c r="X24" i="79"/>
  <c r="S25" i="79"/>
  <c r="U25" i="79" s="1"/>
  <c r="X25" i="79"/>
  <c r="S26" i="79"/>
  <c r="U26" i="79" s="1"/>
  <c r="X26" i="79"/>
  <c r="S27" i="79"/>
  <c r="U27" i="79" s="1"/>
  <c r="X27" i="79"/>
  <c r="S28" i="79"/>
  <c r="U28" i="79" s="1"/>
  <c r="X28" i="79"/>
  <c r="S29" i="79"/>
  <c r="U29" i="79" s="1"/>
  <c r="X29" i="79"/>
  <c r="S15" i="80"/>
  <c r="U15" i="80" s="1"/>
  <c r="X15" i="80"/>
  <c r="S16" i="80"/>
  <c r="U16" i="80" s="1"/>
  <c r="X16" i="80"/>
  <c r="S17" i="80"/>
  <c r="U17" i="80" s="1"/>
  <c r="X17" i="80"/>
  <c r="S18" i="80"/>
  <c r="U18" i="80" s="1"/>
  <c r="X18" i="80"/>
  <c r="S19" i="80"/>
  <c r="U19" i="80" s="1"/>
  <c r="X19" i="80"/>
  <c r="S20" i="80"/>
  <c r="U20" i="80" s="1"/>
  <c r="X20" i="80"/>
  <c r="S21" i="80"/>
  <c r="U21" i="80" s="1"/>
  <c r="X21" i="80"/>
  <c r="S22" i="80"/>
  <c r="U22" i="80" s="1"/>
  <c r="X22" i="80"/>
  <c r="S23" i="80"/>
  <c r="U23" i="80" s="1"/>
  <c r="X23" i="80"/>
  <c r="S24" i="80"/>
  <c r="U24" i="80" s="1"/>
  <c r="X24" i="80"/>
  <c r="S25" i="80"/>
  <c r="U25" i="80" s="1"/>
  <c r="X25" i="80"/>
  <c r="S26" i="80"/>
  <c r="U26" i="80" s="1"/>
  <c r="X26" i="80"/>
  <c r="S27" i="80"/>
  <c r="U27" i="80" s="1"/>
  <c r="X27" i="80"/>
  <c r="S28" i="80"/>
  <c r="U28" i="80" s="1"/>
  <c r="X28" i="80"/>
  <c r="S29" i="80"/>
  <c r="U29" i="80" s="1"/>
  <c r="X29" i="80"/>
  <c r="S15" i="81"/>
  <c r="U15" i="81" s="1"/>
  <c r="X15" i="81"/>
  <c r="S16" i="81"/>
  <c r="U16" i="81" s="1"/>
  <c r="X16" i="81"/>
  <c r="S17" i="81"/>
  <c r="U17" i="81" s="1"/>
  <c r="X17" i="81"/>
  <c r="S18" i="81"/>
  <c r="U18" i="81" s="1"/>
  <c r="X18" i="81"/>
  <c r="S19" i="81"/>
  <c r="U19" i="81" s="1"/>
  <c r="X19" i="81"/>
  <c r="S20" i="81"/>
  <c r="U20" i="81" s="1"/>
  <c r="X20" i="81"/>
  <c r="S21" i="81"/>
  <c r="U21" i="81" s="1"/>
  <c r="X21" i="81"/>
  <c r="S22" i="81"/>
  <c r="U22" i="81" s="1"/>
  <c r="X22" i="81"/>
  <c r="S23" i="81"/>
  <c r="U23" i="81" s="1"/>
  <c r="X23" i="81"/>
  <c r="S24" i="81"/>
  <c r="U24" i="81" s="1"/>
  <c r="X24" i="81"/>
  <c r="S25" i="81"/>
  <c r="U25" i="81" s="1"/>
  <c r="X25" i="81"/>
  <c r="S26" i="81"/>
  <c r="U26" i="81" s="1"/>
  <c r="X26" i="81"/>
  <c r="S27" i="81"/>
  <c r="U27" i="81" s="1"/>
  <c r="X27" i="81"/>
  <c r="S28" i="81"/>
  <c r="U28" i="81" s="1"/>
  <c r="X28" i="81"/>
  <c r="S29" i="81"/>
  <c r="U29" i="81" s="1"/>
  <c r="X29" i="81"/>
  <c r="S15" i="82"/>
  <c r="U15" i="82" s="1"/>
  <c r="X15" i="82"/>
  <c r="S16" i="82"/>
  <c r="U16" i="82" s="1"/>
  <c r="X16" i="82"/>
  <c r="S17" i="82"/>
  <c r="U17" i="82" s="1"/>
  <c r="X17" i="82"/>
  <c r="S18" i="82"/>
  <c r="U18" i="82" s="1"/>
  <c r="X18" i="82"/>
  <c r="S19" i="82"/>
  <c r="U19" i="82" s="1"/>
  <c r="X19" i="82"/>
  <c r="S20" i="82"/>
  <c r="U20" i="82" s="1"/>
  <c r="X20" i="82"/>
  <c r="S21" i="82"/>
  <c r="U21" i="82" s="1"/>
  <c r="X21" i="82"/>
  <c r="S22" i="82"/>
  <c r="U22" i="82" s="1"/>
  <c r="X22" i="82"/>
  <c r="S23" i="82"/>
  <c r="U23" i="82" s="1"/>
  <c r="X23" i="82"/>
  <c r="S24" i="82"/>
  <c r="U24" i="82" s="1"/>
  <c r="X24" i="82"/>
  <c r="S25" i="82"/>
  <c r="U25" i="82" s="1"/>
  <c r="X25" i="82"/>
  <c r="S26" i="82"/>
  <c r="U26" i="82" s="1"/>
  <c r="X26" i="82"/>
  <c r="S27" i="82"/>
  <c r="U27" i="82" s="1"/>
  <c r="X27" i="82"/>
  <c r="S28" i="82"/>
  <c r="U28" i="82" s="1"/>
  <c r="X28" i="82"/>
  <c r="S29" i="82"/>
  <c r="U29" i="82" s="1"/>
  <c r="X29" i="82"/>
  <c r="S15" i="83"/>
  <c r="U15" i="83" s="1"/>
  <c r="X15" i="83"/>
  <c r="S16" i="83"/>
  <c r="U16" i="83" s="1"/>
  <c r="X16" i="83"/>
  <c r="S17" i="83"/>
  <c r="U17" i="83" s="1"/>
  <c r="X17" i="83"/>
  <c r="S18" i="83"/>
  <c r="U18" i="83" s="1"/>
  <c r="X18" i="83"/>
  <c r="S19" i="83"/>
  <c r="U19" i="83" s="1"/>
  <c r="X19" i="83"/>
  <c r="S20" i="83"/>
  <c r="U20" i="83" s="1"/>
  <c r="X20" i="83"/>
  <c r="S21" i="83"/>
  <c r="U21" i="83" s="1"/>
  <c r="X21" i="83"/>
  <c r="S22" i="83"/>
  <c r="U22" i="83" s="1"/>
  <c r="X22" i="83"/>
  <c r="S23" i="83"/>
  <c r="U23" i="83" s="1"/>
  <c r="X23" i="83"/>
  <c r="S24" i="83"/>
  <c r="U24" i="83" s="1"/>
  <c r="X24" i="83"/>
  <c r="S25" i="83"/>
  <c r="U25" i="83" s="1"/>
  <c r="X25" i="83"/>
  <c r="S26" i="83"/>
  <c r="U26" i="83" s="1"/>
  <c r="X26" i="83"/>
  <c r="S27" i="83"/>
  <c r="U27" i="83" s="1"/>
  <c r="X27" i="83"/>
  <c r="S28" i="83"/>
  <c r="U28" i="83" s="1"/>
  <c r="X28" i="83"/>
  <c r="S29" i="83"/>
  <c r="U29" i="83" s="1"/>
  <c r="X29" i="83"/>
  <c r="S15" i="84"/>
  <c r="U15" i="84" s="1"/>
  <c r="X15" i="84"/>
  <c r="S16" i="84"/>
  <c r="U16" i="84" s="1"/>
  <c r="X16" i="84"/>
  <c r="S17" i="84"/>
  <c r="U17" i="84" s="1"/>
  <c r="X17" i="84"/>
  <c r="S18" i="84"/>
  <c r="U18" i="84" s="1"/>
  <c r="X18" i="84"/>
  <c r="S19" i="84"/>
  <c r="U19" i="84" s="1"/>
  <c r="X19" i="84"/>
  <c r="S20" i="84"/>
  <c r="U20" i="84" s="1"/>
  <c r="X20" i="84"/>
  <c r="S21" i="84"/>
  <c r="U21" i="84" s="1"/>
  <c r="X21" i="84"/>
  <c r="S22" i="84"/>
  <c r="U22" i="84" s="1"/>
  <c r="X22" i="84"/>
  <c r="S23" i="84"/>
  <c r="U23" i="84" s="1"/>
  <c r="X23" i="84"/>
  <c r="S24" i="84"/>
  <c r="U24" i="84" s="1"/>
  <c r="X24" i="84"/>
  <c r="S25" i="84"/>
  <c r="U25" i="84" s="1"/>
  <c r="X25" i="84"/>
  <c r="S26" i="84"/>
  <c r="U26" i="84" s="1"/>
  <c r="X26" i="84"/>
  <c r="S27" i="84"/>
  <c r="U27" i="84" s="1"/>
  <c r="X27" i="84"/>
  <c r="S28" i="84"/>
  <c r="U28" i="84" s="1"/>
  <c r="X28" i="84"/>
  <c r="S29" i="84"/>
  <c r="U29" i="84" s="1"/>
  <c r="X29" i="84"/>
  <c r="S15" i="85"/>
  <c r="U15" i="85" s="1"/>
  <c r="X15" i="85"/>
  <c r="S16" i="85"/>
  <c r="U16" i="85" s="1"/>
  <c r="X16" i="85"/>
  <c r="S17" i="85"/>
  <c r="U17" i="85" s="1"/>
  <c r="X17" i="85"/>
  <c r="S18" i="85"/>
  <c r="U18" i="85" s="1"/>
  <c r="X18" i="85"/>
  <c r="S19" i="85"/>
  <c r="U19" i="85" s="1"/>
  <c r="X19" i="85"/>
  <c r="S20" i="85"/>
  <c r="U20" i="85" s="1"/>
  <c r="X20" i="85"/>
  <c r="S21" i="85"/>
  <c r="U21" i="85" s="1"/>
  <c r="X21" i="85"/>
  <c r="S22" i="85"/>
  <c r="U22" i="85" s="1"/>
  <c r="X22" i="85"/>
  <c r="S23" i="85"/>
  <c r="U23" i="85" s="1"/>
  <c r="X23" i="85"/>
  <c r="S24" i="85"/>
  <c r="U24" i="85" s="1"/>
  <c r="X24" i="85"/>
  <c r="S25" i="85"/>
  <c r="U25" i="85" s="1"/>
  <c r="X25" i="85"/>
  <c r="S26" i="85"/>
  <c r="U26" i="85" s="1"/>
  <c r="X26" i="85"/>
  <c r="S27" i="85"/>
  <c r="U27" i="85" s="1"/>
  <c r="X27" i="85"/>
  <c r="S28" i="85"/>
  <c r="U28" i="85" s="1"/>
  <c r="X28" i="85"/>
  <c r="S29" i="85"/>
  <c r="U29" i="85" s="1"/>
  <c r="X29" i="85"/>
  <c r="S15" i="86"/>
  <c r="U15" i="86" s="1"/>
  <c r="X15" i="86"/>
  <c r="S16" i="86"/>
  <c r="U16" i="86" s="1"/>
  <c r="X16" i="86"/>
  <c r="S17" i="86"/>
  <c r="U17" i="86" s="1"/>
  <c r="X17" i="86"/>
  <c r="S18" i="86"/>
  <c r="U18" i="86" s="1"/>
  <c r="X18" i="86"/>
  <c r="S19" i="86"/>
  <c r="U19" i="86" s="1"/>
  <c r="X19" i="86"/>
  <c r="S20" i="86"/>
  <c r="U20" i="86" s="1"/>
  <c r="X20" i="86"/>
  <c r="S21" i="86"/>
  <c r="U21" i="86" s="1"/>
  <c r="X21" i="86"/>
  <c r="S22" i="86"/>
  <c r="U22" i="86" s="1"/>
  <c r="X22" i="86"/>
  <c r="S23" i="86"/>
  <c r="U23" i="86" s="1"/>
  <c r="X23" i="86"/>
  <c r="S24" i="86"/>
  <c r="U24" i="86" s="1"/>
  <c r="X24" i="86"/>
  <c r="S25" i="86"/>
  <c r="U25" i="86" s="1"/>
  <c r="X25" i="86"/>
  <c r="S26" i="86"/>
  <c r="U26" i="86" s="1"/>
  <c r="X26" i="86"/>
  <c r="S27" i="86"/>
  <c r="U27" i="86" s="1"/>
  <c r="X27" i="86"/>
  <c r="S28" i="86"/>
  <c r="U28" i="86" s="1"/>
  <c r="X28" i="86"/>
  <c r="S29" i="86"/>
  <c r="U29" i="86" s="1"/>
  <c r="X29" i="86"/>
  <c r="S15" i="87"/>
  <c r="U15" i="87" s="1"/>
  <c r="X15" i="87"/>
  <c r="S16" i="87"/>
  <c r="U16" i="87" s="1"/>
  <c r="X16" i="87"/>
  <c r="S17" i="87"/>
  <c r="U17" i="87" s="1"/>
  <c r="X17" i="87"/>
  <c r="S18" i="87"/>
  <c r="U18" i="87" s="1"/>
  <c r="X18" i="87"/>
  <c r="S19" i="87"/>
  <c r="U19" i="87" s="1"/>
  <c r="X19" i="87"/>
  <c r="S20" i="87"/>
  <c r="U20" i="87" s="1"/>
  <c r="X20" i="87"/>
  <c r="S21" i="87"/>
  <c r="U21" i="87" s="1"/>
  <c r="X21" i="87"/>
  <c r="S22" i="87"/>
  <c r="U22" i="87" s="1"/>
  <c r="X22" i="87"/>
  <c r="S23" i="87"/>
  <c r="U23" i="87" s="1"/>
  <c r="X23" i="87"/>
  <c r="S24" i="87"/>
  <c r="U24" i="87" s="1"/>
  <c r="X24" i="87"/>
  <c r="S25" i="87"/>
  <c r="U25" i="87" s="1"/>
  <c r="X25" i="87"/>
  <c r="S26" i="87"/>
  <c r="U26" i="87" s="1"/>
  <c r="X26" i="87"/>
  <c r="S27" i="87"/>
  <c r="U27" i="87" s="1"/>
  <c r="X27" i="87"/>
  <c r="S28" i="87"/>
  <c r="U28" i="87" s="1"/>
  <c r="X28" i="87"/>
  <c r="S29" i="87"/>
  <c r="U29" i="87" s="1"/>
  <c r="X29" i="87"/>
  <c r="S15" i="88"/>
  <c r="U15" i="88" s="1"/>
  <c r="X15" i="88"/>
  <c r="S16" i="88"/>
  <c r="U16" i="88" s="1"/>
  <c r="X16" i="88"/>
  <c r="S17" i="88"/>
  <c r="U17" i="88" s="1"/>
  <c r="X17" i="88"/>
  <c r="S18" i="88"/>
  <c r="U18" i="88" s="1"/>
  <c r="X18" i="88"/>
  <c r="S19" i="88"/>
  <c r="U19" i="88" s="1"/>
  <c r="X19" i="88"/>
  <c r="S20" i="88"/>
  <c r="U20" i="88" s="1"/>
  <c r="X20" i="88"/>
  <c r="S21" i="88"/>
  <c r="U21" i="88" s="1"/>
  <c r="X21" i="88"/>
  <c r="S22" i="88"/>
  <c r="U22" i="88" s="1"/>
  <c r="X22" i="88"/>
  <c r="S23" i="88"/>
  <c r="U23" i="88" s="1"/>
  <c r="X23" i="88"/>
  <c r="S24" i="88"/>
  <c r="U24" i="88" s="1"/>
  <c r="X24" i="88"/>
  <c r="S25" i="88"/>
  <c r="U25" i="88" s="1"/>
  <c r="X25" i="88"/>
  <c r="S26" i="88"/>
  <c r="U26" i="88" s="1"/>
  <c r="X26" i="88"/>
  <c r="S27" i="88"/>
  <c r="U27" i="88" s="1"/>
  <c r="X27" i="88"/>
  <c r="S28" i="88"/>
  <c r="U28" i="88" s="1"/>
  <c r="X28" i="88"/>
  <c r="S29" i="88"/>
  <c r="U29" i="88" s="1"/>
  <c r="X29" i="88"/>
  <c r="S15" i="89"/>
  <c r="U15" i="89" s="1"/>
  <c r="X15" i="89"/>
  <c r="S16" i="89"/>
  <c r="U16" i="89" s="1"/>
  <c r="X16" i="89"/>
  <c r="S17" i="89"/>
  <c r="U17" i="89" s="1"/>
  <c r="X17" i="89"/>
  <c r="S18" i="89"/>
  <c r="U18" i="89" s="1"/>
  <c r="X18" i="89"/>
  <c r="S19" i="89"/>
  <c r="U19" i="89" s="1"/>
  <c r="X19" i="89"/>
  <c r="S20" i="89"/>
  <c r="U20" i="89" s="1"/>
  <c r="X20" i="89"/>
  <c r="S21" i="89"/>
  <c r="U21" i="89" s="1"/>
  <c r="X21" i="89"/>
  <c r="S22" i="89"/>
  <c r="U22" i="89" s="1"/>
  <c r="X22" i="89"/>
  <c r="S23" i="89"/>
  <c r="U23" i="89" s="1"/>
  <c r="X23" i="89"/>
  <c r="S24" i="89"/>
  <c r="U24" i="89" s="1"/>
  <c r="X24" i="89"/>
  <c r="S25" i="89"/>
  <c r="U25" i="89" s="1"/>
  <c r="X25" i="89"/>
  <c r="S26" i="89"/>
  <c r="U26" i="89" s="1"/>
  <c r="X26" i="89"/>
  <c r="S27" i="89"/>
  <c r="U27" i="89" s="1"/>
  <c r="X27" i="89"/>
  <c r="S28" i="89"/>
  <c r="U28" i="89" s="1"/>
  <c r="X28" i="89"/>
  <c r="S29" i="89"/>
  <c r="U29" i="89" s="1"/>
  <c r="X29" i="89"/>
  <c r="S15" i="90"/>
  <c r="U15" i="90" s="1"/>
  <c r="X15" i="90"/>
  <c r="S16" i="90"/>
  <c r="U16" i="90" s="1"/>
  <c r="X16" i="90"/>
  <c r="S17" i="90"/>
  <c r="U17" i="90" s="1"/>
  <c r="X17" i="90"/>
  <c r="S18" i="90"/>
  <c r="U18" i="90" s="1"/>
  <c r="X18" i="90"/>
  <c r="S19" i="90"/>
  <c r="U19" i="90" s="1"/>
  <c r="X19" i="90"/>
  <c r="S20" i="90"/>
  <c r="U20" i="90" s="1"/>
  <c r="X20" i="90"/>
  <c r="S21" i="90"/>
  <c r="U21" i="90" s="1"/>
  <c r="X21" i="90"/>
  <c r="S22" i="90"/>
  <c r="U22" i="90" s="1"/>
  <c r="X22" i="90"/>
  <c r="S23" i="90"/>
  <c r="U23" i="90" s="1"/>
  <c r="X23" i="90"/>
  <c r="S24" i="90"/>
  <c r="U24" i="90" s="1"/>
  <c r="X24" i="90"/>
  <c r="S25" i="90"/>
  <c r="U25" i="90" s="1"/>
  <c r="X25" i="90"/>
  <c r="S26" i="90"/>
  <c r="U26" i="90" s="1"/>
  <c r="X26" i="90"/>
  <c r="S27" i="90"/>
  <c r="U27" i="90" s="1"/>
  <c r="X27" i="90"/>
  <c r="S28" i="90"/>
  <c r="U28" i="90" s="1"/>
  <c r="X28" i="90"/>
  <c r="S29" i="90"/>
  <c r="U29" i="90" s="1"/>
  <c r="X29" i="90"/>
  <c r="S15" i="91"/>
  <c r="U15" i="91" s="1"/>
  <c r="X15" i="91"/>
  <c r="S16" i="91"/>
  <c r="U16" i="91" s="1"/>
  <c r="X16" i="91"/>
  <c r="S17" i="91"/>
  <c r="U17" i="91" s="1"/>
  <c r="X17" i="91"/>
  <c r="S18" i="91"/>
  <c r="U18" i="91" s="1"/>
  <c r="X18" i="91"/>
  <c r="S19" i="91"/>
  <c r="U19" i="91" s="1"/>
  <c r="X19" i="91"/>
  <c r="S20" i="91"/>
  <c r="U20" i="91" s="1"/>
  <c r="X20" i="91"/>
  <c r="S21" i="91"/>
  <c r="U21" i="91" s="1"/>
  <c r="X21" i="91"/>
  <c r="S22" i="91"/>
  <c r="U22" i="91" s="1"/>
  <c r="X22" i="91"/>
  <c r="S23" i="91"/>
  <c r="U23" i="91" s="1"/>
  <c r="X23" i="91"/>
  <c r="S24" i="91"/>
  <c r="U24" i="91" s="1"/>
  <c r="X24" i="91"/>
  <c r="S25" i="91"/>
  <c r="U25" i="91" s="1"/>
  <c r="X25" i="91"/>
  <c r="S26" i="91"/>
  <c r="U26" i="91" s="1"/>
  <c r="X26" i="91"/>
  <c r="S27" i="91"/>
  <c r="U27" i="91" s="1"/>
  <c r="X27" i="91"/>
  <c r="S28" i="91"/>
  <c r="U28" i="91" s="1"/>
  <c r="X28" i="91"/>
  <c r="S29" i="91"/>
  <c r="U29" i="91" s="1"/>
  <c r="X29" i="91"/>
  <c r="S15" i="92"/>
  <c r="U15" i="92" s="1"/>
  <c r="X15" i="92"/>
  <c r="S16" i="92"/>
  <c r="U16" i="92" s="1"/>
  <c r="X16" i="92"/>
  <c r="S17" i="92"/>
  <c r="U17" i="92" s="1"/>
  <c r="X17" i="92"/>
  <c r="S18" i="92"/>
  <c r="U18" i="92" s="1"/>
  <c r="X18" i="92"/>
  <c r="S19" i="92"/>
  <c r="U19" i="92" s="1"/>
  <c r="X19" i="92"/>
  <c r="S20" i="92"/>
  <c r="U20" i="92" s="1"/>
  <c r="X20" i="92"/>
  <c r="S21" i="92"/>
  <c r="U21" i="92" s="1"/>
  <c r="X21" i="92"/>
  <c r="S22" i="92"/>
  <c r="U22" i="92" s="1"/>
  <c r="X22" i="92"/>
  <c r="S23" i="92"/>
  <c r="U23" i="92" s="1"/>
  <c r="X23" i="92"/>
  <c r="S24" i="92"/>
  <c r="U24" i="92" s="1"/>
  <c r="X24" i="92"/>
  <c r="S25" i="92"/>
  <c r="U25" i="92" s="1"/>
  <c r="X25" i="92"/>
  <c r="S26" i="92"/>
  <c r="U26" i="92" s="1"/>
  <c r="X26" i="92"/>
  <c r="S27" i="92"/>
  <c r="U27" i="92" s="1"/>
  <c r="X27" i="92"/>
  <c r="S28" i="92"/>
  <c r="U28" i="92" s="1"/>
  <c r="X28" i="92"/>
  <c r="S29" i="92"/>
  <c r="U29" i="92" s="1"/>
  <c r="X29" i="92"/>
  <c r="S15" i="93"/>
  <c r="U15" i="93" s="1"/>
  <c r="X15" i="93"/>
  <c r="S16" i="93"/>
  <c r="U16" i="93" s="1"/>
  <c r="X16" i="93"/>
  <c r="S17" i="93"/>
  <c r="U17" i="93" s="1"/>
  <c r="X17" i="93"/>
  <c r="S18" i="93"/>
  <c r="U18" i="93" s="1"/>
  <c r="X18" i="93"/>
  <c r="S19" i="93"/>
  <c r="U19" i="93" s="1"/>
  <c r="X19" i="93"/>
  <c r="S20" i="93"/>
  <c r="U20" i="93" s="1"/>
  <c r="X20" i="93"/>
  <c r="S21" i="93"/>
  <c r="U21" i="93" s="1"/>
  <c r="X21" i="93"/>
  <c r="S22" i="93"/>
  <c r="U22" i="93" s="1"/>
  <c r="X22" i="93"/>
  <c r="S23" i="93"/>
  <c r="U23" i="93" s="1"/>
  <c r="X23" i="93"/>
  <c r="S24" i="93"/>
  <c r="U24" i="93" s="1"/>
  <c r="X24" i="93"/>
  <c r="S25" i="93"/>
  <c r="U25" i="93" s="1"/>
  <c r="X25" i="93"/>
  <c r="S26" i="93"/>
  <c r="U26" i="93" s="1"/>
  <c r="X26" i="93"/>
  <c r="S27" i="93"/>
  <c r="U27" i="93" s="1"/>
  <c r="X27" i="93"/>
  <c r="S28" i="93"/>
  <c r="U28" i="93" s="1"/>
  <c r="X28" i="93"/>
  <c r="S29" i="93"/>
  <c r="U29" i="93" s="1"/>
  <c r="X29" i="93"/>
  <c r="S15" i="94"/>
  <c r="U15" i="94" s="1"/>
  <c r="X15" i="94"/>
  <c r="S16" i="94"/>
  <c r="U16" i="94" s="1"/>
  <c r="X16" i="94"/>
  <c r="S17" i="94"/>
  <c r="U17" i="94" s="1"/>
  <c r="X17" i="94"/>
  <c r="S18" i="94"/>
  <c r="U18" i="94" s="1"/>
  <c r="X18" i="94"/>
  <c r="S19" i="94"/>
  <c r="U19" i="94" s="1"/>
  <c r="X19" i="94"/>
  <c r="S20" i="94"/>
  <c r="U20" i="94" s="1"/>
  <c r="X20" i="94"/>
  <c r="S21" i="94"/>
  <c r="U21" i="94" s="1"/>
  <c r="X21" i="94"/>
  <c r="S22" i="94"/>
  <c r="U22" i="94" s="1"/>
  <c r="X22" i="94"/>
  <c r="S23" i="94"/>
  <c r="U23" i="94" s="1"/>
  <c r="X23" i="94"/>
  <c r="S24" i="94"/>
  <c r="U24" i="94" s="1"/>
  <c r="X24" i="94"/>
  <c r="S25" i="94"/>
  <c r="U25" i="94" s="1"/>
  <c r="X25" i="94"/>
  <c r="S26" i="94"/>
  <c r="U26" i="94" s="1"/>
  <c r="X26" i="94"/>
  <c r="S27" i="94"/>
  <c r="U27" i="94" s="1"/>
  <c r="X27" i="94"/>
  <c r="S28" i="94"/>
  <c r="U28" i="94" s="1"/>
  <c r="X28" i="94"/>
  <c r="S29" i="94"/>
  <c r="U29" i="94" s="1"/>
  <c r="X29" i="94"/>
  <c r="S15" i="95"/>
  <c r="U15" i="95" s="1"/>
  <c r="X15" i="95"/>
  <c r="S16" i="95"/>
  <c r="U16" i="95" s="1"/>
  <c r="X16" i="95"/>
  <c r="S17" i="95"/>
  <c r="U17" i="95" s="1"/>
  <c r="X17" i="95"/>
  <c r="S18" i="95"/>
  <c r="U18" i="95" s="1"/>
  <c r="X18" i="95"/>
  <c r="S19" i="95"/>
  <c r="U19" i="95" s="1"/>
  <c r="X19" i="95"/>
  <c r="S20" i="95"/>
  <c r="U20" i="95" s="1"/>
  <c r="X20" i="95"/>
  <c r="S21" i="95"/>
  <c r="U21" i="95" s="1"/>
  <c r="X21" i="95"/>
  <c r="S22" i="95"/>
  <c r="U22" i="95" s="1"/>
  <c r="X22" i="95"/>
  <c r="S23" i="95"/>
  <c r="U23" i="95" s="1"/>
  <c r="X23" i="95"/>
  <c r="S24" i="95"/>
  <c r="U24" i="95" s="1"/>
  <c r="X24" i="95"/>
  <c r="S25" i="95"/>
  <c r="U25" i="95" s="1"/>
  <c r="X25" i="95"/>
  <c r="S26" i="95"/>
  <c r="U26" i="95" s="1"/>
  <c r="X26" i="95"/>
  <c r="S27" i="95"/>
  <c r="U27" i="95" s="1"/>
  <c r="X27" i="95"/>
  <c r="S28" i="95"/>
  <c r="U28" i="95" s="1"/>
  <c r="X28" i="95"/>
  <c r="S29" i="95"/>
  <c r="U29" i="95" s="1"/>
  <c r="X29" i="95"/>
  <c r="S15" i="96"/>
  <c r="U15" i="96" s="1"/>
  <c r="X15" i="96"/>
  <c r="S16" i="96"/>
  <c r="U16" i="96" s="1"/>
  <c r="X16" i="96"/>
  <c r="S17" i="96"/>
  <c r="U17" i="96" s="1"/>
  <c r="X17" i="96"/>
  <c r="S18" i="96"/>
  <c r="U18" i="96" s="1"/>
  <c r="X18" i="96"/>
  <c r="S19" i="96"/>
  <c r="U19" i="96" s="1"/>
  <c r="X19" i="96"/>
  <c r="S20" i="96"/>
  <c r="U20" i="96" s="1"/>
  <c r="X20" i="96"/>
  <c r="S21" i="96"/>
  <c r="U21" i="96" s="1"/>
  <c r="X21" i="96"/>
  <c r="S22" i="96"/>
  <c r="U22" i="96" s="1"/>
  <c r="X22" i="96"/>
  <c r="S23" i="96"/>
  <c r="U23" i="96" s="1"/>
  <c r="X23" i="96"/>
  <c r="S24" i="96"/>
  <c r="U24" i="96" s="1"/>
  <c r="X24" i="96"/>
  <c r="S25" i="96"/>
  <c r="U25" i="96" s="1"/>
  <c r="X25" i="96"/>
  <c r="S26" i="96"/>
  <c r="U26" i="96" s="1"/>
  <c r="X26" i="96"/>
  <c r="S27" i="96"/>
  <c r="U27" i="96" s="1"/>
  <c r="X27" i="96"/>
  <c r="S28" i="96"/>
  <c r="U28" i="96" s="1"/>
  <c r="X28" i="96"/>
  <c r="S29" i="96"/>
  <c r="U29" i="96" s="1"/>
  <c r="X29" i="96"/>
  <c r="S15" i="71"/>
  <c r="U15" i="71" s="1"/>
  <c r="X15" i="71"/>
  <c r="S16" i="71"/>
  <c r="U16" i="71" s="1"/>
  <c r="X16" i="71"/>
  <c r="S17" i="71"/>
  <c r="U17" i="71" s="1"/>
  <c r="X17" i="71"/>
  <c r="S18" i="71"/>
  <c r="U18" i="71" s="1"/>
  <c r="X18" i="71"/>
  <c r="S19" i="71"/>
  <c r="U19" i="71" s="1"/>
  <c r="X19" i="71"/>
  <c r="S20" i="71"/>
  <c r="U20" i="71" s="1"/>
  <c r="X20" i="71"/>
  <c r="S21" i="71"/>
  <c r="U21" i="71" s="1"/>
  <c r="X21" i="71"/>
  <c r="S22" i="71"/>
  <c r="U22" i="71" s="1"/>
  <c r="X22" i="71"/>
  <c r="S23" i="71"/>
  <c r="U23" i="71" s="1"/>
  <c r="X23" i="71"/>
  <c r="S24" i="71"/>
  <c r="U24" i="71" s="1"/>
  <c r="X24" i="71"/>
  <c r="S25" i="71"/>
  <c r="U25" i="71" s="1"/>
  <c r="X25" i="71"/>
  <c r="S26" i="71"/>
  <c r="U26" i="71" s="1"/>
  <c r="X26" i="71"/>
  <c r="S27" i="71"/>
  <c r="U27" i="71" s="1"/>
  <c r="X27" i="71"/>
  <c r="S28" i="71"/>
  <c r="U28" i="71" s="1"/>
  <c r="X28" i="71"/>
  <c r="S29" i="71"/>
  <c r="U29" i="71" s="1"/>
  <c r="X29" i="71"/>
  <c r="X14" i="96" l="1"/>
  <c r="S14" i="96"/>
  <c r="U14" i="96" s="1"/>
  <c r="X13" i="96"/>
  <c r="S13" i="96"/>
  <c r="U13" i="96" s="1"/>
  <c r="X12" i="96"/>
  <c r="S12" i="96"/>
  <c r="U12" i="96" s="1"/>
  <c r="X11" i="96"/>
  <c r="S11" i="96"/>
  <c r="U11" i="96" s="1"/>
  <c r="X10" i="96"/>
  <c r="S10" i="96"/>
  <c r="U10" i="96" s="1"/>
  <c r="X9" i="96"/>
  <c r="S9" i="96"/>
  <c r="U9" i="96" s="1"/>
  <c r="X8" i="96"/>
  <c r="S8" i="96"/>
  <c r="U8" i="96" s="1"/>
  <c r="X7" i="96"/>
  <c r="S7" i="96"/>
  <c r="U7" i="96" s="1"/>
  <c r="X6" i="96"/>
  <c r="S6" i="96"/>
  <c r="U6" i="96" s="1"/>
  <c r="X5" i="96"/>
  <c r="S5" i="96"/>
  <c r="U5" i="96" s="1"/>
  <c r="X14" i="95"/>
  <c r="S14" i="95"/>
  <c r="U14" i="95" s="1"/>
  <c r="X13" i="95"/>
  <c r="S13" i="95"/>
  <c r="U13" i="95" s="1"/>
  <c r="X12" i="95"/>
  <c r="S12" i="95"/>
  <c r="U12" i="95" s="1"/>
  <c r="X11" i="95"/>
  <c r="S11" i="95"/>
  <c r="U11" i="95" s="1"/>
  <c r="X10" i="95"/>
  <c r="S10" i="95"/>
  <c r="U10" i="95" s="1"/>
  <c r="X9" i="95"/>
  <c r="S9" i="95"/>
  <c r="U9" i="95" s="1"/>
  <c r="X8" i="95"/>
  <c r="S8" i="95"/>
  <c r="U8" i="95" s="1"/>
  <c r="X7" i="95"/>
  <c r="S7" i="95"/>
  <c r="U7" i="95" s="1"/>
  <c r="X6" i="95"/>
  <c r="S6" i="95"/>
  <c r="U6" i="95" s="1"/>
  <c r="X5" i="95"/>
  <c r="S5" i="95"/>
  <c r="U5" i="95" s="1"/>
  <c r="X14" i="94"/>
  <c r="S14" i="94"/>
  <c r="U14" i="94" s="1"/>
  <c r="X13" i="94"/>
  <c r="S13" i="94"/>
  <c r="U13" i="94" s="1"/>
  <c r="X12" i="94"/>
  <c r="S12" i="94"/>
  <c r="U12" i="94" s="1"/>
  <c r="X11" i="94"/>
  <c r="S11" i="94"/>
  <c r="U11" i="94" s="1"/>
  <c r="X10" i="94"/>
  <c r="S10" i="94"/>
  <c r="U10" i="94" s="1"/>
  <c r="X9" i="94"/>
  <c r="S9" i="94"/>
  <c r="U9" i="94" s="1"/>
  <c r="X8" i="94"/>
  <c r="S8" i="94"/>
  <c r="U8" i="94" s="1"/>
  <c r="X7" i="94"/>
  <c r="S7" i="94"/>
  <c r="U7" i="94" s="1"/>
  <c r="X6" i="94"/>
  <c r="S6" i="94"/>
  <c r="U6" i="94" s="1"/>
  <c r="X5" i="94"/>
  <c r="S5" i="94"/>
  <c r="U5" i="94" s="1"/>
  <c r="X14" i="93"/>
  <c r="S14" i="93"/>
  <c r="U14" i="93" s="1"/>
  <c r="X13" i="93"/>
  <c r="S13" i="93"/>
  <c r="U13" i="93" s="1"/>
  <c r="X12" i="93"/>
  <c r="S12" i="93"/>
  <c r="U12" i="93" s="1"/>
  <c r="X11" i="93"/>
  <c r="S11" i="93"/>
  <c r="U11" i="93" s="1"/>
  <c r="X10" i="93"/>
  <c r="S10" i="93"/>
  <c r="U10" i="93" s="1"/>
  <c r="X9" i="93"/>
  <c r="S9" i="93"/>
  <c r="U9" i="93" s="1"/>
  <c r="X8" i="93"/>
  <c r="S8" i="93"/>
  <c r="U8" i="93" s="1"/>
  <c r="X7" i="93"/>
  <c r="S7" i="93"/>
  <c r="U7" i="93" s="1"/>
  <c r="X6" i="93"/>
  <c r="S6" i="93"/>
  <c r="U6" i="93" s="1"/>
  <c r="X5" i="93"/>
  <c r="S5" i="93"/>
  <c r="U5" i="93" s="1"/>
  <c r="X14" i="92"/>
  <c r="S14" i="92"/>
  <c r="U14" i="92" s="1"/>
  <c r="X13" i="92"/>
  <c r="S13" i="92"/>
  <c r="U13" i="92" s="1"/>
  <c r="X12" i="92"/>
  <c r="S12" i="92"/>
  <c r="U12" i="92" s="1"/>
  <c r="X11" i="92"/>
  <c r="S11" i="92"/>
  <c r="U11" i="92" s="1"/>
  <c r="X10" i="92"/>
  <c r="S10" i="92"/>
  <c r="U10" i="92" s="1"/>
  <c r="X9" i="92"/>
  <c r="S9" i="92"/>
  <c r="U9" i="92" s="1"/>
  <c r="X8" i="92"/>
  <c r="S8" i="92"/>
  <c r="U8" i="92" s="1"/>
  <c r="X7" i="92"/>
  <c r="S7" i="92"/>
  <c r="U7" i="92" s="1"/>
  <c r="X6" i="92"/>
  <c r="S6" i="92"/>
  <c r="U6" i="92" s="1"/>
  <c r="X5" i="92"/>
  <c r="S5" i="92"/>
  <c r="U5" i="92" s="1"/>
  <c r="X14" i="91"/>
  <c r="S14" i="91"/>
  <c r="U14" i="91" s="1"/>
  <c r="X13" i="91"/>
  <c r="S13" i="91"/>
  <c r="U13" i="91" s="1"/>
  <c r="X12" i="91"/>
  <c r="S12" i="91"/>
  <c r="U12" i="91" s="1"/>
  <c r="X11" i="91"/>
  <c r="S11" i="91"/>
  <c r="U11" i="91" s="1"/>
  <c r="X10" i="91"/>
  <c r="S10" i="91"/>
  <c r="U10" i="91" s="1"/>
  <c r="X9" i="91"/>
  <c r="S9" i="91"/>
  <c r="U9" i="91" s="1"/>
  <c r="X8" i="91"/>
  <c r="S8" i="91"/>
  <c r="U8" i="91" s="1"/>
  <c r="X7" i="91"/>
  <c r="S7" i="91"/>
  <c r="U7" i="91" s="1"/>
  <c r="X6" i="91"/>
  <c r="S6" i="91"/>
  <c r="U6" i="91" s="1"/>
  <c r="X5" i="91"/>
  <c r="S5" i="91"/>
  <c r="U5" i="91" s="1"/>
  <c r="X14" i="90"/>
  <c r="S14" i="90"/>
  <c r="U14" i="90" s="1"/>
  <c r="X13" i="90"/>
  <c r="S13" i="90"/>
  <c r="U13" i="90" s="1"/>
  <c r="X12" i="90"/>
  <c r="S12" i="90"/>
  <c r="U12" i="90" s="1"/>
  <c r="X11" i="90"/>
  <c r="S11" i="90"/>
  <c r="U11" i="90" s="1"/>
  <c r="X10" i="90"/>
  <c r="S10" i="90"/>
  <c r="U10" i="90" s="1"/>
  <c r="X9" i="90"/>
  <c r="S9" i="90"/>
  <c r="U9" i="90" s="1"/>
  <c r="X8" i="90"/>
  <c r="S8" i="90"/>
  <c r="U8" i="90" s="1"/>
  <c r="X7" i="90"/>
  <c r="S7" i="90"/>
  <c r="U7" i="90" s="1"/>
  <c r="X6" i="90"/>
  <c r="S6" i="90"/>
  <c r="U6" i="90" s="1"/>
  <c r="X5" i="90"/>
  <c r="S5" i="90"/>
  <c r="U5" i="90" s="1"/>
  <c r="X14" i="89"/>
  <c r="S14" i="89"/>
  <c r="U14" i="89" s="1"/>
  <c r="X13" i="89"/>
  <c r="S13" i="89"/>
  <c r="U13" i="89" s="1"/>
  <c r="X12" i="89"/>
  <c r="S12" i="89"/>
  <c r="U12" i="89" s="1"/>
  <c r="X11" i="89"/>
  <c r="S11" i="89"/>
  <c r="U11" i="89" s="1"/>
  <c r="X10" i="89"/>
  <c r="S10" i="89"/>
  <c r="U10" i="89" s="1"/>
  <c r="X9" i="89"/>
  <c r="S9" i="89"/>
  <c r="U9" i="89" s="1"/>
  <c r="X8" i="89"/>
  <c r="S8" i="89"/>
  <c r="U8" i="89" s="1"/>
  <c r="X7" i="89"/>
  <c r="S7" i="89"/>
  <c r="U7" i="89" s="1"/>
  <c r="X6" i="89"/>
  <c r="S6" i="89"/>
  <c r="U6" i="89" s="1"/>
  <c r="X5" i="89"/>
  <c r="S5" i="89"/>
  <c r="U5" i="89" s="1"/>
  <c r="X14" i="88"/>
  <c r="S14" i="88"/>
  <c r="U14" i="88" s="1"/>
  <c r="X13" i="88"/>
  <c r="S13" i="88"/>
  <c r="U13" i="88" s="1"/>
  <c r="X12" i="88"/>
  <c r="S12" i="88"/>
  <c r="U12" i="88" s="1"/>
  <c r="X11" i="88"/>
  <c r="S11" i="88"/>
  <c r="U11" i="88" s="1"/>
  <c r="X10" i="88"/>
  <c r="S10" i="88"/>
  <c r="U10" i="88" s="1"/>
  <c r="X9" i="88"/>
  <c r="S9" i="88"/>
  <c r="U9" i="88" s="1"/>
  <c r="X8" i="88"/>
  <c r="S8" i="88"/>
  <c r="U8" i="88" s="1"/>
  <c r="X7" i="88"/>
  <c r="S7" i="88"/>
  <c r="U7" i="88" s="1"/>
  <c r="X6" i="88"/>
  <c r="S6" i="88"/>
  <c r="U6" i="88" s="1"/>
  <c r="X5" i="88"/>
  <c r="S5" i="88"/>
  <c r="U5" i="88" s="1"/>
  <c r="X14" i="87"/>
  <c r="S14" i="87"/>
  <c r="U14" i="87" s="1"/>
  <c r="X13" i="87"/>
  <c r="S13" i="87"/>
  <c r="U13" i="87" s="1"/>
  <c r="X12" i="87"/>
  <c r="S12" i="87"/>
  <c r="U12" i="87" s="1"/>
  <c r="X11" i="87"/>
  <c r="S11" i="87"/>
  <c r="U11" i="87" s="1"/>
  <c r="X10" i="87"/>
  <c r="S10" i="87"/>
  <c r="U10" i="87" s="1"/>
  <c r="X9" i="87"/>
  <c r="S9" i="87"/>
  <c r="U9" i="87" s="1"/>
  <c r="X8" i="87"/>
  <c r="S8" i="87"/>
  <c r="U8" i="87" s="1"/>
  <c r="X7" i="87"/>
  <c r="S7" i="87"/>
  <c r="U7" i="87" s="1"/>
  <c r="X6" i="87"/>
  <c r="S6" i="87"/>
  <c r="U6" i="87" s="1"/>
  <c r="X5" i="87"/>
  <c r="S5" i="87"/>
  <c r="U5" i="87" s="1"/>
  <c r="X14" i="86"/>
  <c r="S14" i="86"/>
  <c r="U14" i="86" s="1"/>
  <c r="X13" i="86"/>
  <c r="S13" i="86"/>
  <c r="U13" i="86" s="1"/>
  <c r="X12" i="86"/>
  <c r="S12" i="86"/>
  <c r="U12" i="86" s="1"/>
  <c r="X11" i="86"/>
  <c r="S11" i="86"/>
  <c r="U11" i="86" s="1"/>
  <c r="X10" i="86"/>
  <c r="S10" i="86"/>
  <c r="U10" i="86" s="1"/>
  <c r="X9" i="86"/>
  <c r="S9" i="86"/>
  <c r="U9" i="86" s="1"/>
  <c r="X8" i="86"/>
  <c r="S8" i="86"/>
  <c r="U8" i="86" s="1"/>
  <c r="X7" i="86"/>
  <c r="S7" i="86"/>
  <c r="U7" i="86" s="1"/>
  <c r="X6" i="86"/>
  <c r="S6" i="86"/>
  <c r="U6" i="86" s="1"/>
  <c r="X5" i="86"/>
  <c r="S5" i="86"/>
  <c r="U5" i="86" s="1"/>
  <c r="X14" i="85"/>
  <c r="S14" i="85"/>
  <c r="U14" i="85" s="1"/>
  <c r="X13" i="85"/>
  <c r="S13" i="85"/>
  <c r="U13" i="85" s="1"/>
  <c r="X12" i="85"/>
  <c r="S12" i="85"/>
  <c r="U12" i="85" s="1"/>
  <c r="X11" i="85"/>
  <c r="S11" i="85"/>
  <c r="U11" i="85" s="1"/>
  <c r="X10" i="85"/>
  <c r="S10" i="85"/>
  <c r="U10" i="85" s="1"/>
  <c r="X9" i="85"/>
  <c r="S9" i="85"/>
  <c r="U9" i="85" s="1"/>
  <c r="X8" i="85"/>
  <c r="S8" i="85"/>
  <c r="U8" i="85" s="1"/>
  <c r="X7" i="85"/>
  <c r="S7" i="85"/>
  <c r="U7" i="85" s="1"/>
  <c r="X6" i="85"/>
  <c r="S6" i="85"/>
  <c r="U6" i="85" s="1"/>
  <c r="X5" i="85"/>
  <c r="S5" i="85"/>
  <c r="U5" i="85" s="1"/>
  <c r="X14" i="84"/>
  <c r="S14" i="84"/>
  <c r="U14" i="84" s="1"/>
  <c r="X13" i="84"/>
  <c r="S13" i="84"/>
  <c r="U13" i="84" s="1"/>
  <c r="X12" i="84"/>
  <c r="S12" i="84"/>
  <c r="U12" i="84" s="1"/>
  <c r="X11" i="84"/>
  <c r="S11" i="84"/>
  <c r="U11" i="84" s="1"/>
  <c r="X10" i="84"/>
  <c r="S10" i="84"/>
  <c r="U10" i="84" s="1"/>
  <c r="X9" i="84"/>
  <c r="S9" i="84"/>
  <c r="U9" i="84" s="1"/>
  <c r="X8" i="84"/>
  <c r="S8" i="84"/>
  <c r="U8" i="84" s="1"/>
  <c r="X7" i="84"/>
  <c r="S7" i="84"/>
  <c r="U7" i="84" s="1"/>
  <c r="X6" i="84"/>
  <c r="S6" i="84"/>
  <c r="U6" i="84" s="1"/>
  <c r="X5" i="84"/>
  <c r="S5" i="84"/>
  <c r="U5" i="84" s="1"/>
  <c r="X14" i="83"/>
  <c r="S14" i="83"/>
  <c r="U14" i="83" s="1"/>
  <c r="X13" i="83"/>
  <c r="S13" i="83"/>
  <c r="U13" i="83" s="1"/>
  <c r="X12" i="83"/>
  <c r="S12" i="83"/>
  <c r="U12" i="83" s="1"/>
  <c r="X11" i="83"/>
  <c r="S11" i="83"/>
  <c r="U11" i="83" s="1"/>
  <c r="X10" i="83"/>
  <c r="S10" i="83"/>
  <c r="U10" i="83" s="1"/>
  <c r="X9" i="83"/>
  <c r="S9" i="83"/>
  <c r="U9" i="83" s="1"/>
  <c r="X8" i="83"/>
  <c r="S8" i="83"/>
  <c r="U8" i="83" s="1"/>
  <c r="X7" i="83"/>
  <c r="S7" i="83"/>
  <c r="U7" i="83" s="1"/>
  <c r="X6" i="83"/>
  <c r="S6" i="83"/>
  <c r="U6" i="83" s="1"/>
  <c r="X5" i="83"/>
  <c r="S5" i="83"/>
  <c r="U5" i="83" s="1"/>
  <c r="X14" i="82"/>
  <c r="S14" i="82"/>
  <c r="U14" i="82" s="1"/>
  <c r="X13" i="82"/>
  <c r="S13" i="82"/>
  <c r="U13" i="82" s="1"/>
  <c r="X12" i="82"/>
  <c r="S12" i="82"/>
  <c r="U12" i="82" s="1"/>
  <c r="X11" i="82"/>
  <c r="S11" i="82"/>
  <c r="U11" i="82" s="1"/>
  <c r="X10" i="82"/>
  <c r="S10" i="82"/>
  <c r="U10" i="82" s="1"/>
  <c r="X9" i="82"/>
  <c r="S9" i="82"/>
  <c r="U9" i="82" s="1"/>
  <c r="X8" i="82"/>
  <c r="S8" i="82"/>
  <c r="U8" i="82" s="1"/>
  <c r="X7" i="82"/>
  <c r="S7" i="82"/>
  <c r="U7" i="82" s="1"/>
  <c r="X6" i="82"/>
  <c r="S6" i="82"/>
  <c r="U6" i="82" s="1"/>
  <c r="X5" i="82"/>
  <c r="S5" i="82"/>
  <c r="U5" i="82" s="1"/>
  <c r="X14" i="81"/>
  <c r="S14" i="81"/>
  <c r="U14" i="81" s="1"/>
  <c r="X13" i="81"/>
  <c r="S13" i="81"/>
  <c r="U13" i="81" s="1"/>
  <c r="X12" i="81"/>
  <c r="S12" i="81"/>
  <c r="U12" i="81" s="1"/>
  <c r="X11" i="81"/>
  <c r="S11" i="81"/>
  <c r="U11" i="81" s="1"/>
  <c r="X10" i="81"/>
  <c r="S10" i="81"/>
  <c r="U10" i="81" s="1"/>
  <c r="X9" i="81"/>
  <c r="S9" i="81"/>
  <c r="U9" i="81" s="1"/>
  <c r="X8" i="81"/>
  <c r="S8" i="81"/>
  <c r="U8" i="81" s="1"/>
  <c r="X7" i="81"/>
  <c r="S7" i="81"/>
  <c r="U7" i="81" s="1"/>
  <c r="X6" i="81"/>
  <c r="S6" i="81"/>
  <c r="U6" i="81" s="1"/>
  <c r="X5" i="81"/>
  <c r="S5" i="81"/>
  <c r="U5" i="81" s="1"/>
  <c r="X14" i="80"/>
  <c r="S14" i="80"/>
  <c r="U14" i="80" s="1"/>
  <c r="X13" i="80"/>
  <c r="S13" i="80"/>
  <c r="U13" i="80" s="1"/>
  <c r="X12" i="80"/>
  <c r="S12" i="80"/>
  <c r="U12" i="80" s="1"/>
  <c r="X11" i="80"/>
  <c r="S11" i="80"/>
  <c r="U11" i="80" s="1"/>
  <c r="X10" i="80"/>
  <c r="S10" i="80"/>
  <c r="U10" i="80" s="1"/>
  <c r="X9" i="80"/>
  <c r="S9" i="80"/>
  <c r="U9" i="80" s="1"/>
  <c r="X8" i="80"/>
  <c r="S8" i="80"/>
  <c r="U8" i="80" s="1"/>
  <c r="X7" i="80"/>
  <c r="S7" i="80"/>
  <c r="U7" i="80" s="1"/>
  <c r="X6" i="80"/>
  <c r="S6" i="80"/>
  <c r="U6" i="80" s="1"/>
  <c r="X5" i="80"/>
  <c r="S5" i="80"/>
  <c r="U5" i="80" s="1"/>
  <c r="X14" i="79"/>
  <c r="S14" i="79"/>
  <c r="U14" i="79" s="1"/>
  <c r="X13" i="79"/>
  <c r="S13" i="79"/>
  <c r="U13" i="79" s="1"/>
  <c r="X12" i="79"/>
  <c r="S12" i="79"/>
  <c r="U12" i="79" s="1"/>
  <c r="X11" i="79"/>
  <c r="S11" i="79"/>
  <c r="U11" i="79" s="1"/>
  <c r="X10" i="79"/>
  <c r="S10" i="79"/>
  <c r="U10" i="79" s="1"/>
  <c r="X9" i="79"/>
  <c r="S9" i="79"/>
  <c r="U9" i="79" s="1"/>
  <c r="X8" i="79"/>
  <c r="S8" i="79"/>
  <c r="U8" i="79" s="1"/>
  <c r="X7" i="79"/>
  <c r="S7" i="79"/>
  <c r="U7" i="79" s="1"/>
  <c r="X6" i="79"/>
  <c r="S6" i="79"/>
  <c r="U6" i="79" s="1"/>
  <c r="X5" i="79"/>
  <c r="S5" i="79"/>
  <c r="U5" i="79" s="1"/>
  <c r="X14" i="78"/>
  <c r="S14" i="78"/>
  <c r="U14" i="78" s="1"/>
  <c r="X13" i="78"/>
  <c r="S13" i="78"/>
  <c r="U13" i="78" s="1"/>
  <c r="X12" i="78"/>
  <c r="S12" i="78"/>
  <c r="U12" i="78" s="1"/>
  <c r="X11" i="78"/>
  <c r="S11" i="78"/>
  <c r="U11" i="78" s="1"/>
  <c r="X10" i="78"/>
  <c r="S10" i="78"/>
  <c r="U10" i="78" s="1"/>
  <c r="X9" i="78"/>
  <c r="S9" i="78"/>
  <c r="U9" i="78" s="1"/>
  <c r="X8" i="78"/>
  <c r="S8" i="78"/>
  <c r="U8" i="78" s="1"/>
  <c r="X7" i="78"/>
  <c r="S7" i="78"/>
  <c r="U7" i="78" s="1"/>
  <c r="X6" i="78"/>
  <c r="S6" i="78"/>
  <c r="U6" i="78" s="1"/>
  <c r="X5" i="78"/>
  <c r="S5" i="78"/>
  <c r="U5" i="78" s="1"/>
  <c r="X14" i="77"/>
  <c r="S14" i="77"/>
  <c r="U14" i="77" s="1"/>
  <c r="X13" i="77"/>
  <c r="S13" i="77"/>
  <c r="U13" i="77" s="1"/>
  <c r="X12" i="77"/>
  <c r="S12" i="77"/>
  <c r="U12" i="77" s="1"/>
  <c r="X11" i="77"/>
  <c r="S11" i="77"/>
  <c r="U11" i="77" s="1"/>
  <c r="X10" i="77"/>
  <c r="S10" i="77"/>
  <c r="U10" i="77" s="1"/>
  <c r="X9" i="77"/>
  <c r="S9" i="77"/>
  <c r="U9" i="77" s="1"/>
  <c r="X8" i="77"/>
  <c r="S8" i="77"/>
  <c r="U8" i="77" s="1"/>
  <c r="X7" i="77"/>
  <c r="S7" i="77"/>
  <c r="U7" i="77" s="1"/>
  <c r="X6" i="77"/>
  <c r="S6" i="77"/>
  <c r="U6" i="77" s="1"/>
  <c r="X5" i="77"/>
  <c r="S5" i="77"/>
  <c r="U5" i="77" s="1"/>
  <c r="X14" i="76"/>
  <c r="S14" i="76"/>
  <c r="U14" i="76" s="1"/>
  <c r="X13" i="76"/>
  <c r="S13" i="76"/>
  <c r="U13" i="76" s="1"/>
  <c r="X12" i="76"/>
  <c r="S12" i="76"/>
  <c r="U12" i="76" s="1"/>
  <c r="X11" i="76"/>
  <c r="S11" i="76"/>
  <c r="U11" i="76" s="1"/>
  <c r="X10" i="76"/>
  <c r="S10" i="76"/>
  <c r="U10" i="76" s="1"/>
  <c r="X9" i="76"/>
  <c r="S9" i="76"/>
  <c r="U9" i="76" s="1"/>
  <c r="X8" i="76"/>
  <c r="S8" i="76"/>
  <c r="U8" i="76" s="1"/>
  <c r="X7" i="76"/>
  <c r="S7" i="76"/>
  <c r="U7" i="76" s="1"/>
  <c r="X6" i="76"/>
  <c r="S6" i="76"/>
  <c r="U6" i="76" s="1"/>
  <c r="X5" i="76"/>
  <c r="S5" i="76"/>
  <c r="U5" i="76" s="1"/>
  <c r="X14" i="75"/>
  <c r="S14" i="75"/>
  <c r="U14" i="75" s="1"/>
  <c r="X13" i="75"/>
  <c r="S13" i="75"/>
  <c r="U13" i="75" s="1"/>
  <c r="X12" i="75"/>
  <c r="S12" i="75"/>
  <c r="U12" i="75" s="1"/>
  <c r="X11" i="75"/>
  <c r="S11" i="75"/>
  <c r="U11" i="75" s="1"/>
  <c r="X10" i="75"/>
  <c r="S10" i="75"/>
  <c r="U10" i="75" s="1"/>
  <c r="X9" i="75"/>
  <c r="S9" i="75"/>
  <c r="U9" i="75" s="1"/>
  <c r="X8" i="75"/>
  <c r="S8" i="75"/>
  <c r="U8" i="75" s="1"/>
  <c r="X7" i="75"/>
  <c r="S7" i="75"/>
  <c r="U7" i="75" s="1"/>
  <c r="X6" i="75"/>
  <c r="S6" i="75"/>
  <c r="U6" i="75" s="1"/>
  <c r="X5" i="75"/>
  <c r="S5" i="75"/>
  <c r="U5" i="75" s="1"/>
  <c r="X14" i="74"/>
  <c r="S14" i="74"/>
  <c r="U14" i="74" s="1"/>
  <c r="X13" i="74"/>
  <c r="S13" i="74"/>
  <c r="U13" i="74" s="1"/>
  <c r="X12" i="74"/>
  <c r="S12" i="74"/>
  <c r="U12" i="74" s="1"/>
  <c r="X11" i="74"/>
  <c r="S11" i="74"/>
  <c r="U11" i="74" s="1"/>
  <c r="X10" i="74"/>
  <c r="S10" i="74"/>
  <c r="U10" i="74" s="1"/>
  <c r="X9" i="74"/>
  <c r="S9" i="74"/>
  <c r="U9" i="74" s="1"/>
  <c r="X8" i="74"/>
  <c r="S8" i="74"/>
  <c r="U8" i="74" s="1"/>
  <c r="X7" i="74"/>
  <c r="S7" i="74"/>
  <c r="U7" i="74" s="1"/>
  <c r="X6" i="74"/>
  <c r="S6" i="74"/>
  <c r="U6" i="74" s="1"/>
  <c r="X5" i="74"/>
  <c r="S5" i="74"/>
  <c r="U5" i="74" s="1"/>
  <c r="X14" i="73"/>
  <c r="S14" i="73"/>
  <c r="U14" i="73" s="1"/>
  <c r="X13" i="73"/>
  <c r="S13" i="73"/>
  <c r="U13" i="73" s="1"/>
  <c r="X12" i="73"/>
  <c r="S12" i="73"/>
  <c r="U12" i="73" s="1"/>
  <c r="X11" i="73"/>
  <c r="S11" i="73"/>
  <c r="U11" i="73" s="1"/>
  <c r="X10" i="73"/>
  <c r="S10" i="73"/>
  <c r="U10" i="73" s="1"/>
  <c r="X9" i="73"/>
  <c r="S9" i="73"/>
  <c r="U9" i="73" s="1"/>
  <c r="X8" i="73"/>
  <c r="S8" i="73"/>
  <c r="U8" i="73" s="1"/>
  <c r="X7" i="73"/>
  <c r="S7" i="73"/>
  <c r="U7" i="73" s="1"/>
  <c r="X6" i="73"/>
  <c r="S6" i="73"/>
  <c r="U6" i="73" s="1"/>
  <c r="X5" i="73"/>
  <c r="S5" i="73"/>
  <c r="U5" i="73" s="1"/>
  <c r="X14" i="72"/>
  <c r="S14" i="72"/>
  <c r="U14" i="72" s="1"/>
  <c r="X13" i="72"/>
  <c r="S13" i="72"/>
  <c r="U13" i="72" s="1"/>
  <c r="X12" i="72"/>
  <c r="S12" i="72"/>
  <c r="U12" i="72" s="1"/>
  <c r="X11" i="72"/>
  <c r="S11" i="72"/>
  <c r="U11" i="72" s="1"/>
  <c r="X10" i="72"/>
  <c r="S10" i="72"/>
  <c r="U10" i="72" s="1"/>
  <c r="X9" i="72"/>
  <c r="S9" i="72"/>
  <c r="U9" i="72" s="1"/>
  <c r="X8" i="72"/>
  <c r="S8" i="72"/>
  <c r="U8" i="72" s="1"/>
  <c r="X7" i="72"/>
  <c r="S7" i="72"/>
  <c r="U7" i="72" s="1"/>
  <c r="X6" i="72"/>
  <c r="S6" i="72"/>
  <c r="U6" i="72" s="1"/>
  <c r="X5" i="72"/>
  <c r="S5" i="72"/>
  <c r="U5" i="72" s="1"/>
  <c r="X14" i="69"/>
  <c r="S14" i="69"/>
  <c r="U14" i="69" s="1"/>
  <c r="X13" i="69"/>
  <c r="S13" i="69"/>
  <c r="U13" i="69" s="1"/>
  <c r="X12" i="69"/>
  <c r="S12" i="69"/>
  <c r="U12" i="69" s="1"/>
  <c r="X11" i="69"/>
  <c r="S11" i="69"/>
  <c r="U11" i="69" s="1"/>
  <c r="X10" i="69"/>
  <c r="S10" i="69"/>
  <c r="U10" i="69" s="1"/>
  <c r="X9" i="69"/>
  <c r="S9" i="69"/>
  <c r="U9" i="69" s="1"/>
  <c r="X8" i="69"/>
  <c r="S8" i="69"/>
  <c r="U8" i="69" s="1"/>
  <c r="X7" i="69"/>
  <c r="S7" i="69"/>
  <c r="U7" i="69" s="1"/>
  <c r="X6" i="69"/>
  <c r="S6" i="69"/>
  <c r="U6" i="69" s="1"/>
  <c r="X5" i="69"/>
  <c r="S5" i="69"/>
  <c r="U5" i="69" s="1"/>
  <c r="X14" i="68"/>
  <c r="S14" i="68"/>
  <c r="U14" i="68" s="1"/>
  <c r="X13" i="68"/>
  <c r="S13" i="68"/>
  <c r="U13" i="68" s="1"/>
  <c r="X12" i="68"/>
  <c r="S12" i="68"/>
  <c r="U12" i="68" s="1"/>
  <c r="X11" i="68"/>
  <c r="S11" i="68"/>
  <c r="U11" i="68" s="1"/>
  <c r="X10" i="68"/>
  <c r="S10" i="68"/>
  <c r="U10" i="68" s="1"/>
  <c r="X9" i="68"/>
  <c r="S9" i="68"/>
  <c r="U9" i="68" s="1"/>
  <c r="X8" i="68"/>
  <c r="S8" i="68"/>
  <c r="U8" i="68" s="1"/>
  <c r="X7" i="68"/>
  <c r="S7" i="68"/>
  <c r="U7" i="68" s="1"/>
  <c r="X6" i="68"/>
  <c r="S6" i="68"/>
  <c r="U6" i="68" s="1"/>
  <c r="X5" i="68"/>
  <c r="S5" i="68"/>
  <c r="U5" i="68" s="1"/>
  <c r="X14" i="71"/>
  <c r="S14" i="71"/>
  <c r="U14" i="71" s="1"/>
  <c r="X13" i="71"/>
  <c r="S13" i="71"/>
  <c r="U13" i="71" s="1"/>
  <c r="X12" i="71"/>
  <c r="S12" i="71"/>
  <c r="U12" i="71" s="1"/>
  <c r="X11" i="71"/>
  <c r="S11" i="71"/>
  <c r="U11" i="71" s="1"/>
  <c r="X10" i="71"/>
  <c r="S10" i="71"/>
  <c r="U10" i="71" s="1"/>
  <c r="X9" i="71"/>
  <c r="S9" i="71"/>
  <c r="U9" i="71" s="1"/>
  <c r="X8" i="71"/>
  <c r="S8" i="71"/>
  <c r="U8" i="71" s="1"/>
  <c r="X7" i="71"/>
  <c r="S7" i="71"/>
  <c r="U7" i="71" s="1"/>
  <c r="X6" i="71"/>
  <c r="S6" i="71"/>
  <c r="U6" i="71" s="1"/>
  <c r="X5" i="71"/>
  <c r="S5" i="71"/>
  <c r="U5" i="71" s="1"/>
  <c r="X14" i="70"/>
  <c r="S14" i="70"/>
  <c r="U14" i="70" s="1"/>
  <c r="X13" i="70"/>
  <c r="S13" i="70"/>
  <c r="U13" i="70" s="1"/>
  <c r="X12" i="70"/>
  <c r="S12" i="70"/>
  <c r="U12" i="70" s="1"/>
  <c r="X11" i="70"/>
  <c r="S11" i="70"/>
  <c r="U11" i="70" s="1"/>
  <c r="X10" i="70"/>
  <c r="S10" i="70"/>
  <c r="U10" i="70" s="1"/>
  <c r="X9" i="70"/>
  <c r="S9" i="70"/>
  <c r="U9" i="70" s="1"/>
  <c r="X8" i="70"/>
  <c r="S8" i="70"/>
  <c r="U8" i="70" s="1"/>
  <c r="X7" i="70"/>
  <c r="S7" i="70"/>
  <c r="U7" i="70" s="1"/>
  <c r="X6" i="70"/>
  <c r="S6" i="70"/>
  <c r="U6" i="70" s="1"/>
  <c r="X5" i="70"/>
  <c r="S5" i="70"/>
  <c r="U5" i="70" s="1"/>
  <c r="X14" i="67"/>
  <c r="S14" i="67"/>
  <c r="U14" i="67" s="1"/>
  <c r="X13" i="67"/>
  <c r="S13" i="67"/>
  <c r="U13" i="67" s="1"/>
  <c r="X12" i="67"/>
  <c r="S12" i="67"/>
  <c r="U12" i="67" s="1"/>
  <c r="X11" i="67"/>
  <c r="S11" i="67"/>
  <c r="U11" i="67" s="1"/>
  <c r="X10" i="67"/>
  <c r="S10" i="67"/>
  <c r="U10" i="67" s="1"/>
  <c r="X9" i="67"/>
  <c r="S9" i="67"/>
  <c r="U9" i="67" s="1"/>
  <c r="X8" i="67"/>
  <c r="S8" i="67"/>
  <c r="U8" i="67" s="1"/>
  <c r="X7" i="67"/>
  <c r="S7" i="67"/>
  <c r="U7" i="67" s="1"/>
  <c r="X6" i="67"/>
  <c r="S6" i="67"/>
  <c r="U6" i="67" s="1"/>
  <c r="X5" i="67"/>
  <c r="S5" i="67"/>
  <c r="U5" i="67" s="1"/>
  <c r="X32" i="78" l="1"/>
  <c r="X32" i="74"/>
  <c r="X32" i="73"/>
  <c r="X32" i="67"/>
  <c r="X32" i="68"/>
  <c r="X32" i="79"/>
  <c r="X32" i="82"/>
  <c r="X32" i="85"/>
  <c r="X32" i="88"/>
  <c r="X32" i="91"/>
  <c r="X32" i="72"/>
  <c r="X32" i="75"/>
  <c r="X32" i="96"/>
  <c r="X32" i="69"/>
  <c r="X32" i="76"/>
  <c r="X32" i="71"/>
  <c r="X32" i="94"/>
  <c r="X32" i="81"/>
  <c r="X32" i="84"/>
  <c r="X32" i="87"/>
  <c r="X32" i="90"/>
  <c r="X32" i="93"/>
  <c r="X32" i="70"/>
  <c r="X32" i="77"/>
  <c r="X32" i="80"/>
  <c r="X32" i="83"/>
  <c r="X32" i="86"/>
  <c r="X32" i="89"/>
  <c r="X32" i="92"/>
  <c r="X32" i="95"/>
  <c r="T5" i="8"/>
  <c r="Q5" i="8"/>
  <c r="P5" i="8"/>
  <c r="O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77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77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77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5" i="8"/>
  <c r="C7" i="8"/>
  <c r="C8" i="8"/>
  <c r="C9" i="8"/>
  <c r="C10" i="8"/>
  <c r="E10" i="8" s="1"/>
  <c r="C11" i="8"/>
  <c r="E11" i="8" s="1"/>
  <c r="C12" i="8"/>
  <c r="C13" i="8"/>
  <c r="C14" i="8"/>
  <c r="C15" i="8"/>
  <c r="C16" i="8"/>
  <c r="C17" i="8"/>
  <c r="C18" i="8"/>
  <c r="E18" i="8" s="1"/>
  <c r="C19" i="8"/>
  <c r="C20" i="8"/>
  <c r="E20" i="8" s="1"/>
  <c r="C21" i="8"/>
  <c r="C22" i="8"/>
  <c r="C23" i="8"/>
  <c r="C25" i="8"/>
  <c r="C26" i="8"/>
  <c r="C27" i="8"/>
  <c r="C28" i="8"/>
  <c r="E28" i="8" s="1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E41" i="8" s="1"/>
  <c r="C42" i="8"/>
  <c r="C43" i="8"/>
  <c r="C44" i="8"/>
  <c r="C45" i="8"/>
  <c r="C46" i="8"/>
  <c r="C47" i="8"/>
  <c r="C48" i="8"/>
  <c r="C49" i="8"/>
  <c r="C51" i="8"/>
  <c r="E52" i="8"/>
  <c r="C53" i="8"/>
  <c r="C54" i="8"/>
  <c r="C56" i="8"/>
  <c r="C58" i="8"/>
  <c r="E58" i="8" s="1"/>
  <c r="C59" i="8"/>
  <c r="E59" i="8" s="1"/>
  <c r="C60" i="8"/>
  <c r="C61" i="8"/>
  <c r="C62" i="8"/>
  <c r="C63" i="8"/>
  <c r="C64" i="8"/>
  <c r="C65" i="8"/>
  <c r="C67" i="8"/>
  <c r="C68" i="8"/>
  <c r="E68" i="8" s="1"/>
  <c r="C69" i="8"/>
  <c r="C72" i="8"/>
  <c r="C73" i="8"/>
  <c r="C74" i="8"/>
  <c r="C75" i="8"/>
  <c r="C76" i="8"/>
  <c r="E76" i="8" s="1"/>
  <c r="C78" i="8"/>
  <c r="C79" i="8"/>
  <c r="C80" i="8"/>
  <c r="C81" i="8"/>
  <c r="C82" i="8"/>
  <c r="C83" i="8"/>
  <c r="C84" i="8"/>
  <c r="E84" i="8" s="1"/>
  <c r="C85" i="8"/>
  <c r="C86" i="8"/>
  <c r="C91" i="8"/>
  <c r="E91" i="8" s="1"/>
  <c r="C92" i="8"/>
  <c r="E92" i="8" s="1"/>
  <c r="C93" i="8"/>
  <c r="C94" i="8"/>
  <c r="C95" i="8"/>
  <c r="C96" i="8"/>
  <c r="C97" i="8"/>
  <c r="C98" i="8"/>
  <c r="C99" i="8"/>
  <c r="E99" i="8" s="1"/>
  <c r="C100" i="8"/>
  <c r="E100" i="8" s="1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E125" i="8" s="1"/>
  <c r="C126" i="8"/>
  <c r="C127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E148" i="8" s="1"/>
  <c r="C149" i="8"/>
  <c r="C150" i="8"/>
  <c r="C151" i="8"/>
  <c r="E152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E172" i="8" s="1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E196" i="8" s="1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E235" i="8" s="1"/>
  <c r="J254" i="96"/>
  <c r="M254" i="96" s="1"/>
  <c r="J253" i="96"/>
  <c r="M253" i="96" s="1"/>
  <c r="J252" i="96"/>
  <c r="M252" i="96" s="1"/>
  <c r="J251" i="96"/>
  <c r="M251" i="96" s="1"/>
  <c r="J250" i="96"/>
  <c r="M250" i="96" s="1"/>
  <c r="J249" i="96"/>
  <c r="M249" i="96" s="1"/>
  <c r="J248" i="96"/>
  <c r="M248" i="96" s="1"/>
  <c r="J247" i="96"/>
  <c r="M247" i="96" s="1"/>
  <c r="J246" i="96"/>
  <c r="M246" i="96" s="1"/>
  <c r="J245" i="96"/>
  <c r="M245" i="96" s="1"/>
  <c r="M244" i="96"/>
  <c r="J244" i="96"/>
  <c r="J243" i="96"/>
  <c r="M243" i="96" s="1"/>
  <c r="J242" i="96"/>
  <c r="M242" i="96" s="1"/>
  <c r="J241" i="96"/>
  <c r="M241" i="96" s="1"/>
  <c r="J240" i="96"/>
  <c r="M240" i="96" s="1"/>
  <c r="J239" i="96"/>
  <c r="M239" i="96" s="1"/>
  <c r="J238" i="96"/>
  <c r="M238" i="96" s="1"/>
  <c r="J237" i="96"/>
  <c r="M237" i="96" s="1"/>
  <c r="J236" i="96"/>
  <c r="M236" i="96" s="1"/>
  <c r="J235" i="96"/>
  <c r="M235" i="96" s="1"/>
  <c r="J234" i="96"/>
  <c r="M234" i="96" s="1"/>
  <c r="J233" i="96"/>
  <c r="M233" i="96" s="1"/>
  <c r="J232" i="96"/>
  <c r="M232" i="96" s="1"/>
  <c r="M231" i="96"/>
  <c r="J231" i="96"/>
  <c r="J230" i="96"/>
  <c r="M230" i="96" s="1"/>
  <c r="J229" i="96"/>
  <c r="M229" i="96" s="1"/>
  <c r="J228" i="96"/>
  <c r="M228" i="96" s="1"/>
  <c r="J227" i="96"/>
  <c r="M227" i="96" s="1"/>
  <c r="J226" i="96"/>
  <c r="M226" i="96" s="1"/>
  <c r="J225" i="96"/>
  <c r="M225" i="96" s="1"/>
  <c r="J224" i="96"/>
  <c r="M224" i="96" s="1"/>
  <c r="J223" i="96"/>
  <c r="M223" i="96" s="1"/>
  <c r="J222" i="96"/>
  <c r="M222" i="96" s="1"/>
  <c r="J221" i="96"/>
  <c r="M221" i="96" s="1"/>
  <c r="J220" i="96"/>
  <c r="M220" i="96" s="1"/>
  <c r="J219" i="96"/>
  <c r="M219" i="96" s="1"/>
  <c r="J218" i="96"/>
  <c r="M218" i="96" s="1"/>
  <c r="J217" i="96"/>
  <c r="M217" i="96" s="1"/>
  <c r="M216" i="96"/>
  <c r="J216" i="96"/>
  <c r="J215" i="96"/>
  <c r="M215" i="96" s="1"/>
  <c r="J214" i="96"/>
  <c r="M214" i="96" s="1"/>
  <c r="J77" i="96"/>
  <c r="M77" i="96" s="1"/>
  <c r="J213" i="96"/>
  <c r="M213" i="96" s="1"/>
  <c r="J212" i="96"/>
  <c r="M212" i="96" s="1"/>
  <c r="J211" i="96"/>
  <c r="M211" i="96" s="1"/>
  <c r="J210" i="96"/>
  <c r="M210" i="96" s="1"/>
  <c r="J209" i="96"/>
  <c r="M209" i="96" s="1"/>
  <c r="J208" i="96"/>
  <c r="M208" i="96" s="1"/>
  <c r="J207" i="96"/>
  <c r="M207" i="96" s="1"/>
  <c r="J206" i="96"/>
  <c r="M206" i="96" s="1"/>
  <c r="J205" i="96"/>
  <c r="M205" i="96" s="1"/>
  <c r="J204" i="96"/>
  <c r="M204" i="96" s="1"/>
  <c r="J203" i="96"/>
  <c r="M203" i="96" s="1"/>
  <c r="J202" i="96"/>
  <c r="M202" i="96" s="1"/>
  <c r="J201" i="96"/>
  <c r="J200" i="96"/>
  <c r="J199" i="96"/>
  <c r="J198" i="96"/>
  <c r="M198" i="96" s="1"/>
  <c r="J197" i="96"/>
  <c r="M197" i="96" s="1"/>
  <c r="J196" i="96"/>
  <c r="M196" i="96" s="1"/>
  <c r="J195" i="96"/>
  <c r="M195" i="96" s="1"/>
  <c r="J194" i="96"/>
  <c r="J193" i="96"/>
  <c r="J192" i="96"/>
  <c r="M192" i="96" s="1"/>
  <c r="J191" i="96"/>
  <c r="J190" i="96"/>
  <c r="M190" i="96" s="1"/>
  <c r="J189" i="96"/>
  <c r="M189" i="96" s="1"/>
  <c r="J188" i="96"/>
  <c r="J187" i="96"/>
  <c r="M187" i="96" s="1"/>
  <c r="J186" i="96"/>
  <c r="M186" i="96" s="1"/>
  <c r="J185" i="96"/>
  <c r="J184" i="96"/>
  <c r="J183" i="96"/>
  <c r="J182" i="96"/>
  <c r="M182" i="96" s="1"/>
  <c r="J181" i="96"/>
  <c r="M181" i="96" s="1"/>
  <c r="J180" i="96"/>
  <c r="M180" i="96" s="1"/>
  <c r="J179" i="96"/>
  <c r="M179" i="96" s="1"/>
  <c r="J178" i="96"/>
  <c r="J177" i="96"/>
  <c r="M177" i="96" s="1"/>
  <c r="J176" i="96"/>
  <c r="M176" i="96" s="1"/>
  <c r="J175" i="96"/>
  <c r="J174" i="96"/>
  <c r="M174" i="96" s="1"/>
  <c r="J173" i="96"/>
  <c r="M173" i="96" s="1"/>
  <c r="J172" i="96"/>
  <c r="J171" i="96"/>
  <c r="M171" i="96" s="1"/>
  <c r="J170" i="96"/>
  <c r="M170" i="96" s="1"/>
  <c r="J169" i="96"/>
  <c r="M169" i="96" s="1"/>
  <c r="J168" i="96"/>
  <c r="M168" i="96" s="1"/>
  <c r="J167" i="96"/>
  <c r="M167" i="96" s="1"/>
  <c r="J166" i="96"/>
  <c r="M166" i="96" s="1"/>
  <c r="J165" i="96"/>
  <c r="M165" i="96" s="1"/>
  <c r="J164" i="96"/>
  <c r="M164" i="96" s="1"/>
  <c r="J163" i="96"/>
  <c r="M163" i="96" s="1"/>
  <c r="J162" i="96"/>
  <c r="J161" i="96"/>
  <c r="M161" i="96" s="1"/>
  <c r="J160" i="96"/>
  <c r="M160" i="96" s="1"/>
  <c r="J159" i="96"/>
  <c r="J158" i="96"/>
  <c r="M158" i="96" s="1"/>
  <c r="J157" i="96"/>
  <c r="M157" i="96" s="1"/>
  <c r="J156" i="96"/>
  <c r="M156" i="96" s="1"/>
  <c r="J155" i="96"/>
  <c r="M155" i="96" s="1"/>
  <c r="J154" i="96"/>
  <c r="M154" i="96" s="1"/>
  <c r="J153" i="96"/>
  <c r="M153" i="96" s="1"/>
  <c r="J152" i="96"/>
  <c r="M152" i="96" s="1"/>
  <c r="J151" i="96"/>
  <c r="J150" i="96"/>
  <c r="M150" i="96" s="1"/>
  <c r="J149" i="96"/>
  <c r="M149" i="96" s="1"/>
  <c r="J148" i="96"/>
  <c r="M148" i="96" s="1"/>
  <c r="J147" i="96"/>
  <c r="M147" i="96" s="1"/>
  <c r="J146" i="96"/>
  <c r="J145" i="96"/>
  <c r="J144" i="96"/>
  <c r="M144" i="96" s="1"/>
  <c r="J143" i="96"/>
  <c r="J142" i="96"/>
  <c r="M142" i="96" s="1"/>
  <c r="J141" i="96"/>
  <c r="M141" i="96" s="1"/>
  <c r="J140" i="96"/>
  <c r="M140" i="96" s="1"/>
  <c r="J139" i="96"/>
  <c r="M139" i="96" s="1"/>
  <c r="J138" i="96"/>
  <c r="M138" i="96" s="1"/>
  <c r="J137" i="96"/>
  <c r="J136" i="96"/>
  <c r="M136" i="96" s="1"/>
  <c r="J135" i="96"/>
  <c r="M135" i="96" s="1"/>
  <c r="J134" i="96"/>
  <c r="M134" i="96" s="1"/>
  <c r="J133" i="96"/>
  <c r="J132" i="96"/>
  <c r="M132" i="96" s="1"/>
  <c r="J131" i="96"/>
  <c r="M131" i="96" s="1"/>
  <c r="J130" i="96"/>
  <c r="M130" i="96" s="1"/>
  <c r="J129" i="96"/>
  <c r="M129" i="96" s="1"/>
  <c r="J128" i="96"/>
  <c r="M128" i="96" s="1"/>
  <c r="J127" i="96"/>
  <c r="M127" i="96" s="1"/>
  <c r="J126" i="96"/>
  <c r="M126" i="96" s="1"/>
  <c r="J125" i="96"/>
  <c r="M125" i="96" s="1"/>
  <c r="J124" i="96"/>
  <c r="M124" i="96" s="1"/>
  <c r="J123" i="96"/>
  <c r="M123" i="96" s="1"/>
  <c r="J122" i="96"/>
  <c r="M122" i="96" s="1"/>
  <c r="J121" i="96"/>
  <c r="M121" i="96" s="1"/>
  <c r="J120" i="96"/>
  <c r="M120" i="96" s="1"/>
  <c r="J119" i="96"/>
  <c r="M119" i="96" s="1"/>
  <c r="J118" i="96"/>
  <c r="M118" i="96" s="1"/>
  <c r="J117" i="96"/>
  <c r="M117" i="96" s="1"/>
  <c r="J116" i="96"/>
  <c r="M116" i="96" s="1"/>
  <c r="J115" i="96"/>
  <c r="M115" i="96" s="1"/>
  <c r="J114" i="96"/>
  <c r="M114" i="96" s="1"/>
  <c r="J113" i="96"/>
  <c r="M113" i="96" s="1"/>
  <c r="J112" i="96"/>
  <c r="J111" i="96"/>
  <c r="M111" i="96" s="1"/>
  <c r="J110" i="96"/>
  <c r="M110" i="96" s="1"/>
  <c r="J109" i="96"/>
  <c r="M109" i="96" s="1"/>
  <c r="J108" i="96"/>
  <c r="M108" i="96" s="1"/>
  <c r="J107" i="96"/>
  <c r="M107" i="96" s="1"/>
  <c r="J106" i="96"/>
  <c r="M106" i="96" s="1"/>
  <c r="J105" i="96"/>
  <c r="M105" i="96" s="1"/>
  <c r="J104" i="96"/>
  <c r="J103" i="96"/>
  <c r="M103" i="96" s="1"/>
  <c r="J102" i="96"/>
  <c r="M102" i="96" s="1"/>
  <c r="J101" i="96"/>
  <c r="M101" i="96" s="1"/>
  <c r="J100" i="96"/>
  <c r="M100" i="96" s="1"/>
  <c r="J99" i="96"/>
  <c r="M99" i="96" s="1"/>
  <c r="J98" i="96"/>
  <c r="M98" i="96" s="1"/>
  <c r="J97" i="96"/>
  <c r="M97" i="96" s="1"/>
  <c r="J96" i="96"/>
  <c r="J95" i="96"/>
  <c r="M95" i="96" s="1"/>
  <c r="J94" i="96"/>
  <c r="M94" i="96" s="1"/>
  <c r="J93" i="96"/>
  <c r="M93" i="96" s="1"/>
  <c r="J92" i="96"/>
  <c r="M92" i="96" s="1"/>
  <c r="J91" i="96"/>
  <c r="M91" i="96" s="1"/>
  <c r="J90" i="96"/>
  <c r="M90" i="96" s="1"/>
  <c r="J89" i="96"/>
  <c r="M89" i="96" s="1"/>
  <c r="J88" i="96"/>
  <c r="J87" i="96"/>
  <c r="M87" i="96" s="1"/>
  <c r="J86" i="96"/>
  <c r="M86" i="96" s="1"/>
  <c r="J85" i="96"/>
  <c r="M85" i="96" s="1"/>
  <c r="J84" i="96"/>
  <c r="M84" i="96" s="1"/>
  <c r="J83" i="96"/>
  <c r="M83" i="96" s="1"/>
  <c r="J82" i="96"/>
  <c r="M82" i="96" s="1"/>
  <c r="J81" i="96"/>
  <c r="M81" i="96" s="1"/>
  <c r="J80" i="96"/>
  <c r="M80" i="96" s="1"/>
  <c r="J79" i="96"/>
  <c r="M79" i="96" s="1"/>
  <c r="J78" i="96"/>
  <c r="M78" i="96" s="1"/>
  <c r="J76" i="96"/>
  <c r="M76" i="96" s="1"/>
  <c r="J75" i="96"/>
  <c r="M75" i="96" s="1"/>
  <c r="J74" i="96"/>
  <c r="M74" i="96" s="1"/>
  <c r="J73" i="96"/>
  <c r="M73" i="96" s="1"/>
  <c r="J72" i="96"/>
  <c r="M72" i="96" s="1"/>
  <c r="J71" i="96"/>
  <c r="M71" i="96" s="1"/>
  <c r="J70" i="96"/>
  <c r="M70" i="96" s="1"/>
  <c r="J69" i="96"/>
  <c r="M69" i="96" s="1"/>
  <c r="J68" i="96"/>
  <c r="M68" i="96" s="1"/>
  <c r="J67" i="96"/>
  <c r="M67" i="96" s="1"/>
  <c r="J66" i="96"/>
  <c r="M66" i="96" s="1"/>
  <c r="J65" i="96"/>
  <c r="M65" i="96" s="1"/>
  <c r="J64" i="96"/>
  <c r="M64" i="96" s="1"/>
  <c r="J63" i="96"/>
  <c r="M63" i="96" s="1"/>
  <c r="J62" i="96"/>
  <c r="M62" i="96" s="1"/>
  <c r="J61" i="96"/>
  <c r="M61" i="96" s="1"/>
  <c r="J60" i="96"/>
  <c r="M60" i="96" s="1"/>
  <c r="J59" i="96"/>
  <c r="M59" i="96" s="1"/>
  <c r="J58" i="96"/>
  <c r="M58" i="96" s="1"/>
  <c r="J57" i="96"/>
  <c r="M57" i="96" s="1"/>
  <c r="J56" i="96"/>
  <c r="M56" i="96" s="1"/>
  <c r="J55" i="96"/>
  <c r="M55" i="96" s="1"/>
  <c r="J54" i="96"/>
  <c r="M54" i="96" s="1"/>
  <c r="J53" i="96"/>
  <c r="M53" i="96" s="1"/>
  <c r="J52" i="96"/>
  <c r="M52" i="96" s="1"/>
  <c r="J51" i="96"/>
  <c r="M51" i="96" s="1"/>
  <c r="J50" i="96"/>
  <c r="M50" i="96" s="1"/>
  <c r="J49" i="96"/>
  <c r="M49" i="96" s="1"/>
  <c r="J48" i="96"/>
  <c r="M48" i="96" s="1"/>
  <c r="J47" i="96"/>
  <c r="M47" i="96" s="1"/>
  <c r="J46" i="96"/>
  <c r="M46" i="96" s="1"/>
  <c r="J45" i="96"/>
  <c r="M45" i="96" s="1"/>
  <c r="J44" i="96"/>
  <c r="M44" i="96" s="1"/>
  <c r="J43" i="96"/>
  <c r="M43" i="96" s="1"/>
  <c r="J42" i="96"/>
  <c r="J41" i="96"/>
  <c r="M41" i="96" s="1"/>
  <c r="J40" i="96"/>
  <c r="M40" i="96" s="1"/>
  <c r="J39" i="96"/>
  <c r="M39" i="96" s="1"/>
  <c r="J38" i="96"/>
  <c r="J37" i="96"/>
  <c r="M37" i="96" s="1"/>
  <c r="J36" i="96"/>
  <c r="J35" i="96"/>
  <c r="M35" i="96" s="1"/>
  <c r="J34" i="96"/>
  <c r="M34" i="96" s="1"/>
  <c r="J33" i="96"/>
  <c r="M33" i="96" s="1"/>
  <c r="J32" i="96"/>
  <c r="M32" i="96" s="1"/>
  <c r="J31" i="96"/>
  <c r="M31" i="96" s="1"/>
  <c r="J30" i="96"/>
  <c r="M30" i="96" s="1"/>
  <c r="J29" i="96"/>
  <c r="M29" i="96" s="1"/>
  <c r="J28" i="96"/>
  <c r="M28" i="96" s="1"/>
  <c r="J27" i="96"/>
  <c r="M27" i="96" s="1"/>
  <c r="J26" i="96"/>
  <c r="M26" i="96" s="1"/>
  <c r="J25" i="96"/>
  <c r="M25" i="96" s="1"/>
  <c r="J24" i="96"/>
  <c r="M24" i="96" s="1"/>
  <c r="J23" i="96"/>
  <c r="M23" i="96" s="1"/>
  <c r="J22" i="96"/>
  <c r="J21" i="96"/>
  <c r="M21" i="96" s="1"/>
  <c r="J20" i="96"/>
  <c r="M20" i="96" s="1"/>
  <c r="J19" i="96"/>
  <c r="M19" i="96" s="1"/>
  <c r="J18" i="96"/>
  <c r="M18" i="96" s="1"/>
  <c r="J17" i="96"/>
  <c r="M17" i="96" s="1"/>
  <c r="J16" i="96"/>
  <c r="M16" i="96" s="1"/>
  <c r="J15" i="96"/>
  <c r="M15" i="96" s="1"/>
  <c r="J14" i="96"/>
  <c r="M14" i="96" s="1"/>
  <c r="J13" i="96"/>
  <c r="M13" i="96" s="1"/>
  <c r="J12" i="96"/>
  <c r="M12" i="96" s="1"/>
  <c r="J11" i="96"/>
  <c r="M11" i="96" s="1"/>
  <c r="J10" i="96"/>
  <c r="M10" i="96" s="1"/>
  <c r="J9" i="96"/>
  <c r="M9" i="96" s="1"/>
  <c r="J8" i="96"/>
  <c r="M8" i="96" s="1"/>
  <c r="J7" i="96"/>
  <c r="M7" i="96" s="1"/>
  <c r="J6" i="96"/>
  <c r="M6" i="96" s="1"/>
  <c r="J5" i="96"/>
  <c r="J254" i="95"/>
  <c r="M254" i="95" s="1"/>
  <c r="J253" i="95"/>
  <c r="M253" i="95" s="1"/>
  <c r="J252" i="95"/>
  <c r="M252" i="95" s="1"/>
  <c r="J251" i="95"/>
  <c r="M251" i="95" s="1"/>
  <c r="J250" i="95"/>
  <c r="M250" i="95" s="1"/>
  <c r="J249" i="95"/>
  <c r="M249" i="95" s="1"/>
  <c r="J248" i="95"/>
  <c r="M248" i="95" s="1"/>
  <c r="J247" i="95"/>
  <c r="M247" i="95" s="1"/>
  <c r="J246" i="95"/>
  <c r="M246" i="95" s="1"/>
  <c r="J245" i="95"/>
  <c r="M245" i="95" s="1"/>
  <c r="J244" i="95"/>
  <c r="M244" i="95" s="1"/>
  <c r="J243" i="95"/>
  <c r="M243" i="95" s="1"/>
  <c r="J242" i="95"/>
  <c r="M242" i="95" s="1"/>
  <c r="J241" i="95"/>
  <c r="M241" i="95" s="1"/>
  <c r="J240" i="95"/>
  <c r="M240" i="95" s="1"/>
  <c r="J239" i="95"/>
  <c r="M239" i="95" s="1"/>
  <c r="J238" i="95"/>
  <c r="M238" i="95" s="1"/>
  <c r="J237" i="95"/>
  <c r="M237" i="95" s="1"/>
  <c r="J236" i="95"/>
  <c r="M236" i="95" s="1"/>
  <c r="J235" i="95"/>
  <c r="M235" i="95" s="1"/>
  <c r="J234" i="95"/>
  <c r="M234" i="95" s="1"/>
  <c r="J233" i="95"/>
  <c r="M233" i="95" s="1"/>
  <c r="J232" i="95"/>
  <c r="M232" i="95" s="1"/>
  <c r="J231" i="95"/>
  <c r="M231" i="95" s="1"/>
  <c r="J230" i="95"/>
  <c r="M230" i="95" s="1"/>
  <c r="J229" i="95"/>
  <c r="M229" i="95" s="1"/>
  <c r="M228" i="95"/>
  <c r="J228" i="95"/>
  <c r="J227" i="95"/>
  <c r="M227" i="95" s="1"/>
  <c r="J226" i="95"/>
  <c r="M226" i="95" s="1"/>
  <c r="J225" i="95"/>
  <c r="M225" i="95" s="1"/>
  <c r="J224" i="95"/>
  <c r="M224" i="95" s="1"/>
  <c r="J223" i="95"/>
  <c r="M223" i="95" s="1"/>
  <c r="J222" i="95"/>
  <c r="M222" i="95" s="1"/>
  <c r="J221" i="95"/>
  <c r="M221" i="95" s="1"/>
  <c r="J220" i="95"/>
  <c r="M220" i="95" s="1"/>
  <c r="J219" i="95"/>
  <c r="M219" i="95" s="1"/>
  <c r="J218" i="95"/>
  <c r="M218" i="95" s="1"/>
  <c r="J217" i="95"/>
  <c r="M217" i="95" s="1"/>
  <c r="J216" i="95"/>
  <c r="M216" i="95" s="1"/>
  <c r="J215" i="95"/>
  <c r="M215" i="95" s="1"/>
  <c r="J214" i="95"/>
  <c r="M214" i="95" s="1"/>
  <c r="J77" i="95"/>
  <c r="M77" i="95" s="1"/>
  <c r="J213" i="95"/>
  <c r="M213" i="95" s="1"/>
  <c r="J212" i="95"/>
  <c r="M212" i="95" s="1"/>
  <c r="J211" i="95"/>
  <c r="M211" i="95" s="1"/>
  <c r="J210" i="95"/>
  <c r="M210" i="95" s="1"/>
  <c r="J209" i="95"/>
  <c r="M209" i="95" s="1"/>
  <c r="J208" i="95"/>
  <c r="M208" i="95" s="1"/>
  <c r="M207" i="95"/>
  <c r="J207" i="95"/>
  <c r="J206" i="95"/>
  <c r="M206" i="95" s="1"/>
  <c r="J205" i="95"/>
  <c r="M205" i="95" s="1"/>
  <c r="J204" i="95"/>
  <c r="M204" i="95" s="1"/>
  <c r="J203" i="95"/>
  <c r="M203" i="95" s="1"/>
  <c r="J202" i="95"/>
  <c r="M202" i="95" s="1"/>
  <c r="J201" i="95"/>
  <c r="M201" i="95" s="1"/>
  <c r="J200" i="95"/>
  <c r="M200" i="95" s="1"/>
  <c r="J199" i="95"/>
  <c r="M199" i="95" s="1"/>
  <c r="J198" i="95"/>
  <c r="M198" i="95" s="1"/>
  <c r="J197" i="95"/>
  <c r="M197" i="95" s="1"/>
  <c r="J196" i="95"/>
  <c r="M196" i="95" s="1"/>
  <c r="J195" i="95"/>
  <c r="M195" i="95" s="1"/>
  <c r="J194" i="95"/>
  <c r="M194" i="95" s="1"/>
  <c r="J193" i="95"/>
  <c r="M193" i="95" s="1"/>
  <c r="J192" i="95"/>
  <c r="M192" i="95" s="1"/>
  <c r="J191" i="95"/>
  <c r="M191" i="95" s="1"/>
  <c r="J190" i="95"/>
  <c r="J189" i="95"/>
  <c r="M189" i="95" s="1"/>
  <c r="J188" i="95"/>
  <c r="M188" i="95" s="1"/>
  <c r="J187" i="95"/>
  <c r="M187" i="95" s="1"/>
  <c r="J186" i="95"/>
  <c r="M186" i="95" s="1"/>
  <c r="J185" i="95"/>
  <c r="M185" i="95" s="1"/>
  <c r="J184" i="95"/>
  <c r="M184" i="95" s="1"/>
  <c r="J183" i="95"/>
  <c r="M183" i="95" s="1"/>
  <c r="J182" i="95"/>
  <c r="M182" i="95" s="1"/>
  <c r="J181" i="95"/>
  <c r="M181" i="95" s="1"/>
  <c r="J180" i="95"/>
  <c r="M180" i="95" s="1"/>
  <c r="J179" i="95"/>
  <c r="M179" i="95" s="1"/>
  <c r="J178" i="95"/>
  <c r="M178" i="95" s="1"/>
  <c r="J177" i="95"/>
  <c r="M177" i="95" s="1"/>
  <c r="J176" i="95"/>
  <c r="M176" i="95" s="1"/>
  <c r="J175" i="95"/>
  <c r="M175" i="95" s="1"/>
  <c r="J174" i="95"/>
  <c r="M174" i="95" s="1"/>
  <c r="J173" i="95"/>
  <c r="M173" i="95" s="1"/>
  <c r="J172" i="95"/>
  <c r="M172" i="95" s="1"/>
  <c r="J171" i="95"/>
  <c r="M171" i="95" s="1"/>
  <c r="J170" i="95"/>
  <c r="M170" i="95" s="1"/>
  <c r="J169" i="95"/>
  <c r="M169" i="95" s="1"/>
  <c r="J168" i="95"/>
  <c r="M168" i="95" s="1"/>
  <c r="J167" i="95"/>
  <c r="M167" i="95" s="1"/>
  <c r="J166" i="95"/>
  <c r="M166" i="95" s="1"/>
  <c r="J165" i="95"/>
  <c r="M165" i="95" s="1"/>
  <c r="J164" i="95"/>
  <c r="M164" i="95" s="1"/>
  <c r="J163" i="95"/>
  <c r="M163" i="95" s="1"/>
  <c r="J162" i="95"/>
  <c r="M162" i="95" s="1"/>
  <c r="M161" i="95"/>
  <c r="J161" i="95"/>
  <c r="J160" i="95"/>
  <c r="M160" i="95" s="1"/>
  <c r="J159" i="95"/>
  <c r="M159" i="95" s="1"/>
  <c r="J158" i="95"/>
  <c r="M158" i="95" s="1"/>
  <c r="J157" i="95"/>
  <c r="M157" i="95" s="1"/>
  <c r="J156" i="95"/>
  <c r="M156" i="95" s="1"/>
  <c r="J155" i="95"/>
  <c r="M155" i="95" s="1"/>
  <c r="J154" i="95"/>
  <c r="M154" i="95" s="1"/>
  <c r="J153" i="95"/>
  <c r="M153" i="95" s="1"/>
  <c r="J152" i="95"/>
  <c r="M152" i="95" s="1"/>
  <c r="J151" i="95"/>
  <c r="M151" i="95" s="1"/>
  <c r="J150" i="95"/>
  <c r="M150" i="95" s="1"/>
  <c r="J149" i="95"/>
  <c r="M149" i="95" s="1"/>
  <c r="J148" i="95"/>
  <c r="M148" i="95" s="1"/>
  <c r="J147" i="95"/>
  <c r="M147" i="95" s="1"/>
  <c r="J146" i="95"/>
  <c r="M146" i="95" s="1"/>
  <c r="J145" i="95"/>
  <c r="M145" i="95" s="1"/>
  <c r="J144" i="95"/>
  <c r="M144" i="95" s="1"/>
  <c r="J143" i="95"/>
  <c r="M143" i="95" s="1"/>
  <c r="J142" i="95"/>
  <c r="M142" i="95" s="1"/>
  <c r="J141" i="95"/>
  <c r="M141" i="95" s="1"/>
  <c r="J140" i="95"/>
  <c r="M140" i="95" s="1"/>
  <c r="J139" i="95"/>
  <c r="M139" i="95" s="1"/>
  <c r="J138" i="95"/>
  <c r="M138" i="95" s="1"/>
  <c r="J137" i="95"/>
  <c r="M137" i="95" s="1"/>
  <c r="J136" i="95"/>
  <c r="M136" i="95" s="1"/>
  <c r="J135" i="95"/>
  <c r="M135" i="95" s="1"/>
  <c r="J134" i="95"/>
  <c r="M134" i="95" s="1"/>
  <c r="J133" i="95"/>
  <c r="M133" i="95" s="1"/>
  <c r="J132" i="95"/>
  <c r="M132" i="95" s="1"/>
  <c r="J131" i="95"/>
  <c r="M131" i="95" s="1"/>
  <c r="J130" i="95"/>
  <c r="M130" i="95" s="1"/>
  <c r="J129" i="95"/>
  <c r="M129" i="95" s="1"/>
  <c r="J128" i="95"/>
  <c r="M128" i="95" s="1"/>
  <c r="J127" i="95"/>
  <c r="M127" i="95" s="1"/>
  <c r="J126" i="95"/>
  <c r="M126" i="95" s="1"/>
  <c r="J125" i="95"/>
  <c r="M125" i="95" s="1"/>
  <c r="J124" i="95"/>
  <c r="M124" i="95" s="1"/>
  <c r="J123" i="95"/>
  <c r="M123" i="95" s="1"/>
  <c r="J122" i="95"/>
  <c r="M122" i="95" s="1"/>
  <c r="J121" i="95"/>
  <c r="M121" i="95" s="1"/>
  <c r="J120" i="95"/>
  <c r="M120" i="95" s="1"/>
  <c r="J119" i="95"/>
  <c r="M119" i="95" s="1"/>
  <c r="J118" i="95"/>
  <c r="M118" i="95" s="1"/>
  <c r="J117" i="95"/>
  <c r="M117" i="95" s="1"/>
  <c r="J116" i="95"/>
  <c r="M116" i="95" s="1"/>
  <c r="J115" i="95"/>
  <c r="M115" i="95" s="1"/>
  <c r="J114" i="95"/>
  <c r="M114" i="95" s="1"/>
  <c r="J113" i="95"/>
  <c r="M113" i="95" s="1"/>
  <c r="J112" i="95"/>
  <c r="M112" i="95" s="1"/>
  <c r="J111" i="95"/>
  <c r="M111" i="95" s="1"/>
  <c r="J110" i="95"/>
  <c r="M110" i="95" s="1"/>
  <c r="J109" i="95"/>
  <c r="M109" i="95" s="1"/>
  <c r="J108" i="95"/>
  <c r="M108" i="95" s="1"/>
  <c r="J107" i="95"/>
  <c r="M107" i="95" s="1"/>
  <c r="J106" i="95"/>
  <c r="M106" i="95" s="1"/>
  <c r="J105" i="95"/>
  <c r="M105" i="95" s="1"/>
  <c r="J104" i="95"/>
  <c r="M104" i="95" s="1"/>
  <c r="J103" i="95"/>
  <c r="M103" i="95" s="1"/>
  <c r="J102" i="95"/>
  <c r="M102" i="95" s="1"/>
  <c r="J101" i="95"/>
  <c r="M101" i="95" s="1"/>
  <c r="J100" i="95"/>
  <c r="M100" i="95" s="1"/>
  <c r="J99" i="95"/>
  <c r="M99" i="95" s="1"/>
  <c r="J98" i="95"/>
  <c r="M98" i="95" s="1"/>
  <c r="J97" i="95"/>
  <c r="M97" i="95" s="1"/>
  <c r="J96" i="95"/>
  <c r="M96" i="95" s="1"/>
  <c r="J95" i="95"/>
  <c r="M95" i="95" s="1"/>
  <c r="J94" i="95"/>
  <c r="M94" i="95" s="1"/>
  <c r="J93" i="95"/>
  <c r="M93" i="95" s="1"/>
  <c r="J92" i="95"/>
  <c r="M92" i="95" s="1"/>
  <c r="J91" i="95"/>
  <c r="M91" i="95" s="1"/>
  <c r="J90" i="95"/>
  <c r="M90" i="95" s="1"/>
  <c r="J89" i="95"/>
  <c r="M89" i="95" s="1"/>
  <c r="J88" i="95"/>
  <c r="M88" i="95" s="1"/>
  <c r="J87" i="95"/>
  <c r="M87" i="95" s="1"/>
  <c r="J86" i="95"/>
  <c r="M86" i="95" s="1"/>
  <c r="J85" i="95"/>
  <c r="M85" i="95" s="1"/>
  <c r="J84" i="95"/>
  <c r="M84" i="95" s="1"/>
  <c r="J83" i="95"/>
  <c r="M83" i="95" s="1"/>
  <c r="J82" i="95"/>
  <c r="M82" i="95" s="1"/>
  <c r="J81" i="95"/>
  <c r="M81" i="95" s="1"/>
  <c r="J80" i="95"/>
  <c r="M80" i="95" s="1"/>
  <c r="J79" i="95"/>
  <c r="M79" i="95" s="1"/>
  <c r="J78" i="95"/>
  <c r="M78" i="95" s="1"/>
  <c r="J76" i="95"/>
  <c r="M76" i="95" s="1"/>
  <c r="J75" i="95"/>
  <c r="M75" i="95" s="1"/>
  <c r="J74" i="95"/>
  <c r="M74" i="95" s="1"/>
  <c r="J73" i="95"/>
  <c r="M73" i="95" s="1"/>
  <c r="J72" i="95"/>
  <c r="M72" i="95" s="1"/>
  <c r="J71" i="95"/>
  <c r="M71" i="95" s="1"/>
  <c r="J70" i="95"/>
  <c r="M70" i="95" s="1"/>
  <c r="J69" i="95"/>
  <c r="M69" i="95" s="1"/>
  <c r="J68" i="95"/>
  <c r="M68" i="95" s="1"/>
  <c r="J67" i="95"/>
  <c r="M67" i="95" s="1"/>
  <c r="J66" i="95"/>
  <c r="M66" i="95" s="1"/>
  <c r="J65" i="95"/>
  <c r="M65" i="95" s="1"/>
  <c r="J64" i="95"/>
  <c r="M64" i="95" s="1"/>
  <c r="J63" i="95"/>
  <c r="M63" i="95" s="1"/>
  <c r="J62" i="95"/>
  <c r="M62" i="95" s="1"/>
  <c r="J61" i="95"/>
  <c r="M61" i="95" s="1"/>
  <c r="J60" i="95"/>
  <c r="M60" i="95" s="1"/>
  <c r="J59" i="95"/>
  <c r="M59" i="95" s="1"/>
  <c r="J58" i="95"/>
  <c r="M58" i="95" s="1"/>
  <c r="J57" i="95"/>
  <c r="M57" i="95" s="1"/>
  <c r="J56" i="95"/>
  <c r="M56" i="95" s="1"/>
  <c r="J55" i="95"/>
  <c r="M55" i="95" s="1"/>
  <c r="J54" i="95"/>
  <c r="M54" i="95" s="1"/>
  <c r="J53" i="95"/>
  <c r="M53" i="95" s="1"/>
  <c r="J52" i="95"/>
  <c r="M52" i="95" s="1"/>
  <c r="J51" i="95"/>
  <c r="M51" i="95" s="1"/>
  <c r="J50" i="95"/>
  <c r="M50" i="95" s="1"/>
  <c r="J49" i="95"/>
  <c r="M49" i="95" s="1"/>
  <c r="J48" i="95"/>
  <c r="M48" i="95" s="1"/>
  <c r="J47" i="95"/>
  <c r="M47" i="95" s="1"/>
  <c r="J46" i="95"/>
  <c r="M46" i="95" s="1"/>
  <c r="J45" i="95"/>
  <c r="M45" i="95" s="1"/>
  <c r="J44" i="95"/>
  <c r="M44" i="95" s="1"/>
  <c r="J43" i="95"/>
  <c r="M43" i="95" s="1"/>
  <c r="J42" i="95"/>
  <c r="M42" i="95" s="1"/>
  <c r="J41" i="95"/>
  <c r="M41" i="95" s="1"/>
  <c r="J40" i="95"/>
  <c r="M40" i="95" s="1"/>
  <c r="J39" i="95"/>
  <c r="M39" i="95" s="1"/>
  <c r="J38" i="95"/>
  <c r="M38" i="95" s="1"/>
  <c r="J37" i="95"/>
  <c r="M37" i="95" s="1"/>
  <c r="J36" i="95"/>
  <c r="M36" i="95" s="1"/>
  <c r="J35" i="95"/>
  <c r="M35" i="95" s="1"/>
  <c r="J34" i="95"/>
  <c r="M34" i="95" s="1"/>
  <c r="J33" i="95"/>
  <c r="M33" i="95" s="1"/>
  <c r="J32" i="95"/>
  <c r="M32" i="95" s="1"/>
  <c r="J31" i="95"/>
  <c r="M31" i="95" s="1"/>
  <c r="J30" i="95"/>
  <c r="M30" i="95" s="1"/>
  <c r="J29" i="95"/>
  <c r="M29" i="95" s="1"/>
  <c r="J28" i="95"/>
  <c r="M28" i="95" s="1"/>
  <c r="J27" i="95"/>
  <c r="M27" i="95" s="1"/>
  <c r="J26" i="95"/>
  <c r="M26" i="95" s="1"/>
  <c r="J25" i="95"/>
  <c r="M25" i="95" s="1"/>
  <c r="J24" i="95"/>
  <c r="M24" i="95" s="1"/>
  <c r="J23" i="95"/>
  <c r="M23" i="95" s="1"/>
  <c r="J22" i="95"/>
  <c r="M22" i="95" s="1"/>
  <c r="J21" i="95"/>
  <c r="M21" i="95" s="1"/>
  <c r="J20" i="95"/>
  <c r="M20" i="95" s="1"/>
  <c r="J19" i="95"/>
  <c r="M19" i="95" s="1"/>
  <c r="J18" i="95"/>
  <c r="M18" i="95" s="1"/>
  <c r="J17" i="95"/>
  <c r="M17" i="95" s="1"/>
  <c r="J16" i="95"/>
  <c r="M16" i="95" s="1"/>
  <c r="J15" i="95"/>
  <c r="M15" i="95" s="1"/>
  <c r="J14" i="95"/>
  <c r="M14" i="95" s="1"/>
  <c r="J13" i="95"/>
  <c r="M13" i="95" s="1"/>
  <c r="J12" i="95"/>
  <c r="M12" i="95" s="1"/>
  <c r="J11" i="95"/>
  <c r="M11" i="95" s="1"/>
  <c r="J10" i="95"/>
  <c r="M10" i="95" s="1"/>
  <c r="J9" i="95"/>
  <c r="M9" i="95" s="1"/>
  <c r="J8" i="95"/>
  <c r="M8" i="95" s="1"/>
  <c r="J7" i="95"/>
  <c r="M7" i="95" s="1"/>
  <c r="J6" i="95"/>
  <c r="M6" i="95" s="1"/>
  <c r="J5" i="95"/>
  <c r="J254" i="94"/>
  <c r="M254" i="94" s="1"/>
  <c r="J253" i="94"/>
  <c r="M253" i="94" s="1"/>
  <c r="J252" i="94"/>
  <c r="M252" i="94" s="1"/>
  <c r="J251" i="94"/>
  <c r="M251" i="94" s="1"/>
  <c r="J250" i="94"/>
  <c r="M250" i="94" s="1"/>
  <c r="J249" i="94"/>
  <c r="M249" i="94" s="1"/>
  <c r="J248" i="94"/>
  <c r="M248" i="94" s="1"/>
  <c r="J247" i="94"/>
  <c r="M247" i="94" s="1"/>
  <c r="J246" i="94"/>
  <c r="M246" i="94" s="1"/>
  <c r="J245" i="94"/>
  <c r="M245" i="94" s="1"/>
  <c r="J244" i="94"/>
  <c r="M244" i="94" s="1"/>
  <c r="J243" i="94"/>
  <c r="M243" i="94" s="1"/>
  <c r="J242" i="94"/>
  <c r="M242" i="94" s="1"/>
  <c r="J241" i="94"/>
  <c r="M241" i="94" s="1"/>
  <c r="J240" i="94"/>
  <c r="M240" i="94" s="1"/>
  <c r="J239" i="94"/>
  <c r="M239" i="94" s="1"/>
  <c r="J238" i="94"/>
  <c r="M238" i="94" s="1"/>
  <c r="J237" i="94"/>
  <c r="M237" i="94" s="1"/>
  <c r="J236" i="94"/>
  <c r="M236" i="94" s="1"/>
  <c r="J235" i="94"/>
  <c r="M235" i="94" s="1"/>
  <c r="J234" i="94"/>
  <c r="M234" i="94" s="1"/>
  <c r="J233" i="94"/>
  <c r="M233" i="94" s="1"/>
  <c r="J232" i="94"/>
  <c r="M232" i="94" s="1"/>
  <c r="J231" i="94"/>
  <c r="M231" i="94" s="1"/>
  <c r="J230" i="94"/>
  <c r="M230" i="94" s="1"/>
  <c r="J229" i="94"/>
  <c r="M229" i="94" s="1"/>
  <c r="J228" i="94"/>
  <c r="M228" i="94" s="1"/>
  <c r="J227" i="94"/>
  <c r="M227" i="94" s="1"/>
  <c r="J226" i="94"/>
  <c r="M226" i="94" s="1"/>
  <c r="J225" i="94"/>
  <c r="M225" i="94" s="1"/>
  <c r="J224" i="94"/>
  <c r="M224" i="94" s="1"/>
  <c r="J223" i="94"/>
  <c r="M223" i="94" s="1"/>
  <c r="J222" i="94"/>
  <c r="M222" i="94" s="1"/>
  <c r="J221" i="94"/>
  <c r="M221" i="94" s="1"/>
  <c r="J220" i="94"/>
  <c r="M220" i="94" s="1"/>
  <c r="J219" i="94"/>
  <c r="M219" i="94" s="1"/>
  <c r="J218" i="94"/>
  <c r="M218" i="94" s="1"/>
  <c r="J217" i="94"/>
  <c r="M217" i="94" s="1"/>
  <c r="J216" i="94"/>
  <c r="M216" i="94" s="1"/>
  <c r="J215" i="94"/>
  <c r="M215" i="94" s="1"/>
  <c r="J214" i="94"/>
  <c r="M214" i="94" s="1"/>
  <c r="J77" i="94"/>
  <c r="M77" i="94" s="1"/>
  <c r="J213" i="94"/>
  <c r="M213" i="94" s="1"/>
  <c r="J212" i="94"/>
  <c r="M212" i="94" s="1"/>
  <c r="J211" i="94"/>
  <c r="M211" i="94" s="1"/>
  <c r="J210" i="94"/>
  <c r="M210" i="94" s="1"/>
  <c r="J209" i="94"/>
  <c r="M209" i="94" s="1"/>
  <c r="J208" i="94"/>
  <c r="M208" i="94" s="1"/>
  <c r="J207" i="94"/>
  <c r="M207" i="94" s="1"/>
  <c r="J206" i="94"/>
  <c r="M206" i="94" s="1"/>
  <c r="J205" i="94"/>
  <c r="M205" i="94" s="1"/>
  <c r="J204" i="94"/>
  <c r="M204" i="94" s="1"/>
  <c r="J203" i="94"/>
  <c r="M203" i="94" s="1"/>
  <c r="J202" i="94"/>
  <c r="M202" i="94" s="1"/>
  <c r="J201" i="94"/>
  <c r="M201" i="94" s="1"/>
  <c r="J200" i="94"/>
  <c r="M200" i="94" s="1"/>
  <c r="J199" i="94"/>
  <c r="M199" i="94" s="1"/>
  <c r="J198" i="94"/>
  <c r="M198" i="94" s="1"/>
  <c r="J197" i="94"/>
  <c r="M197" i="94" s="1"/>
  <c r="J196" i="94"/>
  <c r="M196" i="94" s="1"/>
  <c r="J195" i="94"/>
  <c r="M195" i="94" s="1"/>
  <c r="J194" i="94"/>
  <c r="M194" i="94" s="1"/>
  <c r="J193" i="94"/>
  <c r="M193" i="94" s="1"/>
  <c r="J192" i="94"/>
  <c r="M192" i="94" s="1"/>
  <c r="J191" i="94"/>
  <c r="M191" i="94" s="1"/>
  <c r="J190" i="94"/>
  <c r="M190" i="94" s="1"/>
  <c r="J189" i="94"/>
  <c r="M189" i="94" s="1"/>
  <c r="J188" i="94"/>
  <c r="M188" i="94" s="1"/>
  <c r="J187" i="94"/>
  <c r="M187" i="94" s="1"/>
  <c r="J186" i="94"/>
  <c r="M186" i="94" s="1"/>
  <c r="J185" i="94"/>
  <c r="M185" i="94" s="1"/>
  <c r="J184" i="94"/>
  <c r="M184" i="94" s="1"/>
  <c r="J183" i="94"/>
  <c r="M183" i="94" s="1"/>
  <c r="J182" i="94"/>
  <c r="M182" i="94" s="1"/>
  <c r="J181" i="94"/>
  <c r="M181" i="94" s="1"/>
  <c r="J180" i="94"/>
  <c r="M180" i="94" s="1"/>
  <c r="J179" i="94"/>
  <c r="M179" i="94" s="1"/>
  <c r="J178" i="94"/>
  <c r="M178" i="94" s="1"/>
  <c r="J177" i="94"/>
  <c r="M177" i="94" s="1"/>
  <c r="J176" i="94"/>
  <c r="M176" i="94" s="1"/>
  <c r="J175" i="94"/>
  <c r="M175" i="94" s="1"/>
  <c r="J174" i="94"/>
  <c r="M174" i="94" s="1"/>
  <c r="J173" i="94"/>
  <c r="M173" i="94" s="1"/>
  <c r="J172" i="94"/>
  <c r="M172" i="94" s="1"/>
  <c r="J171" i="94"/>
  <c r="M171" i="94" s="1"/>
  <c r="J170" i="94"/>
  <c r="M170" i="94" s="1"/>
  <c r="J169" i="94"/>
  <c r="M169" i="94" s="1"/>
  <c r="J168" i="94"/>
  <c r="M168" i="94" s="1"/>
  <c r="J167" i="94"/>
  <c r="M167" i="94" s="1"/>
  <c r="J166" i="94"/>
  <c r="M166" i="94" s="1"/>
  <c r="J165" i="94"/>
  <c r="M165" i="94" s="1"/>
  <c r="J164" i="94"/>
  <c r="M164" i="94" s="1"/>
  <c r="J163" i="94"/>
  <c r="M163" i="94" s="1"/>
  <c r="J162" i="94"/>
  <c r="M162" i="94" s="1"/>
  <c r="J161" i="94"/>
  <c r="M161" i="94" s="1"/>
  <c r="J160" i="94"/>
  <c r="M160" i="94" s="1"/>
  <c r="J159" i="94"/>
  <c r="M159" i="94" s="1"/>
  <c r="J158" i="94"/>
  <c r="M158" i="94" s="1"/>
  <c r="J157" i="94"/>
  <c r="M157" i="94" s="1"/>
  <c r="J156" i="94"/>
  <c r="M156" i="94" s="1"/>
  <c r="J155" i="94"/>
  <c r="M155" i="94" s="1"/>
  <c r="J154" i="94"/>
  <c r="M154" i="94" s="1"/>
  <c r="J153" i="94"/>
  <c r="M153" i="94" s="1"/>
  <c r="J152" i="94"/>
  <c r="M152" i="94" s="1"/>
  <c r="J151" i="94"/>
  <c r="M151" i="94" s="1"/>
  <c r="J150" i="94"/>
  <c r="M150" i="94" s="1"/>
  <c r="J149" i="94"/>
  <c r="M149" i="94" s="1"/>
  <c r="J148" i="94"/>
  <c r="M148" i="94" s="1"/>
  <c r="J147" i="94"/>
  <c r="M147" i="94" s="1"/>
  <c r="J146" i="94"/>
  <c r="M146" i="94" s="1"/>
  <c r="J145" i="94"/>
  <c r="M145" i="94" s="1"/>
  <c r="J144" i="94"/>
  <c r="M144" i="94" s="1"/>
  <c r="J143" i="94"/>
  <c r="M143" i="94" s="1"/>
  <c r="J142" i="94"/>
  <c r="M142" i="94" s="1"/>
  <c r="J141" i="94"/>
  <c r="M141" i="94" s="1"/>
  <c r="J140" i="94"/>
  <c r="M140" i="94" s="1"/>
  <c r="J139" i="94"/>
  <c r="M139" i="94" s="1"/>
  <c r="J138" i="94"/>
  <c r="M138" i="94" s="1"/>
  <c r="J137" i="94"/>
  <c r="M137" i="94" s="1"/>
  <c r="J136" i="94"/>
  <c r="M136" i="94" s="1"/>
  <c r="J135" i="94"/>
  <c r="M135" i="94" s="1"/>
  <c r="J134" i="94"/>
  <c r="M134" i="94" s="1"/>
  <c r="J133" i="94"/>
  <c r="M133" i="94" s="1"/>
  <c r="J132" i="94"/>
  <c r="M132" i="94" s="1"/>
  <c r="J131" i="94"/>
  <c r="M131" i="94" s="1"/>
  <c r="J130" i="94"/>
  <c r="M130" i="94" s="1"/>
  <c r="J129" i="94"/>
  <c r="M129" i="94" s="1"/>
  <c r="J128" i="94"/>
  <c r="M128" i="94" s="1"/>
  <c r="J127" i="94"/>
  <c r="M127" i="94" s="1"/>
  <c r="J126" i="94"/>
  <c r="M126" i="94" s="1"/>
  <c r="J125" i="94"/>
  <c r="M125" i="94" s="1"/>
  <c r="J124" i="94"/>
  <c r="M124" i="94" s="1"/>
  <c r="J123" i="94"/>
  <c r="M123" i="94" s="1"/>
  <c r="J122" i="94"/>
  <c r="M122" i="94" s="1"/>
  <c r="J121" i="94"/>
  <c r="M121" i="94" s="1"/>
  <c r="J120" i="94"/>
  <c r="M120" i="94" s="1"/>
  <c r="J119" i="94"/>
  <c r="M119" i="94" s="1"/>
  <c r="J118" i="94"/>
  <c r="M118" i="94" s="1"/>
  <c r="J117" i="94"/>
  <c r="M117" i="94" s="1"/>
  <c r="J116" i="94"/>
  <c r="M116" i="94" s="1"/>
  <c r="J115" i="94"/>
  <c r="M115" i="94" s="1"/>
  <c r="J114" i="94"/>
  <c r="M114" i="94" s="1"/>
  <c r="J113" i="94"/>
  <c r="M113" i="94" s="1"/>
  <c r="J112" i="94"/>
  <c r="M112" i="94" s="1"/>
  <c r="J111" i="94"/>
  <c r="M111" i="94" s="1"/>
  <c r="J110" i="94"/>
  <c r="M110" i="94" s="1"/>
  <c r="J109" i="94"/>
  <c r="M109" i="94" s="1"/>
  <c r="J108" i="94"/>
  <c r="M108" i="94" s="1"/>
  <c r="J107" i="94"/>
  <c r="M107" i="94" s="1"/>
  <c r="J106" i="94"/>
  <c r="M106" i="94" s="1"/>
  <c r="J105" i="94"/>
  <c r="M105" i="94" s="1"/>
  <c r="J104" i="94"/>
  <c r="M104" i="94" s="1"/>
  <c r="J103" i="94"/>
  <c r="M103" i="94" s="1"/>
  <c r="J102" i="94"/>
  <c r="M102" i="94" s="1"/>
  <c r="J101" i="94"/>
  <c r="M101" i="94" s="1"/>
  <c r="J100" i="94"/>
  <c r="M100" i="94" s="1"/>
  <c r="J99" i="94"/>
  <c r="M99" i="94" s="1"/>
  <c r="J98" i="94"/>
  <c r="M98" i="94" s="1"/>
  <c r="J97" i="94"/>
  <c r="M97" i="94" s="1"/>
  <c r="J96" i="94"/>
  <c r="M96" i="94" s="1"/>
  <c r="J95" i="94"/>
  <c r="M95" i="94" s="1"/>
  <c r="J94" i="94"/>
  <c r="M94" i="94" s="1"/>
  <c r="J93" i="94"/>
  <c r="M93" i="94" s="1"/>
  <c r="J92" i="94"/>
  <c r="M92" i="94" s="1"/>
  <c r="J91" i="94"/>
  <c r="M91" i="94" s="1"/>
  <c r="J90" i="94"/>
  <c r="M90" i="94" s="1"/>
  <c r="J89" i="94"/>
  <c r="M89" i="94" s="1"/>
  <c r="J88" i="94"/>
  <c r="M88" i="94" s="1"/>
  <c r="J87" i="94"/>
  <c r="M87" i="94" s="1"/>
  <c r="J86" i="94"/>
  <c r="M86" i="94" s="1"/>
  <c r="J85" i="94"/>
  <c r="M85" i="94" s="1"/>
  <c r="J84" i="94"/>
  <c r="M84" i="94" s="1"/>
  <c r="J83" i="94"/>
  <c r="M83" i="94" s="1"/>
  <c r="J82" i="94"/>
  <c r="M82" i="94" s="1"/>
  <c r="J81" i="94"/>
  <c r="M81" i="94" s="1"/>
  <c r="J80" i="94"/>
  <c r="M80" i="94" s="1"/>
  <c r="J79" i="94"/>
  <c r="M79" i="94" s="1"/>
  <c r="J78" i="94"/>
  <c r="M78" i="94" s="1"/>
  <c r="J76" i="94"/>
  <c r="M76" i="94" s="1"/>
  <c r="J75" i="94"/>
  <c r="M75" i="94" s="1"/>
  <c r="J74" i="94"/>
  <c r="M74" i="94" s="1"/>
  <c r="J73" i="94"/>
  <c r="M73" i="94" s="1"/>
  <c r="J72" i="94"/>
  <c r="M72" i="94" s="1"/>
  <c r="J71" i="94"/>
  <c r="M71" i="94" s="1"/>
  <c r="J70" i="94"/>
  <c r="M70" i="94" s="1"/>
  <c r="J69" i="94"/>
  <c r="M69" i="94" s="1"/>
  <c r="J68" i="94"/>
  <c r="M68" i="94" s="1"/>
  <c r="J67" i="94"/>
  <c r="M67" i="94" s="1"/>
  <c r="J66" i="94"/>
  <c r="M66" i="94" s="1"/>
  <c r="J65" i="94"/>
  <c r="M65" i="94" s="1"/>
  <c r="J64" i="94"/>
  <c r="M64" i="94" s="1"/>
  <c r="J63" i="94"/>
  <c r="M63" i="94" s="1"/>
  <c r="J62" i="94"/>
  <c r="M62" i="94" s="1"/>
  <c r="J61" i="94"/>
  <c r="M61" i="94" s="1"/>
  <c r="J60" i="94"/>
  <c r="M60" i="94" s="1"/>
  <c r="J59" i="94"/>
  <c r="M59" i="94" s="1"/>
  <c r="J58" i="94"/>
  <c r="M58" i="94" s="1"/>
  <c r="J57" i="94"/>
  <c r="M57" i="94" s="1"/>
  <c r="J56" i="94"/>
  <c r="M56" i="94" s="1"/>
  <c r="J55" i="94"/>
  <c r="M55" i="94" s="1"/>
  <c r="J54" i="94"/>
  <c r="M54" i="94" s="1"/>
  <c r="J53" i="94"/>
  <c r="M53" i="94" s="1"/>
  <c r="J52" i="94"/>
  <c r="M52" i="94" s="1"/>
  <c r="J51" i="94"/>
  <c r="M51" i="94" s="1"/>
  <c r="J50" i="94"/>
  <c r="M50" i="94" s="1"/>
  <c r="J49" i="94"/>
  <c r="M49" i="94" s="1"/>
  <c r="J48" i="94"/>
  <c r="M48" i="94" s="1"/>
  <c r="J47" i="94"/>
  <c r="M47" i="94" s="1"/>
  <c r="J46" i="94"/>
  <c r="M46" i="94" s="1"/>
  <c r="J45" i="94"/>
  <c r="M45" i="94" s="1"/>
  <c r="J44" i="94"/>
  <c r="M44" i="94" s="1"/>
  <c r="J43" i="94"/>
  <c r="M43" i="94" s="1"/>
  <c r="J42" i="94"/>
  <c r="M42" i="94" s="1"/>
  <c r="J41" i="94"/>
  <c r="M41" i="94" s="1"/>
  <c r="J40" i="94"/>
  <c r="M40" i="94" s="1"/>
  <c r="J39" i="94"/>
  <c r="M39" i="94" s="1"/>
  <c r="J38" i="94"/>
  <c r="M38" i="94" s="1"/>
  <c r="J37" i="94"/>
  <c r="M37" i="94" s="1"/>
  <c r="J36" i="94"/>
  <c r="M36" i="94" s="1"/>
  <c r="J35" i="94"/>
  <c r="M35" i="94" s="1"/>
  <c r="J34" i="94"/>
  <c r="M34" i="94" s="1"/>
  <c r="J33" i="94"/>
  <c r="M33" i="94" s="1"/>
  <c r="J32" i="94"/>
  <c r="M32" i="94" s="1"/>
  <c r="J31" i="94"/>
  <c r="M31" i="94" s="1"/>
  <c r="J30" i="94"/>
  <c r="M30" i="94" s="1"/>
  <c r="J29" i="94"/>
  <c r="M29" i="94" s="1"/>
  <c r="J28" i="94"/>
  <c r="M28" i="94" s="1"/>
  <c r="J27" i="94"/>
  <c r="M27" i="94" s="1"/>
  <c r="J26" i="94"/>
  <c r="M26" i="94" s="1"/>
  <c r="J25" i="94"/>
  <c r="M25" i="94" s="1"/>
  <c r="J24" i="94"/>
  <c r="M24" i="94" s="1"/>
  <c r="J23" i="94"/>
  <c r="M23" i="94" s="1"/>
  <c r="J22" i="94"/>
  <c r="M22" i="94" s="1"/>
  <c r="J21" i="94"/>
  <c r="M21" i="94" s="1"/>
  <c r="J20" i="94"/>
  <c r="M20" i="94" s="1"/>
  <c r="J19" i="94"/>
  <c r="M19" i="94" s="1"/>
  <c r="J18" i="94"/>
  <c r="M18" i="94" s="1"/>
  <c r="J17" i="94"/>
  <c r="M17" i="94" s="1"/>
  <c r="J16" i="94"/>
  <c r="M16" i="94" s="1"/>
  <c r="J15" i="94"/>
  <c r="M15" i="94" s="1"/>
  <c r="J14" i="94"/>
  <c r="M14" i="94" s="1"/>
  <c r="J13" i="94"/>
  <c r="M13" i="94" s="1"/>
  <c r="J12" i="94"/>
  <c r="M12" i="94" s="1"/>
  <c r="J11" i="94"/>
  <c r="M11" i="94" s="1"/>
  <c r="J10" i="94"/>
  <c r="M10" i="94" s="1"/>
  <c r="J9" i="94"/>
  <c r="M9" i="94" s="1"/>
  <c r="J8" i="94"/>
  <c r="M8" i="94" s="1"/>
  <c r="J7" i="94"/>
  <c r="M7" i="94" s="1"/>
  <c r="J6" i="94"/>
  <c r="M6" i="94" s="1"/>
  <c r="J256" i="94"/>
  <c r="J5" i="94"/>
  <c r="J254" i="93"/>
  <c r="M254" i="93" s="1"/>
  <c r="J253" i="93"/>
  <c r="M253" i="93" s="1"/>
  <c r="J252" i="93"/>
  <c r="M252" i="93" s="1"/>
  <c r="J251" i="93"/>
  <c r="M251" i="93" s="1"/>
  <c r="J250" i="93"/>
  <c r="M250" i="93" s="1"/>
  <c r="J249" i="93"/>
  <c r="M249" i="93" s="1"/>
  <c r="J248" i="93"/>
  <c r="M248" i="93" s="1"/>
  <c r="J247" i="93"/>
  <c r="M247" i="93" s="1"/>
  <c r="J246" i="93"/>
  <c r="M246" i="93" s="1"/>
  <c r="J245" i="93"/>
  <c r="M245" i="93" s="1"/>
  <c r="J244" i="93"/>
  <c r="M244" i="93" s="1"/>
  <c r="J243" i="93"/>
  <c r="M243" i="93" s="1"/>
  <c r="J242" i="93"/>
  <c r="M242" i="93" s="1"/>
  <c r="J241" i="93"/>
  <c r="M241" i="93" s="1"/>
  <c r="J240" i="93"/>
  <c r="M240" i="93" s="1"/>
  <c r="J239" i="93"/>
  <c r="M239" i="93" s="1"/>
  <c r="J238" i="93"/>
  <c r="M238" i="93" s="1"/>
  <c r="J237" i="93"/>
  <c r="M237" i="93" s="1"/>
  <c r="J236" i="93"/>
  <c r="M236" i="93" s="1"/>
  <c r="J235" i="93"/>
  <c r="M235" i="93" s="1"/>
  <c r="J234" i="93"/>
  <c r="M234" i="93" s="1"/>
  <c r="J233" i="93"/>
  <c r="M233" i="93" s="1"/>
  <c r="J232" i="93"/>
  <c r="M232" i="93" s="1"/>
  <c r="J231" i="93"/>
  <c r="M231" i="93" s="1"/>
  <c r="J230" i="93"/>
  <c r="M230" i="93" s="1"/>
  <c r="J229" i="93"/>
  <c r="M229" i="93" s="1"/>
  <c r="J228" i="93"/>
  <c r="M228" i="93" s="1"/>
  <c r="J227" i="93"/>
  <c r="M227" i="93" s="1"/>
  <c r="J226" i="93"/>
  <c r="M226" i="93" s="1"/>
  <c r="J225" i="93"/>
  <c r="M225" i="93" s="1"/>
  <c r="J224" i="93"/>
  <c r="M224" i="93" s="1"/>
  <c r="J223" i="93"/>
  <c r="M223" i="93" s="1"/>
  <c r="J222" i="93"/>
  <c r="M222" i="93" s="1"/>
  <c r="J221" i="93"/>
  <c r="M221" i="93" s="1"/>
  <c r="J220" i="93"/>
  <c r="M220" i="93" s="1"/>
  <c r="J219" i="93"/>
  <c r="M219" i="93" s="1"/>
  <c r="J218" i="93"/>
  <c r="M218" i="93" s="1"/>
  <c r="J217" i="93"/>
  <c r="M217" i="93" s="1"/>
  <c r="J216" i="93"/>
  <c r="M216" i="93" s="1"/>
  <c r="J215" i="93"/>
  <c r="M215" i="93" s="1"/>
  <c r="J214" i="93"/>
  <c r="M214" i="93" s="1"/>
  <c r="J77" i="93"/>
  <c r="M77" i="93" s="1"/>
  <c r="J213" i="93"/>
  <c r="M213" i="93" s="1"/>
  <c r="J212" i="93"/>
  <c r="M212" i="93" s="1"/>
  <c r="J211" i="93"/>
  <c r="M211" i="93" s="1"/>
  <c r="J210" i="93"/>
  <c r="M210" i="93" s="1"/>
  <c r="J209" i="93"/>
  <c r="M209" i="93" s="1"/>
  <c r="J208" i="93"/>
  <c r="M208" i="93" s="1"/>
  <c r="J207" i="93"/>
  <c r="M207" i="93" s="1"/>
  <c r="J206" i="93"/>
  <c r="M206" i="93" s="1"/>
  <c r="J205" i="93"/>
  <c r="M205" i="93" s="1"/>
  <c r="J204" i="93"/>
  <c r="M204" i="93" s="1"/>
  <c r="J203" i="93"/>
  <c r="M203" i="93" s="1"/>
  <c r="J202" i="93"/>
  <c r="M202" i="93" s="1"/>
  <c r="J201" i="93"/>
  <c r="M201" i="93" s="1"/>
  <c r="J200" i="93"/>
  <c r="M200" i="93" s="1"/>
  <c r="J199" i="93"/>
  <c r="M199" i="93" s="1"/>
  <c r="J198" i="93"/>
  <c r="M198" i="93" s="1"/>
  <c r="J197" i="93"/>
  <c r="M197" i="93" s="1"/>
  <c r="J196" i="93"/>
  <c r="M196" i="93" s="1"/>
  <c r="J195" i="93"/>
  <c r="M195" i="93" s="1"/>
  <c r="J194" i="93"/>
  <c r="M194" i="93" s="1"/>
  <c r="J193" i="93"/>
  <c r="M193" i="93" s="1"/>
  <c r="J192" i="93"/>
  <c r="M192" i="93" s="1"/>
  <c r="J191" i="93"/>
  <c r="M191" i="93" s="1"/>
  <c r="J190" i="93"/>
  <c r="M190" i="93" s="1"/>
  <c r="J189" i="93"/>
  <c r="M189" i="93" s="1"/>
  <c r="J188" i="93"/>
  <c r="M188" i="93" s="1"/>
  <c r="J187" i="93"/>
  <c r="M187" i="93" s="1"/>
  <c r="J186" i="93"/>
  <c r="M186" i="93" s="1"/>
  <c r="J185" i="93"/>
  <c r="M185" i="93" s="1"/>
  <c r="J184" i="93"/>
  <c r="M184" i="93" s="1"/>
  <c r="J183" i="93"/>
  <c r="M183" i="93" s="1"/>
  <c r="J182" i="93"/>
  <c r="M182" i="93" s="1"/>
  <c r="J181" i="93"/>
  <c r="M181" i="93" s="1"/>
  <c r="J180" i="93"/>
  <c r="M180" i="93" s="1"/>
  <c r="J179" i="93"/>
  <c r="M179" i="93" s="1"/>
  <c r="J178" i="93"/>
  <c r="M178" i="93" s="1"/>
  <c r="J177" i="93"/>
  <c r="M177" i="93" s="1"/>
  <c r="J176" i="93"/>
  <c r="M176" i="93" s="1"/>
  <c r="J175" i="93"/>
  <c r="M175" i="93" s="1"/>
  <c r="J174" i="93"/>
  <c r="M174" i="93" s="1"/>
  <c r="J173" i="93"/>
  <c r="M173" i="93" s="1"/>
  <c r="J172" i="93"/>
  <c r="M172" i="93" s="1"/>
  <c r="J171" i="93"/>
  <c r="M171" i="93" s="1"/>
  <c r="J170" i="93"/>
  <c r="M170" i="93" s="1"/>
  <c r="J169" i="93"/>
  <c r="M169" i="93" s="1"/>
  <c r="J168" i="93"/>
  <c r="M168" i="93" s="1"/>
  <c r="J167" i="93"/>
  <c r="M167" i="93" s="1"/>
  <c r="J166" i="93"/>
  <c r="M166" i="93" s="1"/>
  <c r="J165" i="93"/>
  <c r="M165" i="93" s="1"/>
  <c r="J164" i="93"/>
  <c r="M164" i="93" s="1"/>
  <c r="J163" i="93"/>
  <c r="M163" i="93" s="1"/>
  <c r="J162" i="93"/>
  <c r="M162" i="93" s="1"/>
  <c r="J161" i="93"/>
  <c r="M161" i="93" s="1"/>
  <c r="J160" i="93"/>
  <c r="M160" i="93" s="1"/>
  <c r="J159" i="93"/>
  <c r="M159" i="93" s="1"/>
  <c r="J158" i="93"/>
  <c r="M158" i="93" s="1"/>
  <c r="J157" i="93"/>
  <c r="M157" i="93" s="1"/>
  <c r="J156" i="93"/>
  <c r="M156" i="93" s="1"/>
  <c r="J155" i="93"/>
  <c r="M155" i="93" s="1"/>
  <c r="J154" i="93"/>
  <c r="M154" i="93" s="1"/>
  <c r="J153" i="93"/>
  <c r="M153" i="93" s="1"/>
  <c r="J152" i="93"/>
  <c r="M152" i="93" s="1"/>
  <c r="J151" i="93"/>
  <c r="M151" i="93" s="1"/>
  <c r="J150" i="93"/>
  <c r="M150" i="93" s="1"/>
  <c r="J149" i="93"/>
  <c r="M149" i="93" s="1"/>
  <c r="J148" i="93"/>
  <c r="M148" i="93" s="1"/>
  <c r="J147" i="93"/>
  <c r="M147" i="93" s="1"/>
  <c r="J146" i="93"/>
  <c r="M146" i="93" s="1"/>
  <c r="J145" i="93"/>
  <c r="M145" i="93" s="1"/>
  <c r="J144" i="93"/>
  <c r="M144" i="93" s="1"/>
  <c r="J143" i="93"/>
  <c r="M143" i="93" s="1"/>
  <c r="J142" i="93"/>
  <c r="M142" i="93" s="1"/>
  <c r="J141" i="93"/>
  <c r="M141" i="93" s="1"/>
  <c r="J140" i="93"/>
  <c r="M140" i="93" s="1"/>
  <c r="J139" i="93"/>
  <c r="M139" i="93" s="1"/>
  <c r="J138" i="93"/>
  <c r="M138" i="93" s="1"/>
  <c r="J137" i="93"/>
  <c r="M137" i="93" s="1"/>
  <c r="J136" i="93"/>
  <c r="M136" i="93" s="1"/>
  <c r="J135" i="93"/>
  <c r="M135" i="93" s="1"/>
  <c r="J134" i="93"/>
  <c r="M134" i="93" s="1"/>
  <c r="J133" i="93"/>
  <c r="M133" i="93" s="1"/>
  <c r="J132" i="93"/>
  <c r="M132" i="93" s="1"/>
  <c r="J131" i="93"/>
  <c r="M131" i="93" s="1"/>
  <c r="J130" i="93"/>
  <c r="M130" i="93" s="1"/>
  <c r="J129" i="93"/>
  <c r="M129" i="93" s="1"/>
  <c r="J128" i="93"/>
  <c r="M128" i="93" s="1"/>
  <c r="J127" i="93"/>
  <c r="M127" i="93" s="1"/>
  <c r="J126" i="93"/>
  <c r="M126" i="93" s="1"/>
  <c r="J125" i="93"/>
  <c r="M125" i="93" s="1"/>
  <c r="J124" i="93"/>
  <c r="M124" i="93" s="1"/>
  <c r="J123" i="93"/>
  <c r="M123" i="93" s="1"/>
  <c r="J122" i="93"/>
  <c r="M122" i="93" s="1"/>
  <c r="J121" i="93"/>
  <c r="M121" i="93" s="1"/>
  <c r="J120" i="93"/>
  <c r="M120" i="93" s="1"/>
  <c r="J119" i="93"/>
  <c r="M119" i="93" s="1"/>
  <c r="J118" i="93"/>
  <c r="M118" i="93" s="1"/>
  <c r="J117" i="93"/>
  <c r="M117" i="93" s="1"/>
  <c r="J116" i="93"/>
  <c r="M116" i="93" s="1"/>
  <c r="J115" i="93"/>
  <c r="M115" i="93" s="1"/>
  <c r="J114" i="93"/>
  <c r="M114" i="93" s="1"/>
  <c r="J113" i="93"/>
  <c r="M113" i="93" s="1"/>
  <c r="J112" i="93"/>
  <c r="M112" i="93" s="1"/>
  <c r="J111" i="93"/>
  <c r="M111" i="93" s="1"/>
  <c r="J110" i="93"/>
  <c r="M110" i="93" s="1"/>
  <c r="J109" i="93"/>
  <c r="M109" i="93" s="1"/>
  <c r="J108" i="93"/>
  <c r="M108" i="93" s="1"/>
  <c r="J107" i="93"/>
  <c r="M107" i="93" s="1"/>
  <c r="J106" i="93"/>
  <c r="M106" i="93" s="1"/>
  <c r="J105" i="93"/>
  <c r="M105" i="93" s="1"/>
  <c r="J104" i="93"/>
  <c r="M104" i="93" s="1"/>
  <c r="J103" i="93"/>
  <c r="M103" i="93" s="1"/>
  <c r="J102" i="93"/>
  <c r="M102" i="93" s="1"/>
  <c r="J101" i="93"/>
  <c r="M101" i="93" s="1"/>
  <c r="J100" i="93"/>
  <c r="M100" i="93" s="1"/>
  <c r="J99" i="93"/>
  <c r="M99" i="93" s="1"/>
  <c r="J98" i="93"/>
  <c r="M98" i="93" s="1"/>
  <c r="J97" i="93"/>
  <c r="M97" i="93" s="1"/>
  <c r="J96" i="93"/>
  <c r="M96" i="93" s="1"/>
  <c r="J95" i="93"/>
  <c r="M95" i="93" s="1"/>
  <c r="J94" i="93"/>
  <c r="M94" i="93" s="1"/>
  <c r="J93" i="93"/>
  <c r="M93" i="93" s="1"/>
  <c r="J92" i="93"/>
  <c r="M92" i="93" s="1"/>
  <c r="J91" i="93"/>
  <c r="M91" i="93" s="1"/>
  <c r="J90" i="93"/>
  <c r="M90" i="93" s="1"/>
  <c r="J89" i="93"/>
  <c r="M89" i="93" s="1"/>
  <c r="J88" i="93"/>
  <c r="M88" i="93" s="1"/>
  <c r="J87" i="93"/>
  <c r="M87" i="93" s="1"/>
  <c r="J86" i="93"/>
  <c r="M86" i="93" s="1"/>
  <c r="J85" i="93"/>
  <c r="M85" i="93" s="1"/>
  <c r="J84" i="93"/>
  <c r="M84" i="93" s="1"/>
  <c r="J83" i="93"/>
  <c r="M83" i="93" s="1"/>
  <c r="J82" i="93"/>
  <c r="M82" i="93" s="1"/>
  <c r="J81" i="93"/>
  <c r="M81" i="93" s="1"/>
  <c r="J80" i="93"/>
  <c r="M80" i="93" s="1"/>
  <c r="J79" i="93"/>
  <c r="M79" i="93" s="1"/>
  <c r="J78" i="93"/>
  <c r="M78" i="93" s="1"/>
  <c r="J76" i="93"/>
  <c r="M76" i="93" s="1"/>
  <c r="J75" i="93"/>
  <c r="M75" i="93" s="1"/>
  <c r="J74" i="93"/>
  <c r="M74" i="93" s="1"/>
  <c r="J73" i="93"/>
  <c r="M73" i="93" s="1"/>
  <c r="J72" i="93"/>
  <c r="M72" i="93" s="1"/>
  <c r="J71" i="93"/>
  <c r="M71" i="93" s="1"/>
  <c r="J70" i="93"/>
  <c r="M70" i="93" s="1"/>
  <c r="J69" i="93"/>
  <c r="M69" i="93" s="1"/>
  <c r="J68" i="93"/>
  <c r="M68" i="93" s="1"/>
  <c r="J67" i="93"/>
  <c r="M67" i="93" s="1"/>
  <c r="J66" i="93"/>
  <c r="M66" i="93" s="1"/>
  <c r="J65" i="93"/>
  <c r="M65" i="93" s="1"/>
  <c r="J64" i="93"/>
  <c r="M64" i="93" s="1"/>
  <c r="J63" i="93"/>
  <c r="M63" i="93" s="1"/>
  <c r="J62" i="93"/>
  <c r="M62" i="93" s="1"/>
  <c r="J61" i="93"/>
  <c r="M61" i="93" s="1"/>
  <c r="J60" i="93"/>
  <c r="M60" i="93" s="1"/>
  <c r="J59" i="93"/>
  <c r="M59" i="93" s="1"/>
  <c r="J58" i="93"/>
  <c r="M58" i="93" s="1"/>
  <c r="J57" i="93"/>
  <c r="M57" i="93" s="1"/>
  <c r="J56" i="93"/>
  <c r="M56" i="93" s="1"/>
  <c r="J55" i="93"/>
  <c r="M55" i="93" s="1"/>
  <c r="J54" i="93"/>
  <c r="M54" i="93" s="1"/>
  <c r="J53" i="93"/>
  <c r="M53" i="93" s="1"/>
  <c r="J52" i="93"/>
  <c r="M52" i="93" s="1"/>
  <c r="J51" i="93"/>
  <c r="M51" i="93" s="1"/>
  <c r="J50" i="93"/>
  <c r="M50" i="93" s="1"/>
  <c r="J49" i="93"/>
  <c r="M49" i="93" s="1"/>
  <c r="J48" i="93"/>
  <c r="M48" i="93" s="1"/>
  <c r="J47" i="93"/>
  <c r="M47" i="93" s="1"/>
  <c r="J46" i="93"/>
  <c r="M46" i="93" s="1"/>
  <c r="J45" i="93"/>
  <c r="M45" i="93" s="1"/>
  <c r="J44" i="93"/>
  <c r="M44" i="93" s="1"/>
  <c r="J43" i="93"/>
  <c r="M43" i="93" s="1"/>
  <c r="J42" i="93"/>
  <c r="M42" i="93" s="1"/>
  <c r="J41" i="93"/>
  <c r="M41" i="93" s="1"/>
  <c r="J40" i="93"/>
  <c r="M40" i="93" s="1"/>
  <c r="J39" i="93"/>
  <c r="M39" i="93" s="1"/>
  <c r="J38" i="93"/>
  <c r="M38" i="93" s="1"/>
  <c r="J37" i="93"/>
  <c r="M37" i="93" s="1"/>
  <c r="J36" i="93"/>
  <c r="M36" i="93" s="1"/>
  <c r="J35" i="93"/>
  <c r="M35" i="93" s="1"/>
  <c r="J34" i="93"/>
  <c r="M34" i="93" s="1"/>
  <c r="J33" i="93"/>
  <c r="M33" i="93" s="1"/>
  <c r="J32" i="93"/>
  <c r="M32" i="93" s="1"/>
  <c r="J31" i="93"/>
  <c r="M31" i="93" s="1"/>
  <c r="J30" i="93"/>
  <c r="M30" i="93" s="1"/>
  <c r="M29" i="93"/>
  <c r="J29" i="93"/>
  <c r="J28" i="93"/>
  <c r="M28" i="93" s="1"/>
  <c r="J27" i="93"/>
  <c r="M27" i="93" s="1"/>
  <c r="J26" i="93"/>
  <c r="M26" i="93" s="1"/>
  <c r="J25" i="93"/>
  <c r="M25" i="93" s="1"/>
  <c r="J24" i="93"/>
  <c r="M24" i="93" s="1"/>
  <c r="J23" i="93"/>
  <c r="M23" i="93" s="1"/>
  <c r="J22" i="93"/>
  <c r="M22" i="93" s="1"/>
  <c r="J21" i="93"/>
  <c r="M21" i="93" s="1"/>
  <c r="J20" i="93"/>
  <c r="M20" i="93" s="1"/>
  <c r="J19" i="93"/>
  <c r="M19" i="93" s="1"/>
  <c r="J18" i="93"/>
  <c r="M18" i="93" s="1"/>
  <c r="J17" i="93"/>
  <c r="M17" i="93" s="1"/>
  <c r="J16" i="93"/>
  <c r="M16" i="93" s="1"/>
  <c r="J15" i="93"/>
  <c r="M15" i="93" s="1"/>
  <c r="J14" i="93"/>
  <c r="M14" i="93" s="1"/>
  <c r="J13" i="93"/>
  <c r="M13" i="93" s="1"/>
  <c r="J12" i="93"/>
  <c r="M12" i="93" s="1"/>
  <c r="J11" i="93"/>
  <c r="M11" i="93" s="1"/>
  <c r="J10" i="93"/>
  <c r="M10" i="93" s="1"/>
  <c r="J9" i="93"/>
  <c r="M9" i="93" s="1"/>
  <c r="J8" i="93"/>
  <c r="M8" i="93" s="1"/>
  <c r="J7" i="93"/>
  <c r="M7" i="93" s="1"/>
  <c r="J6" i="93"/>
  <c r="M6" i="93" s="1"/>
  <c r="J256" i="93"/>
  <c r="J5" i="93"/>
  <c r="J254" i="92"/>
  <c r="M254" i="92" s="1"/>
  <c r="J253" i="92"/>
  <c r="M253" i="92" s="1"/>
  <c r="J252" i="92"/>
  <c r="M252" i="92" s="1"/>
  <c r="J251" i="92"/>
  <c r="M251" i="92" s="1"/>
  <c r="J250" i="92"/>
  <c r="M250" i="92" s="1"/>
  <c r="J249" i="92"/>
  <c r="M249" i="92" s="1"/>
  <c r="J248" i="92"/>
  <c r="M248" i="92" s="1"/>
  <c r="J247" i="92"/>
  <c r="M247" i="92" s="1"/>
  <c r="J246" i="92"/>
  <c r="M246" i="92" s="1"/>
  <c r="J245" i="92"/>
  <c r="M245" i="92" s="1"/>
  <c r="J244" i="92"/>
  <c r="M244" i="92" s="1"/>
  <c r="J243" i="92"/>
  <c r="M243" i="92" s="1"/>
  <c r="J242" i="92"/>
  <c r="M242" i="92" s="1"/>
  <c r="J241" i="92"/>
  <c r="M241" i="92" s="1"/>
  <c r="J240" i="92"/>
  <c r="M240" i="92" s="1"/>
  <c r="J239" i="92"/>
  <c r="M239" i="92" s="1"/>
  <c r="J238" i="92"/>
  <c r="M238" i="92" s="1"/>
  <c r="J237" i="92"/>
  <c r="M237" i="92" s="1"/>
  <c r="J236" i="92"/>
  <c r="M236" i="92" s="1"/>
  <c r="J235" i="92"/>
  <c r="M235" i="92" s="1"/>
  <c r="J234" i="92"/>
  <c r="M234" i="92" s="1"/>
  <c r="J233" i="92"/>
  <c r="M233" i="92" s="1"/>
  <c r="J232" i="92"/>
  <c r="M232" i="92" s="1"/>
  <c r="J231" i="92"/>
  <c r="M231" i="92" s="1"/>
  <c r="J230" i="92"/>
  <c r="M230" i="92" s="1"/>
  <c r="J229" i="92"/>
  <c r="M229" i="92" s="1"/>
  <c r="J228" i="92"/>
  <c r="M228" i="92" s="1"/>
  <c r="M227" i="92"/>
  <c r="J227" i="92"/>
  <c r="J226" i="92"/>
  <c r="M226" i="92" s="1"/>
  <c r="J225" i="92"/>
  <c r="M225" i="92" s="1"/>
  <c r="J224" i="92"/>
  <c r="M224" i="92" s="1"/>
  <c r="J223" i="92"/>
  <c r="M223" i="92" s="1"/>
  <c r="J222" i="92"/>
  <c r="M222" i="92" s="1"/>
  <c r="J221" i="92"/>
  <c r="M221" i="92" s="1"/>
  <c r="J220" i="92"/>
  <c r="M220" i="92" s="1"/>
  <c r="J219" i="92"/>
  <c r="M219" i="92" s="1"/>
  <c r="J218" i="92"/>
  <c r="M218" i="92" s="1"/>
  <c r="J217" i="92"/>
  <c r="M217" i="92" s="1"/>
  <c r="J216" i="92"/>
  <c r="M216" i="92" s="1"/>
  <c r="J215" i="92"/>
  <c r="M215" i="92" s="1"/>
  <c r="J214" i="92"/>
  <c r="M214" i="92" s="1"/>
  <c r="J77" i="92"/>
  <c r="M77" i="92" s="1"/>
  <c r="J213" i="92"/>
  <c r="M213" i="92" s="1"/>
  <c r="J212" i="92"/>
  <c r="M212" i="92" s="1"/>
  <c r="J211" i="92"/>
  <c r="M211" i="92" s="1"/>
  <c r="J210" i="92"/>
  <c r="M210" i="92" s="1"/>
  <c r="J209" i="92"/>
  <c r="M209" i="92" s="1"/>
  <c r="J208" i="92"/>
  <c r="M208" i="92" s="1"/>
  <c r="J207" i="92"/>
  <c r="M207" i="92" s="1"/>
  <c r="J206" i="92"/>
  <c r="M206" i="92" s="1"/>
  <c r="J205" i="92"/>
  <c r="M205" i="92" s="1"/>
  <c r="J204" i="92"/>
  <c r="M204" i="92" s="1"/>
  <c r="J203" i="92"/>
  <c r="M203" i="92" s="1"/>
  <c r="J202" i="92"/>
  <c r="M202" i="92" s="1"/>
  <c r="J201" i="92"/>
  <c r="M201" i="92" s="1"/>
  <c r="J200" i="92"/>
  <c r="M200" i="92" s="1"/>
  <c r="J199" i="92"/>
  <c r="M199" i="92" s="1"/>
  <c r="J198" i="92"/>
  <c r="M198" i="92" s="1"/>
  <c r="J197" i="92"/>
  <c r="M197" i="92" s="1"/>
  <c r="J196" i="92"/>
  <c r="M196" i="92" s="1"/>
  <c r="J195" i="92"/>
  <c r="M195" i="92" s="1"/>
  <c r="J194" i="92"/>
  <c r="M194" i="92" s="1"/>
  <c r="J193" i="92"/>
  <c r="M193" i="92" s="1"/>
  <c r="J192" i="92"/>
  <c r="M192" i="92" s="1"/>
  <c r="J191" i="92"/>
  <c r="M191" i="92" s="1"/>
  <c r="J190" i="92"/>
  <c r="M190" i="92" s="1"/>
  <c r="J189" i="92"/>
  <c r="M189" i="92" s="1"/>
  <c r="J188" i="92"/>
  <c r="M188" i="92" s="1"/>
  <c r="J187" i="92"/>
  <c r="M187" i="92" s="1"/>
  <c r="J186" i="92"/>
  <c r="M186" i="92" s="1"/>
  <c r="J185" i="92"/>
  <c r="M185" i="92" s="1"/>
  <c r="J184" i="92"/>
  <c r="M184" i="92" s="1"/>
  <c r="J183" i="92"/>
  <c r="M183" i="92" s="1"/>
  <c r="J182" i="92"/>
  <c r="M182" i="92" s="1"/>
  <c r="J181" i="92"/>
  <c r="M181" i="92" s="1"/>
  <c r="J180" i="92"/>
  <c r="M180" i="92" s="1"/>
  <c r="J179" i="92"/>
  <c r="M179" i="92" s="1"/>
  <c r="J178" i="92"/>
  <c r="M178" i="92" s="1"/>
  <c r="J177" i="92"/>
  <c r="M177" i="92" s="1"/>
  <c r="J176" i="92"/>
  <c r="M176" i="92" s="1"/>
  <c r="J175" i="92"/>
  <c r="M175" i="92" s="1"/>
  <c r="J174" i="92"/>
  <c r="M174" i="92" s="1"/>
  <c r="J173" i="92"/>
  <c r="M173" i="92" s="1"/>
  <c r="J172" i="92"/>
  <c r="M172" i="92" s="1"/>
  <c r="J171" i="92"/>
  <c r="M171" i="92" s="1"/>
  <c r="J170" i="92"/>
  <c r="M170" i="92" s="1"/>
  <c r="J169" i="92"/>
  <c r="M169" i="92" s="1"/>
  <c r="J168" i="92"/>
  <c r="M168" i="92" s="1"/>
  <c r="J167" i="92"/>
  <c r="M167" i="92" s="1"/>
  <c r="J166" i="92"/>
  <c r="M166" i="92" s="1"/>
  <c r="J165" i="92"/>
  <c r="M165" i="92" s="1"/>
  <c r="J164" i="92"/>
  <c r="M164" i="92" s="1"/>
  <c r="J163" i="92"/>
  <c r="M163" i="92" s="1"/>
  <c r="J162" i="92"/>
  <c r="M162" i="92" s="1"/>
  <c r="J161" i="92"/>
  <c r="M161" i="92" s="1"/>
  <c r="J160" i="92"/>
  <c r="M160" i="92" s="1"/>
  <c r="J159" i="92"/>
  <c r="M159" i="92" s="1"/>
  <c r="J158" i="92"/>
  <c r="M158" i="92" s="1"/>
  <c r="J157" i="92"/>
  <c r="M157" i="92" s="1"/>
  <c r="J156" i="92"/>
  <c r="M156" i="92" s="1"/>
  <c r="J155" i="92"/>
  <c r="M155" i="92" s="1"/>
  <c r="J154" i="92"/>
  <c r="M154" i="92" s="1"/>
  <c r="J153" i="92"/>
  <c r="M153" i="92" s="1"/>
  <c r="J152" i="92"/>
  <c r="M152" i="92" s="1"/>
  <c r="J151" i="92"/>
  <c r="M151" i="92" s="1"/>
  <c r="J150" i="92"/>
  <c r="M150" i="92" s="1"/>
  <c r="J149" i="92"/>
  <c r="M149" i="92" s="1"/>
  <c r="J148" i="92"/>
  <c r="M148" i="92" s="1"/>
  <c r="J147" i="92"/>
  <c r="M147" i="92" s="1"/>
  <c r="J146" i="92"/>
  <c r="M146" i="92" s="1"/>
  <c r="J145" i="92"/>
  <c r="M145" i="92" s="1"/>
  <c r="J144" i="92"/>
  <c r="M144" i="92" s="1"/>
  <c r="J143" i="92"/>
  <c r="M143" i="92" s="1"/>
  <c r="J142" i="92"/>
  <c r="M142" i="92" s="1"/>
  <c r="J141" i="92"/>
  <c r="M141" i="92" s="1"/>
  <c r="J140" i="92"/>
  <c r="M140" i="92" s="1"/>
  <c r="J139" i="92"/>
  <c r="M139" i="92" s="1"/>
  <c r="J138" i="92"/>
  <c r="M138" i="92" s="1"/>
  <c r="J137" i="92"/>
  <c r="M137" i="92" s="1"/>
  <c r="J136" i="92"/>
  <c r="M136" i="92" s="1"/>
  <c r="J135" i="92"/>
  <c r="M135" i="92" s="1"/>
  <c r="J134" i="92"/>
  <c r="M134" i="92" s="1"/>
  <c r="J133" i="92"/>
  <c r="M133" i="92" s="1"/>
  <c r="J132" i="92"/>
  <c r="M132" i="92" s="1"/>
  <c r="J131" i="92"/>
  <c r="M131" i="92" s="1"/>
  <c r="J130" i="92"/>
  <c r="M130" i="92" s="1"/>
  <c r="J129" i="92"/>
  <c r="M129" i="92" s="1"/>
  <c r="J128" i="92"/>
  <c r="M128" i="92" s="1"/>
  <c r="J127" i="92"/>
  <c r="M127" i="92" s="1"/>
  <c r="J126" i="92"/>
  <c r="M126" i="92" s="1"/>
  <c r="J125" i="92"/>
  <c r="M125" i="92" s="1"/>
  <c r="J124" i="92"/>
  <c r="M124" i="92" s="1"/>
  <c r="J123" i="92"/>
  <c r="M123" i="92" s="1"/>
  <c r="J122" i="92"/>
  <c r="M122" i="92" s="1"/>
  <c r="J121" i="92"/>
  <c r="M121" i="92" s="1"/>
  <c r="J120" i="92"/>
  <c r="M120" i="92" s="1"/>
  <c r="J119" i="92"/>
  <c r="M119" i="92" s="1"/>
  <c r="J118" i="92"/>
  <c r="M118" i="92" s="1"/>
  <c r="J117" i="92"/>
  <c r="M117" i="92" s="1"/>
  <c r="J116" i="92"/>
  <c r="M116" i="92" s="1"/>
  <c r="J115" i="92"/>
  <c r="M115" i="92" s="1"/>
  <c r="J114" i="92"/>
  <c r="M114" i="92" s="1"/>
  <c r="J113" i="92"/>
  <c r="M113" i="92" s="1"/>
  <c r="J112" i="92"/>
  <c r="M112" i="92" s="1"/>
  <c r="J111" i="92"/>
  <c r="M111" i="92" s="1"/>
  <c r="J110" i="92"/>
  <c r="M110" i="92" s="1"/>
  <c r="J109" i="92"/>
  <c r="M109" i="92" s="1"/>
  <c r="J108" i="92"/>
  <c r="M108" i="92" s="1"/>
  <c r="J107" i="92"/>
  <c r="M107" i="92" s="1"/>
  <c r="J106" i="92"/>
  <c r="M106" i="92" s="1"/>
  <c r="J105" i="92"/>
  <c r="M105" i="92" s="1"/>
  <c r="J104" i="92"/>
  <c r="M104" i="92" s="1"/>
  <c r="J103" i="92"/>
  <c r="M103" i="92" s="1"/>
  <c r="J102" i="92"/>
  <c r="M102" i="92" s="1"/>
  <c r="J101" i="92"/>
  <c r="M101" i="92" s="1"/>
  <c r="J100" i="92"/>
  <c r="M100" i="92" s="1"/>
  <c r="J99" i="92"/>
  <c r="M99" i="92" s="1"/>
  <c r="J98" i="92"/>
  <c r="M98" i="92" s="1"/>
  <c r="J97" i="92"/>
  <c r="M97" i="92" s="1"/>
  <c r="J96" i="92"/>
  <c r="M96" i="92" s="1"/>
  <c r="J95" i="92"/>
  <c r="M95" i="92" s="1"/>
  <c r="J94" i="92"/>
  <c r="M94" i="92" s="1"/>
  <c r="J93" i="92"/>
  <c r="M93" i="92" s="1"/>
  <c r="J92" i="92"/>
  <c r="M92" i="92" s="1"/>
  <c r="J91" i="92"/>
  <c r="M91" i="92" s="1"/>
  <c r="J90" i="92"/>
  <c r="M90" i="92" s="1"/>
  <c r="J89" i="92"/>
  <c r="M89" i="92" s="1"/>
  <c r="J88" i="92"/>
  <c r="M88" i="92" s="1"/>
  <c r="J87" i="92"/>
  <c r="M87" i="92" s="1"/>
  <c r="J86" i="92"/>
  <c r="M86" i="92" s="1"/>
  <c r="J85" i="92"/>
  <c r="M85" i="92" s="1"/>
  <c r="J84" i="92"/>
  <c r="M84" i="92" s="1"/>
  <c r="J83" i="92"/>
  <c r="M83" i="92" s="1"/>
  <c r="J82" i="92"/>
  <c r="M82" i="92" s="1"/>
  <c r="J81" i="92"/>
  <c r="M81" i="92" s="1"/>
  <c r="J80" i="92"/>
  <c r="M80" i="92" s="1"/>
  <c r="J79" i="92"/>
  <c r="M79" i="92" s="1"/>
  <c r="J78" i="92"/>
  <c r="M78" i="92" s="1"/>
  <c r="J76" i="92"/>
  <c r="M76" i="92" s="1"/>
  <c r="J75" i="92"/>
  <c r="M75" i="92" s="1"/>
  <c r="J74" i="92"/>
  <c r="M74" i="92" s="1"/>
  <c r="J73" i="92"/>
  <c r="M73" i="92" s="1"/>
  <c r="J72" i="92"/>
  <c r="M72" i="92" s="1"/>
  <c r="J71" i="92"/>
  <c r="M71" i="92" s="1"/>
  <c r="J70" i="92"/>
  <c r="M70" i="92" s="1"/>
  <c r="J69" i="92"/>
  <c r="M69" i="92" s="1"/>
  <c r="J68" i="92"/>
  <c r="M68" i="92" s="1"/>
  <c r="J67" i="92"/>
  <c r="M67" i="92" s="1"/>
  <c r="J66" i="92"/>
  <c r="M66" i="92" s="1"/>
  <c r="J65" i="92"/>
  <c r="M65" i="92" s="1"/>
  <c r="J64" i="92"/>
  <c r="M64" i="92" s="1"/>
  <c r="J63" i="92"/>
  <c r="M63" i="92" s="1"/>
  <c r="J62" i="92"/>
  <c r="M62" i="92" s="1"/>
  <c r="J61" i="92"/>
  <c r="M61" i="92" s="1"/>
  <c r="J60" i="92"/>
  <c r="M60" i="92" s="1"/>
  <c r="J59" i="92"/>
  <c r="M59" i="92" s="1"/>
  <c r="J58" i="92"/>
  <c r="M58" i="92" s="1"/>
  <c r="J57" i="92"/>
  <c r="M57" i="92" s="1"/>
  <c r="J56" i="92"/>
  <c r="M56" i="92" s="1"/>
  <c r="J55" i="92"/>
  <c r="M55" i="92" s="1"/>
  <c r="J54" i="92"/>
  <c r="M54" i="92" s="1"/>
  <c r="J53" i="92"/>
  <c r="M53" i="92" s="1"/>
  <c r="J52" i="92"/>
  <c r="M52" i="92" s="1"/>
  <c r="J51" i="92"/>
  <c r="M51" i="92" s="1"/>
  <c r="J50" i="92"/>
  <c r="M50" i="92" s="1"/>
  <c r="J49" i="92"/>
  <c r="M49" i="92" s="1"/>
  <c r="J48" i="92"/>
  <c r="M48" i="92" s="1"/>
  <c r="J47" i="92"/>
  <c r="M47" i="92" s="1"/>
  <c r="J46" i="92"/>
  <c r="M46" i="92" s="1"/>
  <c r="J45" i="92"/>
  <c r="M45" i="92" s="1"/>
  <c r="J44" i="92"/>
  <c r="M44" i="92" s="1"/>
  <c r="J43" i="92"/>
  <c r="M43" i="92" s="1"/>
  <c r="J42" i="92"/>
  <c r="M42" i="92" s="1"/>
  <c r="J41" i="92"/>
  <c r="M41" i="92" s="1"/>
  <c r="J40" i="92"/>
  <c r="M40" i="92" s="1"/>
  <c r="J39" i="92"/>
  <c r="M39" i="92" s="1"/>
  <c r="J38" i="92"/>
  <c r="M38" i="92" s="1"/>
  <c r="J37" i="92"/>
  <c r="M37" i="92" s="1"/>
  <c r="J36" i="92"/>
  <c r="M36" i="92" s="1"/>
  <c r="J35" i="92"/>
  <c r="M35" i="92" s="1"/>
  <c r="J34" i="92"/>
  <c r="M34" i="92" s="1"/>
  <c r="J33" i="92"/>
  <c r="M33" i="92" s="1"/>
  <c r="J32" i="92"/>
  <c r="M32" i="92" s="1"/>
  <c r="J31" i="92"/>
  <c r="M31" i="92" s="1"/>
  <c r="J30" i="92"/>
  <c r="M30" i="92" s="1"/>
  <c r="J29" i="92"/>
  <c r="M29" i="92" s="1"/>
  <c r="J28" i="92"/>
  <c r="M28" i="92" s="1"/>
  <c r="J27" i="92"/>
  <c r="M27" i="92" s="1"/>
  <c r="J26" i="92"/>
  <c r="M26" i="92" s="1"/>
  <c r="J25" i="92"/>
  <c r="M25" i="92" s="1"/>
  <c r="J24" i="92"/>
  <c r="M24" i="92" s="1"/>
  <c r="J23" i="92"/>
  <c r="M23" i="92" s="1"/>
  <c r="J22" i="92"/>
  <c r="M22" i="92" s="1"/>
  <c r="J21" i="92"/>
  <c r="M21" i="92" s="1"/>
  <c r="J20" i="92"/>
  <c r="M20" i="92" s="1"/>
  <c r="J19" i="92"/>
  <c r="M19" i="92" s="1"/>
  <c r="J18" i="92"/>
  <c r="M18" i="92" s="1"/>
  <c r="J17" i="92"/>
  <c r="M17" i="92" s="1"/>
  <c r="J16" i="92"/>
  <c r="M16" i="92" s="1"/>
  <c r="J15" i="92"/>
  <c r="M15" i="92" s="1"/>
  <c r="J14" i="92"/>
  <c r="M14" i="92" s="1"/>
  <c r="J13" i="92"/>
  <c r="M13" i="92" s="1"/>
  <c r="J12" i="92"/>
  <c r="M12" i="92" s="1"/>
  <c r="J11" i="92"/>
  <c r="M11" i="92" s="1"/>
  <c r="J10" i="92"/>
  <c r="M10" i="92" s="1"/>
  <c r="J9" i="92"/>
  <c r="M9" i="92" s="1"/>
  <c r="J8" i="92"/>
  <c r="M8" i="92" s="1"/>
  <c r="J7" i="92"/>
  <c r="M7" i="92" s="1"/>
  <c r="J6" i="92"/>
  <c r="M6" i="92" s="1"/>
  <c r="J256" i="92"/>
  <c r="J5" i="92"/>
  <c r="J254" i="91"/>
  <c r="M254" i="91" s="1"/>
  <c r="J253" i="91"/>
  <c r="M253" i="91" s="1"/>
  <c r="J252" i="91"/>
  <c r="M252" i="91" s="1"/>
  <c r="J251" i="91"/>
  <c r="M251" i="91" s="1"/>
  <c r="J250" i="91"/>
  <c r="M250" i="91" s="1"/>
  <c r="J249" i="91"/>
  <c r="M249" i="91" s="1"/>
  <c r="J248" i="91"/>
  <c r="M248" i="91" s="1"/>
  <c r="J247" i="91"/>
  <c r="M247" i="91" s="1"/>
  <c r="J246" i="91"/>
  <c r="M246" i="91" s="1"/>
  <c r="J245" i="91"/>
  <c r="M245" i="91" s="1"/>
  <c r="J244" i="91"/>
  <c r="M244" i="91" s="1"/>
  <c r="J243" i="91"/>
  <c r="M243" i="91" s="1"/>
  <c r="J242" i="91"/>
  <c r="M242" i="91" s="1"/>
  <c r="J241" i="91"/>
  <c r="M241" i="91" s="1"/>
  <c r="J240" i="91"/>
  <c r="M240" i="91" s="1"/>
  <c r="J239" i="91"/>
  <c r="M239" i="91" s="1"/>
  <c r="J238" i="91"/>
  <c r="M238" i="91" s="1"/>
  <c r="J237" i="91"/>
  <c r="M237" i="91" s="1"/>
  <c r="J236" i="91"/>
  <c r="M236" i="91" s="1"/>
  <c r="J235" i="91"/>
  <c r="M235" i="91" s="1"/>
  <c r="J234" i="91"/>
  <c r="M234" i="91" s="1"/>
  <c r="J233" i="91"/>
  <c r="M233" i="91" s="1"/>
  <c r="J232" i="91"/>
  <c r="M232" i="91" s="1"/>
  <c r="J231" i="91"/>
  <c r="M231" i="91" s="1"/>
  <c r="J230" i="91"/>
  <c r="M230" i="91" s="1"/>
  <c r="J229" i="91"/>
  <c r="M229" i="91" s="1"/>
  <c r="J228" i="91"/>
  <c r="M228" i="91" s="1"/>
  <c r="J227" i="91"/>
  <c r="M227" i="91" s="1"/>
  <c r="J226" i="91"/>
  <c r="M226" i="91" s="1"/>
  <c r="J225" i="91"/>
  <c r="M225" i="91" s="1"/>
  <c r="J224" i="91"/>
  <c r="M224" i="91" s="1"/>
  <c r="J223" i="91"/>
  <c r="M223" i="91" s="1"/>
  <c r="J222" i="91"/>
  <c r="M222" i="91" s="1"/>
  <c r="J221" i="91"/>
  <c r="M221" i="91" s="1"/>
  <c r="J220" i="91"/>
  <c r="M220" i="91" s="1"/>
  <c r="J219" i="91"/>
  <c r="M219" i="91" s="1"/>
  <c r="J218" i="91"/>
  <c r="M218" i="91" s="1"/>
  <c r="J217" i="91"/>
  <c r="M217" i="91" s="1"/>
  <c r="J216" i="91"/>
  <c r="M216" i="91" s="1"/>
  <c r="J215" i="91"/>
  <c r="M215" i="91" s="1"/>
  <c r="J214" i="91"/>
  <c r="M214" i="91" s="1"/>
  <c r="J77" i="91"/>
  <c r="M77" i="91" s="1"/>
  <c r="J213" i="91"/>
  <c r="M213" i="91" s="1"/>
  <c r="J212" i="91"/>
  <c r="M212" i="91" s="1"/>
  <c r="J211" i="91"/>
  <c r="M211" i="91" s="1"/>
  <c r="J210" i="91"/>
  <c r="M210" i="91" s="1"/>
  <c r="J209" i="91"/>
  <c r="M209" i="91" s="1"/>
  <c r="J208" i="91"/>
  <c r="M208" i="91" s="1"/>
  <c r="J207" i="91"/>
  <c r="M207" i="91" s="1"/>
  <c r="J206" i="91"/>
  <c r="M206" i="91" s="1"/>
  <c r="J205" i="91"/>
  <c r="M205" i="91" s="1"/>
  <c r="J204" i="91"/>
  <c r="M204" i="91" s="1"/>
  <c r="M203" i="91"/>
  <c r="J203" i="91"/>
  <c r="J202" i="91"/>
  <c r="M202" i="91" s="1"/>
  <c r="J201" i="91"/>
  <c r="M201" i="91" s="1"/>
  <c r="J200" i="91"/>
  <c r="M200" i="91" s="1"/>
  <c r="J199" i="91"/>
  <c r="M199" i="91" s="1"/>
  <c r="J198" i="91"/>
  <c r="M198" i="91" s="1"/>
  <c r="J197" i="91"/>
  <c r="M197" i="91" s="1"/>
  <c r="J196" i="91"/>
  <c r="M196" i="91" s="1"/>
  <c r="J195" i="91"/>
  <c r="M195" i="91" s="1"/>
  <c r="J194" i="91"/>
  <c r="M194" i="91" s="1"/>
  <c r="J193" i="91"/>
  <c r="M193" i="91" s="1"/>
  <c r="J192" i="91"/>
  <c r="M192" i="91" s="1"/>
  <c r="J191" i="91"/>
  <c r="M191" i="91" s="1"/>
  <c r="J190" i="91"/>
  <c r="M190" i="91" s="1"/>
  <c r="J189" i="91"/>
  <c r="M189" i="91" s="1"/>
  <c r="J188" i="91"/>
  <c r="M188" i="91" s="1"/>
  <c r="J187" i="91"/>
  <c r="M187" i="91" s="1"/>
  <c r="J186" i="91"/>
  <c r="M186" i="91" s="1"/>
  <c r="J185" i="91"/>
  <c r="M185" i="91" s="1"/>
  <c r="J184" i="91"/>
  <c r="M184" i="91" s="1"/>
  <c r="J183" i="91"/>
  <c r="M183" i="91" s="1"/>
  <c r="J182" i="91"/>
  <c r="M182" i="91" s="1"/>
  <c r="J181" i="91"/>
  <c r="M181" i="91" s="1"/>
  <c r="J180" i="91"/>
  <c r="M180" i="91" s="1"/>
  <c r="J179" i="91"/>
  <c r="M179" i="91" s="1"/>
  <c r="J178" i="91"/>
  <c r="M178" i="91" s="1"/>
  <c r="J177" i="91"/>
  <c r="M177" i="91" s="1"/>
  <c r="J176" i="91"/>
  <c r="M176" i="91" s="1"/>
  <c r="J175" i="91"/>
  <c r="M175" i="91" s="1"/>
  <c r="J174" i="91"/>
  <c r="M174" i="91" s="1"/>
  <c r="J173" i="91"/>
  <c r="M173" i="91" s="1"/>
  <c r="J172" i="91"/>
  <c r="M172" i="91" s="1"/>
  <c r="J171" i="91"/>
  <c r="M171" i="91" s="1"/>
  <c r="J170" i="91"/>
  <c r="M170" i="91" s="1"/>
  <c r="J169" i="91"/>
  <c r="M169" i="91" s="1"/>
  <c r="J168" i="91"/>
  <c r="M168" i="91" s="1"/>
  <c r="J167" i="91"/>
  <c r="M167" i="91" s="1"/>
  <c r="J166" i="91"/>
  <c r="M166" i="91" s="1"/>
  <c r="J165" i="91"/>
  <c r="M165" i="91" s="1"/>
  <c r="J164" i="91"/>
  <c r="M164" i="91" s="1"/>
  <c r="J163" i="91"/>
  <c r="M163" i="91" s="1"/>
  <c r="J162" i="91"/>
  <c r="M162" i="91" s="1"/>
  <c r="J161" i="91"/>
  <c r="M161" i="91" s="1"/>
  <c r="J160" i="91"/>
  <c r="M160" i="91" s="1"/>
  <c r="J159" i="91"/>
  <c r="M159" i="91" s="1"/>
  <c r="J158" i="91"/>
  <c r="M158" i="91" s="1"/>
  <c r="J157" i="91"/>
  <c r="M157" i="91" s="1"/>
  <c r="J156" i="91"/>
  <c r="M156" i="91" s="1"/>
  <c r="J155" i="91"/>
  <c r="M155" i="91" s="1"/>
  <c r="J154" i="91"/>
  <c r="M154" i="91" s="1"/>
  <c r="J153" i="91"/>
  <c r="M153" i="91" s="1"/>
  <c r="J152" i="91"/>
  <c r="M152" i="91" s="1"/>
  <c r="J151" i="91"/>
  <c r="M151" i="91" s="1"/>
  <c r="J150" i="91"/>
  <c r="M150" i="91" s="1"/>
  <c r="J149" i="91"/>
  <c r="M149" i="91" s="1"/>
  <c r="J148" i="91"/>
  <c r="M148" i="91" s="1"/>
  <c r="J147" i="91"/>
  <c r="M147" i="91" s="1"/>
  <c r="J146" i="91"/>
  <c r="M146" i="91" s="1"/>
  <c r="J145" i="91"/>
  <c r="M145" i="91" s="1"/>
  <c r="J144" i="91"/>
  <c r="M144" i="91" s="1"/>
  <c r="J143" i="91"/>
  <c r="M143" i="91" s="1"/>
  <c r="J142" i="91"/>
  <c r="M142" i="91" s="1"/>
  <c r="J141" i="91"/>
  <c r="M141" i="91" s="1"/>
  <c r="J140" i="91"/>
  <c r="M140" i="91" s="1"/>
  <c r="J139" i="91"/>
  <c r="M139" i="91" s="1"/>
  <c r="J138" i="91"/>
  <c r="M138" i="91" s="1"/>
  <c r="J137" i="91"/>
  <c r="M137" i="91" s="1"/>
  <c r="J136" i="91"/>
  <c r="M136" i="91" s="1"/>
  <c r="J135" i="91"/>
  <c r="M135" i="91" s="1"/>
  <c r="J134" i="91"/>
  <c r="M134" i="91" s="1"/>
  <c r="J133" i="91"/>
  <c r="M133" i="91" s="1"/>
  <c r="J132" i="91"/>
  <c r="M132" i="91" s="1"/>
  <c r="J131" i="91"/>
  <c r="M131" i="91" s="1"/>
  <c r="J130" i="91"/>
  <c r="M130" i="91" s="1"/>
  <c r="J129" i="91"/>
  <c r="M129" i="91" s="1"/>
  <c r="J128" i="91"/>
  <c r="M128" i="91" s="1"/>
  <c r="J127" i="91"/>
  <c r="M127" i="91" s="1"/>
  <c r="J126" i="91"/>
  <c r="M126" i="91" s="1"/>
  <c r="J125" i="91"/>
  <c r="M125" i="91" s="1"/>
  <c r="J124" i="91"/>
  <c r="M124" i="91" s="1"/>
  <c r="J123" i="91"/>
  <c r="M123" i="91" s="1"/>
  <c r="J122" i="91"/>
  <c r="M122" i="91" s="1"/>
  <c r="J121" i="91"/>
  <c r="M121" i="91" s="1"/>
  <c r="J120" i="91"/>
  <c r="M120" i="91" s="1"/>
  <c r="J119" i="91"/>
  <c r="M119" i="91" s="1"/>
  <c r="J118" i="91"/>
  <c r="M118" i="91" s="1"/>
  <c r="J117" i="91"/>
  <c r="M117" i="91" s="1"/>
  <c r="J116" i="91"/>
  <c r="M116" i="91" s="1"/>
  <c r="J115" i="91"/>
  <c r="M115" i="91" s="1"/>
  <c r="J114" i="91"/>
  <c r="M114" i="91" s="1"/>
  <c r="J113" i="91"/>
  <c r="M113" i="91" s="1"/>
  <c r="J112" i="91"/>
  <c r="M112" i="91" s="1"/>
  <c r="J111" i="91"/>
  <c r="M111" i="91" s="1"/>
  <c r="J110" i="91"/>
  <c r="M110" i="91" s="1"/>
  <c r="J109" i="91"/>
  <c r="M109" i="91" s="1"/>
  <c r="J108" i="91"/>
  <c r="M108" i="91" s="1"/>
  <c r="J107" i="91"/>
  <c r="M107" i="91" s="1"/>
  <c r="J106" i="91"/>
  <c r="M106" i="91" s="1"/>
  <c r="J105" i="91"/>
  <c r="M105" i="91" s="1"/>
  <c r="J104" i="91"/>
  <c r="M104" i="91" s="1"/>
  <c r="J103" i="91"/>
  <c r="M103" i="91" s="1"/>
  <c r="J102" i="91"/>
  <c r="M102" i="91" s="1"/>
  <c r="J101" i="91"/>
  <c r="M101" i="91" s="1"/>
  <c r="J100" i="91"/>
  <c r="M100" i="91" s="1"/>
  <c r="J99" i="91"/>
  <c r="M99" i="91" s="1"/>
  <c r="J98" i="91"/>
  <c r="M98" i="91" s="1"/>
  <c r="J97" i="91"/>
  <c r="M97" i="91" s="1"/>
  <c r="J96" i="91"/>
  <c r="M96" i="91" s="1"/>
  <c r="J95" i="91"/>
  <c r="M95" i="91" s="1"/>
  <c r="J94" i="91"/>
  <c r="M94" i="91" s="1"/>
  <c r="J93" i="91"/>
  <c r="M93" i="91" s="1"/>
  <c r="J92" i="91"/>
  <c r="M92" i="91" s="1"/>
  <c r="J91" i="91"/>
  <c r="M91" i="91" s="1"/>
  <c r="J90" i="91"/>
  <c r="M90" i="91" s="1"/>
  <c r="J89" i="91"/>
  <c r="M89" i="91" s="1"/>
  <c r="J88" i="91"/>
  <c r="M88" i="91" s="1"/>
  <c r="J87" i="91"/>
  <c r="M87" i="91" s="1"/>
  <c r="J86" i="91"/>
  <c r="M86" i="91" s="1"/>
  <c r="J85" i="91"/>
  <c r="M85" i="91" s="1"/>
  <c r="J84" i="91"/>
  <c r="M84" i="91" s="1"/>
  <c r="J83" i="91"/>
  <c r="M83" i="91" s="1"/>
  <c r="J82" i="91"/>
  <c r="M82" i="91" s="1"/>
  <c r="J81" i="91"/>
  <c r="M81" i="91" s="1"/>
  <c r="J80" i="91"/>
  <c r="M80" i="91" s="1"/>
  <c r="J79" i="91"/>
  <c r="M79" i="91" s="1"/>
  <c r="J78" i="91"/>
  <c r="M78" i="91" s="1"/>
  <c r="J76" i="91"/>
  <c r="M76" i="91" s="1"/>
  <c r="J75" i="91"/>
  <c r="M75" i="91" s="1"/>
  <c r="J74" i="91"/>
  <c r="M74" i="91" s="1"/>
  <c r="J73" i="91"/>
  <c r="M73" i="91" s="1"/>
  <c r="J72" i="91"/>
  <c r="M72" i="91" s="1"/>
  <c r="J71" i="91"/>
  <c r="M71" i="91" s="1"/>
  <c r="J70" i="91"/>
  <c r="M70" i="91" s="1"/>
  <c r="J69" i="91"/>
  <c r="M69" i="91" s="1"/>
  <c r="J68" i="91"/>
  <c r="M68" i="91" s="1"/>
  <c r="J67" i="91"/>
  <c r="M67" i="91" s="1"/>
  <c r="J66" i="91"/>
  <c r="M66" i="91" s="1"/>
  <c r="J65" i="91"/>
  <c r="M65" i="91" s="1"/>
  <c r="J64" i="91"/>
  <c r="M64" i="91" s="1"/>
  <c r="J63" i="91"/>
  <c r="M63" i="91" s="1"/>
  <c r="J62" i="91"/>
  <c r="M62" i="91" s="1"/>
  <c r="J61" i="91"/>
  <c r="M61" i="91" s="1"/>
  <c r="J60" i="91"/>
  <c r="M60" i="91" s="1"/>
  <c r="J59" i="91"/>
  <c r="M59" i="91" s="1"/>
  <c r="J58" i="91"/>
  <c r="M58" i="91" s="1"/>
  <c r="J57" i="91"/>
  <c r="M57" i="91" s="1"/>
  <c r="J56" i="91"/>
  <c r="M56" i="91" s="1"/>
  <c r="J55" i="91"/>
  <c r="M55" i="91" s="1"/>
  <c r="J54" i="91"/>
  <c r="M54" i="91" s="1"/>
  <c r="J53" i="91"/>
  <c r="M53" i="91" s="1"/>
  <c r="J52" i="91"/>
  <c r="M52" i="91" s="1"/>
  <c r="J51" i="91"/>
  <c r="M51" i="91" s="1"/>
  <c r="J50" i="91"/>
  <c r="M50" i="91" s="1"/>
  <c r="J49" i="91"/>
  <c r="M49" i="91" s="1"/>
  <c r="J48" i="91"/>
  <c r="M48" i="91" s="1"/>
  <c r="J47" i="91"/>
  <c r="M47" i="91" s="1"/>
  <c r="J46" i="91"/>
  <c r="M46" i="91" s="1"/>
  <c r="J45" i="91"/>
  <c r="M45" i="91" s="1"/>
  <c r="J44" i="91"/>
  <c r="M44" i="91" s="1"/>
  <c r="J43" i="91"/>
  <c r="M43" i="91" s="1"/>
  <c r="J42" i="91"/>
  <c r="M42" i="91" s="1"/>
  <c r="J41" i="91"/>
  <c r="M41" i="91" s="1"/>
  <c r="J40" i="91"/>
  <c r="M40" i="91" s="1"/>
  <c r="J39" i="91"/>
  <c r="M39" i="91" s="1"/>
  <c r="J38" i="91"/>
  <c r="M38" i="91" s="1"/>
  <c r="J37" i="91"/>
  <c r="M37" i="91" s="1"/>
  <c r="J36" i="91"/>
  <c r="M36" i="91" s="1"/>
  <c r="J35" i="91"/>
  <c r="M35" i="91" s="1"/>
  <c r="J34" i="91"/>
  <c r="M34" i="91" s="1"/>
  <c r="J33" i="91"/>
  <c r="M33" i="91" s="1"/>
  <c r="J32" i="91"/>
  <c r="M32" i="91" s="1"/>
  <c r="J31" i="91"/>
  <c r="M31" i="91" s="1"/>
  <c r="J30" i="91"/>
  <c r="M30" i="91" s="1"/>
  <c r="J29" i="91"/>
  <c r="M29" i="91" s="1"/>
  <c r="J28" i="91"/>
  <c r="M28" i="91" s="1"/>
  <c r="J27" i="91"/>
  <c r="M27" i="91" s="1"/>
  <c r="J26" i="91"/>
  <c r="M26" i="91" s="1"/>
  <c r="J25" i="91"/>
  <c r="M25" i="91" s="1"/>
  <c r="J24" i="91"/>
  <c r="M24" i="91" s="1"/>
  <c r="J23" i="91"/>
  <c r="M23" i="91" s="1"/>
  <c r="J22" i="91"/>
  <c r="M22" i="91" s="1"/>
  <c r="J21" i="91"/>
  <c r="M21" i="91" s="1"/>
  <c r="J20" i="91"/>
  <c r="M20" i="91" s="1"/>
  <c r="J19" i="91"/>
  <c r="M19" i="91" s="1"/>
  <c r="J18" i="91"/>
  <c r="M18" i="91" s="1"/>
  <c r="J17" i="91"/>
  <c r="M17" i="91" s="1"/>
  <c r="J16" i="91"/>
  <c r="M16" i="91" s="1"/>
  <c r="J15" i="91"/>
  <c r="M15" i="91" s="1"/>
  <c r="J14" i="91"/>
  <c r="M14" i="91" s="1"/>
  <c r="J13" i="91"/>
  <c r="M13" i="91" s="1"/>
  <c r="J12" i="91"/>
  <c r="M12" i="91" s="1"/>
  <c r="J11" i="91"/>
  <c r="M11" i="91" s="1"/>
  <c r="J10" i="91"/>
  <c r="M10" i="91" s="1"/>
  <c r="J9" i="91"/>
  <c r="M9" i="91" s="1"/>
  <c r="J8" i="91"/>
  <c r="M8" i="91" s="1"/>
  <c r="J7" i="91"/>
  <c r="M7" i="91" s="1"/>
  <c r="J6" i="91"/>
  <c r="M6" i="91" s="1"/>
  <c r="J5" i="91"/>
  <c r="J254" i="90"/>
  <c r="M254" i="90" s="1"/>
  <c r="J253" i="90"/>
  <c r="M253" i="90" s="1"/>
  <c r="J252" i="90"/>
  <c r="M252" i="90" s="1"/>
  <c r="J251" i="90"/>
  <c r="M251" i="90" s="1"/>
  <c r="J250" i="90"/>
  <c r="M250" i="90" s="1"/>
  <c r="J249" i="90"/>
  <c r="M249" i="90" s="1"/>
  <c r="J248" i="90"/>
  <c r="M248" i="90" s="1"/>
  <c r="J247" i="90"/>
  <c r="M247" i="90" s="1"/>
  <c r="J246" i="90"/>
  <c r="M246" i="90" s="1"/>
  <c r="J245" i="90"/>
  <c r="M245" i="90" s="1"/>
  <c r="J244" i="90"/>
  <c r="M244" i="90" s="1"/>
  <c r="J243" i="90"/>
  <c r="M243" i="90" s="1"/>
  <c r="J242" i="90"/>
  <c r="M242" i="90" s="1"/>
  <c r="J241" i="90"/>
  <c r="M241" i="90" s="1"/>
  <c r="J240" i="90"/>
  <c r="M240" i="90" s="1"/>
  <c r="J239" i="90"/>
  <c r="M239" i="90" s="1"/>
  <c r="J238" i="90"/>
  <c r="M238" i="90" s="1"/>
  <c r="J237" i="90"/>
  <c r="M237" i="90" s="1"/>
  <c r="J236" i="90"/>
  <c r="M236" i="90" s="1"/>
  <c r="J235" i="90"/>
  <c r="M235" i="90" s="1"/>
  <c r="J234" i="90"/>
  <c r="M234" i="90" s="1"/>
  <c r="J233" i="90"/>
  <c r="M233" i="90" s="1"/>
  <c r="J232" i="90"/>
  <c r="M232" i="90" s="1"/>
  <c r="J231" i="90"/>
  <c r="M231" i="90" s="1"/>
  <c r="J230" i="90"/>
  <c r="M230" i="90" s="1"/>
  <c r="J229" i="90"/>
  <c r="M229" i="90" s="1"/>
  <c r="J228" i="90"/>
  <c r="M228" i="90" s="1"/>
  <c r="J227" i="90"/>
  <c r="M227" i="90" s="1"/>
  <c r="J226" i="90"/>
  <c r="M226" i="90" s="1"/>
  <c r="J225" i="90"/>
  <c r="M225" i="90" s="1"/>
  <c r="J224" i="90"/>
  <c r="M224" i="90" s="1"/>
  <c r="J223" i="90"/>
  <c r="M223" i="90" s="1"/>
  <c r="J222" i="90"/>
  <c r="M222" i="90" s="1"/>
  <c r="J221" i="90"/>
  <c r="M221" i="90" s="1"/>
  <c r="J220" i="90"/>
  <c r="M220" i="90" s="1"/>
  <c r="J219" i="90"/>
  <c r="M219" i="90" s="1"/>
  <c r="J218" i="90"/>
  <c r="M218" i="90" s="1"/>
  <c r="J217" i="90"/>
  <c r="M217" i="90" s="1"/>
  <c r="J216" i="90"/>
  <c r="M216" i="90" s="1"/>
  <c r="J215" i="90"/>
  <c r="M215" i="90" s="1"/>
  <c r="J214" i="90"/>
  <c r="M214" i="90" s="1"/>
  <c r="J77" i="90"/>
  <c r="M77" i="90" s="1"/>
  <c r="J213" i="90"/>
  <c r="M213" i="90" s="1"/>
  <c r="J212" i="90"/>
  <c r="M212" i="90" s="1"/>
  <c r="J211" i="90"/>
  <c r="M211" i="90" s="1"/>
  <c r="J210" i="90"/>
  <c r="M210" i="90" s="1"/>
  <c r="J209" i="90"/>
  <c r="M209" i="90" s="1"/>
  <c r="J208" i="90"/>
  <c r="M208" i="90" s="1"/>
  <c r="J207" i="90"/>
  <c r="M207" i="90" s="1"/>
  <c r="J206" i="90"/>
  <c r="M206" i="90" s="1"/>
  <c r="J205" i="90"/>
  <c r="M205" i="90" s="1"/>
  <c r="J204" i="90"/>
  <c r="M204" i="90" s="1"/>
  <c r="J203" i="90"/>
  <c r="M203" i="90" s="1"/>
  <c r="J202" i="90"/>
  <c r="M202" i="90" s="1"/>
  <c r="J201" i="90"/>
  <c r="M201" i="90" s="1"/>
  <c r="J200" i="90"/>
  <c r="M200" i="90" s="1"/>
  <c r="J199" i="90"/>
  <c r="M199" i="90" s="1"/>
  <c r="J198" i="90"/>
  <c r="M198" i="90" s="1"/>
  <c r="J197" i="90"/>
  <c r="M197" i="90" s="1"/>
  <c r="J196" i="90"/>
  <c r="M196" i="90" s="1"/>
  <c r="J195" i="90"/>
  <c r="M195" i="90" s="1"/>
  <c r="J194" i="90"/>
  <c r="M194" i="90" s="1"/>
  <c r="J193" i="90"/>
  <c r="M193" i="90" s="1"/>
  <c r="J192" i="90"/>
  <c r="M192" i="90" s="1"/>
  <c r="J191" i="90"/>
  <c r="M191" i="90" s="1"/>
  <c r="J190" i="90"/>
  <c r="M190" i="90" s="1"/>
  <c r="J189" i="90"/>
  <c r="M189" i="90" s="1"/>
  <c r="J188" i="90"/>
  <c r="M188" i="90" s="1"/>
  <c r="J187" i="90"/>
  <c r="M187" i="90" s="1"/>
  <c r="J186" i="90"/>
  <c r="M186" i="90" s="1"/>
  <c r="J185" i="90"/>
  <c r="M185" i="90" s="1"/>
  <c r="J184" i="90"/>
  <c r="M184" i="90" s="1"/>
  <c r="J183" i="90"/>
  <c r="M183" i="90" s="1"/>
  <c r="J182" i="90"/>
  <c r="M182" i="90" s="1"/>
  <c r="J181" i="90"/>
  <c r="M181" i="90" s="1"/>
  <c r="J180" i="90"/>
  <c r="M180" i="90" s="1"/>
  <c r="J179" i="90"/>
  <c r="M179" i="90" s="1"/>
  <c r="J178" i="90"/>
  <c r="M178" i="90" s="1"/>
  <c r="J177" i="90"/>
  <c r="M177" i="90" s="1"/>
  <c r="J176" i="90"/>
  <c r="M176" i="90" s="1"/>
  <c r="J175" i="90"/>
  <c r="M175" i="90" s="1"/>
  <c r="J174" i="90"/>
  <c r="M174" i="90" s="1"/>
  <c r="J173" i="90"/>
  <c r="M173" i="90" s="1"/>
  <c r="J172" i="90"/>
  <c r="M172" i="90" s="1"/>
  <c r="J171" i="90"/>
  <c r="M171" i="90" s="1"/>
  <c r="J170" i="90"/>
  <c r="M170" i="90" s="1"/>
  <c r="J169" i="90"/>
  <c r="M169" i="90" s="1"/>
  <c r="J168" i="90"/>
  <c r="M168" i="90" s="1"/>
  <c r="J167" i="90"/>
  <c r="M167" i="90" s="1"/>
  <c r="J166" i="90"/>
  <c r="M166" i="90" s="1"/>
  <c r="J165" i="90"/>
  <c r="M165" i="90" s="1"/>
  <c r="J164" i="90"/>
  <c r="M164" i="90" s="1"/>
  <c r="J163" i="90"/>
  <c r="M163" i="90" s="1"/>
  <c r="J162" i="90"/>
  <c r="M162" i="90" s="1"/>
  <c r="J161" i="90"/>
  <c r="M161" i="90" s="1"/>
  <c r="J160" i="90"/>
  <c r="M160" i="90" s="1"/>
  <c r="J159" i="90"/>
  <c r="M159" i="90" s="1"/>
  <c r="J158" i="90"/>
  <c r="M158" i="90" s="1"/>
  <c r="J157" i="90"/>
  <c r="M157" i="90" s="1"/>
  <c r="J156" i="90"/>
  <c r="M156" i="90" s="1"/>
  <c r="J155" i="90"/>
  <c r="M155" i="90" s="1"/>
  <c r="J154" i="90"/>
  <c r="M154" i="90" s="1"/>
  <c r="J153" i="90"/>
  <c r="M153" i="90" s="1"/>
  <c r="J152" i="90"/>
  <c r="M152" i="90" s="1"/>
  <c r="J151" i="90"/>
  <c r="M151" i="90" s="1"/>
  <c r="J150" i="90"/>
  <c r="M150" i="90" s="1"/>
  <c r="J149" i="90"/>
  <c r="M149" i="90" s="1"/>
  <c r="J148" i="90"/>
  <c r="M148" i="90" s="1"/>
  <c r="J147" i="90"/>
  <c r="M147" i="90" s="1"/>
  <c r="J146" i="90"/>
  <c r="M146" i="90" s="1"/>
  <c r="J145" i="90"/>
  <c r="M145" i="90" s="1"/>
  <c r="J144" i="90"/>
  <c r="M144" i="90" s="1"/>
  <c r="J143" i="90"/>
  <c r="M143" i="90" s="1"/>
  <c r="J142" i="90"/>
  <c r="M142" i="90" s="1"/>
  <c r="J141" i="90"/>
  <c r="M141" i="90" s="1"/>
  <c r="J140" i="90"/>
  <c r="M140" i="90" s="1"/>
  <c r="J139" i="90"/>
  <c r="M139" i="90" s="1"/>
  <c r="J138" i="90"/>
  <c r="M138" i="90" s="1"/>
  <c r="J137" i="90"/>
  <c r="M137" i="90" s="1"/>
  <c r="J136" i="90"/>
  <c r="M136" i="90" s="1"/>
  <c r="J135" i="90"/>
  <c r="M135" i="90" s="1"/>
  <c r="J134" i="90"/>
  <c r="M134" i="90" s="1"/>
  <c r="J133" i="90"/>
  <c r="M133" i="90" s="1"/>
  <c r="J132" i="90"/>
  <c r="M132" i="90" s="1"/>
  <c r="J131" i="90"/>
  <c r="M131" i="90" s="1"/>
  <c r="J130" i="90"/>
  <c r="M130" i="90" s="1"/>
  <c r="J129" i="90"/>
  <c r="M129" i="90" s="1"/>
  <c r="J128" i="90"/>
  <c r="M128" i="90" s="1"/>
  <c r="J127" i="90"/>
  <c r="M127" i="90" s="1"/>
  <c r="J126" i="90"/>
  <c r="M126" i="90" s="1"/>
  <c r="J125" i="90"/>
  <c r="M125" i="90" s="1"/>
  <c r="J124" i="90"/>
  <c r="M124" i="90" s="1"/>
  <c r="J123" i="90"/>
  <c r="M123" i="90" s="1"/>
  <c r="J122" i="90"/>
  <c r="M122" i="90" s="1"/>
  <c r="J121" i="90"/>
  <c r="M121" i="90" s="1"/>
  <c r="J120" i="90"/>
  <c r="M120" i="90" s="1"/>
  <c r="J119" i="90"/>
  <c r="M119" i="90" s="1"/>
  <c r="J118" i="90"/>
  <c r="M118" i="90" s="1"/>
  <c r="J117" i="90"/>
  <c r="M117" i="90" s="1"/>
  <c r="J116" i="90"/>
  <c r="M116" i="90" s="1"/>
  <c r="J115" i="90"/>
  <c r="M115" i="90" s="1"/>
  <c r="J114" i="90"/>
  <c r="M114" i="90" s="1"/>
  <c r="J113" i="90"/>
  <c r="M113" i="90" s="1"/>
  <c r="J112" i="90"/>
  <c r="M112" i="90" s="1"/>
  <c r="J111" i="90"/>
  <c r="M111" i="90" s="1"/>
  <c r="J110" i="90"/>
  <c r="M110" i="90" s="1"/>
  <c r="J109" i="90"/>
  <c r="M109" i="90" s="1"/>
  <c r="J108" i="90"/>
  <c r="M108" i="90" s="1"/>
  <c r="J107" i="90"/>
  <c r="M107" i="90" s="1"/>
  <c r="J106" i="90"/>
  <c r="M106" i="90" s="1"/>
  <c r="J105" i="90"/>
  <c r="M105" i="90" s="1"/>
  <c r="J104" i="90"/>
  <c r="M104" i="90" s="1"/>
  <c r="J103" i="90"/>
  <c r="M103" i="90" s="1"/>
  <c r="J102" i="90"/>
  <c r="M102" i="90" s="1"/>
  <c r="J101" i="90"/>
  <c r="M101" i="90" s="1"/>
  <c r="J100" i="90"/>
  <c r="M100" i="90" s="1"/>
  <c r="J99" i="90"/>
  <c r="M99" i="90" s="1"/>
  <c r="J98" i="90"/>
  <c r="M98" i="90" s="1"/>
  <c r="J97" i="90"/>
  <c r="M97" i="90" s="1"/>
  <c r="J96" i="90"/>
  <c r="M96" i="90" s="1"/>
  <c r="J95" i="90"/>
  <c r="M95" i="90" s="1"/>
  <c r="J94" i="90"/>
  <c r="M94" i="90" s="1"/>
  <c r="J93" i="90"/>
  <c r="M93" i="90" s="1"/>
  <c r="J92" i="90"/>
  <c r="M92" i="90" s="1"/>
  <c r="J91" i="90"/>
  <c r="M91" i="90" s="1"/>
  <c r="J90" i="90"/>
  <c r="M90" i="90" s="1"/>
  <c r="J89" i="90"/>
  <c r="M89" i="90" s="1"/>
  <c r="J88" i="90"/>
  <c r="M88" i="90" s="1"/>
  <c r="J87" i="90"/>
  <c r="M87" i="90" s="1"/>
  <c r="J86" i="90"/>
  <c r="M86" i="90" s="1"/>
  <c r="J85" i="90"/>
  <c r="M85" i="90" s="1"/>
  <c r="J84" i="90"/>
  <c r="M84" i="90" s="1"/>
  <c r="J83" i="90"/>
  <c r="M83" i="90" s="1"/>
  <c r="J82" i="90"/>
  <c r="M82" i="90" s="1"/>
  <c r="J81" i="90"/>
  <c r="M81" i="90" s="1"/>
  <c r="J80" i="90"/>
  <c r="M80" i="90" s="1"/>
  <c r="J79" i="90"/>
  <c r="M79" i="90" s="1"/>
  <c r="J78" i="90"/>
  <c r="M78" i="90" s="1"/>
  <c r="J76" i="90"/>
  <c r="M76" i="90" s="1"/>
  <c r="J75" i="90"/>
  <c r="M75" i="90" s="1"/>
  <c r="J74" i="90"/>
  <c r="M74" i="90" s="1"/>
  <c r="J73" i="90"/>
  <c r="M73" i="90" s="1"/>
  <c r="J72" i="90"/>
  <c r="M72" i="90" s="1"/>
  <c r="J71" i="90"/>
  <c r="M71" i="90" s="1"/>
  <c r="J70" i="90"/>
  <c r="M70" i="90" s="1"/>
  <c r="J69" i="90"/>
  <c r="M69" i="90" s="1"/>
  <c r="J68" i="90"/>
  <c r="M68" i="90" s="1"/>
  <c r="J67" i="90"/>
  <c r="M67" i="90" s="1"/>
  <c r="J66" i="90"/>
  <c r="M66" i="90" s="1"/>
  <c r="J65" i="90"/>
  <c r="M65" i="90" s="1"/>
  <c r="J64" i="90"/>
  <c r="M64" i="90" s="1"/>
  <c r="J63" i="90"/>
  <c r="M63" i="90" s="1"/>
  <c r="J62" i="90"/>
  <c r="M62" i="90" s="1"/>
  <c r="J61" i="90"/>
  <c r="M61" i="90" s="1"/>
  <c r="J60" i="90"/>
  <c r="M60" i="90" s="1"/>
  <c r="J59" i="90"/>
  <c r="M59" i="90" s="1"/>
  <c r="J58" i="90"/>
  <c r="M58" i="90" s="1"/>
  <c r="J57" i="90"/>
  <c r="M57" i="90" s="1"/>
  <c r="J56" i="90"/>
  <c r="M56" i="90" s="1"/>
  <c r="J55" i="90"/>
  <c r="M55" i="90" s="1"/>
  <c r="J54" i="90"/>
  <c r="M54" i="90" s="1"/>
  <c r="J53" i="90"/>
  <c r="M53" i="90" s="1"/>
  <c r="J52" i="90"/>
  <c r="M52" i="90" s="1"/>
  <c r="J51" i="90"/>
  <c r="M51" i="90" s="1"/>
  <c r="J50" i="90"/>
  <c r="M50" i="90" s="1"/>
  <c r="J49" i="90"/>
  <c r="M49" i="90" s="1"/>
  <c r="J48" i="90"/>
  <c r="M48" i="90" s="1"/>
  <c r="J47" i="90"/>
  <c r="M47" i="90" s="1"/>
  <c r="J46" i="90"/>
  <c r="M46" i="90" s="1"/>
  <c r="J45" i="90"/>
  <c r="M45" i="90" s="1"/>
  <c r="J44" i="90"/>
  <c r="M44" i="90" s="1"/>
  <c r="J43" i="90"/>
  <c r="M43" i="90" s="1"/>
  <c r="J42" i="90"/>
  <c r="M42" i="90" s="1"/>
  <c r="J41" i="90"/>
  <c r="M41" i="90" s="1"/>
  <c r="J40" i="90"/>
  <c r="M40" i="90" s="1"/>
  <c r="J39" i="90"/>
  <c r="M39" i="90" s="1"/>
  <c r="J38" i="90"/>
  <c r="M38" i="90" s="1"/>
  <c r="J37" i="90"/>
  <c r="M37" i="90" s="1"/>
  <c r="J36" i="90"/>
  <c r="M36" i="90" s="1"/>
  <c r="J35" i="90"/>
  <c r="M35" i="90" s="1"/>
  <c r="J34" i="90"/>
  <c r="M34" i="90" s="1"/>
  <c r="J33" i="90"/>
  <c r="M33" i="90" s="1"/>
  <c r="J32" i="90"/>
  <c r="M32" i="90" s="1"/>
  <c r="J31" i="90"/>
  <c r="M31" i="90" s="1"/>
  <c r="J30" i="90"/>
  <c r="M30" i="90" s="1"/>
  <c r="J29" i="90"/>
  <c r="M29" i="90" s="1"/>
  <c r="J28" i="90"/>
  <c r="M28" i="90" s="1"/>
  <c r="J27" i="90"/>
  <c r="M27" i="90" s="1"/>
  <c r="J26" i="90"/>
  <c r="M26" i="90" s="1"/>
  <c r="J25" i="90"/>
  <c r="M25" i="90" s="1"/>
  <c r="J24" i="90"/>
  <c r="M24" i="90" s="1"/>
  <c r="J23" i="90"/>
  <c r="M23" i="90" s="1"/>
  <c r="J22" i="90"/>
  <c r="M22" i="90" s="1"/>
  <c r="J21" i="90"/>
  <c r="M21" i="90" s="1"/>
  <c r="J20" i="90"/>
  <c r="M20" i="90" s="1"/>
  <c r="J19" i="90"/>
  <c r="M19" i="90" s="1"/>
  <c r="J18" i="90"/>
  <c r="M18" i="90" s="1"/>
  <c r="J17" i="90"/>
  <c r="M17" i="90" s="1"/>
  <c r="J16" i="90"/>
  <c r="M16" i="90" s="1"/>
  <c r="J15" i="90"/>
  <c r="M15" i="90" s="1"/>
  <c r="J14" i="90"/>
  <c r="M14" i="90" s="1"/>
  <c r="J13" i="90"/>
  <c r="M13" i="90" s="1"/>
  <c r="J12" i="90"/>
  <c r="M12" i="90" s="1"/>
  <c r="J11" i="90"/>
  <c r="M11" i="90" s="1"/>
  <c r="J10" i="90"/>
  <c r="M10" i="90" s="1"/>
  <c r="J9" i="90"/>
  <c r="M9" i="90" s="1"/>
  <c r="J8" i="90"/>
  <c r="M8" i="90" s="1"/>
  <c r="J7" i="90"/>
  <c r="M7" i="90" s="1"/>
  <c r="J6" i="90"/>
  <c r="M6" i="90" s="1"/>
  <c r="J5" i="90"/>
  <c r="J254" i="89"/>
  <c r="M254" i="89" s="1"/>
  <c r="J253" i="89"/>
  <c r="M253" i="89" s="1"/>
  <c r="J252" i="89"/>
  <c r="M252" i="89" s="1"/>
  <c r="J251" i="89"/>
  <c r="M251" i="89" s="1"/>
  <c r="J250" i="89"/>
  <c r="M250" i="89" s="1"/>
  <c r="J249" i="89"/>
  <c r="M249" i="89" s="1"/>
  <c r="J248" i="89"/>
  <c r="M248" i="89" s="1"/>
  <c r="J247" i="89"/>
  <c r="M247" i="89" s="1"/>
  <c r="J246" i="89"/>
  <c r="M246" i="89" s="1"/>
  <c r="J245" i="89"/>
  <c r="M245" i="89" s="1"/>
  <c r="J244" i="89"/>
  <c r="M244" i="89" s="1"/>
  <c r="J243" i="89"/>
  <c r="M243" i="89" s="1"/>
  <c r="J242" i="89"/>
  <c r="M242" i="89" s="1"/>
  <c r="J241" i="89"/>
  <c r="M241" i="89" s="1"/>
  <c r="J240" i="89"/>
  <c r="M240" i="89" s="1"/>
  <c r="J239" i="89"/>
  <c r="M239" i="89" s="1"/>
  <c r="J238" i="89"/>
  <c r="M238" i="89" s="1"/>
  <c r="J237" i="89"/>
  <c r="M237" i="89" s="1"/>
  <c r="J236" i="89"/>
  <c r="M236" i="89" s="1"/>
  <c r="J235" i="89"/>
  <c r="M235" i="89" s="1"/>
  <c r="J234" i="89"/>
  <c r="M234" i="89" s="1"/>
  <c r="J233" i="89"/>
  <c r="M233" i="89" s="1"/>
  <c r="J232" i="89"/>
  <c r="M232" i="89" s="1"/>
  <c r="J231" i="89"/>
  <c r="M231" i="89" s="1"/>
  <c r="J230" i="89"/>
  <c r="M230" i="89" s="1"/>
  <c r="J229" i="89"/>
  <c r="M229" i="89" s="1"/>
  <c r="J228" i="89"/>
  <c r="M228" i="89" s="1"/>
  <c r="J227" i="89"/>
  <c r="M227" i="89" s="1"/>
  <c r="J226" i="89"/>
  <c r="M226" i="89" s="1"/>
  <c r="J225" i="89"/>
  <c r="M225" i="89" s="1"/>
  <c r="J224" i="89"/>
  <c r="M224" i="89" s="1"/>
  <c r="J223" i="89"/>
  <c r="M223" i="89" s="1"/>
  <c r="J222" i="89"/>
  <c r="M222" i="89" s="1"/>
  <c r="J221" i="89"/>
  <c r="M221" i="89" s="1"/>
  <c r="J220" i="89"/>
  <c r="M220" i="89" s="1"/>
  <c r="J219" i="89"/>
  <c r="M219" i="89" s="1"/>
  <c r="J218" i="89"/>
  <c r="M218" i="89" s="1"/>
  <c r="J217" i="89"/>
  <c r="M217" i="89" s="1"/>
  <c r="J216" i="89"/>
  <c r="M216" i="89" s="1"/>
  <c r="J215" i="89"/>
  <c r="M215" i="89" s="1"/>
  <c r="J214" i="89"/>
  <c r="M214" i="89" s="1"/>
  <c r="J77" i="89"/>
  <c r="M77" i="89" s="1"/>
  <c r="J213" i="89"/>
  <c r="M213" i="89" s="1"/>
  <c r="J212" i="89"/>
  <c r="M212" i="89" s="1"/>
  <c r="J211" i="89"/>
  <c r="M211" i="89" s="1"/>
  <c r="J210" i="89"/>
  <c r="M210" i="89" s="1"/>
  <c r="J209" i="89"/>
  <c r="M209" i="89" s="1"/>
  <c r="J208" i="89"/>
  <c r="M208" i="89" s="1"/>
  <c r="J207" i="89"/>
  <c r="M207" i="89" s="1"/>
  <c r="J206" i="89"/>
  <c r="M206" i="89" s="1"/>
  <c r="J205" i="89"/>
  <c r="M205" i="89" s="1"/>
  <c r="J204" i="89"/>
  <c r="M204" i="89" s="1"/>
  <c r="J203" i="89"/>
  <c r="M203" i="89" s="1"/>
  <c r="J202" i="89"/>
  <c r="M202" i="89" s="1"/>
  <c r="J201" i="89"/>
  <c r="M201" i="89" s="1"/>
  <c r="J200" i="89"/>
  <c r="M200" i="89" s="1"/>
  <c r="J199" i="89"/>
  <c r="M199" i="89" s="1"/>
  <c r="J198" i="89"/>
  <c r="M198" i="89" s="1"/>
  <c r="J197" i="89"/>
  <c r="M197" i="89" s="1"/>
  <c r="J196" i="89"/>
  <c r="M196" i="89" s="1"/>
  <c r="J195" i="89"/>
  <c r="M195" i="89" s="1"/>
  <c r="J194" i="89"/>
  <c r="M194" i="89" s="1"/>
  <c r="J193" i="89"/>
  <c r="M193" i="89" s="1"/>
  <c r="J192" i="89"/>
  <c r="M192" i="89" s="1"/>
  <c r="J191" i="89"/>
  <c r="M191" i="89" s="1"/>
  <c r="J190" i="89"/>
  <c r="M190" i="89" s="1"/>
  <c r="J189" i="89"/>
  <c r="M189" i="89" s="1"/>
  <c r="J188" i="89"/>
  <c r="M188" i="89" s="1"/>
  <c r="J187" i="89"/>
  <c r="M187" i="89" s="1"/>
  <c r="J186" i="89"/>
  <c r="M186" i="89" s="1"/>
  <c r="J185" i="89"/>
  <c r="M185" i="89" s="1"/>
  <c r="J184" i="89"/>
  <c r="M184" i="89" s="1"/>
  <c r="J183" i="89"/>
  <c r="M183" i="89" s="1"/>
  <c r="J182" i="89"/>
  <c r="M182" i="89" s="1"/>
  <c r="J181" i="89"/>
  <c r="M181" i="89" s="1"/>
  <c r="J180" i="89"/>
  <c r="M180" i="89" s="1"/>
  <c r="J179" i="89"/>
  <c r="M179" i="89" s="1"/>
  <c r="J178" i="89"/>
  <c r="M178" i="89" s="1"/>
  <c r="J177" i="89"/>
  <c r="M177" i="89" s="1"/>
  <c r="J176" i="89"/>
  <c r="M176" i="89" s="1"/>
  <c r="J175" i="89"/>
  <c r="M175" i="89" s="1"/>
  <c r="J174" i="89"/>
  <c r="M174" i="89" s="1"/>
  <c r="J173" i="89"/>
  <c r="M173" i="89" s="1"/>
  <c r="J172" i="89"/>
  <c r="M172" i="89" s="1"/>
  <c r="J171" i="89"/>
  <c r="M171" i="89" s="1"/>
  <c r="J170" i="89"/>
  <c r="M170" i="89" s="1"/>
  <c r="J169" i="89"/>
  <c r="M169" i="89" s="1"/>
  <c r="J168" i="89"/>
  <c r="M168" i="89" s="1"/>
  <c r="J167" i="89"/>
  <c r="M167" i="89" s="1"/>
  <c r="J166" i="89"/>
  <c r="M166" i="89" s="1"/>
  <c r="J165" i="89"/>
  <c r="M165" i="89" s="1"/>
  <c r="J164" i="89"/>
  <c r="M164" i="89" s="1"/>
  <c r="J163" i="89"/>
  <c r="M163" i="89" s="1"/>
  <c r="J162" i="89"/>
  <c r="M162" i="89" s="1"/>
  <c r="J161" i="89"/>
  <c r="M161" i="89" s="1"/>
  <c r="J160" i="89"/>
  <c r="M160" i="89" s="1"/>
  <c r="J159" i="89"/>
  <c r="M159" i="89" s="1"/>
  <c r="J158" i="89"/>
  <c r="M158" i="89" s="1"/>
  <c r="J157" i="89"/>
  <c r="M157" i="89" s="1"/>
  <c r="J156" i="89"/>
  <c r="M156" i="89" s="1"/>
  <c r="M155" i="89"/>
  <c r="J155" i="89"/>
  <c r="J154" i="89"/>
  <c r="M154" i="89" s="1"/>
  <c r="J153" i="89"/>
  <c r="M153" i="89" s="1"/>
  <c r="J152" i="89"/>
  <c r="M152" i="89" s="1"/>
  <c r="J151" i="89"/>
  <c r="M151" i="89" s="1"/>
  <c r="J150" i="89"/>
  <c r="M150" i="89" s="1"/>
  <c r="J149" i="89"/>
  <c r="M149" i="89" s="1"/>
  <c r="J148" i="89"/>
  <c r="M148" i="89" s="1"/>
  <c r="J147" i="89"/>
  <c r="M147" i="89" s="1"/>
  <c r="J146" i="89"/>
  <c r="M146" i="89" s="1"/>
  <c r="J145" i="89"/>
  <c r="M145" i="89" s="1"/>
  <c r="J144" i="89"/>
  <c r="M144" i="89" s="1"/>
  <c r="J143" i="89"/>
  <c r="M143" i="89" s="1"/>
  <c r="J142" i="89"/>
  <c r="M142" i="89" s="1"/>
  <c r="J141" i="89"/>
  <c r="M141" i="89" s="1"/>
  <c r="J140" i="89"/>
  <c r="M140" i="89" s="1"/>
  <c r="J139" i="89"/>
  <c r="M139" i="89" s="1"/>
  <c r="J138" i="89"/>
  <c r="M138" i="89" s="1"/>
  <c r="J137" i="89"/>
  <c r="M137" i="89" s="1"/>
  <c r="J136" i="89"/>
  <c r="M136" i="89" s="1"/>
  <c r="J135" i="89"/>
  <c r="M135" i="89" s="1"/>
  <c r="J134" i="89"/>
  <c r="M134" i="89" s="1"/>
  <c r="J133" i="89"/>
  <c r="M133" i="89" s="1"/>
  <c r="J132" i="89"/>
  <c r="M132" i="89" s="1"/>
  <c r="J131" i="89"/>
  <c r="M131" i="89" s="1"/>
  <c r="J130" i="89"/>
  <c r="M130" i="89" s="1"/>
  <c r="J129" i="89"/>
  <c r="M129" i="89" s="1"/>
  <c r="J128" i="89"/>
  <c r="M128" i="89" s="1"/>
  <c r="J127" i="89"/>
  <c r="M127" i="89" s="1"/>
  <c r="J126" i="89"/>
  <c r="M126" i="89" s="1"/>
  <c r="J125" i="89"/>
  <c r="M125" i="89" s="1"/>
  <c r="J124" i="89"/>
  <c r="M124" i="89" s="1"/>
  <c r="J123" i="89"/>
  <c r="M123" i="89" s="1"/>
  <c r="J122" i="89"/>
  <c r="M122" i="89" s="1"/>
  <c r="J121" i="89"/>
  <c r="M121" i="89" s="1"/>
  <c r="J120" i="89"/>
  <c r="M120" i="89" s="1"/>
  <c r="J119" i="89"/>
  <c r="M119" i="89" s="1"/>
  <c r="J118" i="89"/>
  <c r="M118" i="89" s="1"/>
  <c r="J117" i="89"/>
  <c r="M117" i="89" s="1"/>
  <c r="J116" i="89"/>
  <c r="M116" i="89" s="1"/>
  <c r="J115" i="89"/>
  <c r="M115" i="89" s="1"/>
  <c r="J114" i="89"/>
  <c r="M114" i="89" s="1"/>
  <c r="J113" i="89"/>
  <c r="M113" i="89" s="1"/>
  <c r="J112" i="89"/>
  <c r="M112" i="89" s="1"/>
  <c r="J111" i="89"/>
  <c r="M111" i="89" s="1"/>
  <c r="J110" i="89"/>
  <c r="M110" i="89" s="1"/>
  <c r="J109" i="89"/>
  <c r="M109" i="89" s="1"/>
  <c r="J108" i="89"/>
  <c r="M108" i="89" s="1"/>
  <c r="J107" i="89"/>
  <c r="M107" i="89" s="1"/>
  <c r="J106" i="89"/>
  <c r="M106" i="89" s="1"/>
  <c r="J105" i="89"/>
  <c r="M105" i="89" s="1"/>
  <c r="J104" i="89"/>
  <c r="M104" i="89" s="1"/>
  <c r="J103" i="89"/>
  <c r="M103" i="89" s="1"/>
  <c r="J102" i="89"/>
  <c r="M102" i="89" s="1"/>
  <c r="J101" i="89"/>
  <c r="M101" i="89" s="1"/>
  <c r="J100" i="89"/>
  <c r="M100" i="89" s="1"/>
  <c r="J99" i="89"/>
  <c r="M99" i="89" s="1"/>
  <c r="J98" i="89"/>
  <c r="M98" i="89" s="1"/>
  <c r="J97" i="89"/>
  <c r="M97" i="89" s="1"/>
  <c r="J96" i="89"/>
  <c r="M96" i="89" s="1"/>
  <c r="J95" i="89"/>
  <c r="M95" i="89" s="1"/>
  <c r="J94" i="89"/>
  <c r="M94" i="89" s="1"/>
  <c r="J93" i="89"/>
  <c r="M93" i="89" s="1"/>
  <c r="J92" i="89"/>
  <c r="M92" i="89" s="1"/>
  <c r="J91" i="89"/>
  <c r="M91" i="89" s="1"/>
  <c r="J90" i="89"/>
  <c r="M90" i="89" s="1"/>
  <c r="J89" i="89"/>
  <c r="M89" i="89" s="1"/>
  <c r="J88" i="89"/>
  <c r="M88" i="89" s="1"/>
  <c r="J87" i="89"/>
  <c r="M87" i="89" s="1"/>
  <c r="J86" i="89"/>
  <c r="M86" i="89" s="1"/>
  <c r="J85" i="89"/>
  <c r="M85" i="89" s="1"/>
  <c r="J84" i="89"/>
  <c r="M84" i="89" s="1"/>
  <c r="J83" i="89"/>
  <c r="M83" i="89" s="1"/>
  <c r="J82" i="89"/>
  <c r="M82" i="89" s="1"/>
  <c r="J81" i="89"/>
  <c r="M81" i="89" s="1"/>
  <c r="J80" i="89"/>
  <c r="M80" i="89" s="1"/>
  <c r="J79" i="89"/>
  <c r="M79" i="89" s="1"/>
  <c r="J78" i="89"/>
  <c r="M78" i="89" s="1"/>
  <c r="J76" i="89"/>
  <c r="M76" i="89" s="1"/>
  <c r="J75" i="89"/>
  <c r="M75" i="89" s="1"/>
  <c r="J74" i="89"/>
  <c r="M74" i="89" s="1"/>
  <c r="J73" i="89"/>
  <c r="M73" i="89" s="1"/>
  <c r="J72" i="89"/>
  <c r="M72" i="89" s="1"/>
  <c r="J71" i="89"/>
  <c r="M71" i="89" s="1"/>
  <c r="J70" i="89"/>
  <c r="M70" i="89" s="1"/>
  <c r="J69" i="89"/>
  <c r="M69" i="89" s="1"/>
  <c r="J68" i="89"/>
  <c r="M68" i="89" s="1"/>
  <c r="J67" i="89"/>
  <c r="M67" i="89" s="1"/>
  <c r="J66" i="89"/>
  <c r="M66" i="89" s="1"/>
  <c r="J65" i="89"/>
  <c r="M65" i="89" s="1"/>
  <c r="J64" i="89"/>
  <c r="M64" i="89" s="1"/>
  <c r="J63" i="89"/>
  <c r="M63" i="89" s="1"/>
  <c r="J62" i="89"/>
  <c r="M62" i="89" s="1"/>
  <c r="J61" i="89"/>
  <c r="M61" i="89" s="1"/>
  <c r="J60" i="89"/>
  <c r="M60" i="89" s="1"/>
  <c r="J59" i="89"/>
  <c r="M59" i="89" s="1"/>
  <c r="J58" i="89"/>
  <c r="M58" i="89" s="1"/>
  <c r="J57" i="89"/>
  <c r="M57" i="89" s="1"/>
  <c r="J56" i="89"/>
  <c r="M56" i="89" s="1"/>
  <c r="J55" i="89"/>
  <c r="M55" i="89" s="1"/>
  <c r="J54" i="89"/>
  <c r="M54" i="89" s="1"/>
  <c r="J53" i="89"/>
  <c r="M53" i="89" s="1"/>
  <c r="J52" i="89"/>
  <c r="M52" i="89" s="1"/>
  <c r="J51" i="89"/>
  <c r="M51" i="89" s="1"/>
  <c r="J50" i="89"/>
  <c r="M50" i="89" s="1"/>
  <c r="J49" i="89"/>
  <c r="M49" i="89" s="1"/>
  <c r="J48" i="89"/>
  <c r="M48" i="89" s="1"/>
  <c r="J47" i="89"/>
  <c r="M47" i="89" s="1"/>
  <c r="J46" i="89"/>
  <c r="M46" i="89" s="1"/>
  <c r="J45" i="89"/>
  <c r="M45" i="89" s="1"/>
  <c r="J44" i="89"/>
  <c r="M44" i="89" s="1"/>
  <c r="J43" i="89"/>
  <c r="M43" i="89" s="1"/>
  <c r="J42" i="89"/>
  <c r="M42" i="89" s="1"/>
  <c r="J41" i="89"/>
  <c r="M41" i="89" s="1"/>
  <c r="J40" i="89"/>
  <c r="M40" i="89" s="1"/>
  <c r="J39" i="89"/>
  <c r="M39" i="89" s="1"/>
  <c r="J38" i="89"/>
  <c r="M38" i="89" s="1"/>
  <c r="J37" i="89"/>
  <c r="M37" i="89" s="1"/>
  <c r="J36" i="89"/>
  <c r="M36" i="89" s="1"/>
  <c r="J35" i="89"/>
  <c r="M35" i="89" s="1"/>
  <c r="J34" i="89"/>
  <c r="M34" i="89" s="1"/>
  <c r="J33" i="89"/>
  <c r="M33" i="89" s="1"/>
  <c r="J32" i="89"/>
  <c r="M32" i="89" s="1"/>
  <c r="J31" i="89"/>
  <c r="M31" i="89" s="1"/>
  <c r="J30" i="89"/>
  <c r="M30" i="89" s="1"/>
  <c r="J29" i="89"/>
  <c r="M29" i="89" s="1"/>
  <c r="J28" i="89"/>
  <c r="M28" i="89" s="1"/>
  <c r="J27" i="89"/>
  <c r="M27" i="89" s="1"/>
  <c r="J26" i="89"/>
  <c r="M26" i="89" s="1"/>
  <c r="J25" i="89"/>
  <c r="M25" i="89" s="1"/>
  <c r="J24" i="89"/>
  <c r="M24" i="89" s="1"/>
  <c r="J23" i="89"/>
  <c r="M23" i="89" s="1"/>
  <c r="J22" i="89"/>
  <c r="M22" i="89" s="1"/>
  <c r="J21" i="89"/>
  <c r="M21" i="89" s="1"/>
  <c r="J20" i="89"/>
  <c r="M20" i="89" s="1"/>
  <c r="J19" i="89"/>
  <c r="M19" i="89" s="1"/>
  <c r="J18" i="89"/>
  <c r="M18" i="89" s="1"/>
  <c r="J17" i="89"/>
  <c r="M17" i="89" s="1"/>
  <c r="J16" i="89"/>
  <c r="M16" i="89" s="1"/>
  <c r="J15" i="89"/>
  <c r="M15" i="89" s="1"/>
  <c r="J14" i="89"/>
  <c r="M14" i="89" s="1"/>
  <c r="J13" i="89"/>
  <c r="M13" i="89" s="1"/>
  <c r="J12" i="89"/>
  <c r="M12" i="89" s="1"/>
  <c r="J11" i="89"/>
  <c r="M11" i="89" s="1"/>
  <c r="J10" i="89"/>
  <c r="M10" i="89" s="1"/>
  <c r="J9" i="89"/>
  <c r="M9" i="89" s="1"/>
  <c r="J8" i="89"/>
  <c r="M8" i="89" s="1"/>
  <c r="J7" i="89"/>
  <c r="M7" i="89" s="1"/>
  <c r="J6" i="89"/>
  <c r="M6" i="89" s="1"/>
  <c r="J256" i="89"/>
  <c r="J5" i="89"/>
  <c r="J254" i="88"/>
  <c r="M254" i="88" s="1"/>
  <c r="J253" i="88"/>
  <c r="M253" i="88" s="1"/>
  <c r="J252" i="88"/>
  <c r="M252" i="88" s="1"/>
  <c r="J251" i="88"/>
  <c r="M251" i="88" s="1"/>
  <c r="J250" i="88"/>
  <c r="M250" i="88" s="1"/>
  <c r="J249" i="88"/>
  <c r="M249" i="88" s="1"/>
  <c r="J248" i="88"/>
  <c r="M248" i="88" s="1"/>
  <c r="J247" i="88"/>
  <c r="M247" i="88" s="1"/>
  <c r="J246" i="88"/>
  <c r="M246" i="88" s="1"/>
  <c r="J245" i="88"/>
  <c r="M245" i="88" s="1"/>
  <c r="J244" i="88"/>
  <c r="M244" i="88" s="1"/>
  <c r="J243" i="88"/>
  <c r="M243" i="88" s="1"/>
  <c r="J242" i="88"/>
  <c r="M242" i="88" s="1"/>
  <c r="J241" i="88"/>
  <c r="M241" i="88" s="1"/>
  <c r="J240" i="88"/>
  <c r="M240" i="88" s="1"/>
  <c r="J239" i="88"/>
  <c r="M239" i="88" s="1"/>
  <c r="J238" i="88"/>
  <c r="M238" i="88" s="1"/>
  <c r="J237" i="88"/>
  <c r="M237" i="88" s="1"/>
  <c r="J236" i="88"/>
  <c r="M236" i="88" s="1"/>
  <c r="J235" i="88"/>
  <c r="M235" i="88" s="1"/>
  <c r="J234" i="88"/>
  <c r="M234" i="88" s="1"/>
  <c r="J233" i="88"/>
  <c r="M233" i="88" s="1"/>
  <c r="J232" i="88"/>
  <c r="M232" i="88" s="1"/>
  <c r="J231" i="88"/>
  <c r="M231" i="88" s="1"/>
  <c r="J230" i="88"/>
  <c r="M230" i="88" s="1"/>
  <c r="J229" i="88"/>
  <c r="M229" i="88" s="1"/>
  <c r="J228" i="88"/>
  <c r="M228" i="88" s="1"/>
  <c r="J227" i="88"/>
  <c r="M227" i="88" s="1"/>
  <c r="J226" i="88"/>
  <c r="M226" i="88" s="1"/>
  <c r="J225" i="88"/>
  <c r="M225" i="88" s="1"/>
  <c r="J224" i="88"/>
  <c r="M224" i="88" s="1"/>
  <c r="J223" i="88"/>
  <c r="M223" i="88" s="1"/>
  <c r="J222" i="88"/>
  <c r="M222" i="88" s="1"/>
  <c r="J221" i="88"/>
  <c r="M221" i="88" s="1"/>
  <c r="J220" i="88"/>
  <c r="M220" i="88" s="1"/>
  <c r="J219" i="88"/>
  <c r="M219" i="88" s="1"/>
  <c r="J218" i="88"/>
  <c r="M218" i="88" s="1"/>
  <c r="J217" i="88"/>
  <c r="M217" i="88" s="1"/>
  <c r="J216" i="88"/>
  <c r="M216" i="88" s="1"/>
  <c r="J215" i="88"/>
  <c r="M215" i="88" s="1"/>
  <c r="J214" i="88"/>
  <c r="M214" i="88" s="1"/>
  <c r="J77" i="88"/>
  <c r="M77" i="88" s="1"/>
  <c r="J213" i="88"/>
  <c r="M213" i="88" s="1"/>
  <c r="J212" i="88"/>
  <c r="M212" i="88" s="1"/>
  <c r="J211" i="88"/>
  <c r="M211" i="88" s="1"/>
  <c r="J210" i="88"/>
  <c r="M210" i="88" s="1"/>
  <c r="J209" i="88"/>
  <c r="M209" i="88" s="1"/>
  <c r="J208" i="88"/>
  <c r="M208" i="88" s="1"/>
  <c r="J207" i="88"/>
  <c r="M207" i="88" s="1"/>
  <c r="J206" i="88"/>
  <c r="M206" i="88" s="1"/>
  <c r="J205" i="88"/>
  <c r="M205" i="88" s="1"/>
  <c r="J204" i="88"/>
  <c r="M204" i="88" s="1"/>
  <c r="J203" i="88"/>
  <c r="M203" i="88" s="1"/>
  <c r="J202" i="88"/>
  <c r="M202" i="88" s="1"/>
  <c r="J201" i="88"/>
  <c r="M201" i="88" s="1"/>
  <c r="J200" i="88"/>
  <c r="M200" i="88" s="1"/>
  <c r="J199" i="88"/>
  <c r="M199" i="88" s="1"/>
  <c r="J198" i="88"/>
  <c r="M198" i="88" s="1"/>
  <c r="J197" i="88"/>
  <c r="M197" i="88" s="1"/>
  <c r="J196" i="88"/>
  <c r="M196" i="88" s="1"/>
  <c r="J195" i="88"/>
  <c r="M195" i="88" s="1"/>
  <c r="J194" i="88"/>
  <c r="M194" i="88" s="1"/>
  <c r="J193" i="88"/>
  <c r="M193" i="88" s="1"/>
  <c r="J192" i="88"/>
  <c r="M192" i="88" s="1"/>
  <c r="J191" i="88"/>
  <c r="M191" i="88" s="1"/>
  <c r="J190" i="88"/>
  <c r="M190" i="88" s="1"/>
  <c r="J189" i="88"/>
  <c r="M189" i="88" s="1"/>
  <c r="J188" i="88"/>
  <c r="M188" i="88" s="1"/>
  <c r="J187" i="88"/>
  <c r="M187" i="88" s="1"/>
  <c r="J186" i="88"/>
  <c r="M186" i="88" s="1"/>
  <c r="J185" i="88"/>
  <c r="M185" i="88" s="1"/>
  <c r="J184" i="88"/>
  <c r="M184" i="88" s="1"/>
  <c r="J183" i="88"/>
  <c r="M183" i="88" s="1"/>
  <c r="J182" i="88"/>
  <c r="M182" i="88" s="1"/>
  <c r="J181" i="88"/>
  <c r="M181" i="88" s="1"/>
  <c r="J180" i="88"/>
  <c r="M180" i="88" s="1"/>
  <c r="J179" i="88"/>
  <c r="M179" i="88" s="1"/>
  <c r="J178" i="88"/>
  <c r="M178" i="88" s="1"/>
  <c r="J177" i="88"/>
  <c r="M177" i="88" s="1"/>
  <c r="J176" i="88"/>
  <c r="M176" i="88" s="1"/>
  <c r="J175" i="88"/>
  <c r="M175" i="88" s="1"/>
  <c r="J174" i="88"/>
  <c r="M174" i="88" s="1"/>
  <c r="J173" i="88"/>
  <c r="M173" i="88" s="1"/>
  <c r="J172" i="88"/>
  <c r="M172" i="88" s="1"/>
  <c r="J171" i="88"/>
  <c r="M171" i="88" s="1"/>
  <c r="J170" i="88"/>
  <c r="M170" i="88" s="1"/>
  <c r="J169" i="88"/>
  <c r="M169" i="88" s="1"/>
  <c r="J168" i="88"/>
  <c r="M168" i="88" s="1"/>
  <c r="J167" i="88"/>
  <c r="M167" i="88" s="1"/>
  <c r="J166" i="88"/>
  <c r="M166" i="88" s="1"/>
  <c r="J165" i="88"/>
  <c r="M165" i="88" s="1"/>
  <c r="J164" i="88"/>
  <c r="M164" i="88" s="1"/>
  <c r="J163" i="88"/>
  <c r="M163" i="88" s="1"/>
  <c r="J162" i="88"/>
  <c r="M162" i="88" s="1"/>
  <c r="J161" i="88"/>
  <c r="M161" i="88" s="1"/>
  <c r="J160" i="88"/>
  <c r="M160" i="88" s="1"/>
  <c r="J159" i="88"/>
  <c r="M159" i="88" s="1"/>
  <c r="J158" i="88"/>
  <c r="M158" i="88" s="1"/>
  <c r="J157" i="88"/>
  <c r="M157" i="88" s="1"/>
  <c r="J156" i="88"/>
  <c r="M156" i="88" s="1"/>
  <c r="J155" i="88"/>
  <c r="M155" i="88" s="1"/>
  <c r="J154" i="88"/>
  <c r="M154" i="88" s="1"/>
  <c r="J153" i="88"/>
  <c r="M153" i="88" s="1"/>
  <c r="J152" i="88"/>
  <c r="M152" i="88" s="1"/>
  <c r="J151" i="88"/>
  <c r="M151" i="88" s="1"/>
  <c r="J150" i="88"/>
  <c r="M150" i="88" s="1"/>
  <c r="J149" i="88"/>
  <c r="M149" i="88" s="1"/>
  <c r="J148" i="88"/>
  <c r="M148" i="88" s="1"/>
  <c r="J147" i="88"/>
  <c r="M147" i="88" s="1"/>
  <c r="J146" i="88"/>
  <c r="M146" i="88" s="1"/>
  <c r="J145" i="88"/>
  <c r="M145" i="88" s="1"/>
  <c r="J144" i="88"/>
  <c r="M144" i="88" s="1"/>
  <c r="J143" i="88"/>
  <c r="M143" i="88" s="1"/>
  <c r="J142" i="88"/>
  <c r="M142" i="88" s="1"/>
  <c r="J141" i="88"/>
  <c r="M141" i="88" s="1"/>
  <c r="J140" i="88"/>
  <c r="M140" i="88" s="1"/>
  <c r="J139" i="88"/>
  <c r="M139" i="88" s="1"/>
  <c r="J138" i="88"/>
  <c r="M138" i="88" s="1"/>
  <c r="J137" i="88"/>
  <c r="M137" i="88" s="1"/>
  <c r="J136" i="88"/>
  <c r="M136" i="88" s="1"/>
  <c r="J135" i="88"/>
  <c r="M135" i="88" s="1"/>
  <c r="J134" i="88"/>
  <c r="M134" i="88" s="1"/>
  <c r="J133" i="88"/>
  <c r="M133" i="88" s="1"/>
  <c r="J132" i="88"/>
  <c r="M132" i="88" s="1"/>
  <c r="J131" i="88"/>
  <c r="M131" i="88" s="1"/>
  <c r="J130" i="88"/>
  <c r="M130" i="88" s="1"/>
  <c r="J129" i="88"/>
  <c r="M129" i="88" s="1"/>
  <c r="J128" i="88"/>
  <c r="M128" i="88" s="1"/>
  <c r="J127" i="88"/>
  <c r="M127" i="88" s="1"/>
  <c r="J126" i="88"/>
  <c r="M126" i="88" s="1"/>
  <c r="J125" i="88"/>
  <c r="M125" i="88" s="1"/>
  <c r="J124" i="88"/>
  <c r="M124" i="88" s="1"/>
  <c r="J123" i="88"/>
  <c r="M123" i="88" s="1"/>
  <c r="J122" i="88"/>
  <c r="M122" i="88" s="1"/>
  <c r="J121" i="88"/>
  <c r="M121" i="88" s="1"/>
  <c r="J120" i="88"/>
  <c r="M120" i="88" s="1"/>
  <c r="J119" i="88"/>
  <c r="M119" i="88" s="1"/>
  <c r="J118" i="88"/>
  <c r="M118" i="88" s="1"/>
  <c r="J117" i="88"/>
  <c r="M117" i="88" s="1"/>
  <c r="J116" i="88"/>
  <c r="M116" i="88" s="1"/>
  <c r="J115" i="88"/>
  <c r="M115" i="88" s="1"/>
  <c r="J114" i="88"/>
  <c r="M114" i="88" s="1"/>
  <c r="J113" i="88"/>
  <c r="M113" i="88" s="1"/>
  <c r="J112" i="88"/>
  <c r="M112" i="88" s="1"/>
  <c r="J111" i="88"/>
  <c r="M111" i="88" s="1"/>
  <c r="J110" i="88"/>
  <c r="M110" i="88" s="1"/>
  <c r="J109" i="88"/>
  <c r="M109" i="88" s="1"/>
  <c r="J108" i="88"/>
  <c r="M108" i="88" s="1"/>
  <c r="J107" i="88"/>
  <c r="M107" i="88" s="1"/>
  <c r="J106" i="88"/>
  <c r="M106" i="88" s="1"/>
  <c r="J105" i="88"/>
  <c r="M105" i="88" s="1"/>
  <c r="J104" i="88"/>
  <c r="M104" i="88" s="1"/>
  <c r="J103" i="88"/>
  <c r="M103" i="88" s="1"/>
  <c r="J102" i="88"/>
  <c r="M102" i="88" s="1"/>
  <c r="J101" i="88"/>
  <c r="M101" i="88" s="1"/>
  <c r="J100" i="88"/>
  <c r="M100" i="88" s="1"/>
  <c r="J99" i="88"/>
  <c r="M99" i="88" s="1"/>
  <c r="J98" i="88"/>
  <c r="M98" i="88" s="1"/>
  <c r="J97" i="88"/>
  <c r="M97" i="88" s="1"/>
  <c r="J96" i="88"/>
  <c r="M96" i="88" s="1"/>
  <c r="J95" i="88"/>
  <c r="M95" i="88" s="1"/>
  <c r="J94" i="88"/>
  <c r="M94" i="88" s="1"/>
  <c r="J93" i="88"/>
  <c r="M93" i="88" s="1"/>
  <c r="J92" i="88"/>
  <c r="M92" i="88" s="1"/>
  <c r="J91" i="88"/>
  <c r="M91" i="88" s="1"/>
  <c r="J90" i="88"/>
  <c r="M90" i="88" s="1"/>
  <c r="J89" i="88"/>
  <c r="M89" i="88" s="1"/>
  <c r="J88" i="88"/>
  <c r="M88" i="88" s="1"/>
  <c r="J87" i="88"/>
  <c r="M87" i="88" s="1"/>
  <c r="J86" i="88"/>
  <c r="M86" i="88" s="1"/>
  <c r="J85" i="88"/>
  <c r="M85" i="88" s="1"/>
  <c r="J84" i="88"/>
  <c r="M84" i="88" s="1"/>
  <c r="J83" i="88"/>
  <c r="M83" i="88" s="1"/>
  <c r="J82" i="88"/>
  <c r="M82" i="88" s="1"/>
  <c r="J81" i="88"/>
  <c r="M81" i="88" s="1"/>
  <c r="J80" i="88"/>
  <c r="M80" i="88" s="1"/>
  <c r="J79" i="88"/>
  <c r="M79" i="88" s="1"/>
  <c r="J78" i="88"/>
  <c r="M78" i="88" s="1"/>
  <c r="J76" i="88"/>
  <c r="M76" i="88" s="1"/>
  <c r="J75" i="88"/>
  <c r="M75" i="88" s="1"/>
  <c r="J74" i="88"/>
  <c r="M74" i="88" s="1"/>
  <c r="J73" i="88"/>
  <c r="M73" i="88" s="1"/>
  <c r="J72" i="88"/>
  <c r="M72" i="88" s="1"/>
  <c r="J71" i="88"/>
  <c r="M71" i="88" s="1"/>
  <c r="J70" i="88"/>
  <c r="M70" i="88" s="1"/>
  <c r="J69" i="88"/>
  <c r="M69" i="88" s="1"/>
  <c r="J68" i="88"/>
  <c r="M68" i="88" s="1"/>
  <c r="J67" i="88"/>
  <c r="M67" i="88" s="1"/>
  <c r="J66" i="88"/>
  <c r="M66" i="88" s="1"/>
  <c r="J65" i="88"/>
  <c r="M65" i="88" s="1"/>
  <c r="J64" i="88"/>
  <c r="M64" i="88" s="1"/>
  <c r="J63" i="88"/>
  <c r="M63" i="88" s="1"/>
  <c r="J62" i="88"/>
  <c r="M62" i="88" s="1"/>
  <c r="J61" i="88"/>
  <c r="M61" i="88" s="1"/>
  <c r="J60" i="88"/>
  <c r="M60" i="88" s="1"/>
  <c r="J59" i="88"/>
  <c r="M59" i="88" s="1"/>
  <c r="J58" i="88"/>
  <c r="M58" i="88" s="1"/>
  <c r="J57" i="88"/>
  <c r="M57" i="88" s="1"/>
  <c r="J56" i="88"/>
  <c r="M56" i="88" s="1"/>
  <c r="J55" i="88"/>
  <c r="M55" i="88" s="1"/>
  <c r="J54" i="88"/>
  <c r="M54" i="88" s="1"/>
  <c r="J53" i="88"/>
  <c r="M53" i="88" s="1"/>
  <c r="J52" i="88"/>
  <c r="M52" i="88" s="1"/>
  <c r="J51" i="88"/>
  <c r="M51" i="88" s="1"/>
  <c r="J50" i="88"/>
  <c r="M50" i="88" s="1"/>
  <c r="J49" i="88"/>
  <c r="M49" i="88" s="1"/>
  <c r="J48" i="88"/>
  <c r="M48" i="88" s="1"/>
  <c r="J47" i="88"/>
  <c r="M47" i="88" s="1"/>
  <c r="J46" i="88"/>
  <c r="M46" i="88" s="1"/>
  <c r="J45" i="88"/>
  <c r="M45" i="88" s="1"/>
  <c r="J44" i="88"/>
  <c r="M44" i="88" s="1"/>
  <c r="J43" i="88"/>
  <c r="M43" i="88" s="1"/>
  <c r="J42" i="88"/>
  <c r="M42" i="88" s="1"/>
  <c r="J41" i="88"/>
  <c r="M41" i="88" s="1"/>
  <c r="J40" i="88"/>
  <c r="M40" i="88" s="1"/>
  <c r="J39" i="88"/>
  <c r="M39" i="88" s="1"/>
  <c r="J38" i="88"/>
  <c r="M38" i="88" s="1"/>
  <c r="J37" i="88"/>
  <c r="M37" i="88" s="1"/>
  <c r="J36" i="88"/>
  <c r="M36" i="88" s="1"/>
  <c r="J35" i="88"/>
  <c r="M35" i="88" s="1"/>
  <c r="J34" i="88"/>
  <c r="M34" i="88" s="1"/>
  <c r="J33" i="88"/>
  <c r="M33" i="88" s="1"/>
  <c r="J32" i="88"/>
  <c r="M32" i="88" s="1"/>
  <c r="J31" i="88"/>
  <c r="M31" i="88" s="1"/>
  <c r="J30" i="88"/>
  <c r="M30" i="88" s="1"/>
  <c r="J29" i="88"/>
  <c r="M29" i="88" s="1"/>
  <c r="J28" i="88"/>
  <c r="M28" i="88" s="1"/>
  <c r="J27" i="88"/>
  <c r="M27" i="88" s="1"/>
  <c r="J26" i="88"/>
  <c r="M26" i="88" s="1"/>
  <c r="J25" i="88"/>
  <c r="M25" i="88" s="1"/>
  <c r="J24" i="88"/>
  <c r="M24" i="88" s="1"/>
  <c r="J23" i="88"/>
  <c r="M23" i="88" s="1"/>
  <c r="J22" i="88"/>
  <c r="M22" i="88" s="1"/>
  <c r="J21" i="88"/>
  <c r="M21" i="88" s="1"/>
  <c r="J20" i="88"/>
  <c r="M20" i="88" s="1"/>
  <c r="J19" i="88"/>
  <c r="M19" i="88" s="1"/>
  <c r="J18" i="88"/>
  <c r="M18" i="88" s="1"/>
  <c r="J17" i="88"/>
  <c r="M17" i="88" s="1"/>
  <c r="J16" i="88"/>
  <c r="M16" i="88" s="1"/>
  <c r="J15" i="88"/>
  <c r="M15" i="88" s="1"/>
  <c r="J14" i="88"/>
  <c r="M14" i="88" s="1"/>
  <c r="J13" i="88"/>
  <c r="M13" i="88" s="1"/>
  <c r="J12" i="88"/>
  <c r="M12" i="88" s="1"/>
  <c r="J11" i="88"/>
  <c r="M11" i="88" s="1"/>
  <c r="J10" i="88"/>
  <c r="M10" i="88" s="1"/>
  <c r="J9" i="88"/>
  <c r="M9" i="88" s="1"/>
  <c r="J8" i="88"/>
  <c r="M8" i="88" s="1"/>
  <c r="J7" i="88"/>
  <c r="M7" i="88" s="1"/>
  <c r="J6" i="88"/>
  <c r="M6" i="88" s="1"/>
  <c r="J5" i="88"/>
  <c r="J254" i="87"/>
  <c r="M254" i="87" s="1"/>
  <c r="J253" i="87"/>
  <c r="M253" i="87" s="1"/>
  <c r="J252" i="87"/>
  <c r="M252" i="87" s="1"/>
  <c r="J251" i="87"/>
  <c r="M251" i="87" s="1"/>
  <c r="J250" i="87"/>
  <c r="M250" i="87" s="1"/>
  <c r="J249" i="87"/>
  <c r="M249" i="87" s="1"/>
  <c r="J248" i="87"/>
  <c r="M248" i="87" s="1"/>
  <c r="J247" i="87"/>
  <c r="M247" i="87" s="1"/>
  <c r="M246" i="87"/>
  <c r="J246" i="87"/>
  <c r="J245" i="87"/>
  <c r="M245" i="87" s="1"/>
  <c r="M244" i="87"/>
  <c r="J244" i="87"/>
  <c r="J243" i="87"/>
  <c r="M243" i="87" s="1"/>
  <c r="J242" i="87"/>
  <c r="M242" i="87" s="1"/>
  <c r="J241" i="87"/>
  <c r="M241" i="87" s="1"/>
  <c r="J240" i="87"/>
  <c r="M240" i="87" s="1"/>
  <c r="J239" i="87"/>
  <c r="M239" i="87" s="1"/>
  <c r="J238" i="87"/>
  <c r="M238" i="87" s="1"/>
  <c r="J237" i="87"/>
  <c r="M237" i="87" s="1"/>
  <c r="J236" i="87"/>
  <c r="M236" i="87" s="1"/>
  <c r="J235" i="87"/>
  <c r="M235" i="87" s="1"/>
  <c r="J234" i="87"/>
  <c r="M234" i="87" s="1"/>
  <c r="J233" i="87"/>
  <c r="M233" i="87" s="1"/>
  <c r="J232" i="87"/>
  <c r="M232" i="87" s="1"/>
  <c r="J231" i="87"/>
  <c r="M231" i="87" s="1"/>
  <c r="J230" i="87"/>
  <c r="M230" i="87" s="1"/>
  <c r="J229" i="87"/>
  <c r="M229" i="87" s="1"/>
  <c r="J228" i="87"/>
  <c r="M228" i="87" s="1"/>
  <c r="J227" i="87"/>
  <c r="M227" i="87" s="1"/>
  <c r="J226" i="87"/>
  <c r="M226" i="87" s="1"/>
  <c r="J225" i="87"/>
  <c r="M225" i="87" s="1"/>
  <c r="J224" i="87"/>
  <c r="M224" i="87" s="1"/>
  <c r="J223" i="87"/>
  <c r="M223" i="87" s="1"/>
  <c r="J222" i="87"/>
  <c r="M222" i="87" s="1"/>
  <c r="J221" i="87"/>
  <c r="M221" i="87" s="1"/>
  <c r="J220" i="87"/>
  <c r="M220" i="87" s="1"/>
  <c r="J219" i="87"/>
  <c r="M219" i="87" s="1"/>
  <c r="J218" i="87"/>
  <c r="M218" i="87" s="1"/>
  <c r="J217" i="87"/>
  <c r="M217" i="87" s="1"/>
  <c r="J216" i="87"/>
  <c r="M216" i="87" s="1"/>
  <c r="J215" i="87"/>
  <c r="M215" i="87" s="1"/>
  <c r="J214" i="87"/>
  <c r="M214" i="87" s="1"/>
  <c r="J77" i="87"/>
  <c r="M77" i="87" s="1"/>
  <c r="J213" i="87"/>
  <c r="M213" i="87" s="1"/>
  <c r="J212" i="87"/>
  <c r="M212" i="87" s="1"/>
  <c r="J211" i="87"/>
  <c r="M211" i="87" s="1"/>
  <c r="J210" i="87"/>
  <c r="M210" i="87" s="1"/>
  <c r="J209" i="87"/>
  <c r="M209" i="87" s="1"/>
  <c r="J208" i="87"/>
  <c r="M208" i="87" s="1"/>
  <c r="J207" i="87"/>
  <c r="M207" i="87" s="1"/>
  <c r="J206" i="87"/>
  <c r="M206" i="87" s="1"/>
  <c r="J205" i="87"/>
  <c r="M205" i="87" s="1"/>
  <c r="J204" i="87"/>
  <c r="M204" i="87" s="1"/>
  <c r="J203" i="87"/>
  <c r="M203" i="87" s="1"/>
  <c r="J202" i="87"/>
  <c r="M202" i="87" s="1"/>
  <c r="J201" i="87"/>
  <c r="M201" i="87" s="1"/>
  <c r="J200" i="87"/>
  <c r="M200" i="87" s="1"/>
  <c r="J199" i="87"/>
  <c r="M199" i="87" s="1"/>
  <c r="J198" i="87"/>
  <c r="M198" i="87" s="1"/>
  <c r="J197" i="87"/>
  <c r="M197" i="87" s="1"/>
  <c r="J196" i="87"/>
  <c r="M196" i="87" s="1"/>
  <c r="J195" i="87"/>
  <c r="M195" i="87" s="1"/>
  <c r="J194" i="87"/>
  <c r="M194" i="87" s="1"/>
  <c r="J193" i="87"/>
  <c r="M193" i="87" s="1"/>
  <c r="J192" i="87"/>
  <c r="M192" i="87" s="1"/>
  <c r="J191" i="87"/>
  <c r="M191" i="87" s="1"/>
  <c r="J190" i="87"/>
  <c r="M190" i="87" s="1"/>
  <c r="J189" i="87"/>
  <c r="M189" i="87" s="1"/>
  <c r="J188" i="87"/>
  <c r="M188" i="87" s="1"/>
  <c r="J187" i="87"/>
  <c r="M187" i="87" s="1"/>
  <c r="J186" i="87"/>
  <c r="M186" i="87" s="1"/>
  <c r="J185" i="87"/>
  <c r="M185" i="87" s="1"/>
  <c r="J184" i="87"/>
  <c r="M184" i="87" s="1"/>
  <c r="J183" i="87"/>
  <c r="M183" i="87" s="1"/>
  <c r="J182" i="87"/>
  <c r="M182" i="87" s="1"/>
  <c r="J181" i="87"/>
  <c r="M181" i="87" s="1"/>
  <c r="J180" i="87"/>
  <c r="M180" i="87" s="1"/>
  <c r="J179" i="87"/>
  <c r="M179" i="87" s="1"/>
  <c r="J178" i="87"/>
  <c r="M178" i="87" s="1"/>
  <c r="J177" i="87"/>
  <c r="M177" i="87" s="1"/>
  <c r="J176" i="87"/>
  <c r="M176" i="87" s="1"/>
  <c r="J175" i="87"/>
  <c r="M175" i="87" s="1"/>
  <c r="J174" i="87"/>
  <c r="M174" i="87" s="1"/>
  <c r="J173" i="87"/>
  <c r="M173" i="87" s="1"/>
  <c r="J172" i="87"/>
  <c r="M172" i="87" s="1"/>
  <c r="J171" i="87"/>
  <c r="M171" i="87" s="1"/>
  <c r="J170" i="87"/>
  <c r="M170" i="87" s="1"/>
  <c r="J169" i="87"/>
  <c r="M169" i="87" s="1"/>
  <c r="J168" i="87"/>
  <c r="M168" i="87" s="1"/>
  <c r="J167" i="87"/>
  <c r="M167" i="87" s="1"/>
  <c r="J166" i="87"/>
  <c r="M166" i="87" s="1"/>
  <c r="J165" i="87"/>
  <c r="M165" i="87" s="1"/>
  <c r="J164" i="87"/>
  <c r="M164" i="87" s="1"/>
  <c r="J163" i="87"/>
  <c r="M163" i="87" s="1"/>
  <c r="J162" i="87"/>
  <c r="M162" i="87" s="1"/>
  <c r="J161" i="87"/>
  <c r="M161" i="87" s="1"/>
  <c r="J160" i="87"/>
  <c r="M160" i="87" s="1"/>
  <c r="J159" i="87"/>
  <c r="M159" i="87" s="1"/>
  <c r="J158" i="87"/>
  <c r="M158" i="87" s="1"/>
  <c r="J157" i="87"/>
  <c r="M157" i="87" s="1"/>
  <c r="J156" i="87"/>
  <c r="M156" i="87" s="1"/>
  <c r="J155" i="87"/>
  <c r="M155" i="87" s="1"/>
  <c r="J154" i="87"/>
  <c r="M154" i="87" s="1"/>
  <c r="J153" i="87"/>
  <c r="M153" i="87" s="1"/>
  <c r="J152" i="87"/>
  <c r="M152" i="87" s="1"/>
  <c r="J151" i="87"/>
  <c r="M151" i="87" s="1"/>
  <c r="J150" i="87"/>
  <c r="M150" i="87" s="1"/>
  <c r="J149" i="87"/>
  <c r="M149" i="87" s="1"/>
  <c r="J148" i="87"/>
  <c r="M148" i="87" s="1"/>
  <c r="J147" i="87"/>
  <c r="M147" i="87" s="1"/>
  <c r="J146" i="87"/>
  <c r="M146" i="87" s="1"/>
  <c r="J145" i="87"/>
  <c r="M145" i="87" s="1"/>
  <c r="J144" i="87"/>
  <c r="M144" i="87" s="1"/>
  <c r="J143" i="87"/>
  <c r="M143" i="87" s="1"/>
  <c r="J142" i="87"/>
  <c r="M142" i="87" s="1"/>
  <c r="J141" i="87"/>
  <c r="M141" i="87" s="1"/>
  <c r="J140" i="87"/>
  <c r="M140" i="87" s="1"/>
  <c r="J139" i="87"/>
  <c r="M139" i="87" s="1"/>
  <c r="J138" i="87"/>
  <c r="M138" i="87" s="1"/>
  <c r="J137" i="87"/>
  <c r="M137" i="87" s="1"/>
  <c r="J136" i="87"/>
  <c r="M136" i="87" s="1"/>
  <c r="J135" i="87"/>
  <c r="M135" i="87" s="1"/>
  <c r="J134" i="87"/>
  <c r="M134" i="87" s="1"/>
  <c r="J133" i="87"/>
  <c r="M133" i="87" s="1"/>
  <c r="J132" i="87"/>
  <c r="M132" i="87" s="1"/>
  <c r="J131" i="87"/>
  <c r="M131" i="87" s="1"/>
  <c r="J130" i="87"/>
  <c r="M130" i="87" s="1"/>
  <c r="J129" i="87"/>
  <c r="M129" i="87" s="1"/>
  <c r="J128" i="87"/>
  <c r="M128" i="87" s="1"/>
  <c r="J127" i="87"/>
  <c r="M127" i="87" s="1"/>
  <c r="J126" i="87"/>
  <c r="M126" i="87" s="1"/>
  <c r="J125" i="87"/>
  <c r="M125" i="87" s="1"/>
  <c r="J124" i="87"/>
  <c r="M124" i="87" s="1"/>
  <c r="J123" i="87"/>
  <c r="M123" i="87" s="1"/>
  <c r="J122" i="87"/>
  <c r="M122" i="87" s="1"/>
  <c r="J121" i="87"/>
  <c r="M121" i="87" s="1"/>
  <c r="J120" i="87"/>
  <c r="M120" i="87" s="1"/>
  <c r="J119" i="87"/>
  <c r="M119" i="87" s="1"/>
  <c r="J118" i="87"/>
  <c r="M118" i="87" s="1"/>
  <c r="J117" i="87"/>
  <c r="M117" i="87" s="1"/>
  <c r="J116" i="87"/>
  <c r="M116" i="87" s="1"/>
  <c r="J115" i="87"/>
  <c r="M115" i="87" s="1"/>
  <c r="J114" i="87"/>
  <c r="M114" i="87" s="1"/>
  <c r="J113" i="87"/>
  <c r="M113" i="87" s="1"/>
  <c r="J112" i="87"/>
  <c r="M112" i="87" s="1"/>
  <c r="J111" i="87"/>
  <c r="M111" i="87" s="1"/>
  <c r="J110" i="87"/>
  <c r="M110" i="87" s="1"/>
  <c r="J109" i="87"/>
  <c r="M109" i="87" s="1"/>
  <c r="J108" i="87"/>
  <c r="M108" i="87" s="1"/>
  <c r="J107" i="87"/>
  <c r="M107" i="87" s="1"/>
  <c r="J106" i="87"/>
  <c r="M106" i="87" s="1"/>
  <c r="J105" i="87"/>
  <c r="M105" i="87" s="1"/>
  <c r="J104" i="87"/>
  <c r="M104" i="87" s="1"/>
  <c r="J103" i="87"/>
  <c r="M103" i="87" s="1"/>
  <c r="J102" i="87"/>
  <c r="M102" i="87" s="1"/>
  <c r="J101" i="87"/>
  <c r="M101" i="87" s="1"/>
  <c r="J100" i="87"/>
  <c r="M100" i="87" s="1"/>
  <c r="J99" i="87"/>
  <c r="M99" i="87" s="1"/>
  <c r="J98" i="87"/>
  <c r="M98" i="87" s="1"/>
  <c r="J97" i="87"/>
  <c r="M97" i="87" s="1"/>
  <c r="J96" i="87"/>
  <c r="M96" i="87" s="1"/>
  <c r="J95" i="87"/>
  <c r="M95" i="87" s="1"/>
  <c r="J94" i="87"/>
  <c r="M94" i="87" s="1"/>
  <c r="J93" i="87"/>
  <c r="M93" i="87" s="1"/>
  <c r="J92" i="87"/>
  <c r="M92" i="87" s="1"/>
  <c r="J91" i="87"/>
  <c r="M91" i="87" s="1"/>
  <c r="J90" i="87"/>
  <c r="M90" i="87" s="1"/>
  <c r="J89" i="87"/>
  <c r="M89" i="87" s="1"/>
  <c r="J88" i="87"/>
  <c r="M88" i="87" s="1"/>
  <c r="J87" i="87"/>
  <c r="M87" i="87" s="1"/>
  <c r="J86" i="87"/>
  <c r="M86" i="87" s="1"/>
  <c r="J85" i="87"/>
  <c r="M85" i="87" s="1"/>
  <c r="J84" i="87"/>
  <c r="M84" i="87" s="1"/>
  <c r="J83" i="87"/>
  <c r="M83" i="87" s="1"/>
  <c r="J82" i="87"/>
  <c r="M82" i="87" s="1"/>
  <c r="J81" i="87"/>
  <c r="M81" i="87" s="1"/>
  <c r="J80" i="87"/>
  <c r="M80" i="87" s="1"/>
  <c r="J79" i="87"/>
  <c r="M79" i="87" s="1"/>
  <c r="J78" i="87"/>
  <c r="M78" i="87" s="1"/>
  <c r="J76" i="87"/>
  <c r="M76" i="87" s="1"/>
  <c r="J75" i="87"/>
  <c r="M75" i="87" s="1"/>
  <c r="J74" i="87"/>
  <c r="M74" i="87" s="1"/>
  <c r="J73" i="87"/>
  <c r="M73" i="87" s="1"/>
  <c r="J72" i="87"/>
  <c r="M72" i="87" s="1"/>
  <c r="J71" i="87"/>
  <c r="M71" i="87" s="1"/>
  <c r="J70" i="87"/>
  <c r="M70" i="87" s="1"/>
  <c r="J69" i="87"/>
  <c r="M69" i="87" s="1"/>
  <c r="J68" i="87"/>
  <c r="M68" i="87" s="1"/>
  <c r="J67" i="87"/>
  <c r="M67" i="87" s="1"/>
  <c r="J66" i="87"/>
  <c r="M66" i="87" s="1"/>
  <c r="J65" i="87"/>
  <c r="M65" i="87" s="1"/>
  <c r="J64" i="87"/>
  <c r="M64" i="87" s="1"/>
  <c r="J63" i="87"/>
  <c r="M63" i="87" s="1"/>
  <c r="J62" i="87"/>
  <c r="M62" i="87" s="1"/>
  <c r="J61" i="87"/>
  <c r="M61" i="87" s="1"/>
  <c r="J60" i="87"/>
  <c r="M60" i="87" s="1"/>
  <c r="J59" i="87"/>
  <c r="M59" i="87" s="1"/>
  <c r="J58" i="87"/>
  <c r="M58" i="87" s="1"/>
  <c r="J57" i="87"/>
  <c r="M57" i="87" s="1"/>
  <c r="J56" i="87"/>
  <c r="M56" i="87" s="1"/>
  <c r="J55" i="87"/>
  <c r="M55" i="87" s="1"/>
  <c r="J54" i="87"/>
  <c r="M54" i="87" s="1"/>
  <c r="J53" i="87"/>
  <c r="M53" i="87" s="1"/>
  <c r="J52" i="87"/>
  <c r="M52" i="87" s="1"/>
  <c r="J51" i="87"/>
  <c r="M51" i="87" s="1"/>
  <c r="J50" i="87"/>
  <c r="M50" i="87" s="1"/>
  <c r="J49" i="87"/>
  <c r="M49" i="87" s="1"/>
  <c r="J48" i="87"/>
  <c r="M48" i="87" s="1"/>
  <c r="J47" i="87"/>
  <c r="M47" i="87" s="1"/>
  <c r="J46" i="87"/>
  <c r="M46" i="87" s="1"/>
  <c r="J45" i="87"/>
  <c r="M45" i="87" s="1"/>
  <c r="J44" i="87"/>
  <c r="M44" i="87" s="1"/>
  <c r="J43" i="87"/>
  <c r="M43" i="87" s="1"/>
  <c r="J42" i="87"/>
  <c r="M42" i="87" s="1"/>
  <c r="J41" i="87"/>
  <c r="M41" i="87" s="1"/>
  <c r="J40" i="87"/>
  <c r="M40" i="87" s="1"/>
  <c r="J39" i="87"/>
  <c r="M39" i="87" s="1"/>
  <c r="J38" i="87"/>
  <c r="M38" i="87" s="1"/>
  <c r="J37" i="87"/>
  <c r="M37" i="87" s="1"/>
  <c r="J36" i="87"/>
  <c r="M36" i="87" s="1"/>
  <c r="J35" i="87"/>
  <c r="M35" i="87" s="1"/>
  <c r="J34" i="87"/>
  <c r="M34" i="87" s="1"/>
  <c r="J33" i="87"/>
  <c r="M33" i="87" s="1"/>
  <c r="J32" i="87"/>
  <c r="M32" i="87" s="1"/>
  <c r="J31" i="87"/>
  <c r="M31" i="87" s="1"/>
  <c r="J30" i="87"/>
  <c r="M30" i="87" s="1"/>
  <c r="J29" i="87"/>
  <c r="M29" i="87" s="1"/>
  <c r="J28" i="87"/>
  <c r="M28" i="87" s="1"/>
  <c r="J27" i="87"/>
  <c r="M27" i="87" s="1"/>
  <c r="J26" i="87"/>
  <c r="M26" i="87" s="1"/>
  <c r="J25" i="87"/>
  <c r="M25" i="87" s="1"/>
  <c r="J24" i="87"/>
  <c r="M24" i="87" s="1"/>
  <c r="J23" i="87"/>
  <c r="M23" i="87" s="1"/>
  <c r="J22" i="87"/>
  <c r="M22" i="87" s="1"/>
  <c r="J21" i="87"/>
  <c r="M21" i="87" s="1"/>
  <c r="J20" i="87"/>
  <c r="M20" i="87" s="1"/>
  <c r="J19" i="87"/>
  <c r="M19" i="87" s="1"/>
  <c r="J18" i="87"/>
  <c r="M18" i="87" s="1"/>
  <c r="J17" i="87"/>
  <c r="M17" i="87" s="1"/>
  <c r="J16" i="87"/>
  <c r="M16" i="87" s="1"/>
  <c r="J15" i="87"/>
  <c r="M15" i="87" s="1"/>
  <c r="J14" i="87"/>
  <c r="M14" i="87" s="1"/>
  <c r="J13" i="87"/>
  <c r="M13" i="87" s="1"/>
  <c r="J12" i="87"/>
  <c r="M12" i="87" s="1"/>
  <c r="J11" i="87"/>
  <c r="M11" i="87" s="1"/>
  <c r="J10" i="87"/>
  <c r="M10" i="87" s="1"/>
  <c r="J9" i="87"/>
  <c r="M9" i="87" s="1"/>
  <c r="J8" i="87"/>
  <c r="M8" i="87" s="1"/>
  <c r="J7" i="87"/>
  <c r="M7" i="87" s="1"/>
  <c r="J6" i="87"/>
  <c r="M6" i="87" s="1"/>
  <c r="J256" i="87"/>
  <c r="J5" i="87"/>
  <c r="J254" i="86"/>
  <c r="M254" i="86" s="1"/>
  <c r="J253" i="86"/>
  <c r="M253" i="86" s="1"/>
  <c r="J252" i="86"/>
  <c r="M252" i="86" s="1"/>
  <c r="J251" i="86"/>
  <c r="M251" i="86" s="1"/>
  <c r="J250" i="86"/>
  <c r="M250" i="86" s="1"/>
  <c r="J249" i="86"/>
  <c r="M249" i="86" s="1"/>
  <c r="J248" i="86"/>
  <c r="M248" i="86" s="1"/>
  <c r="J247" i="86"/>
  <c r="M247" i="86" s="1"/>
  <c r="J246" i="86"/>
  <c r="M246" i="86" s="1"/>
  <c r="J245" i="86"/>
  <c r="M245" i="86" s="1"/>
  <c r="J244" i="86"/>
  <c r="M244" i="86" s="1"/>
  <c r="J243" i="86"/>
  <c r="M243" i="86" s="1"/>
  <c r="J242" i="86"/>
  <c r="M242" i="86" s="1"/>
  <c r="J241" i="86"/>
  <c r="M241" i="86" s="1"/>
  <c r="J240" i="86"/>
  <c r="M240" i="86" s="1"/>
  <c r="J239" i="86"/>
  <c r="M239" i="86" s="1"/>
  <c r="J238" i="86"/>
  <c r="M238" i="86" s="1"/>
  <c r="J237" i="86"/>
  <c r="M237" i="86" s="1"/>
  <c r="J236" i="86"/>
  <c r="M236" i="86" s="1"/>
  <c r="J235" i="86"/>
  <c r="M235" i="86" s="1"/>
  <c r="J234" i="86"/>
  <c r="M234" i="86" s="1"/>
  <c r="J233" i="86"/>
  <c r="M233" i="86" s="1"/>
  <c r="J232" i="86"/>
  <c r="M232" i="86" s="1"/>
  <c r="J231" i="86"/>
  <c r="M231" i="86" s="1"/>
  <c r="J230" i="86"/>
  <c r="M230" i="86" s="1"/>
  <c r="J229" i="86"/>
  <c r="M229" i="86" s="1"/>
  <c r="J228" i="86"/>
  <c r="M228" i="86" s="1"/>
  <c r="J227" i="86"/>
  <c r="M227" i="86" s="1"/>
  <c r="J226" i="86"/>
  <c r="M226" i="86" s="1"/>
  <c r="J225" i="86"/>
  <c r="M225" i="86" s="1"/>
  <c r="J224" i="86"/>
  <c r="M224" i="86" s="1"/>
  <c r="J223" i="86"/>
  <c r="M223" i="86" s="1"/>
  <c r="J222" i="86"/>
  <c r="M222" i="86" s="1"/>
  <c r="J221" i="86"/>
  <c r="M221" i="86" s="1"/>
  <c r="J220" i="86"/>
  <c r="M220" i="86" s="1"/>
  <c r="J219" i="86"/>
  <c r="M219" i="86" s="1"/>
  <c r="J218" i="86"/>
  <c r="M218" i="86" s="1"/>
  <c r="J217" i="86"/>
  <c r="M217" i="86" s="1"/>
  <c r="J216" i="86"/>
  <c r="M216" i="86" s="1"/>
  <c r="J215" i="86"/>
  <c r="M215" i="86" s="1"/>
  <c r="J214" i="86"/>
  <c r="M214" i="86" s="1"/>
  <c r="J77" i="86"/>
  <c r="M77" i="86" s="1"/>
  <c r="J213" i="86"/>
  <c r="M213" i="86" s="1"/>
  <c r="J212" i="86"/>
  <c r="M212" i="86" s="1"/>
  <c r="J211" i="86"/>
  <c r="M211" i="86" s="1"/>
  <c r="J210" i="86"/>
  <c r="M210" i="86" s="1"/>
  <c r="J209" i="86"/>
  <c r="M209" i="86" s="1"/>
  <c r="J208" i="86"/>
  <c r="M208" i="86" s="1"/>
  <c r="J207" i="86"/>
  <c r="M207" i="86" s="1"/>
  <c r="J206" i="86"/>
  <c r="M206" i="86" s="1"/>
  <c r="J205" i="86"/>
  <c r="M205" i="86" s="1"/>
  <c r="J204" i="86"/>
  <c r="M204" i="86" s="1"/>
  <c r="J203" i="86"/>
  <c r="M203" i="86" s="1"/>
  <c r="J202" i="86"/>
  <c r="M202" i="86" s="1"/>
  <c r="J201" i="86"/>
  <c r="M201" i="86" s="1"/>
  <c r="J200" i="86"/>
  <c r="M200" i="86" s="1"/>
  <c r="J199" i="86"/>
  <c r="M199" i="86" s="1"/>
  <c r="J198" i="86"/>
  <c r="M198" i="86" s="1"/>
  <c r="J197" i="86"/>
  <c r="M197" i="86" s="1"/>
  <c r="J196" i="86"/>
  <c r="M196" i="86" s="1"/>
  <c r="J195" i="86"/>
  <c r="M195" i="86" s="1"/>
  <c r="J194" i="86"/>
  <c r="M194" i="86" s="1"/>
  <c r="J193" i="86"/>
  <c r="M193" i="86" s="1"/>
  <c r="J192" i="86"/>
  <c r="M192" i="86" s="1"/>
  <c r="J191" i="86"/>
  <c r="M191" i="86" s="1"/>
  <c r="J190" i="86"/>
  <c r="M190" i="86" s="1"/>
  <c r="J189" i="86"/>
  <c r="M189" i="86" s="1"/>
  <c r="J188" i="86"/>
  <c r="M188" i="86" s="1"/>
  <c r="J187" i="86"/>
  <c r="M187" i="86" s="1"/>
  <c r="J186" i="86"/>
  <c r="M186" i="86" s="1"/>
  <c r="J185" i="86"/>
  <c r="M185" i="86" s="1"/>
  <c r="J184" i="86"/>
  <c r="M184" i="86" s="1"/>
  <c r="J183" i="86"/>
  <c r="M183" i="86" s="1"/>
  <c r="J182" i="86"/>
  <c r="M182" i="86" s="1"/>
  <c r="J181" i="86"/>
  <c r="M181" i="86" s="1"/>
  <c r="J180" i="86"/>
  <c r="M180" i="86" s="1"/>
  <c r="J179" i="86"/>
  <c r="M179" i="86" s="1"/>
  <c r="J178" i="86"/>
  <c r="M178" i="86" s="1"/>
  <c r="J177" i="86"/>
  <c r="M177" i="86" s="1"/>
  <c r="J176" i="86"/>
  <c r="M176" i="86" s="1"/>
  <c r="J175" i="86"/>
  <c r="M175" i="86" s="1"/>
  <c r="J174" i="86"/>
  <c r="M174" i="86" s="1"/>
  <c r="J173" i="86"/>
  <c r="M173" i="86" s="1"/>
  <c r="J172" i="86"/>
  <c r="M172" i="86" s="1"/>
  <c r="J171" i="86"/>
  <c r="M171" i="86" s="1"/>
  <c r="J170" i="86"/>
  <c r="M170" i="86" s="1"/>
  <c r="J169" i="86"/>
  <c r="M169" i="86" s="1"/>
  <c r="J168" i="86"/>
  <c r="M168" i="86" s="1"/>
  <c r="J167" i="86"/>
  <c r="M167" i="86" s="1"/>
  <c r="J166" i="86"/>
  <c r="M166" i="86" s="1"/>
  <c r="J165" i="86"/>
  <c r="M165" i="86" s="1"/>
  <c r="J164" i="86"/>
  <c r="M164" i="86" s="1"/>
  <c r="J163" i="86"/>
  <c r="M163" i="86" s="1"/>
  <c r="J162" i="86"/>
  <c r="M162" i="86" s="1"/>
  <c r="J161" i="86"/>
  <c r="M161" i="86" s="1"/>
  <c r="J160" i="86"/>
  <c r="M160" i="86" s="1"/>
  <c r="J159" i="86"/>
  <c r="M159" i="86" s="1"/>
  <c r="J158" i="86"/>
  <c r="M158" i="86" s="1"/>
  <c r="J157" i="86"/>
  <c r="M157" i="86" s="1"/>
  <c r="J156" i="86"/>
  <c r="M156" i="86" s="1"/>
  <c r="J155" i="86"/>
  <c r="M155" i="86" s="1"/>
  <c r="J154" i="86"/>
  <c r="M154" i="86" s="1"/>
  <c r="J153" i="86"/>
  <c r="M153" i="86" s="1"/>
  <c r="J152" i="86"/>
  <c r="M152" i="86" s="1"/>
  <c r="J151" i="86"/>
  <c r="M151" i="86" s="1"/>
  <c r="J150" i="86"/>
  <c r="M150" i="86" s="1"/>
  <c r="J149" i="86"/>
  <c r="M149" i="86" s="1"/>
  <c r="J148" i="86"/>
  <c r="M148" i="86" s="1"/>
  <c r="J147" i="86"/>
  <c r="M147" i="86" s="1"/>
  <c r="J146" i="86"/>
  <c r="M146" i="86" s="1"/>
  <c r="J145" i="86"/>
  <c r="M145" i="86" s="1"/>
  <c r="J144" i="86"/>
  <c r="M144" i="86" s="1"/>
  <c r="J143" i="86"/>
  <c r="M143" i="86" s="1"/>
  <c r="J142" i="86"/>
  <c r="M142" i="86" s="1"/>
  <c r="J141" i="86"/>
  <c r="M141" i="86" s="1"/>
  <c r="J140" i="86"/>
  <c r="M140" i="86" s="1"/>
  <c r="J139" i="86"/>
  <c r="M139" i="86" s="1"/>
  <c r="J138" i="86"/>
  <c r="M138" i="86" s="1"/>
  <c r="J137" i="86"/>
  <c r="M137" i="86" s="1"/>
  <c r="J136" i="86"/>
  <c r="M136" i="86" s="1"/>
  <c r="J135" i="86"/>
  <c r="M135" i="86" s="1"/>
  <c r="J134" i="86"/>
  <c r="M134" i="86" s="1"/>
  <c r="J133" i="86"/>
  <c r="M133" i="86" s="1"/>
  <c r="J132" i="86"/>
  <c r="M132" i="86" s="1"/>
  <c r="J131" i="86"/>
  <c r="M131" i="86" s="1"/>
  <c r="J130" i="86"/>
  <c r="M130" i="86" s="1"/>
  <c r="J129" i="86"/>
  <c r="M129" i="86" s="1"/>
  <c r="J128" i="86"/>
  <c r="M128" i="86" s="1"/>
  <c r="J127" i="86"/>
  <c r="M127" i="86" s="1"/>
  <c r="J126" i="86"/>
  <c r="M126" i="86" s="1"/>
  <c r="J125" i="86"/>
  <c r="M125" i="86" s="1"/>
  <c r="J124" i="86"/>
  <c r="M124" i="86" s="1"/>
  <c r="J123" i="86"/>
  <c r="M123" i="86" s="1"/>
  <c r="J122" i="86"/>
  <c r="M122" i="86" s="1"/>
  <c r="J121" i="86"/>
  <c r="M121" i="86" s="1"/>
  <c r="J120" i="86"/>
  <c r="M120" i="86" s="1"/>
  <c r="J119" i="86"/>
  <c r="M119" i="86" s="1"/>
  <c r="J118" i="86"/>
  <c r="M118" i="86" s="1"/>
  <c r="J117" i="86"/>
  <c r="M117" i="86" s="1"/>
  <c r="J116" i="86"/>
  <c r="M116" i="86" s="1"/>
  <c r="J115" i="86"/>
  <c r="M115" i="86" s="1"/>
  <c r="J114" i="86"/>
  <c r="M114" i="86" s="1"/>
  <c r="J113" i="86"/>
  <c r="M113" i="86" s="1"/>
  <c r="J112" i="86"/>
  <c r="M112" i="86" s="1"/>
  <c r="J111" i="86"/>
  <c r="M111" i="86" s="1"/>
  <c r="J110" i="86"/>
  <c r="M110" i="86" s="1"/>
  <c r="J109" i="86"/>
  <c r="M109" i="86" s="1"/>
  <c r="J108" i="86"/>
  <c r="M108" i="86" s="1"/>
  <c r="J107" i="86"/>
  <c r="M107" i="86" s="1"/>
  <c r="J106" i="86"/>
  <c r="M106" i="86" s="1"/>
  <c r="J105" i="86"/>
  <c r="M105" i="86" s="1"/>
  <c r="J104" i="86"/>
  <c r="M104" i="86" s="1"/>
  <c r="J103" i="86"/>
  <c r="M103" i="86" s="1"/>
  <c r="J102" i="86"/>
  <c r="M102" i="86" s="1"/>
  <c r="J101" i="86"/>
  <c r="M101" i="86" s="1"/>
  <c r="J100" i="86"/>
  <c r="M100" i="86" s="1"/>
  <c r="J99" i="86"/>
  <c r="M99" i="86" s="1"/>
  <c r="J98" i="86"/>
  <c r="M98" i="86" s="1"/>
  <c r="J97" i="86"/>
  <c r="M97" i="86" s="1"/>
  <c r="J96" i="86"/>
  <c r="M96" i="86" s="1"/>
  <c r="J95" i="86"/>
  <c r="M95" i="86" s="1"/>
  <c r="J94" i="86"/>
  <c r="M94" i="86" s="1"/>
  <c r="J93" i="86"/>
  <c r="M93" i="86" s="1"/>
  <c r="J92" i="86"/>
  <c r="M92" i="86" s="1"/>
  <c r="J91" i="86"/>
  <c r="M91" i="86" s="1"/>
  <c r="J90" i="86"/>
  <c r="M90" i="86" s="1"/>
  <c r="J89" i="86"/>
  <c r="M89" i="86" s="1"/>
  <c r="J88" i="86"/>
  <c r="M88" i="86" s="1"/>
  <c r="J87" i="86"/>
  <c r="M87" i="86" s="1"/>
  <c r="J86" i="86"/>
  <c r="M86" i="86" s="1"/>
  <c r="J85" i="86"/>
  <c r="M85" i="86" s="1"/>
  <c r="J84" i="86"/>
  <c r="M84" i="86" s="1"/>
  <c r="J83" i="86"/>
  <c r="M83" i="86" s="1"/>
  <c r="J82" i="86"/>
  <c r="M82" i="86" s="1"/>
  <c r="J81" i="86"/>
  <c r="M81" i="86" s="1"/>
  <c r="J80" i="86"/>
  <c r="M80" i="86" s="1"/>
  <c r="J79" i="86"/>
  <c r="M79" i="86" s="1"/>
  <c r="J78" i="86"/>
  <c r="M78" i="86" s="1"/>
  <c r="J76" i="86"/>
  <c r="M76" i="86" s="1"/>
  <c r="J75" i="86"/>
  <c r="M75" i="86" s="1"/>
  <c r="J74" i="86"/>
  <c r="M74" i="86" s="1"/>
  <c r="J73" i="86"/>
  <c r="M73" i="86" s="1"/>
  <c r="J72" i="86"/>
  <c r="M72" i="86" s="1"/>
  <c r="J71" i="86"/>
  <c r="M71" i="86" s="1"/>
  <c r="J70" i="86"/>
  <c r="M70" i="86" s="1"/>
  <c r="J69" i="86"/>
  <c r="M69" i="86" s="1"/>
  <c r="J68" i="86"/>
  <c r="M68" i="86" s="1"/>
  <c r="J67" i="86"/>
  <c r="M67" i="86" s="1"/>
  <c r="J66" i="86"/>
  <c r="M66" i="86" s="1"/>
  <c r="J65" i="86"/>
  <c r="M65" i="86" s="1"/>
  <c r="J64" i="86"/>
  <c r="M64" i="86" s="1"/>
  <c r="J63" i="86"/>
  <c r="M63" i="86" s="1"/>
  <c r="J62" i="86"/>
  <c r="M62" i="86" s="1"/>
  <c r="J61" i="86"/>
  <c r="M61" i="86" s="1"/>
  <c r="J60" i="86"/>
  <c r="M60" i="86" s="1"/>
  <c r="J59" i="86"/>
  <c r="M59" i="86" s="1"/>
  <c r="J58" i="86"/>
  <c r="M58" i="86" s="1"/>
  <c r="J57" i="86"/>
  <c r="M57" i="86" s="1"/>
  <c r="J56" i="86"/>
  <c r="M56" i="86" s="1"/>
  <c r="J55" i="86"/>
  <c r="M55" i="86" s="1"/>
  <c r="J54" i="86"/>
  <c r="M54" i="86" s="1"/>
  <c r="J53" i="86"/>
  <c r="M53" i="86" s="1"/>
  <c r="J52" i="86"/>
  <c r="M52" i="86" s="1"/>
  <c r="J51" i="86"/>
  <c r="M51" i="86" s="1"/>
  <c r="J50" i="86"/>
  <c r="M50" i="86" s="1"/>
  <c r="J49" i="86"/>
  <c r="M49" i="86" s="1"/>
  <c r="J48" i="86"/>
  <c r="M48" i="86" s="1"/>
  <c r="J47" i="86"/>
  <c r="M47" i="86" s="1"/>
  <c r="J46" i="86"/>
  <c r="M46" i="86" s="1"/>
  <c r="J45" i="86"/>
  <c r="M45" i="86" s="1"/>
  <c r="J44" i="86"/>
  <c r="M44" i="86" s="1"/>
  <c r="J43" i="86"/>
  <c r="M43" i="86" s="1"/>
  <c r="J42" i="86"/>
  <c r="M42" i="86" s="1"/>
  <c r="J41" i="86"/>
  <c r="M41" i="86" s="1"/>
  <c r="J40" i="86"/>
  <c r="M40" i="86" s="1"/>
  <c r="J39" i="86"/>
  <c r="M39" i="86" s="1"/>
  <c r="J38" i="86"/>
  <c r="M38" i="86" s="1"/>
  <c r="J37" i="86"/>
  <c r="M37" i="86" s="1"/>
  <c r="J36" i="86"/>
  <c r="M36" i="86" s="1"/>
  <c r="J35" i="86"/>
  <c r="M35" i="86" s="1"/>
  <c r="J34" i="86"/>
  <c r="M34" i="86" s="1"/>
  <c r="J33" i="86"/>
  <c r="M33" i="86" s="1"/>
  <c r="J32" i="86"/>
  <c r="M32" i="86" s="1"/>
  <c r="J31" i="86"/>
  <c r="M31" i="86" s="1"/>
  <c r="J30" i="86"/>
  <c r="M30" i="86" s="1"/>
  <c r="J29" i="86"/>
  <c r="M29" i="86" s="1"/>
  <c r="J28" i="86"/>
  <c r="M28" i="86" s="1"/>
  <c r="J27" i="86"/>
  <c r="M27" i="86" s="1"/>
  <c r="J26" i="86"/>
  <c r="M26" i="86" s="1"/>
  <c r="J25" i="86"/>
  <c r="M25" i="86" s="1"/>
  <c r="J24" i="86"/>
  <c r="M24" i="86" s="1"/>
  <c r="J23" i="86"/>
  <c r="M23" i="86" s="1"/>
  <c r="J22" i="86"/>
  <c r="M22" i="86" s="1"/>
  <c r="J21" i="86"/>
  <c r="M21" i="86" s="1"/>
  <c r="J20" i="86"/>
  <c r="M20" i="86" s="1"/>
  <c r="J19" i="86"/>
  <c r="M19" i="86" s="1"/>
  <c r="J18" i="86"/>
  <c r="M18" i="86" s="1"/>
  <c r="J17" i="86"/>
  <c r="M17" i="86" s="1"/>
  <c r="J16" i="86"/>
  <c r="M16" i="86" s="1"/>
  <c r="J15" i="86"/>
  <c r="M15" i="86" s="1"/>
  <c r="J14" i="86"/>
  <c r="M14" i="86" s="1"/>
  <c r="J13" i="86"/>
  <c r="M13" i="86" s="1"/>
  <c r="J12" i="86"/>
  <c r="M12" i="86" s="1"/>
  <c r="J11" i="86"/>
  <c r="M11" i="86" s="1"/>
  <c r="J10" i="86"/>
  <c r="M10" i="86" s="1"/>
  <c r="J9" i="86"/>
  <c r="M9" i="86" s="1"/>
  <c r="J8" i="86"/>
  <c r="M8" i="86" s="1"/>
  <c r="J7" i="86"/>
  <c r="M7" i="86" s="1"/>
  <c r="J6" i="86"/>
  <c r="M6" i="86" s="1"/>
  <c r="J256" i="86"/>
  <c r="J5" i="86"/>
  <c r="J256" i="85"/>
  <c r="J254" i="85"/>
  <c r="M254" i="85" s="1"/>
  <c r="J253" i="85"/>
  <c r="M253" i="85" s="1"/>
  <c r="J252" i="85"/>
  <c r="M252" i="85" s="1"/>
  <c r="J251" i="85"/>
  <c r="M251" i="85" s="1"/>
  <c r="J250" i="85"/>
  <c r="M250" i="85" s="1"/>
  <c r="J249" i="85"/>
  <c r="M249" i="85" s="1"/>
  <c r="J248" i="85"/>
  <c r="M248" i="85" s="1"/>
  <c r="J247" i="85"/>
  <c r="M247" i="85" s="1"/>
  <c r="J246" i="85"/>
  <c r="M246" i="85" s="1"/>
  <c r="J245" i="85"/>
  <c r="M245" i="85" s="1"/>
  <c r="J244" i="85"/>
  <c r="M244" i="85" s="1"/>
  <c r="J243" i="85"/>
  <c r="M243" i="85" s="1"/>
  <c r="J242" i="85"/>
  <c r="M242" i="85" s="1"/>
  <c r="J241" i="85"/>
  <c r="M241" i="85" s="1"/>
  <c r="J240" i="85"/>
  <c r="M240" i="85" s="1"/>
  <c r="J239" i="85"/>
  <c r="M239" i="85" s="1"/>
  <c r="J238" i="85"/>
  <c r="M238" i="85" s="1"/>
  <c r="J237" i="85"/>
  <c r="M237" i="85" s="1"/>
  <c r="J236" i="85"/>
  <c r="M236" i="85" s="1"/>
  <c r="J235" i="85"/>
  <c r="M235" i="85" s="1"/>
  <c r="J234" i="85"/>
  <c r="M234" i="85" s="1"/>
  <c r="J233" i="85"/>
  <c r="M233" i="85" s="1"/>
  <c r="J232" i="85"/>
  <c r="M232" i="85" s="1"/>
  <c r="J231" i="85"/>
  <c r="M231" i="85" s="1"/>
  <c r="J230" i="85"/>
  <c r="M230" i="85" s="1"/>
  <c r="J229" i="85"/>
  <c r="M229" i="85" s="1"/>
  <c r="J228" i="85"/>
  <c r="M228" i="85" s="1"/>
  <c r="J227" i="85"/>
  <c r="M227" i="85" s="1"/>
  <c r="J226" i="85"/>
  <c r="M226" i="85" s="1"/>
  <c r="J225" i="85"/>
  <c r="M225" i="85" s="1"/>
  <c r="J224" i="85"/>
  <c r="M224" i="85" s="1"/>
  <c r="J223" i="85"/>
  <c r="M223" i="85" s="1"/>
  <c r="J222" i="85"/>
  <c r="M222" i="85" s="1"/>
  <c r="J221" i="85"/>
  <c r="M221" i="85" s="1"/>
  <c r="J220" i="85"/>
  <c r="M220" i="85" s="1"/>
  <c r="J219" i="85"/>
  <c r="M219" i="85" s="1"/>
  <c r="J218" i="85"/>
  <c r="M218" i="85" s="1"/>
  <c r="J217" i="85"/>
  <c r="M217" i="85" s="1"/>
  <c r="J216" i="85"/>
  <c r="M216" i="85" s="1"/>
  <c r="J215" i="85"/>
  <c r="M215" i="85" s="1"/>
  <c r="J214" i="85"/>
  <c r="M214" i="85" s="1"/>
  <c r="J77" i="85"/>
  <c r="M77" i="85" s="1"/>
  <c r="J213" i="85"/>
  <c r="M213" i="85" s="1"/>
  <c r="J212" i="85"/>
  <c r="M212" i="85" s="1"/>
  <c r="J211" i="85"/>
  <c r="M211" i="85" s="1"/>
  <c r="J210" i="85"/>
  <c r="M210" i="85" s="1"/>
  <c r="J209" i="85"/>
  <c r="M209" i="85" s="1"/>
  <c r="J208" i="85"/>
  <c r="M208" i="85" s="1"/>
  <c r="J207" i="85"/>
  <c r="M207" i="85" s="1"/>
  <c r="J206" i="85"/>
  <c r="M206" i="85" s="1"/>
  <c r="J205" i="85"/>
  <c r="M205" i="85" s="1"/>
  <c r="J204" i="85"/>
  <c r="M204" i="85" s="1"/>
  <c r="J203" i="85"/>
  <c r="M203" i="85" s="1"/>
  <c r="J202" i="85"/>
  <c r="M202" i="85" s="1"/>
  <c r="J201" i="85"/>
  <c r="M201" i="85" s="1"/>
  <c r="J200" i="85"/>
  <c r="M200" i="85" s="1"/>
  <c r="J199" i="85"/>
  <c r="M199" i="85" s="1"/>
  <c r="J198" i="85"/>
  <c r="M198" i="85" s="1"/>
  <c r="J197" i="85"/>
  <c r="M197" i="85" s="1"/>
  <c r="J196" i="85"/>
  <c r="M196" i="85" s="1"/>
  <c r="J195" i="85"/>
  <c r="M195" i="85" s="1"/>
  <c r="J194" i="85"/>
  <c r="M194" i="85" s="1"/>
  <c r="J193" i="85"/>
  <c r="M193" i="85" s="1"/>
  <c r="J192" i="85"/>
  <c r="M192" i="85" s="1"/>
  <c r="J191" i="85"/>
  <c r="M191" i="85" s="1"/>
  <c r="J190" i="85"/>
  <c r="M190" i="85" s="1"/>
  <c r="J189" i="85"/>
  <c r="M189" i="85" s="1"/>
  <c r="J188" i="85"/>
  <c r="M188" i="85" s="1"/>
  <c r="J187" i="85"/>
  <c r="M187" i="85" s="1"/>
  <c r="J186" i="85"/>
  <c r="M186" i="85" s="1"/>
  <c r="J185" i="85"/>
  <c r="M185" i="85" s="1"/>
  <c r="J184" i="85"/>
  <c r="M184" i="85" s="1"/>
  <c r="J183" i="85"/>
  <c r="M183" i="85" s="1"/>
  <c r="J182" i="85"/>
  <c r="M182" i="85" s="1"/>
  <c r="J181" i="85"/>
  <c r="M181" i="85" s="1"/>
  <c r="J180" i="85"/>
  <c r="M180" i="85" s="1"/>
  <c r="J179" i="85"/>
  <c r="M179" i="85" s="1"/>
  <c r="J178" i="85"/>
  <c r="M178" i="85" s="1"/>
  <c r="J177" i="85"/>
  <c r="M177" i="85" s="1"/>
  <c r="J176" i="85"/>
  <c r="M176" i="85" s="1"/>
  <c r="J175" i="85"/>
  <c r="M175" i="85" s="1"/>
  <c r="J174" i="85"/>
  <c r="M174" i="85" s="1"/>
  <c r="J173" i="85"/>
  <c r="M173" i="85" s="1"/>
  <c r="J172" i="85"/>
  <c r="M172" i="85" s="1"/>
  <c r="J171" i="85"/>
  <c r="M171" i="85" s="1"/>
  <c r="J170" i="85"/>
  <c r="M170" i="85" s="1"/>
  <c r="J169" i="85"/>
  <c r="M169" i="85" s="1"/>
  <c r="J168" i="85"/>
  <c r="M168" i="85" s="1"/>
  <c r="J167" i="85"/>
  <c r="M167" i="85" s="1"/>
  <c r="J166" i="85"/>
  <c r="M166" i="85" s="1"/>
  <c r="J165" i="85"/>
  <c r="M165" i="85" s="1"/>
  <c r="J164" i="85"/>
  <c r="M164" i="85" s="1"/>
  <c r="J163" i="85"/>
  <c r="M163" i="85" s="1"/>
  <c r="J162" i="85"/>
  <c r="M162" i="85" s="1"/>
  <c r="J161" i="85"/>
  <c r="M161" i="85" s="1"/>
  <c r="J160" i="85"/>
  <c r="M160" i="85" s="1"/>
  <c r="J159" i="85"/>
  <c r="M159" i="85" s="1"/>
  <c r="J158" i="85"/>
  <c r="M158" i="85" s="1"/>
  <c r="J157" i="85"/>
  <c r="M157" i="85" s="1"/>
  <c r="J156" i="85"/>
  <c r="M156" i="85" s="1"/>
  <c r="J155" i="85"/>
  <c r="M155" i="85" s="1"/>
  <c r="J154" i="85"/>
  <c r="M154" i="85" s="1"/>
  <c r="J153" i="85"/>
  <c r="M153" i="85" s="1"/>
  <c r="J152" i="85"/>
  <c r="M152" i="85" s="1"/>
  <c r="J151" i="85"/>
  <c r="M151" i="85" s="1"/>
  <c r="J150" i="85"/>
  <c r="M150" i="85" s="1"/>
  <c r="J149" i="85"/>
  <c r="M149" i="85" s="1"/>
  <c r="J148" i="85"/>
  <c r="M148" i="85" s="1"/>
  <c r="J147" i="85"/>
  <c r="M147" i="85" s="1"/>
  <c r="J146" i="85"/>
  <c r="M146" i="85" s="1"/>
  <c r="J145" i="85"/>
  <c r="M145" i="85" s="1"/>
  <c r="J144" i="85"/>
  <c r="M144" i="85" s="1"/>
  <c r="J143" i="85"/>
  <c r="M143" i="85" s="1"/>
  <c r="J142" i="85"/>
  <c r="M142" i="85" s="1"/>
  <c r="J141" i="85"/>
  <c r="M141" i="85" s="1"/>
  <c r="J140" i="85"/>
  <c r="M140" i="85" s="1"/>
  <c r="J139" i="85"/>
  <c r="M139" i="85" s="1"/>
  <c r="J138" i="85"/>
  <c r="M138" i="85" s="1"/>
  <c r="J137" i="85"/>
  <c r="M137" i="85" s="1"/>
  <c r="J136" i="85"/>
  <c r="M136" i="85" s="1"/>
  <c r="J135" i="85"/>
  <c r="M135" i="85" s="1"/>
  <c r="J134" i="85"/>
  <c r="M134" i="85" s="1"/>
  <c r="J133" i="85"/>
  <c r="M133" i="85" s="1"/>
  <c r="J132" i="85"/>
  <c r="M132" i="85" s="1"/>
  <c r="J131" i="85"/>
  <c r="M131" i="85" s="1"/>
  <c r="J130" i="85"/>
  <c r="M130" i="85" s="1"/>
  <c r="J129" i="85"/>
  <c r="M129" i="85" s="1"/>
  <c r="J128" i="85"/>
  <c r="M128" i="85" s="1"/>
  <c r="J127" i="85"/>
  <c r="M127" i="85" s="1"/>
  <c r="J126" i="85"/>
  <c r="M126" i="85" s="1"/>
  <c r="J125" i="85"/>
  <c r="M125" i="85" s="1"/>
  <c r="J124" i="85"/>
  <c r="M124" i="85" s="1"/>
  <c r="J123" i="85"/>
  <c r="M123" i="85" s="1"/>
  <c r="J122" i="85"/>
  <c r="M122" i="85" s="1"/>
  <c r="J121" i="85"/>
  <c r="M121" i="85" s="1"/>
  <c r="J120" i="85"/>
  <c r="M120" i="85" s="1"/>
  <c r="J119" i="85"/>
  <c r="M119" i="85" s="1"/>
  <c r="J118" i="85"/>
  <c r="M118" i="85" s="1"/>
  <c r="J117" i="85"/>
  <c r="M117" i="85" s="1"/>
  <c r="J116" i="85"/>
  <c r="M116" i="85" s="1"/>
  <c r="J115" i="85"/>
  <c r="M115" i="85" s="1"/>
  <c r="J114" i="85"/>
  <c r="M114" i="85" s="1"/>
  <c r="J113" i="85"/>
  <c r="M113" i="85" s="1"/>
  <c r="J112" i="85"/>
  <c r="M112" i="85" s="1"/>
  <c r="J111" i="85"/>
  <c r="M111" i="85" s="1"/>
  <c r="J110" i="85"/>
  <c r="M110" i="85" s="1"/>
  <c r="J109" i="85"/>
  <c r="M109" i="85" s="1"/>
  <c r="J108" i="85"/>
  <c r="M108" i="85" s="1"/>
  <c r="J107" i="85"/>
  <c r="M107" i="85" s="1"/>
  <c r="J106" i="85"/>
  <c r="M106" i="85" s="1"/>
  <c r="J105" i="85"/>
  <c r="M105" i="85" s="1"/>
  <c r="J104" i="85"/>
  <c r="M104" i="85" s="1"/>
  <c r="J103" i="85"/>
  <c r="M103" i="85" s="1"/>
  <c r="J102" i="85"/>
  <c r="M102" i="85" s="1"/>
  <c r="J101" i="85"/>
  <c r="M101" i="85" s="1"/>
  <c r="J100" i="85"/>
  <c r="M100" i="85" s="1"/>
  <c r="J99" i="85"/>
  <c r="M99" i="85" s="1"/>
  <c r="J98" i="85"/>
  <c r="M98" i="85" s="1"/>
  <c r="J97" i="85"/>
  <c r="M97" i="85" s="1"/>
  <c r="J96" i="85"/>
  <c r="M96" i="85" s="1"/>
  <c r="J95" i="85"/>
  <c r="M95" i="85" s="1"/>
  <c r="J94" i="85"/>
  <c r="M94" i="85" s="1"/>
  <c r="J93" i="85"/>
  <c r="M93" i="85" s="1"/>
  <c r="J92" i="85"/>
  <c r="M92" i="85" s="1"/>
  <c r="J91" i="85"/>
  <c r="M91" i="85" s="1"/>
  <c r="J90" i="85"/>
  <c r="M90" i="85" s="1"/>
  <c r="J89" i="85"/>
  <c r="M89" i="85" s="1"/>
  <c r="J88" i="85"/>
  <c r="M88" i="85" s="1"/>
  <c r="J87" i="85"/>
  <c r="M87" i="85" s="1"/>
  <c r="J86" i="85"/>
  <c r="M86" i="85" s="1"/>
  <c r="J85" i="85"/>
  <c r="M85" i="85" s="1"/>
  <c r="J84" i="85"/>
  <c r="M84" i="85" s="1"/>
  <c r="J83" i="85"/>
  <c r="M83" i="85" s="1"/>
  <c r="J82" i="85"/>
  <c r="M82" i="85" s="1"/>
  <c r="J81" i="85"/>
  <c r="M81" i="85" s="1"/>
  <c r="J80" i="85"/>
  <c r="M80" i="85" s="1"/>
  <c r="J79" i="85"/>
  <c r="M79" i="85" s="1"/>
  <c r="J78" i="85"/>
  <c r="M78" i="85" s="1"/>
  <c r="J76" i="85"/>
  <c r="M76" i="85" s="1"/>
  <c r="J75" i="85"/>
  <c r="M75" i="85" s="1"/>
  <c r="J74" i="85"/>
  <c r="M74" i="85" s="1"/>
  <c r="J73" i="85"/>
  <c r="M73" i="85" s="1"/>
  <c r="J72" i="85"/>
  <c r="M72" i="85" s="1"/>
  <c r="J71" i="85"/>
  <c r="M71" i="85" s="1"/>
  <c r="J70" i="85"/>
  <c r="M70" i="85" s="1"/>
  <c r="J69" i="85"/>
  <c r="M69" i="85" s="1"/>
  <c r="J68" i="85"/>
  <c r="M68" i="85" s="1"/>
  <c r="J67" i="85"/>
  <c r="M67" i="85" s="1"/>
  <c r="J66" i="85"/>
  <c r="M66" i="85" s="1"/>
  <c r="J65" i="85"/>
  <c r="M65" i="85" s="1"/>
  <c r="J64" i="85"/>
  <c r="M64" i="85" s="1"/>
  <c r="J63" i="85"/>
  <c r="M63" i="85" s="1"/>
  <c r="J62" i="85"/>
  <c r="M62" i="85" s="1"/>
  <c r="J61" i="85"/>
  <c r="M61" i="85" s="1"/>
  <c r="J60" i="85"/>
  <c r="M60" i="85" s="1"/>
  <c r="J59" i="85"/>
  <c r="M59" i="85" s="1"/>
  <c r="J58" i="85"/>
  <c r="M58" i="85" s="1"/>
  <c r="J57" i="85"/>
  <c r="M57" i="85" s="1"/>
  <c r="J56" i="85"/>
  <c r="M56" i="85" s="1"/>
  <c r="J55" i="85"/>
  <c r="M55" i="85" s="1"/>
  <c r="J54" i="85"/>
  <c r="M54" i="85" s="1"/>
  <c r="J53" i="85"/>
  <c r="M53" i="85" s="1"/>
  <c r="J52" i="85"/>
  <c r="M52" i="85" s="1"/>
  <c r="J51" i="85"/>
  <c r="M51" i="85" s="1"/>
  <c r="J50" i="85"/>
  <c r="M50" i="85" s="1"/>
  <c r="J49" i="85"/>
  <c r="M49" i="85" s="1"/>
  <c r="J48" i="85"/>
  <c r="M48" i="85" s="1"/>
  <c r="J47" i="85"/>
  <c r="M47" i="85" s="1"/>
  <c r="J46" i="85"/>
  <c r="M46" i="85" s="1"/>
  <c r="J45" i="85"/>
  <c r="M45" i="85" s="1"/>
  <c r="J44" i="85"/>
  <c r="M44" i="85" s="1"/>
  <c r="J43" i="85"/>
  <c r="M43" i="85" s="1"/>
  <c r="J42" i="85"/>
  <c r="M42" i="85" s="1"/>
  <c r="J41" i="85"/>
  <c r="M41" i="85" s="1"/>
  <c r="J40" i="85"/>
  <c r="M40" i="85" s="1"/>
  <c r="J39" i="85"/>
  <c r="M39" i="85" s="1"/>
  <c r="J38" i="85"/>
  <c r="M38" i="85" s="1"/>
  <c r="J37" i="85"/>
  <c r="M37" i="85" s="1"/>
  <c r="J36" i="85"/>
  <c r="M36" i="85" s="1"/>
  <c r="J35" i="85"/>
  <c r="M35" i="85" s="1"/>
  <c r="J34" i="85"/>
  <c r="M34" i="85" s="1"/>
  <c r="J33" i="85"/>
  <c r="M33" i="85" s="1"/>
  <c r="J32" i="85"/>
  <c r="M32" i="85" s="1"/>
  <c r="J31" i="85"/>
  <c r="M31" i="85" s="1"/>
  <c r="J30" i="85"/>
  <c r="M30" i="85" s="1"/>
  <c r="J29" i="85"/>
  <c r="M29" i="85" s="1"/>
  <c r="J28" i="85"/>
  <c r="M28" i="85" s="1"/>
  <c r="J27" i="85"/>
  <c r="M27" i="85" s="1"/>
  <c r="J26" i="85"/>
  <c r="M26" i="85" s="1"/>
  <c r="J25" i="85"/>
  <c r="M25" i="85" s="1"/>
  <c r="J24" i="85"/>
  <c r="M24" i="85" s="1"/>
  <c r="J23" i="85"/>
  <c r="M23" i="85" s="1"/>
  <c r="J22" i="85"/>
  <c r="M22" i="85" s="1"/>
  <c r="J21" i="85"/>
  <c r="M21" i="85" s="1"/>
  <c r="J20" i="85"/>
  <c r="M20" i="85" s="1"/>
  <c r="J19" i="85"/>
  <c r="M19" i="85" s="1"/>
  <c r="J18" i="85"/>
  <c r="M18" i="85" s="1"/>
  <c r="J17" i="85"/>
  <c r="M17" i="85" s="1"/>
  <c r="J16" i="85"/>
  <c r="M16" i="85" s="1"/>
  <c r="J15" i="85"/>
  <c r="M15" i="85" s="1"/>
  <c r="J14" i="85"/>
  <c r="M14" i="85" s="1"/>
  <c r="J13" i="85"/>
  <c r="M13" i="85" s="1"/>
  <c r="J12" i="85"/>
  <c r="M12" i="85" s="1"/>
  <c r="J11" i="85"/>
  <c r="M11" i="85" s="1"/>
  <c r="J10" i="85"/>
  <c r="M10" i="85" s="1"/>
  <c r="J9" i="85"/>
  <c r="M9" i="85" s="1"/>
  <c r="J8" i="85"/>
  <c r="M8" i="85" s="1"/>
  <c r="J7" i="85"/>
  <c r="M7" i="85" s="1"/>
  <c r="J6" i="85"/>
  <c r="M6" i="85" s="1"/>
  <c r="J5" i="85"/>
  <c r="M5" i="85" s="1"/>
  <c r="J254" i="84"/>
  <c r="M254" i="84" s="1"/>
  <c r="J253" i="84"/>
  <c r="M253" i="84" s="1"/>
  <c r="J252" i="84"/>
  <c r="M252" i="84" s="1"/>
  <c r="J251" i="84"/>
  <c r="M251" i="84" s="1"/>
  <c r="J250" i="84"/>
  <c r="M250" i="84" s="1"/>
  <c r="J249" i="84"/>
  <c r="M249" i="84" s="1"/>
  <c r="J248" i="84"/>
  <c r="M248" i="84" s="1"/>
  <c r="J247" i="84"/>
  <c r="M247" i="84" s="1"/>
  <c r="J246" i="84"/>
  <c r="M246" i="84" s="1"/>
  <c r="J245" i="84"/>
  <c r="M245" i="84" s="1"/>
  <c r="J244" i="84"/>
  <c r="M244" i="84" s="1"/>
  <c r="J243" i="84"/>
  <c r="M243" i="84" s="1"/>
  <c r="J242" i="84"/>
  <c r="M242" i="84" s="1"/>
  <c r="J241" i="84"/>
  <c r="M241" i="84" s="1"/>
  <c r="J240" i="84"/>
  <c r="M240" i="84" s="1"/>
  <c r="J239" i="84"/>
  <c r="M239" i="84" s="1"/>
  <c r="J238" i="84"/>
  <c r="M238" i="84" s="1"/>
  <c r="J237" i="84"/>
  <c r="M237" i="84" s="1"/>
  <c r="J236" i="84"/>
  <c r="M236" i="84" s="1"/>
  <c r="J235" i="84"/>
  <c r="M235" i="84" s="1"/>
  <c r="J234" i="84"/>
  <c r="M234" i="84" s="1"/>
  <c r="J233" i="84"/>
  <c r="M233" i="84" s="1"/>
  <c r="J232" i="84"/>
  <c r="M232" i="84" s="1"/>
  <c r="J231" i="84"/>
  <c r="M231" i="84" s="1"/>
  <c r="J230" i="84"/>
  <c r="M230" i="84" s="1"/>
  <c r="J229" i="84"/>
  <c r="M229" i="84" s="1"/>
  <c r="J228" i="84"/>
  <c r="M228" i="84" s="1"/>
  <c r="J227" i="84"/>
  <c r="M227" i="84" s="1"/>
  <c r="J226" i="84"/>
  <c r="M226" i="84" s="1"/>
  <c r="J225" i="84"/>
  <c r="M225" i="84" s="1"/>
  <c r="J224" i="84"/>
  <c r="M224" i="84" s="1"/>
  <c r="J223" i="84"/>
  <c r="M223" i="84" s="1"/>
  <c r="J222" i="84"/>
  <c r="M222" i="84" s="1"/>
  <c r="J221" i="84"/>
  <c r="M221" i="84" s="1"/>
  <c r="J220" i="84"/>
  <c r="M220" i="84" s="1"/>
  <c r="J219" i="84"/>
  <c r="M219" i="84" s="1"/>
  <c r="J218" i="84"/>
  <c r="M218" i="84" s="1"/>
  <c r="J217" i="84"/>
  <c r="M217" i="84" s="1"/>
  <c r="J216" i="84"/>
  <c r="M216" i="84" s="1"/>
  <c r="J215" i="84"/>
  <c r="M215" i="84" s="1"/>
  <c r="J214" i="84"/>
  <c r="M214" i="84" s="1"/>
  <c r="J77" i="84"/>
  <c r="M77" i="84" s="1"/>
  <c r="J213" i="84"/>
  <c r="M213" i="84" s="1"/>
  <c r="J212" i="84"/>
  <c r="M212" i="84" s="1"/>
  <c r="J211" i="84"/>
  <c r="M211" i="84" s="1"/>
  <c r="J210" i="84"/>
  <c r="M210" i="84" s="1"/>
  <c r="J209" i="84"/>
  <c r="M209" i="84" s="1"/>
  <c r="J208" i="84"/>
  <c r="M208" i="84" s="1"/>
  <c r="J207" i="84"/>
  <c r="M207" i="84" s="1"/>
  <c r="J206" i="84"/>
  <c r="M206" i="84" s="1"/>
  <c r="J205" i="84"/>
  <c r="M205" i="84" s="1"/>
  <c r="J204" i="84"/>
  <c r="M204" i="84" s="1"/>
  <c r="J203" i="84"/>
  <c r="M203" i="84" s="1"/>
  <c r="J202" i="84"/>
  <c r="M202" i="84" s="1"/>
  <c r="J201" i="84"/>
  <c r="M201" i="84" s="1"/>
  <c r="J200" i="84"/>
  <c r="M200" i="84" s="1"/>
  <c r="J199" i="84"/>
  <c r="M199" i="84" s="1"/>
  <c r="J198" i="84"/>
  <c r="M198" i="84" s="1"/>
  <c r="J197" i="84"/>
  <c r="M197" i="84" s="1"/>
  <c r="J196" i="84"/>
  <c r="M196" i="84" s="1"/>
  <c r="J195" i="84"/>
  <c r="M195" i="84" s="1"/>
  <c r="J194" i="84"/>
  <c r="M194" i="84" s="1"/>
  <c r="J193" i="84"/>
  <c r="M193" i="84" s="1"/>
  <c r="J192" i="84"/>
  <c r="M192" i="84" s="1"/>
  <c r="J191" i="84"/>
  <c r="M191" i="84" s="1"/>
  <c r="J190" i="84"/>
  <c r="M190" i="84" s="1"/>
  <c r="J189" i="84"/>
  <c r="M189" i="84" s="1"/>
  <c r="J188" i="84"/>
  <c r="M188" i="84" s="1"/>
  <c r="J187" i="84"/>
  <c r="M187" i="84" s="1"/>
  <c r="J186" i="84"/>
  <c r="M186" i="84" s="1"/>
  <c r="J185" i="84"/>
  <c r="M185" i="84" s="1"/>
  <c r="J184" i="84"/>
  <c r="M184" i="84" s="1"/>
  <c r="J183" i="84"/>
  <c r="M183" i="84" s="1"/>
  <c r="J182" i="84"/>
  <c r="M182" i="84" s="1"/>
  <c r="J181" i="84"/>
  <c r="M181" i="84" s="1"/>
  <c r="J180" i="84"/>
  <c r="M180" i="84" s="1"/>
  <c r="J179" i="84"/>
  <c r="M179" i="84" s="1"/>
  <c r="J178" i="84"/>
  <c r="M178" i="84" s="1"/>
  <c r="J177" i="84"/>
  <c r="M177" i="84" s="1"/>
  <c r="J176" i="84"/>
  <c r="M176" i="84" s="1"/>
  <c r="J175" i="84"/>
  <c r="M175" i="84" s="1"/>
  <c r="J174" i="84"/>
  <c r="M174" i="84" s="1"/>
  <c r="J173" i="84"/>
  <c r="M173" i="84" s="1"/>
  <c r="J172" i="84"/>
  <c r="M172" i="84" s="1"/>
  <c r="J171" i="84"/>
  <c r="M171" i="84" s="1"/>
  <c r="J170" i="84"/>
  <c r="M170" i="84" s="1"/>
  <c r="J169" i="84"/>
  <c r="M169" i="84" s="1"/>
  <c r="J168" i="84"/>
  <c r="M168" i="84" s="1"/>
  <c r="J167" i="84"/>
  <c r="M167" i="84" s="1"/>
  <c r="J166" i="84"/>
  <c r="M166" i="84" s="1"/>
  <c r="J165" i="84"/>
  <c r="M165" i="84" s="1"/>
  <c r="J164" i="84"/>
  <c r="M164" i="84" s="1"/>
  <c r="J163" i="84"/>
  <c r="M163" i="84" s="1"/>
  <c r="J162" i="84"/>
  <c r="M162" i="84" s="1"/>
  <c r="J161" i="84"/>
  <c r="M161" i="84" s="1"/>
  <c r="J160" i="84"/>
  <c r="M160" i="84" s="1"/>
  <c r="J159" i="84"/>
  <c r="M159" i="84" s="1"/>
  <c r="J158" i="84"/>
  <c r="M158" i="84" s="1"/>
  <c r="J157" i="84"/>
  <c r="M157" i="84" s="1"/>
  <c r="J156" i="84"/>
  <c r="M156" i="84" s="1"/>
  <c r="J155" i="84"/>
  <c r="M155" i="84" s="1"/>
  <c r="J154" i="84"/>
  <c r="M154" i="84" s="1"/>
  <c r="J153" i="84"/>
  <c r="M153" i="84" s="1"/>
  <c r="J152" i="84"/>
  <c r="M152" i="84" s="1"/>
  <c r="J151" i="84"/>
  <c r="M151" i="84" s="1"/>
  <c r="J150" i="84"/>
  <c r="M150" i="84" s="1"/>
  <c r="J149" i="84"/>
  <c r="M149" i="84" s="1"/>
  <c r="J148" i="84"/>
  <c r="M148" i="84" s="1"/>
  <c r="J147" i="84"/>
  <c r="M147" i="84" s="1"/>
  <c r="J146" i="84"/>
  <c r="M146" i="84" s="1"/>
  <c r="J145" i="84"/>
  <c r="M145" i="84" s="1"/>
  <c r="J144" i="84"/>
  <c r="M144" i="84" s="1"/>
  <c r="J143" i="84"/>
  <c r="M143" i="84" s="1"/>
  <c r="J142" i="84"/>
  <c r="M142" i="84" s="1"/>
  <c r="J141" i="84"/>
  <c r="M141" i="84" s="1"/>
  <c r="J140" i="84"/>
  <c r="M140" i="84" s="1"/>
  <c r="J139" i="84"/>
  <c r="M139" i="84" s="1"/>
  <c r="J138" i="84"/>
  <c r="M138" i="84" s="1"/>
  <c r="J137" i="84"/>
  <c r="M137" i="84" s="1"/>
  <c r="J136" i="84"/>
  <c r="M136" i="84" s="1"/>
  <c r="J135" i="84"/>
  <c r="M135" i="84" s="1"/>
  <c r="J134" i="84"/>
  <c r="M134" i="84" s="1"/>
  <c r="J133" i="84"/>
  <c r="M133" i="84" s="1"/>
  <c r="J132" i="84"/>
  <c r="M132" i="84" s="1"/>
  <c r="J131" i="84"/>
  <c r="M131" i="84" s="1"/>
  <c r="J130" i="84"/>
  <c r="M130" i="84" s="1"/>
  <c r="J129" i="84"/>
  <c r="M129" i="84" s="1"/>
  <c r="J128" i="84"/>
  <c r="M128" i="84" s="1"/>
  <c r="J127" i="84"/>
  <c r="M127" i="84" s="1"/>
  <c r="J126" i="84"/>
  <c r="M126" i="84" s="1"/>
  <c r="J125" i="84"/>
  <c r="M125" i="84" s="1"/>
  <c r="J124" i="84"/>
  <c r="M124" i="84" s="1"/>
  <c r="J123" i="84"/>
  <c r="M123" i="84" s="1"/>
  <c r="J122" i="84"/>
  <c r="M122" i="84" s="1"/>
  <c r="J121" i="84"/>
  <c r="M121" i="84" s="1"/>
  <c r="J120" i="84"/>
  <c r="M120" i="84" s="1"/>
  <c r="J119" i="84"/>
  <c r="M119" i="84" s="1"/>
  <c r="J118" i="84"/>
  <c r="M118" i="84" s="1"/>
  <c r="J117" i="84"/>
  <c r="M117" i="84" s="1"/>
  <c r="J116" i="84"/>
  <c r="M116" i="84" s="1"/>
  <c r="J115" i="84"/>
  <c r="M115" i="84" s="1"/>
  <c r="J114" i="84"/>
  <c r="M114" i="84" s="1"/>
  <c r="J113" i="84"/>
  <c r="M113" i="84" s="1"/>
  <c r="J112" i="84"/>
  <c r="M112" i="84" s="1"/>
  <c r="J111" i="84"/>
  <c r="M111" i="84" s="1"/>
  <c r="J110" i="84"/>
  <c r="M110" i="84" s="1"/>
  <c r="J109" i="84"/>
  <c r="M109" i="84" s="1"/>
  <c r="J108" i="84"/>
  <c r="M108" i="84" s="1"/>
  <c r="J107" i="84"/>
  <c r="M107" i="84" s="1"/>
  <c r="J106" i="84"/>
  <c r="M106" i="84" s="1"/>
  <c r="J105" i="84"/>
  <c r="M105" i="84" s="1"/>
  <c r="J104" i="84"/>
  <c r="M104" i="84" s="1"/>
  <c r="J103" i="84"/>
  <c r="M103" i="84" s="1"/>
  <c r="J102" i="84"/>
  <c r="M102" i="84" s="1"/>
  <c r="J101" i="84"/>
  <c r="M101" i="84" s="1"/>
  <c r="J100" i="84"/>
  <c r="M100" i="84" s="1"/>
  <c r="J99" i="84"/>
  <c r="M99" i="84" s="1"/>
  <c r="J98" i="84"/>
  <c r="M98" i="84" s="1"/>
  <c r="J97" i="84"/>
  <c r="M97" i="84" s="1"/>
  <c r="J96" i="84"/>
  <c r="M96" i="84" s="1"/>
  <c r="J95" i="84"/>
  <c r="M95" i="84" s="1"/>
  <c r="J94" i="84"/>
  <c r="M94" i="84" s="1"/>
  <c r="J93" i="84"/>
  <c r="M93" i="84" s="1"/>
  <c r="J92" i="84"/>
  <c r="M92" i="84" s="1"/>
  <c r="J91" i="84"/>
  <c r="M91" i="84" s="1"/>
  <c r="J90" i="84"/>
  <c r="M90" i="84" s="1"/>
  <c r="J89" i="84"/>
  <c r="M89" i="84" s="1"/>
  <c r="J88" i="84"/>
  <c r="M88" i="84" s="1"/>
  <c r="J87" i="84"/>
  <c r="M87" i="84" s="1"/>
  <c r="J86" i="84"/>
  <c r="M86" i="84" s="1"/>
  <c r="J85" i="84"/>
  <c r="M85" i="84" s="1"/>
  <c r="J84" i="84"/>
  <c r="M84" i="84" s="1"/>
  <c r="J83" i="84"/>
  <c r="M83" i="84" s="1"/>
  <c r="J82" i="84"/>
  <c r="M82" i="84" s="1"/>
  <c r="J81" i="84"/>
  <c r="M81" i="84" s="1"/>
  <c r="J80" i="84"/>
  <c r="M80" i="84" s="1"/>
  <c r="J79" i="84"/>
  <c r="M79" i="84" s="1"/>
  <c r="J78" i="84"/>
  <c r="M78" i="84" s="1"/>
  <c r="J76" i="84"/>
  <c r="M76" i="84" s="1"/>
  <c r="J75" i="84"/>
  <c r="M75" i="84" s="1"/>
  <c r="J74" i="84"/>
  <c r="M74" i="84" s="1"/>
  <c r="J73" i="84"/>
  <c r="M73" i="84" s="1"/>
  <c r="J72" i="84"/>
  <c r="M72" i="84" s="1"/>
  <c r="J71" i="84"/>
  <c r="M71" i="84" s="1"/>
  <c r="J70" i="84"/>
  <c r="M70" i="84" s="1"/>
  <c r="J69" i="84"/>
  <c r="M69" i="84" s="1"/>
  <c r="J68" i="84"/>
  <c r="M68" i="84" s="1"/>
  <c r="J67" i="84"/>
  <c r="M67" i="84" s="1"/>
  <c r="J66" i="84"/>
  <c r="M66" i="84" s="1"/>
  <c r="J65" i="84"/>
  <c r="M65" i="84" s="1"/>
  <c r="J64" i="84"/>
  <c r="M64" i="84" s="1"/>
  <c r="J63" i="84"/>
  <c r="M63" i="84" s="1"/>
  <c r="J62" i="84"/>
  <c r="M62" i="84" s="1"/>
  <c r="J61" i="84"/>
  <c r="M61" i="84" s="1"/>
  <c r="J60" i="84"/>
  <c r="M60" i="84" s="1"/>
  <c r="J59" i="84"/>
  <c r="M59" i="84" s="1"/>
  <c r="J58" i="84"/>
  <c r="M58" i="84" s="1"/>
  <c r="J57" i="84"/>
  <c r="M57" i="84" s="1"/>
  <c r="J56" i="84"/>
  <c r="M56" i="84" s="1"/>
  <c r="J55" i="84"/>
  <c r="M55" i="84" s="1"/>
  <c r="J54" i="84"/>
  <c r="M54" i="84" s="1"/>
  <c r="J53" i="84"/>
  <c r="M53" i="84" s="1"/>
  <c r="J52" i="84"/>
  <c r="M52" i="84" s="1"/>
  <c r="J51" i="84"/>
  <c r="M51" i="84" s="1"/>
  <c r="J50" i="84"/>
  <c r="M50" i="84" s="1"/>
  <c r="J49" i="84"/>
  <c r="M49" i="84" s="1"/>
  <c r="J48" i="84"/>
  <c r="M48" i="84" s="1"/>
  <c r="J47" i="84"/>
  <c r="M47" i="84" s="1"/>
  <c r="J46" i="84"/>
  <c r="M46" i="84" s="1"/>
  <c r="J45" i="84"/>
  <c r="M45" i="84" s="1"/>
  <c r="J44" i="84"/>
  <c r="M44" i="84" s="1"/>
  <c r="J43" i="84"/>
  <c r="M43" i="84" s="1"/>
  <c r="J42" i="84"/>
  <c r="M42" i="84" s="1"/>
  <c r="J41" i="84"/>
  <c r="M41" i="84" s="1"/>
  <c r="J40" i="84"/>
  <c r="M40" i="84" s="1"/>
  <c r="J39" i="84"/>
  <c r="M39" i="84" s="1"/>
  <c r="J38" i="84"/>
  <c r="M38" i="84" s="1"/>
  <c r="J37" i="84"/>
  <c r="M37" i="84" s="1"/>
  <c r="J36" i="84"/>
  <c r="M36" i="84" s="1"/>
  <c r="J35" i="84"/>
  <c r="M35" i="84" s="1"/>
  <c r="J34" i="84"/>
  <c r="M34" i="84" s="1"/>
  <c r="J33" i="84"/>
  <c r="M33" i="84" s="1"/>
  <c r="J32" i="84"/>
  <c r="M32" i="84" s="1"/>
  <c r="J31" i="84"/>
  <c r="M31" i="84" s="1"/>
  <c r="J30" i="84"/>
  <c r="M30" i="84" s="1"/>
  <c r="J29" i="84"/>
  <c r="M29" i="84" s="1"/>
  <c r="J28" i="84"/>
  <c r="M28" i="84" s="1"/>
  <c r="J27" i="84"/>
  <c r="M27" i="84" s="1"/>
  <c r="J26" i="84"/>
  <c r="M26" i="84" s="1"/>
  <c r="J25" i="84"/>
  <c r="M25" i="84" s="1"/>
  <c r="J24" i="84"/>
  <c r="M24" i="84" s="1"/>
  <c r="J23" i="84"/>
  <c r="M23" i="84" s="1"/>
  <c r="J22" i="84"/>
  <c r="M22" i="84" s="1"/>
  <c r="J21" i="84"/>
  <c r="M21" i="84" s="1"/>
  <c r="J20" i="84"/>
  <c r="M20" i="84" s="1"/>
  <c r="J19" i="84"/>
  <c r="M19" i="84" s="1"/>
  <c r="J18" i="84"/>
  <c r="M18" i="84" s="1"/>
  <c r="J17" i="84"/>
  <c r="M17" i="84" s="1"/>
  <c r="J16" i="84"/>
  <c r="M16" i="84" s="1"/>
  <c r="J15" i="84"/>
  <c r="M15" i="84" s="1"/>
  <c r="J14" i="84"/>
  <c r="M14" i="84" s="1"/>
  <c r="J13" i="84"/>
  <c r="M13" i="84" s="1"/>
  <c r="J12" i="84"/>
  <c r="M12" i="84" s="1"/>
  <c r="J11" i="84"/>
  <c r="M11" i="84" s="1"/>
  <c r="J10" i="84"/>
  <c r="M10" i="84" s="1"/>
  <c r="J9" i="84"/>
  <c r="M9" i="84" s="1"/>
  <c r="J8" i="84"/>
  <c r="M8" i="84" s="1"/>
  <c r="J7" i="84"/>
  <c r="M7" i="84" s="1"/>
  <c r="J6" i="84"/>
  <c r="M6" i="84" s="1"/>
  <c r="J5" i="84"/>
  <c r="J254" i="83"/>
  <c r="M254" i="83" s="1"/>
  <c r="J253" i="83"/>
  <c r="M253" i="83" s="1"/>
  <c r="J252" i="83"/>
  <c r="M252" i="83" s="1"/>
  <c r="J251" i="83"/>
  <c r="M251" i="83" s="1"/>
  <c r="J250" i="83"/>
  <c r="M250" i="83" s="1"/>
  <c r="J249" i="83"/>
  <c r="M249" i="83" s="1"/>
  <c r="J248" i="83"/>
  <c r="M248" i="83" s="1"/>
  <c r="J247" i="83"/>
  <c r="M247" i="83" s="1"/>
  <c r="J246" i="83"/>
  <c r="M246" i="83" s="1"/>
  <c r="J245" i="83"/>
  <c r="M245" i="83" s="1"/>
  <c r="J244" i="83"/>
  <c r="M244" i="83" s="1"/>
  <c r="J243" i="83"/>
  <c r="M243" i="83" s="1"/>
  <c r="J242" i="83"/>
  <c r="M242" i="83" s="1"/>
  <c r="J241" i="83"/>
  <c r="M241" i="83" s="1"/>
  <c r="J240" i="83"/>
  <c r="M240" i="83" s="1"/>
  <c r="J239" i="83"/>
  <c r="M239" i="83" s="1"/>
  <c r="J238" i="83"/>
  <c r="M238" i="83" s="1"/>
  <c r="J237" i="83"/>
  <c r="M237" i="83" s="1"/>
  <c r="J236" i="83"/>
  <c r="M236" i="83" s="1"/>
  <c r="J235" i="83"/>
  <c r="M235" i="83" s="1"/>
  <c r="J234" i="83"/>
  <c r="M234" i="83" s="1"/>
  <c r="J233" i="83"/>
  <c r="M233" i="83" s="1"/>
  <c r="J232" i="83"/>
  <c r="M232" i="83" s="1"/>
  <c r="J231" i="83"/>
  <c r="M231" i="83" s="1"/>
  <c r="J230" i="83"/>
  <c r="M230" i="83" s="1"/>
  <c r="J229" i="83"/>
  <c r="M229" i="83" s="1"/>
  <c r="J228" i="83"/>
  <c r="M228" i="83" s="1"/>
  <c r="J227" i="83"/>
  <c r="M227" i="83" s="1"/>
  <c r="J226" i="83"/>
  <c r="M226" i="83" s="1"/>
  <c r="J225" i="83"/>
  <c r="M225" i="83" s="1"/>
  <c r="J224" i="83"/>
  <c r="M224" i="83" s="1"/>
  <c r="J223" i="83"/>
  <c r="M223" i="83" s="1"/>
  <c r="J222" i="83"/>
  <c r="M222" i="83" s="1"/>
  <c r="J221" i="83"/>
  <c r="M221" i="83" s="1"/>
  <c r="J220" i="83"/>
  <c r="M220" i="83" s="1"/>
  <c r="J219" i="83"/>
  <c r="M219" i="83" s="1"/>
  <c r="J218" i="83"/>
  <c r="M218" i="83" s="1"/>
  <c r="J217" i="83"/>
  <c r="M217" i="83" s="1"/>
  <c r="J216" i="83"/>
  <c r="M216" i="83" s="1"/>
  <c r="J215" i="83"/>
  <c r="M215" i="83" s="1"/>
  <c r="J214" i="83"/>
  <c r="M214" i="83" s="1"/>
  <c r="J77" i="83"/>
  <c r="M77" i="83" s="1"/>
  <c r="J213" i="83"/>
  <c r="M213" i="83" s="1"/>
  <c r="J212" i="83"/>
  <c r="M212" i="83" s="1"/>
  <c r="J211" i="83"/>
  <c r="M211" i="83" s="1"/>
  <c r="J210" i="83"/>
  <c r="M210" i="83" s="1"/>
  <c r="J209" i="83"/>
  <c r="M209" i="83" s="1"/>
  <c r="J208" i="83"/>
  <c r="M208" i="83" s="1"/>
  <c r="J207" i="83"/>
  <c r="M207" i="83" s="1"/>
  <c r="J206" i="83"/>
  <c r="M206" i="83" s="1"/>
  <c r="J205" i="83"/>
  <c r="M205" i="83" s="1"/>
  <c r="J204" i="83"/>
  <c r="M204" i="83" s="1"/>
  <c r="J203" i="83"/>
  <c r="M203" i="83" s="1"/>
  <c r="J202" i="83"/>
  <c r="M202" i="83" s="1"/>
  <c r="J201" i="83"/>
  <c r="M201" i="83" s="1"/>
  <c r="J200" i="83"/>
  <c r="M200" i="83" s="1"/>
  <c r="J199" i="83"/>
  <c r="M199" i="83" s="1"/>
  <c r="J198" i="83"/>
  <c r="M198" i="83" s="1"/>
  <c r="J197" i="83"/>
  <c r="M197" i="83" s="1"/>
  <c r="J196" i="83"/>
  <c r="M196" i="83" s="1"/>
  <c r="J195" i="83"/>
  <c r="M195" i="83" s="1"/>
  <c r="J194" i="83"/>
  <c r="M194" i="83" s="1"/>
  <c r="J193" i="83"/>
  <c r="M193" i="83" s="1"/>
  <c r="J192" i="83"/>
  <c r="M192" i="83" s="1"/>
  <c r="J191" i="83"/>
  <c r="M191" i="83" s="1"/>
  <c r="J190" i="83"/>
  <c r="M190" i="83" s="1"/>
  <c r="J189" i="83"/>
  <c r="M189" i="83" s="1"/>
  <c r="J188" i="83"/>
  <c r="M188" i="83" s="1"/>
  <c r="J187" i="83"/>
  <c r="M187" i="83" s="1"/>
  <c r="J186" i="83"/>
  <c r="M186" i="83" s="1"/>
  <c r="J185" i="83"/>
  <c r="M185" i="83" s="1"/>
  <c r="J184" i="83"/>
  <c r="M184" i="83" s="1"/>
  <c r="J183" i="83"/>
  <c r="M183" i="83" s="1"/>
  <c r="J182" i="83"/>
  <c r="M182" i="83" s="1"/>
  <c r="J181" i="83"/>
  <c r="M181" i="83" s="1"/>
  <c r="J180" i="83"/>
  <c r="M180" i="83" s="1"/>
  <c r="J179" i="83"/>
  <c r="M179" i="83" s="1"/>
  <c r="J178" i="83"/>
  <c r="M178" i="83" s="1"/>
  <c r="J177" i="83"/>
  <c r="M177" i="83" s="1"/>
  <c r="J176" i="83"/>
  <c r="M176" i="83" s="1"/>
  <c r="J175" i="83"/>
  <c r="M175" i="83" s="1"/>
  <c r="J174" i="83"/>
  <c r="M174" i="83" s="1"/>
  <c r="J173" i="83"/>
  <c r="M173" i="83" s="1"/>
  <c r="J172" i="83"/>
  <c r="M172" i="83" s="1"/>
  <c r="J171" i="83"/>
  <c r="M171" i="83" s="1"/>
  <c r="J170" i="83"/>
  <c r="M170" i="83" s="1"/>
  <c r="J169" i="83"/>
  <c r="M169" i="83" s="1"/>
  <c r="J168" i="83"/>
  <c r="M168" i="83" s="1"/>
  <c r="J167" i="83"/>
  <c r="M167" i="83" s="1"/>
  <c r="J166" i="83"/>
  <c r="M166" i="83" s="1"/>
  <c r="J165" i="83"/>
  <c r="M165" i="83" s="1"/>
  <c r="J164" i="83"/>
  <c r="M164" i="83" s="1"/>
  <c r="J163" i="83"/>
  <c r="M163" i="83" s="1"/>
  <c r="J162" i="83"/>
  <c r="M162" i="83" s="1"/>
  <c r="J161" i="83"/>
  <c r="M161" i="83" s="1"/>
  <c r="J160" i="83"/>
  <c r="M160" i="83" s="1"/>
  <c r="J159" i="83"/>
  <c r="M159" i="83" s="1"/>
  <c r="J158" i="83"/>
  <c r="M158" i="83" s="1"/>
  <c r="J157" i="83"/>
  <c r="M157" i="83" s="1"/>
  <c r="J156" i="83"/>
  <c r="M156" i="83" s="1"/>
  <c r="J155" i="83"/>
  <c r="M155" i="83" s="1"/>
  <c r="J154" i="83"/>
  <c r="M154" i="83" s="1"/>
  <c r="J153" i="83"/>
  <c r="M153" i="83" s="1"/>
  <c r="J152" i="83"/>
  <c r="M152" i="83" s="1"/>
  <c r="J151" i="83"/>
  <c r="M151" i="83" s="1"/>
  <c r="J150" i="83"/>
  <c r="M150" i="83" s="1"/>
  <c r="J149" i="83"/>
  <c r="M149" i="83" s="1"/>
  <c r="J148" i="83"/>
  <c r="M148" i="83" s="1"/>
  <c r="J147" i="83"/>
  <c r="M147" i="83" s="1"/>
  <c r="J146" i="83"/>
  <c r="M146" i="83" s="1"/>
  <c r="J145" i="83"/>
  <c r="M145" i="83" s="1"/>
  <c r="J144" i="83"/>
  <c r="M144" i="83" s="1"/>
  <c r="J143" i="83"/>
  <c r="M143" i="83" s="1"/>
  <c r="J142" i="83"/>
  <c r="M142" i="83" s="1"/>
  <c r="J141" i="83"/>
  <c r="M141" i="83" s="1"/>
  <c r="J140" i="83"/>
  <c r="M140" i="83" s="1"/>
  <c r="J139" i="83"/>
  <c r="M139" i="83" s="1"/>
  <c r="J138" i="83"/>
  <c r="M138" i="83" s="1"/>
  <c r="J137" i="83"/>
  <c r="M137" i="83" s="1"/>
  <c r="J136" i="83"/>
  <c r="M136" i="83" s="1"/>
  <c r="J135" i="83"/>
  <c r="M135" i="83" s="1"/>
  <c r="J134" i="83"/>
  <c r="M134" i="83" s="1"/>
  <c r="J133" i="83"/>
  <c r="M133" i="83" s="1"/>
  <c r="J132" i="83"/>
  <c r="M132" i="83" s="1"/>
  <c r="J131" i="83"/>
  <c r="M131" i="83" s="1"/>
  <c r="J130" i="83"/>
  <c r="M130" i="83" s="1"/>
  <c r="J129" i="83"/>
  <c r="M129" i="83" s="1"/>
  <c r="J128" i="83"/>
  <c r="M128" i="83" s="1"/>
  <c r="J127" i="83"/>
  <c r="M127" i="83" s="1"/>
  <c r="J126" i="83"/>
  <c r="M126" i="83" s="1"/>
  <c r="J125" i="83"/>
  <c r="M125" i="83" s="1"/>
  <c r="J124" i="83"/>
  <c r="M124" i="83" s="1"/>
  <c r="J123" i="83"/>
  <c r="M123" i="83" s="1"/>
  <c r="J122" i="83"/>
  <c r="M122" i="83" s="1"/>
  <c r="J121" i="83"/>
  <c r="M121" i="83" s="1"/>
  <c r="J120" i="83"/>
  <c r="M120" i="83" s="1"/>
  <c r="J119" i="83"/>
  <c r="M119" i="83" s="1"/>
  <c r="J118" i="83"/>
  <c r="M118" i="83" s="1"/>
  <c r="J117" i="83"/>
  <c r="M117" i="83" s="1"/>
  <c r="J116" i="83"/>
  <c r="M116" i="83" s="1"/>
  <c r="J115" i="83"/>
  <c r="M115" i="83" s="1"/>
  <c r="J114" i="83"/>
  <c r="M114" i="83" s="1"/>
  <c r="J113" i="83"/>
  <c r="M113" i="83" s="1"/>
  <c r="J112" i="83"/>
  <c r="M112" i="83" s="1"/>
  <c r="J111" i="83"/>
  <c r="M111" i="83" s="1"/>
  <c r="J110" i="83"/>
  <c r="M110" i="83" s="1"/>
  <c r="J109" i="83"/>
  <c r="M109" i="83" s="1"/>
  <c r="J108" i="83"/>
  <c r="M108" i="83" s="1"/>
  <c r="J107" i="83"/>
  <c r="M107" i="83" s="1"/>
  <c r="J106" i="83"/>
  <c r="M106" i="83" s="1"/>
  <c r="J105" i="83"/>
  <c r="M105" i="83" s="1"/>
  <c r="J104" i="83"/>
  <c r="M104" i="83" s="1"/>
  <c r="J103" i="83"/>
  <c r="M103" i="83" s="1"/>
  <c r="J102" i="83"/>
  <c r="M102" i="83" s="1"/>
  <c r="J101" i="83"/>
  <c r="M101" i="83" s="1"/>
  <c r="J100" i="83"/>
  <c r="M100" i="83" s="1"/>
  <c r="J99" i="83"/>
  <c r="M99" i="83" s="1"/>
  <c r="J98" i="83"/>
  <c r="M98" i="83" s="1"/>
  <c r="J97" i="83"/>
  <c r="M97" i="83" s="1"/>
  <c r="J96" i="83"/>
  <c r="M96" i="83" s="1"/>
  <c r="J95" i="83"/>
  <c r="M95" i="83" s="1"/>
  <c r="J94" i="83"/>
  <c r="M94" i="83" s="1"/>
  <c r="J93" i="83"/>
  <c r="M93" i="83" s="1"/>
  <c r="J92" i="83"/>
  <c r="M92" i="83" s="1"/>
  <c r="J91" i="83"/>
  <c r="M91" i="83" s="1"/>
  <c r="J90" i="83"/>
  <c r="M90" i="83" s="1"/>
  <c r="J89" i="83"/>
  <c r="M89" i="83" s="1"/>
  <c r="J88" i="83"/>
  <c r="M88" i="83" s="1"/>
  <c r="J87" i="83"/>
  <c r="M87" i="83" s="1"/>
  <c r="J86" i="83"/>
  <c r="M86" i="83" s="1"/>
  <c r="J85" i="83"/>
  <c r="M85" i="83" s="1"/>
  <c r="J84" i="83"/>
  <c r="M84" i="83" s="1"/>
  <c r="J83" i="83"/>
  <c r="M83" i="83" s="1"/>
  <c r="J82" i="83"/>
  <c r="M82" i="83" s="1"/>
  <c r="J81" i="83"/>
  <c r="M81" i="83" s="1"/>
  <c r="J80" i="83"/>
  <c r="M80" i="83" s="1"/>
  <c r="J79" i="83"/>
  <c r="M79" i="83" s="1"/>
  <c r="J78" i="83"/>
  <c r="M78" i="83" s="1"/>
  <c r="J76" i="83"/>
  <c r="M76" i="83" s="1"/>
  <c r="J75" i="83"/>
  <c r="M75" i="83" s="1"/>
  <c r="J74" i="83"/>
  <c r="M74" i="83" s="1"/>
  <c r="J73" i="83"/>
  <c r="M73" i="83" s="1"/>
  <c r="J72" i="83"/>
  <c r="M72" i="83" s="1"/>
  <c r="J71" i="83"/>
  <c r="M71" i="83" s="1"/>
  <c r="J70" i="83"/>
  <c r="M70" i="83" s="1"/>
  <c r="J69" i="83"/>
  <c r="M69" i="83" s="1"/>
  <c r="J68" i="83"/>
  <c r="M68" i="83" s="1"/>
  <c r="J67" i="83"/>
  <c r="M67" i="83" s="1"/>
  <c r="J66" i="83"/>
  <c r="M66" i="83" s="1"/>
  <c r="J65" i="83"/>
  <c r="M65" i="83" s="1"/>
  <c r="J64" i="83"/>
  <c r="M64" i="83" s="1"/>
  <c r="J63" i="83"/>
  <c r="M63" i="83" s="1"/>
  <c r="J62" i="83"/>
  <c r="M62" i="83" s="1"/>
  <c r="J61" i="83"/>
  <c r="M61" i="83" s="1"/>
  <c r="J60" i="83"/>
  <c r="M60" i="83" s="1"/>
  <c r="J59" i="83"/>
  <c r="M59" i="83" s="1"/>
  <c r="J58" i="83"/>
  <c r="M58" i="83" s="1"/>
  <c r="J57" i="83"/>
  <c r="M57" i="83" s="1"/>
  <c r="J56" i="83"/>
  <c r="M56" i="83" s="1"/>
  <c r="J55" i="83"/>
  <c r="M55" i="83" s="1"/>
  <c r="J54" i="83"/>
  <c r="M54" i="83" s="1"/>
  <c r="J53" i="83"/>
  <c r="M53" i="83" s="1"/>
  <c r="J52" i="83"/>
  <c r="M52" i="83" s="1"/>
  <c r="J51" i="83"/>
  <c r="M51" i="83" s="1"/>
  <c r="J50" i="83"/>
  <c r="M50" i="83" s="1"/>
  <c r="J49" i="83"/>
  <c r="M49" i="83" s="1"/>
  <c r="J48" i="83"/>
  <c r="M48" i="83" s="1"/>
  <c r="J47" i="83"/>
  <c r="M47" i="83" s="1"/>
  <c r="J46" i="83"/>
  <c r="M46" i="83" s="1"/>
  <c r="J45" i="83"/>
  <c r="M45" i="83" s="1"/>
  <c r="J44" i="83"/>
  <c r="M44" i="83" s="1"/>
  <c r="J43" i="83"/>
  <c r="M43" i="83" s="1"/>
  <c r="J42" i="83"/>
  <c r="M42" i="83" s="1"/>
  <c r="J41" i="83"/>
  <c r="M41" i="83" s="1"/>
  <c r="J40" i="83"/>
  <c r="M40" i="83" s="1"/>
  <c r="J39" i="83"/>
  <c r="M39" i="83" s="1"/>
  <c r="J38" i="83"/>
  <c r="M38" i="83" s="1"/>
  <c r="J37" i="83"/>
  <c r="M37" i="83" s="1"/>
  <c r="J36" i="83"/>
  <c r="M36" i="83" s="1"/>
  <c r="J35" i="83"/>
  <c r="M35" i="83" s="1"/>
  <c r="J34" i="83"/>
  <c r="M34" i="83" s="1"/>
  <c r="J33" i="83"/>
  <c r="M33" i="83" s="1"/>
  <c r="J32" i="83"/>
  <c r="M32" i="83" s="1"/>
  <c r="J31" i="83"/>
  <c r="M31" i="83" s="1"/>
  <c r="J30" i="83"/>
  <c r="M30" i="83" s="1"/>
  <c r="J29" i="83"/>
  <c r="M29" i="83" s="1"/>
  <c r="J28" i="83"/>
  <c r="M28" i="83" s="1"/>
  <c r="J27" i="83"/>
  <c r="M27" i="83" s="1"/>
  <c r="J26" i="83"/>
  <c r="M26" i="83" s="1"/>
  <c r="J25" i="83"/>
  <c r="M25" i="83" s="1"/>
  <c r="J24" i="83"/>
  <c r="M24" i="83" s="1"/>
  <c r="J23" i="83"/>
  <c r="M23" i="83" s="1"/>
  <c r="J22" i="83"/>
  <c r="M22" i="83" s="1"/>
  <c r="J21" i="83"/>
  <c r="M21" i="83" s="1"/>
  <c r="J20" i="83"/>
  <c r="M20" i="83" s="1"/>
  <c r="J19" i="83"/>
  <c r="M19" i="83" s="1"/>
  <c r="J18" i="83"/>
  <c r="M18" i="83" s="1"/>
  <c r="J17" i="83"/>
  <c r="M17" i="83" s="1"/>
  <c r="J16" i="83"/>
  <c r="M16" i="83" s="1"/>
  <c r="J15" i="83"/>
  <c r="M15" i="83" s="1"/>
  <c r="J14" i="83"/>
  <c r="M14" i="83" s="1"/>
  <c r="J13" i="83"/>
  <c r="M13" i="83" s="1"/>
  <c r="J12" i="83"/>
  <c r="M12" i="83" s="1"/>
  <c r="J11" i="83"/>
  <c r="M11" i="83" s="1"/>
  <c r="J10" i="83"/>
  <c r="M10" i="83" s="1"/>
  <c r="J9" i="83"/>
  <c r="M9" i="83" s="1"/>
  <c r="J8" i="83"/>
  <c r="M8" i="83" s="1"/>
  <c r="J7" i="83"/>
  <c r="M7" i="83" s="1"/>
  <c r="J6" i="83"/>
  <c r="M6" i="83" s="1"/>
  <c r="J256" i="83"/>
  <c r="J5" i="83"/>
  <c r="J254" i="82"/>
  <c r="M254" i="82" s="1"/>
  <c r="J253" i="82"/>
  <c r="M253" i="82" s="1"/>
  <c r="J252" i="82"/>
  <c r="M252" i="82" s="1"/>
  <c r="J251" i="82"/>
  <c r="M251" i="82" s="1"/>
  <c r="J250" i="82"/>
  <c r="M250" i="82" s="1"/>
  <c r="J249" i="82"/>
  <c r="M249" i="82" s="1"/>
  <c r="J248" i="82"/>
  <c r="M248" i="82" s="1"/>
  <c r="J247" i="82"/>
  <c r="M247" i="82" s="1"/>
  <c r="J246" i="82"/>
  <c r="M246" i="82" s="1"/>
  <c r="J245" i="82"/>
  <c r="M245" i="82" s="1"/>
  <c r="J244" i="82"/>
  <c r="M244" i="82" s="1"/>
  <c r="J243" i="82"/>
  <c r="M243" i="82" s="1"/>
  <c r="J242" i="82"/>
  <c r="M242" i="82" s="1"/>
  <c r="J241" i="82"/>
  <c r="M241" i="82" s="1"/>
  <c r="J240" i="82"/>
  <c r="M240" i="82" s="1"/>
  <c r="J239" i="82"/>
  <c r="M239" i="82" s="1"/>
  <c r="J238" i="82"/>
  <c r="M238" i="82" s="1"/>
  <c r="J237" i="82"/>
  <c r="M237" i="82" s="1"/>
  <c r="J236" i="82"/>
  <c r="M236" i="82" s="1"/>
  <c r="J235" i="82"/>
  <c r="M235" i="82" s="1"/>
  <c r="J234" i="82"/>
  <c r="M234" i="82" s="1"/>
  <c r="J233" i="82"/>
  <c r="M233" i="82" s="1"/>
  <c r="J232" i="82"/>
  <c r="M232" i="82" s="1"/>
  <c r="J231" i="82"/>
  <c r="M231" i="82" s="1"/>
  <c r="J230" i="82"/>
  <c r="M230" i="82" s="1"/>
  <c r="J229" i="82"/>
  <c r="M229" i="82" s="1"/>
  <c r="J228" i="82"/>
  <c r="M228" i="82" s="1"/>
  <c r="J227" i="82"/>
  <c r="M227" i="82" s="1"/>
  <c r="J226" i="82"/>
  <c r="M226" i="82" s="1"/>
  <c r="J225" i="82"/>
  <c r="M225" i="82" s="1"/>
  <c r="J224" i="82"/>
  <c r="M224" i="82" s="1"/>
  <c r="J223" i="82"/>
  <c r="M223" i="82" s="1"/>
  <c r="J222" i="82"/>
  <c r="M222" i="82" s="1"/>
  <c r="J221" i="82"/>
  <c r="M221" i="82" s="1"/>
  <c r="J220" i="82"/>
  <c r="M220" i="82" s="1"/>
  <c r="J219" i="82"/>
  <c r="M219" i="82" s="1"/>
  <c r="J218" i="82"/>
  <c r="M218" i="82" s="1"/>
  <c r="J217" i="82"/>
  <c r="M217" i="82" s="1"/>
  <c r="J216" i="82"/>
  <c r="M216" i="82" s="1"/>
  <c r="J215" i="82"/>
  <c r="M215" i="82" s="1"/>
  <c r="J214" i="82"/>
  <c r="M214" i="82" s="1"/>
  <c r="J77" i="82"/>
  <c r="M77" i="82" s="1"/>
  <c r="J213" i="82"/>
  <c r="M213" i="82" s="1"/>
  <c r="J212" i="82"/>
  <c r="M212" i="82" s="1"/>
  <c r="J211" i="82"/>
  <c r="M211" i="82" s="1"/>
  <c r="J210" i="82"/>
  <c r="M210" i="82" s="1"/>
  <c r="J209" i="82"/>
  <c r="M209" i="82" s="1"/>
  <c r="J208" i="82"/>
  <c r="M208" i="82" s="1"/>
  <c r="J207" i="82"/>
  <c r="M207" i="82" s="1"/>
  <c r="J206" i="82"/>
  <c r="M206" i="82" s="1"/>
  <c r="J205" i="82"/>
  <c r="M205" i="82" s="1"/>
  <c r="J204" i="82"/>
  <c r="M204" i="82" s="1"/>
  <c r="J203" i="82"/>
  <c r="M203" i="82" s="1"/>
  <c r="J202" i="82"/>
  <c r="M202" i="82" s="1"/>
  <c r="J201" i="82"/>
  <c r="M201" i="82" s="1"/>
  <c r="J200" i="82"/>
  <c r="M200" i="82" s="1"/>
  <c r="J199" i="82"/>
  <c r="M199" i="82" s="1"/>
  <c r="J198" i="82"/>
  <c r="M198" i="82" s="1"/>
  <c r="J197" i="82"/>
  <c r="M197" i="82" s="1"/>
  <c r="J196" i="82"/>
  <c r="M196" i="82" s="1"/>
  <c r="J195" i="82"/>
  <c r="M195" i="82" s="1"/>
  <c r="J194" i="82"/>
  <c r="M194" i="82" s="1"/>
  <c r="J193" i="82"/>
  <c r="M193" i="82" s="1"/>
  <c r="J192" i="82"/>
  <c r="M192" i="82" s="1"/>
  <c r="J191" i="82"/>
  <c r="M191" i="82" s="1"/>
  <c r="J190" i="82"/>
  <c r="M190" i="82" s="1"/>
  <c r="J189" i="82"/>
  <c r="M189" i="82" s="1"/>
  <c r="J188" i="82"/>
  <c r="M188" i="82" s="1"/>
  <c r="J187" i="82"/>
  <c r="M187" i="82" s="1"/>
  <c r="J186" i="82"/>
  <c r="M186" i="82" s="1"/>
  <c r="J185" i="82"/>
  <c r="M185" i="82" s="1"/>
  <c r="J184" i="82"/>
  <c r="M184" i="82" s="1"/>
  <c r="J183" i="82"/>
  <c r="M183" i="82" s="1"/>
  <c r="J182" i="82"/>
  <c r="M182" i="82" s="1"/>
  <c r="J181" i="82"/>
  <c r="M181" i="82" s="1"/>
  <c r="J180" i="82"/>
  <c r="M180" i="82" s="1"/>
  <c r="J179" i="82"/>
  <c r="M179" i="82" s="1"/>
  <c r="J178" i="82"/>
  <c r="M178" i="82" s="1"/>
  <c r="J177" i="82"/>
  <c r="M177" i="82" s="1"/>
  <c r="J176" i="82"/>
  <c r="M176" i="82" s="1"/>
  <c r="J175" i="82"/>
  <c r="M175" i="82" s="1"/>
  <c r="J174" i="82"/>
  <c r="M174" i="82" s="1"/>
  <c r="J173" i="82"/>
  <c r="M173" i="82" s="1"/>
  <c r="J172" i="82"/>
  <c r="M172" i="82" s="1"/>
  <c r="J171" i="82"/>
  <c r="M171" i="82" s="1"/>
  <c r="J170" i="82"/>
  <c r="M170" i="82" s="1"/>
  <c r="J169" i="82"/>
  <c r="M169" i="82" s="1"/>
  <c r="J168" i="82"/>
  <c r="M168" i="82" s="1"/>
  <c r="J167" i="82"/>
  <c r="M167" i="82" s="1"/>
  <c r="J166" i="82"/>
  <c r="M166" i="82" s="1"/>
  <c r="J165" i="82"/>
  <c r="M165" i="82" s="1"/>
  <c r="J164" i="82"/>
  <c r="M164" i="82" s="1"/>
  <c r="J163" i="82"/>
  <c r="M163" i="82" s="1"/>
  <c r="J162" i="82"/>
  <c r="M162" i="82" s="1"/>
  <c r="J161" i="82"/>
  <c r="M161" i="82" s="1"/>
  <c r="J160" i="82"/>
  <c r="M160" i="82" s="1"/>
  <c r="J159" i="82"/>
  <c r="M159" i="82" s="1"/>
  <c r="J158" i="82"/>
  <c r="M158" i="82" s="1"/>
  <c r="J157" i="82"/>
  <c r="M157" i="82" s="1"/>
  <c r="J156" i="82"/>
  <c r="M156" i="82" s="1"/>
  <c r="J155" i="82"/>
  <c r="M155" i="82" s="1"/>
  <c r="J154" i="82"/>
  <c r="M154" i="82" s="1"/>
  <c r="J153" i="82"/>
  <c r="M153" i="82" s="1"/>
  <c r="J152" i="82"/>
  <c r="M152" i="82" s="1"/>
  <c r="J151" i="82"/>
  <c r="M151" i="82" s="1"/>
  <c r="J150" i="82"/>
  <c r="M150" i="82" s="1"/>
  <c r="J149" i="82"/>
  <c r="M149" i="82" s="1"/>
  <c r="J148" i="82"/>
  <c r="M148" i="82" s="1"/>
  <c r="J147" i="82"/>
  <c r="M147" i="82" s="1"/>
  <c r="J146" i="82"/>
  <c r="M146" i="82" s="1"/>
  <c r="J145" i="82"/>
  <c r="M145" i="82" s="1"/>
  <c r="J144" i="82"/>
  <c r="M144" i="82" s="1"/>
  <c r="J143" i="82"/>
  <c r="M143" i="82" s="1"/>
  <c r="J142" i="82"/>
  <c r="M142" i="82" s="1"/>
  <c r="J141" i="82"/>
  <c r="M141" i="82" s="1"/>
  <c r="J140" i="82"/>
  <c r="M140" i="82" s="1"/>
  <c r="J139" i="82"/>
  <c r="M139" i="82" s="1"/>
  <c r="J138" i="82"/>
  <c r="M138" i="82" s="1"/>
  <c r="J137" i="82"/>
  <c r="M137" i="82" s="1"/>
  <c r="J136" i="82"/>
  <c r="M136" i="82" s="1"/>
  <c r="J135" i="82"/>
  <c r="M135" i="82" s="1"/>
  <c r="J134" i="82"/>
  <c r="M134" i="82" s="1"/>
  <c r="J133" i="82"/>
  <c r="M133" i="82" s="1"/>
  <c r="J132" i="82"/>
  <c r="M132" i="82" s="1"/>
  <c r="J131" i="82"/>
  <c r="M131" i="82" s="1"/>
  <c r="J130" i="82"/>
  <c r="M130" i="82" s="1"/>
  <c r="J129" i="82"/>
  <c r="M129" i="82" s="1"/>
  <c r="J128" i="82"/>
  <c r="M128" i="82" s="1"/>
  <c r="J127" i="82"/>
  <c r="M127" i="82" s="1"/>
  <c r="J126" i="82"/>
  <c r="M126" i="82" s="1"/>
  <c r="J125" i="82"/>
  <c r="M125" i="82" s="1"/>
  <c r="J124" i="82"/>
  <c r="M124" i="82" s="1"/>
  <c r="J123" i="82"/>
  <c r="M123" i="82" s="1"/>
  <c r="J122" i="82"/>
  <c r="M122" i="82" s="1"/>
  <c r="J121" i="82"/>
  <c r="M121" i="82" s="1"/>
  <c r="J120" i="82"/>
  <c r="M120" i="82" s="1"/>
  <c r="J119" i="82"/>
  <c r="M119" i="82" s="1"/>
  <c r="J118" i="82"/>
  <c r="M118" i="82" s="1"/>
  <c r="J117" i="82"/>
  <c r="M117" i="82" s="1"/>
  <c r="J116" i="82"/>
  <c r="M116" i="82" s="1"/>
  <c r="J115" i="82"/>
  <c r="M115" i="82" s="1"/>
  <c r="J114" i="82"/>
  <c r="M114" i="82" s="1"/>
  <c r="J113" i="82"/>
  <c r="M113" i="82" s="1"/>
  <c r="J112" i="82"/>
  <c r="M112" i="82" s="1"/>
  <c r="J111" i="82"/>
  <c r="M111" i="82" s="1"/>
  <c r="J110" i="82"/>
  <c r="M110" i="82" s="1"/>
  <c r="J109" i="82"/>
  <c r="M109" i="82" s="1"/>
  <c r="J108" i="82"/>
  <c r="M108" i="82" s="1"/>
  <c r="J107" i="82"/>
  <c r="M107" i="82" s="1"/>
  <c r="J106" i="82"/>
  <c r="M106" i="82" s="1"/>
  <c r="J105" i="82"/>
  <c r="M105" i="82" s="1"/>
  <c r="J104" i="82"/>
  <c r="M104" i="82" s="1"/>
  <c r="J103" i="82"/>
  <c r="M103" i="82" s="1"/>
  <c r="J102" i="82"/>
  <c r="M102" i="82" s="1"/>
  <c r="J101" i="82"/>
  <c r="M101" i="82" s="1"/>
  <c r="J100" i="82"/>
  <c r="M100" i="82" s="1"/>
  <c r="J99" i="82"/>
  <c r="M99" i="82" s="1"/>
  <c r="J98" i="82"/>
  <c r="M98" i="82" s="1"/>
  <c r="J97" i="82"/>
  <c r="M97" i="82" s="1"/>
  <c r="J96" i="82"/>
  <c r="M96" i="82" s="1"/>
  <c r="J95" i="82"/>
  <c r="M95" i="82" s="1"/>
  <c r="J94" i="82"/>
  <c r="M94" i="82" s="1"/>
  <c r="J93" i="82"/>
  <c r="M93" i="82" s="1"/>
  <c r="J92" i="82"/>
  <c r="M92" i="82" s="1"/>
  <c r="J91" i="82"/>
  <c r="M91" i="82" s="1"/>
  <c r="J90" i="82"/>
  <c r="M90" i="82" s="1"/>
  <c r="J89" i="82"/>
  <c r="M89" i="82" s="1"/>
  <c r="J88" i="82"/>
  <c r="M88" i="82" s="1"/>
  <c r="J87" i="82"/>
  <c r="M87" i="82" s="1"/>
  <c r="J86" i="82"/>
  <c r="M86" i="82" s="1"/>
  <c r="J85" i="82"/>
  <c r="M85" i="82" s="1"/>
  <c r="J84" i="82"/>
  <c r="M84" i="82" s="1"/>
  <c r="J83" i="82"/>
  <c r="M83" i="82" s="1"/>
  <c r="J82" i="82"/>
  <c r="M82" i="82" s="1"/>
  <c r="J81" i="82"/>
  <c r="M81" i="82" s="1"/>
  <c r="J80" i="82"/>
  <c r="M80" i="82" s="1"/>
  <c r="J79" i="82"/>
  <c r="M79" i="82" s="1"/>
  <c r="J78" i="82"/>
  <c r="M78" i="82" s="1"/>
  <c r="J76" i="82"/>
  <c r="M76" i="82" s="1"/>
  <c r="J75" i="82"/>
  <c r="M75" i="82" s="1"/>
  <c r="J74" i="82"/>
  <c r="M74" i="82" s="1"/>
  <c r="J73" i="82"/>
  <c r="M73" i="82" s="1"/>
  <c r="J72" i="82"/>
  <c r="M72" i="82" s="1"/>
  <c r="J71" i="82"/>
  <c r="M71" i="82" s="1"/>
  <c r="J70" i="82"/>
  <c r="M70" i="82" s="1"/>
  <c r="J69" i="82"/>
  <c r="M69" i="82" s="1"/>
  <c r="J68" i="82"/>
  <c r="M68" i="82" s="1"/>
  <c r="J67" i="82"/>
  <c r="M67" i="82" s="1"/>
  <c r="J66" i="82"/>
  <c r="M66" i="82" s="1"/>
  <c r="J65" i="82"/>
  <c r="M65" i="82" s="1"/>
  <c r="J64" i="82"/>
  <c r="M64" i="82" s="1"/>
  <c r="J63" i="82"/>
  <c r="M63" i="82" s="1"/>
  <c r="J62" i="82"/>
  <c r="M62" i="82" s="1"/>
  <c r="J61" i="82"/>
  <c r="M61" i="82" s="1"/>
  <c r="J60" i="82"/>
  <c r="M60" i="82" s="1"/>
  <c r="J59" i="82"/>
  <c r="M59" i="82" s="1"/>
  <c r="J58" i="82"/>
  <c r="M58" i="82" s="1"/>
  <c r="J57" i="82"/>
  <c r="M57" i="82" s="1"/>
  <c r="J56" i="82"/>
  <c r="M56" i="82" s="1"/>
  <c r="J55" i="82"/>
  <c r="M55" i="82" s="1"/>
  <c r="J54" i="82"/>
  <c r="M54" i="82" s="1"/>
  <c r="J53" i="82"/>
  <c r="M53" i="82" s="1"/>
  <c r="J52" i="82"/>
  <c r="M52" i="82" s="1"/>
  <c r="J51" i="82"/>
  <c r="M51" i="82" s="1"/>
  <c r="J50" i="82"/>
  <c r="M50" i="82" s="1"/>
  <c r="J49" i="82"/>
  <c r="M49" i="82" s="1"/>
  <c r="J48" i="82"/>
  <c r="M48" i="82" s="1"/>
  <c r="J47" i="82"/>
  <c r="M47" i="82" s="1"/>
  <c r="J46" i="82"/>
  <c r="M46" i="82" s="1"/>
  <c r="J45" i="82"/>
  <c r="M45" i="82" s="1"/>
  <c r="J44" i="82"/>
  <c r="M44" i="82" s="1"/>
  <c r="J43" i="82"/>
  <c r="M43" i="82" s="1"/>
  <c r="J42" i="82"/>
  <c r="M42" i="82" s="1"/>
  <c r="J41" i="82"/>
  <c r="M41" i="82" s="1"/>
  <c r="J40" i="82"/>
  <c r="M40" i="82" s="1"/>
  <c r="J39" i="82"/>
  <c r="M39" i="82" s="1"/>
  <c r="J38" i="82"/>
  <c r="M38" i="82" s="1"/>
  <c r="J37" i="82"/>
  <c r="M37" i="82" s="1"/>
  <c r="J36" i="82"/>
  <c r="M36" i="82" s="1"/>
  <c r="J35" i="82"/>
  <c r="M35" i="82" s="1"/>
  <c r="J34" i="82"/>
  <c r="M34" i="82" s="1"/>
  <c r="J33" i="82"/>
  <c r="M33" i="82" s="1"/>
  <c r="J32" i="82"/>
  <c r="M32" i="82" s="1"/>
  <c r="J31" i="82"/>
  <c r="M31" i="82" s="1"/>
  <c r="J30" i="82"/>
  <c r="M30" i="82" s="1"/>
  <c r="J29" i="82"/>
  <c r="M29" i="82" s="1"/>
  <c r="J28" i="82"/>
  <c r="M28" i="82" s="1"/>
  <c r="J27" i="82"/>
  <c r="M27" i="82" s="1"/>
  <c r="J26" i="82"/>
  <c r="M26" i="82" s="1"/>
  <c r="J25" i="82"/>
  <c r="M25" i="82" s="1"/>
  <c r="J24" i="82"/>
  <c r="M24" i="82" s="1"/>
  <c r="J23" i="82"/>
  <c r="M23" i="82" s="1"/>
  <c r="J22" i="82"/>
  <c r="M22" i="82" s="1"/>
  <c r="J21" i="82"/>
  <c r="M21" i="82" s="1"/>
  <c r="J20" i="82"/>
  <c r="M20" i="82" s="1"/>
  <c r="J19" i="82"/>
  <c r="M19" i="82" s="1"/>
  <c r="J18" i="82"/>
  <c r="M18" i="82" s="1"/>
  <c r="J17" i="82"/>
  <c r="M17" i="82" s="1"/>
  <c r="J16" i="82"/>
  <c r="M16" i="82" s="1"/>
  <c r="J15" i="82"/>
  <c r="M15" i="82" s="1"/>
  <c r="J14" i="82"/>
  <c r="M14" i="82" s="1"/>
  <c r="J13" i="82"/>
  <c r="M13" i="82" s="1"/>
  <c r="J12" i="82"/>
  <c r="M12" i="82" s="1"/>
  <c r="J11" i="82"/>
  <c r="M11" i="82" s="1"/>
  <c r="J10" i="82"/>
  <c r="M10" i="82" s="1"/>
  <c r="J9" i="82"/>
  <c r="M9" i="82" s="1"/>
  <c r="J8" i="82"/>
  <c r="M8" i="82" s="1"/>
  <c r="J7" i="82"/>
  <c r="M7" i="82" s="1"/>
  <c r="J6" i="82"/>
  <c r="M6" i="82" s="1"/>
  <c r="J256" i="82"/>
  <c r="J5" i="82"/>
  <c r="J254" i="81"/>
  <c r="M254" i="81" s="1"/>
  <c r="J253" i="81"/>
  <c r="M253" i="81" s="1"/>
  <c r="J252" i="81"/>
  <c r="M252" i="81" s="1"/>
  <c r="J251" i="81"/>
  <c r="M251" i="81" s="1"/>
  <c r="J250" i="81"/>
  <c r="M250" i="81" s="1"/>
  <c r="J249" i="81"/>
  <c r="M249" i="81" s="1"/>
  <c r="J248" i="81"/>
  <c r="M248" i="81" s="1"/>
  <c r="J247" i="81"/>
  <c r="M247" i="81" s="1"/>
  <c r="J246" i="81"/>
  <c r="M246" i="81" s="1"/>
  <c r="J245" i="81"/>
  <c r="M245" i="81" s="1"/>
  <c r="J244" i="81"/>
  <c r="M244" i="81" s="1"/>
  <c r="J243" i="81"/>
  <c r="M243" i="81" s="1"/>
  <c r="J242" i="81"/>
  <c r="M242" i="81" s="1"/>
  <c r="J241" i="81"/>
  <c r="M241" i="81" s="1"/>
  <c r="J240" i="81"/>
  <c r="M240" i="81" s="1"/>
  <c r="J239" i="81"/>
  <c r="M239" i="81" s="1"/>
  <c r="J238" i="81"/>
  <c r="M238" i="81" s="1"/>
  <c r="J237" i="81"/>
  <c r="M237" i="81" s="1"/>
  <c r="J236" i="81"/>
  <c r="M236" i="81" s="1"/>
  <c r="J235" i="81"/>
  <c r="M235" i="81" s="1"/>
  <c r="J234" i="81"/>
  <c r="M234" i="81" s="1"/>
  <c r="J233" i="81"/>
  <c r="M233" i="81" s="1"/>
  <c r="J232" i="81"/>
  <c r="M232" i="81" s="1"/>
  <c r="J231" i="81"/>
  <c r="M231" i="81" s="1"/>
  <c r="J230" i="81"/>
  <c r="M230" i="81" s="1"/>
  <c r="J229" i="81"/>
  <c r="M229" i="81" s="1"/>
  <c r="J228" i="81"/>
  <c r="M228" i="81" s="1"/>
  <c r="J227" i="81"/>
  <c r="M227" i="81" s="1"/>
  <c r="J226" i="81"/>
  <c r="M226" i="81" s="1"/>
  <c r="J225" i="81"/>
  <c r="M225" i="81" s="1"/>
  <c r="J224" i="81"/>
  <c r="M224" i="81" s="1"/>
  <c r="J223" i="81"/>
  <c r="M223" i="81" s="1"/>
  <c r="J222" i="81"/>
  <c r="M222" i="81" s="1"/>
  <c r="J221" i="81"/>
  <c r="M221" i="81" s="1"/>
  <c r="J220" i="81"/>
  <c r="M220" i="81" s="1"/>
  <c r="J219" i="81"/>
  <c r="M219" i="81" s="1"/>
  <c r="J218" i="81"/>
  <c r="M218" i="81" s="1"/>
  <c r="J217" i="81"/>
  <c r="M217" i="81" s="1"/>
  <c r="J216" i="81"/>
  <c r="M216" i="81" s="1"/>
  <c r="J215" i="81"/>
  <c r="M215" i="81" s="1"/>
  <c r="J214" i="81"/>
  <c r="M214" i="81" s="1"/>
  <c r="J77" i="81"/>
  <c r="M77" i="81" s="1"/>
  <c r="J213" i="81"/>
  <c r="M213" i="81" s="1"/>
  <c r="J212" i="81"/>
  <c r="M212" i="81" s="1"/>
  <c r="J211" i="81"/>
  <c r="M211" i="81" s="1"/>
  <c r="J210" i="81"/>
  <c r="M210" i="81" s="1"/>
  <c r="J209" i="81"/>
  <c r="M209" i="81" s="1"/>
  <c r="J208" i="81"/>
  <c r="M208" i="81" s="1"/>
  <c r="J207" i="81"/>
  <c r="M207" i="81" s="1"/>
  <c r="J206" i="81"/>
  <c r="M206" i="81" s="1"/>
  <c r="J205" i="81"/>
  <c r="M205" i="81" s="1"/>
  <c r="J204" i="81"/>
  <c r="M204" i="81" s="1"/>
  <c r="J203" i="81"/>
  <c r="M203" i="81" s="1"/>
  <c r="J202" i="81"/>
  <c r="M202" i="81" s="1"/>
  <c r="J201" i="81"/>
  <c r="M201" i="81" s="1"/>
  <c r="J200" i="81"/>
  <c r="M200" i="81" s="1"/>
  <c r="J199" i="81"/>
  <c r="M199" i="81" s="1"/>
  <c r="J198" i="81"/>
  <c r="M198" i="81" s="1"/>
  <c r="J197" i="81"/>
  <c r="M197" i="81" s="1"/>
  <c r="J196" i="81"/>
  <c r="M196" i="81" s="1"/>
  <c r="J195" i="81"/>
  <c r="M195" i="81" s="1"/>
  <c r="J194" i="81"/>
  <c r="M194" i="81" s="1"/>
  <c r="J193" i="81"/>
  <c r="M193" i="81" s="1"/>
  <c r="J192" i="81"/>
  <c r="M192" i="81" s="1"/>
  <c r="J191" i="81"/>
  <c r="M191" i="81" s="1"/>
  <c r="J190" i="81"/>
  <c r="M190" i="81" s="1"/>
  <c r="J189" i="81"/>
  <c r="M189" i="81" s="1"/>
  <c r="J188" i="81"/>
  <c r="M188" i="81" s="1"/>
  <c r="J187" i="81"/>
  <c r="M187" i="81" s="1"/>
  <c r="J186" i="81"/>
  <c r="M186" i="81" s="1"/>
  <c r="J185" i="81"/>
  <c r="M185" i="81" s="1"/>
  <c r="J184" i="81"/>
  <c r="M184" i="81" s="1"/>
  <c r="J183" i="81"/>
  <c r="M183" i="81" s="1"/>
  <c r="J182" i="81"/>
  <c r="M182" i="81" s="1"/>
  <c r="J181" i="81"/>
  <c r="M181" i="81" s="1"/>
  <c r="J180" i="81"/>
  <c r="M180" i="81" s="1"/>
  <c r="J179" i="81"/>
  <c r="M179" i="81" s="1"/>
  <c r="J178" i="81"/>
  <c r="M178" i="81" s="1"/>
  <c r="J177" i="81"/>
  <c r="M177" i="81" s="1"/>
  <c r="J176" i="81"/>
  <c r="M176" i="81" s="1"/>
  <c r="J175" i="81"/>
  <c r="M175" i="81" s="1"/>
  <c r="J174" i="81"/>
  <c r="M174" i="81" s="1"/>
  <c r="J173" i="81"/>
  <c r="M173" i="81" s="1"/>
  <c r="J172" i="81"/>
  <c r="M172" i="81" s="1"/>
  <c r="J171" i="81"/>
  <c r="M171" i="81" s="1"/>
  <c r="J170" i="81"/>
  <c r="M170" i="81" s="1"/>
  <c r="J169" i="81"/>
  <c r="M169" i="81" s="1"/>
  <c r="J168" i="81"/>
  <c r="M168" i="81" s="1"/>
  <c r="J167" i="81"/>
  <c r="M167" i="81" s="1"/>
  <c r="J166" i="81"/>
  <c r="M166" i="81" s="1"/>
  <c r="J165" i="81"/>
  <c r="M165" i="81" s="1"/>
  <c r="J164" i="81"/>
  <c r="M164" i="81" s="1"/>
  <c r="J163" i="81"/>
  <c r="M163" i="81" s="1"/>
  <c r="J162" i="81"/>
  <c r="M162" i="81" s="1"/>
  <c r="J161" i="81"/>
  <c r="M161" i="81" s="1"/>
  <c r="J160" i="81"/>
  <c r="M160" i="81" s="1"/>
  <c r="J159" i="81"/>
  <c r="M159" i="81" s="1"/>
  <c r="J158" i="81"/>
  <c r="M158" i="81" s="1"/>
  <c r="J157" i="81"/>
  <c r="M157" i="81" s="1"/>
  <c r="J156" i="81"/>
  <c r="M156" i="81" s="1"/>
  <c r="J155" i="81"/>
  <c r="M155" i="81" s="1"/>
  <c r="J154" i="81"/>
  <c r="M154" i="81" s="1"/>
  <c r="J153" i="81"/>
  <c r="M153" i="81" s="1"/>
  <c r="J152" i="81"/>
  <c r="M152" i="81" s="1"/>
  <c r="J151" i="81"/>
  <c r="M151" i="81" s="1"/>
  <c r="J150" i="81"/>
  <c r="M150" i="81" s="1"/>
  <c r="J149" i="81"/>
  <c r="M149" i="81" s="1"/>
  <c r="J148" i="81"/>
  <c r="M148" i="81" s="1"/>
  <c r="J147" i="81"/>
  <c r="M147" i="81" s="1"/>
  <c r="J146" i="81"/>
  <c r="M146" i="81" s="1"/>
  <c r="J145" i="81"/>
  <c r="M145" i="81" s="1"/>
  <c r="J144" i="81"/>
  <c r="M144" i="81" s="1"/>
  <c r="J143" i="81"/>
  <c r="M143" i="81" s="1"/>
  <c r="J142" i="81"/>
  <c r="M142" i="81" s="1"/>
  <c r="J141" i="81"/>
  <c r="M141" i="81" s="1"/>
  <c r="J140" i="81"/>
  <c r="M140" i="81" s="1"/>
  <c r="J139" i="81"/>
  <c r="M139" i="81" s="1"/>
  <c r="J138" i="81"/>
  <c r="M138" i="81" s="1"/>
  <c r="J137" i="81"/>
  <c r="M137" i="81" s="1"/>
  <c r="J136" i="81"/>
  <c r="M136" i="81" s="1"/>
  <c r="J135" i="81"/>
  <c r="M135" i="81" s="1"/>
  <c r="J134" i="81"/>
  <c r="M134" i="81" s="1"/>
  <c r="J133" i="81"/>
  <c r="M133" i="81" s="1"/>
  <c r="J132" i="81"/>
  <c r="M132" i="81" s="1"/>
  <c r="J131" i="81"/>
  <c r="M131" i="81" s="1"/>
  <c r="J130" i="81"/>
  <c r="M130" i="81" s="1"/>
  <c r="J129" i="81"/>
  <c r="M129" i="81" s="1"/>
  <c r="J128" i="81"/>
  <c r="M128" i="81" s="1"/>
  <c r="J127" i="81"/>
  <c r="M127" i="81" s="1"/>
  <c r="J126" i="81"/>
  <c r="M126" i="81" s="1"/>
  <c r="J125" i="81"/>
  <c r="M125" i="81" s="1"/>
  <c r="J124" i="81"/>
  <c r="M124" i="81" s="1"/>
  <c r="J123" i="81"/>
  <c r="M123" i="81" s="1"/>
  <c r="J122" i="81"/>
  <c r="M122" i="81" s="1"/>
  <c r="J121" i="81"/>
  <c r="M121" i="81" s="1"/>
  <c r="J120" i="81"/>
  <c r="M120" i="81" s="1"/>
  <c r="J119" i="81"/>
  <c r="M119" i="81" s="1"/>
  <c r="J118" i="81"/>
  <c r="M118" i="81" s="1"/>
  <c r="J117" i="81"/>
  <c r="M117" i="81" s="1"/>
  <c r="J116" i="81"/>
  <c r="M116" i="81" s="1"/>
  <c r="J115" i="81"/>
  <c r="M115" i="81" s="1"/>
  <c r="J114" i="81"/>
  <c r="M114" i="81" s="1"/>
  <c r="J113" i="81"/>
  <c r="M113" i="81" s="1"/>
  <c r="J112" i="81"/>
  <c r="M112" i="81" s="1"/>
  <c r="J111" i="81"/>
  <c r="M111" i="81" s="1"/>
  <c r="J110" i="81"/>
  <c r="M110" i="81" s="1"/>
  <c r="J109" i="81"/>
  <c r="M109" i="81" s="1"/>
  <c r="J108" i="81"/>
  <c r="M108" i="81" s="1"/>
  <c r="J107" i="81"/>
  <c r="M107" i="81" s="1"/>
  <c r="J106" i="81"/>
  <c r="M106" i="81" s="1"/>
  <c r="J105" i="81"/>
  <c r="M105" i="81" s="1"/>
  <c r="J104" i="81"/>
  <c r="M104" i="81" s="1"/>
  <c r="J103" i="81"/>
  <c r="M103" i="81" s="1"/>
  <c r="J102" i="81"/>
  <c r="M102" i="81" s="1"/>
  <c r="J101" i="81"/>
  <c r="M101" i="81" s="1"/>
  <c r="J100" i="81"/>
  <c r="M100" i="81" s="1"/>
  <c r="J99" i="81"/>
  <c r="M99" i="81" s="1"/>
  <c r="J98" i="81"/>
  <c r="M98" i="81" s="1"/>
  <c r="J97" i="81"/>
  <c r="M97" i="81" s="1"/>
  <c r="J96" i="81"/>
  <c r="M96" i="81" s="1"/>
  <c r="J95" i="81"/>
  <c r="M95" i="81" s="1"/>
  <c r="J94" i="81"/>
  <c r="M94" i="81" s="1"/>
  <c r="J93" i="81"/>
  <c r="M93" i="81" s="1"/>
  <c r="J92" i="81"/>
  <c r="M92" i="81" s="1"/>
  <c r="J91" i="81"/>
  <c r="M91" i="81" s="1"/>
  <c r="J90" i="81"/>
  <c r="M90" i="81" s="1"/>
  <c r="J89" i="81"/>
  <c r="M89" i="81" s="1"/>
  <c r="J88" i="81"/>
  <c r="M88" i="81" s="1"/>
  <c r="J87" i="81"/>
  <c r="M87" i="81" s="1"/>
  <c r="J86" i="81"/>
  <c r="M86" i="81" s="1"/>
  <c r="J85" i="81"/>
  <c r="M85" i="81" s="1"/>
  <c r="J84" i="81"/>
  <c r="M84" i="81" s="1"/>
  <c r="J83" i="81"/>
  <c r="M83" i="81" s="1"/>
  <c r="J82" i="81"/>
  <c r="M82" i="81" s="1"/>
  <c r="J81" i="81"/>
  <c r="M81" i="81" s="1"/>
  <c r="J80" i="81"/>
  <c r="M80" i="81" s="1"/>
  <c r="J79" i="81"/>
  <c r="M79" i="81" s="1"/>
  <c r="J78" i="81"/>
  <c r="M78" i="81" s="1"/>
  <c r="J76" i="81"/>
  <c r="M76" i="81" s="1"/>
  <c r="J75" i="81"/>
  <c r="M75" i="81" s="1"/>
  <c r="J74" i="81"/>
  <c r="M74" i="81" s="1"/>
  <c r="J73" i="81"/>
  <c r="M73" i="81" s="1"/>
  <c r="J72" i="81"/>
  <c r="M72" i="81" s="1"/>
  <c r="J71" i="81"/>
  <c r="M71" i="81" s="1"/>
  <c r="J70" i="81"/>
  <c r="M70" i="81" s="1"/>
  <c r="J69" i="81"/>
  <c r="M69" i="81" s="1"/>
  <c r="J68" i="81"/>
  <c r="M68" i="81" s="1"/>
  <c r="J67" i="81"/>
  <c r="M67" i="81" s="1"/>
  <c r="J66" i="81"/>
  <c r="M66" i="81" s="1"/>
  <c r="J65" i="81"/>
  <c r="M65" i="81" s="1"/>
  <c r="J64" i="81"/>
  <c r="M64" i="81" s="1"/>
  <c r="J63" i="81"/>
  <c r="M63" i="81" s="1"/>
  <c r="J62" i="81"/>
  <c r="M62" i="81" s="1"/>
  <c r="J61" i="81"/>
  <c r="M61" i="81" s="1"/>
  <c r="J60" i="81"/>
  <c r="M60" i="81" s="1"/>
  <c r="J59" i="81"/>
  <c r="M59" i="81" s="1"/>
  <c r="J58" i="81"/>
  <c r="M58" i="81" s="1"/>
  <c r="J57" i="81"/>
  <c r="M57" i="81" s="1"/>
  <c r="J56" i="81"/>
  <c r="M56" i="81" s="1"/>
  <c r="J55" i="81"/>
  <c r="M55" i="81" s="1"/>
  <c r="J54" i="81"/>
  <c r="M54" i="81" s="1"/>
  <c r="J53" i="81"/>
  <c r="M53" i="81" s="1"/>
  <c r="J52" i="81"/>
  <c r="M52" i="81" s="1"/>
  <c r="J51" i="81"/>
  <c r="M51" i="81" s="1"/>
  <c r="J256" i="81"/>
  <c r="J50" i="81"/>
  <c r="M50" i="81" s="1"/>
  <c r="J49" i="81"/>
  <c r="M49" i="81" s="1"/>
  <c r="J48" i="81"/>
  <c r="M48" i="81" s="1"/>
  <c r="J47" i="81"/>
  <c r="M47" i="81" s="1"/>
  <c r="J46" i="81"/>
  <c r="M46" i="81" s="1"/>
  <c r="J45" i="81"/>
  <c r="M45" i="81" s="1"/>
  <c r="J44" i="81"/>
  <c r="M44" i="81" s="1"/>
  <c r="J43" i="81"/>
  <c r="M43" i="81" s="1"/>
  <c r="J42" i="81"/>
  <c r="M42" i="81" s="1"/>
  <c r="J41" i="81"/>
  <c r="M41" i="81" s="1"/>
  <c r="J40" i="81"/>
  <c r="M40" i="81" s="1"/>
  <c r="J39" i="81"/>
  <c r="M39" i="81" s="1"/>
  <c r="J38" i="81"/>
  <c r="M38" i="81" s="1"/>
  <c r="J37" i="81"/>
  <c r="M37" i="81" s="1"/>
  <c r="J36" i="81"/>
  <c r="M36" i="81" s="1"/>
  <c r="J35" i="81"/>
  <c r="M35" i="81" s="1"/>
  <c r="J34" i="81"/>
  <c r="M34" i="81" s="1"/>
  <c r="J33" i="81"/>
  <c r="M33" i="81" s="1"/>
  <c r="J32" i="81"/>
  <c r="M32" i="81" s="1"/>
  <c r="J31" i="81"/>
  <c r="M31" i="81" s="1"/>
  <c r="J30" i="81"/>
  <c r="M30" i="81" s="1"/>
  <c r="J29" i="81"/>
  <c r="M29" i="81" s="1"/>
  <c r="J28" i="81"/>
  <c r="M28" i="81" s="1"/>
  <c r="J27" i="81"/>
  <c r="M27" i="81" s="1"/>
  <c r="J26" i="81"/>
  <c r="M26" i="81" s="1"/>
  <c r="J25" i="81"/>
  <c r="M25" i="81" s="1"/>
  <c r="J24" i="81"/>
  <c r="M24" i="81" s="1"/>
  <c r="J23" i="81"/>
  <c r="M23" i="81" s="1"/>
  <c r="J22" i="81"/>
  <c r="M22" i="81" s="1"/>
  <c r="J21" i="81"/>
  <c r="M21" i="81" s="1"/>
  <c r="J20" i="81"/>
  <c r="M20" i="81" s="1"/>
  <c r="J19" i="81"/>
  <c r="M19" i="81" s="1"/>
  <c r="J18" i="81"/>
  <c r="M18" i="81" s="1"/>
  <c r="J17" i="81"/>
  <c r="M17" i="81" s="1"/>
  <c r="J16" i="81"/>
  <c r="M16" i="81" s="1"/>
  <c r="J15" i="81"/>
  <c r="M15" i="81" s="1"/>
  <c r="J14" i="81"/>
  <c r="M14" i="81" s="1"/>
  <c r="J13" i="81"/>
  <c r="M13" i="81" s="1"/>
  <c r="J12" i="81"/>
  <c r="M12" i="81" s="1"/>
  <c r="J11" i="81"/>
  <c r="M11" i="81" s="1"/>
  <c r="J10" i="81"/>
  <c r="M10" i="81" s="1"/>
  <c r="J9" i="81"/>
  <c r="M9" i="81" s="1"/>
  <c r="J8" i="81"/>
  <c r="M8" i="81" s="1"/>
  <c r="J7" i="81"/>
  <c r="M7" i="81" s="1"/>
  <c r="J6" i="81"/>
  <c r="M6" i="81" s="1"/>
  <c r="J5" i="81"/>
  <c r="J254" i="80"/>
  <c r="M254" i="80" s="1"/>
  <c r="J253" i="80"/>
  <c r="M253" i="80" s="1"/>
  <c r="J252" i="80"/>
  <c r="M252" i="80" s="1"/>
  <c r="J251" i="80"/>
  <c r="M251" i="80" s="1"/>
  <c r="J250" i="80"/>
  <c r="M250" i="80" s="1"/>
  <c r="J249" i="80"/>
  <c r="M249" i="80" s="1"/>
  <c r="J248" i="80"/>
  <c r="M248" i="80" s="1"/>
  <c r="J247" i="80"/>
  <c r="M247" i="80" s="1"/>
  <c r="J246" i="80"/>
  <c r="M246" i="80" s="1"/>
  <c r="J245" i="80"/>
  <c r="M245" i="80" s="1"/>
  <c r="J244" i="80"/>
  <c r="M244" i="80" s="1"/>
  <c r="J243" i="80"/>
  <c r="M243" i="80" s="1"/>
  <c r="J242" i="80"/>
  <c r="M242" i="80" s="1"/>
  <c r="J241" i="80"/>
  <c r="M241" i="80" s="1"/>
  <c r="J240" i="80"/>
  <c r="M240" i="80" s="1"/>
  <c r="J239" i="80"/>
  <c r="M239" i="80" s="1"/>
  <c r="J238" i="80"/>
  <c r="M238" i="80" s="1"/>
  <c r="J237" i="80"/>
  <c r="M237" i="80" s="1"/>
  <c r="J236" i="80"/>
  <c r="M236" i="80" s="1"/>
  <c r="J235" i="80"/>
  <c r="M235" i="80" s="1"/>
  <c r="J234" i="80"/>
  <c r="M234" i="80" s="1"/>
  <c r="J233" i="80"/>
  <c r="M233" i="80" s="1"/>
  <c r="J232" i="80"/>
  <c r="M232" i="80" s="1"/>
  <c r="J231" i="80"/>
  <c r="M231" i="80" s="1"/>
  <c r="J230" i="80"/>
  <c r="M230" i="80" s="1"/>
  <c r="J229" i="80"/>
  <c r="M229" i="80" s="1"/>
  <c r="J228" i="80"/>
  <c r="M228" i="80" s="1"/>
  <c r="J227" i="80"/>
  <c r="M227" i="80" s="1"/>
  <c r="J226" i="80"/>
  <c r="M226" i="80" s="1"/>
  <c r="J225" i="80"/>
  <c r="M225" i="80" s="1"/>
  <c r="J224" i="80"/>
  <c r="M224" i="80" s="1"/>
  <c r="J223" i="80"/>
  <c r="M223" i="80" s="1"/>
  <c r="J222" i="80"/>
  <c r="M222" i="80" s="1"/>
  <c r="J221" i="80"/>
  <c r="M221" i="80" s="1"/>
  <c r="J220" i="80"/>
  <c r="M220" i="80" s="1"/>
  <c r="J219" i="80"/>
  <c r="M219" i="80" s="1"/>
  <c r="J218" i="80"/>
  <c r="M218" i="80" s="1"/>
  <c r="J217" i="80"/>
  <c r="M217" i="80" s="1"/>
  <c r="J216" i="80"/>
  <c r="M216" i="80" s="1"/>
  <c r="J215" i="80"/>
  <c r="M215" i="80" s="1"/>
  <c r="J214" i="80"/>
  <c r="M214" i="80" s="1"/>
  <c r="J77" i="80"/>
  <c r="M77" i="80" s="1"/>
  <c r="J213" i="80"/>
  <c r="M213" i="80" s="1"/>
  <c r="J212" i="80"/>
  <c r="M212" i="80" s="1"/>
  <c r="J211" i="80"/>
  <c r="M211" i="80" s="1"/>
  <c r="J210" i="80"/>
  <c r="M210" i="80" s="1"/>
  <c r="J209" i="80"/>
  <c r="M209" i="80" s="1"/>
  <c r="J208" i="80"/>
  <c r="M208" i="80" s="1"/>
  <c r="J207" i="80"/>
  <c r="M207" i="80" s="1"/>
  <c r="J206" i="80"/>
  <c r="M206" i="80" s="1"/>
  <c r="J205" i="80"/>
  <c r="M205" i="80" s="1"/>
  <c r="J204" i="80"/>
  <c r="M204" i="80" s="1"/>
  <c r="J203" i="80"/>
  <c r="M203" i="80" s="1"/>
  <c r="J202" i="80"/>
  <c r="M202" i="80" s="1"/>
  <c r="J201" i="80"/>
  <c r="M201" i="80" s="1"/>
  <c r="J200" i="80"/>
  <c r="M200" i="80" s="1"/>
  <c r="J199" i="80"/>
  <c r="M199" i="80" s="1"/>
  <c r="J198" i="80"/>
  <c r="M198" i="80" s="1"/>
  <c r="J197" i="80"/>
  <c r="M197" i="80" s="1"/>
  <c r="J196" i="80"/>
  <c r="M196" i="80" s="1"/>
  <c r="J195" i="80"/>
  <c r="M195" i="80" s="1"/>
  <c r="J194" i="80"/>
  <c r="M194" i="80" s="1"/>
  <c r="J193" i="80"/>
  <c r="M193" i="80" s="1"/>
  <c r="J192" i="80"/>
  <c r="M192" i="80" s="1"/>
  <c r="J191" i="80"/>
  <c r="M191" i="80" s="1"/>
  <c r="J190" i="80"/>
  <c r="M190" i="80" s="1"/>
  <c r="J189" i="80"/>
  <c r="M189" i="80" s="1"/>
  <c r="J188" i="80"/>
  <c r="M188" i="80" s="1"/>
  <c r="J187" i="80"/>
  <c r="M187" i="80" s="1"/>
  <c r="J186" i="80"/>
  <c r="M186" i="80" s="1"/>
  <c r="J185" i="80"/>
  <c r="M185" i="80" s="1"/>
  <c r="J184" i="80"/>
  <c r="M184" i="80" s="1"/>
  <c r="J183" i="80"/>
  <c r="M183" i="80" s="1"/>
  <c r="J182" i="80"/>
  <c r="M182" i="80" s="1"/>
  <c r="J181" i="80"/>
  <c r="M181" i="80" s="1"/>
  <c r="J180" i="80"/>
  <c r="M180" i="80" s="1"/>
  <c r="J179" i="80"/>
  <c r="M179" i="80" s="1"/>
  <c r="J178" i="80"/>
  <c r="M178" i="80" s="1"/>
  <c r="J177" i="80"/>
  <c r="M177" i="80" s="1"/>
  <c r="J176" i="80"/>
  <c r="M176" i="80" s="1"/>
  <c r="J175" i="80"/>
  <c r="M175" i="80" s="1"/>
  <c r="J174" i="80"/>
  <c r="M174" i="80" s="1"/>
  <c r="J173" i="80"/>
  <c r="M173" i="80" s="1"/>
  <c r="J172" i="80"/>
  <c r="M172" i="80" s="1"/>
  <c r="J171" i="80"/>
  <c r="M171" i="80" s="1"/>
  <c r="J170" i="80"/>
  <c r="M170" i="80" s="1"/>
  <c r="J169" i="80"/>
  <c r="M169" i="80" s="1"/>
  <c r="J168" i="80"/>
  <c r="M168" i="80" s="1"/>
  <c r="J167" i="80"/>
  <c r="M167" i="80" s="1"/>
  <c r="J166" i="80"/>
  <c r="M166" i="80" s="1"/>
  <c r="J165" i="80"/>
  <c r="M165" i="80" s="1"/>
  <c r="J164" i="80"/>
  <c r="M164" i="80" s="1"/>
  <c r="J163" i="80"/>
  <c r="M163" i="80" s="1"/>
  <c r="J162" i="80"/>
  <c r="M162" i="80" s="1"/>
  <c r="J161" i="80"/>
  <c r="M161" i="80" s="1"/>
  <c r="J160" i="80"/>
  <c r="M160" i="80" s="1"/>
  <c r="J159" i="80"/>
  <c r="M159" i="80" s="1"/>
  <c r="J158" i="80"/>
  <c r="M158" i="80" s="1"/>
  <c r="J157" i="80"/>
  <c r="M157" i="80" s="1"/>
  <c r="J156" i="80"/>
  <c r="M156" i="80" s="1"/>
  <c r="J155" i="80"/>
  <c r="M155" i="80" s="1"/>
  <c r="J154" i="80"/>
  <c r="M154" i="80" s="1"/>
  <c r="J153" i="80"/>
  <c r="M153" i="80" s="1"/>
  <c r="J152" i="80"/>
  <c r="M152" i="80" s="1"/>
  <c r="J151" i="80"/>
  <c r="M151" i="80" s="1"/>
  <c r="J150" i="80"/>
  <c r="M150" i="80" s="1"/>
  <c r="J149" i="80"/>
  <c r="M149" i="80" s="1"/>
  <c r="J148" i="80"/>
  <c r="M148" i="80" s="1"/>
  <c r="J147" i="80"/>
  <c r="M147" i="80" s="1"/>
  <c r="J146" i="80"/>
  <c r="M146" i="80" s="1"/>
  <c r="J145" i="80"/>
  <c r="M145" i="80" s="1"/>
  <c r="J144" i="80"/>
  <c r="M144" i="80" s="1"/>
  <c r="J143" i="80"/>
  <c r="M143" i="80" s="1"/>
  <c r="J142" i="80"/>
  <c r="M142" i="80" s="1"/>
  <c r="J141" i="80"/>
  <c r="M141" i="80" s="1"/>
  <c r="J140" i="80"/>
  <c r="M140" i="80" s="1"/>
  <c r="J139" i="80"/>
  <c r="M139" i="80" s="1"/>
  <c r="J138" i="80"/>
  <c r="M138" i="80" s="1"/>
  <c r="J137" i="80"/>
  <c r="M137" i="80" s="1"/>
  <c r="J136" i="80"/>
  <c r="M136" i="80" s="1"/>
  <c r="J135" i="80"/>
  <c r="M135" i="80" s="1"/>
  <c r="J134" i="80"/>
  <c r="M134" i="80" s="1"/>
  <c r="J133" i="80"/>
  <c r="M133" i="80" s="1"/>
  <c r="J132" i="80"/>
  <c r="M132" i="80" s="1"/>
  <c r="J131" i="80"/>
  <c r="M131" i="80" s="1"/>
  <c r="J130" i="80"/>
  <c r="M130" i="80" s="1"/>
  <c r="J129" i="80"/>
  <c r="M129" i="80" s="1"/>
  <c r="J128" i="80"/>
  <c r="M128" i="80" s="1"/>
  <c r="J127" i="80"/>
  <c r="M127" i="80" s="1"/>
  <c r="J126" i="80"/>
  <c r="M126" i="80" s="1"/>
  <c r="J125" i="80"/>
  <c r="M125" i="80" s="1"/>
  <c r="J124" i="80"/>
  <c r="M124" i="80" s="1"/>
  <c r="J123" i="80"/>
  <c r="M123" i="80" s="1"/>
  <c r="J122" i="80"/>
  <c r="M122" i="80" s="1"/>
  <c r="J121" i="80"/>
  <c r="M121" i="80" s="1"/>
  <c r="J120" i="80"/>
  <c r="M120" i="80" s="1"/>
  <c r="J119" i="80"/>
  <c r="M119" i="80" s="1"/>
  <c r="J118" i="80"/>
  <c r="M118" i="80" s="1"/>
  <c r="J117" i="80"/>
  <c r="M117" i="80" s="1"/>
  <c r="J116" i="80"/>
  <c r="M116" i="80" s="1"/>
  <c r="J115" i="80"/>
  <c r="M115" i="80" s="1"/>
  <c r="J114" i="80"/>
  <c r="M114" i="80" s="1"/>
  <c r="J113" i="80"/>
  <c r="M113" i="80" s="1"/>
  <c r="J112" i="80"/>
  <c r="M112" i="80" s="1"/>
  <c r="J111" i="80"/>
  <c r="M111" i="80" s="1"/>
  <c r="J110" i="80"/>
  <c r="M110" i="80" s="1"/>
  <c r="J109" i="80"/>
  <c r="M109" i="80" s="1"/>
  <c r="J108" i="80"/>
  <c r="M108" i="80" s="1"/>
  <c r="J107" i="80"/>
  <c r="M107" i="80" s="1"/>
  <c r="J106" i="80"/>
  <c r="M106" i="80" s="1"/>
  <c r="J105" i="80"/>
  <c r="M105" i="80" s="1"/>
  <c r="J104" i="80"/>
  <c r="M104" i="80" s="1"/>
  <c r="J103" i="80"/>
  <c r="M103" i="80" s="1"/>
  <c r="J102" i="80"/>
  <c r="M102" i="80" s="1"/>
  <c r="J101" i="80"/>
  <c r="M101" i="80" s="1"/>
  <c r="J100" i="80"/>
  <c r="M100" i="80" s="1"/>
  <c r="J99" i="80"/>
  <c r="M99" i="80" s="1"/>
  <c r="J98" i="80"/>
  <c r="M98" i="80" s="1"/>
  <c r="J97" i="80"/>
  <c r="M97" i="80" s="1"/>
  <c r="J96" i="80"/>
  <c r="M96" i="80" s="1"/>
  <c r="J95" i="80"/>
  <c r="M95" i="80" s="1"/>
  <c r="J94" i="80"/>
  <c r="M94" i="80" s="1"/>
  <c r="J93" i="80"/>
  <c r="M93" i="80" s="1"/>
  <c r="J92" i="80"/>
  <c r="M92" i="80" s="1"/>
  <c r="J91" i="80"/>
  <c r="M91" i="80" s="1"/>
  <c r="J90" i="80"/>
  <c r="M90" i="80" s="1"/>
  <c r="J89" i="80"/>
  <c r="M89" i="80" s="1"/>
  <c r="J88" i="80"/>
  <c r="M88" i="80" s="1"/>
  <c r="J87" i="80"/>
  <c r="M87" i="80" s="1"/>
  <c r="J86" i="80"/>
  <c r="M86" i="80" s="1"/>
  <c r="J85" i="80"/>
  <c r="M85" i="80" s="1"/>
  <c r="J84" i="80"/>
  <c r="M84" i="80" s="1"/>
  <c r="J83" i="80"/>
  <c r="M83" i="80" s="1"/>
  <c r="J82" i="80"/>
  <c r="M82" i="80" s="1"/>
  <c r="J81" i="80"/>
  <c r="M81" i="80" s="1"/>
  <c r="J80" i="80"/>
  <c r="M80" i="80" s="1"/>
  <c r="J79" i="80"/>
  <c r="M79" i="80" s="1"/>
  <c r="J78" i="80"/>
  <c r="M78" i="80" s="1"/>
  <c r="J76" i="80"/>
  <c r="M76" i="80" s="1"/>
  <c r="J75" i="80"/>
  <c r="M75" i="80" s="1"/>
  <c r="J74" i="80"/>
  <c r="M74" i="80" s="1"/>
  <c r="J73" i="80"/>
  <c r="M73" i="80" s="1"/>
  <c r="J72" i="80"/>
  <c r="M72" i="80" s="1"/>
  <c r="J71" i="80"/>
  <c r="M71" i="80" s="1"/>
  <c r="J70" i="80"/>
  <c r="M70" i="80" s="1"/>
  <c r="J69" i="80"/>
  <c r="M69" i="80" s="1"/>
  <c r="J68" i="80"/>
  <c r="M68" i="80" s="1"/>
  <c r="J67" i="80"/>
  <c r="M67" i="80" s="1"/>
  <c r="J66" i="80"/>
  <c r="M66" i="80" s="1"/>
  <c r="J65" i="80"/>
  <c r="M65" i="80" s="1"/>
  <c r="J64" i="80"/>
  <c r="M64" i="80" s="1"/>
  <c r="J63" i="80"/>
  <c r="M63" i="80" s="1"/>
  <c r="J62" i="80"/>
  <c r="M62" i="80" s="1"/>
  <c r="J61" i="80"/>
  <c r="M61" i="80" s="1"/>
  <c r="J60" i="80"/>
  <c r="M60" i="80" s="1"/>
  <c r="J59" i="80"/>
  <c r="M59" i="80" s="1"/>
  <c r="J58" i="80"/>
  <c r="M58" i="80" s="1"/>
  <c r="J57" i="80"/>
  <c r="M57" i="80" s="1"/>
  <c r="J56" i="80"/>
  <c r="M56" i="80" s="1"/>
  <c r="J55" i="80"/>
  <c r="M55" i="80" s="1"/>
  <c r="J54" i="80"/>
  <c r="M54" i="80" s="1"/>
  <c r="J53" i="80"/>
  <c r="M53" i="80" s="1"/>
  <c r="J52" i="80"/>
  <c r="M52" i="80" s="1"/>
  <c r="J51" i="80"/>
  <c r="M51" i="80" s="1"/>
  <c r="J50" i="80"/>
  <c r="M50" i="80" s="1"/>
  <c r="J49" i="80"/>
  <c r="M49" i="80" s="1"/>
  <c r="J48" i="80"/>
  <c r="M48" i="80" s="1"/>
  <c r="J47" i="80"/>
  <c r="M47" i="80" s="1"/>
  <c r="J46" i="80"/>
  <c r="M46" i="80" s="1"/>
  <c r="J45" i="80"/>
  <c r="M45" i="80" s="1"/>
  <c r="J44" i="80"/>
  <c r="M44" i="80" s="1"/>
  <c r="J43" i="80"/>
  <c r="M43" i="80" s="1"/>
  <c r="J42" i="80"/>
  <c r="M42" i="80" s="1"/>
  <c r="J41" i="80"/>
  <c r="M41" i="80" s="1"/>
  <c r="J40" i="80"/>
  <c r="M40" i="80" s="1"/>
  <c r="J39" i="80"/>
  <c r="M39" i="80" s="1"/>
  <c r="J38" i="80"/>
  <c r="M38" i="80" s="1"/>
  <c r="J37" i="80"/>
  <c r="M37" i="80" s="1"/>
  <c r="J36" i="80"/>
  <c r="M36" i="80" s="1"/>
  <c r="J35" i="80"/>
  <c r="M35" i="80" s="1"/>
  <c r="J34" i="80"/>
  <c r="M34" i="80" s="1"/>
  <c r="J33" i="80"/>
  <c r="M33" i="80" s="1"/>
  <c r="J32" i="80"/>
  <c r="M32" i="80" s="1"/>
  <c r="J31" i="80"/>
  <c r="M31" i="80" s="1"/>
  <c r="J30" i="80"/>
  <c r="M30" i="80" s="1"/>
  <c r="J29" i="80"/>
  <c r="M29" i="80" s="1"/>
  <c r="J28" i="80"/>
  <c r="M28" i="80" s="1"/>
  <c r="J27" i="80"/>
  <c r="M27" i="80" s="1"/>
  <c r="J26" i="80"/>
  <c r="M26" i="80" s="1"/>
  <c r="J25" i="80"/>
  <c r="M25" i="80" s="1"/>
  <c r="J24" i="80"/>
  <c r="M24" i="80" s="1"/>
  <c r="J23" i="80"/>
  <c r="M23" i="80" s="1"/>
  <c r="J22" i="80"/>
  <c r="M22" i="80" s="1"/>
  <c r="J21" i="80"/>
  <c r="M21" i="80" s="1"/>
  <c r="J20" i="80"/>
  <c r="M20" i="80" s="1"/>
  <c r="J19" i="80"/>
  <c r="M19" i="80" s="1"/>
  <c r="J18" i="80"/>
  <c r="M18" i="80" s="1"/>
  <c r="J17" i="80"/>
  <c r="M17" i="80" s="1"/>
  <c r="J16" i="80"/>
  <c r="M16" i="80" s="1"/>
  <c r="J15" i="80"/>
  <c r="M15" i="80" s="1"/>
  <c r="J14" i="80"/>
  <c r="M14" i="80" s="1"/>
  <c r="J13" i="80"/>
  <c r="M13" i="80" s="1"/>
  <c r="J12" i="80"/>
  <c r="M12" i="80" s="1"/>
  <c r="J11" i="80"/>
  <c r="M11" i="80" s="1"/>
  <c r="J10" i="80"/>
  <c r="M10" i="80" s="1"/>
  <c r="J9" i="80"/>
  <c r="M9" i="80" s="1"/>
  <c r="J8" i="80"/>
  <c r="M8" i="80" s="1"/>
  <c r="J7" i="80"/>
  <c r="M7" i="80" s="1"/>
  <c r="J6" i="80"/>
  <c r="M6" i="80" s="1"/>
  <c r="J256" i="80"/>
  <c r="J5" i="80"/>
  <c r="J254" i="79"/>
  <c r="M254" i="79" s="1"/>
  <c r="J253" i="79"/>
  <c r="M253" i="79" s="1"/>
  <c r="J252" i="79"/>
  <c r="M252" i="79" s="1"/>
  <c r="J251" i="79"/>
  <c r="M251" i="79" s="1"/>
  <c r="J250" i="79"/>
  <c r="M250" i="79" s="1"/>
  <c r="J249" i="79"/>
  <c r="M249" i="79" s="1"/>
  <c r="J248" i="79"/>
  <c r="M248" i="79" s="1"/>
  <c r="J247" i="79"/>
  <c r="M247" i="79" s="1"/>
  <c r="J246" i="79"/>
  <c r="M246" i="79" s="1"/>
  <c r="J245" i="79"/>
  <c r="M245" i="79" s="1"/>
  <c r="J244" i="79"/>
  <c r="M244" i="79" s="1"/>
  <c r="J243" i="79"/>
  <c r="M243" i="79" s="1"/>
  <c r="J242" i="79"/>
  <c r="M242" i="79" s="1"/>
  <c r="J241" i="79"/>
  <c r="M241" i="79" s="1"/>
  <c r="J240" i="79"/>
  <c r="M240" i="79" s="1"/>
  <c r="J239" i="79"/>
  <c r="M239" i="79" s="1"/>
  <c r="J238" i="79"/>
  <c r="M238" i="79" s="1"/>
  <c r="J237" i="79"/>
  <c r="M237" i="79" s="1"/>
  <c r="J236" i="79"/>
  <c r="M236" i="79" s="1"/>
  <c r="J235" i="79"/>
  <c r="M235" i="79" s="1"/>
  <c r="J234" i="79"/>
  <c r="M234" i="79" s="1"/>
  <c r="J233" i="79"/>
  <c r="M233" i="79" s="1"/>
  <c r="J232" i="79"/>
  <c r="M232" i="79" s="1"/>
  <c r="J231" i="79"/>
  <c r="M231" i="79" s="1"/>
  <c r="J230" i="79"/>
  <c r="M230" i="79" s="1"/>
  <c r="J229" i="79"/>
  <c r="M229" i="79" s="1"/>
  <c r="J228" i="79"/>
  <c r="M228" i="79" s="1"/>
  <c r="J227" i="79"/>
  <c r="M227" i="79" s="1"/>
  <c r="J226" i="79"/>
  <c r="M226" i="79" s="1"/>
  <c r="J225" i="79"/>
  <c r="M225" i="79" s="1"/>
  <c r="J224" i="79"/>
  <c r="M224" i="79" s="1"/>
  <c r="J223" i="79"/>
  <c r="M223" i="79" s="1"/>
  <c r="J222" i="79"/>
  <c r="M222" i="79" s="1"/>
  <c r="J221" i="79"/>
  <c r="M221" i="79" s="1"/>
  <c r="J220" i="79"/>
  <c r="M220" i="79" s="1"/>
  <c r="J219" i="79"/>
  <c r="M219" i="79" s="1"/>
  <c r="J218" i="79"/>
  <c r="M218" i="79" s="1"/>
  <c r="J217" i="79"/>
  <c r="M217" i="79" s="1"/>
  <c r="J216" i="79"/>
  <c r="M216" i="79" s="1"/>
  <c r="J215" i="79"/>
  <c r="M215" i="79" s="1"/>
  <c r="J214" i="79"/>
  <c r="M214" i="79" s="1"/>
  <c r="J77" i="79"/>
  <c r="M77" i="79" s="1"/>
  <c r="J213" i="79"/>
  <c r="M213" i="79" s="1"/>
  <c r="J212" i="79"/>
  <c r="M212" i="79" s="1"/>
  <c r="J211" i="79"/>
  <c r="M211" i="79" s="1"/>
  <c r="J210" i="79"/>
  <c r="M210" i="79" s="1"/>
  <c r="J209" i="79"/>
  <c r="M209" i="79" s="1"/>
  <c r="J208" i="79"/>
  <c r="M208" i="79" s="1"/>
  <c r="J207" i="79"/>
  <c r="M207" i="79" s="1"/>
  <c r="J206" i="79"/>
  <c r="M206" i="79" s="1"/>
  <c r="J205" i="79"/>
  <c r="M205" i="79" s="1"/>
  <c r="J204" i="79"/>
  <c r="M204" i="79" s="1"/>
  <c r="J203" i="79"/>
  <c r="M203" i="79" s="1"/>
  <c r="J202" i="79"/>
  <c r="M202" i="79" s="1"/>
  <c r="J201" i="79"/>
  <c r="M201" i="79" s="1"/>
  <c r="J200" i="79"/>
  <c r="M200" i="79" s="1"/>
  <c r="J199" i="79"/>
  <c r="M199" i="79" s="1"/>
  <c r="J198" i="79"/>
  <c r="M198" i="79" s="1"/>
  <c r="J197" i="79"/>
  <c r="M197" i="79" s="1"/>
  <c r="J196" i="79"/>
  <c r="M196" i="79" s="1"/>
  <c r="J195" i="79"/>
  <c r="M195" i="79" s="1"/>
  <c r="J194" i="79"/>
  <c r="M194" i="79" s="1"/>
  <c r="J193" i="79"/>
  <c r="M193" i="79" s="1"/>
  <c r="J192" i="79"/>
  <c r="M192" i="79" s="1"/>
  <c r="J191" i="79"/>
  <c r="M191" i="79" s="1"/>
  <c r="J190" i="79"/>
  <c r="M190" i="79" s="1"/>
  <c r="J189" i="79"/>
  <c r="M189" i="79" s="1"/>
  <c r="J188" i="79"/>
  <c r="M188" i="79" s="1"/>
  <c r="J187" i="79"/>
  <c r="M187" i="79" s="1"/>
  <c r="J186" i="79"/>
  <c r="M186" i="79" s="1"/>
  <c r="J185" i="79"/>
  <c r="M185" i="79" s="1"/>
  <c r="J184" i="79"/>
  <c r="M184" i="79" s="1"/>
  <c r="J183" i="79"/>
  <c r="M183" i="79" s="1"/>
  <c r="J182" i="79"/>
  <c r="M182" i="79" s="1"/>
  <c r="J181" i="79"/>
  <c r="M181" i="79" s="1"/>
  <c r="J180" i="79"/>
  <c r="M180" i="79" s="1"/>
  <c r="J179" i="79"/>
  <c r="M179" i="79" s="1"/>
  <c r="J178" i="79"/>
  <c r="M178" i="79" s="1"/>
  <c r="J177" i="79"/>
  <c r="M177" i="79" s="1"/>
  <c r="J176" i="79"/>
  <c r="M176" i="79" s="1"/>
  <c r="J175" i="79"/>
  <c r="M175" i="79" s="1"/>
  <c r="J174" i="79"/>
  <c r="M174" i="79" s="1"/>
  <c r="J173" i="79"/>
  <c r="M173" i="79" s="1"/>
  <c r="J172" i="79"/>
  <c r="M172" i="79" s="1"/>
  <c r="J171" i="79"/>
  <c r="M171" i="79" s="1"/>
  <c r="J170" i="79"/>
  <c r="M170" i="79" s="1"/>
  <c r="J169" i="79"/>
  <c r="M169" i="79" s="1"/>
  <c r="J168" i="79"/>
  <c r="M168" i="79" s="1"/>
  <c r="J167" i="79"/>
  <c r="M167" i="79" s="1"/>
  <c r="J166" i="79"/>
  <c r="M166" i="79" s="1"/>
  <c r="J165" i="79"/>
  <c r="M165" i="79" s="1"/>
  <c r="J164" i="79"/>
  <c r="M164" i="79" s="1"/>
  <c r="J163" i="79"/>
  <c r="M163" i="79" s="1"/>
  <c r="J162" i="79"/>
  <c r="M162" i="79" s="1"/>
  <c r="J161" i="79"/>
  <c r="M161" i="79" s="1"/>
  <c r="J160" i="79"/>
  <c r="M160" i="79" s="1"/>
  <c r="J159" i="79"/>
  <c r="M159" i="79" s="1"/>
  <c r="J158" i="79"/>
  <c r="M158" i="79" s="1"/>
  <c r="J157" i="79"/>
  <c r="M157" i="79" s="1"/>
  <c r="J156" i="79"/>
  <c r="M156" i="79" s="1"/>
  <c r="J155" i="79"/>
  <c r="M155" i="79" s="1"/>
  <c r="J154" i="79"/>
  <c r="M154" i="79" s="1"/>
  <c r="J153" i="79"/>
  <c r="M153" i="79" s="1"/>
  <c r="J152" i="79"/>
  <c r="M152" i="79" s="1"/>
  <c r="J151" i="79"/>
  <c r="M151" i="79" s="1"/>
  <c r="J150" i="79"/>
  <c r="M150" i="79" s="1"/>
  <c r="J149" i="79"/>
  <c r="M149" i="79" s="1"/>
  <c r="J148" i="79"/>
  <c r="M148" i="79" s="1"/>
  <c r="J147" i="79"/>
  <c r="M147" i="79" s="1"/>
  <c r="J146" i="79"/>
  <c r="M146" i="79" s="1"/>
  <c r="J145" i="79"/>
  <c r="M145" i="79" s="1"/>
  <c r="J144" i="79"/>
  <c r="M144" i="79" s="1"/>
  <c r="J143" i="79"/>
  <c r="M143" i="79" s="1"/>
  <c r="J142" i="79"/>
  <c r="M142" i="79" s="1"/>
  <c r="J141" i="79"/>
  <c r="M141" i="79" s="1"/>
  <c r="J140" i="79"/>
  <c r="M140" i="79" s="1"/>
  <c r="J139" i="79"/>
  <c r="M139" i="79" s="1"/>
  <c r="J138" i="79"/>
  <c r="M138" i="79" s="1"/>
  <c r="J137" i="79"/>
  <c r="M137" i="79" s="1"/>
  <c r="J136" i="79"/>
  <c r="M136" i="79" s="1"/>
  <c r="J135" i="79"/>
  <c r="M135" i="79" s="1"/>
  <c r="J134" i="79"/>
  <c r="M134" i="79" s="1"/>
  <c r="J133" i="79"/>
  <c r="M133" i="79" s="1"/>
  <c r="J132" i="79"/>
  <c r="M132" i="79" s="1"/>
  <c r="J131" i="79"/>
  <c r="M131" i="79" s="1"/>
  <c r="J130" i="79"/>
  <c r="M130" i="79" s="1"/>
  <c r="J129" i="79"/>
  <c r="M129" i="79" s="1"/>
  <c r="J128" i="79"/>
  <c r="M128" i="79" s="1"/>
  <c r="J127" i="79"/>
  <c r="M127" i="79" s="1"/>
  <c r="J126" i="79"/>
  <c r="M126" i="79" s="1"/>
  <c r="J125" i="79"/>
  <c r="M125" i="79" s="1"/>
  <c r="J124" i="79"/>
  <c r="M124" i="79" s="1"/>
  <c r="J123" i="79"/>
  <c r="M123" i="79" s="1"/>
  <c r="J122" i="79"/>
  <c r="M122" i="79" s="1"/>
  <c r="J121" i="79"/>
  <c r="M121" i="79" s="1"/>
  <c r="J120" i="79"/>
  <c r="M120" i="79" s="1"/>
  <c r="J119" i="79"/>
  <c r="M119" i="79" s="1"/>
  <c r="J118" i="79"/>
  <c r="M118" i="79" s="1"/>
  <c r="J117" i="79"/>
  <c r="M117" i="79" s="1"/>
  <c r="J116" i="79"/>
  <c r="M116" i="79" s="1"/>
  <c r="J115" i="79"/>
  <c r="M115" i="79" s="1"/>
  <c r="J114" i="79"/>
  <c r="M114" i="79" s="1"/>
  <c r="J113" i="79"/>
  <c r="M113" i="79" s="1"/>
  <c r="J112" i="79"/>
  <c r="M112" i="79" s="1"/>
  <c r="J111" i="79"/>
  <c r="M111" i="79" s="1"/>
  <c r="J110" i="79"/>
  <c r="M110" i="79" s="1"/>
  <c r="J109" i="79"/>
  <c r="M109" i="79" s="1"/>
  <c r="J108" i="79"/>
  <c r="M108" i="79" s="1"/>
  <c r="J107" i="79"/>
  <c r="M107" i="79" s="1"/>
  <c r="J106" i="79"/>
  <c r="M106" i="79" s="1"/>
  <c r="J105" i="79"/>
  <c r="M105" i="79" s="1"/>
  <c r="J104" i="79"/>
  <c r="M104" i="79" s="1"/>
  <c r="J103" i="79"/>
  <c r="M103" i="79" s="1"/>
  <c r="J102" i="79"/>
  <c r="M102" i="79" s="1"/>
  <c r="J101" i="79"/>
  <c r="M101" i="79" s="1"/>
  <c r="J100" i="79"/>
  <c r="M100" i="79" s="1"/>
  <c r="J99" i="79"/>
  <c r="M99" i="79" s="1"/>
  <c r="J98" i="79"/>
  <c r="M98" i="79" s="1"/>
  <c r="J97" i="79"/>
  <c r="M97" i="79" s="1"/>
  <c r="J96" i="79"/>
  <c r="M96" i="79" s="1"/>
  <c r="J95" i="79"/>
  <c r="M95" i="79" s="1"/>
  <c r="J94" i="79"/>
  <c r="M94" i="79" s="1"/>
  <c r="J93" i="79"/>
  <c r="M93" i="79" s="1"/>
  <c r="J92" i="79"/>
  <c r="M92" i="79" s="1"/>
  <c r="J91" i="79"/>
  <c r="M91" i="79" s="1"/>
  <c r="J90" i="79"/>
  <c r="M90" i="79" s="1"/>
  <c r="J89" i="79"/>
  <c r="M89" i="79" s="1"/>
  <c r="J88" i="79"/>
  <c r="M88" i="79" s="1"/>
  <c r="J87" i="79"/>
  <c r="M87" i="79" s="1"/>
  <c r="J86" i="79"/>
  <c r="M86" i="79" s="1"/>
  <c r="J85" i="79"/>
  <c r="M85" i="79" s="1"/>
  <c r="J84" i="79"/>
  <c r="M84" i="79" s="1"/>
  <c r="J83" i="79"/>
  <c r="M83" i="79" s="1"/>
  <c r="J82" i="79"/>
  <c r="M82" i="79" s="1"/>
  <c r="J81" i="79"/>
  <c r="M81" i="79" s="1"/>
  <c r="J80" i="79"/>
  <c r="M80" i="79" s="1"/>
  <c r="J79" i="79"/>
  <c r="M79" i="79" s="1"/>
  <c r="J78" i="79"/>
  <c r="M78" i="79" s="1"/>
  <c r="J76" i="79"/>
  <c r="M76" i="79" s="1"/>
  <c r="J75" i="79"/>
  <c r="M75" i="79" s="1"/>
  <c r="J74" i="79"/>
  <c r="M74" i="79" s="1"/>
  <c r="J73" i="79"/>
  <c r="M73" i="79" s="1"/>
  <c r="J72" i="79"/>
  <c r="M72" i="79" s="1"/>
  <c r="J71" i="79"/>
  <c r="M71" i="79" s="1"/>
  <c r="J70" i="79"/>
  <c r="M70" i="79" s="1"/>
  <c r="J69" i="79"/>
  <c r="M69" i="79" s="1"/>
  <c r="J68" i="79"/>
  <c r="M68" i="79" s="1"/>
  <c r="J67" i="79"/>
  <c r="M67" i="79" s="1"/>
  <c r="J66" i="79"/>
  <c r="M66" i="79" s="1"/>
  <c r="J65" i="79"/>
  <c r="M65" i="79" s="1"/>
  <c r="J64" i="79"/>
  <c r="M64" i="79" s="1"/>
  <c r="J63" i="79"/>
  <c r="M63" i="79" s="1"/>
  <c r="J62" i="79"/>
  <c r="M62" i="79" s="1"/>
  <c r="J61" i="79"/>
  <c r="M61" i="79" s="1"/>
  <c r="J60" i="79"/>
  <c r="M60" i="79" s="1"/>
  <c r="J59" i="79"/>
  <c r="M59" i="79" s="1"/>
  <c r="J58" i="79"/>
  <c r="M58" i="79" s="1"/>
  <c r="J57" i="79"/>
  <c r="M57" i="79" s="1"/>
  <c r="J56" i="79"/>
  <c r="M56" i="79" s="1"/>
  <c r="J55" i="79"/>
  <c r="M55" i="79" s="1"/>
  <c r="J54" i="79"/>
  <c r="M54" i="79" s="1"/>
  <c r="J53" i="79"/>
  <c r="M53" i="79" s="1"/>
  <c r="J52" i="79"/>
  <c r="M52" i="79" s="1"/>
  <c r="J51" i="79"/>
  <c r="M51" i="79" s="1"/>
  <c r="J50" i="79"/>
  <c r="M50" i="79" s="1"/>
  <c r="J49" i="79"/>
  <c r="M49" i="79" s="1"/>
  <c r="J48" i="79"/>
  <c r="M48" i="79" s="1"/>
  <c r="J47" i="79"/>
  <c r="M47" i="79" s="1"/>
  <c r="J46" i="79"/>
  <c r="M46" i="79" s="1"/>
  <c r="J45" i="79"/>
  <c r="M45" i="79" s="1"/>
  <c r="J44" i="79"/>
  <c r="M44" i="79" s="1"/>
  <c r="J43" i="79"/>
  <c r="M43" i="79" s="1"/>
  <c r="J42" i="79"/>
  <c r="M42" i="79" s="1"/>
  <c r="J41" i="79"/>
  <c r="M41" i="79" s="1"/>
  <c r="J40" i="79"/>
  <c r="M40" i="79" s="1"/>
  <c r="J39" i="79"/>
  <c r="M39" i="79" s="1"/>
  <c r="J38" i="79"/>
  <c r="M38" i="79" s="1"/>
  <c r="J37" i="79"/>
  <c r="M37" i="79" s="1"/>
  <c r="J36" i="79"/>
  <c r="M36" i="79" s="1"/>
  <c r="J35" i="79"/>
  <c r="M35" i="79" s="1"/>
  <c r="J34" i="79"/>
  <c r="M34" i="79" s="1"/>
  <c r="J33" i="79"/>
  <c r="M33" i="79" s="1"/>
  <c r="J32" i="79"/>
  <c r="M32" i="79" s="1"/>
  <c r="J31" i="79"/>
  <c r="M31" i="79" s="1"/>
  <c r="J30" i="79"/>
  <c r="M30" i="79" s="1"/>
  <c r="J29" i="79"/>
  <c r="M29" i="79" s="1"/>
  <c r="J28" i="79"/>
  <c r="M28" i="79" s="1"/>
  <c r="J27" i="79"/>
  <c r="M27" i="79" s="1"/>
  <c r="J26" i="79"/>
  <c r="M26" i="79" s="1"/>
  <c r="J25" i="79"/>
  <c r="M25" i="79" s="1"/>
  <c r="J24" i="79"/>
  <c r="M24" i="79" s="1"/>
  <c r="J23" i="79"/>
  <c r="M23" i="79" s="1"/>
  <c r="J22" i="79"/>
  <c r="M22" i="79" s="1"/>
  <c r="J21" i="79"/>
  <c r="M21" i="79" s="1"/>
  <c r="J20" i="79"/>
  <c r="M20" i="79" s="1"/>
  <c r="J19" i="79"/>
  <c r="M19" i="79" s="1"/>
  <c r="J18" i="79"/>
  <c r="M18" i="79" s="1"/>
  <c r="J17" i="79"/>
  <c r="M17" i="79" s="1"/>
  <c r="J16" i="79"/>
  <c r="M16" i="79" s="1"/>
  <c r="J15" i="79"/>
  <c r="M15" i="79" s="1"/>
  <c r="J14" i="79"/>
  <c r="M14" i="79" s="1"/>
  <c r="J13" i="79"/>
  <c r="M13" i="79" s="1"/>
  <c r="J12" i="79"/>
  <c r="M12" i="79" s="1"/>
  <c r="J11" i="79"/>
  <c r="M11" i="79" s="1"/>
  <c r="J10" i="79"/>
  <c r="M10" i="79" s="1"/>
  <c r="J9" i="79"/>
  <c r="M9" i="79" s="1"/>
  <c r="J8" i="79"/>
  <c r="M8" i="79" s="1"/>
  <c r="J7" i="79"/>
  <c r="M7" i="79" s="1"/>
  <c r="J6" i="79"/>
  <c r="M6" i="79" s="1"/>
  <c r="J256" i="79"/>
  <c r="J5" i="79"/>
  <c r="J254" i="78"/>
  <c r="M254" i="78" s="1"/>
  <c r="J253" i="78"/>
  <c r="M253" i="78" s="1"/>
  <c r="J252" i="78"/>
  <c r="M252" i="78" s="1"/>
  <c r="J251" i="78"/>
  <c r="M251" i="78" s="1"/>
  <c r="J250" i="78"/>
  <c r="M250" i="78" s="1"/>
  <c r="J249" i="78"/>
  <c r="M249" i="78" s="1"/>
  <c r="J248" i="78"/>
  <c r="M248" i="78" s="1"/>
  <c r="J247" i="78"/>
  <c r="M247" i="78" s="1"/>
  <c r="J246" i="78"/>
  <c r="M246" i="78" s="1"/>
  <c r="J245" i="78"/>
  <c r="M245" i="78" s="1"/>
  <c r="J244" i="78"/>
  <c r="M244" i="78" s="1"/>
  <c r="J243" i="78"/>
  <c r="M243" i="78" s="1"/>
  <c r="J242" i="78"/>
  <c r="M242" i="78" s="1"/>
  <c r="J241" i="78"/>
  <c r="M241" i="78" s="1"/>
  <c r="J240" i="78"/>
  <c r="M240" i="78" s="1"/>
  <c r="J239" i="78"/>
  <c r="M239" i="78" s="1"/>
  <c r="J238" i="78"/>
  <c r="M238" i="78" s="1"/>
  <c r="J237" i="78"/>
  <c r="M237" i="78" s="1"/>
  <c r="J236" i="78"/>
  <c r="M236" i="78" s="1"/>
  <c r="J235" i="78"/>
  <c r="M235" i="78" s="1"/>
  <c r="J234" i="78"/>
  <c r="M234" i="78" s="1"/>
  <c r="J233" i="78"/>
  <c r="M233" i="78" s="1"/>
  <c r="J232" i="78"/>
  <c r="M232" i="78" s="1"/>
  <c r="J231" i="78"/>
  <c r="M231" i="78" s="1"/>
  <c r="J230" i="78"/>
  <c r="M230" i="78" s="1"/>
  <c r="J229" i="78"/>
  <c r="M229" i="78" s="1"/>
  <c r="J228" i="78"/>
  <c r="M228" i="78" s="1"/>
  <c r="J227" i="78"/>
  <c r="M227" i="78" s="1"/>
  <c r="J226" i="78"/>
  <c r="M226" i="78" s="1"/>
  <c r="J225" i="78"/>
  <c r="M225" i="78" s="1"/>
  <c r="J224" i="78"/>
  <c r="M224" i="78" s="1"/>
  <c r="J223" i="78"/>
  <c r="M223" i="78" s="1"/>
  <c r="J222" i="78"/>
  <c r="M222" i="78" s="1"/>
  <c r="J221" i="78"/>
  <c r="M221" i="78" s="1"/>
  <c r="J220" i="78"/>
  <c r="M220" i="78" s="1"/>
  <c r="J219" i="78"/>
  <c r="M219" i="78" s="1"/>
  <c r="J218" i="78"/>
  <c r="M218" i="78" s="1"/>
  <c r="J217" i="78"/>
  <c r="M217" i="78" s="1"/>
  <c r="J216" i="78"/>
  <c r="M216" i="78" s="1"/>
  <c r="J215" i="78"/>
  <c r="M215" i="78" s="1"/>
  <c r="J214" i="78"/>
  <c r="M214" i="78" s="1"/>
  <c r="J77" i="78"/>
  <c r="M77" i="78" s="1"/>
  <c r="J213" i="78"/>
  <c r="M213" i="78" s="1"/>
  <c r="J212" i="78"/>
  <c r="M212" i="78" s="1"/>
  <c r="J211" i="78"/>
  <c r="M211" i="78" s="1"/>
  <c r="J210" i="78"/>
  <c r="M210" i="78" s="1"/>
  <c r="J209" i="78"/>
  <c r="M209" i="78" s="1"/>
  <c r="J208" i="78"/>
  <c r="M208" i="78" s="1"/>
  <c r="J207" i="78"/>
  <c r="M207" i="78" s="1"/>
  <c r="J206" i="78"/>
  <c r="M206" i="78" s="1"/>
  <c r="J205" i="78"/>
  <c r="M205" i="78" s="1"/>
  <c r="J204" i="78"/>
  <c r="M204" i="78" s="1"/>
  <c r="J203" i="78"/>
  <c r="M203" i="78" s="1"/>
  <c r="J202" i="78"/>
  <c r="M202" i="78" s="1"/>
  <c r="J201" i="78"/>
  <c r="M201" i="78" s="1"/>
  <c r="J200" i="78"/>
  <c r="M200" i="78" s="1"/>
  <c r="J199" i="78"/>
  <c r="M199" i="78" s="1"/>
  <c r="J198" i="78"/>
  <c r="M198" i="78" s="1"/>
  <c r="J197" i="78"/>
  <c r="M197" i="78" s="1"/>
  <c r="J196" i="78"/>
  <c r="M196" i="78" s="1"/>
  <c r="J195" i="78"/>
  <c r="M195" i="78" s="1"/>
  <c r="J194" i="78"/>
  <c r="M194" i="78" s="1"/>
  <c r="J193" i="78"/>
  <c r="M193" i="78" s="1"/>
  <c r="J192" i="78"/>
  <c r="M192" i="78" s="1"/>
  <c r="J191" i="78"/>
  <c r="M191" i="78" s="1"/>
  <c r="J190" i="78"/>
  <c r="M190" i="78" s="1"/>
  <c r="J189" i="78"/>
  <c r="M189" i="78" s="1"/>
  <c r="J188" i="78"/>
  <c r="M188" i="78" s="1"/>
  <c r="J187" i="78"/>
  <c r="M187" i="78" s="1"/>
  <c r="J186" i="78"/>
  <c r="M186" i="78" s="1"/>
  <c r="J185" i="78"/>
  <c r="M185" i="78" s="1"/>
  <c r="J184" i="78"/>
  <c r="M184" i="78" s="1"/>
  <c r="J183" i="78"/>
  <c r="M183" i="78" s="1"/>
  <c r="J182" i="78"/>
  <c r="M182" i="78" s="1"/>
  <c r="J181" i="78"/>
  <c r="M181" i="78" s="1"/>
  <c r="J180" i="78"/>
  <c r="M180" i="78" s="1"/>
  <c r="J179" i="78"/>
  <c r="M179" i="78" s="1"/>
  <c r="J178" i="78"/>
  <c r="M178" i="78" s="1"/>
  <c r="J177" i="78"/>
  <c r="M177" i="78" s="1"/>
  <c r="J176" i="78"/>
  <c r="M176" i="78" s="1"/>
  <c r="J175" i="78"/>
  <c r="M175" i="78" s="1"/>
  <c r="J174" i="78"/>
  <c r="M174" i="78" s="1"/>
  <c r="J173" i="78"/>
  <c r="M173" i="78" s="1"/>
  <c r="J172" i="78"/>
  <c r="M172" i="78" s="1"/>
  <c r="J171" i="78"/>
  <c r="M171" i="78" s="1"/>
  <c r="J170" i="78"/>
  <c r="M170" i="78" s="1"/>
  <c r="J169" i="78"/>
  <c r="M169" i="78" s="1"/>
  <c r="J168" i="78"/>
  <c r="M168" i="78" s="1"/>
  <c r="J167" i="78"/>
  <c r="M167" i="78" s="1"/>
  <c r="J166" i="78"/>
  <c r="M166" i="78" s="1"/>
  <c r="J165" i="78"/>
  <c r="M165" i="78" s="1"/>
  <c r="J164" i="78"/>
  <c r="M164" i="78" s="1"/>
  <c r="J163" i="78"/>
  <c r="M163" i="78" s="1"/>
  <c r="J162" i="78"/>
  <c r="M162" i="78" s="1"/>
  <c r="J161" i="78"/>
  <c r="M161" i="78" s="1"/>
  <c r="J160" i="78"/>
  <c r="M160" i="78" s="1"/>
  <c r="J159" i="78"/>
  <c r="M159" i="78" s="1"/>
  <c r="J158" i="78"/>
  <c r="M158" i="78" s="1"/>
  <c r="J157" i="78"/>
  <c r="M157" i="78" s="1"/>
  <c r="J156" i="78"/>
  <c r="M156" i="78" s="1"/>
  <c r="J155" i="78"/>
  <c r="M155" i="78" s="1"/>
  <c r="J154" i="78"/>
  <c r="M154" i="78" s="1"/>
  <c r="J153" i="78"/>
  <c r="M153" i="78" s="1"/>
  <c r="J152" i="78"/>
  <c r="M152" i="78" s="1"/>
  <c r="J151" i="78"/>
  <c r="M151" i="78" s="1"/>
  <c r="J150" i="78"/>
  <c r="M150" i="78" s="1"/>
  <c r="J149" i="78"/>
  <c r="M149" i="78" s="1"/>
  <c r="J148" i="78"/>
  <c r="M148" i="78" s="1"/>
  <c r="J147" i="78"/>
  <c r="M147" i="78" s="1"/>
  <c r="J146" i="78"/>
  <c r="M146" i="78" s="1"/>
  <c r="J145" i="78"/>
  <c r="M145" i="78" s="1"/>
  <c r="J144" i="78"/>
  <c r="M144" i="78" s="1"/>
  <c r="J143" i="78"/>
  <c r="M143" i="78" s="1"/>
  <c r="J142" i="78"/>
  <c r="M142" i="78" s="1"/>
  <c r="J141" i="78"/>
  <c r="M141" i="78" s="1"/>
  <c r="J140" i="78"/>
  <c r="M140" i="78" s="1"/>
  <c r="J139" i="78"/>
  <c r="M139" i="78" s="1"/>
  <c r="J138" i="78"/>
  <c r="M138" i="78" s="1"/>
  <c r="J137" i="78"/>
  <c r="M137" i="78" s="1"/>
  <c r="J136" i="78"/>
  <c r="M136" i="78" s="1"/>
  <c r="J135" i="78"/>
  <c r="M135" i="78" s="1"/>
  <c r="J134" i="78"/>
  <c r="M134" i="78" s="1"/>
  <c r="J133" i="78"/>
  <c r="M133" i="78" s="1"/>
  <c r="J132" i="78"/>
  <c r="M132" i="78" s="1"/>
  <c r="J131" i="78"/>
  <c r="M131" i="78" s="1"/>
  <c r="J130" i="78"/>
  <c r="M130" i="78" s="1"/>
  <c r="J129" i="78"/>
  <c r="M129" i="78" s="1"/>
  <c r="J128" i="78"/>
  <c r="M128" i="78" s="1"/>
  <c r="J127" i="78"/>
  <c r="M127" i="78" s="1"/>
  <c r="J126" i="78"/>
  <c r="M126" i="78" s="1"/>
  <c r="J125" i="78"/>
  <c r="M125" i="78" s="1"/>
  <c r="J124" i="78"/>
  <c r="M124" i="78" s="1"/>
  <c r="J123" i="78"/>
  <c r="M123" i="78" s="1"/>
  <c r="J122" i="78"/>
  <c r="M122" i="78" s="1"/>
  <c r="J121" i="78"/>
  <c r="M121" i="78" s="1"/>
  <c r="J120" i="78"/>
  <c r="M120" i="78" s="1"/>
  <c r="J119" i="78"/>
  <c r="M119" i="78" s="1"/>
  <c r="J118" i="78"/>
  <c r="M118" i="78" s="1"/>
  <c r="J117" i="78"/>
  <c r="M117" i="78" s="1"/>
  <c r="J116" i="78"/>
  <c r="M116" i="78" s="1"/>
  <c r="J115" i="78"/>
  <c r="M115" i="78" s="1"/>
  <c r="J114" i="78"/>
  <c r="M114" i="78" s="1"/>
  <c r="J113" i="78"/>
  <c r="M113" i="78" s="1"/>
  <c r="J112" i="78"/>
  <c r="M112" i="78" s="1"/>
  <c r="J111" i="78"/>
  <c r="M111" i="78" s="1"/>
  <c r="J110" i="78"/>
  <c r="M110" i="78" s="1"/>
  <c r="J109" i="78"/>
  <c r="M109" i="78" s="1"/>
  <c r="J108" i="78"/>
  <c r="M108" i="78" s="1"/>
  <c r="J107" i="78"/>
  <c r="M107" i="78" s="1"/>
  <c r="J106" i="78"/>
  <c r="M106" i="78" s="1"/>
  <c r="J105" i="78"/>
  <c r="M105" i="78" s="1"/>
  <c r="J104" i="78"/>
  <c r="M104" i="78" s="1"/>
  <c r="J103" i="78"/>
  <c r="M103" i="78" s="1"/>
  <c r="J102" i="78"/>
  <c r="M102" i="78" s="1"/>
  <c r="J101" i="78"/>
  <c r="M101" i="78" s="1"/>
  <c r="J100" i="78"/>
  <c r="M100" i="78" s="1"/>
  <c r="J99" i="78"/>
  <c r="M99" i="78" s="1"/>
  <c r="J98" i="78"/>
  <c r="M98" i="78" s="1"/>
  <c r="J97" i="78"/>
  <c r="M97" i="78" s="1"/>
  <c r="J96" i="78"/>
  <c r="M96" i="78" s="1"/>
  <c r="J95" i="78"/>
  <c r="M95" i="78" s="1"/>
  <c r="J94" i="78"/>
  <c r="M94" i="78" s="1"/>
  <c r="J93" i="78"/>
  <c r="M93" i="78" s="1"/>
  <c r="J92" i="78"/>
  <c r="M92" i="78" s="1"/>
  <c r="J91" i="78"/>
  <c r="M91" i="78" s="1"/>
  <c r="J90" i="78"/>
  <c r="M90" i="78" s="1"/>
  <c r="J89" i="78"/>
  <c r="M89" i="78" s="1"/>
  <c r="J88" i="78"/>
  <c r="M88" i="78" s="1"/>
  <c r="J87" i="78"/>
  <c r="M87" i="78" s="1"/>
  <c r="J86" i="78"/>
  <c r="M86" i="78" s="1"/>
  <c r="J85" i="78"/>
  <c r="M85" i="78" s="1"/>
  <c r="J84" i="78"/>
  <c r="M84" i="78" s="1"/>
  <c r="J83" i="78"/>
  <c r="M83" i="78" s="1"/>
  <c r="J82" i="78"/>
  <c r="M82" i="78" s="1"/>
  <c r="J81" i="78"/>
  <c r="M81" i="78" s="1"/>
  <c r="J80" i="78"/>
  <c r="M80" i="78" s="1"/>
  <c r="J79" i="78"/>
  <c r="M79" i="78" s="1"/>
  <c r="J78" i="78"/>
  <c r="M78" i="78" s="1"/>
  <c r="J76" i="78"/>
  <c r="M76" i="78" s="1"/>
  <c r="J75" i="78"/>
  <c r="M75" i="78" s="1"/>
  <c r="J74" i="78"/>
  <c r="M74" i="78" s="1"/>
  <c r="J73" i="78"/>
  <c r="M73" i="78" s="1"/>
  <c r="J72" i="78"/>
  <c r="M72" i="78" s="1"/>
  <c r="J71" i="78"/>
  <c r="M71" i="78" s="1"/>
  <c r="J70" i="78"/>
  <c r="M70" i="78" s="1"/>
  <c r="J69" i="78"/>
  <c r="M69" i="78" s="1"/>
  <c r="J68" i="78"/>
  <c r="M68" i="78" s="1"/>
  <c r="J67" i="78"/>
  <c r="M67" i="78" s="1"/>
  <c r="J66" i="78"/>
  <c r="M66" i="78" s="1"/>
  <c r="J65" i="78"/>
  <c r="M65" i="78" s="1"/>
  <c r="J64" i="78"/>
  <c r="M64" i="78" s="1"/>
  <c r="J63" i="78"/>
  <c r="M63" i="78" s="1"/>
  <c r="J62" i="78"/>
  <c r="M62" i="78" s="1"/>
  <c r="J61" i="78"/>
  <c r="M61" i="78" s="1"/>
  <c r="J60" i="78"/>
  <c r="M60" i="78" s="1"/>
  <c r="J59" i="78"/>
  <c r="M59" i="78" s="1"/>
  <c r="J58" i="78"/>
  <c r="M58" i="78" s="1"/>
  <c r="J57" i="78"/>
  <c r="M57" i="78" s="1"/>
  <c r="J56" i="78"/>
  <c r="M56" i="78" s="1"/>
  <c r="J55" i="78"/>
  <c r="M55" i="78" s="1"/>
  <c r="J54" i="78"/>
  <c r="M54" i="78" s="1"/>
  <c r="J53" i="78"/>
  <c r="M53" i="78" s="1"/>
  <c r="J52" i="78"/>
  <c r="M52" i="78" s="1"/>
  <c r="J51" i="78"/>
  <c r="M51" i="78" s="1"/>
  <c r="J50" i="78"/>
  <c r="M50" i="78" s="1"/>
  <c r="J49" i="78"/>
  <c r="M49" i="78" s="1"/>
  <c r="J48" i="78"/>
  <c r="M48" i="78" s="1"/>
  <c r="J47" i="78"/>
  <c r="M47" i="78" s="1"/>
  <c r="J46" i="78"/>
  <c r="M46" i="78" s="1"/>
  <c r="J45" i="78"/>
  <c r="M45" i="78" s="1"/>
  <c r="J44" i="78"/>
  <c r="M44" i="78" s="1"/>
  <c r="J43" i="78"/>
  <c r="M43" i="78" s="1"/>
  <c r="J42" i="78"/>
  <c r="M42" i="78" s="1"/>
  <c r="J41" i="78"/>
  <c r="M41" i="78" s="1"/>
  <c r="J40" i="78"/>
  <c r="M40" i="78" s="1"/>
  <c r="J39" i="78"/>
  <c r="M39" i="78" s="1"/>
  <c r="J38" i="78"/>
  <c r="M38" i="78" s="1"/>
  <c r="J37" i="78"/>
  <c r="M37" i="78" s="1"/>
  <c r="J36" i="78"/>
  <c r="M36" i="78" s="1"/>
  <c r="J35" i="78"/>
  <c r="M35" i="78" s="1"/>
  <c r="J34" i="78"/>
  <c r="M34" i="78" s="1"/>
  <c r="J33" i="78"/>
  <c r="M33" i="78" s="1"/>
  <c r="J32" i="78"/>
  <c r="M32" i="78" s="1"/>
  <c r="J31" i="78"/>
  <c r="M31" i="78" s="1"/>
  <c r="J30" i="78"/>
  <c r="M30" i="78" s="1"/>
  <c r="J29" i="78"/>
  <c r="M29" i="78" s="1"/>
  <c r="J28" i="78"/>
  <c r="M28" i="78" s="1"/>
  <c r="J27" i="78"/>
  <c r="M27" i="78" s="1"/>
  <c r="J26" i="78"/>
  <c r="M26" i="78" s="1"/>
  <c r="J25" i="78"/>
  <c r="M25" i="78" s="1"/>
  <c r="J24" i="78"/>
  <c r="M24" i="78" s="1"/>
  <c r="J23" i="78"/>
  <c r="M23" i="78" s="1"/>
  <c r="J22" i="78"/>
  <c r="M22" i="78" s="1"/>
  <c r="J21" i="78"/>
  <c r="M21" i="78" s="1"/>
  <c r="J20" i="78"/>
  <c r="M20" i="78" s="1"/>
  <c r="J19" i="78"/>
  <c r="M19" i="78" s="1"/>
  <c r="J18" i="78"/>
  <c r="M18" i="78" s="1"/>
  <c r="J17" i="78"/>
  <c r="M17" i="78" s="1"/>
  <c r="J16" i="78"/>
  <c r="M16" i="78" s="1"/>
  <c r="J15" i="78"/>
  <c r="M15" i="78" s="1"/>
  <c r="J14" i="78"/>
  <c r="M14" i="78" s="1"/>
  <c r="J13" i="78"/>
  <c r="M13" i="78" s="1"/>
  <c r="J12" i="78"/>
  <c r="M12" i="78" s="1"/>
  <c r="J11" i="78"/>
  <c r="M11" i="78" s="1"/>
  <c r="J10" i="78"/>
  <c r="M10" i="78" s="1"/>
  <c r="J9" i="78"/>
  <c r="M9" i="78" s="1"/>
  <c r="J8" i="78"/>
  <c r="M8" i="78" s="1"/>
  <c r="J7" i="78"/>
  <c r="M7" i="78" s="1"/>
  <c r="J6" i="78"/>
  <c r="M6" i="78" s="1"/>
  <c r="J5" i="78"/>
  <c r="J254" i="77"/>
  <c r="M254" i="77" s="1"/>
  <c r="J253" i="77"/>
  <c r="M253" i="77" s="1"/>
  <c r="J252" i="77"/>
  <c r="M252" i="77" s="1"/>
  <c r="J251" i="77"/>
  <c r="M251" i="77" s="1"/>
  <c r="J250" i="77"/>
  <c r="M250" i="77" s="1"/>
  <c r="J249" i="77"/>
  <c r="M249" i="77" s="1"/>
  <c r="J248" i="77"/>
  <c r="M248" i="77" s="1"/>
  <c r="J247" i="77"/>
  <c r="M247" i="77" s="1"/>
  <c r="J246" i="77"/>
  <c r="M246" i="77" s="1"/>
  <c r="J245" i="77"/>
  <c r="M245" i="77" s="1"/>
  <c r="J244" i="77"/>
  <c r="M244" i="77" s="1"/>
  <c r="J243" i="77"/>
  <c r="M243" i="77" s="1"/>
  <c r="J242" i="77"/>
  <c r="M242" i="77" s="1"/>
  <c r="J241" i="77"/>
  <c r="M241" i="77" s="1"/>
  <c r="J240" i="77"/>
  <c r="M240" i="77" s="1"/>
  <c r="J239" i="77"/>
  <c r="M239" i="77" s="1"/>
  <c r="J238" i="77"/>
  <c r="M238" i="77" s="1"/>
  <c r="J237" i="77"/>
  <c r="M237" i="77" s="1"/>
  <c r="J236" i="77"/>
  <c r="M236" i="77" s="1"/>
  <c r="J235" i="77"/>
  <c r="M235" i="77" s="1"/>
  <c r="J234" i="77"/>
  <c r="M234" i="77" s="1"/>
  <c r="J233" i="77"/>
  <c r="M233" i="77" s="1"/>
  <c r="J232" i="77"/>
  <c r="M232" i="77" s="1"/>
  <c r="J231" i="77"/>
  <c r="M231" i="77" s="1"/>
  <c r="J230" i="77"/>
  <c r="M230" i="77" s="1"/>
  <c r="J229" i="77"/>
  <c r="M229" i="77" s="1"/>
  <c r="J228" i="77"/>
  <c r="M228" i="77" s="1"/>
  <c r="J227" i="77"/>
  <c r="M227" i="77" s="1"/>
  <c r="J226" i="77"/>
  <c r="M226" i="77" s="1"/>
  <c r="J225" i="77"/>
  <c r="M225" i="77" s="1"/>
  <c r="J224" i="77"/>
  <c r="M224" i="77" s="1"/>
  <c r="J223" i="77"/>
  <c r="M223" i="77" s="1"/>
  <c r="J222" i="77"/>
  <c r="M222" i="77" s="1"/>
  <c r="J221" i="77"/>
  <c r="M221" i="77" s="1"/>
  <c r="J220" i="77"/>
  <c r="M220" i="77" s="1"/>
  <c r="J219" i="77"/>
  <c r="M219" i="77" s="1"/>
  <c r="J218" i="77"/>
  <c r="M218" i="77" s="1"/>
  <c r="J217" i="77"/>
  <c r="M217" i="77" s="1"/>
  <c r="J216" i="77"/>
  <c r="M216" i="77" s="1"/>
  <c r="J215" i="77"/>
  <c r="M215" i="77" s="1"/>
  <c r="J214" i="77"/>
  <c r="M214" i="77" s="1"/>
  <c r="J77" i="77"/>
  <c r="M77" i="77" s="1"/>
  <c r="J213" i="77"/>
  <c r="M213" i="77" s="1"/>
  <c r="J212" i="77"/>
  <c r="M212" i="77" s="1"/>
  <c r="J211" i="77"/>
  <c r="M211" i="77" s="1"/>
  <c r="J210" i="77"/>
  <c r="M210" i="77" s="1"/>
  <c r="J209" i="77"/>
  <c r="M209" i="77" s="1"/>
  <c r="J208" i="77"/>
  <c r="M208" i="77" s="1"/>
  <c r="J207" i="77"/>
  <c r="M207" i="77" s="1"/>
  <c r="J206" i="77"/>
  <c r="M206" i="77" s="1"/>
  <c r="J205" i="77"/>
  <c r="M205" i="77" s="1"/>
  <c r="J204" i="77"/>
  <c r="M204" i="77" s="1"/>
  <c r="J203" i="77"/>
  <c r="M203" i="77" s="1"/>
  <c r="J202" i="77"/>
  <c r="M202" i="77" s="1"/>
  <c r="J201" i="77"/>
  <c r="M201" i="77" s="1"/>
  <c r="J200" i="77"/>
  <c r="M200" i="77" s="1"/>
  <c r="J199" i="77"/>
  <c r="M199" i="77" s="1"/>
  <c r="J198" i="77"/>
  <c r="M198" i="77" s="1"/>
  <c r="J197" i="77"/>
  <c r="M197" i="77" s="1"/>
  <c r="J196" i="77"/>
  <c r="M196" i="77" s="1"/>
  <c r="J195" i="77"/>
  <c r="M195" i="77" s="1"/>
  <c r="J194" i="77"/>
  <c r="M194" i="77" s="1"/>
  <c r="J193" i="77"/>
  <c r="M193" i="77" s="1"/>
  <c r="J192" i="77"/>
  <c r="M192" i="77" s="1"/>
  <c r="J191" i="77"/>
  <c r="M191" i="77" s="1"/>
  <c r="J190" i="77"/>
  <c r="M190" i="77" s="1"/>
  <c r="J189" i="77"/>
  <c r="M189" i="77" s="1"/>
  <c r="J188" i="77"/>
  <c r="M188" i="77" s="1"/>
  <c r="J187" i="77"/>
  <c r="M187" i="77" s="1"/>
  <c r="J186" i="77"/>
  <c r="M186" i="77" s="1"/>
  <c r="J185" i="77"/>
  <c r="M185" i="77" s="1"/>
  <c r="J184" i="77"/>
  <c r="M184" i="77" s="1"/>
  <c r="J183" i="77"/>
  <c r="M183" i="77" s="1"/>
  <c r="J182" i="77"/>
  <c r="M182" i="77" s="1"/>
  <c r="J181" i="77"/>
  <c r="M181" i="77" s="1"/>
  <c r="J180" i="77"/>
  <c r="M180" i="77" s="1"/>
  <c r="J179" i="77"/>
  <c r="M179" i="77" s="1"/>
  <c r="J178" i="77"/>
  <c r="M178" i="77" s="1"/>
  <c r="J177" i="77"/>
  <c r="M177" i="77" s="1"/>
  <c r="J176" i="77"/>
  <c r="M176" i="77" s="1"/>
  <c r="J175" i="77"/>
  <c r="M175" i="77" s="1"/>
  <c r="J174" i="77"/>
  <c r="M174" i="77" s="1"/>
  <c r="J173" i="77"/>
  <c r="M173" i="77" s="1"/>
  <c r="J172" i="77"/>
  <c r="M172" i="77" s="1"/>
  <c r="J171" i="77"/>
  <c r="M171" i="77" s="1"/>
  <c r="J170" i="77"/>
  <c r="M170" i="77" s="1"/>
  <c r="J169" i="77"/>
  <c r="M169" i="77" s="1"/>
  <c r="J168" i="77"/>
  <c r="M168" i="77" s="1"/>
  <c r="J167" i="77"/>
  <c r="M167" i="77" s="1"/>
  <c r="J166" i="77"/>
  <c r="M166" i="77" s="1"/>
  <c r="J165" i="77"/>
  <c r="M165" i="77" s="1"/>
  <c r="J164" i="77"/>
  <c r="M164" i="77" s="1"/>
  <c r="J163" i="77"/>
  <c r="M163" i="77" s="1"/>
  <c r="J162" i="77"/>
  <c r="M162" i="77" s="1"/>
  <c r="J161" i="77"/>
  <c r="M161" i="77" s="1"/>
  <c r="J160" i="77"/>
  <c r="M160" i="77" s="1"/>
  <c r="J159" i="77"/>
  <c r="M159" i="77" s="1"/>
  <c r="J158" i="77"/>
  <c r="M158" i="77" s="1"/>
  <c r="J157" i="77"/>
  <c r="M157" i="77" s="1"/>
  <c r="J156" i="77"/>
  <c r="M156" i="77" s="1"/>
  <c r="J155" i="77"/>
  <c r="M155" i="77" s="1"/>
  <c r="J154" i="77"/>
  <c r="M154" i="77" s="1"/>
  <c r="J153" i="77"/>
  <c r="M153" i="77" s="1"/>
  <c r="J152" i="77"/>
  <c r="M152" i="77" s="1"/>
  <c r="J151" i="77"/>
  <c r="M151" i="77" s="1"/>
  <c r="J150" i="77"/>
  <c r="M150" i="77" s="1"/>
  <c r="J149" i="77"/>
  <c r="M149" i="77" s="1"/>
  <c r="J148" i="77"/>
  <c r="M148" i="77" s="1"/>
  <c r="J147" i="77"/>
  <c r="M147" i="77" s="1"/>
  <c r="J146" i="77"/>
  <c r="M146" i="77" s="1"/>
  <c r="J145" i="77"/>
  <c r="M145" i="77" s="1"/>
  <c r="J144" i="77"/>
  <c r="M144" i="77" s="1"/>
  <c r="J143" i="77"/>
  <c r="M143" i="77" s="1"/>
  <c r="J142" i="77"/>
  <c r="M142" i="77" s="1"/>
  <c r="J141" i="77"/>
  <c r="M141" i="77" s="1"/>
  <c r="J140" i="77"/>
  <c r="M140" i="77" s="1"/>
  <c r="J139" i="77"/>
  <c r="M139" i="77" s="1"/>
  <c r="J138" i="77"/>
  <c r="M138" i="77" s="1"/>
  <c r="J137" i="77"/>
  <c r="M137" i="77" s="1"/>
  <c r="J136" i="77"/>
  <c r="M136" i="77" s="1"/>
  <c r="J135" i="77"/>
  <c r="M135" i="77" s="1"/>
  <c r="J134" i="77"/>
  <c r="M134" i="77" s="1"/>
  <c r="J133" i="77"/>
  <c r="M133" i="77" s="1"/>
  <c r="J132" i="77"/>
  <c r="M132" i="77" s="1"/>
  <c r="J131" i="77"/>
  <c r="M131" i="77" s="1"/>
  <c r="J130" i="77"/>
  <c r="M130" i="77" s="1"/>
  <c r="J129" i="77"/>
  <c r="M129" i="77" s="1"/>
  <c r="J128" i="77"/>
  <c r="M128" i="77" s="1"/>
  <c r="J127" i="77"/>
  <c r="M127" i="77" s="1"/>
  <c r="J126" i="77"/>
  <c r="M126" i="77" s="1"/>
  <c r="J125" i="77"/>
  <c r="M125" i="77" s="1"/>
  <c r="J124" i="77"/>
  <c r="M124" i="77" s="1"/>
  <c r="J123" i="77"/>
  <c r="M123" i="77" s="1"/>
  <c r="J122" i="77"/>
  <c r="M122" i="77" s="1"/>
  <c r="J121" i="77"/>
  <c r="M121" i="77" s="1"/>
  <c r="J120" i="77"/>
  <c r="M120" i="77" s="1"/>
  <c r="J119" i="77"/>
  <c r="M119" i="77" s="1"/>
  <c r="J118" i="77"/>
  <c r="M118" i="77" s="1"/>
  <c r="J117" i="77"/>
  <c r="M117" i="77" s="1"/>
  <c r="J116" i="77"/>
  <c r="M116" i="77" s="1"/>
  <c r="J115" i="77"/>
  <c r="M115" i="77" s="1"/>
  <c r="J114" i="77"/>
  <c r="M114" i="77" s="1"/>
  <c r="J113" i="77"/>
  <c r="M113" i="77" s="1"/>
  <c r="J112" i="77"/>
  <c r="M112" i="77" s="1"/>
  <c r="J111" i="77"/>
  <c r="M111" i="77" s="1"/>
  <c r="J110" i="77"/>
  <c r="M110" i="77" s="1"/>
  <c r="J109" i="77"/>
  <c r="M109" i="77" s="1"/>
  <c r="J108" i="77"/>
  <c r="M108" i="77" s="1"/>
  <c r="J107" i="77"/>
  <c r="M107" i="77" s="1"/>
  <c r="J106" i="77"/>
  <c r="M106" i="77" s="1"/>
  <c r="J105" i="77"/>
  <c r="M105" i="77" s="1"/>
  <c r="J104" i="77"/>
  <c r="M104" i="77" s="1"/>
  <c r="J103" i="77"/>
  <c r="M103" i="77" s="1"/>
  <c r="J102" i="77"/>
  <c r="M102" i="77" s="1"/>
  <c r="J101" i="77"/>
  <c r="M101" i="77" s="1"/>
  <c r="J100" i="77"/>
  <c r="M100" i="77" s="1"/>
  <c r="J99" i="77"/>
  <c r="M99" i="77" s="1"/>
  <c r="J98" i="77"/>
  <c r="M98" i="77" s="1"/>
  <c r="J97" i="77"/>
  <c r="M97" i="77" s="1"/>
  <c r="J96" i="77"/>
  <c r="M96" i="77" s="1"/>
  <c r="J95" i="77"/>
  <c r="M95" i="77" s="1"/>
  <c r="J94" i="77"/>
  <c r="M94" i="77" s="1"/>
  <c r="J93" i="77"/>
  <c r="M93" i="77" s="1"/>
  <c r="J92" i="77"/>
  <c r="M92" i="77" s="1"/>
  <c r="J91" i="77"/>
  <c r="M91" i="77" s="1"/>
  <c r="J90" i="77"/>
  <c r="M90" i="77" s="1"/>
  <c r="J89" i="77"/>
  <c r="M89" i="77" s="1"/>
  <c r="J88" i="77"/>
  <c r="M88" i="77" s="1"/>
  <c r="J87" i="77"/>
  <c r="M87" i="77" s="1"/>
  <c r="J86" i="77"/>
  <c r="M86" i="77" s="1"/>
  <c r="J85" i="77"/>
  <c r="M85" i="77" s="1"/>
  <c r="J84" i="77"/>
  <c r="M84" i="77" s="1"/>
  <c r="J83" i="77"/>
  <c r="M83" i="77" s="1"/>
  <c r="J82" i="77"/>
  <c r="M82" i="77" s="1"/>
  <c r="J81" i="77"/>
  <c r="M81" i="77" s="1"/>
  <c r="J80" i="77"/>
  <c r="M80" i="77" s="1"/>
  <c r="J79" i="77"/>
  <c r="M79" i="77" s="1"/>
  <c r="J78" i="77"/>
  <c r="M78" i="77" s="1"/>
  <c r="J76" i="77"/>
  <c r="M76" i="77" s="1"/>
  <c r="J75" i="77"/>
  <c r="M75" i="77" s="1"/>
  <c r="J74" i="77"/>
  <c r="M74" i="77" s="1"/>
  <c r="J73" i="77"/>
  <c r="M73" i="77" s="1"/>
  <c r="J72" i="77"/>
  <c r="M72" i="77" s="1"/>
  <c r="J71" i="77"/>
  <c r="M71" i="77" s="1"/>
  <c r="J70" i="77"/>
  <c r="M70" i="77" s="1"/>
  <c r="J69" i="77"/>
  <c r="M69" i="77" s="1"/>
  <c r="J68" i="77"/>
  <c r="M68" i="77" s="1"/>
  <c r="J67" i="77"/>
  <c r="M67" i="77" s="1"/>
  <c r="J66" i="77"/>
  <c r="M66" i="77" s="1"/>
  <c r="J65" i="77"/>
  <c r="M65" i="77" s="1"/>
  <c r="J64" i="77"/>
  <c r="M64" i="77" s="1"/>
  <c r="J63" i="77"/>
  <c r="M63" i="77" s="1"/>
  <c r="J62" i="77"/>
  <c r="M62" i="77" s="1"/>
  <c r="J61" i="77"/>
  <c r="M61" i="77" s="1"/>
  <c r="J60" i="77"/>
  <c r="M60" i="77" s="1"/>
  <c r="J59" i="77"/>
  <c r="M59" i="77" s="1"/>
  <c r="J58" i="77"/>
  <c r="M58" i="77" s="1"/>
  <c r="J57" i="77"/>
  <c r="M57" i="77" s="1"/>
  <c r="J56" i="77"/>
  <c r="M56" i="77" s="1"/>
  <c r="J55" i="77"/>
  <c r="M55" i="77" s="1"/>
  <c r="J54" i="77"/>
  <c r="M54" i="77" s="1"/>
  <c r="J53" i="77"/>
  <c r="M53" i="77" s="1"/>
  <c r="J52" i="77"/>
  <c r="M52" i="77" s="1"/>
  <c r="J51" i="77"/>
  <c r="M51" i="77" s="1"/>
  <c r="J50" i="77"/>
  <c r="M50" i="77" s="1"/>
  <c r="J49" i="77"/>
  <c r="M49" i="77" s="1"/>
  <c r="J48" i="77"/>
  <c r="M48" i="77" s="1"/>
  <c r="J47" i="77"/>
  <c r="M47" i="77" s="1"/>
  <c r="J46" i="77"/>
  <c r="M46" i="77" s="1"/>
  <c r="J45" i="77"/>
  <c r="M45" i="77" s="1"/>
  <c r="J44" i="77"/>
  <c r="M44" i="77" s="1"/>
  <c r="J43" i="77"/>
  <c r="M43" i="77" s="1"/>
  <c r="J42" i="77"/>
  <c r="M42" i="77" s="1"/>
  <c r="J41" i="77"/>
  <c r="M41" i="77" s="1"/>
  <c r="J40" i="77"/>
  <c r="M40" i="77" s="1"/>
  <c r="J39" i="77"/>
  <c r="M39" i="77" s="1"/>
  <c r="J38" i="77"/>
  <c r="M38" i="77" s="1"/>
  <c r="J37" i="77"/>
  <c r="M37" i="77" s="1"/>
  <c r="J36" i="77"/>
  <c r="M36" i="77" s="1"/>
  <c r="J35" i="77"/>
  <c r="M35" i="77" s="1"/>
  <c r="J34" i="77"/>
  <c r="M34" i="77" s="1"/>
  <c r="J33" i="77"/>
  <c r="M33" i="77" s="1"/>
  <c r="J32" i="77"/>
  <c r="M32" i="77" s="1"/>
  <c r="J31" i="77"/>
  <c r="M31" i="77" s="1"/>
  <c r="J30" i="77"/>
  <c r="M30" i="77" s="1"/>
  <c r="J29" i="77"/>
  <c r="M29" i="77" s="1"/>
  <c r="J28" i="77"/>
  <c r="M28" i="77" s="1"/>
  <c r="J27" i="77"/>
  <c r="M27" i="77" s="1"/>
  <c r="J26" i="77"/>
  <c r="M26" i="77" s="1"/>
  <c r="J25" i="77"/>
  <c r="M25" i="77" s="1"/>
  <c r="J24" i="77"/>
  <c r="M24" i="77" s="1"/>
  <c r="J23" i="77"/>
  <c r="M23" i="77" s="1"/>
  <c r="J22" i="77"/>
  <c r="M22" i="77" s="1"/>
  <c r="J21" i="77"/>
  <c r="M21" i="77" s="1"/>
  <c r="J20" i="77"/>
  <c r="M20" i="77" s="1"/>
  <c r="J19" i="77"/>
  <c r="M19" i="77" s="1"/>
  <c r="J18" i="77"/>
  <c r="M18" i="77" s="1"/>
  <c r="J17" i="77"/>
  <c r="M17" i="77" s="1"/>
  <c r="J16" i="77"/>
  <c r="M16" i="77" s="1"/>
  <c r="J15" i="77"/>
  <c r="M15" i="77" s="1"/>
  <c r="J14" i="77"/>
  <c r="M14" i="77" s="1"/>
  <c r="J13" i="77"/>
  <c r="M13" i="77" s="1"/>
  <c r="J12" i="77"/>
  <c r="M12" i="77" s="1"/>
  <c r="J11" i="77"/>
  <c r="M11" i="77" s="1"/>
  <c r="J10" i="77"/>
  <c r="M10" i="77" s="1"/>
  <c r="J9" i="77"/>
  <c r="M9" i="77" s="1"/>
  <c r="J8" i="77"/>
  <c r="M8" i="77" s="1"/>
  <c r="J7" i="77"/>
  <c r="M7" i="77" s="1"/>
  <c r="J6" i="77"/>
  <c r="M6" i="77" s="1"/>
  <c r="J5" i="77"/>
  <c r="J254" i="76"/>
  <c r="M254" i="76" s="1"/>
  <c r="J253" i="76"/>
  <c r="M253" i="76" s="1"/>
  <c r="J252" i="76"/>
  <c r="M252" i="76" s="1"/>
  <c r="J251" i="76"/>
  <c r="M251" i="76" s="1"/>
  <c r="J250" i="76"/>
  <c r="M250" i="76" s="1"/>
  <c r="J249" i="76"/>
  <c r="M249" i="76" s="1"/>
  <c r="J248" i="76"/>
  <c r="M248" i="76" s="1"/>
  <c r="J247" i="76"/>
  <c r="M247" i="76" s="1"/>
  <c r="J246" i="76"/>
  <c r="M246" i="76" s="1"/>
  <c r="J245" i="76"/>
  <c r="M245" i="76" s="1"/>
  <c r="J244" i="76"/>
  <c r="M244" i="76" s="1"/>
  <c r="J243" i="76"/>
  <c r="M243" i="76" s="1"/>
  <c r="J242" i="76"/>
  <c r="M242" i="76" s="1"/>
  <c r="J241" i="76"/>
  <c r="M241" i="76" s="1"/>
  <c r="J240" i="76"/>
  <c r="M240" i="76" s="1"/>
  <c r="J239" i="76"/>
  <c r="M239" i="76" s="1"/>
  <c r="J238" i="76"/>
  <c r="M238" i="76" s="1"/>
  <c r="J237" i="76"/>
  <c r="M237" i="76" s="1"/>
  <c r="J236" i="76"/>
  <c r="M236" i="76" s="1"/>
  <c r="J235" i="76"/>
  <c r="M235" i="76" s="1"/>
  <c r="J234" i="76"/>
  <c r="M234" i="76" s="1"/>
  <c r="J233" i="76"/>
  <c r="M233" i="76" s="1"/>
  <c r="J232" i="76"/>
  <c r="M232" i="76" s="1"/>
  <c r="J231" i="76"/>
  <c r="M231" i="76" s="1"/>
  <c r="J230" i="76"/>
  <c r="M230" i="76" s="1"/>
  <c r="J229" i="76"/>
  <c r="M229" i="76" s="1"/>
  <c r="J228" i="76"/>
  <c r="M228" i="76" s="1"/>
  <c r="J227" i="76"/>
  <c r="M227" i="76" s="1"/>
  <c r="J226" i="76"/>
  <c r="M226" i="76" s="1"/>
  <c r="J225" i="76"/>
  <c r="M225" i="76" s="1"/>
  <c r="J224" i="76"/>
  <c r="M224" i="76" s="1"/>
  <c r="J223" i="76"/>
  <c r="M223" i="76" s="1"/>
  <c r="J222" i="76"/>
  <c r="M222" i="76" s="1"/>
  <c r="J221" i="76"/>
  <c r="M221" i="76" s="1"/>
  <c r="J220" i="76"/>
  <c r="M220" i="76" s="1"/>
  <c r="J219" i="76"/>
  <c r="M219" i="76" s="1"/>
  <c r="J218" i="76"/>
  <c r="M218" i="76" s="1"/>
  <c r="J217" i="76"/>
  <c r="M217" i="76" s="1"/>
  <c r="J216" i="76"/>
  <c r="M216" i="76" s="1"/>
  <c r="J215" i="76"/>
  <c r="M215" i="76" s="1"/>
  <c r="J214" i="76"/>
  <c r="M214" i="76" s="1"/>
  <c r="J77" i="76"/>
  <c r="M77" i="76" s="1"/>
  <c r="J213" i="76"/>
  <c r="M213" i="76" s="1"/>
  <c r="J212" i="76"/>
  <c r="M212" i="76" s="1"/>
  <c r="J211" i="76"/>
  <c r="M211" i="76" s="1"/>
  <c r="J210" i="76"/>
  <c r="M210" i="76" s="1"/>
  <c r="J209" i="76"/>
  <c r="M209" i="76" s="1"/>
  <c r="J208" i="76"/>
  <c r="M208" i="76" s="1"/>
  <c r="J207" i="76"/>
  <c r="M207" i="76" s="1"/>
  <c r="J206" i="76"/>
  <c r="M206" i="76" s="1"/>
  <c r="J205" i="76"/>
  <c r="M205" i="76" s="1"/>
  <c r="J204" i="76"/>
  <c r="M204" i="76" s="1"/>
  <c r="J203" i="76"/>
  <c r="M203" i="76" s="1"/>
  <c r="J202" i="76"/>
  <c r="M202" i="76" s="1"/>
  <c r="J201" i="76"/>
  <c r="M201" i="76" s="1"/>
  <c r="J200" i="76"/>
  <c r="M200" i="76" s="1"/>
  <c r="J199" i="76"/>
  <c r="M199" i="76" s="1"/>
  <c r="J198" i="76"/>
  <c r="M198" i="76" s="1"/>
  <c r="J197" i="76"/>
  <c r="M197" i="76" s="1"/>
  <c r="J196" i="76"/>
  <c r="M196" i="76" s="1"/>
  <c r="J195" i="76"/>
  <c r="M195" i="76" s="1"/>
  <c r="J194" i="76"/>
  <c r="M194" i="76" s="1"/>
  <c r="J193" i="76"/>
  <c r="M193" i="76" s="1"/>
  <c r="J192" i="76"/>
  <c r="M192" i="76" s="1"/>
  <c r="J191" i="76"/>
  <c r="M191" i="76" s="1"/>
  <c r="J190" i="76"/>
  <c r="M190" i="76" s="1"/>
  <c r="J189" i="76"/>
  <c r="M189" i="76" s="1"/>
  <c r="J188" i="76"/>
  <c r="M188" i="76" s="1"/>
  <c r="J187" i="76"/>
  <c r="M187" i="76" s="1"/>
  <c r="J186" i="76"/>
  <c r="M186" i="76" s="1"/>
  <c r="J185" i="76"/>
  <c r="M185" i="76" s="1"/>
  <c r="J184" i="76"/>
  <c r="M184" i="76" s="1"/>
  <c r="J183" i="76"/>
  <c r="M183" i="76" s="1"/>
  <c r="J182" i="76"/>
  <c r="M182" i="76" s="1"/>
  <c r="J181" i="76"/>
  <c r="M181" i="76" s="1"/>
  <c r="J180" i="76"/>
  <c r="M180" i="76" s="1"/>
  <c r="J179" i="76"/>
  <c r="M179" i="76" s="1"/>
  <c r="J178" i="76"/>
  <c r="M178" i="76" s="1"/>
  <c r="J177" i="76"/>
  <c r="M177" i="76" s="1"/>
  <c r="J176" i="76"/>
  <c r="M176" i="76" s="1"/>
  <c r="J175" i="76"/>
  <c r="M175" i="76" s="1"/>
  <c r="J174" i="76"/>
  <c r="M174" i="76" s="1"/>
  <c r="J173" i="76"/>
  <c r="M173" i="76" s="1"/>
  <c r="J172" i="76"/>
  <c r="M172" i="76" s="1"/>
  <c r="J171" i="76"/>
  <c r="M171" i="76" s="1"/>
  <c r="J170" i="76"/>
  <c r="M170" i="76" s="1"/>
  <c r="J169" i="76"/>
  <c r="M169" i="76" s="1"/>
  <c r="J168" i="76"/>
  <c r="M168" i="76" s="1"/>
  <c r="J167" i="76"/>
  <c r="M167" i="76" s="1"/>
  <c r="J166" i="76"/>
  <c r="M166" i="76" s="1"/>
  <c r="J165" i="76"/>
  <c r="M165" i="76" s="1"/>
  <c r="J164" i="76"/>
  <c r="M164" i="76" s="1"/>
  <c r="J163" i="76"/>
  <c r="M163" i="76" s="1"/>
  <c r="J162" i="76"/>
  <c r="M162" i="76" s="1"/>
  <c r="J161" i="76"/>
  <c r="M161" i="76" s="1"/>
  <c r="J160" i="76"/>
  <c r="M160" i="76" s="1"/>
  <c r="J159" i="76"/>
  <c r="M159" i="76" s="1"/>
  <c r="J158" i="76"/>
  <c r="M158" i="76" s="1"/>
  <c r="J157" i="76"/>
  <c r="M157" i="76" s="1"/>
  <c r="J156" i="76"/>
  <c r="M156" i="76" s="1"/>
  <c r="J155" i="76"/>
  <c r="M155" i="76" s="1"/>
  <c r="J154" i="76"/>
  <c r="M154" i="76" s="1"/>
  <c r="J153" i="76"/>
  <c r="M153" i="76" s="1"/>
  <c r="J152" i="76"/>
  <c r="M152" i="76" s="1"/>
  <c r="J151" i="76"/>
  <c r="M151" i="76" s="1"/>
  <c r="J150" i="76"/>
  <c r="M150" i="76" s="1"/>
  <c r="J149" i="76"/>
  <c r="M149" i="76" s="1"/>
  <c r="J148" i="76"/>
  <c r="M148" i="76" s="1"/>
  <c r="J147" i="76"/>
  <c r="M147" i="76" s="1"/>
  <c r="J146" i="76"/>
  <c r="M146" i="76" s="1"/>
  <c r="J145" i="76"/>
  <c r="M145" i="76" s="1"/>
  <c r="J144" i="76"/>
  <c r="M144" i="76" s="1"/>
  <c r="J143" i="76"/>
  <c r="M143" i="76" s="1"/>
  <c r="J142" i="76"/>
  <c r="M142" i="76" s="1"/>
  <c r="J141" i="76"/>
  <c r="M141" i="76" s="1"/>
  <c r="J140" i="76"/>
  <c r="M140" i="76" s="1"/>
  <c r="J139" i="76"/>
  <c r="M139" i="76" s="1"/>
  <c r="J138" i="76"/>
  <c r="M138" i="76" s="1"/>
  <c r="J137" i="76"/>
  <c r="M137" i="76" s="1"/>
  <c r="J136" i="76"/>
  <c r="M136" i="76" s="1"/>
  <c r="J135" i="76"/>
  <c r="M135" i="76" s="1"/>
  <c r="J134" i="76"/>
  <c r="M134" i="76" s="1"/>
  <c r="J133" i="76"/>
  <c r="M133" i="76" s="1"/>
  <c r="J132" i="76"/>
  <c r="M132" i="76" s="1"/>
  <c r="J131" i="76"/>
  <c r="M131" i="76" s="1"/>
  <c r="J130" i="76"/>
  <c r="M130" i="76" s="1"/>
  <c r="J129" i="76"/>
  <c r="M129" i="76" s="1"/>
  <c r="J128" i="76"/>
  <c r="M128" i="76" s="1"/>
  <c r="J127" i="76"/>
  <c r="M127" i="76" s="1"/>
  <c r="J126" i="76"/>
  <c r="M126" i="76" s="1"/>
  <c r="J125" i="76"/>
  <c r="M125" i="76" s="1"/>
  <c r="J124" i="76"/>
  <c r="M124" i="76" s="1"/>
  <c r="J123" i="76"/>
  <c r="M123" i="76" s="1"/>
  <c r="J122" i="76"/>
  <c r="M122" i="76" s="1"/>
  <c r="J121" i="76"/>
  <c r="M121" i="76" s="1"/>
  <c r="J120" i="76"/>
  <c r="M120" i="76" s="1"/>
  <c r="J119" i="76"/>
  <c r="M119" i="76" s="1"/>
  <c r="J118" i="76"/>
  <c r="M118" i="76" s="1"/>
  <c r="J117" i="76"/>
  <c r="M117" i="76" s="1"/>
  <c r="J116" i="76"/>
  <c r="M116" i="76" s="1"/>
  <c r="J115" i="76"/>
  <c r="M115" i="76" s="1"/>
  <c r="J114" i="76"/>
  <c r="M114" i="76" s="1"/>
  <c r="J113" i="76"/>
  <c r="M113" i="76" s="1"/>
  <c r="J112" i="76"/>
  <c r="M112" i="76" s="1"/>
  <c r="J111" i="76"/>
  <c r="M111" i="76" s="1"/>
  <c r="J110" i="76"/>
  <c r="M110" i="76" s="1"/>
  <c r="J109" i="76"/>
  <c r="M109" i="76" s="1"/>
  <c r="J108" i="76"/>
  <c r="M108" i="76" s="1"/>
  <c r="J107" i="76"/>
  <c r="M107" i="76" s="1"/>
  <c r="J106" i="76"/>
  <c r="M106" i="76" s="1"/>
  <c r="J105" i="76"/>
  <c r="M105" i="76" s="1"/>
  <c r="J104" i="76"/>
  <c r="M104" i="76" s="1"/>
  <c r="J103" i="76"/>
  <c r="M103" i="76" s="1"/>
  <c r="J102" i="76"/>
  <c r="M102" i="76" s="1"/>
  <c r="J101" i="76"/>
  <c r="M101" i="76" s="1"/>
  <c r="J100" i="76"/>
  <c r="M100" i="76" s="1"/>
  <c r="J99" i="76"/>
  <c r="M99" i="76" s="1"/>
  <c r="J98" i="76"/>
  <c r="M98" i="76" s="1"/>
  <c r="J97" i="76"/>
  <c r="M97" i="76" s="1"/>
  <c r="J96" i="76"/>
  <c r="M96" i="76" s="1"/>
  <c r="J95" i="76"/>
  <c r="M95" i="76" s="1"/>
  <c r="J94" i="76"/>
  <c r="M94" i="76" s="1"/>
  <c r="J93" i="76"/>
  <c r="M93" i="76" s="1"/>
  <c r="J92" i="76"/>
  <c r="M92" i="76" s="1"/>
  <c r="J91" i="76"/>
  <c r="M91" i="76" s="1"/>
  <c r="J90" i="76"/>
  <c r="M90" i="76" s="1"/>
  <c r="J89" i="76"/>
  <c r="M89" i="76" s="1"/>
  <c r="J88" i="76"/>
  <c r="M88" i="76" s="1"/>
  <c r="J87" i="76"/>
  <c r="M87" i="76" s="1"/>
  <c r="J86" i="76"/>
  <c r="M86" i="76" s="1"/>
  <c r="J85" i="76"/>
  <c r="M85" i="76" s="1"/>
  <c r="J84" i="76"/>
  <c r="M84" i="76" s="1"/>
  <c r="J83" i="76"/>
  <c r="M83" i="76" s="1"/>
  <c r="J82" i="76"/>
  <c r="M82" i="76" s="1"/>
  <c r="J81" i="76"/>
  <c r="M81" i="76" s="1"/>
  <c r="J80" i="76"/>
  <c r="M80" i="76" s="1"/>
  <c r="J79" i="76"/>
  <c r="M79" i="76" s="1"/>
  <c r="J78" i="76"/>
  <c r="M78" i="76" s="1"/>
  <c r="J76" i="76"/>
  <c r="M76" i="76" s="1"/>
  <c r="J75" i="76"/>
  <c r="M75" i="76" s="1"/>
  <c r="J74" i="76"/>
  <c r="M74" i="76" s="1"/>
  <c r="J73" i="76"/>
  <c r="M73" i="76" s="1"/>
  <c r="J72" i="76"/>
  <c r="M72" i="76" s="1"/>
  <c r="J71" i="76"/>
  <c r="M71" i="76" s="1"/>
  <c r="J70" i="76"/>
  <c r="M70" i="76" s="1"/>
  <c r="J69" i="76"/>
  <c r="M69" i="76" s="1"/>
  <c r="J68" i="76"/>
  <c r="M68" i="76" s="1"/>
  <c r="J67" i="76"/>
  <c r="M67" i="76" s="1"/>
  <c r="J66" i="76"/>
  <c r="M66" i="76" s="1"/>
  <c r="J65" i="76"/>
  <c r="M65" i="76" s="1"/>
  <c r="J64" i="76"/>
  <c r="M64" i="76" s="1"/>
  <c r="J63" i="76"/>
  <c r="M63" i="76" s="1"/>
  <c r="J62" i="76"/>
  <c r="M62" i="76" s="1"/>
  <c r="J61" i="76"/>
  <c r="M61" i="76" s="1"/>
  <c r="J60" i="76"/>
  <c r="M60" i="76" s="1"/>
  <c r="J59" i="76"/>
  <c r="M59" i="76" s="1"/>
  <c r="J58" i="76"/>
  <c r="M58" i="76" s="1"/>
  <c r="J57" i="76"/>
  <c r="M57" i="76" s="1"/>
  <c r="J56" i="76"/>
  <c r="M56" i="76" s="1"/>
  <c r="J55" i="76"/>
  <c r="M55" i="76" s="1"/>
  <c r="J54" i="76"/>
  <c r="M54" i="76" s="1"/>
  <c r="J53" i="76"/>
  <c r="M53" i="76" s="1"/>
  <c r="J52" i="76"/>
  <c r="M52" i="76" s="1"/>
  <c r="J51" i="76"/>
  <c r="M51" i="76" s="1"/>
  <c r="J50" i="76"/>
  <c r="M50" i="76" s="1"/>
  <c r="J49" i="76"/>
  <c r="M49" i="76" s="1"/>
  <c r="J48" i="76"/>
  <c r="M48" i="76" s="1"/>
  <c r="J47" i="76"/>
  <c r="M47" i="76" s="1"/>
  <c r="J46" i="76"/>
  <c r="M46" i="76" s="1"/>
  <c r="J45" i="76"/>
  <c r="M45" i="76" s="1"/>
  <c r="J44" i="76"/>
  <c r="M44" i="76" s="1"/>
  <c r="J43" i="76"/>
  <c r="M43" i="76" s="1"/>
  <c r="J42" i="76"/>
  <c r="M42" i="76" s="1"/>
  <c r="J41" i="76"/>
  <c r="M41" i="76" s="1"/>
  <c r="J40" i="76"/>
  <c r="M40" i="76" s="1"/>
  <c r="J39" i="76"/>
  <c r="M39" i="76" s="1"/>
  <c r="J38" i="76"/>
  <c r="M38" i="76" s="1"/>
  <c r="J37" i="76"/>
  <c r="M37" i="76" s="1"/>
  <c r="J36" i="76"/>
  <c r="M36" i="76" s="1"/>
  <c r="J35" i="76"/>
  <c r="M35" i="76" s="1"/>
  <c r="J34" i="76"/>
  <c r="M34" i="76" s="1"/>
  <c r="J33" i="76"/>
  <c r="M33" i="76" s="1"/>
  <c r="J32" i="76"/>
  <c r="M32" i="76" s="1"/>
  <c r="J31" i="76"/>
  <c r="M31" i="76" s="1"/>
  <c r="J30" i="76"/>
  <c r="M30" i="76" s="1"/>
  <c r="J29" i="76"/>
  <c r="M29" i="76" s="1"/>
  <c r="J28" i="76"/>
  <c r="M28" i="76" s="1"/>
  <c r="J27" i="76"/>
  <c r="M27" i="76" s="1"/>
  <c r="J26" i="76"/>
  <c r="M26" i="76" s="1"/>
  <c r="J25" i="76"/>
  <c r="M25" i="76" s="1"/>
  <c r="J24" i="76"/>
  <c r="M24" i="76" s="1"/>
  <c r="J23" i="76"/>
  <c r="M23" i="76" s="1"/>
  <c r="J22" i="76"/>
  <c r="M22" i="76" s="1"/>
  <c r="J21" i="76"/>
  <c r="M21" i="76" s="1"/>
  <c r="J20" i="76"/>
  <c r="M20" i="76" s="1"/>
  <c r="J19" i="76"/>
  <c r="M19" i="76" s="1"/>
  <c r="J18" i="76"/>
  <c r="M18" i="76" s="1"/>
  <c r="J17" i="76"/>
  <c r="M17" i="76" s="1"/>
  <c r="J16" i="76"/>
  <c r="M16" i="76" s="1"/>
  <c r="J15" i="76"/>
  <c r="M15" i="76" s="1"/>
  <c r="J14" i="76"/>
  <c r="M14" i="76" s="1"/>
  <c r="J13" i="76"/>
  <c r="M13" i="76" s="1"/>
  <c r="J12" i="76"/>
  <c r="M12" i="76" s="1"/>
  <c r="J11" i="76"/>
  <c r="M11" i="76" s="1"/>
  <c r="J10" i="76"/>
  <c r="M10" i="76" s="1"/>
  <c r="J9" i="76"/>
  <c r="M9" i="76" s="1"/>
  <c r="J8" i="76"/>
  <c r="M8" i="76" s="1"/>
  <c r="J7" i="76"/>
  <c r="M7" i="76" s="1"/>
  <c r="J6" i="76"/>
  <c r="M6" i="76" s="1"/>
  <c r="J256" i="76"/>
  <c r="J5" i="76"/>
  <c r="J254" i="75"/>
  <c r="M254" i="75" s="1"/>
  <c r="J253" i="75"/>
  <c r="M253" i="75" s="1"/>
  <c r="J252" i="75"/>
  <c r="M252" i="75" s="1"/>
  <c r="J251" i="75"/>
  <c r="M251" i="75" s="1"/>
  <c r="J250" i="75"/>
  <c r="M250" i="75" s="1"/>
  <c r="M249" i="75"/>
  <c r="J249" i="75"/>
  <c r="J248" i="75"/>
  <c r="M248" i="75" s="1"/>
  <c r="J247" i="75"/>
  <c r="M247" i="75" s="1"/>
  <c r="J246" i="75"/>
  <c r="M246" i="75" s="1"/>
  <c r="J245" i="75"/>
  <c r="M245" i="75" s="1"/>
  <c r="J244" i="75"/>
  <c r="M244" i="75" s="1"/>
  <c r="J243" i="75"/>
  <c r="M243" i="75" s="1"/>
  <c r="J242" i="75"/>
  <c r="M242" i="75" s="1"/>
  <c r="J241" i="75"/>
  <c r="M241" i="75" s="1"/>
  <c r="J240" i="75"/>
  <c r="M240" i="75" s="1"/>
  <c r="J239" i="75"/>
  <c r="M239" i="75" s="1"/>
  <c r="J238" i="75"/>
  <c r="M238" i="75" s="1"/>
  <c r="J237" i="75"/>
  <c r="M237" i="75" s="1"/>
  <c r="J236" i="75"/>
  <c r="M236" i="75" s="1"/>
  <c r="J235" i="75"/>
  <c r="M235" i="75" s="1"/>
  <c r="J234" i="75"/>
  <c r="M234" i="75" s="1"/>
  <c r="J233" i="75"/>
  <c r="M233" i="75" s="1"/>
  <c r="J232" i="75"/>
  <c r="M232" i="75" s="1"/>
  <c r="J231" i="75"/>
  <c r="M231" i="75" s="1"/>
  <c r="J230" i="75"/>
  <c r="M230" i="75" s="1"/>
  <c r="J229" i="75"/>
  <c r="M229" i="75" s="1"/>
  <c r="J228" i="75"/>
  <c r="M228" i="75" s="1"/>
  <c r="J227" i="75"/>
  <c r="M227" i="75" s="1"/>
  <c r="J226" i="75"/>
  <c r="M226" i="75" s="1"/>
  <c r="J225" i="75"/>
  <c r="M225" i="75" s="1"/>
  <c r="J224" i="75"/>
  <c r="M224" i="75" s="1"/>
  <c r="J223" i="75"/>
  <c r="M223" i="75" s="1"/>
  <c r="J222" i="75"/>
  <c r="M222" i="75" s="1"/>
  <c r="J221" i="75"/>
  <c r="M221" i="75" s="1"/>
  <c r="J220" i="75"/>
  <c r="M220" i="75" s="1"/>
  <c r="J219" i="75"/>
  <c r="M219" i="75" s="1"/>
  <c r="J218" i="75"/>
  <c r="M218" i="75" s="1"/>
  <c r="J217" i="75"/>
  <c r="M217" i="75" s="1"/>
  <c r="J216" i="75"/>
  <c r="M216" i="75" s="1"/>
  <c r="J215" i="75"/>
  <c r="M215" i="75" s="1"/>
  <c r="J214" i="75"/>
  <c r="M214" i="75" s="1"/>
  <c r="J77" i="75"/>
  <c r="M77" i="75" s="1"/>
  <c r="J213" i="75"/>
  <c r="M213" i="75" s="1"/>
  <c r="J212" i="75"/>
  <c r="M212" i="75" s="1"/>
  <c r="J211" i="75"/>
  <c r="M211" i="75" s="1"/>
  <c r="J210" i="75"/>
  <c r="M210" i="75" s="1"/>
  <c r="J209" i="75"/>
  <c r="M209" i="75" s="1"/>
  <c r="J208" i="75"/>
  <c r="M208" i="75" s="1"/>
  <c r="J207" i="75"/>
  <c r="M207" i="75" s="1"/>
  <c r="J206" i="75"/>
  <c r="M206" i="75" s="1"/>
  <c r="J205" i="75"/>
  <c r="M205" i="75" s="1"/>
  <c r="J204" i="75"/>
  <c r="M204" i="75" s="1"/>
  <c r="J203" i="75"/>
  <c r="M203" i="75" s="1"/>
  <c r="J202" i="75"/>
  <c r="M202" i="75" s="1"/>
  <c r="J201" i="75"/>
  <c r="M201" i="75" s="1"/>
  <c r="J200" i="75"/>
  <c r="M200" i="75" s="1"/>
  <c r="J199" i="75"/>
  <c r="M199" i="75" s="1"/>
  <c r="J198" i="75"/>
  <c r="M198" i="75" s="1"/>
  <c r="J197" i="75"/>
  <c r="M197" i="75" s="1"/>
  <c r="J196" i="75"/>
  <c r="M196" i="75" s="1"/>
  <c r="J195" i="75"/>
  <c r="M195" i="75" s="1"/>
  <c r="J194" i="75"/>
  <c r="M194" i="75" s="1"/>
  <c r="J193" i="75"/>
  <c r="M193" i="75" s="1"/>
  <c r="J192" i="75"/>
  <c r="M192" i="75" s="1"/>
  <c r="J191" i="75"/>
  <c r="M191" i="75" s="1"/>
  <c r="J190" i="75"/>
  <c r="M190" i="75" s="1"/>
  <c r="J189" i="75"/>
  <c r="M189" i="75" s="1"/>
  <c r="J188" i="75"/>
  <c r="M188" i="75" s="1"/>
  <c r="J187" i="75"/>
  <c r="M187" i="75" s="1"/>
  <c r="J186" i="75"/>
  <c r="M186" i="75" s="1"/>
  <c r="J185" i="75"/>
  <c r="M185" i="75" s="1"/>
  <c r="J184" i="75"/>
  <c r="M184" i="75" s="1"/>
  <c r="J183" i="75"/>
  <c r="M183" i="75" s="1"/>
  <c r="J182" i="75"/>
  <c r="M182" i="75" s="1"/>
  <c r="J181" i="75"/>
  <c r="M181" i="75" s="1"/>
  <c r="J180" i="75"/>
  <c r="M180" i="75" s="1"/>
  <c r="J179" i="75"/>
  <c r="M179" i="75" s="1"/>
  <c r="J178" i="75"/>
  <c r="M178" i="75" s="1"/>
  <c r="J177" i="75"/>
  <c r="M177" i="75" s="1"/>
  <c r="J176" i="75"/>
  <c r="M176" i="75" s="1"/>
  <c r="J175" i="75"/>
  <c r="M175" i="75" s="1"/>
  <c r="J174" i="75"/>
  <c r="M174" i="75" s="1"/>
  <c r="J173" i="75"/>
  <c r="M173" i="75" s="1"/>
  <c r="J172" i="75"/>
  <c r="M172" i="75" s="1"/>
  <c r="J171" i="75"/>
  <c r="M171" i="75" s="1"/>
  <c r="J170" i="75"/>
  <c r="M170" i="75" s="1"/>
  <c r="J169" i="75"/>
  <c r="M169" i="75" s="1"/>
  <c r="J168" i="75"/>
  <c r="M168" i="75" s="1"/>
  <c r="J167" i="75"/>
  <c r="M167" i="75" s="1"/>
  <c r="J166" i="75"/>
  <c r="M166" i="75" s="1"/>
  <c r="J165" i="75"/>
  <c r="M165" i="75" s="1"/>
  <c r="J164" i="75"/>
  <c r="M164" i="75" s="1"/>
  <c r="J163" i="75"/>
  <c r="M163" i="75" s="1"/>
  <c r="J162" i="75"/>
  <c r="M162" i="75" s="1"/>
  <c r="J161" i="75"/>
  <c r="M161" i="75" s="1"/>
  <c r="J160" i="75"/>
  <c r="M160" i="75" s="1"/>
  <c r="J159" i="75"/>
  <c r="M159" i="75" s="1"/>
  <c r="J158" i="75"/>
  <c r="M158" i="75" s="1"/>
  <c r="J157" i="75"/>
  <c r="M157" i="75" s="1"/>
  <c r="J156" i="75"/>
  <c r="M156" i="75" s="1"/>
  <c r="J155" i="75"/>
  <c r="M155" i="75" s="1"/>
  <c r="J154" i="75"/>
  <c r="M154" i="75" s="1"/>
  <c r="J153" i="75"/>
  <c r="M153" i="75" s="1"/>
  <c r="J152" i="75"/>
  <c r="M152" i="75" s="1"/>
  <c r="J151" i="75"/>
  <c r="M151" i="75" s="1"/>
  <c r="J150" i="75"/>
  <c r="M150" i="75" s="1"/>
  <c r="J149" i="75"/>
  <c r="M149" i="75" s="1"/>
  <c r="J148" i="75"/>
  <c r="M148" i="75" s="1"/>
  <c r="J147" i="75"/>
  <c r="M147" i="75" s="1"/>
  <c r="J146" i="75"/>
  <c r="M146" i="75" s="1"/>
  <c r="J145" i="75"/>
  <c r="M145" i="75" s="1"/>
  <c r="J144" i="75"/>
  <c r="M144" i="75" s="1"/>
  <c r="J143" i="75"/>
  <c r="M143" i="75" s="1"/>
  <c r="J142" i="75"/>
  <c r="M142" i="75" s="1"/>
  <c r="J141" i="75"/>
  <c r="M141" i="75" s="1"/>
  <c r="J140" i="75"/>
  <c r="M140" i="75" s="1"/>
  <c r="J139" i="75"/>
  <c r="M139" i="75" s="1"/>
  <c r="J138" i="75"/>
  <c r="M138" i="75" s="1"/>
  <c r="J137" i="75"/>
  <c r="M137" i="75" s="1"/>
  <c r="J136" i="75"/>
  <c r="M136" i="75" s="1"/>
  <c r="J135" i="75"/>
  <c r="M135" i="75" s="1"/>
  <c r="J134" i="75"/>
  <c r="M134" i="75" s="1"/>
  <c r="J133" i="75"/>
  <c r="M133" i="75" s="1"/>
  <c r="J132" i="75"/>
  <c r="M132" i="75" s="1"/>
  <c r="J131" i="75"/>
  <c r="M131" i="75" s="1"/>
  <c r="J130" i="75"/>
  <c r="M130" i="75" s="1"/>
  <c r="J129" i="75"/>
  <c r="M129" i="75" s="1"/>
  <c r="J128" i="75"/>
  <c r="M128" i="75" s="1"/>
  <c r="J127" i="75"/>
  <c r="M127" i="75" s="1"/>
  <c r="J126" i="75"/>
  <c r="M126" i="75" s="1"/>
  <c r="J125" i="75"/>
  <c r="M125" i="75" s="1"/>
  <c r="J124" i="75"/>
  <c r="M124" i="75" s="1"/>
  <c r="J123" i="75"/>
  <c r="M123" i="75" s="1"/>
  <c r="J122" i="75"/>
  <c r="M122" i="75" s="1"/>
  <c r="J121" i="75"/>
  <c r="M121" i="75" s="1"/>
  <c r="J120" i="75"/>
  <c r="M120" i="75" s="1"/>
  <c r="J119" i="75"/>
  <c r="M119" i="75" s="1"/>
  <c r="J118" i="75"/>
  <c r="M118" i="75" s="1"/>
  <c r="J117" i="75"/>
  <c r="M117" i="75" s="1"/>
  <c r="J116" i="75"/>
  <c r="M116" i="75" s="1"/>
  <c r="J115" i="75"/>
  <c r="M115" i="75" s="1"/>
  <c r="J114" i="75"/>
  <c r="M114" i="75" s="1"/>
  <c r="J113" i="75"/>
  <c r="M113" i="75" s="1"/>
  <c r="J112" i="75"/>
  <c r="M112" i="75" s="1"/>
  <c r="J111" i="75"/>
  <c r="M111" i="75" s="1"/>
  <c r="J110" i="75"/>
  <c r="M110" i="75" s="1"/>
  <c r="J109" i="75"/>
  <c r="M109" i="75" s="1"/>
  <c r="J108" i="75"/>
  <c r="M108" i="75" s="1"/>
  <c r="J107" i="75"/>
  <c r="M107" i="75" s="1"/>
  <c r="J106" i="75"/>
  <c r="M106" i="75" s="1"/>
  <c r="J105" i="75"/>
  <c r="M105" i="75" s="1"/>
  <c r="J104" i="75"/>
  <c r="M104" i="75" s="1"/>
  <c r="J103" i="75"/>
  <c r="M103" i="75" s="1"/>
  <c r="J102" i="75"/>
  <c r="M102" i="75" s="1"/>
  <c r="J101" i="75"/>
  <c r="M101" i="75" s="1"/>
  <c r="J100" i="75"/>
  <c r="M100" i="75" s="1"/>
  <c r="J99" i="75"/>
  <c r="M99" i="75" s="1"/>
  <c r="J98" i="75"/>
  <c r="M98" i="75" s="1"/>
  <c r="J97" i="75"/>
  <c r="M97" i="75" s="1"/>
  <c r="J96" i="75"/>
  <c r="M96" i="75" s="1"/>
  <c r="J95" i="75"/>
  <c r="M95" i="75" s="1"/>
  <c r="J94" i="75"/>
  <c r="M94" i="75" s="1"/>
  <c r="J93" i="75"/>
  <c r="M93" i="75" s="1"/>
  <c r="J92" i="75"/>
  <c r="M92" i="75" s="1"/>
  <c r="J91" i="75"/>
  <c r="M91" i="75" s="1"/>
  <c r="J90" i="75"/>
  <c r="M90" i="75" s="1"/>
  <c r="J89" i="75"/>
  <c r="M89" i="75" s="1"/>
  <c r="J88" i="75"/>
  <c r="M88" i="75" s="1"/>
  <c r="J87" i="75"/>
  <c r="M87" i="75" s="1"/>
  <c r="J86" i="75"/>
  <c r="M86" i="75" s="1"/>
  <c r="J85" i="75"/>
  <c r="M85" i="75" s="1"/>
  <c r="J84" i="75"/>
  <c r="M84" i="75" s="1"/>
  <c r="J83" i="75"/>
  <c r="M83" i="75" s="1"/>
  <c r="J82" i="75"/>
  <c r="M82" i="75" s="1"/>
  <c r="J81" i="75"/>
  <c r="M81" i="75" s="1"/>
  <c r="J80" i="75"/>
  <c r="M80" i="75" s="1"/>
  <c r="J79" i="75"/>
  <c r="M79" i="75" s="1"/>
  <c r="J78" i="75"/>
  <c r="M78" i="75" s="1"/>
  <c r="J76" i="75"/>
  <c r="M76" i="75" s="1"/>
  <c r="J75" i="75"/>
  <c r="M75" i="75" s="1"/>
  <c r="J74" i="75"/>
  <c r="M74" i="75" s="1"/>
  <c r="J73" i="75"/>
  <c r="M73" i="75" s="1"/>
  <c r="J72" i="75"/>
  <c r="M72" i="75" s="1"/>
  <c r="J71" i="75"/>
  <c r="M71" i="75" s="1"/>
  <c r="J70" i="75"/>
  <c r="M70" i="75" s="1"/>
  <c r="J69" i="75"/>
  <c r="M69" i="75" s="1"/>
  <c r="J68" i="75"/>
  <c r="M68" i="75" s="1"/>
  <c r="J67" i="75"/>
  <c r="M67" i="75" s="1"/>
  <c r="J66" i="75"/>
  <c r="M66" i="75" s="1"/>
  <c r="J65" i="75"/>
  <c r="M65" i="75" s="1"/>
  <c r="J64" i="75"/>
  <c r="M64" i="75" s="1"/>
  <c r="J63" i="75"/>
  <c r="M63" i="75" s="1"/>
  <c r="J62" i="75"/>
  <c r="M62" i="75" s="1"/>
  <c r="J61" i="75"/>
  <c r="M61" i="75" s="1"/>
  <c r="J60" i="75"/>
  <c r="M60" i="75" s="1"/>
  <c r="J59" i="75"/>
  <c r="M59" i="75" s="1"/>
  <c r="J58" i="75"/>
  <c r="M58" i="75" s="1"/>
  <c r="J57" i="75"/>
  <c r="M57" i="75" s="1"/>
  <c r="J56" i="75"/>
  <c r="M56" i="75" s="1"/>
  <c r="J55" i="75"/>
  <c r="M55" i="75" s="1"/>
  <c r="J54" i="75"/>
  <c r="M54" i="75" s="1"/>
  <c r="J53" i="75"/>
  <c r="M53" i="75" s="1"/>
  <c r="J52" i="75"/>
  <c r="M52" i="75" s="1"/>
  <c r="J51" i="75"/>
  <c r="M51" i="75" s="1"/>
  <c r="J50" i="75"/>
  <c r="M50" i="75" s="1"/>
  <c r="J49" i="75"/>
  <c r="M49" i="75" s="1"/>
  <c r="J48" i="75"/>
  <c r="M48" i="75" s="1"/>
  <c r="J47" i="75"/>
  <c r="M47" i="75" s="1"/>
  <c r="J46" i="75"/>
  <c r="M46" i="75" s="1"/>
  <c r="J45" i="75"/>
  <c r="M45" i="75" s="1"/>
  <c r="J44" i="75"/>
  <c r="M44" i="75" s="1"/>
  <c r="J43" i="75"/>
  <c r="M43" i="75" s="1"/>
  <c r="J42" i="75"/>
  <c r="M42" i="75" s="1"/>
  <c r="J41" i="75"/>
  <c r="M41" i="75" s="1"/>
  <c r="J40" i="75"/>
  <c r="M40" i="75" s="1"/>
  <c r="J39" i="75"/>
  <c r="M39" i="75" s="1"/>
  <c r="J38" i="75"/>
  <c r="M38" i="75" s="1"/>
  <c r="J37" i="75"/>
  <c r="M37" i="75" s="1"/>
  <c r="J36" i="75"/>
  <c r="M36" i="75" s="1"/>
  <c r="J35" i="75"/>
  <c r="M35" i="75" s="1"/>
  <c r="J34" i="75"/>
  <c r="M34" i="75" s="1"/>
  <c r="J33" i="75"/>
  <c r="M33" i="75" s="1"/>
  <c r="J32" i="75"/>
  <c r="M32" i="75" s="1"/>
  <c r="J31" i="75"/>
  <c r="M31" i="75" s="1"/>
  <c r="J30" i="75"/>
  <c r="M30" i="75" s="1"/>
  <c r="J29" i="75"/>
  <c r="M29" i="75" s="1"/>
  <c r="J28" i="75"/>
  <c r="M28" i="75" s="1"/>
  <c r="J27" i="75"/>
  <c r="M27" i="75" s="1"/>
  <c r="J26" i="75"/>
  <c r="M26" i="75" s="1"/>
  <c r="J25" i="75"/>
  <c r="M25" i="75" s="1"/>
  <c r="J24" i="75"/>
  <c r="M24" i="75" s="1"/>
  <c r="J23" i="75"/>
  <c r="M23" i="75" s="1"/>
  <c r="J22" i="75"/>
  <c r="M22" i="75" s="1"/>
  <c r="J21" i="75"/>
  <c r="M21" i="75" s="1"/>
  <c r="J20" i="75"/>
  <c r="M20" i="75" s="1"/>
  <c r="J19" i="75"/>
  <c r="M19" i="75" s="1"/>
  <c r="J18" i="75"/>
  <c r="M18" i="75" s="1"/>
  <c r="J17" i="75"/>
  <c r="M17" i="75" s="1"/>
  <c r="J16" i="75"/>
  <c r="M16" i="75" s="1"/>
  <c r="J15" i="75"/>
  <c r="M15" i="75" s="1"/>
  <c r="J14" i="75"/>
  <c r="M14" i="75" s="1"/>
  <c r="J13" i="75"/>
  <c r="M13" i="75" s="1"/>
  <c r="J12" i="75"/>
  <c r="M12" i="75" s="1"/>
  <c r="J11" i="75"/>
  <c r="M11" i="75" s="1"/>
  <c r="J10" i="75"/>
  <c r="M10" i="75" s="1"/>
  <c r="J9" i="75"/>
  <c r="M9" i="75" s="1"/>
  <c r="J8" i="75"/>
  <c r="M8" i="75" s="1"/>
  <c r="J7" i="75"/>
  <c r="M7" i="75" s="1"/>
  <c r="J6" i="75"/>
  <c r="M6" i="75" s="1"/>
  <c r="J5" i="75"/>
  <c r="J254" i="74"/>
  <c r="M254" i="74" s="1"/>
  <c r="J253" i="74"/>
  <c r="M253" i="74" s="1"/>
  <c r="J252" i="74"/>
  <c r="M252" i="74" s="1"/>
  <c r="J251" i="74"/>
  <c r="M251" i="74" s="1"/>
  <c r="J250" i="74"/>
  <c r="M250" i="74" s="1"/>
  <c r="J249" i="74"/>
  <c r="M249" i="74" s="1"/>
  <c r="J248" i="74"/>
  <c r="M248" i="74" s="1"/>
  <c r="J247" i="74"/>
  <c r="M247" i="74" s="1"/>
  <c r="J246" i="74"/>
  <c r="M246" i="74" s="1"/>
  <c r="J245" i="74"/>
  <c r="M245" i="74" s="1"/>
  <c r="J244" i="74"/>
  <c r="M244" i="74" s="1"/>
  <c r="J243" i="74"/>
  <c r="M243" i="74" s="1"/>
  <c r="J242" i="74"/>
  <c r="M242" i="74" s="1"/>
  <c r="J241" i="74"/>
  <c r="M241" i="74" s="1"/>
  <c r="J240" i="74"/>
  <c r="M240" i="74" s="1"/>
  <c r="J239" i="74"/>
  <c r="M239" i="74" s="1"/>
  <c r="J238" i="74"/>
  <c r="M238" i="74" s="1"/>
  <c r="J237" i="74"/>
  <c r="M237" i="74" s="1"/>
  <c r="J236" i="74"/>
  <c r="M236" i="74" s="1"/>
  <c r="J235" i="74"/>
  <c r="M235" i="74" s="1"/>
  <c r="J234" i="74"/>
  <c r="M234" i="74" s="1"/>
  <c r="J233" i="74"/>
  <c r="M233" i="74" s="1"/>
  <c r="J232" i="74"/>
  <c r="M232" i="74" s="1"/>
  <c r="J231" i="74"/>
  <c r="M231" i="74" s="1"/>
  <c r="J230" i="74"/>
  <c r="M230" i="74" s="1"/>
  <c r="J229" i="74"/>
  <c r="M229" i="74" s="1"/>
  <c r="J228" i="74"/>
  <c r="M228" i="74" s="1"/>
  <c r="J227" i="74"/>
  <c r="M227" i="74" s="1"/>
  <c r="J226" i="74"/>
  <c r="M226" i="74" s="1"/>
  <c r="J225" i="74"/>
  <c r="M225" i="74" s="1"/>
  <c r="J224" i="74"/>
  <c r="M224" i="74" s="1"/>
  <c r="J223" i="74"/>
  <c r="M223" i="74" s="1"/>
  <c r="J222" i="74"/>
  <c r="M222" i="74" s="1"/>
  <c r="J221" i="74"/>
  <c r="M221" i="74" s="1"/>
  <c r="J220" i="74"/>
  <c r="M220" i="74" s="1"/>
  <c r="J219" i="74"/>
  <c r="M219" i="74" s="1"/>
  <c r="J218" i="74"/>
  <c r="M218" i="74" s="1"/>
  <c r="J217" i="74"/>
  <c r="M217" i="74" s="1"/>
  <c r="J216" i="74"/>
  <c r="M216" i="74" s="1"/>
  <c r="J215" i="74"/>
  <c r="M215" i="74" s="1"/>
  <c r="J214" i="74"/>
  <c r="M214" i="74" s="1"/>
  <c r="J77" i="74"/>
  <c r="M77" i="74" s="1"/>
  <c r="J213" i="74"/>
  <c r="M213" i="74" s="1"/>
  <c r="J212" i="74"/>
  <c r="M212" i="74" s="1"/>
  <c r="J211" i="74"/>
  <c r="M211" i="74" s="1"/>
  <c r="J210" i="74"/>
  <c r="M210" i="74" s="1"/>
  <c r="J209" i="74"/>
  <c r="M209" i="74" s="1"/>
  <c r="J208" i="74"/>
  <c r="M208" i="74" s="1"/>
  <c r="J207" i="74"/>
  <c r="M207" i="74" s="1"/>
  <c r="J206" i="74"/>
  <c r="M206" i="74" s="1"/>
  <c r="J205" i="74"/>
  <c r="M205" i="74" s="1"/>
  <c r="J204" i="74"/>
  <c r="M204" i="74" s="1"/>
  <c r="J203" i="74"/>
  <c r="M203" i="74" s="1"/>
  <c r="J202" i="74"/>
  <c r="M202" i="74" s="1"/>
  <c r="J201" i="74"/>
  <c r="M201" i="74" s="1"/>
  <c r="J200" i="74"/>
  <c r="M200" i="74" s="1"/>
  <c r="J199" i="74"/>
  <c r="M199" i="74" s="1"/>
  <c r="J198" i="74"/>
  <c r="M198" i="74" s="1"/>
  <c r="J197" i="74"/>
  <c r="M197" i="74" s="1"/>
  <c r="J196" i="74"/>
  <c r="M196" i="74" s="1"/>
  <c r="J195" i="74"/>
  <c r="M195" i="74" s="1"/>
  <c r="J194" i="74"/>
  <c r="M194" i="74" s="1"/>
  <c r="J193" i="74"/>
  <c r="M193" i="74" s="1"/>
  <c r="J192" i="74"/>
  <c r="M192" i="74" s="1"/>
  <c r="J191" i="74"/>
  <c r="M191" i="74" s="1"/>
  <c r="J190" i="74"/>
  <c r="M190" i="74" s="1"/>
  <c r="J189" i="74"/>
  <c r="M189" i="74" s="1"/>
  <c r="J188" i="74"/>
  <c r="M188" i="74" s="1"/>
  <c r="J187" i="74"/>
  <c r="M187" i="74" s="1"/>
  <c r="J186" i="74"/>
  <c r="M186" i="74" s="1"/>
  <c r="J185" i="74"/>
  <c r="M185" i="74" s="1"/>
  <c r="J184" i="74"/>
  <c r="M184" i="74" s="1"/>
  <c r="J183" i="74"/>
  <c r="M183" i="74" s="1"/>
  <c r="J182" i="74"/>
  <c r="M182" i="74" s="1"/>
  <c r="J181" i="74"/>
  <c r="M181" i="74" s="1"/>
  <c r="J180" i="74"/>
  <c r="M180" i="74" s="1"/>
  <c r="J179" i="74"/>
  <c r="M179" i="74" s="1"/>
  <c r="J178" i="74"/>
  <c r="M178" i="74" s="1"/>
  <c r="J177" i="74"/>
  <c r="M177" i="74" s="1"/>
  <c r="J176" i="74"/>
  <c r="M176" i="74" s="1"/>
  <c r="J175" i="74"/>
  <c r="M175" i="74" s="1"/>
  <c r="J174" i="74"/>
  <c r="M174" i="74" s="1"/>
  <c r="J173" i="74"/>
  <c r="M173" i="74" s="1"/>
  <c r="J172" i="74"/>
  <c r="M172" i="74" s="1"/>
  <c r="J171" i="74"/>
  <c r="M171" i="74" s="1"/>
  <c r="J170" i="74"/>
  <c r="M170" i="74" s="1"/>
  <c r="J169" i="74"/>
  <c r="M169" i="74" s="1"/>
  <c r="J168" i="74"/>
  <c r="M168" i="74" s="1"/>
  <c r="J167" i="74"/>
  <c r="M167" i="74" s="1"/>
  <c r="J166" i="74"/>
  <c r="M166" i="74" s="1"/>
  <c r="J165" i="74"/>
  <c r="M165" i="74" s="1"/>
  <c r="J164" i="74"/>
  <c r="M164" i="74" s="1"/>
  <c r="J163" i="74"/>
  <c r="M163" i="74" s="1"/>
  <c r="J162" i="74"/>
  <c r="M162" i="74" s="1"/>
  <c r="J161" i="74"/>
  <c r="M161" i="74" s="1"/>
  <c r="J160" i="74"/>
  <c r="M160" i="74" s="1"/>
  <c r="J159" i="74"/>
  <c r="M159" i="74" s="1"/>
  <c r="J158" i="74"/>
  <c r="M158" i="74" s="1"/>
  <c r="J157" i="74"/>
  <c r="M157" i="74" s="1"/>
  <c r="J156" i="74"/>
  <c r="M156" i="74" s="1"/>
  <c r="J155" i="74"/>
  <c r="M155" i="74" s="1"/>
  <c r="J154" i="74"/>
  <c r="M154" i="74" s="1"/>
  <c r="J153" i="74"/>
  <c r="M153" i="74" s="1"/>
  <c r="J152" i="74"/>
  <c r="M152" i="74" s="1"/>
  <c r="J151" i="74"/>
  <c r="M151" i="74" s="1"/>
  <c r="J150" i="74"/>
  <c r="M150" i="74" s="1"/>
  <c r="J149" i="74"/>
  <c r="M149" i="74" s="1"/>
  <c r="J148" i="74"/>
  <c r="M148" i="74" s="1"/>
  <c r="J147" i="74"/>
  <c r="M147" i="74" s="1"/>
  <c r="J146" i="74"/>
  <c r="M146" i="74" s="1"/>
  <c r="J145" i="74"/>
  <c r="M145" i="74" s="1"/>
  <c r="J144" i="74"/>
  <c r="M144" i="74" s="1"/>
  <c r="J143" i="74"/>
  <c r="M143" i="74" s="1"/>
  <c r="J142" i="74"/>
  <c r="M142" i="74" s="1"/>
  <c r="J141" i="74"/>
  <c r="M141" i="74" s="1"/>
  <c r="J140" i="74"/>
  <c r="M140" i="74" s="1"/>
  <c r="J139" i="74"/>
  <c r="M139" i="74" s="1"/>
  <c r="J138" i="74"/>
  <c r="M138" i="74" s="1"/>
  <c r="J137" i="74"/>
  <c r="M137" i="74" s="1"/>
  <c r="J136" i="74"/>
  <c r="M136" i="74" s="1"/>
  <c r="J135" i="74"/>
  <c r="M135" i="74" s="1"/>
  <c r="J134" i="74"/>
  <c r="M134" i="74" s="1"/>
  <c r="J133" i="74"/>
  <c r="M133" i="74" s="1"/>
  <c r="J132" i="74"/>
  <c r="M132" i="74" s="1"/>
  <c r="J131" i="74"/>
  <c r="M131" i="74" s="1"/>
  <c r="J130" i="74"/>
  <c r="M130" i="74" s="1"/>
  <c r="J129" i="74"/>
  <c r="M129" i="74" s="1"/>
  <c r="J128" i="74"/>
  <c r="M128" i="74" s="1"/>
  <c r="J127" i="74"/>
  <c r="M127" i="74" s="1"/>
  <c r="J126" i="74"/>
  <c r="M126" i="74" s="1"/>
  <c r="J125" i="74"/>
  <c r="M125" i="74" s="1"/>
  <c r="J124" i="74"/>
  <c r="M124" i="74" s="1"/>
  <c r="J123" i="74"/>
  <c r="M123" i="74" s="1"/>
  <c r="J122" i="74"/>
  <c r="M122" i="74" s="1"/>
  <c r="J121" i="74"/>
  <c r="M121" i="74" s="1"/>
  <c r="J120" i="74"/>
  <c r="M120" i="74" s="1"/>
  <c r="J119" i="74"/>
  <c r="M119" i="74" s="1"/>
  <c r="J118" i="74"/>
  <c r="M118" i="74" s="1"/>
  <c r="J117" i="74"/>
  <c r="M117" i="74" s="1"/>
  <c r="J116" i="74"/>
  <c r="M116" i="74" s="1"/>
  <c r="J115" i="74"/>
  <c r="M115" i="74" s="1"/>
  <c r="J114" i="74"/>
  <c r="M114" i="74" s="1"/>
  <c r="J113" i="74"/>
  <c r="M113" i="74" s="1"/>
  <c r="J112" i="74"/>
  <c r="M112" i="74" s="1"/>
  <c r="J111" i="74"/>
  <c r="M111" i="74" s="1"/>
  <c r="J110" i="74"/>
  <c r="M110" i="74" s="1"/>
  <c r="J109" i="74"/>
  <c r="M109" i="74" s="1"/>
  <c r="J108" i="74"/>
  <c r="M108" i="74" s="1"/>
  <c r="J107" i="74"/>
  <c r="M107" i="74" s="1"/>
  <c r="J106" i="74"/>
  <c r="M106" i="74" s="1"/>
  <c r="J105" i="74"/>
  <c r="M105" i="74" s="1"/>
  <c r="J104" i="74"/>
  <c r="M104" i="74" s="1"/>
  <c r="J103" i="74"/>
  <c r="M103" i="74" s="1"/>
  <c r="J102" i="74"/>
  <c r="M102" i="74" s="1"/>
  <c r="J101" i="74"/>
  <c r="M101" i="74" s="1"/>
  <c r="J100" i="74"/>
  <c r="M100" i="74" s="1"/>
  <c r="J99" i="74"/>
  <c r="M99" i="74" s="1"/>
  <c r="J98" i="74"/>
  <c r="M98" i="74" s="1"/>
  <c r="J97" i="74"/>
  <c r="M97" i="74" s="1"/>
  <c r="J96" i="74"/>
  <c r="M96" i="74" s="1"/>
  <c r="J95" i="74"/>
  <c r="M95" i="74" s="1"/>
  <c r="J94" i="74"/>
  <c r="M94" i="74" s="1"/>
  <c r="J93" i="74"/>
  <c r="M93" i="74" s="1"/>
  <c r="J92" i="74"/>
  <c r="M92" i="74" s="1"/>
  <c r="J91" i="74"/>
  <c r="M91" i="74" s="1"/>
  <c r="J90" i="74"/>
  <c r="M90" i="74" s="1"/>
  <c r="J89" i="74"/>
  <c r="M89" i="74" s="1"/>
  <c r="J88" i="74"/>
  <c r="M88" i="74" s="1"/>
  <c r="J87" i="74"/>
  <c r="M87" i="74" s="1"/>
  <c r="J86" i="74"/>
  <c r="M86" i="74" s="1"/>
  <c r="J85" i="74"/>
  <c r="M85" i="74" s="1"/>
  <c r="J84" i="74"/>
  <c r="M84" i="74" s="1"/>
  <c r="J83" i="74"/>
  <c r="M83" i="74" s="1"/>
  <c r="J82" i="74"/>
  <c r="M82" i="74" s="1"/>
  <c r="J81" i="74"/>
  <c r="M81" i="74" s="1"/>
  <c r="J80" i="74"/>
  <c r="M80" i="74" s="1"/>
  <c r="J79" i="74"/>
  <c r="M79" i="74" s="1"/>
  <c r="J78" i="74"/>
  <c r="M78" i="74" s="1"/>
  <c r="J76" i="74"/>
  <c r="M76" i="74" s="1"/>
  <c r="J75" i="74"/>
  <c r="M75" i="74" s="1"/>
  <c r="J74" i="74"/>
  <c r="M74" i="74" s="1"/>
  <c r="J73" i="74"/>
  <c r="M73" i="74" s="1"/>
  <c r="J72" i="74"/>
  <c r="M72" i="74" s="1"/>
  <c r="J71" i="74"/>
  <c r="M71" i="74" s="1"/>
  <c r="J70" i="74"/>
  <c r="M70" i="74" s="1"/>
  <c r="J69" i="74"/>
  <c r="M69" i="74" s="1"/>
  <c r="J68" i="74"/>
  <c r="M68" i="74" s="1"/>
  <c r="J67" i="74"/>
  <c r="M67" i="74" s="1"/>
  <c r="J66" i="74"/>
  <c r="M66" i="74" s="1"/>
  <c r="J65" i="74"/>
  <c r="M65" i="74" s="1"/>
  <c r="J64" i="74"/>
  <c r="M64" i="74" s="1"/>
  <c r="J63" i="74"/>
  <c r="M63" i="74" s="1"/>
  <c r="J62" i="74"/>
  <c r="M62" i="74" s="1"/>
  <c r="J61" i="74"/>
  <c r="M61" i="74" s="1"/>
  <c r="J60" i="74"/>
  <c r="M60" i="74" s="1"/>
  <c r="J59" i="74"/>
  <c r="M59" i="74" s="1"/>
  <c r="J58" i="74"/>
  <c r="M58" i="74" s="1"/>
  <c r="J57" i="74"/>
  <c r="M57" i="74" s="1"/>
  <c r="J56" i="74"/>
  <c r="M56" i="74" s="1"/>
  <c r="J55" i="74"/>
  <c r="M55" i="74" s="1"/>
  <c r="J54" i="74"/>
  <c r="M54" i="74" s="1"/>
  <c r="J53" i="74"/>
  <c r="M53" i="74" s="1"/>
  <c r="J52" i="74"/>
  <c r="M52" i="74" s="1"/>
  <c r="J51" i="74"/>
  <c r="M51" i="74" s="1"/>
  <c r="J50" i="74"/>
  <c r="M50" i="74" s="1"/>
  <c r="J49" i="74"/>
  <c r="M49" i="74" s="1"/>
  <c r="J48" i="74"/>
  <c r="M48" i="74" s="1"/>
  <c r="J47" i="74"/>
  <c r="M47" i="74" s="1"/>
  <c r="J46" i="74"/>
  <c r="M46" i="74" s="1"/>
  <c r="J45" i="74"/>
  <c r="M45" i="74" s="1"/>
  <c r="J44" i="74"/>
  <c r="M44" i="74" s="1"/>
  <c r="J43" i="74"/>
  <c r="M43" i="74" s="1"/>
  <c r="J42" i="74"/>
  <c r="M42" i="74" s="1"/>
  <c r="J41" i="74"/>
  <c r="M41" i="74" s="1"/>
  <c r="J40" i="74"/>
  <c r="M40" i="74" s="1"/>
  <c r="J39" i="74"/>
  <c r="M39" i="74" s="1"/>
  <c r="J38" i="74"/>
  <c r="M38" i="74" s="1"/>
  <c r="J37" i="74"/>
  <c r="M37" i="74" s="1"/>
  <c r="J36" i="74"/>
  <c r="M36" i="74" s="1"/>
  <c r="J35" i="74"/>
  <c r="M35" i="74" s="1"/>
  <c r="J34" i="74"/>
  <c r="M34" i="74" s="1"/>
  <c r="J33" i="74"/>
  <c r="M33" i="74" s="1"/>
  <c r="J32" i="74"/>
  <c r="M32" i="74" s="1"/>
  <c r="J31" i="74"/>
  <c r="M31" i="74" s="1"/>
  <c r="J30" i="74"/>
  <c r="M30" i="74" s="1"/>
  <c r="J29" i="74"/>
  <c r="M29" i="74" s="1"/>
  <c r="J28" i="74"/>
  <c r="M28" i="74" s="1"/>
  <c r="J27" i="74"/>
  <c r="M27" i="74" s="1"/>
  <c r="J26" i="74"/>
  <c r="M26" i="74" s="1"/>
  <c r="J25" i="74"/>
  <c r="M25" i="74" s="1"/>
  <c r="J24" i="74"/>
  <c r="M24" i="74" s="1"/>
  <c r="J23" i="74"/>
  <c r="M23" i="74" s="1"/>
  <c r="J22" i="74"/>
  <c r="M22" i="74" s="1"/>
  <c r="J21" i="74"/>
  <c r="M21" i="74" s="1"/>
  <c r="J20" i="74"/>
  <c r="M20" i="74" s="1"/>
  <c r="J19" i="74"/>
  <c r="M19" i="74" s="1"/>
  <c r="J18" i="74"/>
  <c r="M18" i="74" s="1"/>
  <c r="J17" i="74"/>
  <c r="M17" i="74" s="1"/>
  <c r="J16" i="74"/>
  <c r="M16" i="74" s="1"/>
  <c r="J15" i="74"/>
  <c r="M15" i="74" s="1"/>
  <c r="J14" i="74"/>
  <c r="M14" i="74" s="1"/>
  <c r="J13" i="74"/>
  <c r="M13" i="74" s="1"/>
  <c r="J12" i="74"/>
  <c r="M12" i="74" s="1"/>
  <c r="J11" i="74"/>
  <c r="M11" i="74" s="1"/>
  <c r="J10" i="74"/>
  <c r="M10" i="74" s="1"/>
  <c r="J9" i="74"/>
  <c r="M9" i="74" s="1"/>
  <c r="J8" i="74"/>
  <c r="M8" i="74" s="1"/>
  <c r="J7" i="74"/>
  <c r="M7" i="74" s="1"/>
  <c r="J6" i="74"/>
  <c r="M6" i="74" s="1"/>
  <c r="J5" i="74"/>
  <c r="K262" i="73"/>
  <c r="N12" i="8" s="1"/>
  <c r="K259" i="73"/>
  <c r="R12" i="8" s="1"/>
  <c r="J254" i="73"/>
  <c r="M254" i="73" s="1"/>
  <c r="J253" i="73"/>
  <c r="M253" i="73" s="1"/>
  <c r="J252" i="73"/>
  <c r="M252" i="73" s="1"/>
  <c r="J251" i="73"/>
  <c r="M251" i="73" s="1"/>
  <c r="J250" i="73"/>
  <c r="M250" i="73" s="1"/>
  <c r="J249" i="73"/>
  <c r="M249" i="73" s="1"/>
  <c r="J248" i="73"/>
  <c r="M248" i="73" s="1"/>
  <c r="J247" i="73"/>
  <c r="M247" i="73" s="1"/>
  <c r="J246" i="73"/>
  <c r="M246" i="73" s="1"/>
  <c r="J245" i="73"/>
  <c r="M245" i="73" s="1"/>
  <c r="J244" i="73"/>
  <c r="M244" i="73" s="1"/>
  <c r="J243" i="73"/>
  <c r="M243" i="73" s="1"/>
  <c r="J242" i="73"/>
  <c r="M242" i="73" s="1"/>
  <c r="J241" i="73"/>
  <c r="M241" i="73" s="1"/>
  <c r="J240" i="73"/>
  <c r="M240" i="73" s="1"/>
  <c r="J239" i="73"/>
  <c r="M239" i="73" s="1"/>
  <c r="J238" i="73"/>
  <c r="M238" i="73" s="1"/>
  <c r="J237" i="73"/>
  <c r="M237" i="73" s="1"/>
  <c r="J236" i="73"/>
  <c r="M236" i="73" s="1"/>
  <c r="J235" i="73"/>
  <c r="M235" i="73" s="1"/>
  <c r="J234" i="73"/>
  <c r="M234" i="73" s="1"/>
  <c r="J233" i="73"/>
  <c r="M233" i="73" s="1"/>
  <c r="J232" i="73"/>
  <c r="M232" i="73" s="1"/>
  <c r="J231" i="73"/>
  <c r="M231" i="73" s="1"/>
  <c r="J230" i="73"/>
  <c r="M230" i="73" s="1"/>
  <c r="J229" i="73"/>
  <c r="M229" i="73" s="1"/>
  <c r="J228" i="73"/>
  <c r="M228" i="73" s="1"/>
  <c r="J227" i="73"/>
  <c r="M227" i="73" s="1"/>
  <c r="J226" i="73"/>
  <c r="M226" i="73" s="1"/>
  <c r="J225" i="73"/>
  <c r="M225" i="73" s="1"/>
  <c r="J224" i="73"/>
  <c r="M224" i="73" s="1"/>
  <c r="J223" i="73"/>
  <c r="M223" i="73" s="1"/>
  <c r="J222" i="73"/>
  <c r="M222" i="73" s="1"/>
  <c r="J221" i="73"/>
  <c r="M221" i="73" s="1"/>
  <c r="J220" i="73"/>
  <c r="M220" i="73" s="1"/>
  <c r="J219" i="73"/>
  <c r="M219" i="73" s="1"/>
  <c r="J218" i="73"/>
  <c r="M218" i="73" s="1"/>
  <c r="J217" i="73"/>
  <c r="M217" i="73" s="1"/>
  <c r="J216" i="73"/>
  <c r="M216" i="73" s="1"/>
  <c r="J215" i="73"/>
  <c r="M215" i="73" s="1"/>
  <c r="J214" i="73"/>
  <c r="M214" i="73" s="1"/>
  <c r="J77" i="73"/>
  <c r="M77" i="73" s="1"/>
  <c r="J213" i="73"/>
  <c r="M213" i="73" s="1"/>
  <c r="J212" i="73"/>
  <c r="M212" i="73" s="1"/>
  <c r="J211" i="73"/>
  <c r="M211" i="73" s="1"/>
  <c r="J210" i="73"/>
  <c r="M210" i="73" s="1"/>
  <c r="J209" i="73"/>
  <c r="M209" i="73" s="1"/>
  <c r="J208" i="73"/>
  <c r="M208" i="73" s="1"/>
  <c r="J207" i="73"/>
  <c r="M207" i="73" s="1"/>
  <c r="J206" i="73"/>
  <c r="M206" i="73" s="1"/>
  <c r="J205" i="73"/>
  <c r="M205" i="73" s="1"/>
  <c r="J204" i="73"/>
  <c r="M204" i="73" s="1"/>
  <c r="J203" i="73"/>
  <c r="M203" i="73" s="1"/>
  <c r="J202" i="73"/>
  <c r="M202" i="73" s="1"/>
  <c r="J201" i="73"/>
  <c r="M201" i="73" s="1"/>
  <c r="J200" i="73"/>
  <c r="M200" i="73" s="1"/>
  <c r="J199" i="73"/>
  <c r="M199" i="73" s="1"/>
  <c r="J198" i="73"/>
  <c r="M198" i="73" s="1"/>
  <c r="J197" i="73"/>
  <c r="M197" i="73" s="1"/>
  <c r="J196" i="73"/>
  <c r="M196" i="73" s="1"/>
  <c r="J195" i="73"/>
  <c r="M195" i="73" s="1"/>
  <c r="J194" i="73"/>
  <c r="M194" i="73" s="1"/>
  <c r="J193" i="73"/>
  <c r="M193" i="73" s="1"/>
  <c r="J192" i="73"/>
  <c r="M192" i="73" s="1"/>
  <c r="J191" i="73"/>
  <c r="M191" i="73" s="1"/>
  <c r="J190" i="73"/>
  <c r="M190" i="73" s="1"/>
  <c r="J189" i="73"/>
  <c r="M189" i="73" s="1"/>
  <c r="J188" i="73"/>
  <c r="M188" i="73" s="1"/>
  <c r="J187" i="73"/>
  <c r="M187" i="73" s="1"/>
  <c r="J186" i="73"/>
  <c r="M186" i="73" s="1"/>
  <c r="J185" i="73"/>
  <c r="M185" i="73" s="1"/>
  <c r="J184" i="73"/>
  <c r="M184" i="73" s="1"/>
  <c r="J183" i="73"/>
  <c r="M183" i="73" s="1"/>
  <c r="J182" i="73"/>
  <c r="M182" i="73" s="1"/>
  <c r="J181" i="73"/>
  <c r="M181" i="73" s="1"/>
  <c r="J180" i="73"/>
  <c r="M180" i="73" s="1"/>
  <c r="J179" i="73"/>
  <c r="M179" i="73" s="1"/>
  <c r="J178" i="73"/>
  <c r="M178" i="73" s="1"/>
  <c r="J177" i="73"/>
  <c r="M177" i="73" s="1"/>
  <c r="J176" i="73"/>
  <c r="M176" i="73" s="1"/>
  <c r="J175" i="73"/>
  <c r="M175" i="73" s="1"/>
  <c r="J174" i="73"/>
  <c r="M174" i="73" s="1"/>
  <c r="J173" i="73"/>
  <c r="M173" i="73" s="1"/>
  <c r="J172" i="73"/>
  <c r="M172" i="73" s="1"/>
  <c r="J171" i="73"/>
  <c r="M171" i="73" s="1"/>
  <c r="J170" i="73"/>
  <c r="M170" i="73" s="1"/>
  <c r="J169" i="73"/>
  <c r="M169" i="73" s="1"/>
  <c r="J168" i="73"/>
  <c r="M168" i="73" s="1"/>
  <c r="J167" i="73"/>
  <c r="M167" i="73" s="1"/>
  <c r="J166" i="73"/>
  <c r="M166" i="73" s="1"/>
  <c r="J165" i="73"/>
  <c r="M165" i="73" s="1"/>
  <c r="J164" i="73"/>
  <c r="M164" i="73" s="1"/>
  <c r="J163" i="73"/>
  <c r="M163" i="73" s="1"/>
  <c r="J162" i="73"/>
  <c r="M162" i="73" s="1"/>
  <c r="J161" i="73"/>
  <c r="M161" i="73" s="1"/>
  <c r="J160" i="73"/>
  <c r="M160" i="73" s="1"/>
  <c r="J159" i="73"/>
  <c r="M159" i="73" s="1"/>
  <c r="J158" i="73"/>
  <c r="M158" i="73" s="1"/>
  <c r="J157" i="73"/>
  <c r="M157" i="73" s="1"/>
  <c r="J156" i="73"/>
  <c r="M156" i="73" s="1"/>
  <c r="J155" i="73"/>
  <c r="M155" i="73" s="1"/>
  <c r="J154" i="73"/>
  <c r="M154" i="73" s="1"/>
  <c r="J153" i="73"/>
  <c r="M153" i="73" s="1"/>
  <c r="J152" i="73"/>
  <c r="M152" i="73" s="1"/>
  <c r="J151" i="73"/>
  <c r="M151" i="73" s="1"/>
  <c r="J150" i="73"/>
  <c r="M150" i="73" s="1"/>
  <c r="J149" i="73"/>
  <c r="M149" i="73" s="1"/>
  <c r="J148" i="73"/>
  <c r="M148" i="73" s="1"/>
  <c r="J147" i="73"/>
  <c r="M147" i="73" s="1"/>
  <c r="J146" i="73"/>
  <c r="M146" i="73" s="1"/>
  <c r="J145" i="73"/>
  <c r="M145" i="73" s="1"/>
  <c r="J144" i="73"/>
  <c r="M144" i="73" s="1"/>
  <c r="J143" i="73"/>
  <c r="M143" i="73" s="1"/>
  <c r="J142" i="73"/>
  <c r="M142" i="73" s="1"/>
  <c r="J141" i="73"/>
  <c r="M141" i="73" s="1"/>
  <c r="J140" i="73"/>
  <c r="M140" i="73" s="1"/>
  <c r="J139" i="73"/>
  <c r="M139" i="73" s="1"/>
  <c r="J256" i="73"/>
  <c r="J138" i="73"/>
  <c r="M138" i="73" s="1"/>
  <c r="J137" i="73"/>
  <c r="M137" i="73" s="1"/>
  <c r="J136" i="73"/>
  <c r="M136" i="73" s="1"/>
  <c r="J135" i="73"/>
  <c r="M135" i="73" s="1"/>
  <c r="J134" i="73"/>
  <c r="M134" i="73" s="1"/>
  <c r="J133" i="73"/>
  <c r="M133" i="73" s="1"/>
  <c r="J132" i="73"/>
  <c r="M132" i="73" s="1"/>
  <c r="J131" i="73"/>
  <c r="M131" i="73" s="1"/>
  <c r="J130" i="73"/>
  <c r="M130" i="73" s="1"/>
  <c r="J129" i="73"/>
  <c r="M129" i="73" s="1"/>
  <c r="J128" i="73"/>
  <c r="M128" i="73" s="1"/>
  <c r="J127" i="73"/>
  <c r="M127" i="73" s="1"/>
  <c r="J126" i="73"/>
  <c r="M126" i="73" s="1"/>
  <c r="J125" i="73"/>
  <c r="M125" i="73" s="1"/>
  <c r="J124" i="73"/>
  <c r="M124" i="73" s="1"/>
  <c r="J123" i="73"/>
  <c r="M123" i="73" s="1"/>
  <c r="J122" i="73"/>
  <c r="M122" i="73" s="1"/>
  <c r="J121" i="73"/>
  <c r="M121" i="73" s="1"/>
  <c r="J120" i="73"/>
  <c r="M120" i="73" s="1"/>
  <c r="J119" i="73"/>
  <c r="M119" i="73" s="1"/>
  <c r="J118" i="73"/>
  <c r="M118" i="73" s="1"/>
  <c r="J117" i="73"/>
  <c r="M117" i="73" s="1"/>
  <c r="J116" i="73"/>
  <c r="M116" i="73" s="1"/>
  <c r="J115" i="73"/>
  <c r="M115" i="73" s="1"/>
  <c r="J114" i="73"/>
  <c r="M114" i="73" s="1"/>
  <c r="J113" i="73"/>
  <c r="M113" i="73" s="1"/>
  <c r="J112" i="73"/>
  <c r="M112" i="73" s="1"/>
  <c r="J111" i="73"/>
  <c r="M111" i="73" s="1"/>
  <c r="J110" i="73"/>
  <c r="M110" i="73" s="1"/>
  <c r="J109" i="73"/>
  <c r="M109" i="73" s="1"/>
  <c r="J108" i="73"/>
  <c r="M108" i="73" s="1"/>
  <c r="J107" i="73"/>
  <c r="M107" i="73" s="1"/>
  <c r="J106" i="73"/>
  <c r="M106" i="73" s="1"/>
  <c r="J105" i="73"/>
  <c r="M105" i="73" s="1"/>
  <c r="J104" i="73"/>
  <c r="M104" i="73" s="1"/>
  <c r="J103" i="73"/>
  <c r="M103" i="73" s="1"/>
  <c r="J102" i="73"/>
  <c r="M102" i="73" s="1"/>
  <c r="J101" i="73"/>
  <c r="M101" i="73" s="1"/>
  <c r="J100" i="73"/>
  <c r="M100" i="73" s="1"/>
  <c r="J99" i="73"/>
  <c r="M99" i="73" s="1"/>
  <c r="J98" i="73"/>
  <c r="M98" i="73" s="1"/>
  <c r="J97" i="73"/>
  <c r="M97" i="73" s="1"/>
  <c r="J96" i="73"/>
  <c r="M96" i="73" s="1"/>
  <c r="J95" i="73"/>
  <c r="M95" i="73" s="1"/>
  <c r="J94" i="73"/>
  <c r="M94" i="73" s="1"/>
  <c r="J93" i="73"/>
  <c r="M93" i="73" s="1"/>
  <c r="J92" i="73"/>
  <c r="M92" i="73" s="1"/>
  <c r="J91" i="73"/>
  <c r="M91" i="73" s="1"/>
  <c r="J90" i="73"/>
  <c r="M90" i="73" s="1"/>
  <c r="J89" i="73"/>
  <c r="M89" i="73" s="1"/>
  <c r="J88" i="73"/>
  <c r="M88" i="73" s="1"/>
  <c r="J87" i="73"/>
  <c r="M87" i="73" s="1"/>
  <c r="J86" i="73"/>
  <c r="M86" i="73" s="1"/>
  <c r="J85" i="73"/>
  <c r="M85" i="73" s="1"/>
  <c r="J84" i="73"/>
  <c r="M84" i="73" s="1"/>
  <c r="J83" i="73"/>
  <c r="M83" i="73" s="1"/>
  <c r="J82" i="73"/>
  <c r="M82" i="73" s="1"/>
  <c r="J81" i="73"/>
  <c r="M81" i="73" s="1"/>
  <c r="J80" i="73"/>
  <c r="M80" i="73" s="1"/>
  <c r="J79" i="73"/>
  <c r="M79" i="73" s="1"/>
  <c r="J78" i="73"/>
  <c r="M78" i="73" s="1"/>
  <c r="J76" i="73"/>
  <c r="M76" i="73" s="1"/>
  <c r="J75" i="73"/>
  <c r="M75" i="73" s="1"/>
  <c r="J74" i="73"/>
  <c r="M74" i="73" s="1"/>
  <c r="J73" i="73"/>
  <c r="M73" i="73" s="1"/>
  <c r="J72" i="73"/>
  <c r="M72" i="73" s="1"/>
  <c r="J71" i="73"/>
  <c r="M71" i="73" s="1"/>
  <c r="J70" i="73"/>
  <c r="M70" i="73" s="1"/>
  <c r="J69" i="73"/>
  <c r="M69" i="73" s="1"/>
  <c r="J68" i="73"/>
  <c r="M68" i="73" s="1"/>
  <c r="J67" i="73"/>
  <c r="M67" i="73" s="1"/>
  <c r="J66" i="73"/>
  <c r="M66" i="73" s="1"/>
  <c r="J65" i="73"/>
  <c r="M65" i="73" s="1"/>
  <c r="J64" i="73"/>
  <c r="M64" i="73" s="1"/>
  <c r="J63" i="73"/>
  <c r="M63" i="73" s="1"/>
  <c r="J62" i="73"/>
  <c r="M62" i="73" s="1"/>
  <c r="J61" i="73"/>
  <c r="M61" i="73" s="1"/>
  <c r="J60" i="73"/>
  <c r="M60" i="73" s="1"/>
  <c r="J59" i="73"/>
  <c r="M59" i="73" s="1"/>
  <c r="J58" i="73"/>
  <c r="M58" i="73" s="1"/>
  <c r="J57" i="73"/>
  <c r="M57" i="73" s="1"/>
  <c r="J56" i="73"/>
  <c r="M56" i="73" s="1"/>
  <c r="J55" i="73"/>
  <c r="M55" i="73" s="1"/>
  <c r="J54" i="73"/>
  <c r="M54" i="73" s="1"/>
  <c r="J53" i="73"/>
  <c r="M53" i="73" s="1"/>
  <c r="J52" i="73"/>
  <c r="M52" i="73" s="1"/>
  <c r="J51" i="73"/>
  <c r="M51" i="73" s="1"/>
  <c r="J50" i="73"/>
  <c r="M50" i="73" s="1"/>
  <c r="J49" i="73"/>
  <c r="M49" i="73" s="1"/>
  <c r="J48" i="73"/>
  <c r="M48" i="73" s="1"/>
  <c r="J47" i="73"/>
  <c r="M47" i="73" s="1"/>
  <c r="J46" i="73"/>
  <c r="M46" i="73" s="1"/>
  <c r="J45" i="73"/>
  <c r="M45" i="73" s="1"/>
  <c r="J44" i="73"/>
  <c r="M44" i="73" s="1"/>
  <c r="J43" i="73"/>
  <c r="M43" i="73" s="1"/>
  <c r="J42" i="73"/>
  <c r="M42" i="73" s="1"/>
  <c r="J41" i="73"/>
  <c r="M41" i="73" s="1"/>
  <c r="J40" i="73"/>
  <c r="M40" i="73" s="1"/>
  <c r="J39" i="73"/>
  <c r="M39" i="73" s="1"/>
  <c r="J38" i="73"/>
  <c r="M38" i="73" s="1"/>
  <c r="J37" i="73"/>
  <c r="M37" i="73" s="1"/>
  <c r="J36" i="73"/>
  <c r="M36" i="73" s="1"/>
  <c r="J35" i="73"/>
  <c r="M35" i="73" s="1"/>
  <c r="J34" i="73"/>
  <c r="M34" i="73" s="1"/>
  <c r="J33" i="73"/>
  <c r="M33" i="73" s="1"/>
  <c r="J32" i="73"/>
  <c r="M32" i="73" s="1"/>
  <c r="J31" i="73"/>
  <c r="M31" i="73" s="1"/>
  <c r="J30" i="73"/>
  <c r="M30" i="73" s="1"/>
  <c r="J29" i="73"/>
  <c r="M29" i="73" s="1"/>
  <c r="J28" i="73"/>
  <c r="M28" i="73" s="1"/>
  <c r="J27" i="73"/>
  <c r="M27" i="73" s="1"/>
  <c r="J26" i="73"/>
  <c r="M26" i="73" s="1"/>
  <c r="J25" i="73"/>
  <c r="M25" i="73" s="1"/>
  <c r="J24" i="73"/>
  <c r="M24" i="73" s="1"/>
  <c r="J23" i="73"/>
  <c r="M23" i="73" s="1"/>
  <c r="J22" i="73"/>
  <c r="M22" i="73" s="1"/>
  <c r="J21" i="73"/>
  <c r="M21" i="73" s="1"/>
  <c r="J20" i="73"/>
  <c r="M20" i="73" s="1"/>
  <c r="J19" i="73"/>
  <c r="M19" i="73" s="1"/>
  <c r="J18" i="73"/>
  <c r="M18" i="73" s="1"/>
  <c r="J17" i="73"/>
  <c r="M17" i="73" s="1"/>
  <c r="J16" i="73"/>
  <c r="M16" i="73" s="1"/>
  <c r="J15" i="73"/>
  <c r="M15" i="73" s="1"/>
  <c r="J14" i="73"/>
  <c r="M14" i="73" s="1"/>
  <c r="J13" i="73"/>
  <c r="M13" i="73" s="1"/>
  <c r="J12" i="73"/>
  <c r="M12" i="73" s="1"/>
  <c r="J11" i="73"/>
  <c r="M11" i="73" s="1"/>
  <c r="J10" i="73"/>
  <c r="M10" i="73" s="1"/>
  <c r="J9" i="73"/>
  <c r="M9" i="73" s="1"/>
  <c r="J8" i="73"/>
  <c r="M8" i="73" s="1"/>
  <c r="J7" i="73"/>
  <c r="M7" i="73" s="1"/>
  <c r="J6" i="73"/>
  <c r="M6" i="73" s="1"/>
  <c r="J5" i="73"/>
  <c r="M5" i="73" s="1"/>
  <c r="K262" i="72"/>
  <c r="N11" i="8" s="1"/>
  <c r="K259" i="72"/>
  <c r="R11" i="8" s="1"/>
  <c r="J254" i="72"/>
  <c r="M254" i="72" s="1"/>
  <c r="J253" i="72"/>
  <c r="M253" i="72" s="1"/>
  <c r="J252" i="72"/>
  <c r="M252" i="72" s="1"/>
  <c r="J251" i="72"/>
  <c r="M251" i="72" s="1"/>
  <c r="J250" i="72"/>
  <c r="M250" i="72" s="1"/>
  <c r="J249" i="72"/>
  <c r="M249" i="72" s="1"/>
  <c r="J248" i="72"/>
  <c r="M248" i="72" s="1"/>
  <c r="J247" i="72"/>
  <c r="M247" i="72" s="1"/>
  <c r="J246" i="72"/>
  <c r="M246" i="72" s="1"/>
  <c r="J245" i="72"/>
  <c r="M245" i="72" s="1"/>
  <c r="J244" i="72"/>
  <c r="M244" i="72" s="1"/>
  <c r="J243" i="72"/>
  <c r="M243" i="72" s="1"/>
  <c r="J242" i="72"/>
  <c r="M242" i="72" s="1"/>
  <c r="J241" i="72"/>
  <c r="M241" i="72" s="1"/>
  <c r="J240" i="72"/>
  <c r="M240" i="72" s="1"/>
  <c r="J239" i="72"/>
  <c r="M239" i="72" s="1"/>
  <c r="J238" i="72"/>
  <c r="M238" i="72" s="1"/>
  <c r="J237" i="72"/>
  <c r="M237" i="72" s="1"/>
  <c r="J236" i="72"/>
  <c r="M236" i="72" s="1"/>
  <c r="J235" i="72"/>
  <c r="M235" i="72" s="1"/>
  <c r="J234" i="72"/>
  <c r="M234" i="72" s="1"/>
  <c r="J233" i="72"/>
  <c r="M233" i="72" s="1"/>
  <c r="J232" i="72"/>
  <c r="M232" i="72" s="1"/>
  <c r="J231" i="72"/>
  <c r="M231" i="72" s="1"/>
  <c r="J230" i="72"/>
  <c r="M230" i="72" s="1"/>
  <c r="J229" i="72"/>
  <c r="M229" i="72" s="1"/>
  <c r="J228" i="72"/>
  <c r="M228" i="72" s="1"/>
  <c r="J227" i="72"/>
  <c r="M227" i="72" s="1"/>
  <c r="J226" i="72"/>
  <c r="M226" i="72" s="1"/>
  <c r="J225" i="72"/>
  <c r="M225" i="72" s="1"/>
  <c r="J224" i="72"/>
  <c r="M224" i="72" s="1"/>
  <c r="J223" i="72"/>
  <c r="M223" i="72" s="1"/>
  <c r="J222" i="72"/>
  <c r="M222" i="72" s="1"/>
  <c r="J221" i="72"/>
  <c r="M221" i="72" s="1"/>
  <c r="J220" i="72"/>
  <c r="M220" i="72" s="1"/>
  <c r="J219" i="72"/>
  <c r="M219" i="72" s="1"/>
  <c r="J218" i="72"/>
  <c r="M218" i="72" s="1"/>
  <c r="J217" i="72"/>
  <c r="M217" i="72" s="1"/>
  <c r="J216" i="72"/>
  <c r="M216" i="72" s="1"/>
  <c r="J215" i="72"/>
  <c r="M215" i="72" s="1"/>
  <c r="J214" i="72"/>
  <c r="M214" i="72" s="1"/>
  <c r="J77" i="72"/>
  <c r="M77" i="72" s="1"/>
  <c r="J213" i="72"/>
  <c r="M213" i="72" s="1"/>
  <c r="J212" i="72"/>
  <c r="M212" i="72" s="1"/>
  <c r="J211" i="72"/>
  <c r="M211" i="72" s="1"/>
  <c r="J210" i="72"/>
  <c r="M210" i="72" s="1"/>
  <c r="J209" i="72"/>
  <c r="M209" i="72" s="1"/>
  <c r="J208" i="72"/>
  <c r="M208" i="72" s="1"/>
  <c r="J207" i="72"/>
  <c r="M207" i="72" s="1"/>
  <c r="J206" i="72"/>
  <c r="M206" i="72" s="1"/>
  <c r="J205" i="72"/>
  <c r="M205" i="72" s="1"/>
  <c r="J204" i="72"/>
  <c r="M204" i="72" s="1"/>
  <c r="J203" i="72"/>
  <c r="M203" i="72" s="1"/>
  <c r="J202" i="72"/>
  <c r="M202" i="72" s="1"/>
  <c r="J201" i="72"/>
  <c r="M201" i="72" s="1"/>
  <c r="J200" i="72"/>
  <c r="M200" i="72" s="1"/>
  <c r="J199" i="72"/>
  <c r="M199" i="72" s="1"/>
  <c r="J198" i="72"/>
  <c r="M198" i="72" s="1"/>
  <c r="J197" i="72"/>
  <c r="M197" i="72" s="1"/>
  <c r="J196" i="72"/>
  <c r="M196" i="72" s="1"/>
  <c r="J195" i="72"/>
  <c r="M195" i="72" s="1"/>
  <c r="J194" i="72"/>
  <c r="M194" i="72" s="1"/>
  <c r="J193" i="72"/>
  <c r="M193" i="72" s="1"/>
  <c r="J192" i="72"/>
  <c r="M192" i="72" s="1"/>
  <c r="J191" i="72"/>
  <c r="M191" i="72" s="1"/>
  <c r="J190" i="72"/>
  <c r="M190" i="72" s="1"/>
  <c r="J189" i="72"/>
  <c r="M189" i="72" s="1"/>
  <c r="J188" i="72"/>
  <c r="M188" i="72" s="1"/>
  <c r="J187" i="72"/>
  <c r="M187" i="72" s="1"/>
  <c r="J186" i="72"/>
  <c r="M186" i="72" s="1"/>
  <c r="J185" i="72"/>
  <c r="M185" i="72" s="1"/>
  <c r="J184" i="72"/>
  <c r="M184" i="72" s="1"/>
  <c r="J183" i="72"/>
  <c r="M183" i="72" s="1"/>
  <c r="J182" i="72"/>
  <c r="M182" i="72" s="1"/>
  <c r="J181" i="72"/>
  <c r="M181" i="72" s="1"/>
  <c r="J180" i="72"/>
  <c r="M180" i="72" s="1"/>
  <c r="J179" i="72"/>
  <c r="M179" i="72" s="1"/>
  <c r="J178" i="72"/>
  <c r="M178" i="72" s="1"/>
  <c r="J177" i="72"/>
  <c r="M177" i="72" s="1"/>
  <c r="J176" i="72"/>
  <c r="M176" i="72" s="1"/>
  <c r="J175" i="72"/>
  <c r="M175" i="72" s="1"/>
  <c r="J174" i="72"/>
  <c r="M174" i="72" s="1"/>
  <c r="J173" i="72"/>
  <c r="M173" i="72" s="1"/>
  <c r="J172" i="72"/>
  <c r="M172" i="72" s="1"/>
  <c r="J171" i="72"/>
  <c r="M171" i="72" s="1"/>
  <c r="J170" i="72"/>
  <c r="M170" i="72" s="1"/>
  <c r="J169" i="72"/>
  <c r="M169" i="72" s="1"/>
  <c r="J168" i="72"/>
  <c r="M168" i="72" s="1"/>
  <c r="J167" i="72"/>
  <c r="M167" i="72" s="1"/>
  <c r="J166" i="72"/>
  <c r="M166" i="72" s="1"/>
  <c r="J165" i="72"/>
  <c r="M165" i="72" s="1"/>
  <c r="J164" i="72"/>
  <c r="M164" i="72" s="1"/>
  <c r="J163" i="72"/>
  <c r="M163" i="72" s="1"/>
  <c r="J162" i="72"/>
  <c r="M162" i="72" s="1"/>
  <c r="J161" i="72"/>
  <c r="M161" i="72" s="1"/>
  <c r="J160" i="72"/>
  <c r="M160" i="72" s="1"/>
  <c r="J159" i="72"/>
  <c r="M159" i="72" s="1"/>
  <c r="J158" i="72"/>
  <c r="M158" i="72" s="1"/>
  <c r="J157" i="72"/>
  <c r="M157" i="72" s="1"/>
  <c r="J156" i="72"/>
  <c r="M156" i="72" s="1"/>
  <c r="J155" i="72"/>
  <c r="M155" i="72" s="1"/>
  <c r="J154" i="72"/>
  <c r="M154" i="72" s="1"/>
  <c r="J153" i="72"/>
  <c r="M153" i="72" s="1"/>
  <c r="J152" i="72"/>
  <c r="M152" i="72" s="1"/>
  <c r="J151" i="72"/>
  <c r="M151" i="72" s="1"/>
  <c r="J150" i="72"/>
  <c r="M150" i="72" s="1"/>
  <c r="J149" i="72"/>
  <c r="M149" i="72" s="1"/>
  <c r="J148" i="72"/>
  <c r="M148" i="72" s="1"/>
  <c r="J147" i="72"/>
  <c r="M147" i="72" s="1"/>
  <c r="J146" i="72"/>
  <c r="M146" i="72" s="1"/>
  <c r="J145" i="72"/>
  <c r="M145" i="72" s="1"/>
  <c r="J144" i="72"/>
  <c r="M144" i="72" s="1"/>
  <c r="J143" i="72"/>
  <c r="M143" i="72" s="1"/>
  <c r="J142" i="72"/>
  <c r="M142" i="72" s="1"/>
  <c r="J141" i="72"/>
  <c r="M141" i="72" s="1"/>
  <c r="J140" i="72"/>
  <c r="M140" i="72" s="1"/>
  <c r="J139" i="72"/>
  <c r="J138" i="72"/>
  <c r="M138" i="72" s="1"/>
  <c r="J137" i="72"/>
  <c r="M137" i="72" s="1"/>
  <c r="J136" i="72"/>
  <c r="M136" i="72" s="1"/>
  <c r="J135" i="72"/>
  <c r="M135" i="72" s="1"/>
  <c r="J134" i="72"/>
  <c r="M134" i="72" s="1"/>
  <c r="J133" i="72"/>
  <c r="M133" i="72" s="1"/>
  <c r="J132" i="72"/>
  <c r="M132" i="72" s="1"/>
  <c r="J131" i="72"/>
  <c r="M131" i="72" s="1"/>
  <c r="J130" i="72"/>
  <c r="M130" i="72" s="1"/>
  <c r="J129" i="72"/>
  <c r="M129" i="72" s="1"/>
  <c r="J128" i="72"/>
  <c r="M128" i="72" s="1"/>
  <c r="J127" i="72"/>
  <c r="M127" i="72" s="1"/>
  <c r="J126" i="72"/>
  <c r="M126" i="72" s="1"/>
  <c r="J125" i="72"/>
  <c r="M125" i="72" s="1"/>
  <c r="J124" i="72"/>
  <c r="M124" i="72" s="1"/>
  <c r="J123" i="72"/>
  <c r="M123" i="72" s="1"/>
  <c r="J122" i="72"/>
  <c r="M122" i="72" s="1"/>
  <c r="J121" i="72"/>
  <c r="M121" i="72" s="1"/>
  <c r="J120" i="72"/>
  <c r="M120" i="72" s="1"/>
  <c r="J119" i="72"/>
  <c r="M119" i="72" s="1"/>
  <c r="J118" i="72"/>
  <c r="M118" i="72" s="1"/>
  <c r="J117" i="72"/>
  <c r="M117" i="72" s="1"/>
  <c r="J116" i="72"/>
  <c r="M116" i="72" s="1"/>
  <c r="J115" i="72"/>
  <c r="M115" i="72" s="1"/>
  <c r="J114" i="72"/>
  <c r="M114" i="72" s="1"/>
  <c r="J113" i="72"/>
  <c r="M113" i="72" s="1"/>
  <c r="J112" i="72"/>
  <c r="M112" i="72" s="1"/>
  <c r="J111" i="72"/>
  <c r="M111" i="72" s="1"/>
  <c r="J110" i="72"/>
  <c r="M110" i="72" s="1"/>
  <c r="J109" i="72"/>
  <c r="M109" i="72" s="1"/>
  <c r="J108" i="72"/>
  <c r="M108" i="72" s="1"/>
  <c r="J107" i="72"/>
  <c r="M107" i="72" s="1"/>
  <c r="J106" i="72"/>
  <c r="M106" i="72" s="1"/>
  <c r="J105" i="72"/>
  <c r="M105" i="72" s="1"/>
  <c r="J104" i="72"/>
  <c r="M104" i="72" s="1"/>
  <c r="J103" i="72"/>
  <c r="M103" i="72" s="1"/>
  <c r="J102" i="72"/>
  <c r="M102" i="72" s="1"/>
  <c r="J101" i="72"/>
  <c r="M101" i="72" s="1"/>
  <c r="J100" i="72"/>
  <c r="M100" i="72" s="1"/>
  <c r="J99" i="72"/>
  <c r="M99" i="72" s="1"/>
  <c r="J98" i="72"/>
  <c r="M98" i="72" s="1"/>
  <c r="J97" i="72"/>
  <c r="M97" i="72" s="1"/>
  <c r="J96" i="72"/>
  <c r="M96" i="72" s="1"/>
  <c r="J95" i="72"/>
  <c r="M95" i="72" s="1"/>
  <c r="J94" i="72"/>
  <c r="M94" i="72" s="1"/>
  <c r="J93" i="72"/>
  <c r="M93" i="72" s="1"/>
  <c r="J92" i="72"/>
  <c r="M92" i="72" s="1"/>
  <c r="J91" i="72"/>
  <c r="M91" i="72" s="1"/>
  <c r="J90" i="72"/>
  <c r="M90" i="72" s="1"/>
  <c r="J89" i="72"/>
  <c r="M89" i="72" s="1"/>
  <c r="J88" i="72"/>
  <c r="M88" i="72" s="1"/>
  <c r="J87" i="72"/>
  <c r="M87" i="72" s="1"/>
  <c r="J86" i="72"/>
  <c r="M86" i="72" s="1"/>
  <c r="J85" i="72"/>
  <c r="M85" i="72" s="1"/>
  <c r="J84" i="72"/>
  <c r="M84" i="72" s="1"/>
  <c r="J83" i="72"/>
  <c r="M83" i="72" s="1"/>
  <c r="J82" i="72"/>
  <c r="M82" i="72" s="1"/>
  <c r="J81" i="72"/>
  <c r="M81" i="72" s="1"/>
  <c r="J80" i="72"/>
  <c r="M80" i="72" s="1"/>
  <c r="J79" i="72"/>
  <c r="M79" i="72" s="1"/>
  <c r="J78" i="72"/>
  <c r="M78" i="72" s="1"/>
  <c r="J76" i="72"/>
  <c r="M76" i="72" s="1"/>
  <c r="J75" i="72"/>
  <c r="M75" i="72" s="1"/>
  <c r="J74" i="72"/>
  <c r="M74" i="72" s="1"/>
  <c r="J73" i="72"/>
  <c r="M73" i="72" s="1"/>
  <c r="J72" i="72"/>
  <c r="M72" i="72" s="1"/>
  <c r="J71" i="72"/>
  <c r="M71" i="72" s="1"/>
  <c r="J70" i="72"/>
  <c r="M70" i="72" s="1"/>
  <c r="J69" i="72"/>
  <c r="M69" i="72" s="1"/>
  <c r="J68" i="72"/>
  <c r="M68" i="72" s="1"/>
  <c r="J67" i="72"/>
  <c r="M67" i="72" s="1"/>
  <c r="J66" i="72"/>
  <c r="M66" i="72" s="1"/>
  <c r="J65" i="72"/>
  <c r="M65" i="72" s="1"/>
  <c r="J64" i="72"/>
  <c r="M64" i="72" s="1"/>
  <c r="J63" i="72"/>
  <c r="M63" i="72" s="1"/>
  <c r="J62" i="72"/>
  <c r="M62" i="72" s="1"/>
  <c r="J61" i="72"/>
  <c r="M61" i="72" s="1"/>
  <c r="J60" i="72"/>
  <c r="M60" i="72" s="1"/>
  <c r="J59" i="72"/>
  <c r="M59" i="72" s="1"/>
  <c r="J58" i="72"/>
  <c r="M58" i="72" s="1"/>
  <c r="J57" i="72"/>
  <c r="M57" i="72" s="1"/>
  <c r="J56" i="72"/>
  <c r="M56" i="72" s="1"/>
  <c r="J55" i="72"/>
  <c r="M55" i="72" s="1"/>
  <c r="J54" i="72"/>
  <c r="M54" i="72" s="1"/>
  <c r="J53" i="72"/>
  <c r="M53" i="72" s="1"/>
  <c r="J52" i="72"/>
  <c r="M52" i="72" s="1"/>
  <c r="J51" i="72"/>
  <c r="M51" i="72" s="1"/>
  <c r="J50" i="72"/>
  <c r="M50" i="72" s="1"/>
  <c r="J49" i="72"/>
  <c r="M49" i="72" s="1"/>
  <c r="J48" i="72"/>
  <c r="M48" i="72" s="1"/>
  <c r="J47" i="72"/>
  <c r="M47" i="72" s="1"/>
  <c r="J46" i="72"/>
  <c r="M46" i="72" s="1"/>
  <c r="J45" i="72"/>
  <c r="M45" i="72" s="1"/>
  <c r="J44" i="72"/>
  <c r="M44" i="72" s="1"/>
  <c r="J43" i="72"/>
  <c r="M43" i="72" s="1"/>
  <c r="J42" i="72"/>
  <c r="M42" i="72" s="1"/>
  <c r="J41" i="72"/>
  <c r="M41" i="72" s="1"/>
  <c r="J40" i="72"/>
  <c r="M40" i="72" s="1"/>
  <c r="J39" i="72"/>
  <c r="M39" i="72" s="1"/>
  <c r="J38" i="72"/>
  <c r="M38" i="72" s="1"/>
  <c r="J37" i="72"/>
  <c r="M37" i="72" s="1"/>
  <c r="J36" i="72"/>
  <c r="M36" i="72" s="1"/>
  <c r="J35" i="72"/>
  <c r="M35" i="72" s="1"/>
  <c r="J34" i="72"/>
  <c r="M34" i="72" s="1"/>
  <c r="J33" i="72"/>
  <c r="M33" i="72" s="1"/>
  <c r="J32" i="72"/>
  <c r="M32" i="72" s="1"/>
  <c r="J31" i="72"/>
  <c r="M31" i="72" s="1"/>
  <c r="J30" i="72"/>
  <c r="M30" i="72" s="1"/>
  <c r="J29" i="72"/>
  <c r="M29" i="72" s="1"/>
  <c r="J28" i="72"/>
  <c r="M28" i="72" s="1"/>
  <c r="J27" i="72"/>
  <c r="M27" i="72" s="1"/>
  <c r="J26" i="72"/>
  <c r="M26" i="72" s="1"/>
  <c r="J25" i="72"/>
  <c r="M25" i="72" s="1"/>
  <c r="J24" i="72"/>
  <c r="M24" i="72" s="1"/>
  <c r="J23" i="72"/>
  <c r="M23" i="72" s="1"/>
  <c r="J22" i="72"/>
  <c r="M22" i="72" s="1"/>
  <c r="J21" i="72"/>
  <c r="M21" i="72" s="1"/>
  <c r="J20" i="72"/>
  <c r="M20" i="72" s="1"/>
  <c r="J19" i="72"/>
  <c r="M19" i="72" s="1"/>
  <c r="J18" i="72"/>
  <c r="M18" i="72" s="1"/>
  <c r="J17" i="72"/>
  <c r="M17" i="72" s="1"/>
  <c r="J16" i="72"/>
  <c r="M16" i="72" s="1"/>
  <c r="J15" i="72"/>
  <c r="M15" i="72" s="1"/>
  <c r="J14" i="72"/>
  <c r="M14" i="72" s="1"/>
  <c r="J13" i="72"/>
  <c r="M13" i="72" s="1"/>
  <c r="J12" i="72"/>
  <c r="M12" i="72" s="1"/>
  <c r="J11" i="72"/>
  <c r="M11" i="72" s="1"/>
  <c r="J10" i="72"/>
  <c r="M10" i="72" s="1"/>
  <c r="J9" i="72"/>
  <c r="M9" i="72" s="1"/>
  <c r="J8" i="72"/>
  <c r="M8" i="72" s="1"/>
  <c r="J7" i="72"/>
  <c r="M7" i="72" s="1"/>
  <c r="J6" i="72"/>
  <c r="M6" i="72" s="1"/>
  <c r="J5" i="72"/>
  <c r="M5" i="72" s="1"/>
  <c r="K262" i="71"/>
  <c r="N8" i="8" s="1"/>
  <c r="K259" i="71"/>
  <c r="R8" i="8" s="1"/>
  <c r="J254" i="71"/>
  <c r="M254" i="71" s="1"/>
  <c r="J253" i="71"/>
  <c r="M253" i="71" s="1"/>
  <c r="J252" i="71"/>
  <c r="M252" i="71" s="1"/>
  <c r="J251" i="71"/>
  <c r="M251" i="71" s="1"/>
  <c r="J250" i="71"/>
  <c r="M250" i="71" s="1"/>
  <c r="J249" i="71"/>
  <c r="M249" i="71" s="1"/>
  <c r="J248" i="71"/>
  <c r="M248" i="71" s="1"/>
  <c r="J247" i="71"/>
  <c r="M247" i="71" s="1"/>
  <c r="J246" i="71"/>
  <c r="M246" i="71" s="1"/>
  <c r="J245" i="71"/>
  <c r="M245" i="71" s="1"/>
  <c r="J244" i="71"/>
  <c r="M244" i="71" s="1"/>
  <c r="J243" i="71"/>
  <c r="M243" i="71" s="1"/>
  <c r="J242" i="71"/>
  <c r="M242" i="71" s="1"/>
  <c r="J241" i="71"/>
  <c r="M241" i="71" s="1"/>
  <c r="J240" i="71"/>
  <c r="M240" i="71" s="1"/>
  <c r="J239" i="71"/>
  <c r="M239" i="71" s="1"/>
  <c r="J238" i="71"/>
  <c r="M238" i="71" s="1"/>
  <c r="J237" i="71"/>
  <c r="M237" i="71" s="1"/>
  <c r="J236" i="71"/>
  <c r="M236" i="71" s="1"/>
  <c r="J235" i="71"/>
  <c r="M235" i="71" s="1"/>
  <c r="J234" i="71"/>
  <c r="M234" i="71" s="1"/>
  <c r="J233" i="71"/>
  <c r="M233" i="71" s="1"/>
  <c r="J232" i="71"/>
  <c r="M232" i="71" s="1"/>
  <c r="J231" i="71"/>
  <c r="M231" i="71" s="1"/>
  <c r="J230" i="71"/>
  <c r="M230" i="71" s="1"/>
  <c r="J229" i="71"/>
  <c r="M229" i="71" s="1"/>
  <c r="J228" i="71"/>
  <c r="M228" i="71" s="1"/>
  <c r="J227" i="71"/>
  <c r="M227" i="71" s="1"/>
  <c r="J226" i="71"/>
  <c r="M226" i="71" s="1"/>
  <c r="J225" i="71"/>
  <c r="M225" i="71" s="1"/>
  <c r="J224" i="71"/>
  <c r="M224" i="71" s="1"/>
  <c r="J223" i="71"/>
  <c r="M223" i="71" s="1"/>
  <c r="J222" i="71"/>
  <c r="M222" i="71" s="1"/>
  <c r="J221" i="71"/>
  <c r="M221" i="71" s="1"/>
  <c r="J220" i="71"/>
  <c r="M220" i="71" s="1"/>
  <c r="J219" i="71"/>
  <c r="M219" i="71" s="1"/>
  <c r="J218" i="71"/>
  <c r="M218" i="71" s="1"/>
  <c r="J217" i="71"/>
  <c r="M217" i="71" s="1"/>
  <c r="J216" i="71"/>
  <c r="M216" i="71" s="1"/>
  <c r="J215" i="71"/>
  <c r="M215" i="71" s="1"/>
  <c r="J214" i="71"/>
  <c r="M214" i="71" s="1"/>
  <c r="J77" i="71"/>
  <c r="M77" i="71" s="1"/>
  <c r="J213" i="71"/>
  <c r="M213" i="71" s="1"/>
  <c r="J212" i="71"/>
  <c r="M212" i="71" s="1"/>
  <c r="J211" i="71"/>
  <c r="M211" i="71" s="1"/>
  <c r="J210" i="71"/>
  <c r="M210" i="71" s="1"/>
  <c r="J209" i="71"/>
  <c r="M209" i="71" s="1"/>
  <c r="J208" i="71"/>
  <c r="M208" i="71" s="1"/>
  <c r="J207" i="71"/>
  <c r="M207" i="71" s="1"/>
  <c r="J206" i="71"/>
  <c r="M206" i="71" s="1"/>
  <c r="J205" i="71"/>
  <c r="M205" i="71" s="1"/>
  <c r="J204" i="71"/>
  <c r="M204" i="71" s="1"/>
  <c r="J203" i="71"/>
  <c r="M203" i="71" s="1"/>
  <c r="J202" i="71"/>
  <c r="M202" i="71" s="1"/>
  <c r="J201" i="71"/>
  <c r="M201" i="71" s="1"/>
  <c r="J200" i="71"/>
  <c r="M200" i="71" s="1"/>
  <c r="J199" i="71"/>
  <c r="M199" i="71" s="1"/>
  <c r="J198" i="71"/>
  <c r="M198" i="71" s="1"/>
  <c r="J197" i="71"/>
  <c r="M197" i="71" s="1"/>
  <c r="J196" i="71"/>
  <c r="M196" i="71" s="1"/>
  <c r="J195" i="71"/>
  <c r="M195" i="71" s="1"/>
  <c r="J194" i="71"/>
  <c r="M194" i="71" s="1"/>
  <c r="J193" i="71"/>
  <c r="M193" i="71" s="1"/>
  <c r="J192" i="71"/>
  <c r="M192" i="71" s="1"/>
  <c r="J191" i="71"/>
  <c r="M191" i="71" s="1"/>
  <c r="J190" i="71"/>
  <c r="M190" i="71" s="1"/>
  <c r="J189" i="71"/>
  <c r="M189" i="71" s="1"/>
  <c r="J188" i="71"/>
  <c r="M188" i="71" s="1"/>
  <c r="J187" i="71"/>
  <c r="M187" i="71" s="1"/>
  <c r="J186" i="71"/>
  <c r="M186" i="71" s="1"/>
  <c r="J185" i="71"/>
  <c r="M185" i="71" s="1"/>
  <c r="J184" i="71"/>
  <c r="M184" i="71" s="1"/>
  <c r="J183" i="71"/>
  <c r="M183" i="71" s="1"/>
  <c r="J182" i="71"/>
  <c r="M182" i="71" s="1"/>
  <c r="J181" i="71"/>
  <c r="M181" i="71" s="1"/>
  <c r="J180" i="71"/>
  <c r="M180" i="71" s="1"/>
  <c r="J179" i="71"/>
  <c r="M179" i="71" s="1"/>
  <c r="J178" i="71"/>
  <c r="M178" i="71" s="1"/>
  <c r="J177" i="71"/>
  <c r="M177" i="71" s="1"/>
  <c r="J176" i="71"/>
  <c r="M176" i="71" s="1"/>
  <c r="J175" i="71"/>
  <c r="M175" i="71" s="1"/>
  <c r="J174" i="71"/>
  <c r="M174" i="71" s="1"/>
  <c r="J173" i="71"/>
  <c r="M173" i="71" s="1"/>
  <c r="J172" i="71"/>
  <c r="M172" i="71" s="1"/>
  <c r="J171" i="71"/>
  <c r="M171" i="71" s="1"/>
  <c r="J170" i="71"/>
  <c r="M170" i="71" s="1"/>
  <c r="J169" i="71"/>
  <c r="M169" i="71" s="1"/>
  <c r="J168" i="71"/>
  <c r="M168" i="71" s="1"/>
  <c r="J167" i="71"/>
  <c r="M167" i="71" s="1"/>
  <c r="J166" i="71"/>
  <c r="M166" i="71" s="1"/>
  <c r="J165" i="71"/>
  <c r="M165" i="71" s="1"/>
  <c r="J164" i="71"/>
  <c r="M164" i="71" s="1"/>
  <c r="J163" i="71"/>
  <c r="M163" i="71" s="1"/>
  <c r="J162" i="71"/>
  <c r="M162" i="71" s="1"/>
  <c r="J161" i="71"/>
  <c r="M161" i="71" s="1"/>
  <c r="J160" i="71"/>
  <c r="M160" i="71" s="1"/>
  <c r="J159" i="71"/>
  <c r="M159" i="71" s="1"/>
  <c r="J158" i="71"/>
  <c r="M158" i="71" s="1"/>
  <c r="J157" i="71"/>
  <c r="M157" i="71" s="1"/>
  <c r="J156" i="71"/>
  <c r="M156" i="71" s="1"/>
  <c r="J155" i="71"/>
  <c r="M155" i="71" s="1"/>
  <c r="J154" i="71"/>
  <c r="M154" i="71" s="1"/>
  <c r="J153" i="71"/>
  <c r="M153" i="71" s="1"/>
  <c r="J152" i="71"/>
  <c r="M152" i="71" s="1"/>
  <c r="J151" i="71"/>
  <c r="M151" i="71" s="1"/>
  <c r="J150" i="71"/>
  <c r="M150" i="71" s="1"/>
  <c r="J149" i="71"/>
  <c r="M149" i="71" s="1"/>
  <c r="J148" i="71"/>
  <c r="M148" i="71" s="1"/>
  <c r="J147" i="71"/>
  <c r="M147" i="71" s="1"/>
  <c r="J146" i="71"/>
  <c r="M146" i="71" s="1"/>
  <c r="J145" i="71"/>
  <c r="M145" i="71" s="1"/>
  <c r="J144" i="71"/>
  <c r="M144" i="71" s="1"/>
  <c r="J143" i="71"/>
  <c r="M143" i="71" s="1"/>
  <c r="J142" i="71"/>
  <c r="M142" i="71" s="1"/>
  <c r="J141" i="71"/>
  <c r="M141" i="71" s="1"/>
  <c r="J140" i="71"/>
  <c r="M140" i="71" s="1"/>
  <c r="J139" i="71"/>
  <c r="M139" i="71" s="1"/>
  <c r="J138" i="71"/>
  <c r="M138" i="71" s="1"/>
  <c r="J137" i="71"/>
  <c r="M137" i="71" s="1"/>
  <c r="J136" i="71"/>
  <c r="M136" i="71" s="1"/>
  <c r="J135" i="71"/>
  <c r="M135" i="71" s="1"/>
  <c r="J134" i="71"/>
  <c r="M134" i="71" s="1"/>
  <c r="J133" i="71"/>
  <c r="M133" i="71" s="1"/>
  <c r="J132" i="71"/>
  <c r="M132" i="71" s="1"/>
  <c r="J131" i="71"/>
  <c r="M131" i="71" s="1"/>
  <c r="J130" i="71"/>
  <c r="M130" i="71" s="1"/>
  <c r="J129" i="71"/>
  <c r="M129" i="71" s="1"/>
  <c r="J128" i="71"/>
  <c r="M128" i="71" s="1"/>
  <c r="J127" i="71"/>
  <c r="M127" i="71" s="1"/>
  <c r="J126" i="71"/>
  <c r="M126" i="71" s="1"/>
  <c r="J125" i="71"/>
  <c r="M125" i="71" s="1"/>
  <c r="J124" i="71"/>
  <c r="M124" i="71" s="1"/>
  <c r="J123" i="71"/>
  <c r="M123" i="71" s="1"/>
  <c r="J122" i="71"/>
  <c r="M122" i="71" s="1"/>
  <c r="J121" i="71"/>
  <c r="M121" i="71" s="1"/>
  <c r="J120" i="71"/>
  <c r="M120" i="71" s="1"/>
  <c r="J119" i="71"/>
  <c r="M119" i="71" s="1"/>
  <c r="J118" i="71"/>
  <c r="M118" i="71" s="1"/>
  <c r="J117" i="71"/>
  <c r="M117" i="71" s="1"/>
  <c r="J116" i="71"/>
  <c r="M116" i="71" s="1"/>
  <c r="J115" i="71"/>
  <c r="M115" i="71" s="1"/>
  <c r="J114" i="71"/>
  <c r="M114" i="71" s="1"/>
  <c r="J113" i="71"/>
  <c r="M113" i="71" s="1"/>
  <c r="J112" i="71"/>
  <c r="M112" i="71" s="1"/>
  <c r="J111" i="71"/>
  <c r="M111" i="71" s="1"/>
  <c r="J110" i="71"/>
  <c r="M110" i="71" s="1"/>
  <c r="J109" i="71"/>
  <c r="M109" i="71" s="1"/>
  <c r="J108" i="71"/>
  <c r="M108" i="71" s="1"/>
  <c r="J107" i="71"/>
  <c r="M107" i="71" s="1"/>
  <c r="J106" i="71"/>
  <c r="M106" i="71" s="1"/>
  <c r="J105" i="71"/>
  <c r="M105" i="71" s="1"/>
  <c r="J104" i="71"/>
  <c r="M104" i="71" s="1"/>
  <c r="J103" i="71"/>
  <c r="M103" i="71" s="1"/>
  <c r="J102" i="71"/>
  <c r="M102" i="71" s="1"/>
  <c r="J101" i="71"/>
  <c r="M101" i="71" s="1"/>
  <c r="J100" i="71"/>
  <c r="M100" i="71" s="1"/>
  <c r="J99" i="71"/>
  <c r="M99" i="71" s="1"/>
  <c r="J98" i="71"/>
  <c r="M98" i="71" s="1"/>
  <c r="J97" i="71"/>
  <c r="M97" i="71" s="1"/>
  <c r="J96" i="71"/>
  <c r="M96" i="71" s="1"/>
  <c r="J95" i="71"/>
  <c r="M95" i="71" s="1"/>
  <c r="J94" i="71"/>
  <c r="M94" i="71" s="1"/>
  <c r="J93" i="71"/>
  <c r="M93" i="71" s="1"/>
  <c r="J92" i="71"/>
  <c r="M92" i="71" s="1"/>
  <c r="J91" i="71"/>
  <c r="M91" i="71" s="1"/>
  <c r="J90" i="71"/>
  <c r="M90" i="71" s="1"/>
  <c r="J89" i="71"/>
  <c r="M89" i="71" s="1"/>
  <c r="J88" i="71"/>
  <c r="M88" i="71" s="1"/>
  <c r="J87" i="71"/>
  <c r="M87" i="71" s="1"/>
  <c r="J86" i="71"/>
  <c r="M86" i="71" s="1"/>
  <c r="J85" i="71"/>
  <c r="M85" i="71" s="1"/>
  <c r="J84" i="71"/>
  <c r="M84" i="71" s="1"/>
  <c r="J83" i="71"/>
  <c r="M83" i="71" s="1"/>
  <c r="J82" i="71"/>
  <c r="M82" i="71" s="1"/>
  <c r="J81" i="71"/>
  <c r="M81" i="71" s="1"/>
  <c r="J80" i="71"/>
  <c r="M80" i="71" s="1"/>
  <c r="J79" i="71"/>
  <c r="M79" i="71" s="1"/>
  <c r="J78" i="71"/>
  <c r="M78" i="71" s="1"/>
  <c r="J76" i="71"/>
  <c r="M76" i="71" s="1"/>
  <c r="J75" i="71"/>
  <c r="M75" i="71" s="1"/>
  <c r="J74" i="71"/>
  <c r="M74" i="71" s="1"/>
  <c r="J73" i="71"/>
  <c r="M73" i="71" s="1"/>
  <c r="J72" i="71"/>
  <c r="M72" i="71" s="1"/>
  <c r="J71" i="71"/>
  <c r="M71" i="71" s="1"/>
  <c r="J70" i="71"/>
  <c r="M70" i="71" s="1"/>
  <c r="J69" i="71"/>
  <c r="M69" i="71" s="1"/>
  <c r="J68" i="71"/>
  <c r="M68" i="71" s="1"/>
  <c r="J67" i="71"/>
  <c r="M67" i="71" s="1"/>
  <c r="J66" i="71"/>
  <c r="M66" i="71" s="1"/>
  <c r="J65" i="71"/>
  <c r="M65" i="71" s="1"/>
  <c r="J64" i="71"/>
  <c r="M64" i="71" s="1"/>
  <c r="J63" i="71"/>
  <c r="M63" i="71" s="1"/>
  <c r="J62" i="71"/>
  <c r="M62" i="71" s="1"/>
  <c r="J61" i="71"/>
  <c r="M61" i="71" s="1"/>
  <c r="J60" i="71"/>
  <c r="M60" i="71" s="1"/>
  <c r="J59" i="71"/>
  <c r="M59" i="71" s="1"/>
  <c r="J58" i="71"/>
  <c r="M58" i="71" s="1"/>
  <c r="J57" i="71"/>
  <c r="M57" i="71" s="1"/>
  <c r="J56" i="71"/>
  <c r="M56" i="71" s="1"/>
  <c r="J55" i="71"/>
  <c r="M55" i="71" s="1"/>
  <c r="J54" i="71"/>
  <c r="M54" i="71" s="1"/>
  <c r="J53" i="71"/>
  <c r="M53" i="71" s="1"/>
  <c r="J52" i="71"/>
  <c r="M52" i="71" s="1"/>
  <c r="J51" i="71"/>
  <c r="M51" i="71" s="1"/>
  <c r="J50" i="71"/>
  <c r="M50" i="71" s="1"/>
  <c r="J49" i="71"/>
  <c r="M49" i="71" s="1"/>
  <c r="J48" i="71"/>
  <c r="M48" i="71" s="1"/>
  <c r="J47" i="71"/>
  <c r="M47" i="71" s="1"/>
  <c r="J46" i="71"/>
  <c r="M46" i="71" s="1"/>
  <c r="J45" i="71"/>
  <c r="M45" i="71" s="1"/>
  <c r="J44" i="71"/>
  <c r="M44" i="71" s="1"/>
  <c r="J43" i="71"/>
  <c r="M43" i="71" s="1"/>
  <c r="J42" i="71"/>
  <c r="M42" i="71" s="1"/>
  <c r="J41" i="71"/>
  <c r="M41" i="71" s="1"/>
  <c r="J40" i="71"/>
  <c r="M40" i="71" s="1"/>
  <c r="J39" i="71"/>
  <c r="M39" i="71" s="1"/>
  <c r="J38" i="71"/>
  <c r="M38" i="71" s="1"/>
  <c r="J37" i="71"/>
  <c r="M37" i="71" s="1"/>
  <c r="J36" i="71"/>
  <c r="M36" i="71" s="1"/>
  <c r="J35" i="71"/>
  <c r="M35" i="71" s="1"/>
  <c r="J34" i="71"/>
  <c r="M34" i="71" s="1"/>
  <c r="J33" i="71"/>
  <c r="M33" i="71" s="1"/>
  <c r="J32" i="71"/>
  <c r="M32" i="71" s="1"/>
  <c r="J31" i="71"/>
  <c r="M31" i="71" s="1"/>
  <c r="J30" i="71"/>
  <c r="M30" i="71" s="1"/>
  <c r="J29" i="71"/>
  <c r="M29" i="71" s="1"/>
  <c r="J28" i="71"/>
  <c r="M28" i="71" s="1"/>
  <c r="J27" i="71"/>
  <c r="M27" i="71" s="1"/>
  <c r="J26" i="71"/>
  <c r="M26" i="71" s="1"/>
  <c r="J25" i="71"/>
  <c r="M25" i="71" s="1"/>
  <c r="J24" i="71"/>
  <c r="M24" i="71" s="1"/>
  <c r="J23" i="71"/>
  <c r="M23" i="71" s="1"/>
  <c r="J22" i="71"/>
  <c r="M22" i="71" s="1"/>
  <c r="J21" i="71"/>
  <c r="M21" i="71" s="1"/>
  <c r="J20" i="71"/>
  <c r="M20" i="71" s="1"/>
  <c r="J19" i="71"/>
  <c r="M19" i="71" s="1"/>
  <c r="J18" i="71"/>
  <c r="M18" i="71" s="1"/>
  <c r="J17" i="71"/>
  <c r="M17" i="71" s="1"/>
  <c r="J16" i="71"/>
  <c r="M16" i="71" s="1"/>
  <c r="J15" i="71"/>
  <c r="M15" i="71" s="1"/>
  <c r="J14" i="71"/>
  <c r="M14" i="71" s="1"/>
  <c r="J13" i="71"/>
  <c r="M13" i="71" s="1"/>
  <c r="J12" i="71"/>
  <c r="M12" i="71" s="1"/>
  <c r="J11" i="71"/>
  <c r="M11" i="71" s="1"/>
  <c r="J10" i="71"/>
  <c r="M10" i="71" s="1"/>
  <c r="J9" i="71"/>
  <c r="M9" i="71" s="1"/>
  <c r="J8" i="71"/>
  <c r="M8" i="71" s="1"/>
  <c r="J7" i="71"/>
  <c r="M7" i="71" s="1"/>
  <c r="J6" i="71"/>
  <c r="M6" i="71" s="1"/>
  <c r="J5" i="71"/>
  <c r="K262" i="70"/>
  <c r="N7" i="8" s="1"/>
  <c r="K259" i="70"/>
  <c r="R7" i="8" s="1"/>
  <c r="J254" i="70"/>
  <c r="M254" i="70" s="1"/>
  <c r="J253" i="70"/>
  <c r="M253" i="70" s="1"/>
  <c r="J252" i="70"/>
  <c r="M252" i="70" s="1"/>
  <c r="J251" i="70"/>
  <c r="M251" i="70" s="1"/>
  <c r="J250" i="70"/>
  <c r="M250" i="70" s="1"/>
  <c r="J249" i="70"/>
  <c r="M249" i="70" s="1"/>
  <c r="J248" i="70"/>
  <c r="M248" i="70" s="1"/>
  <c r="J247" i="70"/>
  <c r="M247" i="70" s="1"/>
  <c r="J246" i="70"/>
  <c r="M246" i="70" s="1"/>
  <c r="J245" i="70"/>
  <c r="M245" i="70" s="1"/>
  <c r="J244" i="70"/>
  <c r="M244" i="70" s="1"/>
  <c r="J243" i="70"/>
  <c r="M243" i="70" s="1"/>
  <c r="J242" i="70"/>
  <c r="M242" i="70" s="1"/>
  <c r="J241" i="70"/>
  <c r="M241" i="70" s="1"/>
  <c r="J240" i="70"/>
  <c r="M240" i="70" s="1"/>
  <c r="J239" i="70"/>
  <c r="M239" i="70" s="1"/>
  <c r="J238" i="70"/>
  <c r="M238" i="70" s="1"/>
  <c r="J237" i="70"/>
  <c r="M237" i="70" s="1"/>
  <c r="J236" i="70"/>
  <c r="M236" i="70" s="1"/>
  <c r="J235" i="70"/>
  <c r="M235" i="70" s="1"/>
  <c r="J234" i="70"/>
  <c r="M234" i="70" s="1"/>
  <c r="J233" i="70"/>
  <c r="M233" i="70" s="1"/>
  <c r="J232" i="70"/>
  <c r="M232" i="70" s="1"/>
  <c r="J231" i="70"/>
  <c r="M231" i="70" s="1"/>
  <c r="J230" i="70"/>
  <c r="M230" i="70" s="1"/>
  <c r="J229" i="70"/>
  <c r="M229" i="70" s="1"/>
  <c r="J228" i="70"/>
  <c r="M228" i="70" s="1"/>
  <c r="J227" i="70"/>
  <c r="M227" i="70" s="1"/>
  <c r="J226" i="70"/>
  <c r="M226" i="70" s="1"/>
  <c r="J225" i="70"/>
  <c r="M225" i="70" s="1"/>
  <c r="J224" i="70"/>
  <c r="M224" i="70" s="1"/>
  <c r="J223" i="70"/>
  <c r="M223" i="70" s="1"/>
  <c r="J222" i="70"/>
  <c r="M222" i="70" s="1"/>
  <c r="J221" i="70"/>
  <c r="M221" i="70" s="1"/>
  <c r="J220" i="70"/>
  <c r="M220" i="70" s="1"/>
  <c r="J219" i="70"/>
  <c r="M219" i="70" s="1"/>
  <c r="J218" i="70"/>
  <c r="M218" i="70" s="1"/>
  <c r="J217" i="70"/>
  <c r="M217" i="70" s="1"/>
  <c r="J216" i="70"/>
  <c r="M216" i="70" s="1"/>
  <c r="J215" i="70"/>
  <c r="M215" i="70" s="1"/>
  <c r="J214" i="70"/>
  <c r="M214" i="70" s="1"/>
  <c r="J77" i="70"/>
  <c r="M77" i="70" s="1"/>
  <c r="J213" i="70"/>
  <c r="M213" i="70" s="1"/>
  <c r="J212" i="70"/>
  <c r="M212" i="70" s="1"/>
  <c r="J211" i="70"/>
  <c r="M211" i="70" s="1"/>
  <c r="J210" i="70"/>
  <c r="M210" i="70" s="1"/>
  <c r="J209" i="70"/>
  <c r="M209" i="70" s="1"/>
  <c r="J208" i="70"/>
  <c r="M208" i="70" s="1"/>
  <c r="J207" i="70"/>
  <c r="M207" i="70" s="1"/>
  <c r="J206" i="70"/>
  <c r="M206" i="70" s="1"/>
  <c r="J205" i="70"/>
  <c r="M205" i="70" s="1"/>
  <c r="J204" i="70"/>
  <c r="M204" i="70" s="1"/>
  <c r="J203" i="70"/>
  <c r="M203" i="70" s="1"/>
  <c r="J202" i="70"/>
  <c r="M202" i="70" s="1"/>
  <c r="J201" i="70"/>
  <c r="M201" i="70" s="1"/>
  <c r="J200" i="70"/>
  <c r="M200" i="70" s="1"/>
  <c r="J199" i="70"/>
  <c r="M199" i="70" s="1"/>
  <c r="J198" i="70"/>
  <c r="M198" i="70" s="1"/>
  <c r="J197" i="70"/>
  <c r="M197" i="70" s="1"/>
  <c r="J196" i="70"/>
  <c r="M196" i="70" s="1"/>
  <c r="J195" i="70"/>
  <c r="M195" i="70" s="1"/>
  <c r="J194" i="70"/>
  <c r="M194" i="70" s="1"/>
  <c r="J193" i="70"/>
  <c r="M193" i="70" s="1"/>
  <c r="J192" i="70"/>
  <c r="M192" i="70" s="1"/>
  <c r="J191" i="70"/>
  <c r="M191" i="70" s="1"/>
  <c r="J190" i="70"/>
  <c r="M190" i="70" s="1"/>
  <c r="J189" i="70"/>
  <c r="M189" i="70" s="1"/>
  <c r="J188" i="70"/>
  <c r="M188" i="70" s="1"/>
  <c r="J187" i="70"/>
  <c r="M187" i="70" s="1"/>
  <c r="J186" i="70"/>
  <c r="M186" i="70" s="1"/>
  <c r="J185" i="70"/>
  <c r="M185" i="70" s="1"/>
  <c r="J184" i="70"/>
  <c r="M184" i="70" s="1"/>
  <c r="J183" i="70"/>
  <c r="M183" i="70" s="1"/>
  <c r="J182" i="70"/>
  <c r="M182" i="70" s="1"/>
  <c r="J181" i="70"/>
  <c r="M181" i="70" s="1"/>
  <c r="J180" i="70"/>
  <c r="M180" i="70" s="1"/>
  <c r="J179" i="70"/>
  <c r="M179" i="70" s="1"/>
  <c r="J178" i="70"/>
  <c r="M178" i="70" s="1"/>
  <c r="J177" i="70"/>
  <c r="M177" i="70" s="1"/>
  <c r="J176" i="70"/>
  <c r="M176" i="70" s="1"/>
  <c r="J175" i="70"/>
  <c r="M175" i="70" s="1"/>
  <c r="J174" i="70"/>
  <c r="M174" i="70" s="1"/>
  <c r="J173" i="70"/>
  <c r="M173" i="70" s="1"/>
  <c r="J172" i="70"/>
  <c r="M172" i="70" s="1"/>
  <c r="J171" i="70"/>
  <c r="M171" i="70" s="1"/>
  <c r="J170" i="70"/>
  <c r="M170" i="70" s="1"/>
  <c r="J169" i="70"/>
  <c r="M169" i="70" s="1"/>
  <c r="J168" i="70"/>
  <c r="M168" i="70" s="1"/>
  <c r="J167" i="70"/>
  <c r="M167" i="70" s="1"/>
  <c r="J166" i="70"/>
  <c r="M166" i="70" s="1"/>
  <c r="J165" i="70"/>
  <c r="M165" i="70" s="1"/>
  <c r="J164" i="70"/>
  <c r="M164" i="70" s="1"/>
  <c r="J163" i="70"/>
  <c r="M163" i="70" s="1"/>
  <c r="J162" i="70"/>
  <c r="M162" i="70" s="1"/>
  <c r="J161" i="70"/>
  <c r="M161" i="70" s="1"/>
  <c r="J160" i="70"/>
  <c r="M160" i="70" s="1"/>
  <c r="J159" i="70"/>
  <c r="M159" i="70" s="1"/>
  <c r="J158" i="70"/>
  <c r="M158" i="70" s="1"/>
  <c r="J157" i="70"/>
  <c r="M157" i="70" s="1"/>
  <c r="J156" i="70"/>
  <c r="M156" i="70" s="1"/>
  <c r="J155" i="70"/>
  <c r="M155" i="70" s="1"/>
  <c r="J154" i="70"/>
  <c r="M154" i="70" s="1"/>
  <c r="J153" i="70"/>
  <c r="M153" i="70" s="1"/>
  <c r="J152" i="70"/>
  <c r="M152" i="70" s="1"/>
  <c r="J151" i="70"/>
  <c r="M151" i="70" s="1"/>
  <c r="J150" i="70"/>
  <c r="M150" i="70" s="1"/>
  <c r="J149" i="70"/>
  <c r="M149" i="70" s="1"/>
  <c r="J148" i="70"/>
  <c r="M148" i="70" s="1"/>
  <c r="J147" i="70"/>
  <c r="M147" i="70" s="1"/>
  <c r="J146" i="70"/>
  <c r="M146" i="70" s="1"/>
  <c r="J145" i="70"/>
  <c r="M145" i="70" s="1"/>
  <c r="J144" i="70"/>
  <c r="M144" i="70" s="1"/>
  <c r="J143" i="70"/>
  <c r="M143" i="70" s="1"/>
  <c r="J142" i="70"/>
  <c r="M142" i="70" s="1"/>
  <c r="J141" i="70"/>
  <c r="M141" i="70" s="1"/>
  <c r="J140" i="70"/>
  <c r="M140" i="70" s="1"/>
  <c r="J139" i="70"/>
  <c r="M139" i="70" s="1"/>
  <c r="J138" i="70"/>
  <c r="M138" i="70" s="1"/>
  <c r="J137" i="70"/>
  <c r="M137" i="70" s="1"/>
  <c r="J136" i="70"/>
  <c r="M136" i="70" s="1"/>
  <c r="J135" i="70"/>
  <c r="M135" i="70" s="1"/>
  <c r="J134" i="70"/>
  <c r="M134" i="70" s="1"/>
  <c r="J133" i="70"/>
  <c r="M133" i="70" s="1"/>
  <c r="J132" i="70"/>
  <c r="M132" i="70" s="1"/>
  <c r="J131" i="70"/>
  <c r="M131" i="70" s="1"/>
  <c r="J130" i="70"/>
  <c r="M130" i="70" s="1"/>
  <c r="J129" i="70"/>
  <c r="M129" i="70" s="1"/>
  <c r="J128" i="70"/>
  <c r="M128" i="70" s="1"/>
  <c r="J127" i="70"/>
  <c r="M127" i="70" s="1"/>
  <c r="J126" i="70"/>
  <c r="M126" i="70" s="1"/>
  <c r="J125" i="70"/>
  <c r="M125" i="70" s="1"/>
  <c r="J124" i="70"/>
  <c r="M124" i="70" s="1"/>
  <c r="J123" i="70"/>
  <c r="M123" i="70" s="1"/>
  <c r="J122" i="70"/>
  <c r="M122" i="70" s="1"/>
  <c r="J121" i="70"/>
  <c r="M121" i="70" s="1"/>
  <c r="J120" i="70"/>
  <c r="M120" i="70" s="1"/>
  <c r="J119" i="70"/>
  <c r="M119" i="70" s="1"/>
  <c r="J118" i="70"/>
  <c r="M118" i="70" s="1"/>
  <c r="J117" i="70"/>
  <c r="M117" i="70" s="1"/>
  <c r="J116" i="70"/>
  <c r="M116" i="70" s="1"/>
  <c r="J115" i="70"/>
  <c r="M115" i="70" s="1"/>
  <c r="J114" i="70"/>
  <c r="M114" i="70" s="1"/>
  <c r="J113" i="70"/>
  <c r="M113" i="70" s="1"/>
  <c r="J112" i="70"/>
  <c r="M112" i="70" s="1"/>
  <c r="J111" i="70"/>
  <c r="M111" i="70" s="1"/>
  <c r="J110" i="70"/>
  <c r="M110" i="70" s="1"/>
  <c r="J109" i="70"/>
  <c r="M109" i="70" s="1"/>
  <c r="J108" i="70"/>
  <c r="M108" i="70" s="1"/>
  <c r="J107" i="70"/>
  <c r="M107" i="70" s="1"/>
  <c r="J106" i="70"/>
  <c r="M106" i="70" s="1"/>
  <c r="J105" i="70"/>
  <c r="M105" i="70" s="1"/>
  <c r="J104" i="70"/>
  <c r="M104" i="70" s="1"/>
  <c r="J103" i="70"/>
  <c r="M103" i="70" s="1"/>
  <c r="J102" i="70"/>
  <c r="M102" i="70" s="1"/>
  <c r="J101" i="70"/>
  <c r="M101" i="70" s="1"/>
  <c r="J100" i="70"/>
  <c r="M100" i="70" s="1"/>
  <c r="J99" i="70"/>
  <c r="M99" i="70" s="1"/>
  <c r="J98" i="70"/>
  <c r="M98" i="70" s="1"/>
  <c r="J97" i="70"/>
  <c r="M97" i="70" s="1"/>
  <c r="J96" i="70"/>
  <c r="M96" i="70" s="1"/>
  <c r="J95" i="70"/>
  <c r="M95" i="70" s="1"/>
  <c r="J94" i="70"/>
  <c r="M94" i="70" s="1"/>
  <c r="J93" i="70"/>
  <c r="M93" i="70" s="1"/>
  <c r="J92" i="70"/>
  <c r="M92" i="70" s="1"/>
  <c r="J91" i="70"/>
  <c r="M91" i="70" s="1"/>
  <c r="J90" i="70"/>
  <c r="M90" i="70" s="1"/>
  <c r="J89" i="70"/>
  <c r="M89" i="70" s="1"/>
  <c r="J88" i="70"/>
  <c r="M88" i="70" s="1"/>
  <c r="J87" i="70"/>
  <c r="M87" i="70" s="1"/>
  <c r="J86" i="70"/>
  <c r="M86" i="70" s="1"/>
  <c r="J85" i="70"/>
  <c r="M85" i="70" s="1"/>
  <c r="J84" i="70"/>
  <c r="M84" i="70" s="1"/>
  <c r="J83" i="70"/>
  <c r="M83" i="70" s="1"/>
  <c r="J82" i="70"/>
  <c r="M82" i="70" s="1"/>
  <c r="J81" i="70"/>
  <c r="M81" i="70" s="1"/>
  <c r="J80" i="70"/>
  <c r="M80" i="70" s="1"/>
  <c r="J79" i="70"/>
  <c r="M79" i="70" s="1"/>
  <c r="J78" i="70"/>
  <c r="M78" i="70" s="1"/>
  <c r="J76" i="70"/>
  <c r="M76" i="70" s="1"/>
  <c r="J75" i="70"/>
  <c r="M75" i="70" s="1"/>
  <c r="J74" i="70"/>
  <c r="M74" i="70" s="1"/>
  <c r="J73" i="70"/>
  <c r="M73" i="70" s="1"/>
  <c r="J72" i="70"/>
  <c r="M72" i="70" s="1"/>
  <c r="J71" i="70"/>
  <c r="M71" i="70" s="1"/>
  <c r="J70" i="70"/>
  <c r="M70" i="70" s="1"/>
  <c r="J69" i="70"/>
  <c r="M69" i="70" s="1"/>
  <c r="J68" i="70"/>
  <c r="M68" i="70" s="1"/>
  <c r="J67" i="70"/>
  <c r="M67" i="70" s="1"/>
  <c r="J66" i="70"/>
  <c r="M66" i="70" s="1"/>
  <c r="J65" i="70"/>
  <c r="M65" i="70" s="1"/>
  <c r="J64" i="70"/>
  <c r="M64" i="70" s="1"/>
  <c r="J63" i="70"/>
  <c r="M63" i="70" s="1"/>
  <c r="J62" i="70"/>
  <c r="M62" i="70" s="1"/>
  <c r="J61" i="70"/>
  <c r="M61" i="70" s="1"/>
  <c r="J60" i="70"/>
  <c r="M60" i="70" s="1"/>
  <c r="J59" i="70"/>
  <c r="M59" i="70" s="1"/>
  <c r="J58" i="70"/>
  <c r="M58" i="70" s="1"/>
  <c r="J57" i="70"/>
  <c r="M57" i="70" s="1"/>
  <c r="J56" i="70"/>
  <c r="M56" i="70" s="1"/>
  <c r="J55" i="70"/>
  <c r="M55" i="70" s="1"/>
  <c r="J54" i="70"/>
  <c r="M54" i="70" s="1"/>
  <c r="J53" i="70"/>
  <c r="M53" i="70" s="1"/>
  <c r="J52" i="70"/>
  <c r="M52" i="70" s="1"/>
  <c r="J51" i="70"/>
  <c r="M51" i="70" s="1"/>
  <c r="J50" i="70"/>
  <c r="M50" i="70" s="1"/>
  <c r="J49" i="70"/>
  <c r="M49" i="70" s="1"/>
  <c r="J48" i="70"/>
  <c r="M48" i="70" s="1"/>
  <c r="J47" i="70"/>
  <c r="M47" i="70" s="1"/>
  <c r="J46" i="70"/>
  <c r="M46" i="70" s="1"/>
  <c r="J45" i="70"/>
  <c r="M45" i="70" s="1"/>
  <c r="J44" i="70"/>
  <c r="M44" i="70" s="1"/>
  <c r="J43" i="70"/>
  <c r="M43" i="70" s="1"/>
  <c r="J42" i="70"/>
  <c r="M42" i="70" s="1"/>
  <c r="J41" i="70"/>
  <c r="M41" i="70" s="1"/>
  <c r="J40" i="70"/>
  <c r="M40" i="70" s="1"/>
  <c r="J39" i="70"/>
  <c r="M39" i="70" s="1"/>
  <c r="J38" i="70"/>
  <c r="M38" i="70" s="1"/>
  <c r="J37" i="70"/>
  <c r="M37" i="70" s="1"/>
  <c r="J36" i="70"/>
  <c r="M36" i="70" s="1"/>
  <c r="J35" i="70"/>
  <c r="M35" i="70" s="1"/>
  <c r="J34" i="70"/>
  <c r="M34" i="70" s="1"/>
  <c r="J33" i="70"/>
  <c r="M33" i="70" s="1"/>
  <c r="J32" i="70"/>
  <c r="M32" i="70" s="1"/>
  <c r="J31" i="70"/>
  <c r="M31" i="70" s="1"/>
  <c r="J30" i="70"/>
  <c r="M30" i="70" s="1"/>
  <c r="J29" i="70"/>
  <c r="M29" i="70" s="1"/>
  <c r="J28" i="70"/>
  <c r="M28" i="70" s="1"/>
  <c r="J27" i="70"/>
  <c r="M27" i="70" s="1"/>
  <c r="J26" i="70"/>
  <c r="M26" i="70" s="1"/>
  <c r="J25" i="70"/>
  <c r="M25" i="70" s="1"/>
  <c r="J24" i="70"/>
  <c r="M24" i="70" s="1"/>
  <c r="J23" i="70"/>
  <c r="M23" i="70" s="1"/>
  <c r="J22" i="70"/>
  <c r="M22" i="70" s="1"/>
  <c r="J21" i="70"/>
  <c r="M21" i="70" s="1"/>
  <c r="J20" i="70"/>
  <c r="M20" i="70" s="1"/>
  <c r="J19" i="70"/>
  <c r="M19" i="70" s="1"/>
  <c r="J18" i="70"/>
  <c r="M18" i="70" s="1"/>
  <c r="J17" i="70"/>
  <c r="M17" i="70" s="1"/>
  <c r="J16" i="70"/>
  <c r="M16" i="70" s="1"/>
  <c r="J15" i="70"/>
  <c r="M15" i="70" s="1"/>
  <c r="J14" i="70"/>
  <c r="M14" i="70" s="1"/>
  <c r="J13" i="70"/>
  <c r="M13" i="70" s="1"/>
  <c r="J12" i="70"/>
  <c r="M12" i="70" s="1"/>
  <c r="J11" i="70"/>
  <c r="M11" i="70" s="1"/>
  <c r="J10" i="70"/>
  <c r="M10" i="70" s="1"/>
  <c r="J9" i="70"/>
  <c r="M9" i="70" s="1"/>
  <c r="J8" i="70"/>
  <c r="M8" i="70" s="1"/>
  <c r="J7" i="70"/>
  <c r="M7" i="70" s="1"/>
  <c r="J6" i="70"/>
  <c r="M6" i="70" s="1"/>
  <c r="J256" i="70"/>
  <c r="J5" i="70"/>
  <c r="K262" i="69"/>
  <c r="N10" i="8" s="1"/>
  <c r="K259" i="69"/>
  <c r="R10" i="8" s="1"/>
  <c r="J254" i="69"/>
  <c r="M254" i="69" s="1"/>
  <c r="J253" i="69"/>
  <c r="M253" i="69" s="1"/>
  <c r="J252" i="69"/>
  <c r="M252" i="69" s="1"/>
  <c r="J251" i="69"/>
  <c r="M251" i="69" s="1"/>
  <c r="J250" i="69"/>
  <c r="M250" i="69" s="1"/>
  <c r="J249" i="69"/>
  <c r="M249" i="69" s="1"/>
  <c r="J248" i="69"/>
  <c r="M248" i="69" s="1"/>
  <c r="J247" i="69"/>
  <c r="M247" i="69" s="1"/>
  <c r="J246" i="69"/>
  <c r="M246" i="69" s="1"/>
  <c r="J245" i="69"/>
  <c r="M245" i="69" s="1"/>
  <c r="J244" i="69"/>
  <c r="M244" i="69" s="1"/>
  <c r="J243" i="69"/>
  <c r="M243" i="69" s="1"/>
  <c r="J242" i="69"/>
  <c r="M242" i="69" s="1"/>
  <c r="J241" i="69"/>
  <c r="M241" i="69" s="1"/>
  <c r="J240" i="69"/>
  <c r="M240" i="69" s="1"/>
  <c r="J239" i="69"/>
  <c r="M239" i="69" s="1"/>
  <c r="J238" i="69"/>
  <c r="M238" i="69" s="1"/>
  <c r="J237" i="69"/>
  <c r="M237" i="69" s="1"/>
  <c r="J236" i="69"/>
  <c r="M236" i="69" s="1"/>
  <c r="J235" i="69"/>
  <c r="M235" i="69" s="1"/>
  <c r="J234" i="69"/>
  <c r="M234" i="69" s="1"/>
  <c r="J233" i="69"/>
  <c r="M233" i="69" s="1"/>
  <c r="J232" i="69"/>
  <c r="M232" i="69" s="1"/>
  <c r="J231" i="69"/>
  <c r="M231" i="69" s="1"/>
  <c r="J230" i="69"/>
  <c r="M230" i="69" s="1"/>
  <c r="J229" i="69"/>
  <c r="M229" i="69" s="1"/>
  <c r="J228" i="69"/>
  <c r="M228" i="69" s="1"/>
  <c r="J227" i="69"/>
  <c r="M227" i="69" s="1"/>
  <c r="J226" i="69"/>
  <c r="M226" i="69" s="1"/>
  <c r="J225" i="69"/>
  <c r="M225" i="69" s="1"/>
  <c r="J224" i="69"/>
  <c r="M224" i="69" s="1"/>
  <c r="J223" i="69"/>
  <c r="M223" i="69" s="1"/>
  <c r="J222" i="69"/>
  <c r="M222" i="69" s="1"/>
  <c r="J221" i="69"/>
  <c r="M221" i="69" s="1"/>
  <c r="J220" i="69"/>
  <c r="M220" i="69" s="1"/>
  <c r="J219" i="69"/>
  <c r="M219" i="69" s="1"/>
  <c r="J218" i="69"/>
  <c r="M218" i="69" s="1"/>
  <c r="J217" i="69"/>
  <c r="M217" i="69" s="1"/>
  <c r="J216" i="69"/>
  <c r="M216" i="69" s="1"/>
  <c r="J215" i="69"/>
  <c r="M215" i="69" s="1"/>
  <c r="J214" i="69"/>
  <c r="M214" i="69" s="1"/>
  <c r="J77" i="69"/>
  <c r="M77" i="69" s="1"/>
  <c r="J213" i="69"/>
  <c r="M213" i="69" s="1"/>
  <c r="J212" i="69"/>
  <c r="M212" i="69" s="1"/>
  <c r="J211" i="69"/>
  <c r="M211" i="69" s="1"/>
  <c r="J210" i="69"/>
  <c r="M210" i="69" s="1"/>
  <c r="J209" i="69"/>
  <c r="M209" i="69" s="1"/>
  <c r="J208" i="69"/>
  <c r="M208" i="69" s="1"/>
  <c r="J207" i="69"/>
  <c r="M207" i="69" s="1"/>
  <c r="J206" i="69"/>
  <c r="M206" i="69" s="1"/>
  <c r="J205" i="69"/>
  <c r="M205" i="69" s="1"/>
  <c r="J204" i="69"/>
  <c r="M204" i="69" s="1"/>
  <c r="J203" i="69"/>
  <c r="M203" i="69" s="1"/>
  <c r="J202" i="69"/>
  <c r="M202" i="69" s="1"/>
  <c r="J201" i="69"/>
  <c r="M201" i="69" s="1"/>
  <c r="J200" i="69"/>
  <c r="M200" i="69" s="1"/>
  <c r="J199" i="69"/>
  <c r="M199" i="69" s="1"/>
  <c r="J198" i="69"/>
  <c r="M198" i="69" s="1"/>
  <c r="J197" i="69"/>
  <c r="M197" i="69" s="1"/>
  <c r="J196" i="69"/>
  <c r="M196" i="69" s="1"/>
  <c r="J195" i="69"/>
  <c r="M195" i="69" s="1"/>
  <c r="J194" i="69"/>
  <c r="M194" i="69" s="1"/>
  <c r="J193" i="69"/>
  <c r="M193" i="69" s="1"/>
  <c r="J192" i="69"/>
  <c r="M192" i="69" s="1"/>
  <c r="J191" i="69"/>
  <c r="M191" i="69" s="1"/>
  <c r="J190" i="69"/>
  <c r="M190" i="69" s="1"/>
  <c r="J189" i="69"/>
  <c r="M189" i="69" s="1"/>
  <c r="J188" i="69"/>
  <c r="M188" i="69" s="1"/>
  <c r="J187" i="69"/>
  <c r="M187" i="69" s="1"/>
  <c r="J186" i="69"/>
  <c r="M186" i="69" s="1"/>
  <c r="J185" i="69"/>
  <c r="M185" i="69" s="1"/>
  <c r="J184" i="69"/>
  <c r="M184" i="69" s="1"/>
  <c r="J183" i="69"/>
  <c r="M183" i="69" s="1"/>
  <c r="J182" i="69"/>
  <c r="M182" i="69" s="1"/>
  <c r="J181" i="69"/>
  <c r="M181" i="69" s="1"/>
  <c r="J180" i="69"/>
  <c r="M180" i="69" s="1"/>
  <c r="J179" i="69"/>
  <c r="M179" i="69" s="1"/>
  <c r="J178" i="69"/>
  <c r="M178" i="69" s="1"/>
  <c r="J177" i="69"/>
  <c r="M177" i="69" s="1"/>
  <c r="J176" i="69"/>
  <c r="M176" i="69" s="1"/>
  <c r="J175" i="69"/>
  <c r="M175" i="69" s="1"/>
  <c r="J174" i="69"/>
  <c r="M174" i="69" s="1"/>
  <c r="J173" i="69"/>
  <c r="M173" i="69" s="1"/>
  <c r="J172" i="69"/>
  <c r="M172" i="69" s="1"/>
  <c r="J171" i="69"/>
  <c r="M171" i="69" s="1"/>
  <c r="J170" i="69"/>
  <c r="M170" i="69" s="1"/>
  <c r="J169" i="69"/>
  <c r="M169" i="69" s="1"/>
  <c r="J168" i="69"/>
  <c r="M168" i="69" s="1"/>
  <c r="J167" i="69"/>
  <c r="M167" i="69" s="1"/>
  <c r="J166" i="69"/>
  <c r="M166" i="69" s="1"/>
  <c r="J165" i="69"/>
  <c r="M165" i="69" s="1"/>
  <c r="J164" i="69"/>
  <c r="M164" i="69" s="1"/>
  <c r="J163" i="69"/>
  <c r="M163" i="69" s="1"/>
  <c r="J162" i="69"/>
  <c r="M162" i="69" s="1"/>
  <c r="J161" i="69"/>
  <c r="M161" i="69" s="1"/>
  <c r="J160" i="69"/>
  <c r="M160" i="69" s="1"/>
  <c r="J159" i="69"/>
  <c r="M159" i="69" s="1"/>
  <c r="J158" i="69"/>
  <c r="M158" i="69" s="1"/>
  <c r="J157" i="69"/>
  <c r="M157" i="69" s="1"/>
  <c r="J156" i="69"/>
  <c r="M156" i="69" s="1"/>
  <c r="J155" i="69"/>
  <c r="M155" i="69" s="1"/>
  <c r="J154" i="69"/>
  <c r="M154" i="69" s="1"/>
  <c r="J153" i="69"/>
  <c r="M153" i="69" s="1"/>
  <c r="J152" i="69"/>
  <c r="M152" i="69" s="1"/>
  <c r="J151" i="69"/>
  <c r="M151" i="69" s="1"/>
  <c r="J150" i="69"/>
  <c r="M150" i="69" s="1"/>
  <c r="J149" i="69"/>
  <c r="M149" i="69" s="1"/>
  <c r="J148" i="69"/>
  <c r="M148" i="69" s="1"/>
  <c r="J147" i="69"/>
  <c r="M147" i="69" s="1"/>
  <c r="J146" i="69"/>
  <c r="M146" i="69" s="1"/>
  <c r="J145" i="69"/>
  <c r="M145" i="69" s="1"/>
  <c r="J144" i="69"/>
  <c r="M144" i="69" s="1"/>
  <c r="J143" i="69"/>
  <c r="M143" i="69" s="1"/>
  <c r="J142" i="69"/>
  <c r="M142" i="69" s="1"/>
  <c r="J141" i="69"/>
  <c r="M141" i="69" s="1"/>
  <c r="J140" i="69"/>
  <c r="M140" i="69" s="1"/>
  <c r="J139" i="69"/>
  <c r="M139" i="69" s="1"/>
  <c r="J138" i="69"/>
  <c r="M138" i="69" s="1"/>
  <c r="J137" i="69"/>
  <c r="M137" i="69" s="1"/>
  <c r="J136" i="69"/>
  <c r="M136" i="69" s="1"/>
  <c r="J135" i="69"/>
  <c r="M135" i="69" s="1"/>
  <c r="J134" i="69"/>
  <c r="M134" i="69" s="1"/>
  <c r="J133" i="69"/>
  <c r="M133" i="69" s="1"/>
  <c r="J132" i="69"/>
  <c r="M132" i="69" s="1"/>
  <c r="J131" i="69"/>
  <c r="M131" i="69" s="1"/>
  <c r="J130" i="69"/>
  <c r="M130" i="69" s="1"/>
  <c r="J129" i="69"/>
  <c r="M129" i="69" s="1"/>
  <c r="J128" i="69"/>
  <c r="M128" i="69" s="1"/>
  <c r="J127" i="69"/>
  <c r="M127" i="69" s="1"/>
  <c r="J126" i="69"/>
  <c r="M126" i="69" s="1"/>
  <c r="J125" i="69"/>
  <c r="M125" i="69" s="1"/>
  <c r="J124" i="69"/>
  <c r="M124" i="69" s="1"/>
  <c r="J123" i="69"/>
  <c r="M123" i="69" s="1"/>
  <c r="J122" i="69"/>
  <c r="M122" i="69" s="1"/>
  <c r="J121" i="69"/>
  <c r="M121" i="69" s="1"/>
  <c r="J120" i="69"/>
  <c r="M120" i="69" s="1"/>
  <c r="J119" i="69"/>
  <c r="M119" i="69" s="1"/>
  <c r="J118" i="69"/>
  <c r="M118" i="69" s="1"/>
  <c r="J117" i="69"/>
  <c r="M117" i="69" s="1"/>
  <c r="J116" i="69"/>
  <c r="M116" i="69" s="1"/>
  <c r="J115" i="69"/>
  <c r="M115" i="69" s="1"/>
  <c r="J114" i="69"/>
  <c r="M114" i="69" s="1"/>
  <c r="J113" i="69"/>
  <c r="M113" i="69" s="1"/>
  <c r="J112" i="69"/>
  <c r="M112" i="69" s="1"/>
  <c r="J111" i="69"/>
  <c r="M111" i="69" s="1"/>
  <c r="J110" i="69"/>
  <c r="M110" i="69" s="1"/>
  <c r="J109" i="69"/>
  <c r="M109" i="69" s="1"/>
  <c r="J108" i="69"/>
  <c r="M108" i="69" s="1"/>
  <c r="J107" i="69"/>
  <c r="M107" i="69" s="1"/>
  <c r="J106" i="69"/>
  <c r="M106" i="69" s="1"/>
  <c r="J105" i="69"/>
  <c r="M105" i="69" s="1"/>
  <c r="J104" i="69"/>
  <c r="M104" i="69" s="1"/>
  <c r="J103" i="69"/>
  <c r="M103" i="69" s="1"/>
  <c r="J102" i="69"/>
  <c r="M102" i="69" s="1"/>
  <c r="J101" i="69"/>
  <c r="M101" i="69" s="1"/>
  <c r="J100" i="69"/>
  <c r="M100" i="69" s="1"/>
  <c r="J99" i="69"/>
  <c r="M99" i="69" s="1"/>
  <c r="J98" i="69"/>
  <c r="M98" i="69" s="1"/>
  <c r="J97" i="69"/>
  <c r="M97" i="69" s="1"/>
  <c r="J96" i="69"/>
  <c r="M96" i="69" s="1"/>
  <c r="J95" i="69"/>
  <c r="M95" i="69" s="1"/>
  <c r="J94" i="69"/>
  <c r="M94" i="69" s="1"/>
  <c r="J93" i="69"/>
  <c r="M93" i="69" s="1"/>
  <c r="J92" i="69"/>
  <c r="M92" i="69" s="1"/>
  <c r="J91" i="69"/>
  <c r="M91" i="69" s="1"/>
  <c r="J90" i="69"/>
  <c r="M90" i="69" s="1"/>
  <c r="J89" i="69"/>
  <c r="M89" i="69" s="1"/>
  <c r="J88" i="69"/>
  <c r="M88" i="69" s="1"/>
  <c r="J87" i="69"/>
  <c r="M87" i="69" s="1"/>
  <c r="J86" i="69"/>
  <c r="M86" i="69" s="1"/>
  <c r="J85" i="69"/>
  <c r="M85" i="69" s="1"/>
  <c r="J84" i="69"/>
  <c r="M84" i="69" s="1"/>
  <c r="J83" i="69"/>
  <c r="M83" i="69" s="1"/>
  <c r="J82" i="69"/>
  <c r="M82" i="69" s="1"/>
  <c r="J81" i="69"/>
  <c r="M81" i="69" s="1"/>
  <c r="J80" i="69"/>
  <c r="M80" i="69" s="1"/>
  <c r="J79" i="69"/>
  <c r="M79" i="69" s="1"/>
  <c r="J78" i="69"/>
  <c r="M78" i="69" s="1"/>
  <c r="J76" i="69"/>
  <c r="M76" i="69" s="1"/>
  <c r="J75" i="69"/>
  <c r="M75" i="69" s="1"/>
  <c r="J74" i="69"/>
  <c r="M74" i="69" s="1"/>
  <c r="J73" i="69"/>
  <c r="M73" i="69" s="1"/>
  <c r="J72" i="69"/>
  <c r="M72" i="69" s="1"/>
  <c r="J71" i="69"/>
  <c r="M71" i="69" s="1"/>
  <c r="J70" i="69"/>
  <c r="M70" i="69" s="1"/>
  <c r="J69" i="69"/>
  <c r="M69" i="69" s="1"/>
  <c r="J68" i="69"/>
  <c r="M68" i="69" s="1"/>
  <c r="J67" i="69"/>
  <c r="M67" i="69" s="1"/>
  <c r="J66" i="69"/>
  <c r="M66" i="69" s="1"/>
  <c r="J65" i="69"/>
  <c r="M65" i="69" s="1"/>
  <c r="J64" i="69"/>
  <c r="M64" i="69" s="1"/>
  <c r="J63" i="69"/>
  <c r="M63" i="69" s="1"/>
  <c r="J62" i="69"/>
  <c r="M62" i="69" s="1"/>
  <c r="J61" i="69"/>
  <c r="M61" i="69" s="1"/>
  <c r="J60" i="69"/>
  <c r="M60" i="69" s="1"/>
  <c r="J59" i="69"/>
  <c r="M59" i="69" s="1"/>
  <c r="J58" i="69"/>
  <c r="M58" i="69" s="1"/>
  <c r="J57" i="69"/>
  <c r="M57" i="69" s="1"/>
  <c r="J56" i="69"/>
  <c r="M56" i="69" s="1"/>
  <c r="J55" i="69"/>
  <c r="M55" i="69" s="1"/>
  <c r="J54" i="69"/>
  <c r="M54" i="69" s="1"/>
  <c r="J53" i="69"/>
  <c r="M53" i="69" s="1"/>
  <c r="J52" i="69"/>
  <c r="M52" i="69" s="1"/>
  <c r="J51" i="69"/>
  <c r="M51" i="69" s="1"/>
  <c r="J50" i="69"/>
  <c r="M50" i="69" s="1"/>
  <c r="J49" i="69"/>
  <c r="M49" i="69" s="1"/>
  <c r="J48" i="69"/>
  <c r="M48" i="69" s="1"/>
  <c r="J47" i="69"/>
  <c r="M47" i="69" s="1"/>
  <c r="J46" i="69"/>
  <c r="M46" i="69" s="1"/>
  <c r="J45" i="69"/>
  <c r="M45" i="69" s="1"/>
  <c r="J44" i="69"/>
  <c r="M44" i="69" s="1"/>
  <c r="J43" i="69"/>
  <c r="M43" i="69" s="1"/>
  <c r="J42" i="69"/>
  <c r="M42" i="69" s="1"/>
  <c r="J41" i="69"/>
  <c r="M41" i="69" s="1"/>
  <c r="J40" i="69"/>
  <c r="M40" i="69" s="1"/>
  <c r="J39" i="69"/>
  <c r="M39" i="69" s="1"/>
  <c r="J38" i="69"/>
  <c r="M38" i="69" s="1"/>
  <c r="J37" i="69"/>
  <c r="M37" i="69" s="1"/>
  <c r="J36" i="69"/>
  <c r="M36" i="69" s="1"/>
  <c r="J35" i="69"/>
  <c r="M35" i="69" s="1"/>
  <c r="J34" i="69"/>
  <c r="M34" i="69" s="1"/>
  <c r="J33" i="69"/>
  <c r="M33" i="69" s="1"/>
  <c r="J32" i="69"/>
  <c r="M32" i="69" s="1"/>
  <c r="J31" i="69"/>
  <c r="M31" i="69" s="1"/>
  <c r="J30" i="69"/>
  <c r="M30" i="69" s="1"/>
  <c r="J29" i="69"/>
  <c r="M29" i="69" s="1"/>
  <c r="J28" i="69"/>
  <c r="M28" i="69" s="1"/>
  <c r="J27" i="69"/>
  <c r="M27" i="69" s="1"/>
  <c r="J26" i="69"/>
  <c r="M26" i="69" s="1"/>
  <c r="J25" i="69"/>
  <c r="M25" i="69" s="1"/>
  <c r="J24" i="69"/>
  <c r="M24" i="69" s="1"/>
  <c r="J23" i="69"/>
  <c r="M23" i="69" s="1"/>
  <c r="J22" i="69"/>
  <c r="M22" i="69" s="1"/>
  <c r="J21" i="69"/>
  <c r="M21" i="69" s="1"/>
  <c r="J20" i="69"/>
  <c r="M20" i="69" s="1"/>
  <c r="J19" i="69"/>
  <c r="M19" i="69" s="1"/>
  <c r="J18" i="69"/>
  <c r="M18" i="69" s="1"/>
  <c r="J17" i="69"/>
  <c r="M17" i="69" s="1"/>
  <c r="J16" i="69"/>
  <c r="M16" i="69" s="1"/>
  <c r="J15" i="69"/>
  <c r="M15" i="69" s="1"/>
  <c r="J14" i="69"/>
  <c r="M14" i="69" s="1"/>
  <c r="J13" i="69"/>
  <c r="M13" i="69" s="1"/>
  <c r="J12" i="69"/>
  <c r="M12" i="69" s="1"/>
  <c r="J11" i="69"/>
  <c r="M11" i="69" s="1"/>
  <c r="J10" i="69"/>
  <c r="M10" i="69" s="1"/>
  <c r="J9" i="69"/>
  <c r="M9" i="69" s="1"/>
  <c r="J8" i="69"/>
  <c r="M8" i="69" s="1"/>
  <c r="J7" i="69"/>
  <c r="M7" i="69" s="1"/>
  <c r="J6" i="69"/>
  <c r="M6" i="69" s="1"/>
  <c r="J5" i="69"/>
  <c r="M5" i="69" s="1"/>
  <c r="K262" i="68"/>
  <c r="N9" i="8" s="1"/>
  <c r="K259" i="68"/>
  <c r="R9" i="8" s="1"/>
  <c r="J254" i="68"/>
  <c r="M254" i="68" s="1"/>
  <c r="J253" i="68"/>
  <c r="M253" i="68" s="1"/>
  <c r="J252" i="68"/>
  <c r="M252" i="68" s="1"/>
  <c r="J251" i="68"/>
  <c r="M251" i="68" s="1"/>
  <c r="J250" i="68"/>
  <c r="M250" i="68" s="1"/>
  <c r="J249" i="68"/>
  <c r="M249" i="68" s="1"/>
  <c r="M248" i="68"/>
  <c r="J248" i="68"/>
  <c r="J247" i="68"/>
  <c r="M247" i="68" s="1"/>
  <c r="J246" i="68"/>
  <c r="M246" i="68" s="1"/>
  <c r="J245" i="68"/>
  <c r="M245" i="68" s="1"/>
  <c r="J244" i="68"/>
  <c r="M244" i="68" s="1"/>
  <c r="J243" i="68"/>
  <c r="M243" i="68" s="1"/>
  <c r="J242" i="68"/>
  <c r="M242" i="68" s="1"/>
  <c r="J241" i="68"/>
  <c r="M241" i="68" s="1"/>
  <c r="J240" i="68"/>
  <c r="M240" i="68" s="1"/>
  <c r="J239" i="68"/>
  <c r="M239" i="68" s="1"/>
  <c r="J238" i="68"/>
  <c r="M238" i="68" s="1"/>
  <c r="J237" i="68"/>
  <c r="M237" i="68" s="1"/>
  <c r="J236" i="68"/>
  <c r="M236" i="68" s="1"/>
  <c r="J235" i="68"/>
  <c r="M235" i="68" s="1"/>
  <c r="J234" i="68"/>
  <c r="M234" i="68" s="1"/>
  <c r="J233" i="68"/>
  <c r="M233" i="68" s="1"/>
  <c r="J232" i="68"/>
  <c r="M232" i="68" s="1"/>
  <c r="J231" i="68"/>
  <c r="M231" i="68" s="1"/>
  <c r="J230" i="68"/>
  <c r="M230" i="68" s="1"/>
  <c r="J229" i="68"/>
  <c r="M229" i="68" s="1"/>
  <c r="J228" i="68"/>
  <c r="M228" i="68" s="1"/>
  <c r="J227" i="68"/>
  <c r="M227" i="68" s="1"/>
  <c r="J226" i="68"/>
  <c r="M226" i="68" s="1"/>
  <c r="J225" i="68"/>
  <c r="M225" i="68" s="1"/>
  <c r="J224" i="68"/>
  <c r="M224" i="68" s="1"/>
  <c r="J223" i="68"/>
  <c r="M223" i="68" s="1"/>
  <c r="J222" i="68"/>
  <c r="M222" i="68" s="1"/>
  <c r="J221" i="68"/>
  <c r="M221" i="68" s="1"/>
  <c r="J220" i="68"/>
  <c r="M220" i="68" s="1"/>
  <c r="J219" i="68"/>
  <c r="M219" i="68" s="1"/>
  <c r="J218" i="68"/>
  <c r="M218" i="68" s="1"/>
  <c r="J217" i="68"/>
  <c r="M217" i="68" s="1"/>
  <c r="J216" i="68"/>
  <c r="M216" i="68" s="1"/>
  <c r="J215" i="68"/>
  <c r="M215" i="68" s="1"/>
  <c r="J214" i="68"/>
  <c r="M214" i="68" s="1"/>
  <c r="J77" i="68"/>
  <c r="M77" i="68" s="1"/>
  <c r="J213" i="68"/>
  <c r="M213" i="68" s="1"/>
  <c r="J212" i="68"/>
  <c r="M212" i="68" s="1"/>
  <c r="J211" i="68"/>
  <c r="M211" i="68" s="1"/>
  <c r="J210" i="68"/>
  <c r="M210" i="68" s="1"/>
  <c r="J209" i="68"/>
  <c r="M209" i="68" s="1"/>
  <c r="J208" i="68"/>
  <c r="M208" i="68" s="1"/>
  <c r="J207" i="68"/>
  <c r="M207" i="68" s="1"/>
  <c r="J206" i="68"/>
  <c r="M206" i="68" s="1"/>
  <c r="J205" i="68"/>
  <c r="M205" i="68" s="1"/>
  <c r="J204" i="68"/>
  <c r="M204" i="68" s="1"/>
  <c r="J203" i="68"/>
  <c r="M203" i="68" s="1"/>
  <c r="J202" i="68"/>
  <c r="M202" i="68" s="1"/>
  <c r="J201" i="68"/>
  <c r="M201" i="68" s="1"/>
  <c r="J200" i="68"/>
  <c r="M200" i="68" s="1"/>
  <c r="J199" i="68"/>
  <c r="M199" i="68" s="1"/>
  <c r="J198" i="68"/>
  <c r="M198" i="68" s="1"/>
  <c r="J197" i="68"/>
  <c r="M197" i="68" s="1"/>
  <c r="J196" i="68"/>
  <c r="M196" i="68" s="1"/>
  <c r="J195" i="68"/>
  <c r="M195" i="68" s="1"/>
  <c r="J194" i="68"/>
  <c r="M194" i="68" s="1"/>
  <c r="J193" i="68"/>
  <c r="M193" i="68" s="1"/>
  <c r="J192" i="68"/>
  <c r="M192" i="68" s="1"/>
  <c r="J191" i="68"/>
  <c r="M191" i="68" s="1"/>
  <c r="J190" i="68"/>
  <c r="M190" i="68" s="1"/>
  <c r="J189" i="68"/>
  <c r="M189" i="68" s="1"/>
  <c r="J188" i="68"/>
  <c r="M188" i="68" s="1"/>
  <c r="J187" i="68"/>
  <c r="M187" i="68" s="1"/>
  <c r="J186" i="68"/>
  <c r="M186" i="68" s="1"/>
  <c r="J185" i="68"/>
  <c r="M185" i="68" s="1"/>
  <c r="J184" i="68"/>
  <c r="M184" i="68" s="1"/>
  <c r="J183" i="68"/>
  <c r="M183" i="68" s="1"/>
  <c r="J182" i="68"/>
  <c r="M182" i="68" s="1"/>
  <c r="J181" i="68"/>
  <c r="M181" i="68" s="1"/>
  <c r="J180" i="68"/>
  <c r="M180" i="68" s="1"/>
  <c r="J179" i="68"/>
  <c r="M179" i="68" s="1"/>
  <c r="J178" i="68"/>
  <c r="M178" i="68" s="1"/>
  <c r="J177" i="68"/>
  <c r="M177" i="68" s="1"/>
  <c r="J176" i="68"/>
  <c r="M176" i="68" s="1"/>
  <c r="J175" i="68"/>
  <c r="M175" i="68" s="1"/>
  <c r="J174" i="68"/>
  <c r="M174" i="68" s="1"/>
  <c r="J173" i="68"/>
  <c r="M173" i="68" s="1"/>
  <c r="J172" i="68"/>
  <c r="M172" i="68" s="1"/>
  <c r="J171" i="68"/>
  <c r="M171" i="68" s="1"/>
  <c r="J170" i="68"/>
  <c r="M170" i="68" s="1"/>
  <c r="J169" i="68"/>
  <c r="M169" i="68" s="1"/>
  <c r="J168" i="68"/>
  <c r="M168" i="68" s="1"/>
  <c r="J167" i="68"/>
  <c r="M167" i="68" s="1"/>
  <c r="J166" i="68"/>
  <c r="M166" i="68" s="1"/>
  <c r="J165" i="68"/>
  <c r="M165" i="68" s="1"/>
  <c r="J164" i="68"/>
  <c r="M164" i="68" s="1"/>
  <c r="J163" i="68"/>
  <c r="M163" i="68" s="1"/>
  <c r="J162" i="68"/>
  <c r="M162" i="68" s="1"/>
  <c r="J161" i="68"/>
  <c r="M161" i="68" s="1"/>
  <c r="J160" i="68"/>
  <c r="M160" i="68" s="1"/>
  <c r="J159" i="68"/>
  <c r="M159" i="68" s="1"/>
  <c r="J158" i="68"/>
  <c r="M158" i="68" s="1"/>
  <c r="J157" i="68"/>
  <c r="M157" i="68" s="1"/>
  <c r="J156" i="68"/>
  <c r="M156" i="68" s="1"/>
  <c r="J155" i="68"/>
  <c r="M155" i="68" s="1"/>
  <c r="J154" i="68"/>
  <c r="M154" i="68" s="1"/>
  <c r="J153" i="68"/>
  <c r="M153" i="68" s="1"/>
  <c r="J152" i="68"/>
  <c r="M152" i="68" s="1"/>
  <c r="J151" i="68"/>
  <c r="M151" i="68" s="1"/>
  <c r="J150" i="68"/>
  <c r="M150" i="68" s="1"/>
  <c r="J149" i="68"/>
  <c r="M149" i="68" s="1"/>
  <c r="J148" i="68"/>
  <c r="M148" i="68" s="1"/>
  <c r="J147" i="68"/>
  <c r="M147" i="68" s="1"/>
  <c r="J146" i="68"/>
  <c r="M146" i="68" s="1"/>
  <c r="J145" i="68"/>
  <c r="M145" i="68" s="1"/>
  <c r="J144" i="68"/>
  <c r="M144" i="68" s="1"/>
  <c r="J143" i="68"/>
  <c r="M143" i="68" s="1"/>
  <c r="J142" i="68"/>
  <c r="M142" i="68" s="1"/>
  <c r="J141" i="68"/>
  <c r="M141" i="68" s="1"/>
  <c r="J140" i="68"/>
  <c r="M140" i="68" s="1"/>
  <c r="J139" i="68"/>
  <c r="M139" i="68" s="1"/>
  <c r="J138" i="68"/>
  <c r="M138" i="68" s="1"/>
  <c r="J137" i="68"/>
  <c r="M137" i="68" s="1"/>
  <c r="J136" i="68"/>
  <c r="M136" i="68" s="1"/>
  <c r="J135" i="68"/>
  <c r="M135" i="68" s="1"/>
  <c r="J134" i="68"/>
  <c r="M134" i="68" s="1"/>
  <c r="J133" i="68"/>
  <c r="M133" i="68" s="1"/>
  <c r="J132" i="68"/>
  <c r="M132" i="68" s="1"/>
  <c r="J131" i="68"/>
  <c r="M131" i="68" s="1"/>
  <c r="J130" i="68"/>
  <c r="M130" i="68" s="1"/>
  <c r="J129" i="68"/>
  <c r="M129" i="68" s="1"/>
  <c r="J128" i="68"/>
  <c r="M128" i="68" s="1"/>
  <c r="J127" i="68"/>
  <c r="M127" i="68" s="1"/>
  <c r="J126" i="68"/>
  <c r="M126" i="68" s="1"/>
  <c r="J125" i="68"/>
  <c r="M125" i="68" s="1"/>
  <c r="J124" i="68"/>
  <c r="M124" i="68" s="1"/>
  <c r="J123" i="68"/>
  <c r="M123" i="68" s="1"/>
  <c r="J122" i="68"/>
  <c r="M122" i="68" s="1"/>
  <c r="J121" i="68"/>
  <c r="M121" i="68" s="1"/>
  <c r="J120" i="68"/>
  <c r="M120" i="68" s="1"/>
  <c r="J119" i="68"/>
  <c r="M119" i="68" s="1"/>
  <c r="J118" i="68"/>
  <c r="M118" i="68" s="1"/>
  <c r="J117" i="68"/>
  <c r="M117" i="68" s="1"/>
  <c r="J116" i="68"/>
  <c r="M116" i="68" s="1"/>
  <c r="J115" i="68"/>
  <c r="M115" i="68" s="1"/>
  <c r="J114" i="68"/>
  <c r="M114" i="68" s="1"/>
  <c r="J113" i="68"/>
  <c r="M113" i="68" s="1"/>
  <c r="J112" i="68"/>
  <c r="M112" i="68" s="1"/>
  <c r="J111" i="68"/>
  <c r="M111" i="68" s="1"/>
  <c r="J110" i="68"/>
  <c r="M110" i="68" s="1"/>
  <c r="J109" i="68"/>
  <c r="M109" i="68" s="1"/>
  <c r="J108" i="68"/>
  <c r="M108" i="68" s="1"/>
  <c r="J107" i="68"/>
  <c r="M107" i="68" s="1"/>
  <c r="J106" i="68"/>
  <c r="M106" i="68" s="1"/>
  <c r="J105" i="68"/>
  <c r="M105" i="68" s="1"/>
  <c r="J104" i="68"/>
  <c r="M104" i="68" s="1"/>
  <c r="J103" i="68"/>
  <c r="M103" i="68" s="1"/>
  <c r="J102" i="68"/>
  <c r="M102" i="68" s="1"/>
  <c r="J101" i="68"/>
  <c r="M101" i="68" s="1"/>
  <c r="J100" i="68"/>
  <c r="M100" i="68" s="1"/>
  <c r="J99" i="68"/>
  <c r="M99" i="68" s="1"/>
  <c r="J98" i="68"/>
  <c r="M98" i="68" s="1"/>
  <c r="J97" i="68"/>
  <c r="M97" i="68" s="1"/>
  <c r="J96" i="68"/>
  <c r="M96" i="68" s="1"/>
  <c r="J95" i="68"/>
  <c r="M95" i="68" s="1"/>
  <c r="J94" i="68"/>
  <c r="M94" i="68" s="1"/>
  <c r="J93" i="68"/>
  <c r="M93" i="68" s="1"/>
  <c r="J92" i="68"/>
  <c r="M92" i="68" s="1"/>
  <c r="J91" i="68"/>
  <c r="M91" i="68" s="1"/>
  <c r="J90" i="68"/>
  <c r="M90" i="68" s="1"/>
  <c r="J89" i="68"/>
  <c r="M89" i="68" s="1"/>
  <c r="J88" i="68"/>
  <c r="M88" i="68" s="1"/>
  <c r="J87" i="68"/>
  <c r="M87" i="68" s="1"/>
  <c r="J86" i="68"/>
  <c r="M86" i="68" s="1"/>
  <c r="J85" i="68"/>
  <c r="M85" i="68" s="1"/>
  <c r="J84" i="68"/>
  <c r="M84" i="68" s="1"/>
  <c r="J83" i="68"/>
  <c r="M83" i="68" s="1"/>
  <c r="J82" i="68"/>
  <c r="M82" i="68" s="1"/>
  <c r="J81" i="68"/>
  <c r="M81" i="68" s="1"/>
  <c r="J80" i="68"/>
  <c r="M80" i="68" s="1"/>
  <c r="J79" i="68"/>
  <c r="M79" i="68" s="1"/>
  <c r="J78" i="68"/>
  <c r="M78" i="68" s="1"/>
  <c r="J76" i="68"/>
  <c r="M76" i="68" s="1"/>
  <c r="J75" i="68"/>
  <c r="M75" i="68" s="1"/>
  <c r="J74" i="68"/>
  <c r="M74" i="68" s="1"/>
  <c r="J73" i="68"/>
  <c r="M73" i="68" s="1"/>
  <c r="J72" i="68"/>
  <c r="M72" i="68" s="1"/>
  <c r="J71" i="68"/>
  <c r="M71" i="68" s="1"/>
  <c r="J70" i="68"/>
  <c r="M70" i="68" s="1"/>
  <c r="J69" i="68"/>
  <c r="M69" i="68" s="1"/>
  <c r="J68" i="68"/>
  <c r="M68" i="68" s="1"/>
  <c r="J67" i="68"/>
  <c r="M67" i="68" s="1"/>
  <c r="J66" i="68"/>
  <c r="M66" i="68" s="1"/>
  <c r="J65" i="68"/>
  <c r="M65" i="68" s="1"/>
  <c r="J64" i="68"/>
  <c r="M64" i="68" s="1"/>
  <c r="J63" i="68"/>
  <c r="M63" i="68" s="1"/>
  <c r="J62" i="68"/>
  <c r="M62" i="68" s="1"/>
  <c r="J61" i="68"/>
  <c r="M61" i="68" s="1"/>
  <c r="J60" i="68"/>
  <c r="M60" i="68" s="1"/>
  <c r="J59" i="68"/>
  <c r="M59" i="68" s="1"/>
  <c r="J58" i="68"/>
  <c r="M58" i="68" s="1"/>
  <c r="J57" i="68"/>
  <c r="M57" i="68" s="1"/>
  <c r="J56" i="68"/>
  <c r="M56" i="68" s="1"/>
  <c r="J55" i="68"/>
  <c r="M55" i="68" s="1"/>
  <c r="J54" i="68"/>
  <c r="M54" i="68" s="1"/>
  <c r="J53" i="68"/>
  <c r="M53" i="68" s="1"/>
  <c r="J52" i="68"/>
  <c r="M52" i="68" s="1"/>
  <c r="J51" i="68"/>
  <c r="M51" i="68" s="1"/>
  <c r="J50" i="68"/>
  <c r="M50" i="68" s="1"/>
  <c r="J49" i="68"/>
  <c r="M49" i="68" s="1"/>
  <c r="J48" i="68"/>
  <c r="M48" i="68" s="1"/>
  <c r="J47" i="68"/>
  <c r="M47" i="68" s="1"/>
  <c r="J46" i="68"/>
  <c r="M46" i="68" s="1"/>
  <c r="J45" i="68"/>
  <c r="M45" i="68" s="1"/>
  <c r="J44" i="68"/>
  <c r="M44" i="68" s="1"/>
  <c r="J43" i="68"/>
  <c r="M43" i="68" s="1"/>
  <c r="J42" i="68"/>
  <c r="M42" i="68" s="1"/>
  <c r="J41" i="68"/>
  <c r="M41" i="68" s="1"/>
  <c r="J40" i="68"/>
  <c r="M40" i="68" s="1"/>
  <c r="J39" i="68"/>
  <c r="M39" i="68" s="1"/>
  <c r="J38" i="68"/>
  <c r="M38" i="68" s="1"/>
  <c r="J37" i="68"/>
  <c r="M37" i="68" s="1"/>
  <c r="J36" i="68"/>
  <c r="M36" i="68" s="1"/>
  <c r="J35" i="68"/>
  <c r="M35" i="68" s="1"/>
  <c r="J34" i="68"/>
  <c r="M34" i="68" s="1"/>
  <c r="J33" i="68"/>
  <c r="M33" i="68" s="1"/>
  <c r="J32" i="68"/>
  <c r="M32" i="68" s="1"/>
  <c r="J31" i="68"/>
  <c r="M31" i="68" s="1"/>
  <c r="J30" i="68"/>
  <c r="M30" i="68" s="1"/>
  <c r="J29" i="68"/>
  <c r="M29" i="68" s="1"/>
  <c r="J28" i="68"/>
  <c r="M28" i="68" s="1"/>
  <c r="J27" i="68"/>
  <c r="M27" i="68" s="1"/>
  <c r="J26" i="68"/>
  <c r="M26" i="68" s="1"/>
  <c r="J25" i="68"/>
  <c r="M25" i="68" s="1"/>
  <c r="J24" i="68"/>
  <c r="M24" i="68" s="1"/>
  <c r="J23" i="68"/>
  <c r="M23" i="68" s="1"/>
  <c r="J22" i="68"/>
  <c r="M22" i="68" s="1"/>
  <c r="J21" i="68"/>
  <c r="M21" i="68" s="1"/>
  <c r="J20" i="68"/>
  <c r="M20" i="68" s="1"/>
  <c r="J19" i="68"/>
  <c r="M19" i="68" s="1"/>
  <c r="J18" i="68"/>
  <c r="M18" i="68" s="1"/>
  <c r="J17" i="68"/>
  <c r="M17" i="68" s="1"/>
  <c r="J16" i="68"/>
  <c r="M16" i="68" s="1"/>
  <c r="J15" i="68"/>
  <c r="M15" i="68" s="1"/>
  <c r="J14" i="68"/>
  <c r="M14" i="68" s="1"/>
  <c r="J13" i="68"/>
  <c r="M13" i="68" s="1"/>
  <c r="J12" i="68"/>
  <c r="M12" i="68" s="1"/>
  <c r="J11" i="68"/>
  <c r="M11" i="68" s="1"/>
  <c r="J10" i="68"/>
  <c r="M10" i="68" s="1"/>
  <c r="J9" i="68"/>
  <c r="M9" i="68" s="1"/>
  <c r="J8" i="68"/>
  <c r="M8" i="68" s="1"/>
  <c r="J7" i="68"/>
  <c r="M7" i="68" s="1"/>
  <c r="J6" i="68"/>
  <c r="M6" i="68" s="1"/>
  <c r="J256" i="68"/>
  <c r="J5" i="68"/>
  <c r="M5" i="68" s="1"/>
  <c r="K262" i="67"/>
  <c r="N6" i="8" s="1"/>
  <c r="K259" i="67"/>
  <c r="R6" i="8" s="1"/>
  <c r="J254" i="67"/>
  <c r="M254" i="67" s="1"/>
  <c r="J253" i="67"/>
  <c r="M253" i="67" s="1"/>
  <c r="J252" i="67"/>
  <c r="M252" i="67" s="1"/>
  <c r="J251" i="67"/>
  <c r="M251" i="67" s="1"/>
  <c r="J250" i="67"/>
  <c r="M250" i="67" s="1"/>
  <c r="J249" i="67"/>
  <c r="M249" i="67" s="1"/>
  <c r="J248" i="67"/>
  <c r="M248" i="67" s="1"/>
  <c r="J247" i="67"/>
  <c r="M247" i="67" s="1"/>
  <c r="J246" i="67"/>
  <c r="M246" i="67" s="1"/>
  <c r="J245" i="67"/>
  <c r="M245" i="67" s="1"/>
  <c r="J244" i="67"/>
  <c r="M244" i="67" s="1"/>
  <c r="J243" i="67"/>
  <c r="M243" i="67" s="1"/>
  <c r="J242" i="67"/>
  <c r="M242" i="67" s="1"/>
  <c r="J241" i="67"/>
  <c r="M241" i="67" s="1"/>
  <c r="J240" i="67"/>
  <c r="M240" i="67" s="1"/>
  <c r="J239" i="67"/>
  <c r="M239" i="67" s="1"/>
  <c r="J238" i="67"/>
  <c r="M238" i="67" s="1"/>
  <c r="J237" i="67"/>
  <c r="M237" i="67" s="1"/>
  <c r="J236" i="67"/>
  <c r="M236" i="67" s="1"/>
  <c r="J235" i="67"/>
  <c r="M235" i="67" s="1"/>
  <c r="J234" i="67"/>
  <c r="M234" i="67" s="1"/>
  <c r="J233" i="67"/>
  <c r="M233" i="67" s="1"/>
  <c r="J232" i="67"/>
  <c r="M232" i="67" s="1"/>
  <c r="J231" i="67"/>
  <c r="M231" i="67" s="1"/>
  <c r="J230" i="67"/>
  <c r="M230" i="67" s="1"/>
  <c r="J229" i="67"/>
  <c r="M229" i="67" s="1"/>
  <c r="J228" i="67"/>
  <c r="M228" i="67" s="1"/>
  <c r="J227" i="67"/>
  <c r="M227" i="67" s="1"/>
  <c r="J226" i="67"/>
  <c r="M226" i="67" s="1"/>
  <c r="J225" i="67"/>
  <c r="M225" i="67" s="1"/>
  <c r="J224" i="67"/>
  <c r="M224" i="67" s="1"/>
  <c r="J223" i="67"/>
  <c r="M223" i="67" s="1"/>
  <c r="J222" i="67"/>
  <c r="M222" i="67" s="1"/>
  <c r="J221" i="67"/>
  <c r="M221" i="67" s="1"/>
  <c r="J220" i="67"/>
  <c r="M220" i="67" s="1"/>
  <c r="J219" i="67"/>
  <c r="M219" i="67" s="1"/>
  <c r="J218" i="67"/>
  <c r="M218" i="67" s="1"/>
  <c r="J217" i="67"/>
  <c r="M217" i="67" s="1"/>
  <c r="J216" i="67"/>
  <c r="M216" i="67" s="1"/>
  <c r="J215" i="67"/>
  <c r="M215" i="67" s="1"/>
  <c r="J214" i="67"/>
  <c r="M214" i="67" s="1"/>
  <c r="J77" i="67"/>
  <c r="M77" i="67" s="1"/>
  <c r="J213" i="67"/>
  <c r="M213" i="67" s="1"/>
  <c r="J212" i="67"/>
  <c r="M212" i="67" s="1"/>
  <c r="J211" i="67"/>
  <c r="M211" i="67" s="1"/>
  <c r="J210" i="67"/>
  <c r="M210" i="67" s="1"/>
  <c r="J209" i="67"/>
  <c r="M209" i="67" s="1"/>
  <c r="J208" i="67"/>
  <c r="M208" i="67" s="1"/>
  <c r="J207" i="67"/>
  <c r="M207" i="67" s="1"/>
  <c r="J206" i="67"/>
  <c r="M206" i="67" s="1"/>
  <c r="J205" i="67"/>
  <c r="M205" i="67" s="1"/>
  <c r="J204" i="67"/>
  <c r="M204" i="67" s="1"/>
  <c r="J203" i="67"/>
  <c r="M203" i="67" s="1"/>
  <c r="J202" i="67"/>
  <c r="M202" i="67" s="1"/>
  <c r="J201" i="67"/>
  <c r="M201" i="67" s="1"/>
  <c r="J200" i="67"/>
  <c r="M200" i="67" s="1"/>
  <c r="J199" i="67"/>
  <c r="M199" i="67" s="1"/>
  <c r="J198" i="67"/>
  <c r="M198" i="67" s="1"/>
  <c r="J197" i="67"/>
  <c r="M197" i="67" s="1"/>
  <c r="J196" i="67"/>
  <c r="M196" i="67" s="1"/>
  <c r="J195" i="67"/>
  <c r="M195" i="67" s="1"/>
  <c r="J194" i="67"/>
  <c r="M194" i="67" s="1"/>
  <c r="J193" i="67"/>
  <c r="M193" i="67" s="1"/>
  <c r="J192" i="67"/>
  <c r="M192" i="67" s="1"/>
  <c r="J191" i="67"/>
  <c r="M191" i="67" s="1"/>
  <c r="J190" i="67"/>
  <c r="M190" i="67" s="1"/>
  <c r="J189" i="67"/>
  <c r="M189" i="67" s="1"/>
  <c r="J188" i="67"/>
  <c r="M188" i="67" s="1"/>
  <c r="J187" i="67"/>
  <c r="M187" i="67" s="1"/>
  <c r="J186" i="67"/>
  <c r="M186" i="67" s="1"/>
  <c r="J185" i="67"/>
  <c r="M185" i="67" s="1"/>
  <c r="J184" i="67"/>
  <c r="M184" i="67" s="1"/>
  <c r="J183" i="67"/>
  <c r="M183" i="67" s="1"/>
  <c r="J182" i="67"/>
  <c r="M182" i="67" s="1"/>
  <c r="J181" i="67"/>
  <c r="M181" i="67" s="1"/>
  <c r="J180" i="67"/>
  <c r="M180" i="67" s="1"/>
  <c r="J179" i="67"/>
  <c r="M179" i="67" s="1"/>
  <c r="J178" i="67"/>
  <c r="M178" i="67" s="1"/>
  <c r="J177" i="67"/>
  <c r="M177" i="67" s="1"/>
  <c r="J176" i="67"/>
  <c r="M176" i="67" s="1"/>
  <c r="J175" i="67"/>
  <c r="M175" i="67" s="1"/>
  <c r="J174" i="67"/>
  <c r="M174" i="67" s="1"/>
  <c r="J173" i="67"/>
  <c r="M173" i="67" s="1"/>
  <c r="J172" i="67"/>
  <c r="M172" i="67" s="1"/>
  <c r="J171" i="67"/>
  <c r="M171" i="67" s="1"/>
  <c r="J170" i="67"/>
  <c r="M170" i="67" s="1"/>
  <c r="J169" i="67"/>
  <c r="M169" i="67" s="1"/>
  <c r="J168" i="67"/>
  <c r="M168" i="67" s="1"/>
  <c r="J167" i="67"/>
  <c r="M167" i="67" s="1"/>
  <c r="J166" i="67"/>
  <c r="M166" i="67" s="1"/>
  <c r="J165" i="67"/>
  <c r="M165" i="67" s="1"/>
  <c r="J164" i="67"/>
  <c r="M164" i="67" s="1"/>
  <c r="J163" i="67"/>
  <c r="M163" i="67" s="1"/>
  <c r="J162" i="67"/>
  <c r="M162" i="67" s="1"/>
  <c r="J161" i="67"/>
  <c r="M161" i="67" s="1"/>
  <c r="J160" i="67"/>
  <c r="M160" i="67" s="1"/>
  <c r="J159" i="67"/>
  <c r="M159" i="67" s="1"/>
  <c r="J158" i="67"/>
  <c r="M158" i="67" s="1"/>
  <c r="J157" i="67"/>
  <c r="M157" i="67" s="1"/>
  <c r="J156" i="67"/>
  <c r="M156" i="67" s="1"/>
  <c r="J155" i="67"/>
  <c r="M155" i="67" s="1"/>
  <c r="J154" i="67"/>
  <c r="M154" i="67" s="1"/>
  <c r="J153" i="67"/>
  <c r="M153" i="67" s="1"/>
  <c r="J152" i="67"/>
  <c r="M152" i="67" s="1"/>
  <c r="J151" i="67"/>
  <c r="M151" i="67" s="1"/>
  <c r="J150" i="67"/>
  <c r="M150" i="67" s="1"/>
  <c r="J149" i="67"/>
  <c r="M149" i="67" s="1"/>
  <c r="J148" i="67"/>
  <c r="M148" i="67" s="1"/>
  <c r="J147" i="67"/>
  <c r="M147" i="67" s="1"/>
  <c r="J146" i="67"/>
  <c r="M146" i="67" s="1"/>
  <c r="J145" i="67"/>
  <c r="M145" i="67" s="1"/>
  <c r="J144" i="67"/>
  <c r="M144" i="67" s="1"/>
  <c r="J143" i="67"/>
  <c r="M143" i="67" s="1"/>
  <c r="J142" i="67"/>
  <c r="M142" i="67" s="1"/>
  <c r="J141" i="67"/>
  <c r="M141" i="67" s="1"/>
  <c r="J140" i="67"/>
  <c r="M140" i="67" s="1"/>
  <c r="J139" i="67"/>
  <c r="M139" i="67" s="1"/>
  <c r="J138" i="67"/>
  <c r="M138" i="67" s="1"/>
  <c r="J137" i="67"/>
  <c r="M137" i="67" s="1"/>
  <c r="J136" i="67"/>
  <c r="M136" i="67" s="1"/>
  <c r="J135" i="67"/>
  <c r="M135" i="67" s="1"/>
  <c r="J134" i="67"/>
  <c r="M134" i="67" s="1"/>
  <c r="J133" i="67"/>
  <c r="M133" i="67" s="1"/>
  <c r="J132" i="67"/>
  <c r="M132" i="67" s="1"/>
  <c r="J131" i="67"/>
  <c r="M131" i="67" s="1"/>
  <c r="J130" i="67"/>
  <c r="M130" i="67" s="1"/>
  <c r="J129" i="67"/>
  <c r="M129" i="67" s="1"/>
  <c r="J128" i="67"/>
  <c r="M128" i="67" s="1"/>
  <c r="J127" i="67"/>
  <c r="M127" i="67" s="1"/>
  <c r="J126" i="67"/>
  <c r="M126" i="67" s="1"/>
  <c r="J125" i="67"/>
  <c r="M125" i="67" s="1"/>
  <c r="J124" i="67"/>
  <c r="M124" i="67" s="1"/>
  <c r="J123" i="67"/>
  <c r="M123" i="67" s="1"/>
  <c r="J122" i="67"/>
  <c r="M122" i="67" s="1"/>
  <c r="J121" i="67"/>
  <c r="M121" i="67" s="1"/>
  <c r="J120" i="67"/>
  <c r="M120" i="67" s="1"/>
  <c r="J119" i="67"/>
  <c r="M119" i="67" s="1"/>
  <c r="J118" i="67"/>
  <c r="M118" i="67" s="1"/>
  <c r="J117" i="67"/>
  <c r="M117" i="67" s="1"/>
  <c r="J116" i="67"/>
  <c r="M116" i="67" s="1"/>
  <c r="J115" i="67"/>
  <c r="M115" i="67" s="1"/>
  <c r="J114" i="67"/>
  <c r="M114" i="67" s="1"/>
  <c r="J113" i="67"/>
  <c r="M113" i="67" s="1"/>
  <c r="J112" i="67"/>
  <c r="M112" i="67" s="1"/>
  <c r="J111" i="67"/>
  <c r="M111" i="67" s="1"/>
  <c r="J110" i="67"/>
  <c r="M110" i="67" s="1"/>
  <c r="J109" i="67"/>
  <c r="M109" i="67" s="1"/>
  <c r="J108" i="67"/>
  <c r="M108" i="67" s="1"/>
  <c r="J107" i="67"/>
  <c r="M107" i="67" s="1"/>
  <c r="J106" i="67"/>
  <c r="M106" i="67" s="1"/>
  <c r="J105" i="67"/>
  <c r="M105" i="67" s="1"/>
  <c r="J104" i="67"/>
  <c r="M104" i="67" s="1"/>
  <c r="J103" i="67"/>
  <c r="M103" i="67" s="1"/>
  <c r="J102" i="67"/>
  <c r="M102" i="67" s="1"/>
  <c r="J101" i="67"/>
  <c r="M101" i="67" s="1"/>
  <c r="J100" i="67"/>
  <c r="M100" i="67" s="1"/>
  <c r="J99" i="67"/>
  <c r="M99" i="67" s="1"/>
  <c r="J98" i="67"/>
  <c r="M98" i="67" s="1"/>
  <c r="J97" i="67"/>
  <c r="M97" i="67" s="1"/>
  <c r="J96" i="67"/>
  <c r="M96" i="67" s="1"/>
  <c r="J95" i="67"/>
  <c r="M95" i="67" s="1"/>
  <c r="J94" i="67"/>
  <c r="M94" i="67" s="1"/>
  <c r="J93" i="67"/>
  <c r="M93" i="67" s="1"/>
  <c r="J92" i="67"/>
  <c r="M92" i="67" s="1"/>
  <c r="J91" i="67"/>
  <c r="M91" i="67" s="1"/>
  <c r="J90" i="67"/>
  <c r="M90" i="67" s="1"/>
  <c r="J89" i="67"/>
  <c r="M89" i="67" s="1"/>
  <c r="J88" i="67"/>
  <c r="M88" i="67" s="1"/>
  <c r="J87" i="67"/>
  <c r="M87" i="67" s="1"/>
  <c r="J86" i="67"/>
  <c r="M86" i="67" s="1"/>
  <c r="J85" i="67"/>
  <c r="M85" i="67" s="1"/>
  <c r="J84" i="67"/>
  <c r="M84" i="67" s="1"/>
  <c r="J83" i="67"/>
  <c r="M83" i="67" s="1"/>
  <c r="J82" i="67"/>
  <c r="M82" i="67" s="1"/>
  <c r="J81" i="67"/>
  <c r="M81" i="67" s="1"/>
  <c r="J80" i="67"/>
  <c r="M80" i="67" s="1"/>
  <c r="J79" i="67"/>
  <c r="M79" i="67" s="1"/>
  <c r="J78" i="67"/>
  <c r="M78" i="67" s="1"/>
  <c r="J76" i="67"/>
  <c r="M76" i="67" s="1"/>
  <c r="J75" i="67"/>
  <c r="M75" i="67" s="1"/>
  <c r="J74" i="67"/>
  <c r="M74" i="67" s="1"/>
  <c r="J73" i="67"/>
  <c r="M73" i="67" s="1"/>
  <c r="J72" i="67"/>
  <c r="M72" i="67" s="1"/>
  <c r="J71" i="67"/>
  <c r="M71" i="67" s="1"/>
  <c r="J70" i="67"/>
  <c r="M70" i="67" s="1"/>
  <c r="J69" i="67"/>
  <c r="M69" i="67" s="1"/>
  <c r="J68" i="67"/>
  <c r="M68" i="67" s="1"/>
  <c r="J67" i="67"/>
  <c r="M67" i="67" s="1"/>
  <c r="J66" i="67"/>
  <c r="M66" i="67" s="1"/>
  <c r="J65" i="67"/>
  <c r="M65" i="67" s="1"/>
  <c r="J64" i="67"/>
  <c r="M64" i="67" s="1"/>
  <c r="J63" i="67"/>
  <c r="M63" i="67" s="1"/>
  <c r="J62" i="67"/>
  <c r="M62" i="67" s="1"/>
  <c r="J61" i="67"/>
  <c r="M61" i="67" s="1"/>
  <c r="J60" i="67"/>
  <c r="M60" i="67" s="1"/>
  <c r="J59" i="67"/>
  <c r="M59" i="67" s="1"/>
  <c r="J58" i="67"/>
  <c r="M58" i="67" s="1"/>
  <c r="J57" i="67"/>
  <c r="M57" i="67" s="1"/>
  <c r="J56" i="67"/>
  <c r="M56" i="67" s="1"/>
  <c r="J55" i="67"/>
  <c r="M55" i="67" s="1"/>
  <c r="J54" i="67"/>
  <c r="M54" i="67" s="1"/>
  <c r="J53" i="67"/>
  <c r="M53" i="67" s="1"/>
  <c r="J52" i="67"/>
  <c r="M52" i="67" s="1"/>
  <c r="J51" i="67"/>
  <c r="M51" i="67" s="1"/>
  <c r="J50" i="67"/>
  <c r="M50" i="67" s="1"/>
  <c r="J49" i="67"/>
  <c r="M49" i="67" s="1"/>
  <c r="J48" i="67"/>
  <c r="M48" i="67" s="1"/>
  <c r="J47" i="67"/>
  <c r="M47" i="67" s="1"/>
  <c r="J46" i="67"/>
  <c r="M46" i="67" s="1"/>
  <c r="J45" i="67"/>
  <c r="M45" i="67" s="1"/>
  <c r="J44" i="67"/>
  <c r="M44" i="67" s="1"/>
  <c r="J43" i="67"/>
  <c r="M43" i="67" s="1"/>
  <c r="J42" i="67"/>
  <c r="M42" i="67" s="1"/>
  <c r="J41" i="67"/>
  <c r="M41" i="67" s="1"/>
  <c r="J40" i="67"/>
  <c r="M40" i="67" s="1"/>
  <c r="J39" i="67"/>
  <c r="M39" i="67" s="1"/>
  <c r="J38" i="67"/>
  <c r="M38" i="67" s="1"/>
  <c r="J37" i="67"/>
  <c r="M37" i="67" s="1"/>
  <c r="J36" i="67"/>
  <c r="M36" i="67" s="1"/>
  <c r="J35" i="67"/>
  <c r="M35" i="67" s="1"/>
  <c r="J34" i="67"/>
  <c r="M34" i="67" s="1"/>
  <c r="J33" i="67"/>
  <c r="M33" i="67" s="1"/>
  <c r="J32" i="67"/>
  <c r="M32" i="67" s="1"/>
  <c r="J31" i="67"/>
  <c r="M31" i="67" s="1"/>
  <c r="J30" i="67"/>
  <c r="M30" i="67" s="1"/>
  <c r="J29" i="67"/>
  <c r="M29" i="67" s="1"/>
  <c r="J28" i="67"/>
  <c r="M28" i="67" s="1"/>
  <c r="J27" i="67"/>
  <c r="M27" i="67" s="1"/>
  <c r="J26" i="67"/>
  <c r="M26" i="67" s="1"/>
  <c r="J25" i="67"/>
  <c r="M25" i="67" s="1"/>
  <c r="J24" i="67"/>
  <c r="M24" i="67" s="1"/>
  <c r="J23" i="67"/>
  <c r="M23" i="67" s="1"/>
  <c r="J22" i="67"/>
  <c r="M22" i="67" s="1"/>
  <c r="J21" i="67"/>
  <c r="M21" i="67" s="1"/>
  <c r="J20" i="67"/>
  <c r="M20" i="67" s="1"/>
  <c r="J19" i="67"/>
  <c r="M19" i="67" s="1"/>
  <c r="J18" i="67"/>
  <c r="M18" i="67" s="1"/>
  <c r="J17" i="67"/>
  <c r="M17" i="67" s="1"/>
  <c r="J16" i="67"/>
  <c r="M16" i="67" s="1"/>
  <c r="J15" i="67"/>
  <c r="M15" i="67" s="1"/>
  <c r="J14" i="67"/>
  <c r="M14" i="67" s="1"/>
  <c r="J13" i="67"/>
  <c r="M13" i="67" s="1"/>
  <c r="J12" i="67"/>
  <c r="M12" i="67" s="1"/>
  <c r="J11" i="67"/>
  <c r="M11" i="67" s="1"/>
  <c r="J10" i="67"/>
  <c r="M10" i="67" s="1"/>
  <c r="J9" i="67"/>
  <c r="M9" i="67" s="1"/>
  <c r="J8" i="67"/>
  <c r="M8" i="67" s="1"/>
  <c r="J7" i="67"/>
  <c r="M7" i="67" s="1"/>
  <c r="J6" i="67"/>
  <c r="M6" i="67" s="1"/>
  <c r="J5" i="67"/>
  <c r="M5" i="67" s="1"/>
  <c r="K262" i="66"/>
  <c r="N5" i="8" s="1"/>
  <c r="K259" i="66"/>
  <c r="R5" i="8" s="1"/>
  <c r="J254" i="66"/>
  <c r="M254" i="66" s="1"/>
  <c r="J253" i="66"/>
  <c r="M253" i="66" s="1"/>
  <c r="J252" i="66"/>
  <c r="M252" i="66" s="1"/>
  <c r="J251" i="66"/>
  <c r="M251" i="66" s="1"/>
  <c r="J250" i="66"/>
  <c r="M250" i="66" s="1"/>
  <c r="J249" i="66"/>
  <c r="M249" i="66" s="1"/>
  <c r="J248" i="66"/>
  <c r="M248" i="66" s="1"/>
  <c r="J247" i="66"/>
  <c r="M247" i="66" s="1"/>
  <c r="J246" i="66"/>
  <c r="M246" i="66" s="1"/>
  <c r="J245" i="66"/>
  <c r="M245" i="66" s="1"/>
  <c r="J244" i="66"/>
  <c r="M244" i="66" s="1"/>
  <c r="J243" i="66"/>
  <c r="M243" i="66" s="1"/>
  <c r="J242" i="66"/>
  <c r="M242" i="66" s="1"/>
  <c r="J241" i="66"/>
  <c r="M241" i="66" s="1"/>
  <c r="J240" i="66"/>
  <c r="M240" i="66" s="1"/>
  <c r="J239" i="66"/>
  <c r="M239" i="66" s="1"/>
  <c r="J238" i="66"/>
  <c r="M238" i="66" s="1"/>
  <c r="J237" i="66"/>
  <c r="M237" i="66" s="1"/>
  <c r="J236" i="66"/>
  <c r="M236" i="66" s="1"/>
  <c r="J235" i="66"/>
  <c r="M235" i="66" s="1"/>
  <c r="J234" i="66"/>
  <c r="M234" i="66" s="1"/>
  <c r="J233" i="66"/>
  <c r="M233" i="66" s="1"/>
  <c r="J232" i="66"/>
  <c r="M232" i="66" s="1"/>
  <c r="J231" i="66"/>
  <c r="M231" i="66" s="1"/>
  <c r="J230" i="66"/>
  <c r="M230" i="66" s="1"/>
  <c r="J229" i="66"/>
  <c r="M229" i="66" s="1"/>
  <c r="J228" i="66"/>
  <c r="M228" i="66" s="1"/>
  <c r="J227" i="66"/>
  <c r="M227" i="66" s="1"/>
  <c r="J226" i="66"/>
  <c r="M226" i="66" s="1"/>
  <c r="J225" i="66"/>
  <c r="M225" i="66" s="1"/>
  <c r="J224" i="66"/>
  <c r="M224" i="66" s="1"/>
  <c r="J223" i="66"/>
  <c r="M223" i="66" s="1"/>
  <c r="J222" i="66"/>
  <c r="M222" i="66" s="1"/>
  <c r="J221" i="66"/>
  <c r="M221" i="66" s="1"/>
  <c r="J220" i="66"/>
  <c r="M220" i="66" s="1"/>
  <c r="J219" i="66"/>
  <c r="M219" i="66" s="1"/>
  <c r="J218" i="66"/>
  <c r="M218" i="66" s="1"/>
  <c r="J217" i="66"/>
  <c r="M217" i="66" s="1"/>
  <c r="J216" i="66"/>
  <c r="M216" i="66" s="1"/>
  <c r="J215" i="66"/>
  <c r="M215" i="66" s="1"/>
  <c r="J214" i="66"/>
  <c r="M214" i="66" s="1"/>
  <c r="J77" i="66"/>
  <c r="M77" i="66" s="1"/>
  <c r="J213" i="66"/>
  <c r="M213" i="66" s="1"/>
  <c r="J212" i="66"/>
  <c r="M212" i="66" s="1"/>
  <c r="J211" i="66"/>
  <c r="M211" i="66" s="1"/>
  <c r="J210" i="66"/>
  <c r="M210" i="66" s="1"/>
  <c r="J209" i="66"/>
  <c r="M209" i="66" s="1"/>
  <c r="J208" i="66"/>
  <c r="M208" i="66" s="1"/>
  <c r="J207" i="66"/>
  <c r="M207" i="66" s="1"/>
  <c r="J206" i="66"/>
  <c r="M206" i="66" s="1"/>
  <c r="J205" i="66"/>
  <c r="M205" i="66" s="1"/>
  <c r="J204" i="66"/>
  <c r="M204" i="66" s="1"/>
  <c r="J203" i="66"/>
  <c r="M203" i="66" s="1"/>
  <c r="J202" i="66"/>
  <c r="M202" i="66" s="1"/>
  <c r="J201" i="66"/>
  <c r="M201" i="66" s="1"/>
  <c r="J200" i="66"/>
  <c r="M200" i="66" s="1"/>
  <c r="J199" i="66"/>
  <c r="M199" i="66" s="1"/>
  <c r="J198" i="66"/>
  <c r="M198" i="66" s="1"/>
  <c r="J197" i="66"/>
  <c r="M197" i="66" s="1"/>
  <c r="J196" i="66"/>
  <c r="M196" i="66" s="1"/>
  <c r="J195" i="66"/>
  <c r="M195" i="66" s="1"/>
  <c r="J194" i="66"/>
  <c r="M194" i="66" s="1"/>
  <c r="J193" i="66"/>
  <c r="M193" i="66" s="1"/>
  <c r="J192" i="66"/>
  <c r="M192" i="66" s="1"/>
  <c r="J191" i="66"/>
  <c r="M191" i="66" s="1"/>
  <c r="J190" i="66"/>
  <c r="M190" i="66" s="1"/>
  <c r="J189" i="66"/>
  <c r="M189" i="66" s="1"/>
  <c r="J188" i="66"/>
  <c r="M188" i="66" s="1"/>
  <c r="J187" i="66"/>
  <c r="M187" i="66" s="1"/>
  <c r="J186" i="66"/>
  <c r="M186" i="66" s="1"/>
  <c r="J185" i="66"/>
  <c r="M185" i="66" s="1"/>
  <c r="J184" i="66"/>
  <c r="M184" i="66" s="1"/>
  <c r="J183" i="66"/>
  <c r="M183" i="66" s="1"/>
  <c r="J182" i="66"/>
  <c r="M182" i="66" s="1"/>
  <c r="J181" i="66"/>
  <c r="M181" i="66" s="1"/>
  <c r="J180" i="66"/>
  <c r="M180" i="66" s="1"/>
  <c r="J179" i="66"/>
  <c r="M179" i="66" s="1"/>
  <c r="J178" i="66"/>
  <c r="M178" i="66" s="1"/>
  <c r="J177" i="66"/>
  <c r="M177" i="66" s="1"/>
  <c r="J176" i="66"/>
  <c r="M176" i="66" s="1"/>
  <c r="J175" i="66"/>
  <c r="M175" i="66" s="1"/>
  <c r="J174" i="66"/>
  <c r="M174" i="66" s="1"/>
  <c r="J173" i="66"/>
  <c r="M173" i="66" s="1"/>
  <c r="J172" i="66"/>
  <c r="M172" i="66" s="1"/>
  <c r="J171" i="66"/>
  <c r="M171" i="66" s="1"/>
  <c r="J170" i="66"/>
  <c r="M170" i="66" s="1"/>
  <c r="J169" i="66"/>
  <c r="M169" i="66" s="1"/>
  <c r="J168" i="66"/>
  <c r="M168" i="66" s="1"/>
  <c r="J167" i="66"/>
  <c r="M167" i="66" s="1"/>
  <c r="J166" i="66"/>
  <c r="M166" i="66" s="1"/>
  <c r="J165" i="66"/>
  <c r="M165" i="66" s="1"/>
  <c r="J164" i="66"/>
  <c r="M164" i="66" s="1"/>
  <c r="J163" i="66"/>
  <c r="M163" i="66" s="1"/>
  <c r="J162" i="66"/>
  <c r="M162" i="66" s="1"/>
  <c r="J161" i="66"/>
  <c r="M161" i="66" s="1"/>
  <c r="J160" i="66"/>
  <c r="M160" i="66" s="1"/>
  <c r="J159" i="66"/>
  <c r="M159" i="66" s="1"/>
  <c r="J158" i="66"/>
  <c r="M158" i="66" s="1"/>
  <c r="J157" i="66"/>
  <c r="M157" i="66" s="1"/>
  <c r="J156" i="66"/>
  <c r="M156" i="66" s="1"/>
  <c r="J155" i="66"/>
  <c r="M155" i="66" s="1"/>
  <c r="J154" i="66"/>
  <c r="M154" i="66" s="1"/>
  <c r="J153" i="66"/>
  <c r="M153" i="66" s="1"/>
  <c r="J152" i="66"/>
  <c r="M152" i="66" s="1"/>
  <c r="J151" i="66"/>
  <c r="M151" i="66" s="1"/>
  <c r="J150" i="66"/>
  <c r="M150" i="66" s="1"/>
  <c r="J149" i="66"/>
  <c r="M149" i="66" s="1"/>
  <c r="J148" i="66"/>
  <c r="M148" i="66" s="1"/>
  <c r="J147" i="66"/>
  <c r="M147" i="66" s="1"/>
  <c r="J146" i="66"/>
  <c r="M146" i="66" s="1"/>
  <c r="J145" i="66"/>
  <c r="M145" i="66" s="1"/>
  <c r="J144" i="66"/>
  <c r="M144" i="66" s="1"/>
  <c r="J143" i="66"/>
  <c r="M143" i="66" s="1"/>
  <c r="J142" i="66"/>
  <c r="M142" i="66" s="1"/>
  <c r="J141" i="66"/>
  <c r="M141" i="66" s="1"/>
  <c r="J140" i="66"/>
  <c r="M140" i="66" s="1"/>
  <c r="J139" i="66"/>
  <c r="M139" i="66" s="1"/>
  <c r="J138" i="66"/>
  <c r="M138" i="66" s="1"/>
  <c r="J137" i="66"/>
  <c r="M137" i="66" s="1"/>
  <c r="J136" i="66"/>
  <c r="M136" i="66" s="1"/>
  <c r="J135" i="66"/>
  <c r="M135" i="66" s="1"/>
  <c r="J134" i="66"/>
  <c r="M134" i="66" s="1"/>
  <c r="J133" i="66"/>
  <c r="M133" i="66" s="1"/>
  <c r="J132" i="66"/>
  <c r="M132" i="66" s="1"/>
  <c r="J131" i="66"/>
  <c r="M131" i="66" s="1"/>
  <c r="J130" i="66"/>
  <c r="M130" i="66" s="1"/>
  <c r="J129" i="66"/>
  <c r="M129" i="66" s="1"/>
  <c r="J128" i="66"/>
  <c r="M128" i="66" s="1"/>
  <c r="J127" i="66"/>
  <c r="M127" i="66" s="1"/>
  <c r="J126" i="66"/>
  <c r="M126" i="66" s="1"/>
  <c r="J125" i="66"/>
  <c r="M125" i="66" s="1"/>
  <c r="J124" i="66"/>
  <c r="M124" i="66" s="1"/>
  <c r="J123" i="66"/>
  <c r="M123" i="66" s="1"/>
  <c r="J122" i="66"/>
  <c r="M122" i="66" s="1"/>
  <c r="J121" i="66"/>
  <c r="M121" i="66" s="1"/>
  <c r="J120" i="66"/>
  <c r="M120" i="66" s="1"/>
  <c r="J119" i="66"/>
  <c r="M119" i="66" s="1"/>
  <c r="J118" i="66"/>
  <c r="M118" i="66" s="1"/>
  <c r="J117" i="66"/>
  <c r="M117" i="66" s="1"/>
  <c r="J116" i="66"/>
  <c r="M116" i="66" s="1"/>
  <c r="J115" i="66"/>
  <c r="M115" i="66" s="1"/>
  <c r="J114" i="66"/>
  <c r="M114" i="66" s="1"/>
  <c r="J113" i="66"/>
  <c r="M113" i="66" s="1"/>
  <c r="J112" i="66"/>
  <c r="M112" i="66" s="1"/>
  <c r="J111" i="66"/>
  <c r="M111" i="66" s="1"/>
  <c r="J110" i="66"/>
  <c r="M110" i="66" s="1"/>
  <c r="J109" i="66"/>
  <c r="M109" i="66" s="1"/>
  <c r="J108" i="66"/>
  <c r="M108" i="66" s="1"/>
  <c r="J107" i="66"/>
  <c r="M107" i="66" s="1"/>
  <c r="J106" i="66"/>
  <c r="M106" i="66" s="1"/>
  <c r="J105" i="66"/>
  <c r="M105" i="66" s="1"/>
  <c r="J104" i="66"/>
  <c r="M104" i="66" s="1"/>
  <c r="J103" i="66"/>
  <c r="M103" i="66" s="1"/>
  <c r="J102" i="66"/>
  <c r="M102" i="66" s="1"/>
  <c r="J101" i="66"/>
  <c r="M101" i="66" s="1"/>
  <c r="J100" i="66"/>
  <c r="M100" i="66" s="1"/>
  <c r="J99" i="66"/>
  <c r="M99" i="66" s="1"/>
  <c r="J98" i="66"/>
  <c r="M98" i="66" s="1"/>
  <c r="J97" i="66"/>
  <c r="M97" i="66" s="1"/>
  <c r="J96" i="66"/>
  <c r="M96" i="66" s="1"/>
  <c r="J95" i="66"/>
  <c r="M95" i="66" s="1"/>
  <c r="J94" i="66"/>
  <c r="M94" i="66" s="1"/>
  <c r="J93" i="66"/>
  <c r="M93" i="66" s="1"/>
  <c r="J92" i="66"/>
  <c r="M92" i="66" s="1"/>
  <c r="J91" i="66"/>
  <c r="M91" i="66" s="1"/>
  <c r="J90" i="66"/>
  <c r="M90" i="66" s="1"/>
  <c r="J89" i="66"/>
  <c r="M89" i="66" s="1"/>
  <c r="J88" i="66"/>
  <c r="M88" i="66" s="1"/>
  <c r="J87" i="66"/>
  <c r="M87" i="66" s="1"/>
  <c r="J86" i="66"/>
  <c r="M86" i="66" s="1"/>
  <c r="J85" i="66"/>
  <c r="M85" i="66" s="1"/>
  <c r="J84" i="66"/>
  <c r="M84" i="66" s="1"/>
  <c r="J83" i="66"/>
  <c r="M83" i="66" s="1"/>
  <c r="J82" i="66"/>
  <c r="M82" i="66" s="1"/>
  <c r="J81" i="66"/>
  <c r="M81" i="66" s="1"/>
  <c r="J80" i="66"/>
  <c r="M80" i="66" s="1"/>
  <c r="J79" i="66"/>
  <c r="M79" i="66" s="1"/>
  <c r="J78" i="66"/>
  <c r="M78" i="66" s="1"/>
  <c r="J76" i="66"/>
  <c r="M76" i="66" s="1"/>
  <c r="J75" i="66"/>
  <c r="M75" i="66" s="1"/>
  <c r="J74" i="66"/>
  <c r="M74" i="66" s="1"/>
  <c r="J73" i="66"/>
  <c r="M73" i="66" s="1"/>
  <c r="J72" i="66"/>
  <c r="M72" i="66" s="1"/>
  <c r="J71" i="66"/>
  <c r="M71" i="66" s="1"/>
  <c r="J70" i="66"/>
  <c r="M70" i="66" s="1"/>
  <c r="J69" i="66"/>
  <c r="M69" i="66" s="1"/>
  <c r="J68" i="66"/>
  <c r="M68" i="66" s="1"/>
  <c r="J67" i="66"/>
  <c r="M67" i="66" s="1"/>
  <c r="J66" i="66"/>
  <c r="M66" i="66" s="1"/>
  <c r="J65" i="66"/>
  <c r="M65" i="66" s="1"/>
  <c r="J64" i="66"/>
  <c r="M64" i="66" s="1"/>
  <c r="J63" i="66"/>
  <c r="M63" i="66" s="1"/>
  <c r="J62" i="66"/>
  <c r="M62" i="66" s="1"/>
  <c r="J61" i="66"/>
  <c r="M61" i="66" s="1"/>
  <c r="J60" i="66"/>
  <c r="M60" i="66" s="1"/>
  <c r="J59" i="66"/>
  <c r="M59" i="66" s="1"/>
  <c r="J58" i="66"/>
  <c r="M58" i="66" s="1"/>
  <c r="J57" i="66"/>
  <c r="M57" i="66" s="1"/>
  <c r="J56" i="66"/>
  <c r="M56" i="66" s="1"/>
  <c r="J55" i="66"/>
  <c r="M55" i="66" s="1"/>
  <c r="J54" i="66"/>
  <c r="M54" i="66" s="1"/>
  <c r="J53" i="66"/>
  <c r="M53" i="66" s="1"/>
  <c r="J52" i="66"/>
  <c r="M52" i="66" s="1"/>
  <c r="J51" i="66"/>
  <c r="M51" i="66" s="1"/>
  <c r="J50" i="66"/>
  <c r="M50" i="66" s="1"/>
  <c r="J49" i="66"/>
  <c r="M49" i="66" s="1"/>
  <c r="J48" i="66"/>
  <c r="M48" i="66" s="1"/>
  <c r="J47" i="66"/>
  <c r="M47" i="66" s="1"/>
  <c r="J46" i="66"/>
  <c r="M46" i="66" s="1"/>
  <c r="J45" i="66"/>
  <c r="M45" i="66" s="1"/>
  <c r="J44" i="66"/>
  <c r="M44" i="66" s="1"/>
  <c r="J43" i="66"/>
  <c r="M43" i="66" s="1"/>
  <c r="J42" i="66"/>
  <c r="M42" i="66" s="1"/>
  <c r="J41" i="66"/>
  <c r="M41" i="66" s="1"/>
  <c r="J40" i="66"/>
  <c r="M40" i="66" s="1"/>
  <c r="J39" i="66"/>
  <c r="M39" i="66" s="1"/>
  <c r="J38" i="66"/>
  <c r="M38" i="66" s="1"/>
  <c r="J37" i="66"/>
  <c r="M37" i="66" s="1"/>
  <c r="J36" i="66"/>
  <c r="M36" i="66" s="1"/>
  <c r="J35" i="66"/>
  <c r="M35" i="66" s="1"/>
  <c r="J34" i="66"/>
  <c r="M34" i="66" s="1"/>
  <c r="J33" i="66"/>
  <c r="M33" i="66" s="1"/>
  <c r="J32" i="66"/>
  <c r="M32" i="66" s="1"/>
  <c r="J31" i="66"/>
  <c r="M31" i="66" s="1"/>
  <c r="J30" i="66"/>
  <c r="M30" i="66" s="1"/>
  <c r="J29" i="66"/>
  <c r="M29" i="66" s="1"/>
  <c r="J28" i="66"/>
  <c r="M28" i="66" s="1"/>
  <c r="J27" i="66"/>
  <c r="M27" i="66" s="1"/>
  <c r="J26" i="66"/>
  <c r="M26" i="66" s="1"/>
  <c r="J25" i="66"/>
  <c r="M25" i="66" s="1"/>
  <c r="J24" i="66"/>
  <c r="M24" i="66" s="1"/>
  <c r="J23" i="66"/>
  <c r="M23" i="66" s="1"/>
  <c r="J22" i="66"/>
  <c r="M22" i="66" s="1"/>
  <c r="J21" i="66"/>
  <c r="M21" i="66" s="1"/>
  <c r="J20" i="66"/>
  <c r="M20" i="66" s="1"/>
  <c r="J19" i="66"/>
  <c r="M19" i="66" s="1"/>
  <c r="J18" i="66"/>
  <c r="M18" i="66" s="1"/>
  <c r="J17" i="66"/>
  <c r="M17" i="66" s="1"/>
  <c r="J16" i="66"/>
  <c r="M16" i="66" s="1"/>
  <c r="J15" i="66"/>
  <c r="M15" i="66" s="1"/>
  <c r="X14" i="66"/>
  <c r="S14" i="66"/>
  <c r="U14" i="66" s="1"/>
  <c r="J14" i="66"/>
  <c r="M14" i="66" s="1"/>
  <c r="X13" i="66"/>
  <c r="S13" i="66"/>
  <c r="U13" i="66" s="1"/>
  <c r="J13" i="66"/>
  <c r="M13" i="66" s="1"/>
  <c r="X12" i="66"/>
  <c r="S12" i="66"/>
  <c r="U12" i="66" s="1"/>
  <c r="J12" i="66"/>
  <c r="M12" i="66" s="1"/>
  <c r="X11" i="66"/>
  <c r="S11" i="66"/>
  <c r="U11" i="66" s="1"/>
  <c r="J11" i="66"/>
  <c r="M11" i="66" s="1"/>
  <c r="X10" i="66"/>
  <c r="S10" i="66"/>
  <c r="U10" i="66" s="1"/>
  <c r="J10" i="66"/>
  <c r="M10" i="66" s="1"/>
  <c r="X9" i="66"/>
  <c r="S9" i="66"/>
  <c r="U9" i="66" s="1"/>
  <c r="J9" i="66"/>
  <c r="M9" i="66" s="1"/>
  <c r="X8" i="66"/>
  <c r="S8" i="66"/>
  <c r="U8" i="66" s="1"/>
  <c r="J8" i="66"/>
  <c r="M8" i="66" s="1"/>
  <c r="X7" i="66"/>
  <c r="S7" i="66"/>
  <c r="U7" i="66" s="1"/>
  <c r="J7" i="66"/>
  <c r="M7" i="66" s="1"/>
  <c r="X6" i="66"/>
  <c r="S6" i="66"/>
  <c r="U6" i="66" s="1"/>
  <c r="J6" i="66"/>
  <c r="M6" i="66" s="1"/>
  <c r="X5" i="66"/>
  <c r="S5" i="66"/>
  <c r="U5" i="66" s="1"/>
  <c r="J5" i="66"/>
  <c r="M5" i="66" s="1"/>
  <c r="E15" i="33"/>
  <c r="G15" i="33" s="1"/>
  <c r="C15" i="66" s="1"/>
  <c r="E15" i="66" s="1"/>
  <c r="G15" i="66" s="1"/>
  <c r="C15" i="67" s="1"/>
  <c r="E15" i="67" s="1"/>
  <c r="G15" i="67" s="1"/>
  <c r="J15" i="33"/>
  <c r="M15" i="33" s="1"/>
  <c r="E16" i="33"/>
  <c r="G16" i="33" s="1"/>
  <c r="C16" i="66" s="1"/>
  <c r="E16" i="66" s="1"/>
  <c r="G16" i="66" s="1"/>
  <c r="C16" i="67" s="1"/>
  <c r="E16" i="67" s="1"/>
  <c r="G16" i="67" s="1"/>
  <c r="J16" i="33"/>
  <c r="M16" i="33" s="1"/>
  <c r="E17" i="33"/>
  <c r="G17" i="33" s="1"/>
  <c r="C17" i="66" s="1"/>
  <c r="E17" i="66" s="1"/>
  <c r="G17" i="66" s="1"/>
  <c r="C17" i="67" s="1"/>
  <c r="E17" i="67" s="1"/>
  <c r="G17" i="67" s="1"/>
  <c r="J17" i="33"/>
  <c r="M17" i="33" s="1"/>
  <c r="E18" i="33"/>
  <c r="G18" i="33" s="1"/>
  <c r="C18" i="66" s="1"/>
  <c r="E18" i="66" s="1"/>
  <c r="G18" i="66" s="1"/>
  <c r="C18" i="67" s="1"/>
  <c r="E18" i="67" s="1"/>
  <c r="G18" i="67" s="1"/>
  <c r="J18" i="33"/>
  <c r="M18" i="33" s="1"/>
  <c r="E19" i="33"/>
  <c r="G19" i="33" s="1"/>
  <c r="C19" i="66" s="1"/>
  <c r="E19" i="66" s="1"/>
  <c r="G19" i="66" s="1"/>
  <c r="C19" i="67" s="1"/>
  <c r="E19" i="67" s="1"/>
  <c r="G19" i="67" s="1"/>
  <c r="J19" i="33"/>
  <c r="M19" i="33" s="1"/>
  <c r="E20" i="33"/>
  <c r="G20" i="33" s="1"/>
  <c r="C20" i="66" s="1"/>
  <c r="E20" i="66" s="1"/>
  <c r="G20" i="66" s="1"/>
  <c r="C20" i="67" s="1"/>
  <c r="E20" i="67" s="1"/>
  <c r="G20" i="67" s="1"/>
  <c r="J20" i="33"/>
  <c r="M20" i="33" s="1"/>
  <c r="E21" i="33"/>
  <c r="G21" i="33" s="1"/>
  <c r="C21" i="66" s="1"/>
  <c r="E21" i="66" s="1"/>
  <c r="G21" i="66" s="1"/>
  <c r="C21" i="67" s="1"/>
  <c r="E21" i="67" s="1"/>
  <c r="G21" i="67" s="1"/>
  <c r="J21" i="33"/>
  <c r="M21" i="33" s="1"/>
  <c r="E22" i="33"/>
  <c r="G22" i="33" s="1"/>
  <c r="C22" i="66" s="1"/>
  <c r="E22" i="66" s="1"/>
  <c r="G22" i="66" s="1"/>
  <c r="C22" i="67" s="1"/>
  <c r="E22" i="67" s="1"/>
  <c r="G22" i="67" s="1"/>
  <c r="J22" i="33"/>
  <c r="M22" i="33" s="1"/>
  <c r="E23" i="33"/>
  <c r="G23" i="33" s="1"/>
  <c r="C23" i="66" s="1"/>
  <c r="E23" i="66" s="1"/>
  <c r="G23" i="66" s="1"/>
  <c r="C23" i="67" s="1"/>
  <c r="E23" i="67" s="1"/>
  <c r="G23" i="67" s="1"/>
  <c r="J23" i="33"/>
  <c r="M23" i="33" s="1"/>
  <c r="E24" i="33"/>
  <c r="G24" i="33" s="1"/>
  <c r="C24" i="66" s="1"/>
  <c r="E24" i="66" s="1"/>
  <c r="G24" i="66" s="1"/>
  <c r="C24" i="67" s="1"/>
  <c r="E24" i="67" s="1"/>
  <c r="G24" i="67" s="1"/>
  <c r="J24" i="33"/>
  <c r="M24" i="33" s="1"/>
  <c r="E25" i="33"/>
  <c r="G25" i="33" s="1"/>
  <c r="C25" i="66" s="1"/>
  <c r="E25" i="66" s="1"/>
  <c r="G25" i="66" s="1"/>
  <c r="C25" i="67" s="1"/>
  <c r="E25" i="67" s="1"/>
  <c r="G25" i="67" s="1"/>
  <c r="J25" i="33"/>
  <c r="M25" i="33" s="1"/>
  <c r="E26" i="33"/>
  <c r="G26" i="33" s="1"/>
  <c r="C26" i="66" s="1"/>
  <c r="E26" i="66" s="1"/>
  <c r="G26" i="66" s="1"/>
  <c r="C26" i="67" s="1"/>
  <c r="E26" i="67" s="1"/>
  <c r="G26" i="67" s="1"/>
  <c r="J26" i="33"/>
  <c r="M26" i="33" s="1"/>
  <c r="E27" i="33"/>
  <c r="G27" i="33" s="1"/>
  <c r="C27" i="66" s="1"/>
  <c r="E27" i="66" s="1"/>
  <c r="G27" i="66" s="1"/>
  <c r="C27" i="67" s="1"/>
  <c r="E27" i="67" s="1"/>
  <c r="G27" i="67" s="1"/>
  <c r="J27" i="33"/>
  <c r="M27" i="33" s="1"/>
  <c r="E28" i="33"/>
  <c r="G28" i="33" s="1"/>
  <c r="C28" i="66" s="1"/>
  <c r="E28" i="66" s="1"/>
  <c r="G28" i="66" s="1"/>
  <c r="C28" i="67" s="1"/>
  <c r="E28" i="67" s="1"/>
  <c r="G28" i="67" s="1"/>
  <c r="J28" i="33"/>
  <c r="M28" i="33" s="1"/>
  <c r="E29" i="33"/>
  <c r="G29" i="33" s="1"/>
  <c r="C29" i="66" s="1"/>
  <c r="E29" i="66" s="1"/>
  <c r="G29" i="66" s="1"/>
  <c r="C29" i="67" s="1"/>
  <c r="E29" i="67" s="1"/>
  <c r="G29" i="67" s="1"/>
  <c r="J29" i="33"/>
  <c r="M29" i="33" s="1"/>
  <c r="E30" i="33"/>
  <c r="G30" i="33" s="1"/>
  <c r="C30" i="66" s="1"/>
  <c r="E30" i="66" s="1"/>
  <c r="G30" i="66" s="1"/>
  <c r="C30" i="67" s="1"/>
  <c r="E30" i="67" s="1"/>
  <c r="G30" i="67" s="1"/>
  <c r="J30" i="33"/>
  <c r="M30" i="33" s="1"/>
  <c r="E31" i="33"/>
  <c r="G31" i="33" s="1"/>
  <c r="C31" i="66" s="1"/>
  <c r="E31" i="66" s="1"/>
  <c r="G31" i="66" s="1"/>
  <c r="C31" i="67" s="1"/>
  <c r="E31" i="67" s="1"/>
  <c r="G31" i="67" s="1"/>
  <c r="J31" i="33"/>
  <c r="M31" i="33" s="1"/>
  <c r="E32" i="33"/>
  <c r="G32" i="33" s="1"/>
  <c r="C32" i="66" s="1"/>
  <c r="E32" i="66" s="1"/>
  <c r="G32" i="66" s="1"/>
  <c r="C32" i="67" s="1"/>
  <c r="E32" i="67" s="1"/>
  <c r="G32" i="67" s="1"/>
  <c r="J32" i="33"/>
  <c r="M32" i="33" s="1"/>
  <c r="E33" i="33"/>
  <c r="G33" i="33" s="1"/>
  <c r="C33" i="66" s="1"/>
  <c r="E33" i="66" s="1"/>
  <c r="G33" i="66" s="1"/>
  <c r="C33" i="67" s="1"/>
  <c r="E33" i="67" s="1"/>
  <c r="G33" i="67" s="1"/>
  <c r="J33" i="33"/>
  <c r="M33" i="33" s="1"/>
  <c r="E34" i="33"/>
  <c r="G34" i="33" s="1"/>
  <c r="C34" i="66" s="1"/>
  <c r="E34" i="66" s="1"/>
  <c r="G34" i="66" s="1"/>
  <c r="C34" i="67" s="1"/>
  <c r="E34" i="67" s="1"/>
  <c r="G34" i="67" s="1"/>
  <c r="J34" i="33"/>
  <c r="M34" i="33" s="1"/>
  <c r="E35" i="33"/>
  <c r="G35" i="33" s="1"/>
  <c r="C35" i="66" s="1"/>
  <c r="E35" i="66" s="1"/>
  <c r="G35" i="66" s="1"/>
  <c r="C35" i="67" s="1"/>
  <c r="E35" i="67" s="1"/>
  <c r="G35" i="67" s="1"/>
  <c r="J35" i="33"/>
  <c r="M35" i="33" s="1"/>
  <c r="E36" i="33"/>
  <c r="G36" i="33" s="1"/>
  <c r="C36" i="66" s="1"/>
  <c r="E36" i="66" s="1"/>
  <c r="G36" i="66" s="1"/>
  <c r="C36" i="67" s="1"/>
  <c r="E36" i="67" s="1"/>
  <c r="G36" i="67" s="1"/>
  <c r="J36" i="33"/>
  <c r="M36" i="33"/>
  <c r="E37" i="33"/>
  <c r="G37" i="33" s="1"/>
  <c r="C37" i="66" s="1"/>
  <c r="E37" i="66" s="1"/>
  <c r="G37" i="66" s="1"/>
  <c r="C37" i="67" s="1"/>
  <c r="E37" i="67" s="1"/>
  <c r="G37" i="67" s="1"/>
  <c r="J37" i="33"/>
  <c r="M37" i="33" s="1"/>
  <c r="E38" i="33"/>
  <c r="G38" i="33" s="1"/>
  <c r="C38" i="66" s="1"/>
  <c r="E38" i="66" s="1"/>
  <c r="G38" i="66" s="1"/>
  <c r="C38" i="67" s="1"/>
  <c r="E38" i="67" s="1"/>
  <c r="G38" i="67" s="1"/>
  <c r="J38" i="33"/>
  <c r="M38" i="33" s="1"/>
  <c r="E39" i="33"/>
  <c r="G39" i="33" s="1"/>
  <c r="C39" i="66" s="1"/>
  <c r="E39" i="66" s="1"/>
  <c r="G39" i="66" s="1"/>
  <c r="C39" i="67" s="1"/>
  <c r="E39" i="67" s="1"/>
  <c r="G39" i="67" s="1"/>
  <c r="J39" i="33"/>
  <c r="M39" i="33" s="1"/>
  <c r="E40" i="33"/>
  <c r="G40" i="33" s="1"/>
  <c r="C40" i="66" s="1"/>
  <c r="E40" i="66" s="1"/>
  <c r="G40" i="66" s="1"/>
  <c r="C40" i="67" s="1"/>
  <c r="E40" i="67" s="1"/>
  <c r="G40" i="67" s="1"/>
  <c r="J40" i="33"/>
  <c r="M40" i="33" s="1"/>
  <c r="E41" i="33"/>
  <c r="G41" i="33" s="1"/>
  <c r="C41" i="66" s="1"/>
  <c r="E41" i="66" s="1"/>
  <c r="G41" i="66" s="1"/>
  <c r="C41" i="67" s="1"/>
  <c r="E41" i="67" s="1"/>
  <c r="G41" i="67" s="1"/>
  <c r="J41" i="33"/>
  <c r="M41" i="33" s="1"/>
  <c r="E42" i="33"/>
  <c r="G42" i="33" s="1"/>
  <c r="C42" i="66" s="1"/>
  <c r="E42" i="66" s="1"/>
  <c r="G42" i="66" s="1"/>
  <c r="C42" i="67" s="1"/>
  <c r="E42" i="67" s="1"/>
  <c r="G42" i="67" s="1"/>
  <c r="J42" i="33"/>
  <c r="M42" i="33" s="1"/>
  <c r="E43" i="33"/>
  <c r="G43" i="33" s="1"/>
  <c r="C43" i="66" s="1"/>
  <c r="E43" i="66" s="1"/>
  <c r="G43" i="66" s="1"/>
  <c r="C43" i="67" s="1"/>
  <c r="E43" i="67" s="1"/>
  <c r="G43" i="67" s="1"/>
  <c r="J43" i="33"/>
  <c r="M43" i="33" s="1"/>
  <c r="E44" i="33"/>
  <c r="G44" i="33" s="1"/>
  <c r="C44" i="66" s="1"/>
  <c r="E44" i="66" s="1"/>
  <c r="G44" i="66" s="1"/>
  <c r="C44" i="67" s="1"/>
  <c r="E44" i="67" s="1"/>
  <c r="G44" i="67" s="1"/>
  <c r="J44" i="33"/>
  <c r="M44" i="33" s="1"/>
  <c r="E45" i="33"/>
  <c r="G45" i="33" s="1"/>
  <c r="C45" i="66" s="1"/>
  <c r="E45" i="66" s="1"/>
  <c r="G45" i="66" s="1"/>
  <c r="C45" i="67" s="1"/>
  <c r="E45" i="67" s="1"/>
  <c r="G45" i="67" s="1"/>
  <c r="J45" i="33"/>
  <c r="M45" i="33" s="1"/>
  <c r="E46" i="33"/>
  <c r="G46" i="33" s="1"/>
  <c r="C46" i="66" s="1"/>
  <c r="E46" i="66" s="1"/>
  <c r="G46" i="66" s="1"/>
  <c r="C46" i="67" s="1"/>
  <c r="E46" i="67" s="1"/>
  <c r="G46" i="67" s="1"/>
  <c r="J46" i="33"/>
  <c r="M46" i="33" s="1"/>
  <c r="E47" i="33"/>
  <c r="G47" i="33" s="1"/>
  <c r="C47" i="66" s="1"/>
  <c r="E47" i="66" s="1"/>
  <c r="G47" i="66" s="1"/>
  <c r="C47" i="67" s="1"/>
  <c r="E47" i="67" s="1"/>
  <c r="G47" i="67" s="1"/>
  <c r="J47" i="33"/>
  <c r="M47" i="33" s="1"/>
  <c r="E48" i="33"/>
  <c r="G48" i="33" s="1"/>
  <c r="C48" i="66" s="1"/>
  <c r="E48" i="66" s="1"/>
  <c r="G48" i="66" s="1"/>
  <c r="C48" i="67" s="1"/>
  <c r="E48" i="67" s="1"/>
  <c r="G48" i="67" s="1"/>
  <c r="J48" i="33"/>
  <c r="M48" i="33" s="1"/>
  <c r="E49" i="33"/>
  <c r="G49" i="33" s="1"/>
  <c r="C49" i="66" s="1"/>
  <c r="E49" i="66" s="1"/>
  <c r="G49" i="66" s="1"/>
  <c r="C49" i="67" s="1"/>
  <c r="E49" i="67" s="1"/>
  <c r="G49" i="67" s="1"/>
  <c r="J49" i="33"/>
  <c r="M49" i="33" s="1"/>
  <c r="E50" i="33"/>
  <c r="G50" i="33" s="1"/>
  <c r="C50" i="66" s="1"/>
  <c r="E50" i="66" s="1"/>
  <c r="G50" i="66" s="1"/>
  <c r="C50" i="67" s="1"/>
  <c r="E50" i="67" s="1"/>
  <c r="G50" i="67" s="1"/>
  <c r="J50" i="33"/>
  <c r="M50" i="33" s="1"/>
  <c r="E51" i="33"/>
  <c r="G51" i="33" s="1"/>
  <c r="C51" i="66" s="1"/>
  <c r="E51" i="66" s="1"/>
  <c r="G51" i="66" s="1"/>
  <c r="C51" i="67" s="1"/>
  <c r="E51" i="67" s="1"/>
  <c r="G51" i="67" s="1"/>
  <c r="J51" i="33"/>
  <c r="M51" i="33" s="1"/>
  <c r="E52" i="33"/>
  <c r="G52" i="33" s="1"/>
  <c r="C52" i="66" s="1"/>
  <c r="E52" i="66" s="1"/>
  <c r="G52" i="66" s="1"/>
  <c r="C52" i="67" s="1"/>
  <c r="E52" i="67" s="1"/>
  <c r="G52" i="67" s="1"/>
  <c r="J52" i="33"/>
  <c r="M52" i="33" s="1"/>
  <c r="E53" i="33"/>
  <c r="G53" i="33" s="1"/>
  <c r="C53" i="66" s="1"/>
  <c r="E53" i="66" s="1"/>
  <c r="G53" i="66" s="1"/>
  <c r="C53" i="67" s="1"/>
  <c r="E53" i="67" s="1"/>
  <c r="G53" i="67" s="1"/>
  <c r="J53" i="33"/>
  <c r="M53" i="33" s="1"/>
  <c r="E54" i="33"/>
  <c r="G54" i="33" s="1"/>
  <c r="C54" i="66" s="1"/>
  <c r="E54" i="66" s="1"/>
  <c r="G54" i="66" s="1"/>
  <c r="C54" i="67" s="1"/>
  <c r="E54" i="67" s="1"/>
  <c r="G54" i="67" s="1"/>
  <c r="J54" i="33"/>
  <c r="M54" i="33" s="1"/>
  <c r="E55" i="33"/>
  <c r="G55" i="33" s="1"/>
  <c r="C55" i="66" s="1"/>
  <c r="E55" i="66" s="1"/>
  <c r="G55" i="66" s="1"/>
  <c r="C55" i="67" s="1"/>
  <c r="E55" i="67" s="1"/>
  <c r="G55" i="67" s="1"/>
  <c r="J55" i="33"/>
  <c r="M55" i="33" s="1"/>
  <c r="E56" i="33"/>
  <c r="G56" i="33" s="1"/>
  <c r="C56" i="66" s="1"/>
  <c r="E56" i="66" s="1"/>
  <c r="G56" i="66" s="1"/>
  <c r="C56" i="67" s="1"/>
  <c r="E56" i="67" s="1"/>
  <c r="G56" i="67" s="1"/>
  <c r="J56" i="33"/>
  <c r="M56" i="33" s="1"/>
  <c r="E57" i="33"/>
  <c r="G57" i="33" s="1"/>
  <c r="C57" i="66" s="1"/>
  <c r="E57" i="66" s="1"/>
  <c r="G57" i="66" s="1"/>
  <c r="C57" i="67" s="1"/>
  <c r="E57" i="67" s="1"/>
  <c r="G57" i="67" s="1"/>
  <c r="J57" i="33"/>
  <c r="M57" i="33" s="1"/>
  <c r="E58" i="33"/>
  <c r="G58" i="33" s="1"/>
  <c r="C58" i="66" s="1"/>
  <c r="E58" i="66" s="1"/>
  <c r="G58" i="66" s="1"/>
  <c r="C58" i="67" s="1"/>
  <c r="E58" i="67" s="1"/>
  <c r="G58" i="67" s="1"/>
  <c r="J58" i="33"/>
  <c r="M58" i="33" s="1"/>
  <c r="E59" i="33"/>
  <c r="G59" i="33" s="1"/>
  <c r="C59" i="66" s="1"/>
  <c r="E59" i="66" s="1"/>
  <c r="G59" i="66" s="1"/>
  <c r="C59" i="67" s="1"/>
  <c r="E59" i="67" s="1"/>
  <c r="G59" i="67" s="1"/>
  <c r="J59" i="33"/>
  <c r="M59" i="33" s="1"/>
  <c r="E60" i="33"/>
  <c r="G60" i="33" s="1"/>
  <c r="C60" i="66" s="1"/>
  <c r="E60" i="66" s="1"/>
  <c r="G60" i="66" s="1"/>
  <c r="C60" i="67" s="1"/>
  <c r="E60" i="67" s="1"/>
  <c r="G60" i="67" s="1"/>
  <c r="J60" i="33"/>
  <c r="M60" i="33" s="1"/>
  <c r="E61" i="33"/>
  <c r="G61" i="33" s="1"/>
  <c r="C61" i="66" s="1"/>
  <c r="E61" i="66" s="1"/>
  <c r="G61" i="66" s="1"/>
  <c r="C61" i="67" s="1"/>
  <c r="E61" i="67" s="1"/>
  <c r="G61" i="67" s="1"/>
  <c r="J61" i="33"/>
  <c r="M61" i="33" s="1"/>
  <c r="E62" i="33"/>
  <c r="G62" i="33" s="1"/>
  <c r="C62" i="66" s="1"/>
  <c r="E62" i="66" s="1"/>
  <c r="G62" i="66" s="1"/>
  <c r="C62" i="67" s="1"/>
  <c r="E62" i="67" s="1"/>
  <c r="G62" i="67" s="1"/>
  <c r="J62" i="33"/>
  <c r="M62" i="33" s="1"/>
  <c r="E63" i="33"/>
  <c r="G63" i="33" s="1"/>
  <c r="C63" i="66" s="1"/>
  <c r="E63" i="66" s="1"/>
  <c r="G63" i="66" s="1"/>
  <c r="C63" i="67" s="1"/>
  <c r="E63" i="67" s="1"/>
  <c r="G63" i="67" s="1"/>
  <c r="J63" i="33"/>
  <c r="M63" i="33" s="1"/>
  <c r="E64" i="33"/>
  <c r="G64" i="33" s="1"/>
  <c r="C64" i="66" s="1"/>
  <c r="E64" i="66" s="1"/>
  <c r="G64" i="66" s="1"/>
  <c r="C64" i="67" s="1"/>
  <c r="E64" i="67" s="1"/>
  <c r="G64" i="67" s="1"/>
  <c r="J64" i="33"/>
  <c r="M64" i="33" s="1"/>
  <c r="E65" i="33"/>
  <c r="G65" i="33" s="1"/>
  <c r="C65" i="66" s="1"/>
  <c r="E65" i="66" s="1"/>
  <c r="G65" i="66" s="1"/>
  <c r="C65" i="67" s="1"/>
  <c r="E65" i="67" s="1"/>
  <c r="G65" i="67" s="1"/>
  <c r="J65" i="33"/>
  <c r="M65" i="33" s="1"/>
  <c r="E66" i="33"/>
  <c r="G66" i="33" s="1"/>
  <c r="C66" i="66" s="1"/>
  <c r="E66" i="66" s="1"/>
  <c r="G66" i="66" s="1"/>
  <c r="C66" i="67" s="1"/>
  <c r="E66" i="67" s="1"/>
  <c r="G66" i="67" s="1"/>
  <c r="J66" i="33"/>
  <c r="M66" i="33" s="1"/>
  <c r="E67" i="33"/>
  <c r="G67" i="33" s="1"/>
  <c r="C67" i="66" s="1"/>
  <c r="E67" i="66" s="1"/>
  <c r="G67" i="66" s="1"/>
  <c r="C67" i="67" s="1"/>
  <c r="E67" i="67" s="1"/>
  <c r="G67" i="67" s="1"/>
  <c r="J67" i="33"/>
  <c r="M67" i="33" s="1"/>
  <c r="E68" i="33"/>
  <c r="G68" i="33" s="1"/>
  <c r="C68" i="66" s="1"/>
  <c r="E68" i="66" s="1"/>
  <c r="G68" i="66" s="1"/>
  <c r="C68" i="67" s="1"/>
  <c r="E68" i="67" s="1"/>
  <c r="G68" i="67" s="1"/>
  <c r="J68" i="33"/>
  <c r="M68" i="33" s="1"/>
  <c r="E69" i="33"/>
  <c r="G69" i="33" s="1"/>
  <c r="C69" i="66" s="1"/>
  <c r="E69" i="66" s="1"/>
  <c r="G69" i="66" s="1"/>
  <c r="C69" i="67" s="1"/>
  <c r="E69" i="67" s="1"/>
  <c r="G69" i="67" s="1"/>
  <c r="J69" i="33"/>
  <c r="M69" i="33" s="1"/>
  <c r="E70" i="33"/>
  <c r="G70" i="33"/>
  <c r="C70" i="66" s="1"/>
  <c r="E70" i="66" s="1"/>
  <c r="G70" i="66" s="1"/>
  <c r="C70" i="67" s="1"/>
  <c r="E70" i="67" s="1"/>
  <c r="G70" i="67" s="1"/>
  <c r="J70" i="33"/>
  <c r="M70" i="33" s="1"/>
  <c r="E71" i="33"/>
  <c r="G71" i="33" s="1"/>
  <c r="C71" i="66" s="1"/>
  <c r="E71" i="66" s="1"/>
  <c r="G71" i="66" s="1"/>
  <c r="C71" i="67" s="1"/>
  <c r="E71" i="67" s="1"/>
  <c r="G71" i="67" s="1"/>
  <c r="J71" i="33"/>
  <c r="M71" i="33" s="1"/>
  <c r="E72" i="33"/>
  <c r="G72" i="33" s="1"/>
  <c r="C72" i="66" s="1"/>
  <c r="E72" i="66" s="1"/>
  <c r="G72" i="66" s="1"/>
  <c r="C72" i="67" s="1"/>
  <c r="E72" i="67" s="1"/>
  <c r="G72" i="67" s="1"/>
  <c r="J72" i="33"/>
  <c r="M72" i="33" s="1"/>
  <c r="E73" i="33"/>
  <c r="G73" i="33" s="1"/>
  <c r="C73" i="66" s="1"/>
  <c r="E73" i="66" s="1"/>
  <c r="G73" i="66" s="1"/>
  <c r="C73" i="67" s="1"/>
  <c r="E73" i="67" s="1"/>
  <c r="G73" i="67" s="1"/>
  <c r="J73" i="33"/>
  <c r="M73" i="33" s="1"/>
  <c r="E74" i="33"/>
  <c r="G74" i="33" s="1"/>
  <c r="C74" i="66" s="1"/>
  <c r="E74" i="66" s="1"/>
  <c r="G74" i="66" s="1"/>
  <c r="C74" i="67" s="1"/>
  <c r="E74" i="67" s="1"/>
  <c r="G74" i="67" s="1"/>
  <c r="J74" i="33"/>
  <c r="M74" i="33" s="1"/>
  <c r="E75" i="33"/>
  <c r="G75" i="33" s="1"/>
  <c r="C75" i="66" s="1"/>
  <c r="E75" i="66" s="1"/>
  <c r="G75" i="66" s="1"/>
  <c r="C75" i="67" s="1"/>
  <c r="E75" i="67" s="1"/>
  <c r="G75" i="67" s="1"/>
  <c r="J75" i="33"/>
  <c r="M75" i="33" s="1"/>
  <c r="E76" i="33"/>
  <c r="G76" i="33" s="1"/>
  <c r="C76" i="66" s="1"/>
  <c r="E76" i="66" s="1"/>
  <c r="G76" i="66" s="1"/>
  <c r="C76" i="67" s="1"/>
  <c r="E76" i="67" s="1"/>
  <c r="G76" i="67" s="1"/>
  <c r="J76" i="33"/>
  <c r="M76" i="33" s="1"/>
  <c r="E78" i="33"/>
  <c r="G78" i="33" s="1"/>
  <c r="C78" i="66" s="1"/>
  <c r="E78" i="66" s="1"/>
  <c r="G78" i="66" s="1"/>
  <c r="C78" i="67" s="1"/>
  <c r="E78" i="67" s="1"/>
  <c r="G78" i="67" s="1"/>
  <c r="J78" i="33"/>
  <c r="M78" i="33" s="1"/>
  <c r="E79" i="33"/>
  <c r="G79" i="33" s="1"/>
  <c r="C79" i="66" s="1"/>
  <c r="E79" i="66" s="1"/>
  <c r="G79" i="66" s="1"/>
  <c r="C79" i="67" s="1"/>
  <c r="E79" i="67" s="1"/>
  <c r="G79" i="67" s="1"/>
  <c r="J79" i="33"/>
  <c r="M79" i="33" s="1"/>
  <c r="E80" i="33"/>
  <c r="G80" i="33" s="1"/>
  <c r="C80" i="66" s="1"/>
  <c r="E80" i="66" s="1"/>
  <c r="G80" i="66" s="1"/>
  <c r="C80" i="67" s="1"/>
  <c r="E80" i="67" s="1"/>
  <c r="G80" i="67" s="1"/>
  <c r="J80" i="33"/>
  <c r="M80" i="33" s="1"/>
  <c r="E81" i="33"/>
  <c r="G81" i="33" s="1"/>
  <c r="C81" i="66" s="1"/>
  <c r="E81" i="66" s="1"/>
  <c r="G81" i="66" s="1"/>
  <c r="C81" i="67" s="1"/>
  <c r="E81" i="67" s="1"/>
  <c r="G81" i="67" s="1"/>
  <c r="J81" i="33"/>
  <c r="M81" i="33"/>
  <c r="E82" i="33"/>
  <c r="G82" i="33" s="1"/>
  <c r="C82" i="66" s="1"/>
  <c r="E82" i="66" s="1"/>
  <c r="G82" i="66" s="1"/>
  <c r="C82" i="67" s="1"/>
  <c r="E82" i="67" s="1"/>
  <c r="G82" i="67" s="1"/>
  <c r="J82" i="33"/>
  <c r="M82" i="33" s="1"/>
  <c r="E83" i="33"/>
  <c r="G83" i="33" s="1"/>
  <c r="C83" i="66" s="1"/>
  <c r="E83" i="66" s="1"/>
  <c r="G83" i="66" s="1"/>
  <c r="C83" i="67" s="1"/>
  <c r="E83" i="67" s="1"/>
  <c r="G83" i="67" s="1"/>
  <c r="J83" i="33"/>
  <c r="M83" i="33" s="1"/>
  <c r="E84" i="33"/>
  <c r="G84" i="33" s="1"/>
  <c r="C84" i="66" s="1"/>
  <c r="E84" i="66" s="1"/>
  <c r="G84" i="66" s="1"/>
  <c r="C84" i="67" s="1"/>
  <c r="E84" i="67" s="1"/>
  <c r="G84" i="67" s="1"/>
  <c r="J84" i="33"/>
  <c r="M84" i="33" s="1"/>
  <c r="E85" i="33"/>
  <c r="G85" i="33" s="1"/>
  <c r="C85" i="66" s="1"/>
  <c r="E85" i="66" s="1"/>
  <c r="G85" i="66" s="1"/>
  <c r="C85" i="67" s="1"/>
  <c r="E85" i="67" s="1"/>
  <c r="G85" i="67" s="1"/>
  <c r="J85" i="33"/>
  <c r="M85" i="33" s="1"/>
  <c r="E86" i="33"/>
  <c r="G86" i="33" s="1"/>
  <c r="C86" i="66" s="1"/>
  <c r="E86" i="66" s="1"/>
  <c r="G86" i="66" s="1"/>
  <c r="C86" i="67" s="1"/>
  <c r="E86" i="67" s="1"/>
  <c r="G86" i="67" s="1"/>
  <c r="J86" i="33"/>
  <c r="M86" i="33" s="1"/>
  <c r="E87" i="33"/>
  <c r="G87" i="33" s="1"/>
  <c r="C87" i="66" s="1"/>
  <c r="E87" i="66" s="1"/>
  <c r="G87" i="66" s="1"/>
  <c r="C87" i="67" s="1"/>
  <c r="E87" i="67" s="1"/>
  <c r="G87" i="67" s="1"/>
  <c r="J87" i="33"/>
  <c r="M87" i="33" s="1"/>
  <c r="E88" i="33"/>
  <c r="G88" i="33" s="1"/>
  <c r="C88" i="66" s="1"/>
  <c r="E88" i="66" s="1"/>
  <c r="G88" i="66" s="1"/>
  <c r="C88" i="67" s="1"/>
  <c r="E88" i="67" s="1"/>
  <c r="G88" i="67" s="1"/>
  <c r="J88" i="33"/>
  <c r="M88" i="33" s="1"/>
  <c r="E89" i="33"/>
  <c r="G89" i="33" s="1"/>
  <c r="C89" i="66" s="1"/>
  <c r="E89" i="66" s="1"/>
  <c r="G89" i="66" s="1"/>
  <c r="C89" i="67" s="1"/>
  <c r="E89" i="67" s="1"/>
  <c r="G89" i="67" s="1"/>
  <c r="J89" i="33"/>
  <c r="M89" i="33"/>
  <c r="E90" i="33"/>
  <c r="G90" i="33" s="1"/>
  <c r="C90" i="66" s="1"/>
  <c r="E90" i="66" s="1"/>
  <c r="G90" i="66" s="1"/>
  <c r="C90" i="67" s="1"/>
  <c r="E90" i="67" s="1"/>
  <c r="G90" i="67" s="1"/>
  <c r="J90" i="33"/>
  <c r="M90" i="33" s="1"/>
  <c r="E91" i="33"/>
  <c r="G91" i="33" s="1"/>
  <c r="C91" i="66" s="1"/>
  <c r="E91" i="66" s="1"/>
  <c r="G91" i="66" s="1"/>
  <c r="C91" i="67" s="1"/>
  <c r="E91" i="67" s="1"/>
  <c r="G91" i="67" s="1"/>
  <c r="J91" i="33"/>
  <c r="M91" i="33" s="1"/>
  <c r="E92" i="33"/>
  <c r="G92" i="33" s="1"/>
  <c r="C92" i="66" s="1"/>
  <c r="E92" i="66" s="1"/>
  <c r="G92" i="66" s="1"/>
  <c r="C92" i="67" s="1"/>
  <c r="E92" i="67" s="1"/>
  <c r="G92" i="67" s="1"/>
  <c r="J92" i="33"/>
  <c r="M92" i="33" s="1"/>
  <c r="E93" i="33"/>
  <c r="G93" i="33" s="1"/>
  <c r="C93" i="66" s="1"/>
  <c r="E93" i="66" s="1"/>
  <c r="G93" i="66" s="1"/>
  <c r="C93" i="67" s="1"/>
  <c r="E93" i="67" s="1"/>
  <c r="G93" i="67" s="1"/>
  <c r="J93" i="33"/>
  <c r="M93" i="33" s="1"/>
  <c r="E94" i="33"/>
  <c r="G94" i="33" s="1"/>
  <c r="C94" i="66" s="1"/>
  <c r="E94" i="66" s="1"/>
  <c r="G94" i="66" s="1"/>
  <c r="C94" i="67" s="1"/>
  <c r="E94" i="67" s="1"/>
  <c r="G94" i="67" s="1"/>
  <c r="J94" i="33"/>
  <c r="M94" i="33" s="1"/>
  <c r="E95" i="33"/>
  <c r="G95" i="33" s="1"/>
  <c r="C95" i="66" s="1"/>
  <c r="E95" i="66" s="1"/>
  <c r="G95" i="66" s="1"/>
  <c r="C95" i="67" s="1"/>
  <c r="E95" i="67" s="1"/>
  <c r="G95" i="67" s="1"/>
  <c r="J95" i="33"/>
  <c r="M95" i="33" s="1"/>
  <c r="E96" i="33"/>
  <c r="G96" i="33" s="1"/>
  <c r="C96" i="66" s="1"/>
  <c r="E96" i="66" s="1"/>
  <c r="G96" i="66" s="1"/>
  <c r="C96" i="67" s="1"/>
  <c r="E96" i="67" s="1"/>
  <c r="G96" i="67" s="1"/>
  <c r="J96" i="33"/>
  <c r="M96" i="33" s="1"/>
  <c r="E97" i="33"/>
  <c r="G97" i="33" s="1"/>
  <c r="C97" i="66" s="1"/>
  <c r="E97" i="66" s="1"/>
  <c r="G97" i="66" s="1"/>
  <c r="C97" i="67" s="1"/>
  <c r="E97" i="67" s="1"/>
  <c r="G97" i="67" s="1"/>
  <c r="J97" i="33"/>
  <c r="M97" i="33" s="1"/>
  <c r="E98" i="33"/>
  <c r="G98" i="33" s="1"/>
  <c r="C98" i="66" s="1"/>
  <c r="E98" i="66" s="1"/>
  <c r="G98" i="66" s="1"/>
  <c r="C98" i="67" s="1"/>
  <c r="E98" i="67" s="1"/>
  <c r="G98" i="67" s="1"/>
  <c r="J98" i="33"/>
  <c r="M98" i="33" s="1"/>
  <c r="E99" i="33"/>
  <c r="G99" i="33" s="1"/>
  <c r="C99" i="66" s="1"/>
  <c r="E99" i="66" s="1"/>
  <c r="G99" i="66" s="1"/>
  <c r="C99" i="67" s="1"/>
  <c r="E99" i="67" s="1"/>
  <c r="G99" i="67" s="1"/>
  <c r="J99" i="33"/>
  <c r="M99" i="33" s="1"/>
  <c r="E100" i="33"/>
  <c r="G100" i="33" s="1"/>
  <c r="C100" i="66" s="1"/>
  <c r="E100" i="66" s="1"/>
  <c r="G100" i="66" s="1"/>
  <c r="C100" i="67" s="1"/>
  <c r="E100" i="67" s="1"/>
  <c r="G100" i="67" s="1"/>
  <c r="J100" i="33"/>
  <c r="M100" i="33" s="1"/>
  <c r="E101" i="33"/>
  <c r="G101" i="33"/>
  <c r="C101" i="66" s="1"/>
  <c r="E101" i="66" s="1"/>
  <c r="G101" i="66" s="1"/>
  <c r="C101" i="67" s="1"/>
  <c r="E101" i="67" s="1"/>
  <c r="G101" i="67" s="1"/>
  <c r="J101" i="33"/>
  <c r="M101" i="33" s="1"/>
  <c r="E102" i="33"/>
  <c r="G102" i="33" s="1"/>
  <c r="C102" i="66" s="1"/>
  <c r="E102" i="66" s="1"/>
  <c r="G102" i="66" s="1"/>
  <c r="C102" i="67" s="1"/>
  <c r="E102" i="67" s="1"/>
  <c r="G102" i="67" s="1"/>
  <c r="J102" i="33"/>
  <c r="M102" i="33" s="1"/>
  <c r="E103" i="33"/>
  <c r="G103" i="33" s="1"/>
  <c r="C103" i="66" s="1"/>
  <c r="E103" i="66" s="1"/>
  <c r="G103" i="66" s="1"/>
  <c r="C103" i="67" s="1"/>
  <c r="E103" i="67" s="1"/>
  <c r="G103" i="67" s="1"/>
  <c r="J103" i="33"/>
  <c r="M103" i="33" s="1"/>
  <c r="E104" i="33"/>
  <c r="G104" i="33" s="1"/>
  <c r="C104" i="66" s="1"/>
  <c r="E104" i="66" s="1"/>
  <c r="G104" i="66" s="1"/>
  <c r="C104" i="67" s="1"/>
  <c r="E104" i="67" s="1"/>
  <c r="G104" i="67" s="1"/>
  <c r="J104" i="33"/>
  <c r="M104" i="33" s="1"/>
  <c r="E105" i="33"/>
  <c r="G105" i="33" s="1"/>
  <c r="C105" i="66" s="1"/>
  <c r="E105" i="66" s="1"/>
  <c r="G105" i="66" s="1"/>
  <c r="C105" i="67" s="1"/>
  <c r="E105" i="67" s="1"/>
  <c r="G105" i="67" s="1"/>
  <c r="J105" i="33"/>
  <c r="M105" i="33" s="1"/>
  <c r="E106" i="33"/>
  <c r="G106" i="33" s="1"/>
  <c r="C106" i="66" s="1"/>
  <c r="E106" i="66" s="1"/>
  <c r="G106" i="66" s="1"/>
  <c r="C106" i="67" s="1"/>
  <c r="E106" i="67" s="1"/>
  <c r="G106" i="67" s="1"/>
  <c r="J106" i="33"/>
  <c r="M106" i="33" s="1"/>
  <c r="E107" i="33"/>
  <c r="G107" i="33" s="1"/>
  <c r="C107" i="66" s="1"/>
  <c r="E107" i="66" s="1"/>
  <c r="G107" i="66" s="1"/>
  <c r="C107" i="67" s="1"/>
  <c r="E107" i="67" s="1"/>
  <c r="G107" i="67" s="1"/>
  <c r="J107" i="33"/>
  <c r="M107" i="33" s="1"/>
  <c r="E108" i="33"/>
  <c r="G108" i="33" s="1"/>
  <c r="C108" i="66" s="1"/>
  <c r="E108" i="66" s="1"/>
  <c r="G108" i="66" s="1"/>
  <c r="C108" i="67" s="1"/>
  <c r="E108" i="67" s="1"/>
  <c r="G108" i="67" s="1"/>
  <c r="J108" i="33"/>
  <c r="M108" i="33" s="1"/>
  <c r="E109" i="33"/>
  <c r="G109" i="33" s="1"/>
  <c r="C109" i="66" s="1"/>
  <c r="E109" i="66" s="1"/>
  <c r="G109" i="66" s="1"/>
  <c r="C109" i="67" s="1"/>
  <c r="E109" i="67" s="1"/>
  <c r="G109" i="67" s="1"/>
  <c r="J109" i="33"/>
  <c r="M109" i="33" s="1"/>
  <c r="E110" i="33"/>
  <c r="G110" i="33" s="1"/>
  <c r="C110" i="66" s="1"/>
  <c r="E110" i="66" s="1"/>
  <c r="G110" i="66" s="1"/>
  <c r="C110" i="67" s="1"/>
  <c r="E110" i="67" s="1"/>
  <c r="G110" i="67" s="1"/>
  <c r="J110" i="33"/>
  <c r="M110" i="33" s="1"/>
  <c r="E111" i="33"/>
  <c r="G111" i="33" s="1"/>
  <c r="C111" i="66" s="1"/>
  <c r="E111" i="66" s="1"/>
  <c r="G111" i="66" s="1"/>
  <c r="C111" i="67" s="1"/>
  <c r="E111" i="67" s="1"/>
  <c r="G111" i="67" s="1"/>
  <c r="J111" i="33"/>
  <c r="M111" i="33" s="1"/>
  <c r="E112" i="33"/>
  <c r="G112" i="33" s="1"/>
  <c r="C112" i="66" s="1"/>
  <c r="E112" i="66" s="1"/>
  <c r="G112" i="66" s="1"/>
  <c r="C112" i="67" s="1"/>
  <c r="E112" i="67" s="1"/>
  <c r="G112" i="67" s="1"/>
  <c r="J112" i="33"/>
  <c r="M112" i="33" s="1"/>
  <c r="E113" i="33"/>
  <c r="G113" i="33" s="1"/>
  <c r="C113" i="66" s="1"/>
  <c r="E113" i="66" s="1"/>
  <c r="G113" i="66" s="1"/>
  <c r="C113" i="67" s="1"/>
  <c r="E113" i="67" s="1"/>
  <c r="G113" i="67" s="1"/>
  <c r="J113" i="33"/>
  <c r="M113" i="33"/>
  <c r="E114" i="33"/>
  <c r="G114" i="33" s="1"/>
  <c r="C114" i="66" s="1"/>
  <c r="E114" i="66" s="1"/>
  <c r="G114" i="66" s="1"/>
  <c r="C114" i="67" s="1"/>
  <c r="E114" i="67" s="1"/>
  <c r="G114" i="67" s="1"/>
  <c r="J114" i="33"/>
  <c r="M114" i="33" s="1"/>
  <c r="E115" i="33"/>
  <c r="G115" i="33" s="1"/>
  <c r="C115" i="66" s="1"/>
  <c r="E115" i="66" s="1"/>
  <c r="G115" i="66" s="1"/>
  <c r="C115" i="67" s="1"/>
  <c r="E115" i="67" s="1"/>
  <c r="G115" i="67" s="1"/>
  <c r="J115" i="33"/>
  <c r="M115" i="33" s="1"/>
  <c r="E116" i="33"/>
  <c r="G116" i="33" s="1"/>
  <c r="C116" i="66" s="1"/>
  <c r="E116" i="66" s="1"/>
  <c r="G116" i="66" s="1"/>
  <c r="C116" i="67" s="1"/>
  <c r="E116" i="67" s="1"/>
  <c r="G116" i="67" s="1"/>
  <c r="J116" i="33"/>
  <c r="M116" i="33" s="1"/>
  <c r="E117" i="33"/>
  <c r="G117" i="33" s="1"/>
  <c r="C117" i="66" s="1"/>
  <c r="E117" i="66" s="1"/>
  <c r="G117" i="66" s="1"/>
  <c r="C117" i="67" s="1"/>
  <c r="E117" i="67" s="1"/>
  <c r="G117" i="67" s="1"/>
  <c r="J117" i="33"/>
  <c r="M117" i="33" s="1"/>
  <c r="E118" i="33"/>
  <c r="G118" i="33" s="1"/>
  <c r="C118" i="66" s="1"/>
  <c r="E118" i="66" s="1"/>
  <c r="G118" i="66" s="1"/>
  <c r="C118" i="67" s="1"/>
  <c r="E118" i="67" s="1"/>
  <c r="G118" i="67" s="1"/>
  <c r="J118" i="33"/>
  <c r="M118" i="33" s="1"/>
  <c r="E119" i="33"/>
  <c r="G119" i="33" s="1"/>
  <c r="C119" i="66" s="1"/>
  <c r="E119" i="66" s="1"/>
  <c r="G119" i="66" s="1"/>
  <c r="C119" i="67" s="1"/>
  <c r="E119" i="67" s="1"/>
  <c r="G119" i="67" s="1"/>
  <c r="J119" i="33"/>
  <c r="M119" i="33" s="1"/>
  <c r="E120" i="33"/>
  <c r="G120" i="33" s="1"/>
  <c r="C120" i="66" s="1"/>
  <c r="E120" i="66" s="1"/>
  <c r="G120" i="66" s="1"/>
  <c r="C120" i="67" s="1"/>
  <c r="E120" i="67" s="1"/>
  <c r="G120" i="67" s="1"/>
  <c r="J120" i="33"/>
  <c r="M120" i="33" s="1"/>
  <c r="E121" i="33"/>
  <c r="G121" i="33" s="1"/>
  <c r="C121" i="66" s="1"/>
  <c r="E121" i="66" s="1"/>
  <c r="G121" i="66" s="1"/>
  <c r="C121" i="67" s="1"/>
  <c r="E121" i="67" s="1"/>
  <c r="G121" i="67" s="1"/>
  <c r="J121" i="33"/>
  <c r="M121" i="33" s="1"/>
  <c r="E122" i="33"/>
  <c r="G122" i="33" s="1"/>
  <c r="C122" i="66" s="1"/>
  <c r="E122" i="66" s="1"/>
  <c r="G122" i="66" s="1"/>
  <c r="C122" i="67" s="1"/>
  <c r="E122" i="67" s="1"/>
  <c r="G122" i="67" s="1"/>
  <c r="J122" i="33"/>
  <c r="M122" i="33" s="1"/>
  <c r="E123" i="33"/>
  <c r="G123" i="33" s="1"/>
  <c r="C123" i="66" s="1"/>
  <c r="E123" i="66" s="1"/>
  <c r="G123" i="66" s="1"/>
  <c r="C123" i="67" s="1"/>
  <c r="E123" i="67" s="1"/>
  <c r="G123" i="67" s="1"/>
  <c r="J123" i="33"/>
  <c r="M123" i="33" s="1"/>
  <c r="E124" i="33"/>
  <c r="G124" i="33" s="1"/>
  <c r="C124" i="66" s="1"/>
  <c r="E124" i="66" s="1"/>
  <c r="G124" i="66" s="1"/>
  <c r="C124" i="67" s="1"/>
  <c r="E124" i="67" s="1"/>
  <c r="G124" i="67" s="1"/>
  <c r="J124" i="33"/>
  <c r="M124" i="33" s="1"/>
  <c r="E125" i="33"/>
  <c r="G125" i="33" s="1"/>
  <c r="C125" i="66" s="1"/>
  <c r="E125" i="66" s="1"/>
  <c r="G125" i="66" s="1"/>
  <c r="C125" i="67" s="1"/>
  <c r="E125" i="67" s="1"/>
  <c r="G125" i="67" s="1"/>
  <c r="J125" i="33"/>
  <c r="M125" i="33"/>
  <c r="E126" i="33"/>
  <c r="G126" i="33" s="1"/>
  <c r="C126" i="66" s="1"/>
  <c r="E126" i="66" s="1"/>
  <c r="G126" i="66" s="1"/>
  <c r="C126" i="67" s="1"/>
  <c r="E126" i="67" s="1"/>
  <c r="G126" i="67" s="1"/>
  <c r="J126" i="33"/>
  <c r="M126" i="33" s="1"/>
  <c r="E127" i="33"/>
  <c r="G127" i="33" s="1"/>
  <c r="C127" i="66" s="1"/>
  <c r="E127" i="66" s="1"/>
  <c r="G127" i="66" s="1"/>
  <c r="C127" i="67" s="1"/>
  <c r="E127" i="67" s="1"/>
  <c r="G127" i="67" s="1"/>
  <c r="J127" i="33"/>
  <c r="M127" i="33" s="1"/>
  <c r="E128" i="33"/>
  <c r="G128" i="33" s="1"/>
  <c r="C128" i="66" s="1"/>
  <c r="E128" i="66" s="1"/>
  <c r="G128" i="66" s="1"/>
  <c r="C128" i="67" s="1"/>
  <c r="E128" i="67" s="1"/>
  <c r="G128" i="67" s="1"/>
  <c r="J128" i="33"/>
  <c r="M128" i="33" s="1"/>
  <c r="E129" i="33"/>
  <c r="G129" i="33" s="1"/>
  <c r="C129" i="66" s="1"/>
  <c r="E129" i="66" s="1"/>
  <c r="G129" i="66" s="1"/>
  <c r="C129" i="67" s="1"/>
  <c r="E129" i="67" s="1"/>
  <c r="G129" i="67" s="1"/>
  <c r="J129" i="33"/>
  <c r="M129" i="33" s="1"/>
  <c r="E130" i="33"/>
  <c r="G130" i="33" s="1"/>
  <c r="C130" i="66" s="1"/>
  <c r="E130" i="66" s="1"/>
  <c r="G130" i="66" s="1"/>
  <c r="C130" i="67" s="1"/>
  <c r="E130" i="67" s="1"/>
  <c r="G130" i="67" s="1"/>
  <c r="J130" i="33"/>
  <c r="M130" i="33" s="1"/>
  <c r="E131" i="33"/>
  <c r="G131" i="33" s="1"/>
  <c r="C131" i="66" s="1"/>
  <c r="E131" i="66" s="1"/>
  <c r="G131" i="66" s="1"/>
  <c r="C131" i="67" s="1"/>
  <c r="E131" i="67" s="1"/>
  <c r="G131" i="67" s="1"/>
  <c r="J131" i="33"/>
  <c r="M131" i="33" s="1"/>
  <c r="E132" i="33"/>
  <c r="G132" i="33" s="1"/>
  <c r="C132" i="66" s="1"/>
  <c r="E132" i="66" s="1"/>
  <c r="G132" i="66" s="1"/>
  <c r="C132" i="67" s="1"/>
  <c r="E132" i="67" s="1"/>
  <c r="G132" i="67" s="1"/>
  <c r="J132" i="33"/>
  <c r="M132" i="33" s="1"/>
  <c r="E133" i="33"/>
  <c r="G133" i="33" s="1"/>
  <c r="C133" i="66" s="1"/>
  <c r="E133" i="66" s="1"/>
  <c r="G133" i="66" s="1"/>
  <c r="C133" i="67" s="1"/>
  <c r="E133" i="67" s="1"/>
  <c r="G133" i="67" s="1"/>
  <c r="J133" i="33"/>
  <c r="M133" i="33" s="1"/>
  <c r="E134" i="33"/>
  <c r="G134" i="33" s="1"/>
  <c r="C134" i="66" s="1"/>
  <c r="E134" i="66" s="1"/>
  <c r="G134" i="66" s="1"/>
  <c r="C134" i="67" s="1"/>
  <c r="E134" i="67" s="1"/>
  <c r="G134" i="67" s="1"/>
  <c r="J134" i="33"/>
  <c r="M134" i="33" s="1"/>
  <c r="E135" i="33"/>
  <c r="G135" i="33" s="1"/>
  <c r="C135" i="66" s="1"/>
  <c r="E135" i="66" s="1"/>
  <c r="G135" i="66" s="1"/>
  <c r="C135" i="67" s="1"/>
  <c r="E135" i="67" s="1"/>
  <c r="G135" i="67" s="1"/>
  <c r="J135" i="33"/>
  <c r="M135" i="33" s="1"/>
  <c r="E136" i="33"/>
  <c r="G136" i="33" s="1"/>
  <c r="C136" i="66" s="1"/>
  <c r="E136" i="66" s="1"/>
  <c r="G136" i="66" s="1"/>
  <c r="C136" i="67" s="1"/>
  <c r="E136" i="67" s="1"/>
  <c r="G136" i="67" s="1"/>
  <c r="J136" i="33"/>
  <c r="M136" i="33" s="1"/>
  <c r="E137" i="33"/>
  <c r="G137" i="33" s="1"/>
  <c r="C137" i="66" s="1"/>
  <c r="E137" i="66" s="1"/>
  <c r="G137" i="66" s="1"/>
  <c r="C137" i="67" s="1"/>
  <c r="E137" i="67" s="1"/>
  <c r="G137" i="67" s="1"/>
  <c r="J137" i="33"/>
  <c r="M137" i="33" s="1"/>
  <c r="E138" i="33"/>
  <c r="G138" i="33" s="1"/>
  <c r="C138" i="66" s="1"/>
  <c r="E138" i="66" s="1"/>
  <c r="G138" i="66" s="1"/>
  <c r="C138" i="67" s="1"/>
  <c r="E138" i="67" s="1"/>
  <c r="G138" i="67" s="1"/>
  <c r="J138" i="33"/>
  <c r="M138" i="33" s="1"/>
  <c r="E139" i="33"/>
  <c r="G139" i="33" s="1"/>
  <c r="C139" i="66" s="1"/>
  <c r="E139" i="66" s="1"/>
  <c r="G139" i="66" s="1"/>
  <c r="C139" i="67" s="1"/>
  <c r="E139" i="67" s="1"/>
  <c r="G139" i="67" s="1"/>
  <c r="J139" i="33"/>
  <c r="M139" i="33" s="1"/>
  <c r="E140" i="33"/>
  <c r="G140" i="33" s="1"/>
  <c r="C140" i="66" s="1"/>
  <c r="E140" i="66" s="1"/>
  <c r="G140" i="66" s="1"/>
  <c r="C140" i="67" s="1"/>
  <c r="E140" i="67" s="1"/>
  <c r="G140" i="67" s="1"/>
  <c r="J140" i="33"/>
  <c r="M140" i="33" s="1"/>
  <c r="E141" i="33"/>
  <c r="G141" i="33" s="1"/>
  <c r="C141" i="66" s="1"/>
  <c r="E141" i="66" s="1"/>
  <c r="G141" i="66" s="1"/>
  <c r="C141" i="67" s="1"/>
  <c r="E141" i="67" s="1"/>
  <c r="G141" i="67" s="1"/>
  <c r="J141" i="33"/>
  <c r="M141" i="33" s="1"/>
  <c r="E142" i="33"/>
  <c r="G142" i="33" s="1"/>
  <c r="C142" i="66" s="1"/>
  <c r="E142" i="66" s="1"/>
  <c r="G142" i="66" s="1"/>
  <c r="C142" i="67" s="1"/>
  <c r="E142" i="67" s="1"/>
  <c r="G142" i="67" s="1"/>
  <c r="J142" i="33"/>
  <c r="M142" i="33" s="1"/>
  <c r="E143" i="33"/>
  <c r="G143" i="33" s="1"/>
  <c r="C143" i="66" s="1"/>
  <c r="E143" i="66" s="1"/>
  <c r="G143" i="66" s="1"/>
  <c r="C143" i="67" s="1"/>
  <c r="E143" i="67" s="1"/>
  <c r="G143" i="67" s="1"/>
  <c r="J143" i="33"/>
  <c r="M143" i="33" s="1"/>
  <c r="E144" i="33"/>
  <c r="G144" i="33" s="1"/>
  <c r="C144" i="66" s="1"/>
  <c r="E144" i="66" s="1"/>
  <c r="G144" i="66" s="1"/>
  <c r="C144" i="67" s="1"/>
  <c r="E144" i="67" s="1"/>
  <c r="G144" i="67" s="1"/>
  <c r="J144" i="33"/>
  <c r="M144" i="33" s="1"/>
  <c r="E145" i="33"/>
  <c r="G145" i="33" s="1"/>
  <c r="C145" i="66" s="1"/>
  <c r="E145" i="66" s="1"/>
  <c r="G145" i="66" s="1"/>
  <c r="C145" i="67" s="1"/>
  <c r="E145" i="67" s="1"/>
  <c r="G145" i="67" s="1"/>
  <c r="J145" i="33"/>
  <c r="M145" i="33"/>
  <c r="E146" i="33"/>
  <c r="G146" i="33" s="1"/>
  <c r="C146" i="66" s="1"/>
  <c r="E146" i="66" s="1"/>
  <c r="G146" i="66" s="1"/>
  <c r="C146" i="67" s="1"/>
  <c r="E146" i="67" s="1"/>
  <c r="G146" i="67" s="1"/>
  <c r="J146" i="33"/>
  <c r="M146" i="33" s="1"/>
  <c r="E147" i="33"/>
  <c r="G147" i="33" s="1"/>
  <c r="C147" i="66" s="1"/>
  <c r="E147" i="66" s="1"/>
  <c r="G147" i="66" s="1"/>
  <c r="C147" i="67" s="1"/>
  <c r="E147" i="67" s="1"/>
  <c r="G147" i="67" s="1"/>
  <c r="J147" i="33"/>
  <c r="M147" i="33" s="1"/>
  <c r="E148" i="33"/>
  <c r="G148" i="33" s="1"/>
  <c r="C148" i="66" s="1"/>
  <c r="E148" i="66" s="1"/>
  <c r="G148" i="66" s="1"/>
  <c r="C148" i="67" s="1"/>
  <c r="E148" i="67" s="1"/>
  <c r="G148" i="67" s="1"/>
  <c r="J148" i="33"/>
  <c r="M148" i="33" s="1"/>
  <c r="E149" i="33"/>
  <c r="G149" i="33"/>
  <c r="C149" i="66" s="1"/>
  <c r="E149" i="66" s="1"/>
  <c r="G149" i="66" s="1"/>
  <c r="C149" i="67" s="1"/>
  <c r="E149" i="67" s="1"/>
  <c r="G149" i="67" s="1"/>
  <c r="J149" i="33"/>
  <c r="M149" i="33"/>
  <c r="E150" i="33"/>
  <c r="G150" i="33" s="1"/>
  <c r="C150" i="66" s="1"/>
  <c r="E150" i="66" s="1"/>
  <c r="G150" i="66" s="1"/>
  <c r="C150" i="67" s="1"/>
  <c r="E150" i="67" s="1"/>
  <c r="G150" i="67" s="1"/>
  <c r="J150" i="33"/>
  <c r="M150" i="33" s="1"/>
  <c r="E151" i="33"/>
  <c r="G151" i="33" s="1"/>
  <c r="C151" i="66" s="1"/>
  <c r="E151" i="66" s="1"/>
  <c r="G151" i="66" s="1"/>
  <c r="C151" i="67" s="1"/>
  <c r="E151" i="67" s="1"/>
  <c r="G151" i="67" s="1"/>
  <c r="J151" i="33"/>
  <c r="M151" i="33" s="1"/>
  <c r="E152" i="33"/>
  <c r="G152" i="33" s="1"/>
  <c r="C152" i="66" s="1"/>
  <c r="E152" i="66" s="1"/>
  <c r="G152" i="66" s="1"/>
  <c r="C152" i="67" s="1"/>
  <c r="E152" i="67" s="1"/>
  <c r="G152" i="67" s="1"/>
  <c r="J152" i="33"/>
  <c r="M152" i="33" s="1"/>
  <c r="E153" i="33"/>
  <c r="G153" i="33"/>
  <c r="C153" i="66" s="1"/>
  <c r="E153" i="66" s="1"/>
  <c r="G153" i="66" s="1"/>
  <c r="C153" i="67" s="1"/>
  <c r="E153" i="67" s="1"/>
  <c r="G153" i="67" s="1"/>
  <c r="J153" i="33"/>
  <c r="M153" i="33" s="1"/>
  <c r="E154" i="33"/>
  <c r="G154" i="33" s="1"/>
  <c r="C154" i="66" s="1"/>
  <c r="E154" i="66" s="1"/>
  <c r="G154" i="66" s="1"/>
  <c r="C154" i="67" s="1"/>
  <c r="E154" i="67" s="1"/>
  <c r="G154" i="67" s="1"/>
  <c r="J154" i="33"/>
  <c r="M154" i="33" s="1"/>
  <c r="E155" i="33"/>
  <c r="G155" i="33" s="1"/>
  <c r="C155" i="66" s="1"/>
  <c r="E155" i="66" s="1"/>
  <c r="G155" i="66" s="1"/>
  <c r="C155" i="67" s="1"/>
  <c r="E155" i="67" s="1"/>
  <c r="G155" i="67" s="1"/>
  <c r="J155" i="33"/>
  <c r="M155" i="33" s="1"/>
  <c r="E156" i="33"/>
  <c r="G156" i="33" s="1"/>
  <c r="C156" i="66" s="1"/>
  <c r="E156" i="66" s="1"/>
  <c r="G156" i="66" s="1"/>
  <c r="C156" i="67" s="1"/>
  <c r="E156" i="67" s="1"/>
  <c r="G156" i="67" s="1"/>
  <c r="J156" i="33"/>
  <c r="M156" i="33" s="1"/>
  <c r="E157" i="33"/>
  <c r="G157" i="33" s="1"/>
  <c r="C157" i="66" s="1"/>
  <c r="E157" i="66" s="1"/>
  <c r="G157" i="66" s="1"/>
  <c r="C157" i="67" s="1"/>
  <c r="E157" i="67" s="1"/>
  <c r="G157" i="67" s="1"/>
  <c r="J157" i="33"/>
  <c r="M157" i="33" s="1"/>
  <c r="E158" i="33"/>
  <c r="G158" i="33" s="1"/>
  <c r="C158" i="66" s="1"/>
  <c r="E158" i="66" s="1"/>
  <c r="G158" i="66" s="1"/>
  <c r="C158" i="67" s="1"/>
  <c r="E158" i="67" s="1"/>
  <c r="G158" i="67" s="1"/>
  <c r="J158" i="33"/>
  <c r="M158" i="33" s="1"/>
  <c r="E159" i="33"/>
  <c r="G159" i="33" s="1"/>
  <c r="C159" i="66" s="1"/>
  <c r="E159" i="66" s="1"/>
  <c r="G159" i="66" s="1"/>
  <c r="C159" i="67" s="1"/>
  <c r="E159" i="67" s="1"/>
  <c r="G159" i="67" s="1"/>
  <c r="J159" i="33"/>
  <c r="M159" i="33" s="1"/>
  <c r="E160" i="33"/>
  <c r="G160" i="33" s="1"/>
  <c r="C160" i="66" s="1"/>
  <c r="E160" i="66" s="1"/>
  <c r="G160" i="66" s="1"/>
  <c r="C160" i="67" s="1"/>
  <c r="E160" i="67" s="1"/>
  <c r="G160" i="67" s="1"/>
  <c r="J160" i="33"/>
  <c r="M160" i="33" s="1"/>
  <c r="E161" i="33"/>
  <c r="G161" i="33" s="1"/>
  <c r="C161" i="66" s="1"/>
  <c r="E161" i="66" s="1"/>
  <c r="G161" i="66" s="1"/>
  <c r="C161" i="67" s="1"/>
  <c r="E161" i="67" s="1"/>
  <c r="G161" i="67" s="1"/>
  <c r="J161" i="33"/>
  <c r="M161" i="33" s="1"/>
  <c r="E162" i="33"/>
  <c r="G162" i="33" s="1"/>
  <c r="C162" i="66" s="1"/>
  <c r="E162" i="66" s="1"/>
  <c r="G162" i="66" s="1"/>
  <c r="C162" i="67" s="1"/>
  <c r="E162" i="67" s="1"/>
  <c r="G162" i="67" s="1"/>
  <c r="J162" i="33"/>
  <c r="M162" i="33" s="1"/>
  <c r="E163" i="33"/>
  <c r="G163" i="33" s="1"/>
  <c r="C163" i="66" s="1"/>
  <c r="E163" i="66" s="1"/>
  <c r="G163" i="66" s="1"/>
  <c r="C163" i="67" s="1"/>
  <c r="E163" i="67" s="1"/>
  <c r="G163" i="67" s="1"/>
  <c r="J163" i="33"/>
  <c r="M163" i="33" s="1"/>
  <c r="E164" i="33"/>
  <c r="G164" i="33" s="1"/>
  <c r="C164" i="66" s="1"/>
  <c r="E164" i="66" s="1"/>
  <c r="G164" i="66" s="1"/>
  <c r="C164" i="67" s="1"/>
  <c r="E164" i="67" s="1"/>
  <c r="G164" i="67" s="1"/>
  <c r="J164" i="33"/>
  <c r="M164" i="33" s="1"/>
  <c r="E165" i="33"/>
  <c r="G165" i="33" s="1"/>
  <c r="C165" i="66" s="1"/>
  <c r="E165" i="66" s="1"/>
  <c r="G165" i="66" s="1"/>
  <c r="C165" i="67" s="1"/>
  <c r="E165" i="67" s="1"/>
  <c r="G165" i="67" s="1"/>
  <c r="J165" i="33"/>
  <c r="M165" i="33" s="1"/>
  <c r="E166" i="33"/>
  <c r="G166" i="33" s="1"/>
  <c r="C166" i="66" s="1"/>
  <c r="E166" i="66" s="1"/>
  <c r="G166" i="66" s="1"/>
  <c r="C166" i="67" s="1"/>
  <c r="E166" i="67" s="1"/>
  <c r="G166" i="67" s="1"/>
  <c r="J166" i="33"/>
  <c r="M166" i="33" s="1"/>
  <c r="E167" i="33"/>
  <c r="G167" i="33" s="1"/>
  <c r="C167" i="66" s="1"/>
  <c r="E167" i="66" s="1"/>
  <c r="G167" i="66" s="1"/>
  <c r="C167" i="67" s="1"/>
  <c r="E167" i="67" s="1"/>
  <c r="G167" i="67" s="1"/>
  <c r="J167" i="33"/>
  <c r="M167" i="33" s="1"/>
  <c r="E168" i="33"/>
  <c r="G168" i="33" s="1"/>
  <c r="C168" i="66" s="1"/>
  <c r="E168" i="66" s="1"/>
  <c r="G168" i="66" s="1"/>
  <c r="C168" i="67" s="1"/>
  <c r="E168" i="67" s="1"/>
  <c r="G168" i="67" s="1"/>
  <c r="J168" i="33"/>
  <c r="M168" i="33" s="1"/>
  <c r="E169" i="33"/>
  <c r="G169" i="33" s="1"/>
  <c r="C169" i="66" s="1"/>
  <c r="E169" i="66" s="1"/>
  <c r="G169" i="66" s="1"/>
  <c r="C169" i="67" s="1"/>
  <c r="E169" i="67" s="1"/>
  <c r="G169" i="67" s="1"/>
  <c r="J169" i="33"/>
  <c r="M169" i="33" s="1"/>
  <c r="E170" i="33"/>
  <c r="G170" i="33" s="1"/>
  <c r="C170" i="66" s="1"/>
  <c r="E170" i="66" s="1"/>
  <c r="G170" i="66" s="1"/>
  <c r="C170" i="67" s="1"/>
  <c r="E170" i="67" s="1"/>
  <c r="G170" i="67" s="1"/>
  <c r="J170" i="33"/>
  <c r="M170" i="33" s="1"/>
  <c r="E171" i="33"/>
  <c r="G171" i="33" s="1"/>
  <c r="C171" i="66" s="1"/>
  <c r="E171" i="66" s="1"/>
  <c r="G171" i="66" s="1"/>
  <c r="C171" i="67" s="1"/>
  <c r="E171" i="67" s="1"/>
  <c r="G171" i="67" s="1"/>
  <c r="J171" i="33"/>
  <c r="M171" i="33" s="1"/>
  <c r="E172" i="33"/>
  <c r="G172" i="33" s="1"/>
  <c r="C172" i="66" s="1"/>
  <c r="E172" i="66" s="1"/>
  <c r="G172" i="66" s="1"/>
  <c r="C172" i="67" s="1"/>
  <c r="E172" i="67" s="1"/>
  <c r="G172" i="67" s="1"/>
  <c r="J172" i="33"/>
  <c r="M172" i="33" s="1"/>
  <c r="E173" i="33"/>
  <c r="G173" i="33" s="1"/>
  <c r="C173" i="66" s="1"/>
  <c r="E173" i="66" s="1"/>
  <c r="G173" i="66" s="1"/>
  <c r="C173" i="67" s="1"/>
  <c r="E173" i="67" s="1"/>
  <c r="G173" i="67" s="1"/>
  <c r="J173" i="33"/>
  <c r="M173" i="33" s="1"/>
  <c r="E174" i="33"/>
  <c r="G174" i="33" s="1"/>
  <c r="C174" i="66" s="1"/>
  <c r="E174" i="66" s="1"/>
  <c r="G174" i="66" s="1"/>
  <c r="C174" i="67" s="1"/>
  <c r="E174" i="67" s="1"/>
  <c r="G174" i="67" s="1"/>
  <c r="J174" i="33"/>
  <c r="M174" i="33" s="1"/>
  <c r="E175" i="33"/>
  <c r="G175" i="33" s="1"/>
  <c r="C175" i="66" s="1"/>
  <c r="E175" i="66" s="1"/>
  <c r="G175" i="66" s="1"/>
  <c r="C175" i="67" s="1"/>
  <c r="E175" i="67" s="1"/>
  <c r="G175" i="67" s="1"/>
  <c r="J175" i="33"/>
  <c r="M175" i="33" s="1"/>
  <c r="E176" i="33"/>
  <c r="G176" i="33" s="1"/>
  <c r="C176" i="66" s="1"/>
  <c r="E176" i="66" s="1"/>
  <c r="G176" i="66" s="1"/>
  <c r="C176" i="67" s="1"/>
  <c r="E176" i="67" s="1"/>
  <c r="G176" i="67" s="1"/>
  <c r="J176" i="33"/>
  <c r="M176" i="33" s="1"/>
  <c r="E177" i="33"/>
  <c r="G177" i="33" s="1"/>
  <c r="C177" i="66" s="1"/>
  <c r="E177" i="66" s="1"/>
  <c r="G177" i="66" s="1"/>
  <c r="C177" i="67" s="1"/>
  <c r="E177" i="67" s="1"/>
  <c r="G177" i="67" s="1"/>
  <c r="J177" i="33"/>
  <c r="M177" i="33" s="1"/>
  <c r="E178" i="33"/>
  <c r="G178" i="33" s="1"/>
  <c r="C178" i="66" s="1"/>
  <c r="E178" i="66" s="1"/>
  <c r="G178" i="66" s="1"/>
  <c r="C178" i="67" s="1"/>
  <c r="E178" i="67" s="1"/>
  <c r="G178" i="67" s="1"/>
  <c r="J178" i="33"/>
  <c r="M178" i="33" s="1"/>
  <c r="E179" i="33"/>
  <c r="G179" i="33" s="1"/>
  <c r="C179" i="66" s="1"/>
  <c r="E179" i="66" s="1"/>
  <c r="G179" i="66" s="1"/>
  <c r="C179" i="67" s="1"/>
  <c r="E179" i="67" s="1"/>
  <c r="G179" i="67" s="1"/>
  <c r="J179" i="33"/>
  <c r="M179" i="33" s="1"/>
  <c r="E180" i="33"/>
  <c r="G180" i="33" s="1"/>
  <c r="C180" i="66" s="1"/>
  <c r="E180" i="66" s="1"/>
  <c r="G180" i="66" s="1"/>
  <c r="C180" i="67" s="1"/>
  <c r="E180" i="67" s="1"/>
  <c r="G180" i="67" s="1"/>
  <c r="J180" i="33"/>
  <c r="M180" i="33" s="1"/>
  <c r="E181" i="33"/>
  <c r="G181" i="33" s="1"/>
  <c r="C181" i="66" s="1"/>
  <c r="E181" i="66" s="1"/>
  <c r="G181" i="66" s="1"/>
  <c r="C181" i="67" s="1"/>
  <c r="E181" i="67" s="1"/>
  <c r="G181" i="67" s="1"/>
  <c r="J181" i="33"/>
  <c r="M181" i="33" s="1"/>
  <c r="E182" i="33"/>
  <c r="G182" i="33" s="1"/>
  <c r="C182" i="66" s="1"/>
  <c r="E182" i="66" s="1"/>
  <c r="G182" i="66" s="1"/>
  <c r="C182" i="67" s="1"/>
  <c r="E182" i="67" s="1"/>
  <c r="G182" i="67" s="1"/>
  <c r="J182" i="33"/>
  <c r="M182" i="33" s="1"/>
  <c r="E183" i="33"/>
  <c r="G183" i="33" s="1"/>
  <c r="C183" i="66" s="1"/>
  <c r="E183" i="66" s="1"/>
  <c r="G183" i="66" s="1"/>
  <c r="C183" i="67" s="1"/>
  <c r="E183" i="67" s="1"/>
  <c r="G183" i="67" s="1"/>
  <c r="J183" i="33"/>
  <c r="M183" i="33" s="1"/>
  <c r="E184" i="33"/>
  <c r="G184" i="33" s="1"/>
  <c r="C184" i="66" s="1"/>
  <c r="E184" i="66" s="1"/>
  <c r="G184" i="66" s="1"/>
  <c r="C184" i="67" s="1"/>
  <c r="E184" i="67" s="1"/>
  <c r="G184" i="67" s="1"/>
  <c r="J184" i="33"/>
  <c r="M184" i="33" s="1"/>
  <c r="E185" i="33"/>
  <c r="G185" i="33" s="1"/>
  <c r="C185" i="66" s="1"/>
  <c r="E185" i="66" s="1"/>
  <c r="G185" i="66" s="1"/>
  <c r="C185" i="67" s="1"/>
  <c r="E185" i="67" s="1"/>
  <c r="G185" i="67" s="1"/>
  <c r="J185" i="33"/>
  <c r="M185" i="33" s="1"/>
  <c r="E186" i="33"/>
  <c r="G186" i="33" s="1"/>
  <c r="C186" i="66" s="1"/>
  <c r="E186" i="66" s="1"/>
  <c r="G186" i="66" s="1"/>
  <c r="C186" i="67" s="1"/>
  <c r="E186" i="67" s="1"/>
  <c r="G186" i="67" s="1"/>
  <c r="J186" i="33"/>
  <c r="M186" i="33" s="1"/>
  <c r="E187" i="33"/>
  <c r="G187" i="33" s="1"/>
  <c r="C187" i="66" s="1"/>
  <c r="E187" i="66" s="1"/>
  <c r="G187" i="66" s="1"/>
  <c r="C187" i="67" s="1"/>
  <c r="E187" i="67" s="1"/>
  <c r="G187" i="67" s="1"/>
  <c r="J187" i="33"/>
  <c r="M187" i="33" s="1"/>
  <c r="E188" i="33"/>
  <c r="G188" i="33" s="1"/>
  <c r="C188" i="66" s="1"/>
  <c r="E188" i="66" s="1"/>
  <c r="G188" i="66" s="1"/>
  <c r="C188" i="67" s="1"/>
  <c r="E188" i="67" s="1"/>
  <c r="G188" i="67" s="1"/>
  <c r="J188" i="33"/>
  <c r="M188" i="33" s="1"/>
  <c r="E189" i="33"/>
  <c r="G189" i="33" s="1"/>
  <c r="C189" i="66" s="1"/>
  <c r="E189" i="66" s="1"/>
  <c r="G189" i="66" s="1"/>
  <c r="C189" i="67" s="1"/>
  <c r="E189" i="67" s="1"/>
  <c r="G189" i="67" s="1"/>
  <c r="J189" i="33"/>
  <c r="M189" i="33" s="1"/>
  <c r="E190" i="33"/>
  <c r="G190" i="33" s="1"/>
  <c r="C190" i="66" s="1"/>
  <c r="E190" i="66" s="1"/>
  <c r="G190" i="66" s="1"/>
  <c r="C190" i="67" s="1"/>
  <c r="E190" i="67" s="1"/>
  <c r="G190" i="67" s="1"/>
  <c r="J190" i="33"/>
  <c r="M190" i="33" s="1"/>
  <c r="E191" i="33"/>
  <c r="G191" i="33" s="1"/>
  <c r="C191" i="66" s="1"/>
  <c r="E191" i="66" s="1"/>
  <c r="G191" i="66" s="1"/>
  <c r="C191" i="67" s="1"/>
  <c r="E191" i="67" s="1"/>
  <c r="G191" i="67" s="1"/>
  <c r="J191" i="33"/>
  <c r="M191" i="33" s="1"/>
  <c r="E192" i="33"/>
  <c r="G192" i="33" s="1"/>
  <c r="C192" i="66" s="1"/>
  <c r="E192" i="66" s="1"/>
  <c r="G192" i="66" s="1"/>
  <c r="C192" i="67" s="1"/>
  <c r="E192" i="67" s="1"/>
  <c r="G192" i="67" s="1"/>
  <c r="J192" i="33"/>
  <c r="M192" i="33" s="1"/>
  <c r="E193" i="33"/>
  <c r="G193" i="33" s="1"/>
  <c r="C193" i="66" s="1"/>
  <c r="E193" i="66" s="1"/>
  <c r="G193" i="66" s="1"/>
  <c r="C193" i="67" s="1"/>
  <c r="E193" i="67" s="1"/>
  <c r="G193" i="67" s="1"/>
  <c r="J193" i="33"/>
  <c r="M193" i="33" s="1"/>
  <c r="E194" i="33"/>
  <c r="G194" i="33" s="1"/>
  <c r="C194" i="66" s="1"/>
  <c r="E194" i="66" s="1"/>
  <c r="G194" i="66" s="1"/>
  <c r="C194" i="67" s="1"/>
  <c r="E194" i="67" s="1"/>
  <c r="G194" i="67" s="1"/>
  <c r="J194" i="33"/>
  <c r="M194" i="33" s="1"/>
  <c r="E195" i="33"/>
  <c r="G195" i="33" s="1"/>
  <c r="C195" i="66" s="1"/>
  <c r="E195" i="66" s="1"/>
  <c r="G195" i="66" s="1"/>
  <c r="C195" i="67" s="1"/>
  <c r="E195" i="67" s="1"/>
  <c r="G195" i="67" s="1"/>
  <c r="J195" i="33"/>
  <c r="M195" i="33" s="1"/>
  <c r="E196" i="33"/>
  <c r="G196" i="33" s="1"/>
  <c r="C196" i="66" s="1"/>
  <c r="E196" i="66" s="1"/>
  <c r="G196" i="66" s="1"/>
  <c r="C196" i="67" s="1"/>
  <c r="E196" i="67" s="1"/>
  <c r="G196" i="67" s="1"/>
  <c r="J196" i="33"/>
  <c r="M196" i="33" s="1"/>
  <c r="E197" i="33"/>
  <c r="G197" i="33" s="1"/>
  <c r="C197" i="66" s="1"/>
  <c r="E197" i="66" s="1"/>
  <c r="G197" i="66" s="1"/>
  <c r="C197" i="67" s="1"/>
  <c r="E197" i="67" s="1"/>
  <c r="G197" i="67" s="1"/>
  <c r="J197" i="33"/>
  <c r="M197" i="33" s="1"/>
  <c r="E198" i="33"/>
  <c r="G198" i="33" s="1"/>
  <c r="C198" i="66" s="1"/>
  <c r="E198" i="66" s="1"/>
  <c r="G198" i="66" s="1"/>
  <c r="C198" i="67" s="1"/>
  <c r="E198" i="67" s="1"/>
  <c r="G198" i="67" s="1"/>
  <c r="J198" i="33"/>
  <c r="M198" i="33" s="1"/>
  <c r="E199" i="33"/>
  <c r="G199" i="33" s="1"/>
  <c r="C199" i="66" s="1"/>
  <c r="E199" i="66" s="1"/>
  <c r="G199" i="66" s="1"/>
  <c r="C199" i="67" s="1"/>
  <c r="E199" i="67" s="1"/>
  <c r="G199" i="67" s="1"/>
  <c r="J199" i="33"/>
  <c r="M199" i="33" s="1"/>
  <c r="E200" i="33"/>
  <c r="G200" i="33" s="1"/>
  <c r="C200" i="66" s="1"/>
  <c r="E200" i="66" s="1"/>
  <c r="G200" i="66" s="1"/>
  <c r="C200" i="67" s="1"/>
  <c r="E200" i="67" s="1"/>
  <c r="G200" i="67" s="1"/>
  <c r="J200" i="33"/>
  <c r="M200" i="33" s="1"/>
  <c r="E201" i="33"/>
  <c r="G201" i="33" s="1"/>
  <c r="C201" i="66" s="1"/>
  <c r="E201" i="66" s="1"/>
  <c r="G201" i="66" s="1"/>
  <c r="C201" i="67" s="1"/>
  <c r="E201" i="67" s="1"/>
  <c r="G201" i="67" s="1"/>
  <c r="J201" i="33"/>
  <c r="M201" i="33" s="1"/>
  <c r="E202" i="33"/>
  <c r="G202" i="33" s="1"/>
  <c r="C202" i="66" s="1"/>
  <c r="E202" i="66" s="1"/>
  <c r="G202" i="66" s="1"/>
  <c r="C202" i="67" s="1"/>
  <c r="E202" i="67" s="1"/>
  <c r="G202" i="67" s="1"/>
  <c r="J202" i="33"/>
  <c r="M202" i="33" s="1"/>
  <c r="E203" i="33"/>
  <c r="G203" i="33" s="1"/>
  <c r="C203" i="66" s="1"/>
  <c r="E203" i="66" s="1"/>
  <c r="G203" i="66" s="1"/>
  <c r="C203" i="67" s="1"/>
  <c r="E203" i="67" s="1"/>
  <c r="G203" i="67" s="1"/>
  <c r="J203" i="33"/>
  <c r="M203" i="33" s="1"/>
  <c r="E204" i="33"/>
  <c r="G204" i="33" s="1"/>
  <c r="C204" i="66" s="1"/>
  <c r="E204" i="66" s="1"/>
  <c r="G204" i="66" s="1"/>
  <c r="C204" i="67" s="1"/>
  <c r="E204" i="67" s="1"/>
  <c r="G204" i="67" s="1"/>
  <c r="J204" i="33"/>
  <c r="M204" i="33" s="1"/>
  <c r="E205" i="33"/>
  <c r="G205" i="33" s="1"/>
  <c r="C205" i="66" s="1"/>
  <c r="E205" i="66" s="1"/>
  <c r="G205" i="66" s="1"/>
  <c r="C205" i="67" s="1"/>
  <c r="E205" i="67" s="1"/>
  <c r="G205" i="67" s="1"/>
  <c r="J205" i="33"/>
  <c r="M205" i="33" s="1"/>
  <c r="E206" i="33"/>
  <c r="G206" i="33" s="1"/>
  <c r="C206" i="66" s="1"/>
  <c r="E206" i="66" s="1"/>
  <c r="G206" i="66" s="1"/>
  <c r="C206" i="67" s="1"/>
  <c r="E206" i="67" s="1"/>
  <c r="G206" i="67" s="1"/>
  <c r="J206" i="33"/>
  <c r="M206" i="33" s="1"/>
  <c r="E207" i="33"/>
  <c r="G207" i="33" s="1"/>
  <c r="C207" i="66" s="1"/>
  <c r="E207" i="66" s="1"/>
  <c r="G207" i="66" s="1"/>
  <c r="C207" i="67" s="1"/>
  <c r="E207" i="67" s="1"/>
  <c r="G207" i="67" s="1"/>
  <c r="J207" i="33"/>
  <c r="M207" i="33" s="1"/>
  <c r="E208" i="33"/>
  <c r="G208" i="33" s="1"/>
  <c r="C208" i="66" s="1"/>
  <c r="E208" i="66" s="1"/>
  <c r="G208" i="66" s="1"/>
  <c r="C208" i="67" s="1"/>
  <c r="E208" i="67" s="1"/>
  <c r="G208" i="67" s="1"/>
  <c r="J208" i="33"/>
  <c r="M208" i="33" s="1"/>
  <c r="E209" i="33"/>
  <c r="G209" i="33" s="1"/>
  <c r="C209" i="66" s="1"/>
  <c r="E209" i="66" s="1"/>
  <c r="G209" i="66" s="1"/>
  <c r="C209" i="67" s="1"/>
  <c r="E209" i="67" s="1"/>
  <c r="G209" i="67" s="1"/>
  <c r="J209" i="33"/>
  <c r="M209" i="33" s="1"/>
  <c r="E210" i="33"/>
  <c r="G210" i="33" s="1"/>
  <c r="C210" i="66" s="1"/>
  <c r="E210" i="66" s="1"/>
  <c r="G210" i="66" s="1"/>
  <c r="C210" i="67" s="1"/>
  <c r="E210" i="67" s="1"/>
  <c r="G210" i="67" s="1"/>
  <c r="J210" i="33"/>
  <c r="M210" i="33" s="1"/>
  <c r="E211" i="33"/>
  <c r="G211" i="33" s="1"/>
  <c r="C211" i="66" s="1"/>
  <c r="E211" i="66" s="1"/>
  <c r="G211" i="66" s="1"/>
  <c r="C211" i="67" s="1"/>
  <c r="E211" i="67" s="1"/>
  <c r="G211" i="67" s="1"/>
  <c r="J211" i="33"/>
  <c r="M211" i="33" s="1"/>
  <c r="E212" i="33"/>
  <c r="G212" i="33" s="1"/>
  <c r="C212" i="66" s="1"/>
  <c r="E212" i="66" s="1"/>
  <c r="G212" i="66" s="1"/>
  <c r="C212" i="67" s="1"/>
  <c r="E212" i="67" s="1"/>
  <c r="G212" i="67" s="1"/>
  <c r="J212" i="33"/>
  <c r="M212" i="33" s="1"/>
  <c r="E213" i="33"/>
  <c r="G213" i="33" s="1"/>
  <c r="C213" i="66" s="1"/>
  <c r="E213" i="66" s="1"/>
  <c r="G213" i="66" s="1"/>
  <c r="C213" i="67" s="1"/>
  <c r="E213" i="67" s="1"/>
  <c r="G213" i="67" s="1"/>
  <c r="J213" i="33"/>
  <c r="M213" i="33" s="1"/>
  <c r="E77" i="33"/>
  <c r="G77" i="33" s="1"/>
  <c r="C77" i="66" s="1"/>
  <c r="E77" i="66" s="1"/>
  <c r="G77" i="66" s="1"/>
  <c r="C77" i="67" s="1"/>
  <c r="E77" i="67" s="1"/>
  <c r="G77" i="67" s="1"/>
  <c r="J77" i="33"/>
  <c r="M77" i="33" s="1"/>
  <c r="E214" i="33"/>
  <c r="G214" i="33" s="1"/>
  <c r="C214" i="66" s="1"/>
  <c r="E214" i="66" s="1"/>
  <c r="G214" i="66" s="1"/>
  <c r="C214" i="67" s="1"/>
  <c r="E214" i="67" s="1"/>
  <c r="G214" i="67" s="1"/>
  <c r="J214" i="33"/>
  <c r="M214" i="33" s="1"/>
  <c r="E215" i="33"/>
  <c r="G215" i="33" s="1"/>
  <c r="C215" i="66" s="1"/>
  <c r="E215" i="66" s="1"/>
  <c r="G215" i="66" s="1"/>
  <c r="C215" i="67" s="1"/>
  <c r="E215" i="67" s="1"/>
  <c r="G215" i="67" s="1"/>
  <c r="J215" i="33"/>
  <c r="M215" i="33" s="1"/>
  <c r="E216" i="33"/>
  <c r="G216" i="33" s="1"/>
  <c r="C216" i="66" s="1"/>
  <c r="E216" i="66" s="1"/>
  <c r="G216" i="66" s="1"/>
  <c r="C216" i="67" s="1"/>
  <c r="E216" i="67" s="1"/>
  <c r="G216" i="67" s="1"/>
  <c r="J216" i="33"/>
  <c r="M216" i="33" s="1"/>
  <c r="E217" i="33"/>
  <c r="G217" i="33" s="1"/>
  <c r="C217" i="66" s="1"/>
  <c r="E217" i="66" s="1"/>
  <c r="G217" i="66" s="1"/>
  <c r="C217" i="67" s="1"/>
  <c r="E217" i="67" s="1"/>
  <c r="G217" i="67" s="1"/>
  <c r="J217" i="33"/>
  <c r="M217" i="33" s="1"/>
  <c r="E218" i="33"/>
  <c r="G218" i="33" s="1"/>
  <c r="C218" i="66" s="1"/>
  <c r="E218" i="66" s="1"/>
  <c r="G218" i="66" s="1"/>
  <c r="J218" i="33"/>
  <c r="M218" i="33" s="1"/>
  <c r="E219" i="33"/>
  <c r="G219" i="33" s="1"/>
  <c r="C219" i="66" s="1"/>
  <c r="E219" i="66" s="1"/>
  <c r="G219" i="66" s="1"/>
  <c r="J219" i="33"/>
  <c r="M219" i="33" s="1"/>
  <c r="E220" i="33"/>
  <c r="G220" i="33"/>
  <c r="C220" i="66" s="1"/>
  <c r="E220" i="66" s="1"/>
  <c r="G220" i="66" s="1"/>
  <c r="J220" i="33"/>
  <c r="M220" i="33" s="1"/>
  <c r="E221" i="33"/>
  <c r="G221" i="33" s="1"/>
  <c r="C221" i="66" s="1"/>
  <c r="E221" i="66" s="1"/>
  <c r="G221" i="66" s="1"/>
  <c r="C221" i="67" s="1"/>
  <c r="E221" i="67" s="1"/>
  <c r="G221" i="67" s="1"/>
  <c r="C221" i="70" s="1"/>
  <c r="E221" i="70" s="1"/>
  <c r="G221" i="70" s="1"/>
  <c r="C221" i="71" s="1"/>
  <c r="E221" i="71" s="1"/>
  <c r="G221" i="71" s="1"/>
  <c r="C221" i="68" s="1"/>
  <c r="E221" i="68" s="1"/>
  <c r="G221" i="68" s="1"/>
  <c r="C221" i="69" s="1"/>
  <c r="E221" i="69" s="1"/>
  <c r="G221" i="69" s="1"/>
  <c r="C221" i="72" s="1"/>
  <c r="E221" i="72" s="1"/>
  <c r="G221" i="72" s="1"/>
  <c r="C221" i="73" s="1"/>
  <c r="E221" i="73" s="1"/>
  <c r="G221" i="73" s="1"/>
  <c r="C221" i="74" s="1"/>
  <c r="E221" i="74" s="1"/>
  <c r="G221" i="74" s="1"/>
  <c r="C221" i="75" s="1"/>
  <c r="E221" i="75" s="1"/>
  <c r="G221" i="75" s="1"/>
  <c r="C221" i="76" s="1"/>
  <c r="E221" i="76" s="1"/>
  <c r="G221" i="76" s="1"/>
  <c r="C221" i="77" s="1"/>
  <c r="E221" i="77" s="1"/>
  <c r="G221" i="77" s="1"/>
  <c r="C221" i="78" s="1"/>
  <c r="E221" i="78" s="1"/>
  <c r="G221" i="78" s="1"/>
  <c r="C221" i="79" s="1"/>
  <c r="E221" i="79" s="1"/>
  <c r="G221" i="79" s="1"/>
  <c r="C221" i="80" s="1"/>
  <c r="E221" i="80" s="1"/>
  <c r="G221" i="80" s="1"/>
  <c r="C221" i="81" s="1"/>
  <c r="E221" i="81" s="1"/>
  <c r="G221" i="81" s="1"/>
  <c r="C221" i="82" s="1"/>
  <c r="E221" i="82" s="1"/>
  <c r="G221" i="82" s="1"/>
  <c r="C221" i="83" s="1"/>
  <c r="E221" i="83" s="1"/>
  <c r="G221" i="83" s="1"/>
  <c r="C221" i="84" s="1"/>
  <c r="E221" i="84" s="1"/>
  <c r="G221" i="84" s="1"/>
  <c r="C221" i="85" s="1"/>
  <c r="E221" i="85" s="1"/>
  <c r="G221" i="85" s="1"/>
  <c r="C221" i="86" s="1"/>
  <c r="E221" i="86" s="1"/>
  <c r="G221" i="86" s="1"/>
  <c r="C221" i="87" s="1"/>
  <c r="E221" i="87" s="1"/>
  <c r="G221" i="87" s="1"/>
  <c r="C221" i="88" s="1"/>
  <c r="E221" i="88" s="1"/>
  <c r="G221" i="88" s="1"/>
  <c r="C221" i="89" s="1"/>
  <c r="E221" i="89" s="1"/>
  <c r="G221" i="89" s="1"/>
  <c r="C221" i="90" s="1"/>
  <c r="E221" i="90" s="1"/>
  <c r="G221" i="90" s="1"/>
  <c r="C221" i="91" s="1"/>
  <c r="E221" i="91" s="1"/>
  <c r="G221" i="91" s="1"/>
  <c r="C221" i="92" s="1"/>
  <c r="E221" i="92" s="1"/>
  <c r="G221" i="92" s="1"/>
  <c r="C221" i="93" s="1"/>
  <c r="E221" i="93" s="1"/>
  <c r="G221" i="93" s="1"/>
  <c r="C221" i="94" s="1"/>
  <c r="E221" i="94" s="1"/>
  <c r="G221" i="94" s="1"/>
  <c r="C221" i="95" s="1"/>
  <c r="E221" i="95" s="1"/>
  <c r="G221" i="95" s="1"/>
  <c r="C221" i="96" s="1"/>
  <c r="E221" i="96" s="1"/>
  <c r="G221" i="96" s="1"/>
  <c r="J221" i="33"/>
  <c r="M221" i="33" s="1"/>
  <c r="E222" i="33"/>
  <c r="G222" i="33" s="1"/>
  <c r="C222" i="66" s="1"/>
  <c r="E222" i="66" s="1"/>
  <c r="G222" i="66" s="1"/>
  <c r="C222" i="67" s="1"/>
  <c r="E222" i="67" s="1"/>
  <c r="G222" i="67" s="1"/>
  <c r="C222" i="70" s="1"/>
  <c r="E222" i="70" s="1"/>
  <c r="G222" i="70" s="1"/>
  <c r="C222" i="71" s="1"/>
  <c r="E222" i="71" s="1"/>
  <c r="G222" i="71" s="1"/>
  <c r="C222" i="68" s="1"/>
  <c r="E222" i="68" s="1"/>
  <c r="G222" i="68" s="1"/>
  <c r="C222" i="69" s="1"/>
  <c r="E222" i="69" s="1"/>
  <c r="G222" i="69" s="1"/>
  <c r="C222" i="72" s="1"/>
  <c r="E222" i="72" s="1"/>
  <c r="G222" i="72" s="1"/>
  <c r="C222" i="73" s="1"/>
  <c r="E222" i="73" s="1"/>
  <c r="G222" i="73" s="1"/>
  <c r="C222" i="74" s="1"/>
  <c r="E222" i="74" s="1"/>
  <c r="G222" i="74" s="1"/>
  <c r="C222" i="75" s="1"/>
  <c r="E222" i="75" s="1"/>
  <c r="G222" i="75" s="1"/>
  <c r="C222" i="76" s="1"/>
  <c r="E222" i="76" s="1"/>
  <c r="G222" i="76" s="1"/>
  <c r="C222" i="77" s="1"/>
  <c r="E222" i="77" s="1"/>
  <c r="G222" i="77" s="1"/>
  <c r="C222" i="78" s="1"/>
  <c r="E222" i="78" s="1"/>
  <c r="G222" i="78" s="1"/>
  <c r="C222" i="79" s="1"/>
  <c r="E222" i="79" s="1"/>
  <c r="G222" i="79" s="1"/>
  <c r="C222" i="80" s="1"/>
  <c r="E222" i="80" s="1"/>
  <c r="G222" i="80" s="1"/>
  <c r="C222" i="81" s="1"/>
  <c r="E222" i="81" s="1"/>
  <c r="G222" i="81" s="1"/>
  <c r="C222" i="82" s="1"/>
  <c r="E222" i="82" s="1"/>
  <c r="G222" i="82" s="1"/>
  <c r="C222" i="83" s="1"/>
  <c r="E222" i="83" s="1"/>
  <c r="G222" i="83" s="1"/>
  <c r="C222" i="84" s="1"/>
  <c r="E222" i="84" s="1"/>
  <c r="G222" i="84" s="1"/>
  <c r="C222" i="85" s="1"/>
  <c r="E222" i="85" s="1"/>
  <c r="G222" i="85" s="1"/>
  <c r="C222" i="86" s="1"/>
  <c r="E222" i="86" s="1"/>
  <c r="G222" i="86" s="1"/>
  <c r="C222" i="87" s="1"/>
  <c r="E222" i="87" s="1"/>
  <c r="G222" i="87" s="1"/>
  <c r="C222" i="88" s="1"/>
  <c r="E222" i="88" s="1"/>
  <c r="G222" i="88" s="1"/>
  <c r="C222" i="89" s="1"/>
  <c r="E222" i="89" s="1"/>
  <c r="G222" i="89" s="1"/>
  <c r="C222" i="90" s="1"/>
  <c r="E222" i="90" s="1"/>
  <c r="G222" i="90" s="1"/>
  <c r="C222" i="91" s="1"/>
  <c r="E222" i="91" s="1"/>
  <c r="G222" i="91" s="1"/>
  <c r="C222" i="92" s="1"/>
  <c r="E222" i="92" s="1"/>
  <c r="G222" i="92" s="1"/>
  <c r="C222" i="93" s="1"/>
  <c r="E222" i="93" s="1"/>
  <c r="G222" i="93" s="1"/>
  <c r="C222" i="94" s="1"/>
  <c r="E222" i="94" s="1"/>
  <c r="G222" i="94" s="1"/>
  <c r="C222" i="95" s="1"/>
  <c r="E222" i="95" s="1"/>
  <c r="G222" i="95" s="1"/>
  <c r="C222" i="96" s="1"/>
  <c r="E222" i="96" s="1"/>
  <c r="G222" i="96" s="1"/>
  <c r="J222" i="33"/>
  <c r="M222" i="33" s="1"/>
  <c r="E223" i="33"/>
  <c r="G223" i="33" s="1"/>
  <c r="C223" i="66" s="1"/>
  <c r="E223" i="66" s="1"/>
  <c r="G223" i="66" s="1"/>
  <c r="C223" i="67" s="1"/>
  <c r="E223" i="67" s="1"/>
  <c r="G223" i="67" s="1"/>
  <c r="C223" i="70" s="1"/>
  <c r="E223" i="70" s="1"/>
  <c r="G223" i="70" s="1"/>
  <c r="C223" i="71" s="1"/>
  <c r="E223" i="71" s="1"/>
  <c r="G223" i="71" s="1"/>
  <c r="C223" i="68" s="1"/>
  <c r="E223" i="68" s="1"/>
  <c r="G223" i="68" s="1"/>
  <c r="C223" i="69" s="1"/>
  <c r="E223" i="69" s="1"/>
  <c r="G223" i="69" s="1"/>
  <c r="C223" i="72" s="1"/>
  <c r="E223" i="72" s="1"/>
  <c r="G223" i="72" s="1"/>
  <c r="C223" i="73" s="1"/>
  <c r="E223" i="73" s="1"/>
  <c r="G223" i="73" s="1"/>
  <c r="C223" i="74" s="1"/>
  <c r="E223" i="74" s="1"/>
  <c r="G223" i="74" s="1"/>
  <c r="C223" i="75" s="1"/>
  <c r="E223" i="75" s="1"/>
  <c r="G223" i="75" s="1"/>
  <c r="C223" i="76" s="1"/>
  <c r="E223" i="76" s="1"/>
  <c r="G223" i="76" s="1"/>
  <c r="C223" i="77" s="1"/>
  <c r="E223" i="77" s="1"/>
  <c r="G223" i="77" s="1"/>
  <c r="C223" i="78" s="1"/>
  <c r="E223" i="78" s="1"/>
  <c r="G223" i="78" s="1"/>
  <c r="C223" i="79" s="1"/>
  <c r="E223" i="79" s="1"/>
  <c r="G223" i="79" s="1"/>
  <c r="C223" i="80" s="1"/>
  <c r="E223" i="80" s="1"/>
  <c r="G223" i="80" s="1"/>
  <c r="C223" i="81" s="1"/>
  <c r="E223" i="81" s="1"/>
  <c r="G223" i="81" s="1"/>
  <c r="C223" i="82" s="1"/>
  <c r="E223" i="82" s="1"/>
  <c r="G223" i="82" s="1"/>
  <c r="C223" i="83" s="1"/>
  <c r="E223" i="83" s="1"/>
  <c r="G223" i="83" s="1"/>
  <c r="C223" i="84" s="1"/>
  <c r="E223" i="84" s="1"/>
  <c r="G223" i="84" s="1"/>
  <c r="C223" i="85" s="1"/>
  <c r="E223" i="85" s="1"/>
  <c r="G223" i="85" s="1"/>
  <c r="C223" i="86" s="1"/>
  <c r="E223" i="86" s="1"/>
  <c r="G223" i="86" s="1"/>
  <c r="C223" i="87" s="1"/>
  <c r="E223" i="87" s="1"/>
  <c r="G223" i="87" s="1"/>
  <c r="C223" i="88" s="1"/>
  <c r="E223" i="88" s="1"/>
  <c r="G223" i="88" s="1"/>
  <c r="C223" i="89" s="1"/>
  <c r="E223" i="89" s="1"/>
  <c r="G223" i="89" s="1"/>
  <c r="C223" i="90" s="1"/>
  <c r="E223" i="90" s="1"/>
  <c r="G223" i="90" s="1"/>
  <c r="C223" i="91" s="1"/>
  <c r="E223" i="91" s="1"/>
  <c r="G223" i="91" s="1"/>
  <c r="C223" i="92" s="1"/>
  <c r="E223" i="92" s="1"/>
  <c r="G223" i="92" s="1"/>
  <c r="C223" i="93" s="1"/>
  <c r="E223" i="93" s="1"/>
  <c r="G223" i="93" s="1"/>
  <c r="C223" i="94" s="1"/>
  <c r="E223" i="94" s="1"/>
  <c r="G223" i="94" s="1"/>
  <c r="C223" i="95" s="1"/>
  <c r="E223" i="95" s="1"/>
  <c r="G223" i="95" s="1"/>
  <c r="C223" i="96" s="1"/>
  <c r="E223" i="96" s="1"/>
  <c r="G223" i="96" s="1"/>
  <c r="J223" i="33"/>
  <c r="M223" i="33" s="1"/>
  <c r="E224" i="33"/>
  <c r="G224" i="33" s="1"/>
  <c r="C224" i="66" s="1"/>
  <c r="E224" i="66" s="1"/>
  <c r="G224" i="66" s="1"/>
  <c r="C224" i="67" s="1"/>
  <c r="E224" i="67" s="1"/>
  <c r="G224" i="67" s="1"/>
  <c r="C224" i="70" s="1"/>
  <c r="E224" i="70" s="1"/>
  <c r="G224" i="70" s="1"/>
  <c r="C224" i="71" s="1"/>
  <c r="E224" i="71" s="1"/>
  <c r="G224" i="71" s="1"/>
  <c r="C224" i="68" s="1"/>
  <c r="E224" i="68" s="1"/>
  <c r="G224" i="68" s="1"/>
  <c r="C224" i="69" s="1"/>
  <c r="E224" i="69" s="1"/>
  <c r="G224" i="69" s="1"/>
  <c r="C224" i="72" s="1"/>
  <c r="E224" i="72" s="1"/>
  <c r="G224" i="72" s="1"/>
  <c r="C224" i="73" s="1"/>
  <c r="E224" i="73" s="1"/>
  <c r="G224" i="73" s="1"/>
  <c r="C224" i="74" s="1"/>
  <c r="E224" i="74" s="1"/>
  <c r="G224" i="74" s="1"/>
  <c r="C224" i="75" s="1"/>
  <c r="E224" i="75" s="1"/>
  <c r="G224" i="75" s="1"/>
  <c r="C224" i="76" s="1"/>
  <c r="E224" i="76" s="1"/>
  <c r="G224" i="76" s="1"/>
  <c r="C224" i="77" s="1"/>
  <c r="E224" i="77" s="1"/>
  <c r="G224" i="77" s="1"/>
  <c r="C224" i="78" s="1"/>
  <c r="E224" i="78" s="1"/>
  <c r="G224" i="78" s="1"/>
  <c r="C224" i="79" s="1"/>
  <c r="E224" i="79" s="1"/>
  <c r="G224" i="79" s="1"/>
  <c r="C224" i="80" s="1"/>
  <c r="E224" i="80" s="1"/>
  <c r="G224" i="80" s="1"/>
  <c r="C224" i="81" s="1"/>
  <c r="E224" i="81" s="1"/>
  <c r="G224" i="81" s="1"/>
  <c r="C224" i="82" s="1"/>
  <c r="E224" i="82" s="1"/>
  <c r="G224" i="82" s="1"/>
  <c r="C224" i="83" s="1"/>
  <c r="E224" i="83" s="1"/>
  <c r="G224" i="83" s="1"/>
  <c r="C224" i="84" s="1"/>
  <c r="E224" i="84" s="1"/>
  <c r="G224" i="84" s="1"/>
  <c r="C224" i="85" s="1"/>
  <c r="E224" i="85" s="1"/>
  <c r="G224" i="85" s="1"/>
  <c r="C224" i="86" s="1"/>
  <c r="E224" i="86" s="1"/>
  <c r="G224" i="86" s="1"/>
  <c r="C224" i="87" s="1"/>
  <c r="E224" i="87" s="1"/>
  <c r="G224" i="87" s="1"/>
  <c r="C224" i="88" s="1"/>
  <c r="E224" i="88" s="1"/>
  <c r="G224" i="88" s="1"/>
  <c r="C224" i="89" s="1"/>
  <c r="E224" i="89" s="1"/>
  <c r="G224" i="89" s="1"/>
  <c r="C224" i="90" s="1"/>
  <c r="E224" i="90" s="1"/>
  <c r="G224" i="90" s="1"/>
  <c r="C224" i="91" s="1"/>
  <c r="E224" i="91" s="1"/>
  <c r="G224" i="91" s="1"/>
  <c r="C224" i="92" s="1"/>
  <c r="E224" i="92" s="1"/>
  <c r="G224" i="92" s="1"/>
  <c r="C224" i="93" s="1"/>
  <c r="E224" i="93" s="1"/>
  <c r="G224" i="93" s="1"/>
  <c r="C224" i="94" s="1"/>
  <c r="E224" i="94" s="1"/>
  <c r="G224" i="94" s="1"/>
  <c r="C224" i="95" s="1"/>
  <c r="E224" i="95" s="1"/>
  <c r="G224" i="95" s="1"/>
  <c r="C224" i="96" s="1"/>
  <c r="E224" i="96" s="1"/>
  <c r="G224" i="96" s="1"/>
  <c r="J224" i="33"/>
  <c r="M224" i="33" s="1"/>
  <c r="E225" i="33"/>
  <c r="G225" i="33" s="1"/>
  <c r="C225" i="66" s="1"/>
  <c r="E225" i="66" s="1"/>
  <c r="G225" i="66" s="1"/>
  <c r="C225" i="67" s="1"/>
  <c r="E225" i="67" s="1"/>
  <c r="G225" i="67" s="1"/>
  <c r="C225" i="70" s="1"/>
  <c r="E225" i="70" s="1"/>
  <c r="G225" i="70" s="1"/>
  <c r="C225" i="71" s="1"/>
  <c r="E225" i="71" s="1"/>
  <c r="G225" i="71" s="1"/>
  <c r="C225" i="68" s="1"/>
  <c r="E225" i="68" s="1"/>
  <c r="G225" i="68" s="1"/>
  <c r="C225" i="69" s="1"/>
  <c r="E225" i="69" s="1"/>
  <c r="G225" i="69" s="1"/>
  <c r="C225" i="72" s="1"/>
  <c r="E225" i="72" s="1"/>
  <c r="G225" i="72" s="1"/>
  <c r="C225" i="73" s="1"/>
  <c r="E225" i="73" s="1"/>
  <c r="G225" i="73" s="1"/>
  <c r="C225" i="74" s="1"/>
  <c r="E225" i="74" s="1"/>
  <c r="G225" i="74" s="1"/>
  <c r="C225" i="75" s="1"/>
  <c r="E225" i="75" s="1"/>
  <c r="G225" i="75" s="1"/>
  <c r="C225" i="76" s="1"/>
  <c r="E225" i="76" s="1"/>
  <c r="G225" i="76" s="1"/>
  <c r="C225" i="77" s="1"/>
  <c r="E225" i="77" s="1"/>
  <c r="G225" i="77" s="1"/>
  <c r="C225" i="78" s="1"/>
  <c r="E225" i="78" s="1"/>
  <c r="G225" i="78" s="1"/>
  <c r="C225" i="79" s="1"/>
  <c r="E225" i="79" s="1"/>
  <c r="G225" i="79" s="1"/>
  <c r="C225" i="80" s="1"/>
  <c r="E225" i="80" s="1"/>
  <c r="G225" i="80" s="1"/>
  <c r="C225" i="81" s="1"/>
  <c r="E225" i="81" s="1"/>
  <c r="G225" i="81" s="1"/>
  <c r="C225" i="82" s="1"/>
  <c r="E225" i="82" s="1"/>
  <c r="G225" i="82" s="1"/>
  <c r="C225" i="83" s="1"/>
  <c r="E225" i="83" s="1"/>
  <c r="G225" i="83" s="1"/>
  <c r="C225" i="84" s="1"/>
  <c r="E225" i="84" s="1"/>
  <c r="G225" i="84" s="1"/>
  <c r="C225" i="85" s="1"/>
  <c r="E225" i="85" s="1"/>
  <c r="G225" i="85" s="1"/>
  <c r="C225" i="86" s="1"/>
  <c r="E225" i="86" s="1"/>
  <c r="G225" i="86" s="1"/>
  <c r="C225" i="87" s="1"/>
  <c r="E225" i="87" s="1"/>
  <c r="G225" i="87" s="1"/>
  <c r="C225" i="88" s="1"/>
  <c r="E225" i="88" s="1"/>
  <c r="G225" i="88" s="1"/>
  <c r="C225" i="89" s="1"/>
  <c r="E225" i="89" s="1"/>
  <c r="G225" i="89" s="1"/>
  <c r="C225" i="90" s="1"/>
  <c r="E225" i="90" s="1"/>
  <c r="G225" i="90" s="1"/>
  <c r="C225" i="91" s="1"/>
  <c r="E225" i="91" s="1"/>
  <c r="G225" i="91" s="1"/>
  <c r="C225" i="92" s="1"/>
  <c r="E225" i="92" s="1"/>
  <c r="G225" i="92" s="1"/>
  <c r="C225" i="93" s="1"/>
  <c r="E225" i="93" s="1"/>
  <c r="G225" i="93" s="1"/>
  <c r="C225" i="94" s="1"/>
  <c r="E225" i="94" s="1"/>
  <c r="G225" i="94" s="1"/>
  <c r="C225" i="95" s="1"/>
  <c r="E225" i="95" s="1"/>
  <c r="G225" i="95" s="1"/>
  <c r="C225" i="96" s="1"/>
  <c r="E225" i="96" s="1"/>
  <c r="G225" i="96" s="1"/>
  <c r="J225" i="33"/>
  <c r="M225" i="33" s="1"/>
  <c r="E226" i="33"/>
  <c r="G226" i="33" s="1"/>
  <c r="C226" i="66" s="1"/>
  <c r="E226" i="66" s="1"/>
  <c r="G226" i="66" s="1"/>
  <c r="C226" i="67" s="1"/>
  <c r="E226" i="67" s="1"/>
  <c r="G226" i="67" s="1"/>
  <c r="C226" i="70" s="1"/>
  <c r="E226" i="70" s="1"/>
  <c r="G226" i="70" s="1"/>
  <c r="C226" i="71" s="1"/>
  <c r="E226" i="71" s="1"/>
  <c r="G226" i="71" s="1"/>
  <c r="C226" i="68" s="1"/>
  <c r="E226" i="68" s="1"/>
  <c r="G226" i="68" s="1"/>
  <c r="C226" i="69" s="1"/>
  <c r="E226" i="69" s="1"/>
  <c r="G226" i="69" s="1"/>
  <c r="C226" i="72" s="1"/>
  <c r="E226" i="72" s="1"/>
  <c r="G226" i="72" s="1"/>
  <c r="C226" i="73" s="1"/>
  <c r="E226" i="73" s="1"/>
  <c r="G226" i="73" s="1"/>
  <c r="C226" i="74" s="1"/>
  <c r="E226" i="74" s="1"/>
  <c r="G226" i="74" s="1"/>
  <c r="C226" i="75" s="1"/>
  <c r="E226" i="75" s="1"/>
  <c r="G226" i="75" s="1"/>
  <c r="C226" i="76" s="1"/>
  <c r="E226" i="76" s="1"/>
  <c r="G226" i="76" s="1"/>
  <c r="C226" i="77" s="1"/>
  <c r="E226" i="77" s="1"/>
  <c r="G226" i="77" s="1"/>
  <c r="C226" i="78" s="1"/>
  <c r="E226" i="78" s="1"/>
  <c r="G226" i="78" s="1"/>
  <c r="C226" i="79" s="1"/>
  <c r="E226" i="79" s="1"/>
  <c r="G226" i="79" s="1"/>
  <c r="C226" i="80" s="1"/>
  <c r="E226" i="80" s="1"/>
  <c r="G226" i="80" s="1"/>
  <c r="C226" i="81" s="1"/>
  <c r="E226" i="81" s="1"/>
  <c r="G226" i="81" s="1"/>
  <c r="C226" i="82" s="1"/>
  <c r="E226" i="82" s="1"/>
  <c r="G226" i="82" s="1"/>
  <c r="C226" i="83" s="1"/>
  <c r="E226" i="83" s="1"/>
  <c r="G226" i="83" s="1"/>
  <c r="C226" i="84" s="1"/>
  <c r="E226" i="84" s="1"/>
  <c r="G226" i="84" s="1"/>
  <c r="C226" i="85" s="1"/>
  <c r="E226" i="85" s="1"/>
  <c r="G226" i="85" s="1"/>
  <c r="C226" i="86" s="1"/>
  <c r="E226" i="86" s="1"/>
  <c r="G226" i="86" s="1"/>
  <c r="C226" i="87" s="1"/>
  <c r="E226" i="87" s="1"/>
  <c r="G226" i="87" s="1"/>
  <c r="C226" i="88" s="1"/>
  <c r="E226" i="88" s="1"/>
  <c r="G226" i="88" s="1"/>
  <c r="C226" i="89" s="1"/>
  <c r="E226" i="89" s="1"/>
  <c r="G226" i="89" s="1"/>
  <c r="C226" i="90" s="1"/>
  <c r="E226" i="90" s="1"/>
  <c r="G226" i="90" s="1"/>
  <c r="C226" i="91" s="1"/>
  <c r="E226" i="91" s="1"/>
  <c r="G226" i="91" s="1"/>
  <c r="C226" i="92" s="1"/>
  <c r="E226" i="92" s="1"/>
  <c r="G226" i="92" s="1"/>
  <c r="C226" i="93" s="1"/>
  <c r="E226" i="93" s="1"/>
  <c r="G226" i="93" s="1"/>
  <c r="C226" i="94" s="1"/>
  <c r="E226" i="94" s="1"/>
  <c r="G226" i="94" s="1"/>
  <c r="C226" i="95" s="1"/>
  <c r="E226" i="95" s="1"/>
  <c r="G226" i="95" s="1"/>
  <c r="C226" i="96" s="1"/>
  <c r="E226" i="96" s="1"/>
  <c r="G226" i="96" s="1"/>
  <c r="J226" i="33"/>
  <c r="M226" i="33" s="1"/>
  <c r="E227" i="33"/>
  <c r="G227" i="33" s="1"/>
  <c r="C227" i="66" s="1"/>
  <c r="E227" i="66" s="1"/>
  <c r="G227" i="66" s="1"/>
  <c r="C227" i="67" s="1"/>
  <c r="E227" i="67" s="1"/>
  <c r="G227" i="67" s="1"/>
  <c r="C227" i="70" s="1"/>
  <c r="E227" i="70" s="1"/>
  <c r="G227" i="70" s="1"/>
  <c r="C227" i="71" s="1"/>
  <c r="E227" i="71" s="1"/>
  <c r="G227" i="71" s="1"/>
  <c r="C227" i="68" s="1"/>
  <c r="E227" i="68" s="1"/>
  <c r="G227" i="68" s="1"/>
  <c r="C227" i="69" s="1"/>
  <c r="E227" i="69" s="1"/>
  <c r="G227" i="69" s="1"/>
  <c r="C227" i="72" s="1"/>
  <c r="E227" i="72" s="1"/>
  <c r="G227" i="72" s="1"/>
  <c r="C227" i="73" s="1"/>
  <c r="E227" i="73" s="1"/>
  <c r="G227" i="73" s="1"/>
  <c r="C227" i="74" s="1"/>
  <c r="E227" i="74" s="1"/>
  <c r="G227" i="74" s="1"/>
  <c r="C227" i="75" s="1"/>
  <c r="E227" i="75" s="1"/>
  <c r="G227" i="75" s="1"/>
  <c r="C227" i="76" s="1"/>
  <c r="E227" i="76" s="1"/>
  <c r="G227" i="76" s="1"/>
  <c r="C227" i="77" s="1"/>
  <c r="E227" i="77" s="1"/>
  <c r="G227" i="77" s="1"/>
  <c r="C227" i="78" s="1"/>
  <c r="E227" i="78" s="1"/>
  <c r="G227" i="78" s="1"/>
  <c r="C227" i="79" s="1"/>
  <c r="E227" i="79" s="1"/>
  <c r="G227" i="79" s="1"/>
  <c r="C227" i="80" s="1"/>
  <c r="E227" i="80" s="1"/>
  <c r="G227" i="80" s="1"/>
  <c r="C227" i="81" s="1"/>
  <c r="E227" i="81" s="1"/>
  <c r="G227" i="81" s="1"/>
  <c r="C227" i="82" s="1"/>
  <c r="E227" i="82" s="1"/>
  <c r="G227" i="82" s="1"/>
  <c r="C227" i="83" s="1"/>
  <c r="E227" i="83" s="1"/>
  <c r="G227" i="83" s="1"/>
  <c r="C227" i="84" s="1"/>
  <c r="E227" i="84" s="1"/>
  <c r="G227" i="84" s="1"/>
  <c r="C227" i="85" s="1"/>
  <c r="E227" i="85" s="1"/>
  <c r="G227" i="85" s="1"/>
  <c r="C227" i="86" s="1"/>
  <c r="E227" i="86" s="1"/>
  <c r="G227" i="86" s="1"/>
  <c r="C227" i="87" s="1"/>
  <c r="E227" i="87" s="1"/>
  <c r="G227" i="87" s="1"/>
  <c r="C227" i="88" s="1"/>
  <c r="E227" i="88" s="1"/>
  <c r="G227" i="88" s="1"/>
  <c r="C227" i="89" s="1"/>
  <c r="E227" i="89" s="1"/>
  <c r="G227" i="89" s="1"/>
  <c r="C227" i="90" s="1"/>
  <c r="E227" i="90" s="1"/>
  <c r="G227" i="90" s="1"/>
  <c r="C227" i="91" s="1"/>
  <c r="E227" i="91" s="1"/>
  <c r="G227" i="91" s="1"/>
  <c r="C227" i="92" s="1"/>
  <c r="E227" i="92" s="1"/>
  <c r="G227" i="92" s="1"/>
  <c r="C227" i="93" s="1"/>
  <c r="E227" i="93" s="1"/>
  <c r="G227" i="93" s="1"/>
  <c r="C227" i="94" s="1"/>
  <c r="E227" i="94" s="1"/>
  <c r="G227" i="94" s="1"/>
  <c r="C227" i="95" s="1"/>
  <c r="E227" i="95" s="1"/>
  <c r="G227" i="95" s="1"/>
  <c r="C227" i="96" s="1"/>
  <c r="E227" i="96" s="1"/>
  <c r="G227" i="96" s="1"/>
  <c r="J227" i="33"/>
  <c r="M227" i="33" s="1"/>
  <c r="E228" i="33"/>
  <c r="G228" i="33" s="1"/>
  <c r="C228" i="66" s="1"/>
  <c r="E228" i="66" s="1"/>
  <c r="G228" i="66" s="1"/>
  <c r="C228" i="67" s="1"/>
  <c r="E228" i="67" s="1"/>
  <c r="G228" i="67" s="1"/>
  <c r="C228" i="70" s="1"/>
  <c r="E228" i="70" s="1"/>
  <c r="G228" i="70" s="1"/>
  <c r="C228" i="71" s="1"/>
  <c r="E228" i="71" s="1"/>
  <c r="G228" i="71" s="1"/>
  <c r="C228" i="68" s="1"/>
  <c r="E228" i="68" s="1"/>
  <c r="G228" i="68" s="1"/>
  <c r="C228" i="69" s="1"/>
  <c r="E228" i="69" s="1"/>
  <c r="G228" i="69" s="1"/>
  <c r="C228" i="72" s="1"/>
  <c r="E228" i="72" s="1"/>
  <c r="G228" i="72" s="1"/>
  <c r="C228" i="73" s="1"/>
  <c r="E228" i="73" s="1"/>
  <c r="G228" i="73" s="1"/>
  <c r="C228" i="74" s="1"/>
  <c r="E228" i="74" s="1"/>
  <c r="G228" i="74" s="1"/>
  <c r="C228" i="75" s="1"/>
  <c r="E228" i="75" s="1"/>
  <c r="G228" i="75" s="1"/>
  <c r="C228" i="76" s="1"/>
  <c r="E228" i="76" s="1"/>
  <c r="G228" i="76" s="1"/>
  <c r="C228" i="77" s="1"/>
  <c r="E228" i="77" s="1"/>
  <c r="G228" i="77" s="1"/>
  <c r="C228" i="78" s="1"/>
  <c r="E228" i="78" s="1"/>
  <c r="G228" i="78" s="1"/>
  <c r="C228" i="79" s="1"/>
  <c r="E228" i="79" s="1"/>
  <c r="G228" i="79" s="1"/>
  <c r="C228" i="80" s="1"/>
  <c r="E228" i="80" s="1"/>
  <c r="G228" i="80" s="1"/>
  <c r="C228" i="81" s="1"/>
  <c r="E228" i="81" s="1"/>
  <c r="G228" i="81" s="1"/>
  <c r="C228" i="82" s="1"/>
  <c r="E228" i="82" s="1"/>
  <c r="G228" i="82" s="1"/>
  <c r="C228" i="83" s="1"/>
  <c r="E228" i="83" s="1"/>
  <c r="G228" i="83" s="1"/>
  <c r="C228" i="84" s="1"/>
  <c r="E228" i="84" s="1"/>
  <c r="G228" i="84" s="1"/>
  <c r="C228" i="85" s="1"/>
  <c r="E228" i="85" s="1"/>
  <c r="G228" i="85" s="1"/>
  <c r="C228" i="86" s="1"/>
  <c r="E228" i="86" s="1"/>
  <c r="G228" i="86" s="1"/>
  <c r="C228" i="87" s="1"/>
  <c r="E228" i="87" s="1"/>
  <c r="G228" i="87" s="1"/>
  <c r="C228" i="88" s="1"/>
  <c r="E228" i="88" s="1"/>
  <c r="G228" i="88" s="1"/>
  <c r="C228" i="89" s="1"/>
  <c r="E228" i="89" s="1"/>
  <c r="G228" i="89" s="1"/>
  <c r="C228" i="90" s="1"/>
  <c r="E228" i="90" s="1"/>
  <c r="G228" i="90" s="1"/>
  <c r="C228" i="91" s="1"/>
  <c r="E228" i="91" s="1"/>
  <c r="G228" i="91" s="1"/>
  <c r="C228" i="92" s="1"/>
  <c r="E228" i="92" s="1"/>
  <c r="G228" i="92" s="1"/>
  <c r="C228" i="93" s="1"/>
  <c r="E228" i="93" s="1"/>
  <c r="G228" i="93" s="1"/>
  <c r="C228" i="94" s="1"/>
  <c r="E228" i="94" s="1"/>
  <c r="G228" i="94" s="1"/>
  <c r="C228" i="95" s="1"/>
  <c r="E228" i="95" s="1"/>
  <c r="G228" i="95" s="1"/>
  <c r="C228" i="96" s="1"/>
  <c r="E228" i="96" s="1"/>
  <c r="G228" i="96" s="1"/>
  <c r="J228" i="33"/>
  <c r="M228" i="33" s="1"/>
  <c r="E229" i="33"/>
  <c r="G229" i="33" s="1"/>
  <c r="C229" i="66" s="1"/>
  <c r="E229" i="66" s="1"/>
  <c r="G229" i="66" s="1"/>
  <c r="C229" i="67" s="1"/>
  <c r="E229" i="67" s="1"/>
  <c r="G229" i="67" s="1"/>
  <c r="C229" i="70" s="1"/>
  <c r="E229" i="70" s="1"/>
  <c r="G229" i="70" s="1"/>
  <c r="C229" i="71" s="1"/>
  <c r="E229" i="71" s="1"/>
  <c r="G229" i="71" s="1"/>
  <c r="C229" i="68" s="1"/>
  <c r="E229" i="68" s="1"/>
  <c r="G229" i="68" s="1"/>
  <c r="C229" i="69" s="1"/>
  <c r="E229" i="69" s="1"/>
  <c r="G229" i="69" s="1"/>
  <c r="C229" i="72" s="1"/>
  <c r="E229" i="72" s="1"/>
  <c r="G229" i="72" s="1"/>
  <c r="C229" i="73" s="1"/>
  <c r="E229" i="73" s="1"/>
  <c r="G229" i="73" s="1"/>
  <c r="C229" i="74" s="1"/>
  <c r="E229" i="74" s="1"/>
  <c r="G229" i="74" s="1"/>
  <c r="C229" i="75" s="1"/>
  <c r="E229" i="75" s="1"/>
  <c r="G229" i="75" s="1"/>
  <c r="C229" i="76" s="1"/>
  <c r="E229" i="76" s="1"/>
  <c r="G229" i="76" s="1"/>
  <c r="C229" i="77" s="1"/>
  <c r="E229" i="77" s="1"/>
  <c r="G229" i="77" s="1"/>
  <c r="C229" i="78" s="1"/>
  <c r="E229" i="78" s="1"/>
  <c r="G229" i="78" s="1"/>
  <c r="C229" i="79" s="1"/>
  <c r="E229" i="79" s="1"/>
  <c r="G229" i="79" s="1"/>
  <c r="C229" i="80" s="1"/>
  <c r="E229" i="80" s="1"/>
  <c r="G229" i="80" s="1"/>
  <c r="C229" i="81" s="1"/>
  <c r="E229" i="81" s="1"/>
  <c r="G229" i="81" s="1"/>
  <c r="C229" i="82" s="1"/>
  <c r="E229" i="82" s="1"/>
  <c r="G229" i="82" s="1"/>
  <c r="C229" i="83" s="1"/>
  <c r="E229" i="83" s="1"/>
  <c r="G229" i="83" s="1"/>
  <c r="C229" i="84" s="1"/>
  <c r="E229" i="84" s="1"/>
  <c r="G229" i="84" s="1"/>
  <c r="C229" i="85" s="1"/>
  <c r="E229" i="85" s="1"/>
  <c r="G229" i="85" s="1"/>
  <c r="C229" i="86" s="1"/>
  <c r="E229" i="86" s="1"/>
  <c r="G229" i="86" s="1"/>
  <c r="C229" i="87" s="1"/>
  <c r="E229" i="87" s="1"/>
  <c r="G229" i="87" s="1"/>
  <c r="C229" i="88" s="1"/>
  <c r="E229" i="88" s="1"/>
  <c r="G229" i="88" s="1"/>
  <c r="C229" i="89" s="1"/>
  <c r="E229" i="89" s="1"/>
  <c r="G229" i="89" s="1"/>
  <c r="C229" i="90" s="1"/>
  <c r="E229" i="90" s="1"/>
  <c r="G229" i="90" s="1"/>
  <c r="C229" i="91" s="1"/>
  <c r="E229" i="91" s="1"/>
  <c r="G229" i="91" s="1"/>
  <c r="C229" i="92" s="1"/>
  <c r="E229" i="92" s="1"/>
  <c r="G229" i="92" s="1"/>
  <c r="C229" i="93" s="1"/>
  <c r="E229" i="93" s="1"/>
  <c r="G229" i="93" s="1"/>
  <c r="C229" i="94" s="1"/>
  <c r="E229" i="94" s="1"/>
  <c r="G229" i="94" s="1"/>
  <c r="C229" i="95" s="1"/>
  <c r="E229" i="95" s="1"/>
  <c r="G229" i="95" s="1"/>
  <c r="C229" i="96" s="1"/>
  <c r="E229" i="96" s="1"/>
  <c r="G229" i="96" s="1"/>
  <c r="J229" i="33"/>
  <c r="M229" i="33" s="1"/>
  <c r="E230" i="33"/>
  <c r="G230" i="33" s="1"/>
  <c r="C230" i="66" s="1"/>
  <c r="E230" i="66" s="1"/>
  <c r="G230" i="66" s="1"/>
  <c r="C230" i="67" s="1"/>
  <c r="E230" i="67" s="1"/>
  <c r="G230" i="67" s="1"/>
  <c r="C230" i="70" s="1"/>
  <c r="E230" i="70" s="1"/>
  <c r="G230" i="70" s="1"/>
  <c r="C230" i="71" s="1"/>
  <c r="E230" i="71" s="1"/>
  <c r="G230" i="71" s="1"/>
  <c r="C230" i="68" s="1"/>
  <c r="E230" i="68" s="1"/>
  <c r="G230" i="68" s="1"/>
  <c r="C230" i="69" s="1"/>
  <c r="E230" i="69" s="1"/>
  <c r="G230" i="69" s="1"/>
  <c r="C230" i="72" s="1"/>
  <c r="E230" i="72" s="1"/>
  <c r="G230" i="72" s="1"/>
  <c r="C230" i="73" s="1"/>
  <c r="E230" i="73" s="1"/>
  <c r="G230" i="73" s="1"/>
  <c r="C230" i="74" s="1"/>
  <c r="E230" i="74" s="1"/>
  <c r="G230" i="74" s="1"/>
  <c r="C230" i="75" s="1"/>
  <c r="E230" i="75" s="1"/>
  <c r="G230" i="75" s="1"/>
  <c r="C230" i="76" s="1"/>
  <c r="E230" i="76" s="1"/>
  <c r="G230" i="76" s="1"/>
  <c r="C230" i="77" s="1"/>
  <c r="E230" i="77" s="1"/>
  <c r="G230" i="77" s="1"/>
  <c r="C230" i="78" s="1"/>
  <c r="E230" i="78" s="1"/>
  <c r="G230" i="78" s="1"/>
  <c r="C230" i="79" s="1"/>
  <c r="E230" i="79" s="1"/>
  <c r="G230" i="79" s="1"/>
  <c r="C230" i="80" s="1"/>
  <c r="E230" i="80" s="1"/>
  <c r="G230" i="80" s="1"/>
  <c r="C230" i="81" s="1"/>
  <c r="E230" i="81" s="1"/>
  <c r="G230" i="81" s="1"/>
  <c r="C230" i="82" s="1"/>
  <c r="E230" i="82" s="1"/>
  <c r="G230" i="82" s="1"/>
  <c r="C230" i="83" s="1"/>
  <c r="E230" i="83" s="1"/>
  <c r="G230" i="83" s="1"/>
  <c r="C230" i="84" s="1"/>
  <c r="E230" i="84" s="1"/>
  <c r="G230" i="84" s="1"/>
  <c r="C230" i="85" s="1"/>
  <c r="E230" i="85" s="1"/>
  <c r="G230" i="85" s="1"/>
  <c r="C230" i="86" s="1"/>
  <c r="E230" i="86" s="1"/>
  <c r="G230" i="86" s="1"/>
  <c r="C230" i="87" s="1"/>
  <c r="E230" i="87" s="1"/>
  <c r="G230" i="87" s="1"/>
  <c r="C230" i="88" s="1"/>
  <c r="E230" i="88" s="1"/>
  <c r="G230" i="88" s="1"/>
  <c r="C230" i="89" s="1"/>
  <c r="E230" i="89" s="1"/>
  <c r="G230" i="89" s="1"/>
  <c r="C230" i="90" s="1"/>
  <c r="E230" i="90" s="1"/>
  <c r="G230" i="90" s="1"/>
  <c r="C230" i="91" s="1"/>
  <c r="E230" i="91" s="1"/>
  <c r="G230" i="91" s="1"/>
  <c r="C230" i="92" s="1"/>
  <c r="E230" i="92" s="1"/>
  <c r="G230" i="92" s="1"/>
  <c r="C230" i="93" s="1"/>
  <c r="E230" i="93" s="1"/>
  <c r="G230" i="93" s="1"/>
  <c r="C230" i="94" s="1"/>
  <c r="E230" i="94" s="1"/>
  <c r="G230" i="94" s="1"/>
  <c r="C230" i="95" s="1"/>
  <c r="E230" i="95" s="1"/>
  <c r="G230" i="95" s="1"/>
  <c r="C230" i="96" s="1"/>
  <c r="E230" i="96" s="1"/>
  <c r="G230" i="96" s="1"/>
  <c r="J230" i="33"/>
  <c r="M230" i="33" s="1"/>
  <c r="E231" i="33"/>
  <c r="G231" i="33" s="1"/>
  <c r="C231" i="66" s="1"/>
  <c r="E231" i="66" s="1"/>
  <c r="G231" i="66" s="1"/>
  <c r="C231" i="67" s="1"/>
  <c r="E231" i="67" s="1"/>
  <c r="G231" i="67" s="1"/>
  <c r="C231" i="70" s="1"/>
  <c r="E231" i="70" s="1"/>
  <c r="G231" i="70" s="1"/>
  <c r="C231" i="71" s="1"/>
  <c r="E231" i="71" s="1"/>
  <c r="G231" i="71" s="1"/>
  <c r="C231" i="68" s="1"/>
  <c r="E231" i="68" s="1"/>
  <c r="G231" i="68" s="1"/>
  <c r="C231" i="69" s="1"/>
  <c r="E231" i="69" s="1"/>
  <c r="G231" i="69" s="1"/>
  <c r="C231" i="72" s="1"/>
  <c r="E231" i="72" s="1"/>
  <c r="G231" i="72" s="1"/>
  <c r="C231" i="73" s="1"/>
  <c r="E231" i="73" s="1"/>
  <c r="G231" i="73" s="1"/>
  <c r="C231" i="74" s="1"/>
  <c r="E231" i="74" s="1"/>
  <c r="G231" i="74" s="1"/>
  <c r="C231" i="75" s="1"/>
  <c r="E231" i="75" s="1"/>
  <c r="G231" i="75" s="1"/>
  <c r="C231" i="76" s="1"/>
  <c r="E231" i="76" s="1"/>
  <c r="G231" i="76" s="1"/>
  <c r="C231" i="77" s="1"/>
  <c r="E231" i="77" s="1"/>
  <c r="G231" i="77" s="1"/>
  <c r="C231" i="78" s="1"/>
  <c r="E231" i="78" s="1"/>
  <c r="G231" i="78" s="1"/>
  <c r="C231" i="79" s="1"/>
  <c r="E231" i="79" s="1"/>
  <c r="G231" i="79" s="1"/>
  <c r="C231" i="80" s="1"/>
  <c r="E231" i="80" s="1"/>
  <c r="G231" i="80" s="1"/>
  <c r="C231" i="81" s="1"/>
  <c r="E231" i="81" s="1"/>
  <c r="G231" i="81" s="1"/>
  <c r="C231" i="82" s="1"/>
  <c r="E231" i="82" s="1"/>
  <c r="G231" i="82" s="1"/>
  <c r="C231" i="83" s="1"/>
  <c r="E231" i="83" s="1"/>
  <c r="G231" i="83" s="1"/>
  <c r="C231" i="84" s="1"/>
  <c r="E231" i="84" s="1"/>
  <c r="G231" i="84" s="1"/>
  <c r="C231" i="85" s="1"/>
  <c r="E231" i="85" s="1"/>
  <c r="G231" i="85" s="1"/>
  <c r="C231" i="86" s="1"/>
  <c r="E231" i="86" s="1"/>
  <c r="G231" i="86" s="1"/>
  <c r="C231" i="87" s="1"/>
  <c r="E231" i="87" s="1"/>
  <c r="G231" i="87" s="1"/>
  <c r="C231" i="88" s="1"/>
  <c r="E231" i="88" s="1"/>
  <c r="G231" i="88" s="1"/>
  <c r="C231" i="89" s="1"/>
  <c r="E231" i="89" s="1"/>
  <c r="G231" i="89" s="1"/>
  <c r="C231" i="90" s="1"/>
  <c r="E231" i="90" s="1"/>
  <c r="G231" i="90" s="1"/>
  <c r="C231" i="91" s="1"/>
  <c r="E231" i="91" s="1"/>
  <c r="G231" i="91" s="1"/>
  <c r="C231" i="92" s="1"/>
  <c r="E231" i="92" s="1"/>
  <c r="G231" i="92" s="1"/>
  <c r="C231" i="93" s="1"/>
  <c r="E231" i="93" s="1"/>
  <c r="G231" i="93" s="1"/>
  <c r="C231" i="94" s="1"/>
  <c r="E231" i="94" s="1"/>
  <c r="G231" i="94" s="1"/>
  <c r="C231" i="95" s="1"/>
  <c r="E231" i="95" s="1"/>
  <c r="G231" i="95" s="1"/>
  <c r="C231" i="96" s="1"/>
  <c r="E231" i="96" s="1"/>
  <c r="G231" i="96" s="1"/>
  <c r="J231" i="33"/>
  <c r="M231" i="33" s="1"/>
  <c r="E232" i="33"/>
  <c r="G232" i="33" s="1"/>
  <c r="C232" i="66" s="1"/>
  <c r="E232" i="66" s="1"/>
  <c r="G232" i="66" s="1"/>
  <c r="C232" i="67" s="1"/>
  <c r="E232" i="67" s="1"/>
  <c r="G232" i="67" s="1"/>
  <c r="C232" i="70" s="1"/>
  <c r="E232" i="70" s="1"/>
  <c r="G232" i="70" s="1"/>
  <c r="C232" i="71" s="1"/>
  <c r="E232" i="71" s="1"/>
  <c r="G232" i="71" s="1"/>
  <c r="C232" i="68" s="1"/>
  <c r="E232" i="68" s="1"/>
  <c r="G232" i="68" s="1"/>
  <c r="C232" i="69" s="1"/>
  <c r="E232" i="69" s="1"/>
  <c r="G232" i="69" s="1"/>
  <c r="C232" i="72" s="1"/>
  <c r="E232" i="72" s="1"/>
  <c r="G232" i="72" s="1"/>
  <c r="C232" i="73" s="1"/>
  <c r="E232" i="73" s="1"/>
  <c r="G232" i="73" s="1"/>
  <c r="C232" i="74" s="1"/>
  <c r="E232" i="74" s="1"/>
  <c r="G232" i="74" s="1"/>
  <c r="C232" i="75" s="1"/>
  <c r="E232" i="75" s="1"/>
  <c r="G232" i="75" s="1"/>
  <c r="C232" i="76" s="1"/>
  <c r="E232" i="76" s="1"/>
  <c r="G232" i="76" s="1"/>
  <c r="C232" i="77" s="1"/>
  <c r="E232" i="77" s="1"/>
  <c r="G232" i="77" s="1"/>
  <c r="C232" i="78" s="1"/>
  <c r="E232" i="78" s="1"/>
  <c r="G232" i="78" s="1"/>
  <c r="C232" i="79" s="1"/>
  <c r="E232" i="79" s="1"/>
  <c r="G232" i="79" s="1"/>
  <c r="C232" i="80" s="1"/>
  <c r="E232" i="80" s="1"/>
  <c r="G232" i="80" s="1"/>
  <c r="C232" i="81" s="1"/>
  <c r="E232" i="81" s="1"/>
  <c r="G232" i="81" s="1"/>
  <c r="C232" i="82" s="1"/>
  <c r="E232" i="82" s="1"/>
  <c r="G232" i="82" s="1"/>
  <c r="C232" i="83" s="1"/>
  <c r="E232" i="83" s="1"/>
  <c r="G232" i="83" s="1"/>
  <c r="C232" i="84" s="1"/>
  <c r="E232" i="84" s="1"/>
  <c r="G232" i="84" s="1"/>
  <c r="C232" i="85" s="1"/>
  <c r="E232" i="85" s="1"/>
  <c r="G232" i="85" s="1"/>
  <c r="C232" i="86" s="1"/>
  <c r="E232" i="86" s="1"/>
  <c r="G232" i="86" s="1"/>
  <c r="C232" i="87" s="1"/>
  <c r="E232" i="87" s="1"/>
  <c r="G232" i="87" s="1"/>
  <c r="C232" i="88" s="1"/>
  <c r="E232" i="88" s="1"/>
  <c r="G232" i="88" s="1"/>
  <c r="C232" i="89" s="1"/>
  <c r="E232" i="89" s="1"/>
  <c r="G232" i="89" s="1"/>
  <c r="C232" i="90" s="1"/>
  <c r="E232" i="90" s="1"/>
  <c r="G232" i="90" s="1"/>
  <c r="C232" i="91" s="1"/>
  <c r="E232" i="91" s="1"/>
  <c r="G232" i="91" s="1"/>
  <c r="C232" i="92" s="1"/>
  <c r="E232" i="92" s="1"/>
  <c r="G232" i="92" s="1"/>
  <c r="C232" i="93" s="1"/>
  <c r="E232" i="93" s="1"/>
  <c r="G232" i="93" s="1"/>
  <c r="C232" i="94" s="1"/>
  <c r="E232" i="94" s="1"/>
  <c r="G232" i="94" s="1"/>
  <c r="C232" i="95" s="1"/>
  <c r="E232" i="95" s="1"/>
  <c r="G232" i="95" s="1"/>
  <c r="C232" i="96" s="1"/>
  <c r="E232" i="96" s="1"/>
  <c r="G232" i="96" s="1"/>
  <c r="J232" i="33"/>
  <c r="M232" i="33" s="1"/>
  <c r="E233" i="33"/>
  <c r="G233" i="33"/>
  <c r="C233" i="66" s="1"/>
  <c r="E233" i="66" s="1"/>
  <c r="G233" i="66" s="1"/>
  <c r="C233" i="67" s="1"/>
  <c r="E233" i="67" s="1"/>
  <c r="G233" i="67" s="1"/>
  <c r="C233" i="70" s="1"/>
  <c r="E233" i="70" s="1"/>
  <c r="G233" i="70" s="1"/>
  <c r="C233" i="71" s="1"/>
  <c r="E233" i="71" s="1"/>
  <c r="G233" i="71" s="1"/>
  <c r="C233" i="68" s="1"/>
  <c r="E233" i="68" s="1"/>
  <c r="G233" i="68" s="1"/>
  <c r="C233" i="69" s="1"/>
  <c r="E233" i="69" s="1"/>
  <c r="G233" i="69" s="1"/>
  <c r="C233" i="72" s="1"/>
  <c r="E233" i="72" s="1"/>
  <c r="G233" i="72" s="1"/>
  <c r="C233" i="73" s="1"/>
  <c r="E233" i="73" s="1"/>
  <c r="G233" i="73" s="1"/>
  <c r="C233" i="74" s="1"/>
  <c r="E233" i="74" s="1"/>
  <c r="G233" i="74" s="1"/>
  <c r="C233" i="75" s="1"/>
  <c r="E233" i="75" s="1"/>
  <c r="G233" i="75" s="1"/>
  <c r="C233" i="76" s="1"/>
  <c r="E233" i="76" s="1"/>
  <c r="G233" i="76" s="1"/>
  <c r="C233" i="77" s="1"/>
  <c r="E233" i="77" s="1"/>
  <c r="G233" i="77" s="1"/>
  <c r="C233" i="78" s="1"/>
  <c r="E233" i="78" s="1"/>
  <c r="G233" i="78" s="1"/>
  <c r="C233" i="79" s="1"/>
  <c r="E233" i="79" s="1"/>
  <c r="G233" i="79" s="1"/>
  <c r="C233" i="80" s="1"/>
  <c r="E233" i="80" s="1"/>
  <c r="G233" i="80" s="1"/>
  <c r="C233" i="81" s="1"/>
  <c r="E233" i="81" s="1"/>
  <c r="G233" i="81" s="1"/>
  <c r="C233" i="82" s="1"/>
  <c r="E233" i="82" s="1"/>
  <c r="G233" i="82" s="1"/>
  <c r="C233" i="83" s="1"/>
  <c r="E233" i="83" s="1"/>
  <c r="G233" i="83" s="1"/>
  <c r="C233" i="84" s="1"/>
  <c r="E233" i="84" s="1"/>
  <c r="G233" i="84" s="1"/>
  <c r="C233" i="85" s="1"/>
  <c r="E233" i="85" s="1"/>
  <c r="G233" i="85" s="1"/>
  <c r="C233" i="86" s="1"/>
  <c r="E233" i="86" s="1"/>
  <c r="G233" i="86" s="1"/>
  <c r="C233" i="87" s="1"/>
  <c r="E233" i="87" s="1"/>
  <c r="G233" i="87" s="1"/>
  <c r="C233" i="88" s="1"/>
  <c r="E233" i="88" s="1"/>
  <c r="G233" i="88" s="1"/>
  <c r="C233" i="89" s="1"/>
  <c r="E233" i="89" s="1"/>
  <c r="G233" i="89" s="1"/>
  <c r="C233" i="90" s="1"/>
  <c r="E233" i="90" s="1"/>
  <c r="G233" i="90" s="1"/>
  <c r="C233" i="91" s="1"/>
  <c r="E233" i="91" s="1"/>
  <c r="G233" i="91" s="1"/>
  <c r="C233" i="92" s="1"/>
  <c r="E233" i="92" s="1"/>
  <c r="G233" i="92" s="1"/>
  <c r="C233" i="93" s="1"/>
  <c r="E233" i="93" s="1"/>
  <c r="G233" i="93" s="1"/>
  <c r="C233" i="94" s="1"/>
  <c r="E233" i="94" s="1"/>
  <c r="G233" i="94" s="1"/>
  <c r="C233" i="95" s="1"/>
  <c r="E233" i="95" s="1"/>
  <c r="G233" i="95" s="1"/>
  <c r="C233" i="96" s="1"/>
  <c r="E233" i="96" s="1"/>
  <c r="G233" i="96" s="1"/>
  <c r="J233" i="33"/>
  <c r="M233" i="33" s="1"/>
  <c r="E234" i="33"/>
  <c r="G234" i="33" s="1"/>
  <c r="C234" i="66" s="1"/>
  <c r="E234" i="66" s="1"/>
  <c r="G234" i="66" s="1"/>
  <c r="C234" i="67" s="1"/>
  <c r="E234" i="67" s="1"/>
  <c r="G234" i="67" s="1"/>
  <c r="C234" i="70" s="1"/>
  <c r="E234" i="70" s="1"/>
  <c r="G234" i="70" s="1"/>
  <c r="C234" i="71" s="1"/>
  <c r="E234" i="71" s="1"/>
  <c r="G234" i="71" s="1"/>
  <c r="C234" i="68" s="1"/>
  <c r="E234" i="68" s="1"/>
  <c r="G234" i="68" s="1"/>
  <c r="C234" i="69" s="1"/>
  <c r="E234" i="69" s="1"/>
  <c r="G234" i="69" s="1"/>
  <c r="C234" i="72" s="1"/>
  <c r="E234" i="72" s="1"/>
  <c r="G234" i="72" s="1"/>
  <c r="C234" i="73" s="1"/>
  <c r="E234" i="73" s="1"/>
  <c r="G234" i="73" s="1"/>
  <c r="C234" i="74" s="1"/>
  <c r="E234" i="74" s="1"/>
  <c r="G234" i="74" s="1"/>
  <c r="C234" i="75" s="1"/>
  <c r="E234" i="75" s="1"/>
  <c r="G234" i="75" s="1"/>
  <c r="C234" i="76" s="1"/>
  <c r="E234" i="76" s="1"/>
  <c r="G234" i="76" s="1"/>
  <c r="C234" i="77" s="1"/>
  <c r="E234" i="77" s="1"/>
  <c r="G234" i="77" s="1"/>
  <c r="C234" i="78" s="1"/>
  <c r="E234" i="78" s="1"/>
  <c r="G234" i="78" s="1"/>
  <c r="C234" i="79" s="1"/>
  <c r="E234" i="79" s="1"/>
  <c r="G234" i="79" s="1"/>
  <c r="C234" i="80" s="1"/>
  <c r="E234" i="80" s="1"/>
  <c r="G234" i="80" s="1"/>
  <c r="C234" i="81" s="1"/>
  <c r="E234" i="81" s="1"/>
  <c r="G234" i="81" s="1"/>
  <c r="C234" i="82" s="1"/>
  <c r="E234" i="82" s="1"/>
  <c r="G234" i="82" s="1"/>
  <c r="C234" i="83" s="1"/>
  <c r="E234" i="83" s="1"/>
  <c r="G234" i="83" s="1"/>
  <c r="C234" i="84" s="1"/>
  <c r="E234" i="84" s="1"/>
  <c r="G234" i="84" s="1"/>
  <c r="C234" i="85" s="1"/>
  <c r="E234" i="85" s="1"/>
  <c r="G234" i="85" s="1"/>
  <c r="C234" i="86" s="1"/>
  <c r="E234" i="86" s="1"/>
  <c r="G234" i="86" s="1"/>
  <c r="C234" i="87" s="1"/>
  <c r="E234" i="87" s="1"/>
  <c r="G234" i="87" s="1"/>
  <c r="C234" i="88" s="1"/>
  <c r="E234" i="88" s="1"/>
  <c r="G234" i="88" s="1"/>
  <c r="C234" i="89" s="1"/>
  <c r="E234" i="89" s="1"/>
  <c r="G234" i="89" s="1"/>
  <c r="C234" i="90" s="1"/>
  <c r="E234" i="90" s="1"/>
  <c r="G234" i="90" s="1"/>
  <c r="C234" i="91" s="1"/>
  <c r="E234" i="91" s="1"/>
  <c r="G234" i="91" s="1"/>
  <c r="C234" i="92" s="1"/>
  <c r="E234" i="92" s="1"/>
  <c r="G234" i="92" s="1"/>
  <c r="C234" i="93" s="1"/>
  <c r="E234" i="93" s="1"/>
  <c r="G234" i="93" s="1"/>
  <c r="C234" i="94" s="1"/>
  <c r="E234" i="94" s="1"/>
  <c r="G234" i="94" s="1"/>
  <c r="C234" i="95" s="1"/>
  <c r="E234" i="95" s="1"/>
  <c r="G234" i="95" s="1"/>
  <c r="C234" i="96" s="1"/>
  <c r="E234" i="96" s="1"/>
  <c r="G234" i="96" s="1"/>
  <c r="J234" i="33"/>
  <c r="M234" i="33"/>
  <c r="E235" i="33"/>
  <c r="G235" i="33"/>
  <c r="C235" i="66" s="1"/>
  <c r="E235" i="66" s="1"/>
  <c r="G235" i="66" s="1"/>
  <c r="C235" i="67" s="1"/>
  <c r="E235" i="67" s="1"/>
  <c r="G235" i="67" s="1"/>
  <c r="C235" i="70" s="1"/>
  <c r="E235" i="70" s="1"/>
  <c r="G235" i="70" s="1"/>
  <c r="C235" i="71" s="1"/>
  <c r="E235" i="71" s="1"/>
  <c r="G235" i="71" s="1"/>
  <c r="C235" i="68" s="1"/>
  <c r="E235" i="68" s="1"/>
  <c r="G235" i="68" s="1"/>
  <c r="C235" i="69" s="1"/>
  <c r="E235" i="69" s="1"/>
  <c r="G235" i="69" s="1"/>
  <c r="C235" i="72" s="1"/>
  <c r="E235" i="72" s="1"/>
  <c r="G235" i="72" s="1"/>
  <c r="C235" i="73" s="1"/>
  <c r="E235" i="73" s="1"/>
  <c r="G235" i="73" s="1"/>
  <c r="C235" i="74" s="1"/>
  <c r="E235" i="74" s="1"/>
  <c r="G235" i="74" s="1"/>
  <c r="C235" i="75" s="1"/>
  <c r="E235" i="75" s="1"/>
  <c r="G235" i="75" s="1"/>
  <c r="C235" i="76" s="1"/>
  <c r="E235" i="76" s="1"/>
  <c r="G235" i="76" s="1"/>
  <c r="C235" i="77" s="1"/>
  <c r="E235" i="77" s="1"/>
  <c r="G235" i="77" s="1"/>
  <c r="C235" i="78" s="1"/>
  <c r="E235" i="78" s="1"/>
  <c r="G235" i="78" s="1"/>
  <c r="C235" i="79" s="1"/>
  <c r="E235" i="79" s="1"/>
  <c r="G235" i="79" s="1"/>
  <c r="C235" i="80" s="1"/>
  <c r="E235" i="80" s="1"/>
  <c r="G235" i="80" s="1"/>
  <c r="C235" i="81" s="1"/>
  <c r="E235" i="81" s="1"/>
  <c r="G235" i="81" s="1"/>
  <c r="C235" i="82" s="1"/>
  <c r="E235" i="82" s="1"/>
  <c r="G235" i="82" s="1"/>
  <c r="C235" i="83" s="1"/>
  <c r="E235" i="83" s="1"/>
  <c r="G235" i="83" s="1"/>
  <c r="C235" i="84" s="1"/>
  <c r="E235" i="84" s="1"/>
  <c r="G235" i="84" s="1"/>
  <c r="C235" i="85" s="1"/>
  <c r="E235" i="85" s="1"/>
  <c r="G235" i="85" s="1"/>
  <c r="C235" i="86" s="1"/>
  <c r="E235" i="86" s="1"/>
  <c r="G235" i="86" s="1"/>
  <c r="C235" i="87" s="1"/>
  <c r="E235" i="87" s="1"/>
  <c r="G235" i="87" s="1"/>
  <c r="C235" i="88" s="1"/>
  <c r="E235" i="88" s="1"/>
  <c r="G235" i="88" s="1"/>
  <c r="C235" i="89" s="1"/>
  <c r="E235" i="89" s="1"/>
  <c r="G235" i="89" s="1"/>
  <c r="C235" i="90" s="1"/>
  <c r="E235" i="90" s="1"/>
  <c r="G235" i="90" s="1"/>
  <c r="C235" i="91" s="1"/>
  <c r="E235" i="91" s="1"/>
  <c r="G235" i="91" s="1"/>
  <c r="C235" i="92" s="1"/>
  <c r="E235" i="92" s="1"/>
  <c r="G235" i="92" s="1"/>
  <c r="C235" i="93" s="1"/>
  <c r="E235" i="93" s="1"/>
  <c r="G235" i="93" s="1"/>
  <c r="C235" i="94" s="1"/>
  <c r="E235" i="94" s="1"/>
  <c r="G235" i="94" s="1"/>
  <c r="C235" i="95" s="1"/>
  <c r="E235" i="95" s="1"/>
  <c r="G235" i="95" s="1"/>
  <c r="C235" i="96" s="1"/>
  <c r="E235" i="96" s="1"/>
  <c r="G235" i="96" s="1"/>
  <c r="J235" i="33"/>
  <c r="M235" i="33" s="1"/>
  <c r="E236" i="33"/>
  <c r="G236" i="33" s="1"/>
  <c r="C236" i="66" s="1"/>
  <c r="E236" i="66" s="1"/>
  <c r="G236" i="66" s="1"/>
  <c r="C236" i="67" s="1"/>
  <c r="E236" i="67" s="1"/>
  <c r="G236" i="67" s="1"/>
  <c r="C236" i="70" s="1"/>
  <c r="E236" i="70" s="1"/>
  <c r="G236" i="70" s="1"/>
  <c r="C236" i="71" s="1"/>
  <c r="E236" i="71" s="1"/>
  <c r="G236" i="71" s="1"/>
  <c r="C236" i="68" s="1"/>
  <c r="E236" i="68" s="1"/>
  <c r="G236" i="68" s="1"/>
  <c r="C236" i="69" s="1"/>
  <c r="E236" i="69" s="1"/>
  <c r="G236" i="69" s="1"/>
  <c r="C236" i="72" s="1"/>
  <c r="E236" i="72" s="1"/>
  <c r="G236" i="72" s="1"/>
  <c r="C236" i="73" s="1"/>
  <c r="E236" i="73" s="1"/>
  <c r="G236" i="73" s="1"/>
  <c r="C236" i="74" s="1"/>
  <c r="E236" i="74" s="1"/>
  <c r="G236" i="74" s="1"/>
  <c r="C236" i="75" s="1"/>
  <c r="E236" i="75" s="1"/>
  <c r="G236" i="75" s="1"/>
  <c r="C236" i="76" s="1"/>
  <c r="E236" i="76" s="1"/>
  <c r="G236" i="76" s="1"/>
  <c r="C236" i="77" s="1"/>
  <c r="E236" i="77" s="1"/>
  <c r="G236" i="77" s="1"/>
  <c r="C236" i="78" s="1"/>
  <c r="E236" i="78" s="1"/>
  <c r="G236" i="78" s="1"/>
  <c r="C236" i="79" s="1"/>
  <c r="E236" i="79" s="1"/>
  <c r="G236" i="79" s="1"/>
  <c r="C236" i="80" s="1"/>
  <c r="E236" i="80" s="1"/>
  <c r="G236" i="80" s="1"/>
  <c r="C236" i="81" s="1"/>
  <c r="E236" i="81" s="1"/>
  <c r="G236" i="81" s="1"/>
  <c r="C236" i="82" s="1"/>
  <c r="E236" i="82" s="1"/>
  <c r="G236" i="82" s="1"/>
  <c r="C236" i="83" s="1"/>
  <c r="E236" i="83" s="1"/>
  <c r="G236" i="83" s="1"/>
  <c r="C236" i="84" s="1"/>
  <c r="E236" i="84" s="1"/>
  <c r="G236" i="84" s="1"/>
  <c r="C236" i="85" s="1"/>
  <c r="E236" i="85" s="1"/>
  <c r="G236" i="85" s="1"/>
  <c r="C236" i="86" s="1"/>
  <c r="E236" i="86" s="1"/>
  <c r="G236" i="86" s="1"/>
  <c r="C236" i="87" s="1"/>
  <c r="E236" i="87" s="1"/>
  <c r="G236" i="87" s="1"/>
  <c r="C236" i="88" s="1"/>
  <c r="E236" i="88" s="1"/>
  <c r="G236" i="88" s="1"/>
  <c r="C236" i="89" s="1"/>
  <c r="E236" i="89" s="1"/>
  <c r="G236" i="89" s="1"/>
  <c r="C236" i="90" s="1"/>
  <c r="E236" i="90" s="1"/>
  <c r="G236" i="90" s="1"/>
  <c r="C236" i="91" s="1"/>
  <c r="E236" i="91" s="1"/>
  <c r="G236" i="91" s="1"/>
  <c r="C236" i="92" s="1"/>
  <c r="E236" i="92" s="1"/>
  <c r="G236" i="92" s="1"/>
  <c r="C236" i="93" s="1"/>
  <c r="E236" i="93" s="1"/>
  <c r="G236" i="93" s="1"/>
  <c r="C236" i="94" s="1"/>
  <c r="E236" i="94" s="1"/>
  <c r="G236" i="94" s="1"/>
  <c r="C236" i="95" s="1"/>
  <c r="E236" i="95" s="1"/>
  <c r="G236" i="95" s="1"/>
  <c r="C236" i="96" s="1"/>
  <c r="E236" i="96" s="1"/>
  <c r="G236" i="96" s="1"/>
  <c r="J236" i="33"/>
  <c r="M236" i="33" s="1"/>
  <c r="E237" i="33"/>
  <c r="G237" i="33" s="1"/>
  <c r="C237" i="66" s="1"/>
  <c r="E237" i="66" s="1"/>
  <c r="G237" i="66" s="1"/>
  <c r="C237" i="67" s="1"/>
  <c r="E237" i="67" s="1"/>
  <c r="G237" i="67" s="1"/>
  <c r="C237" i="70" s="1"/>
  <c r="E237" i="70" s="1"/>
  <c r="G237" i="70" s="1"/>
  <c r="C237" i="71" s="1"/>
  <c r="E237" i="71" s="1"/>
  <c r="G237" i="71" s="1"/>
  <c r="C237" i="68" s="1"/>
  <c r="E237" i="68" s="1"/>
  <c r="G237" i="68" s="1"/>
  <c r="C237" i="69" s="1"/>
  <c r="E237" i="69" s="1"/>
  <c r="G237" i="69" s="1"/>
  <c r="C237" i="72" s="1"/>
  <c r="E237" i="72" s="1"/>
  <c r="G237" i="72" s="1"/>
  <c r="C237" i="73" s="1"/>
  <c r="E237" i="73" s="1"/>
  <c r="G237" i="73" s="1"/>
  <c r="C237" i="74" s="1"/>
  <c r="E237" i="74" s="1"/>
  <c r="G237" i="74" s="1"/>
  <c r="C237" i="75" s="1"/>
  <c r="E237" i="75" s="1"/>
  <c r="G237" i="75" s="1"/>
  <c r="C237" i="76" s="1"/>
  <c r="E237" i="76" s="1"/>
  <c r="G237" i="76" s="1"/>
  <c r="C237" i="77" s="1"/>
  <c r="E237" i="77" s="1"/>
  <c r="G237" i="77" s="1"/>
  <c r="C237" i="78" s="1"/>
  <c r="E237" i="78" s="1"/>
  <c r="G237" i="78" s="1"/>
  <c r="C237" i="79" s="1"/>
  <c r="E237" i="79" s="1"/>
  <c r="G237" i="79" s="1"/>
  <c r="C237" i="80" s="1"/>
  <c r="E237" i="80" s="1"/>
  <c r="G237" i="80" s="1"/>
  <c r="C237" i="81" s="1"/>
  <c r="E237" i="81" s="1"/>
  <c r="G237" i="81" s="1"/>
  <c r="C237" i="82" s="1"/>
  <c r="E237" i="82" s="1"/>
  <c r="G237" i="82" s="1"/>
  <c r="C237" i="83" s="1"/>
  <c r="E237" i="83" s="1"/>
  <c r="G237" i="83" s="1"/>
  <c r="C237" i="84" s="1"/>
  <c r="E237" i="84" s="1"/>
  <c r="G237" i="84" s="1"/>
  <c r="C237" i="85" s="1"/>
  <c r="E237" i="85" s="1"/>
  <c r="G237" i="85" s="1"/>
  <c r="C237" i="86" s="1"/>
  <c r="E237" i="86" s="1"/>
  <c r="G237" i="86" s="1"/>
  <c r="C237" i="87" s="1"/>
  <c r="E237" i="87" s="1"/>
  <c r="G237" i="87" s="1"/>
  <c r="C237" i="88" s="1"/>
  <c r="E237" i="88" s="1"/>
  <c r="G237" i="88" s="1"/>
  <c r="C237" i="89" s="1"/>
  <c r="E237" i="89" s="1"/>
  <c r="G237" i="89" s="1"/>
  <c r="C237" i="90" s="1"/>
  <c r="E237" i="90" s="1"/>
  <c r="G237" i="90" s="1"/>
  <c r="C237" i="91" s="1"/>
  <c r="E237" i="91" s="1"/>
  <c r="G237" i="91" s="1"/>
  <c r="C237" i="92" s="1"/>
  <c r="E237" i="92" s="1"/>
  <c r="G237" i="92" s="1"/>
  <c r="C237" i="93" s="1"/>
  <c r="E237" i="93" s="1"/>
  <c r="G237" i="93" s="1"/>
  <c r="C237" i="94" s="1"/>
  <c r="E237" i="94" s="1"/>
  <c r="G237" i="94" s="1"/>
  <c r="C237" i="95" s="1"/>
  <c r="E237" i="95" s="1"/>
  <c r="G237" i="95" s="1"/>
  <c r="C237" i="96" s="1"/>
  <c r="E237" i="96" s="1"/>
  <c r="G237" i="96" s="1"/>
  <c r="J237" i="33"/>
  <c r="M237" i="33" s="1"/>
  <c r="E238" i="33"/>
  <c r="G238" i="33" s="1"/>
  <c r="C238" i="66" s="1"/>
  <c r="E238" i="66" s="1"/>
  <c r="G238" i="66" s="1"/>
  <c r="C238" i="67" s="1"/>
  <c r="E238" i="67" s="1"/>
  <c r="G238" i="67" s="1"/>
  <c r="C238" i="70" s="1"/>
  <c r="E238" i="70" s="1"/>
  <c r="G238" i="70" s="1"/>
  <c r="C238" i="71" s="1"/>
  <c r="E238" i="71" s="1"/>
  <c r="G238" i="71" s="1"/>
  <c r="C238" i="68" s="1"/>
  <c r="E238" i="68" s="1"/>
  <c r="G238" i="68" s="1"/>
  <c r="C238" i="69" s="1"/>
  <c r="E238" i="69" s="1"/>
  <c r="G238" i="69" s="1"/>
  <c r="C238" i="72" s="1"/>
  <c r="E238" i="72" s="1"/>
  <c r="G238" i="72" s="1"/>
  <c r="C238" i="73" s="1"/>
  <c r="E238" i="73" s="1"/>
  <c r="G238" i="73" s="1"/>
  <c r="C238" i="74" s="1"/>
  <c r="E238" i="74" s="1"/>
  <c r="G238" i="74" s="1"/>
  <c r="C238" i="75" s="1"/>
  <c r="E238" i="75" s="1"/>
  <c r="G238" i="75" s="1"/>
  <c r="C238" i="76" s="1"/>
  <c r="E238" i="76" s="1"/>
  <c r="G238" i="76" s="1"/>
  <c r="C238" i="77" s="1"/>
  <c r="E238" i="77" s="1"/>
  <c r="G238" i="77" s="1"/>
  <c r="C238" i="78" s="1"/>
  <c r="E238" i="78" s="1"/>
  <c r="G238" i="78" s="1"/>
  <c r="C238" i="79" s="1"/>
  <c r="E238" i="79" s="1"/>
  <c r="G238" i="79" s="1"/>
  <c r="C238" i="80" s="1"/>
  <c r="E238" i="80" s="1"/>
  <c r="G238" i="80" s="1"/>
  <c r="C238" i="81" s="1"/>
  <c r="E238" i="81" s="1"/>
  <c r="G238" i="81" s="1"/>
  <c r="C238" i="82" s="1"/>
  <c r="E238" i="82" s="1"/>
  <c r="G238" i="82" s="1"/>
  <c r="C238" i="83" s="1"/>
  <c r="E238" i="83" s="1"/>
  <c r="G238" i="83" s="1"/>
  <c r="C238" i="84" s="1"/>
  <c r="E238" i="84" s="1"/>
  <c r="G238" i="84" s="1"/>
  <c r="C238" i="85" s="1"/>
  <c r="E238" i="85" s="1"/>
  <c r="G238" i="85" s="1"/>
  <c r="C238" i="86" s="1"/>
  <c r="E238" i="86" s="1"/>
  <c r="G238" i="86" s="1"/>
  <c r="C238" i="87" s="1"/>
  <c r="E238" i="87" s="1"/>
  <c r="G238" i="87" s="1"/>
  <c r="C238" i="88" s="1"/>
  <c r="E238" i="88" s="1"/>
  <c r="G238" i="88" s="1"/>
  <c r="C238" i="89" s="1"/>
  <c r="E238" i="89" s="1"/>
  <c r="G238" i="89" s="1"/>
  <c r="C238" i="90" s="1"/>
  <c r="E238" i="90" s="1"/>
  <c r="G238" i="90" s="1"/>
  <c r="C238" i="91" s="1"/>
  <c r="E238" i="91" s="1"/>
  <c r="G238" i="91" s="1"/>
  <c r="C238" i="92" s="1"/>
  <c r="E238" i="92" s="1"/>
  <c r="G238" i="92" s="1"/>
  <c r="C238" i="93" s="1"/>
  <c r="E238" i="93" s="1"/>
  <c r="G238" i="93" s="1"/>
  <c r="C238" i="94" s="1"/>
  <c r="E238" i="94" s="1"/>
  <c r="G238" i="94" s="1"/>
  <c r="C238" i="95" s="1"/>
  <c r="E238" i="95" s="1"/>
  <c r="G238" i="95" s="1"/>
  <c r="C238" i="96" s="1"/>
  <c r="E238" i="96" s="1"/>
  <c r="G238" i="96" s="1"/>
  <c r="J238" i="33"/>
  <c r="M238" i="33" s="1"/>
  <c r="E239" i="33"/>
  <c r="G239" i="33"/>
  <c r="C239" i="66" s="1"/>
  <c r="E239" i="66" s="1"/>
  <c r="G239" i="66" s="1"/>
  <c r="C239" i="67" s="1"/>
  <c r="E239" i="67" s="1"/>
  <c r="G239" i="67" s="1"/>
  <c r="C239" i="70" s="1"/>
  <c r="E239" i="70" s="1"/>
  <c r="G239" i="70" s="1"/>
  <c r="C239" i="71" s="1"/>
  <c r="E239" i="71" s="1"/>
  <c r="G239" i="71" s="1"/>
  <c r="C239" i="68" s="1"/>
  <c r="E239" i="68" s="1"/>
  <c r="G239" i="68" s="1"/>
  <c r="C239" i="69" s="1"/>
  <c r="E239" i="69" s="1"/>
  <c r="G239" i="69" s="1"/>
  <c r="C239" i="72" s="1"/>
  <c r="E239" i="72" s="1"/>
  <c r="G239" i="72" s="1"/>
  <c r="C239" i="73" s="1"/>
  <c r="E239" i="73" s="1"/>
  <c r="G239" i="73" s="1"/>
  <c r="C239" i="74" s="1"/>
  <c r="E239" i="74" s="1"/>
  <c r="G239" i="74" s="1"/>
  <c r="C239" i="75" s="1"/>
  <c r="E239" i="75" s="1"/>
  <c r="G239" i="75" s="1"/>
  <c r="C239" i="76" s="1"/>
  <c r="E239" i="76" s="1"/>
  <c r="G239" i="76" s="1"/>
  <c r="C239" i="77" s="1"/>
  <c r="E239" i="77" s="1"/>
  <c r="G239" i="77" s="1"/>
  <c r="C239" i="78" s="1"/>
  <c r="E239" i="78" s="1"/>
  <c r="G239" i="78" s="1"/>
  <c r="C239" i="79" s="1"/>
  <c r="E239" i="79" s="1"/>
  <c r="G239" i="79" s="1"/>
  <c r="C239" i="80" s="1"/>
  <c r="E239" i="80" s="1"/>
  <c r="G239" i="80" s="1"/>
  <c r="C239" i="81" s="1"/>
  <c r="E239" i="81" s="1"/>
  <c r="G239" i="81" s="1"/>
  <c r="C239" i="82" s="1"/>
  <c r="E239" i="82" s="1"/>
  <c r="G239" i="82" s="1"/>
  <c r="C239" i="83" s="1"/>
  <c r="E239" i="83" s="1"/>
  <c r="G239" i="83" s="1"/>
  <c r="C239" i="84" s="1"/>
  <c r="E239" i="84" s="1"/>
  <c r="G239" i="84" s="1"/>
  <c r="C239" i="85" s="1"/>
  <c r="E239" i="85" s="1"/>
  <c r="G239" i="85" s="1"/>
  <c r="C239" i="86" s="1"/>
  <c r="E239" i="86" s="1"/>
  <c r="G239" i="86" s="1"/>
  <c r="C239" i="87" s="1"/>
  <c r="E239" i="87" s="1"/>
  <c r="G239" i="87" s="1"/>
  <c r="C239" i="88" s="1"/>
  <c r="E239" i="88" s="1"/>
  <c r="G239" i="88" s="1"/>
  <c r="C239" i="89" s="1"/>
  <c r="E239" i="89" s="1"/>
  <c r="G239" i="89" s="1"/>
  <c r="C239" i="90" s="1"/>
  <c r="E239" i="90" s="1"/>
  <c r="G239" i="90" s="1"/>
  <c r="C239" i="91" s="1"/>
  <c r="E239" i="91" s="1"/>
  <c r="G239" i="91" s="1"/>
  <c r="C239" i="92" s="1"/>
  <c r="E239" i="92" s="1"/>
  <c r="G239" i="92" s="1"/>
  <c r="C239" i="93" s="1"/>
  <c r="E239" i="93" s="1"/>
  <c r="G239" i="93" s="1"/>
  <c r="C239" i="94" s="1"/>
  <c r="E239" i="94" s="1"/>
  <c r="G239" i="94" s="1"/>
  <c r="C239" i="95" s="1"/>
  <c r="E239" i="95" s="1"/>
  <c r="G239" i="95" s="1"/>
  <c r="C239" i="96" s="1"/>
  <c r="E239" i="96" s="1"/>
  <c r="G239" i="96" s="1"/>
  <c r="J239" i="33"/>
  <c r="M239" i="33" s="1"/>
  <c r="E240" i="33"/>
  <c r="G240" i="33" s="1"/>
  <c r="C240" i="66" s="1"/>
  <c r="E240" i="66" s="1"/>
  <c r="G240" i="66" s="1"/>
  <c r="C240" i="67" s="1"/>
  <c r="E240" i="67" s="1"/>
  <c r="G240" i="67" s="1"/>
  <c r="C240" i="70" s="1"/>
  <c r="E240" i="70" s="1"/>
  <c r="G240" i="70" s="1"/>
  <c r="C240" i="71" s="1"/>
  <c r="E240" i="71" s="1"/>
  <c r="G240" i="71" s="1"/>
  <c r="C240" i="68" s="1"/>
  <c r="E240" i="68" s="1"/>
  <c r="G240" i="68" s="1"/>
  <c r="C240" i="69" s="1"/>
  <c r="E240" i="69" s="1"/>
  <c r="G240" i="69" s="1"/>
  <c r="C240" i="72" s="1"/>
  <c r="E240" i="72" s="1"/>
  <c r="G240" i="72" s="1"/>
  <c r="C240" i="73" s="1"/>
  <c r="E240" i="73" s="1"/>
  <c r="G240" i="73" s="1"/>
  <c r="C240" i="74" s="1"/>
  <c r="E240" i="74" s="1"/>
  <c r="G240" i="74" s="1"/>
  <c r="C240" i="75" s="1"/>
  <c r="E240" i="75" s="1"/>
  <c r="G240" i="75" s="1"/>
  <c r="C240" i="76" s="1"/>
  <c r="E240" i="76" s="1"/>
  <c r="G240" i="76" s="1"/>
  <c r="C240" i="77" s="1"/>
  <c r="E240" i="77" s="1"/>
  <c r="G240" i="77" s="1"/>
  <c r="C240" i="78" s="1"/>
  <c r="E240" i="78" s="1"/>
  <c r="G240" i="78" s="1"/>
  <c r="C240" i="79" s="1"/>
  <c r="E240" i="79" s="1"/>
  <c r="G240" i="79" s="1"/>
  <c r="C240" i="80" s="1"/>
  <c r="E240" i="80" s="1"/>
  <c r="G240" i="80" s="1"/>
  <c r="C240" i="81" s="1"/>
  <c r="E240" i="81" s="1"/>
  <c r="G240" i="81" s="1"/>
  <c r="C240" i="82" s="1"/>
  <c r="E240" i="82" s="1"/>
  <c r="G240" i="82" s="1"/>
  <c r="C240" i="83" s="1"/>
  <c r="E240" i="83" s="1"/>
  <c r="G240" i="83" s="1"/>
  <c r="C240" i="84" s="1"/>
  <c r="E240" i="84" s="1"/>
  <c r="G240" i="84" s="1"/>
  <c r="C240" i="85" s="1"/>
  <c r="E240" i="85" s="1"/>
  <c r="G240" i="85" s="1"/>
  <c r="C240" i="86" s="1"/>
  <c r="E240" i="86" s="1"/>
  <c r="G240" i="86" s="1"/>
  <c r="C240" i="87" s="1"/>
  <c r="E240" i="87" s="1"/>
  <c r="G240" i="87" s="1"/>
  <c r="C240" i="88" s="1"/>
  <c r="E240" i="88" s="1"/>
  <c r="G240" i="88" s="1"/>
  <c r="C240" i="89" s="1"/>
  <c r="E240" i="89" s="1"/>
  <c r="G240" i="89" s="1"/>
  <c r="C240" i="90" s="1"/>
  <c r="E240" i="90" s="1"/>
  <c r="G240" i="90" s="1"/>
  <c r="C240" i="91" s="1"/>
  <c r="E240" i="91" s="1"/>
  <c r="G240" i="91" s="1"/>
  <c r="C240" i="92" s="1"/>
  <c r="E240" i="92" s="1"/>
  <c r="G240" i="92" s="1"/>
  <c r="C240" i="93" s="1"/>
  <c r="E240" i="93" s="1"/>
  <c r="G240" i="93" s="1"/>
  <c r="C240" i="94" s="1"/>
  <c r="E240" i="94" s="1"/>
  <c r="G240" i="94" s="1"/>
  <c r="C240" i="95" s="1"/>
  <c r="E240" i="95" s="1"/>
  <c r="G240" i="95" s="1"/>
  <c r="C240" i="96" s="1"/>
  <c r="E240" i="96" s="1"/>
  <c r="G240" i="96" s="1"/>
  <c r="J240" i="33"/>
  <c r="M240" i="33" s="1"/>
  <c r="E241" i="33"/>
  <c r="G241" i="33" s="1"/>
  <c r="C241" i="66" s="1"/>
  <c r="E241" i="66" s="1"/>
  <c r="G241" i="66" s="1"/>
  <c r="C241" i="67" s="1"/>
  <c r="E241" i="67" s="1"/>
  <c r="G241" i="67" s="1"/>
  <c r="C241" i="70" s="1"/>
  <c r="E241" i="70" s="1"/>
  <c r="G241" i="70" s="1"/>
  <c r="C241" i="71" s="1"/>
  <c r="E241" i="71" s="1"/>
  <c r="G241" i="71" s="1"/>
  <c r="C241" i="68" s="1"/>
  <c r="E241" i="68" s="1"/>
  <c r="G241" i="68" s="1"/>
  <c r="C241" i="69" s="1"/>
  <c r="E241" i="69" s="1"/>
  <c r="G241" i="69" s="1"/>
  <c r="C241" i="72" s="1"/>
  <c r="E241" i="72" s="1"/>
  <c r="G241" i="72" s="1"/>
  <c r="C241" i="73" s="1"/>
  <c r="E241" i="73" s="1"/>
  <c r="G241" i="73" s="1"/>
  <c r="C241" i="74" s="1"/>
  <c r="E241" i="74" s="1"/>
  <c r="G241" i="74" s="1"/>
  <c r="C241" i="75" s="1"/>
  <c r="E241" i="75" s="1"/>
  <c r="G241" i="75" s="1"/>
  <c r="C241" i="76" s="1"/>
  <c r="E241" i="76" s="1"/>
  <c r="G241" i="76" s="1"/>
  <c r="C241" i="77" s="1"/>
  <c r="E241" i="77" s="1"/>
  <c r="G241" i="77" s="1"/>
  <c r="C241" i="78" s="1"/>
  <c r="E241" i="78" s="1"/>
  <c r="G241" i="78" s="1"/>
  <c r="C241" i="79" s="1"/>
  <c r="E241" i="79" s="1"/>
  <c r="G241" i="79" s="1"/>
  <c r="C241" i="80" s="1"/>
  <c r="E241" i="80" s="1"/>
  <c r="G241" i="80" s="1"/>
  <c r="C241" i="81" s="1"/>
  <c r="E241" i="81" s="1"/>
  <c r="G241" i="81" s="1"/>
  <c r="C241" i="82" s="1"/>
  <c r="E241" i="82" s="1"/>
  <c r="G241" i="82" s="1"/>
  <c r="C241" i="83" s="1"/>
  <c r="E241" i="83" s="1"/>
  <c r="G241" i="83" s="1"/>
  <c r="C241" i="84" s="1"/>
  <c r="E241" i="84" s="1"/>
  <c r="G241" i="84" s="1"/>
  <c r="C241" i="85" s="1"/>
  <c r="E241" i="85" s="1"/>
  <c r="G241" i="85" s="1"/>
  <c r="C241" i="86" s="1"/>
  <c r="E241" i="86" s="1"/>
  <c r="G241" i="86" s="1"/>
  <c r="C241" i="87" s="1"/>
  <c r="E241" i="87" s="1"/>
  <c r="G241" i="87" s="1"/>
  <c r="C241" i="88" s="1"/>
  <c r="E241" i="88" s="1"/>
  <c r="G241" i="88" s="1"/>
  <c r="C241" i="89" s="1"/>
  <c r="E241" i="89" s="1"/>
  <c r="G241" i="89" s="1"/>
  <c r="C241" i="90" s="1"/>
  <c r="E241" i="90" s="1"/>
  <c r="G241" i="90" s="1"/>
  <c r="C241" i="91" s="1"/>
  <c r="E241" i="91" s="1"/>
  <c r="G241" i="91" s="1"/>
  <c r="C241" i="92" s="1"/>
  <c r="E241" i="92" s="1"/>
  <c r="G241" i="92" s="1"/>
  <c r="C241" i="93" s="1"/>
  <c r="E241" i="93" s="1"/>
  <c r="G241" i="93" s="1"/>
  <c r="C241" i="94" s="1"/>
  <c r="E241" i="94" s="1"/>
  <c r="G241" i="94" s="1"/>
  <c r="C241" i="95" s="1"/>
  <c r="E241" i="95" s="1"/>
  <c r="G241" i="95" s="1"/>
  <c r="C241" i="96" s="1"/>
  <c r="E241" i="96" s="1"/>
  <c r="G241" i="96" s="1"/>
  <c r="J241" i="33"/>
  <c r="M241" i="33" s="1"/>
  <c r="E242" i="33"/>
  <c r="G242" i="33" s="1"/>
  <c r="C242" i="66" s="1"/>
  <c r="E242" i="66" s="1"/>
  <c r="G242" i="66" s="1"/>
  <c r="C242" i="67" s="1"/>
  <c r="E242" i="67" s="1"/>
  <c r="G242" i="67" s="1"/>
  <c r="C242" i="70" s="1"/>
  <c r="E242" i="70" s="1"/>
  <c r="G242" i="70" s="1"/>
  <c r="C242" i="71" s="1"/>
  <c r="E242" i="71" s="1"/>
  <c r="G242" i="71" s="1"/>
  <c r="C242" i="68" s="1"/>
  <c r="E242" i="68" s="1"/>
  <c r="G242" i="68" s="1"/>
  <c r="C242" i="69" s="1"/>
  <c r="E242" i="69" s="1"/>
  <c r="G242" i="69" s="1"/>
  <c r="C242" i="72" s="1"/>
  <c r="E242" i="72" s="1"/>
  <c r="G242" i="72" s="1"/>
  <c r="C242" i="73" s="1"/>
  <c r="E242" i="73" s="1"/>
  <c r="G242" i="73" s="1"/>
  <c r="C242" i="74" s="1"/>
  <c r="E242" i="74" s="1"/>
  <c r="G242" i="74" s="1"/>
  <c r="C242" i="75" s="1"/>
  <c r="E242" i="75" s="1"/>
  <c r="G242" i="75" s="1"/>
  <c r="C242" i="76" s="1"/>
  <c r="E242" i="76" s="1"/>
  <c r="G242" i="76" s="1"/>
  <c r="C242" i="77" s="1"/>
  <c r="E242" i="77" s="1"/>
  <c r="G242" i="77" s="1"/>
  <c r="C242" i="78" s="1"/>
  <c r="E242" i="78" s="1"/>
  <c r="G242" i="78" s="1"/>
  <c r="C242" i="79" s="1"/>
  <c r="E242" i="79" s="1"/>
  <c r="G242" i="79" s="1"/>
  <c r="C242" i="80" s="1"/>
  <c r="E242" i="80" s="1"/>
  <c r="G242" i="80" s="1"/>
  <c r="C242" i="81" s="1"/>
  <c r="E242" i="81" s="1"/>
  <c r="G242" i="81" s="1"/>
  <c r="C242" i="82" s="1"/>
  <c r="E242" i="82" s="1"/>
  <c r="G242" i="82" s="1"/>
  <c r="C242" i="83" s="1"/>
  <c r="E242" i="83" s="1"/>
  <c r="G242" i="83" s="1"/>
  <c r="C242" i="84" s="1"/>
  <c r="E242" i="84" s="1"/>
  <c r="G242" i="84" s="1"/>
  <c r="C242" i="85" s="1"/>
  <c r="E242" i="85" s="1"/>
  <c r="G242" i="85" s="1"/>
  <c r="C242" i="86" s="1"/>
  <c r="E242" i="86" s="1"/>
  <c r="G242" i="86" s="1"/>
  <c r="C242" i="87" s="1"/>
  <c r="E242" i="87" s="1"/>
  <c r="G242" i="87" s="1"/>
  <c r="C242" i="88" s="1"/>
  <c r="E242" i="88" s="1"/>
  <c r="G242" i="88" s="1"/>
  <c r="C242" i="89" s="1"/>
  <c r="E242" i="89" s="1"/>
  <c r="G242" i="89" s="1"/>
  <c r="C242" i="90" s="1"/>
  <c r="E242" i="90" s="1"/>
  <c r="G242" i="90" s="1"/>
  <c r="C242" i="91" s="1"/>
  <c r="E242" i="91" s="1"/>
  <c r="G242" i="91" s="1"/>
  <c r="C242" i="92" s="1"/>
  <c r="E242" i="92" s="1"/>
  <c r="G242" i="92" s="1"/>
  <c r="C242" i="93" s="1"/>
  <c r="E242" i="93" s="1"/>
  <c r="G242" i="93" s="1"/>
  <c r="C242" i="94" s="1"/>
  <c r="E242" i="94" s="1"/>
  <c r="G242" i="94" s="1"/>
  <c r="C242" i="95" s="1"/>
  <c r="E242" i="95" s="1"/>
  <c r="G242" i="95" s="1"/>
  <c r="C242" i="96" s="1"/>
  <c r="E242" i="96" s="1"/>
  <c r="G242" i="96" s="1"/>
  <c r="J242" i="33"/>
  <c r="M242" i="33" s="1"/>
  <c r="E243" i="33"/>
  <c r="G243" i="33" s="1"/>
  <c r="C243" i="66" s="1"/>
  <c r="E243" i="66" s="1"/>
  <c r="G243" i="66" s="1"/>
  <c r="C243" i="67" s="1"/>
  <c r="E243" i="67" s="1"/>
  <c r="G243" i="67" s="1"/>
  <c r="C243" i="70" s="1"/>
  <c r="E243" i="70" s="1"/>
  <c r="G243" i="70" s="1"/>
  <c r="C243" i="71" s="1"/>
  <c r="E243" i="71" s="1"/>
  <c r="G243" i="71" s="1"/>
  <c r="C243" i="68" s="1"/>
  <c r="E243" i="68" s="1"/>
  <c r="G243" i="68" s="1"/>
  <c r="C243" i="69" s="1"/>
  <c r="E243" i="69" s="1"/>
  <c r="G243" i="69" s="1"/>
  <c r="C243" i="72" s="1"/>
  <c r="E243" i="72" s="1"/>
  <c r="G243" i="72" s="1"/>
  <c r="C243" i="73" s="1"/>
  <c r="E243" i="73" s="1"/>
  <c r="G243" i="73" s="1"/>
  <c r="C243" i="74" s="1"/>
  <c r="E243" i="74" s="1"/>
  <c r="G243" i="74" s="1"/>
  <c r="C243" i="75" s="1"/>
  <c r="E243" i="75" s="1"/>
  <c r="G243" i="75" s="1"/>
  <c r="C243" i="76" s="1"/>
  <c r="E243" i="76" s="1"/>
  <c r="G243" i="76" s="1"/>
  <c r="C243" i="77" s="1"/>
  <c r="E243" i="77" s="1"/>
  <c r="G243" i="77" s="1"/>
  <c r="C243" i="78" s="1"/>
  <c r="E243" i="78" s="1"/>
  <c r="G243" i="78" s="1"/>
  <c r="C243" i="79" s="1"/>
  <c r="E243" i="79" s="1"/>
  <c r="G243" i="79" s="1"/>
  <c r="C243" i="80" s="1"/>
  <c r="E243" i="80" s="1"/>
  <c r="G243" i="80" s="1"/>
  <c r="C243" i="81" s="1"/>
  <c r="E243" i="81" s="1"/>
  <c r="G243" i="81" s="1"/>
  <c r="C243" i="82" s="1"/>
  <c r="E243" i="82" s="1"/>
  <c r="G243" i="82" s="1"/>
  <c r="C243" i="83" s="1"/>
  <c r="E243" i="83" s="1"/>
  <c r="G243" i="83" s="1"/>
  <c r="C243" i="84" s="1"/>
  <c r="E243" i="84" s="1"/>
  <c r="G243" i="84" s="1"/>
  <c r="C243" i="85" s="1"/>
  <c r="E243" i="85" s="1"/>
  <c r="G243" i="85" s="1"/>
  <c r="C243" i="86" s="1"/>
  <c r="E243" i="86" s="1"/>
  <c r="G243" i="86" s="1"/>
  <c r="C243" i="87" s="1"/>
  <c r="E243" i="87" s="1"/>
  <c r="G243" i="87" s="1"/>
  <c r="C243" i="88" s="1"/>
  <c r="E243" i="88" s="1"/>
  <c r="G243" i="88" s="1"/>
  <c r="C243" i="89" s="1"/>
  <c r="E243" i="89" s="1"/>
  <c r="G243" i="89" s="1"/>
  <c r="C243" i="90" s="1"/>
  <c r="E243" i="90" s="1"/>
  <c r="G243" i="90" s="1"/>
  <c r="C243" i="91" s="1"/>
  <c r="E243" i="91" s="1"/>
  <c r="G243" i="91" s="1"/>
  <c r="C243" i="92" s="1"/>
  <c r="E243" i="92" s="1"/>
  <c r="G243" i="92" s="1"/>
  <c r="C243" i="93" s="1"/>
  <c r="E243" i="93" s="1"/>
  <c r="G243" i="93" s="1"/>
  <c r="C243" i="94" s="1"/>
  <c r="E243" i="94" s="1"/>
  <c r="G243" i="94" s="1"/>
  <c r="C243" i="95" s="1"/>
  <c r="E243" i="95" s="1"/>
  <c r="G243" i="95" s="1"/>
  <c r="C243" i="96" s="1"/>
  <c r="E243" i="96" s="1"/>
  <c r="G243" i="96" s="1"/>
  <c r="J243" i="33"/>
  <c r="M243" i="33" s="1"/>
  <c r="E244" i="33"/>
  <c r="G244" i="33" s="1"/>
  <c r="C244" i="66" s="1"/>
  <c r="E244" i="66" s="1"/>
  <c r="G244" i="66" s="1"/>
  <c r="C244" i="67" s="1"/>
  <c r="E244" i="67" s="1"/>
  <c r="G244" i="67" s="1"/>
  <c r="C244" i="70" s="1"/>
  <c r="E244" i="70" s="1"/>
  <c r="G244" i="70" s="1"/>
  <c r="C244" i="71" s="1"/>
  <c r="E244" i="71" s="1"/>
  <c r="G244" i="71" s="1"/>
  <c r="C244" i="68" s="1"/>
  <c r="E244" i="68" s="1"/>
  <c r="G244" i="68" s="1"/>
  <c r="C244" i="69" s="1"/>
  <c r="E244" i="69" s="1"/>
  <c r="G244" i="69" s="1"/>
  <c r="C244" i="72" s="1"/>
  <c r="E244" i="72" s="1"/>
  <c r="G244" i="72" s="1"/>
  <c r="C244" i="73" s="1"/>
  <c r="E244" i="73" s="1"/>
  <c r="G244" i="73" s="1"/>
  <c r="C244" i="74" s="1"/>
  <c r="E244" i="74" s="1"/>
  <c r="G244" i="74" s="1"/>
  <c r="C244" i="75" s="1"/>
  <c r="E244" i="75" s="1"/>
  <c r="G244" i="75" s="1"/>
  <c r="C244" i="76" s="1"/>
  <c r="E244" i="76" s="1"/>
  <c r="G244" i="76" s="1"/>
  <c r="C244" i="77" s="1"/>
  <c r="E244" i="77" s="1"/>
  <c r="G244" i="77" s="1"/>
  <c r="C244" i="78" s="1"/>
  <c r="E244" i="78" s="1"/>
  <c r="G244" i="78" s="1"/>
  <c r="C244" i="79" s="1"/>
  <c r="E244" i="79" s="1"/>
  <c r="G244" i="79" s="1"/>
  <c r="C244" i="80" s="1"/>
  <c r="E244" i="80" s="1"/>
  <c r="G244" i="80" s="1"/>
  <c r="C244" i="81" s="1"/>
  <c r="E244" i="81" s="1"/>
  <c r="G244" i="81" s="1"/>
  <c r="C244" i="82" s="1"/>
  <c r="E244" i="82" s="1"/>
  <c r="G244" i="82" s="1"/>
  <c r="C244" i="83" s="1"/>
  <c r="E244" i="83" s="1"/>
  <c r="G244" i="83" s="1"/>
  <c r="C244" i="84" s="1"/>
  <c r="E244" i="84" s="1"/>
  <c r="G244" i="84" s="1"/>
  <c r="C244" i="85" s="1"/>
  <c r="E244" i="85" s="1"/>
  <c r="G244" i="85" s="1"/>
  <c r="C244" i="86" s="1"/>
  <c r="E244" i="86" s="1"/>
  <c r="G244" i="86" s="1"/>
  <c r="C244" i="87" s="1"/>
  <c r="E244" i="87" s="1"/>
  <c r="G244" i="87" s="1"/>
  <c r="C244" i="88" s="1"/>
  <c r="E244" i="88" s="1"/>
  <c r="G244" i="88" s="1"/>
  <c r="C244" i="89" s="1"/>
  <c r="E244" i="89" s="1"/>
  <c r="G244" i="89" s="1"/>
  <c r="C244" i="90" s="1"/>
  <c r="E244" i="90" s="1"/>
  <c r="G244" i="90" s="1"/>
  <c r="C244" i="91" s="1"/>
  <c r="E244" i="91" s="1"/>
  <c r="G244" i="91" s="1"/>
  <c r="C244" i="92" s="1"/>
  <c r="E244" i="92" s="1"/>
  <c r="G244" i="92" s="1"/>
  <c r="C244" i="93" s="1"/>
  <c r="E244" i="93" s="1"/>
  <c r="G244" i="93" s="1"/>
  <c r="C244" i="94" s="1"/>
  <c r="E244" i="94" s="1"/>
  <c r="G244" i="94" s="1"/>
  <c r="C244" i="95" s="1"/>
  <c r="E244" i="95" s="1"/>
  <c r="G244" i="95" s="1"/>
  <c r="C244" i="96" s="1"/>
  <c r="E244" i="96" s="1"/>
  <c r="G244" i="96" s="1"/>
  <c r="J244" i="33"/>
  <c r="M244" i="33" s="1"/>
  <c r="E245" i="33"/>
  <c r="G245" i="33" s="1"/>
  <c r="C245" i="66" s="1"/>
  <c r="E245" i="66" s="1"/>
  <c r="G245" i="66" s="1"/>
  <c r="C245" i="67" s="1"/>
  <c r="E245" i="67" s="1"/>
  <c r="G245" i="67" s="1"/>
  <c r="C245" i="70" s="1"/>
  <c r="E245" i="70" s="1"/>
  <c r="G245" i="70" s="1"/>
  <c r="C245" i="71" s="1"/>
  <c r="E245" i="71" s="1"/>
  <c r="G245" i="71" s="1"/>
  <c r="C245" i="68" s="1"/>
  <c r="E245" i="68" s="1"/>
  <c r="G245" i="68" s="1"/>
  <c r="C245" i="69" s="1"/>
  <c r="E245" i="69" s="1"/>
  <c r="G245" i="69" s="1"/>
  <c r="C245" i="72" s="1"/>
  <c r="E245" i="72" s="1"/>
  <c r="G245" i="72" s="1"/>
  <c r="C245" i="73" s="1"/>
  <c r="E245" i="73" s="1"/>
  <c r="G245" i="73" s="1"/>
  <c r="C245" i="74" s="1"/>
  <c r="E245" i="74" s="1"/>
  <c r="G245" i="74" s="1"/>
  <c r="C245" i="75" s="1"/>
  <c r="E245" i="75" s="1"/>
  <c r="G245" i="75" s="1"/>
  <c r="C245" i="76" s="1"/>
  <c r="E245" i="76" s="1"/>
  <c r="G245" i="76" s="1"/>
  <c r="C245" i="77" s="1"/>
  <c r="E245" i="77" s="1"/>
  <c r="G245" i="77" s="1"/>
  <c r="C245" i="78" s="1"/>
  <c r="E245" i="78" s="1"/>
  <c r="G245" i="78" s="1"/>
  <c r="C245" i="79" s="1"/>
  <c r="E245" i="79" s="1"/>
  <c r="G245" i="79" s="1"/>
  <c r="C245" i="80" s="1"/>
  <c r="E245" i="80" s="1"/>
  <c r="G245" i="80" s="1"/>
  <c r="C245" i="81" s="1"/>
  <c r="E245" i="81" s="1"/>
  <c r="G245" i="81" s="1"/>
  <c r="C245" i="82" s="1"/>
  <c r="E245" i="82" s="1"/>
  <c r="G245" i="82" s="1"/>
  <c r="C245" i="83" s="1"/>
  <c r="E245" i="83" s="1"/>
  <c r="G245" i="83" s="1"/>
  <c r="C245" i="84" s="1"/>
  <c r="E245" i="84" s="1"/>
  <c r="G245" i="84" s="1"/>
  <c r="C245" i="85" s="1"/>
  <c r="E245" i="85" s="1"/>
  <c r="G245" i="85" s="1"/>
  <c r="C245" i="86" s="1"/>
  <c r="E245" i="86" s="1"/>
  <c r="G245" i="86" s="1"/>
  <c r="C245" i="87" s="1"/>
  <c r="E245" i="87" s="1"/>
  <c r="G245" i="87" s="1"/>
  <c r="C245" i="88" s="1"/>
  <c r="E245" i="88" s="1"/>
  <c r="G245" i="88" s="1"/>
  <c r="C245" i="89" s="1"/>
  <c r="E245" i="89" s="1"/>
  <c r="G245" i="89" s="1"/>
  <c r="C245" i="90" s="1"/>
  <c r="E245" i="90" s="1"/>
  <c r="G245" i="90" s="1"/>
  <c r="C245" i="91" s="1"/>
  <c r="E245" i="91" s="1"/>
  <c r="G245" i="91" s="1"/>
  <c r="C245" i="92" s="1"/>
  <c r="E245" i="92" s="1"/>
  <c r="G245" i="92" s="1"/>
  <c r="C245" i="93" s="1"/>
  <c r="E245" i="93" s="1"/>
  <c r="G245" i="93" s="1"/>
  <c r="C245" i="94" s="1"/>
  <c r="E245" i="94" s="1"/>
  <c r="G245" i="94" s="1"/>
  <c r="C245" i="95" s="1"/>
  <c r="E245" i="95" s="1"/>
  <c r="G245" i="95" s="1"/>
  <c r="C245" i="96" s="1"/>
  <c r="E245" i="96" s="1"/>
  <c r="G245" i="96" s="1"/>
  <c r="J245" i="33"/>
  <c r="M245" i="33" s="1"/>
  <c r="E246" i="33"/>
  <c r="G246" i="33" s="1"/>
  <c r="C246" i="66" s="1"/>
  <c r="E246" i="66" s="1"/>
  <c r="G246" i="66" s="1"/>
  <c r="C246" i="67" s="1"/>
  <c r="E246" i="67" s="1"/>
  <c r="G246" i="67" s="1"/>
  <c r="C246" i="70" s="1"/>
  <c r="E246" i="70" s="1"/>
  <c r="G246" i="70" s="1"/>
  <c r="C246" i="71" s="1"/>
  <c r="E246" i="71" s="1"/>
  <c r="G246" i="71" s="1"/>
  <c r="C246" i="68" s="1"/>
  <c r="E246" i="68" s="1"/>
  <c r="G246" i="68" s="1"/>
  <c r="C246" i="69" s="1"/>
  <c r="E246" i="69" s="1"/>
  <c r="G246" i="69" s="1"/>
  <c r="C246" i="72" s="1"/>
  <c r="E246" i="72" s="1"/>
  <c r="G246" i="72" s="1"/>
  <c r="C246" i="73" s="1"/>
  <c r="E246" i="73" s="1"/>
  <c r="G246" i="73" s="1"/>
  <c r="C246" i="74" s="1"/>
  <c r="E246" i="74" s="1"/>
  <c r="G246" i="74" s="1"/>
  <c r="C246" i="75" s="1"/>
  <c r="E246" i="75" s="1"/>
  <c r="G246" i="75" s="1"/>
  <c r="C246" i="76" s="1"/>
  <c r="E246" i="76" s="1"/>
  <c r="G246" i="76" s="1"/>
  <c r="C246" i="77" s="1"/>
  <c r="E246" i="77" s="1"/>
  <c r="G246" i="77" s="1"/>
  <c r="C246" i="78" s="1"/>
  <c r="E246" i="78" s="1"/>
  <c r="G246" i="78" s="1"/>
  <c r="C246" i="79" s="1"/>
  <c r="E246" i="79" s="1"/>
  <c r="G246" i="79" s="1"/>
  <c r="C246" i="80" s="1"/>
  <c r="E246" i="80" s="1"/>
  <c r="G246" i="80" s="1"/>
  <c r="C246" i="81" s="1"/>
  <c r="E246" i="81" s="1"/>
  <c r="G246" i="81" s="1"/>
  <c r="C246" i="82" s="1"/>
  <c r="E246" i="82" s="1"/>
  <c r="G246" i="82" s="1"/>
  <c r="C246" i="83" s="1"/>
  <c r="E246" i="83" s="1"/>
  <c r="G246" i="83" s="1"/>
  <c r="C246" i="84" s="1"/>
  <c r="E246" i="84" s="1"/>
  <c r="G246" i="84" s="1"/>
  <c r="C246" i="85" s="1"/>
  <c r="E246" i="85" s="1"/>
  <c r="G246" i="85" s="1"/>
  <c r="C246" i="86" s="1"/>
  <c r="E246" i="86" s="1"/>
  <c r="G246" i="86" s="1"/>
  <c r="C246" i="87" s="1"/>
  <c r="E246" i="87" s="1"/>
  <c r="G246" i="87" s="1"/>
  <c r="C246" i="88" s="1"/>
  <c r="E246" i="88" s="1"/>
  <c r="G246" i="88" s="1"/>
  <c r="C246" i="89" s="1"/>
  <c r="E246" i="89" s="1"/>
  <c r="G246" i="89" s="1"/>
  <c r="C246" i="90" s="1"/>
  <c r="E246" i="90" s="1"/>
  <c r="G246" i="90" s="1"/>
  <c r="C246" i="91" s="1"/>
  <c r="E246" i="91" s="1"/>
  <c r="G246" i="91" s="1"/>
  <c r="C246" i="92" s="1"/>
  <c r="E246" i="92" s="1"/>
  <c r="G246" i="92" s="1"/>
  <c r="C246" i="93" s="1"/>
  <c r="E246" i="93" s="1"/>
  <c r="G246" i="93" s="1"/>
  <c r="C246" i="94" s="1"/>
  <c r="E246" i="94" s="1"/>
  <c r="G246" i="94" s="1"/>
  <c r="C246" i="95" s="1"/>
  <c r="E246" i="95" s="1"/>
  <c r="G246" i="95" s="1"/>
  <c r="C246" i="96" s="1"/>
  <c r="E246" i="96" s="1"/>
  <c r="G246" i="96" s="1"/>
  <c r="J246" i="33"/>
  <c r="M246" i="33" s="1"/>
  <c r="E247" i="33"/>
  <c r="G247" i="33" s="1"/>
  <c r="C247" i="66" s="1"/>
  <c r="E247" i="66" s="1"/>
  <c r="G247" i="66" s="1"/>
  <c r="C247" i="67" s="1"/>
  <c r="E247" i="67" s="1"/>
  <c r="G247" i="67" s="1"/>
  <c r="C247" i="70" s="1"/>
  <c r="E247" i="70" s="1"/>
  <c r="G247" i="70" s="1"/>
  <c r="C247" i="71" s="1"/>
  <c r="E247" i="71" s="1"/>
  <c r="G247" i="71" s="1"/>
  <c r="C247" i="68" s="1"/>
  <c r="E247" i="68" s="1"/>
  <c r="G247" i="68" s="1"/>
  <c r="C247" i="69" s="1"/>
  <c r="E247" i="69" s="1"/>
  <c r="G247" i="69" s="1"/>
  <c r="C247" i="72" s="1"/>
  <c r="E247" i="72" s="1"/>
  <c r="G247" i="72" s="1"/>
  <c r="C247" i="73" s="1"/>
  <c r="E247" i="73" s="1"/>
  <c r="G247" i="73" s="1"/>
  <c r="C247" i="74" s="1"/>
  <c r="E247" i="74" s="1"/>
  <c r="G247" i="74" s="1"/>
  <c r="C247" i="75" s="1"/>
  <c r="E247" i="75" s="1"/>
  <c r="G247" i="75" s="1"/>
  <c r="C247" i="76" s="1"/>
  <c r="E247" i="76" s="1"/>
  <c r="G247" i="76" s="1"/>
  <c r="C247" i="77" s="1"/>
  <c r="E247" i="77" s="1"/>
  <c r="G247" i="77" s="1"/>
  <c r="C247" i="78" s="1"/>
  <c r="E247" i="78" s="1"/>
  <c r="G247" i="78" s="1"/>
  <c r="C247" i="79" s="1"/>
  <c r="E247" i="79" s="1"/>
  <c r="G247" i="79" s="1"/>
  <c r="C247" i="80" s="1"/>
  <c r="E247" i="80" s="1"/>
  <c r="G247" i="80" s="1"/>
  <c r="C247" i="81" s="1"/>
  <c r="E247" i="81" s="1"/>
  <c r="G247" i="81" s="1"/>
  <c r="C247" i="82" s="1"/>
  <c r="E247" i="82" s="1"/>
  <c r="G247" i="82" s="1"/>
  <c r="C247" i="83" s="1"/>
  <c r="E247" i="83" s="1"/>
  <c r="G247" i="83" s="1"/>
  <c r="C247" i="84" s="1"/>
  <c r="E247" i="84" s="1"/>
  <c r="G247" i="84" s="1"/>
  <c r="C247" i="85" s="1"/>
  <c r="E247" i="85" s="1"/>
  <c r="G247" i="85" s="1"/>
  <c r="C247" i="86" s="1"/>
  <c r="E247" i="86" s="1"/>
  <c r="G247" i="86" s="1"/>
  <c r="C247" i="87" s="1"/>
  <c r="E247" i="87" s="1"/>
  <c r="G247" i="87" s="1"/>
  <c r="C247" i="88" s="1"/>
  <c r="E247" i="88" s="1"/>
  <c r="G247" i="88" s="1"/>
  <c r="C247" i="89" s="1"/>
  <c r="E247" i="89" s="1"/>
  <c r="G247" i="89" s="1"/>
  <c r="C247" i="90" s="1"/>
  <c r="E247" i="90" s="1"/>
  <c r="G247" i="90" s="1"/>
  <c r="C247" i="91" s="1"/>
  <c r="E247" i="91" s="1"/>
  <c r="G247" i="91" s="1"/>
  <c r="C247" i="92" s="1"/>
  <c r="E247" i="92" s="1"/>
  <c r="G247" i="92" s="1"/>
  <c r="C247" i="93" s="1"/>
  <c r="E247" i="93" s="1"/>
  <c r="G247" i="93" s="1"/>
  <c r="C247" i="94" s="1"/>
  <c r="E247" i="94" s="1"/>
  <c r="G247" i="94" s="1"/>
  <c r="C247" i="95" s="1"/>
  <c r="E247" i="95" s="1"/>
  <c r="G247" i="95" s="1"/>
  <c r="C247" i="96" s="1"/>
  <c r="E247" i="96" s="1"/>
  <c r="G247" i="96" s="1"/>
  <c r="J247" i="33"/>
  <c r="M247" i="33" s="1"/>
  <c r="E248" i="33"/>
  <c r="G248" i="33" s="1"/>
  <c r="C248" i="66" s="1"/>
  <c r="E248" i="66" s="1"/>
  <c r="G248" i="66" s="1"/>
  <c r="C248" i="67" s="1"/>
  <c r="E248" i="67" s="1"/>
  <c r="G248" i="67" s="1"/>
  <c r="C248" i="70" s="1"/>
  <c r="E248" i="70" s="1"/>
  <c r="G248" i="70" s="1"/>
  <c r="C248" i="71" s="1"/>
  <c r="E248" i="71" s="1"/>
  <c r="G248" i="71" s="1"/>
  <c r="C248" i="68" s="1"/>
  <c r="E248" i="68" s="1"/>
  <c r="G248" i="68" s="1"/>
  <c r="C248" i="69" s="1"/>
  <c r="E248" i="69" s="1"/>
  <c r="G248" i="69" s="1"/>
  <c r="C248" i="72" s="1"/>
  <c r="E248" i="72" s="1"/>
  <c r="G248" i="72" s="1"/>
  <c r="C248" i="73" s="1"/>
  <c r="E248" i="73" s="1"/>
  <c r="G248" i="73" s="1"/>
  <c r="C248" i="74" s="1"/>
  <c r="E248" i="74" s="1"/>
  <c r="G248" i="74" s="1"/>
  <c r="C248" i="75" s="1"/>
  <c r="E248" i="75" s="1"/>
  <c r="G248" i="75" s="1"/>
  <c r="C248" i="76" s="1"/>
  <c r="E248" i="76" s="1"/>
  <c r="G248" i="76" s="1"/>
  <c r="C248" i="77" s="1"/>
  <c r="E248" i="77" s="1"/>
  <c r="G248" i="77" s="1"/>
  <c r="C248" i="78" s="1"/>
  <c r="E248" i="78" s="1"/>
  <c r="G248" i="78" s="1"/>
  <c r="C248" i="79" s="1"/>
  <c r="E248" i="79" s="1"/>
  <c r="G248" i="79" s="1"/>
  <c r="C248" i="80" s="1"/>
  <c r="E248" i="80" s="1"/>
  <c r="G248" i="80" s="1"/>
  <c r="C248" i="81" s="1"/>
  <c r="E248" i="81" s="1"/>
  <c r="G248" i="81" s="1"/>
  <c r="C248" i="82" s="1"/>
  <c r="E248" i="82" s="1"/>
  <c r="G248" i="82" s="1"/>
  <c r="C248" i="83" s="1"/>
  <c r="E248" i="83" s="1"/>
  <c r="G248" i="83" s="1"/>
  <c r="C248" i="84" s="1"/>
  <c r="E248" i="84" s="1"/>
  <c r="G248" i="84" s="1"/>
  <c r="C248" i="85" s="1"/>
  <c r="E248" i="85" s="1"/>
  <c r="G248" i="85" s="1"/>
  <c r="C248" i="86" s="1"/>
  <c r="E248" i="86" s="1"/>
  <c r="G248" i="86" s="1"/>
  <c r="C248" i="87" s="1"/>
  <c r="E248" i="87" s="1"/>
  <c r="G248" i="87" s="1"/>
  <c r="C248" i="88" s="1"/>
  <c r="E248" i="88" s="1"/>
  <c r="G248" i="88" s="1"/>
  <c r="C248" i="89" s="1"/>
  <c r="E248" i="89" s="1"/>
  <c r="G248" i="89" s="1"/>
  <c r="C248" i="90" s="1"/>
  <c r="E248" i="90" s="1"/>
  <c r="G248" i="90" s="1"/>
  <c r="C248" i="91" s="1"/>
  <c r="E248" i="91" s="1"/>
  <c r="G248" i="91" s="1"/>
  <c r="C248" i="92" s="1"/>
  <c r="E248" i="92" s="1"/>
  <c r="G248" i="92" s="1"/>
  <c r="C248" i="93" s="1"/>
  <c r="E248" i="93" s="1"/>
  <c r="G248" i="93" s="1"/>
  <c r="C248" i="94" s="1"/>
  <c r="E248" i="94" s="1"/>
  <c r="G248" i="94" s="1"/>
  <c r="C248" i="95" s="1"/>
  <c r="E248" i="95" s="1"/>
  <c r="G248" i="95" s="1"/>
  <c r="C248" i="96" s="1"/>
  <c r="E248" i="96" s="1"/>
  <c r="G248" i="96" s="1"/>
  <c r="J248" i="33"/>
  <c r="M248" i="33" s="1"/>
  <c r="E249" i="33"/>
  <c r="G249" i="33"/>
  <c r="C249" i="66" s="1"/>
  <c r="E249" i="66" s="1"/>
  <c r="G249" i="66" s="1"/>
  <c r="C249" i="67" s="1"/>
  <c r="E249" i="67" s="1"/>
  <c r="G249" i="67" s="1"/>
  <c r="C249" i="70" s="1"/>
  <c r="E249" i="70" s="1"/>
  <c r="G249" i="70" s="1"/>
  <c r="C249" i="71" s="1"/>
  <c r="E249" i="71" s="1"/>
  <c r="G249" i="71" s="1"/>
  <c r="C249" i="68" s="1"/>
  <c r="E249" i="68" s="1"/>
  <c r="G249" i="68" s="1"/>
  <c r="C249" i="69" s="1"/>
  <c r="E249" i="69" s="1"/>
  <c r="G249" i="69" s="1"/>
  <c r="C249" i="72" s="1"/>
  <c r="E249" i="72" s="1"/>
  <c r="G249" i="72" s="1"/>
  <c r="C249" i="73" s="1"/>
  <c r="E249" i="73" s="1"/>
  <c r="G249" i="73" s="1"/>
  <c r="C249" i="74" s="1"/>
  <c r="E249" i="74" s="1"/>
  <c r="G249" i="74" s="1"/>
  <c r="C249" i="75" s="1"/>
  <c r="E249" i="75" s="1"/>
  <c r="G249" i="75" s="1"/>
  <c r="C249" i="76" s="1"/>
  <c r="E249" i="76" s="1"/>
  <c r="G249" i="76" s="1"/>
  <c r="C249" i="77" s="1"/>
  <c r="E249" i="77" s="1"/>
  <c r="G249" i="77" s="1"/>
  <c r="C249" i="78" s="1"/>
  <c r="E249" i="78" s="1"/>
  <c r="G249" i="78" s="1"/>
  <c r="C249" i="79" s="1"/>
  <c r="E249" i="79" s="1"/>
  <c r="G249" i="79" s="1"/>
  <c r="C249" i="80" s="1"/>
  <c r="E249" i="80" s="1"/>
  <c r="G249" i="80" s="1"/>
  <c r="C249" i="81" s="1"/>
  <c r="E249" i="81" s="1"/>
  <c r="G249" i="81" s="1"/>
  <c r="C249" i="82" s="1"/>
  <c r="E249" i="82" s="1"/>
  <c r="G249" i="82" s="1"/>
  <c r="C249" i="83" s="1"/>
  <c r="E249" i="83" s="1"/>
  <c r="G249" i="83" s="1"/>
  <c r="C249" i="84" s="1"/>
  <c r="E249" i="84" s="1"/>
  <c r="G249" i="84" s="1"/>
  <c r="C249" i="85" s="1"/>
  <c r="E249" i="85" s="1"/>
  <c r="G249" i="85" s="1"/>
  <c r="C249" i="86" s="1"/>
  <c r="E249" i="86" s="1"/>
  <c r="G249" i="86" s="1"/>
  <c r="C249" i="87" s="1"/>
  <c r="E249" i="87" s="1"/>
  <c r="G249" i="87" s="1"/>
  <c r="C249" i="88" s="1"/>
  <c r="E249" i="88" s="1"/>
  <c r="G249" i="88" s="1"/>
  <c r="C249" i="89" s="1"/>
  <c r="E249" i="89" s="1"/>
  <c r="G249" i="89" s="1"/>
  <c r="C249" i="90" s="1"/>
  <c r="E249" i="90" s="1"/>
  <c r="G249" i="90" s="1"/>
  <c r="C249" i="91" s="1"/>
  <c r="E249" i="91" s="1"/>
  <c r="G249" i="91" s="1"/>
  <c r="C249" i="92" s="1"/>
  <c r="E249" i="92" s="1"/>
  <c r="G249" i="92" s="1"/>
  <c r="C249" i="93" s="1"/>
  <c r="E249" i="93" s="1"/>
  <c r="G249" i="93" s="1"/>
  <c r="C249" i="94" s="1"/>
  <c r="E249" i="94" s="1"/>
  <c r="G249" i="94" s="1"/>
  <c r="C249" i="95" s="1"/>
  <c r="E249" i="95" s="1"/>
  <c r="G249" i="95" s="1"/>
  <c r="C249" i="96" s="1"/>
  <c r="E249" i="96" s="1"/>
  <c r="G249" i="96" s="1"/>
  <c r="J249" i="33"/>
  <c r="M249" i="33" s="1"/>
  <c r="E250" i="33"/>
  <c r="G250" i="33" s="1"/>
  <c r="C250" i="66" s="1"/>
  <c r="E250" i="66" s="1"/>
  <c r="G250" i="66" s="1"/>
  <c r="C250" i="67" s="1"/>
  <c r="E250" i="67" s="1"/>
  <c r="G250" i="67" s="1"/>
  <c r="C250" i="70" s="1"/>
  <c r="E250" i="70" s="1"/>
  <c r="G250" i="70" s="1"/>
  <c r="C250" i="71" s="1"/>
  <c r="E250" i="71" s="1"/>
  <c r="G250" i="71" s="1"/>
  <c r="C250" i="68" s="1"/>
  <c r="E250" i="68" s="1"/>
  <c r="G250" i="68" s="1"/>
  <c r="C250" i="69" s="1"/>
  <c r="E250" i="69" s="1"/>
  <c r="G250" i="69" s="1"/>
  <c r="C250" i="72" s="1"/>
  <c r="E250" i="72" s="1"/>
  <c r="G250" i="72" s="1"/>
  <c r="C250" i="73" s="1"/>
  <c r="E250" i="73" s="1"/>
  <c r="G250" i="73" s="1"/>
  <c r="C250" i="74" s="1"/>
  <c r="E250" i="74" s="1"/>
  <c r="G250" i="74" s="1"/>
  <c r="C250" i="75" s="1"/>
  <c r="E250" i="75" s="1"/>
  <c r="G250" i="75" s="1"/>
  <c r="C250" i="76" s="1"/>
  <c r="E250" i="76" s="1"/>
  <c r="G250" i="76" s="1"/>
  <c r="C250" i="77" s="1"/>
  <c r="E250" i="77" s="1"/>
  <c r="G250" i="77" s="1"/>
  <c r="C250" i="78" s="1"/>
  <c r="E250" i="78" s="1"/>
  <c r="G250" i="78" s="1"/>
  <c r="C250" i="79" s="1"/>
  <c r="E250" i="79" s="1"/>
  <c r="G250" i="79" s="1"/>
  <c r="C250" i="80" s="1"/>
  <c r="E250" i="80" s="1"/>
  <c r="G250" i="80" s="1"/>
  <c r="C250" i="81" s="1"/>
  <c r="E250" i="81" s="1"/>
  <c r="G250" i="81" s="1"/>
  <c r="C250" i="82" s="1"/>
  <c r="E250" i="82" s="1"/>
  <c r="G250" i="82" s="1"/>
  <c r="C250" i="83" s="1"/>
  <c r="E250" i="83" s="1"/>
  <c r="G250" i="83" s="1"/>
  <c r="C250" i="84" s="1"/>
  <c r="E250" i="84" s="1"/>
  <c r="G250" i="84" s="1"/>
  <c r="C250" i="85" s="1"/>
  <c r="E250" i="85" s="1"/>
  <c r="G250" i="85" s="1"/>
  <c r="C250" i="86" s="1"/>
  <c r="E250" i="86" s="1"/>
  <c r="G250" i="86" s="1"/>
  <c r="C250" i="87" s="1"/>
  <c r="E250" i="87" s="1"/>
  <c r="G250" i="87" s="1"/>
  <c r="C250" i="88" s="1"/>
  <c r="E250" i="88" s="1"/>
  <c r="G250" i="88" s="1"/>
  <c r="C250" i="89" s="1"/>
  <c r="E250" i="89" s="1"/>
  <c r="G250" i="89" s="1"/>
  <c r="C250" i="90" s="1"/>
  <c r="E250" i="90" s="1"/>
  <c r="G250" i="90" s="1"/>
  <c r="C250" i="91" s="1"/>
  <c r="E250" i="91" s="1"/>
  <c r="G250" i="91" s="1"/>
  <c r="C250" i="92" s="1"/>
  <c r="E250" i="92" s="1"/>
  <c r="G250" i="92" s="1"/>
  <c r="C250" i="93" s="1"/>
  <c r="E250" i="93" s="1"/>
  <c r="G250" i="93" s="1"/>
  <c r="C250" i="94" s="1"/>
  <c r="E250" i="94" s="1"/>
  <c r="G250" i="94" s="1"/>
  <c r="C250" i="95" s="1"/>
  <c r="E250" i="95" s="1"/>
  <c r="G250" i="95" s="1"/>
  <c r="C250" i="96" s="1"/>
  <c r="E250" i="96" s="1"/>
  <c r="G250" i="96" s="1"/>
  <c r="J250" i="33"/>
  <c r="M250" i="33" s="1"/>
  <c r="E251" i="33"/>
  <c r="G251" i="33" s="1"/>
  <c r="C251" i="66" s="1"/>
  <c r="E251" i="66" s="1"/>
  <c r="G251" i="66" s="1"/>
  <c r="C251" i="67" s="1"/>
  <c r="E251" i="67" s="1"/>
  <c r="G251" i="67" s="1"/>
  <c r="C251" i="70" s="1"/>
  <c r="E251" i="70" s="1"/>
  <c r="G251" i="70" s="1"/>
  <c r="C251" i="71" s="1"/>
  <c r="E251" i="71" s="1"/>
  <c r="G251" i="71" s="1"/>
  <c r="C251" i="68" s="1"/>
  <c r="E251" i="68" s="1"/>
  <c r="G251" i="68" s="1"/>
  <c r="C251" i="69" s="1"/>
  <c r="E251" i="69" s="1"/>
  <c r="G251" i="69" s="1"/>
  <c r="C251" i="72" s="1"/>
  <c r="E251" i="72" s="1"/>
  <c r="G251" i="72" s="1"/>
  <c r="C251" i="73" s="1"/>
  <c r="E251" i="73" s="1"/>
  <c r="G251" i="73" s="1"/>
  <c r="C251" i="74" s="1"/>
  <c r="E251" i="74" s="1"/>
  <c r="G251" i="74" s="1"/>
  <c r="C251" i="75" s="1"/>
  <c r="E251" i="75" s="1"/>
  <c r="G251" i="75" s="1"/>
  <c r="C251" i="76" s="1"/>
  <c r="E251" i="76" s="1"/>
  <c r="G251" i="76" s="1"/>
  <c r="C251" i="77" s="1"/>
  <c r="E251" i="77" s="1"/>
  <c r="G251" i="77" s="1"/>
  <c r="C251" i="78" s="1"/>
  <c r="E251" i="78" s="1"/>
  <c r="G251" i="78" s="1"/>
  <c r="C251" i="79" s="1"/>
  <c r="E251" i="79" s="1"/>
  <c r="G251" i="79" s="1"/>
  <c r="C251" i="80" s="1"/>
  <c r="E251" i="80" s="1"/>
  <c r="G251" i="80" s="1"/>
  <c r="C251" i="81" s="1"/>
  <c r="E251" i="81" s="1"/>
  <c r="G251" i="81" s="1"/>
  <c r="C251" i="82" s="1"/>
  <c r="E251" i="82" s="1"/>
  <c r="G251" i="82" s="1"/>
  <c r="C251" i="83" s="1"/>
  <c r="E251" i="83" s="1"/>
  <c r="G251" i="83" s="1"/>
  <c r="C251" i="84" s="1"/>
  <c r="E251" i="84" s="1"/>
  <c r="G251" i="84" s="1"/>
  <c r="C251" i="85" s="1"/>
  <c r="E251" i="85" s="1"/>
  <c r="G251" i="85" s="1"/>
  <c r="C251" i="86" s="1"/>
  <c r="E251" i="86" s="1"/>
  <c r="G251" i="86" s="1"/>
  <c r="C251" i="87" s="1"/>
  <c r="E251" i="87" s="1"/>
  <c r="G251" i="87" s="1"/>
  <c r="C251" i="88" s="1"/>
  <c r="E251" i="88" s="1"/>
  <c r="G251" i="88" s="1"/>
  <c r="C251" i="89" s="1"/>
  <c r="E251" i="89" s="1"/>
  <c r="G251" i="89" s="1"/>
  <c r="C251" i="90" s="1"/>
  <c r="E251" i="90" s="1"/>
  <c r="G251" i="90" s="1"/>
  <c r="C251" i="91" s="1"/>
  <c r="E251" i="91" s="1"/>
  <c r="G251" i="91" s="1"/>
  <c r="C251" i="92" s="1"/>
  <c r="E251" i="92" s="1"/>
  <c r="G251" i="92" s="1"/>
  <c r="C251" i="93" s="1"/>
  <c r="E251" i="93" s="1"/>
  <c r="G251" i="93" s="1"/>
  <c r="C251" i="94" s="1"/>
  <c r="E251" i="94" s="1"/>
  <c r="G251" i="94" s="1"/>
  <c r="C251" i="95" s="1"/>
  <c r="E251" i="95" s="1"/>
  <c r="G251" i="95" s="1"/>
  <c r="C251" i="96" s="1"/>
  <c r="E251" i="96" s="1"/>
  <c r="G251" i="96" s="1"/>
  <c r="J251" i="33"/>
  <c r="M251" i="33" s="1"/>
  <c r="E252" i="33"/>
  <c r="G252" i="33" s="1"/>
  <c r="C252" i="66" s="1"/>
  <c r="E252" i="66" s="1"/>
  <c r="G252" i="66" s="1"/>
  <c r="C252" i="67" s="1"/>
  <c r="E252" i="67" s="1"/>
  <c r="G252" i="67" s="1"/>
  <c r="C252" i="70" s="1"/>
  <c r="E252" i="70" s="1"/>
  <c r="G252" i="70" s="1"/>
  <c r="C252" i="71" s="1"/>
  <c r="E252" i="71" s="1"/>
  <c r="G252" i="71" s="1"/>
  <c r="C252" i="68" s="1"/>
  <c r="E252" i="68" s="1"/>
  <c r="G252" i="68" s="1"/>
  <c r="C252" i="69" s="1"/>
  <c r="E252" i="69" s="1"/>
  <c r="G252" i="69" s="1"/>
  <c r="C252" i="72" s="1"/>
  <c r="E252" i="72" s="1"/>
  <c r="G252" i="72" s="1"/>
  <c r="C252" i="73" s="1"/>
  <c r="E252" i="73" s="1"/>
  <c r="G252" i="73" s="1"/>
  <c r="C252" i="74" s="1"/>
  <c r="E252" i="74" s="1"/>
  <c r="G252" i="74" s="1"/>
  <c r="C252" i="75" s="1"/>
  <c r="E252" i="75" s="1"/>
  <c r="G252" i="75" s="1"/>
  <c r="C252" i="76" s="1"/>
  <c r="E252" i="76" s="1"/>
  <c r="G252" i="76" s="1"/>
  <c r="C252" i="77" s="1"/>
  <c r="E252" i="77" s="1"/>
  <c r="G252" i="77" s="1"/>
  <c r="C252" i="78" s="1"/>
  <c r="E252" i="78" s="1"/>
  <c r="G252" i="78" s="1"/>
  <c r="C252" i="79" s="1"/>
  <c r="E252" i="79" s="1"/>
  <c r="G252" i="79" s="1"/>
  <c r="C252" i="80" s="1"/>
  <c r="E252" i="80" s="1"/>
  <c r="G252" i="80" s="1"/>
  <c r="C252" i="81" s="1"/>
  <c r="E252" i="81" s="1"/>
  <c r="G252" i="81" s="1"/>
  <c r="C252" i="82" s="1"/>
  <c r="E252" i="82" s="1"/>
  <c r="G252" i="82" s="1"/>
  <c r="C252" i="83" s="1"/>
  <c r="E252" i="83" s="1"/>
  <c r="G252" i="83" s="1"/>
  <c r="C252" i="84" s="1"/>
  <c r="E252" i="84" s="1"/>
  <c r="G252" i="84" s="1"/>
  <c r="C252" i="85" s="1"/>
  <c r="E252" i="85" s="1"/>
  <c r="G252" i="85" s="1"/>
  <c r="C252" i="86" s="1"/>
  <c r="E252" i="86" s="1"/>
  <c r="G252" i="86" s="1"/>
  <c r="C252" i="87" s="1"/>
  <c r="E252" i="87" s="1"/>
  <c r="G252" i="87" s="1"/>
  <c r="C252" i="88" s="1"/>
  <c r="E252" i="88" s="1"/>
  <c r="G252" i="88" s="1"/>
  <c r="C252" i="89" s="1"/>
  <c r="E252" i="89" s="1"/>
  <c r="G252" i="89" s="1"/>
  <c r="C252" i="90" s="1"/>
  <c r="E252" i="90" s="1"/>
  <c r="G252" i="90" s="1"/>
  <c r="C252" i="91" s="1"/>
  <c r="E252" i="91" s="1"/>
  <c r="G252" i="91" s="1"/>
  <c r="C252" i="92" s="1"/>
  <c r="E252" i="92" s="1"/>
  <c r="G252" i="92" s="1"/>
  <c r="C252" i="93" s="1"/>
  <c r="E252" i="93" s="1"/>
  <c r="G252" i="93" s="1"/>
  <c r="C252" i="94" s="1"/>
  <c r="E252" i="94" s="1"/>
  <c r="G252" i="94" s="1"/>
  <c r="C252" i="95" s="1"/>
  <c r="E252" i="95" s="1"/>
  <c r="G252" i="95" s="1"/>
  <c r="C252" i="96" s="1"/>
  <c r="E252" i="96" s="1"/>
  <c r="G252" i="96" s="1"/>
  <c r="J252" i="33"/>
  <c r="M252" i="33" s="1"/>
  <c r="E253" i="33"/>
  <c r="G253" i="33" s="1"/>
  <c r="C253" i="66" s="1"/>
  <c r="E253" i="66" s="1"/>
  <c r="G253" i="66" s="1"/>
  <c r="C253" i="67" s="1"/>
  <c r="E253" i="67" s="1"/>
  <c r="G253" i="67" s="1"/>
  <c r="C253" i="70" s="1"/>
  <c r="E253" i="70" s="1"/>
  <c r="G253" i="70" s="1"/>
  <c r="C253" i="71" s="1"/>
  <c r="E253" i="71" s="1"/>
  <c r="G253" i="71" s="1"/>
  <c r="C253" i="68" s="1"/>
  <c r="E253" i="68" s="1"/>
  <c r="G253" i="68" s="1"/>
  <c r="C253" i="69" s="1"/>
  <c r="E253" i="69" s="1"/>
  <c r="G253" i="69" s="1"/>
  <c r="C253" i="72" s="1"/>
  <c r="E253" i="72" s="1"/>
  <c r="G253" i="72" s="1"/>
  <c r="C253" i="73" s="1"/>
  <c r="E253" i="73" s="1"/>
  <c r="G253" i="73" s="1"/>
  <c r="C253" i="74" s="1"/>
  <c r="E253" i="74" s="1"/>
  <c r="G253" i="74" s="1"/>
  <c r="C253" i="75" s="1"/>
  <c r="E253" i="75" s="1"/>
  <c r="G253" i="75" s="1"/>
  <c r="C253" i="76" s="1"/>
  <c r="E253" i="76" s="1"/>
  <c r="G253" i="76" s="1"/>
  <c r="C253" i="77" s="1"/>
  <c r="E253" i="77" s="1"/>
  <c r="G253" i="77" s="1"/>
  <c r="C253" i="78" s="1"/>
  <c r="E253" i="78" s="1"/>
  <c r="G253" i="78" s="1"/>
  <c r="C253" i="79" s="1"/>
  <c r="E253" i="79" s="1"/>
  <c r="G253" i="79" s="1"/>
  <c r="C253" i="80" s="1"/>
  <c r="E253" i="80" s="1"/>
  <c r="G253" i="80" s="1"/>
  <c r="C253" i="81" s="1"/>
  <c r="E253" i="81" s="1"/>
  <c r="G253" i="81" s="1"/>
  <c r="C253" i="82" s="1"/>
  <c r="E253" i="82" s="1"/>
  <c r="G253" i="82" s="1"/>
  <c r="C253" i="83" s="1"/>
  <c r="E253" i="83" s="1"/>
  <c r="G253" i="83" s="1"/>
  <c r="C253" i="84" s="1"/>
  <c r="E253" i="84" s="1"/>
  <c r="G253" i="84" s="1"/>
  <c r="C253" i="85" s="1"/>
  <c r="E253" i="85" s="1"/>
  <c r="G253" i="85" s="1"/>
  <c r="C253" i="86" s="1"/>
  <c r="E253" i="86" s="1"/>
  <c r="G253" i="86" s="1"/>
  <c r="C253" i="87" s="1"/>
  <c r="E253" i="87" s="1"/>
  <c r="G253" i="87" s="1"/>
  <c r="C253" i="88" s="1"/>
  <c r="E253" i="88" s="1"/>
  <c r="G253" i="88" s="1"/>
  <c r="C253" i="89" s="1"/>
  <c r="E253" i="89" s="1"/>
  <c r="G253" i="89" s="1"/>
  <c r="C253" i="90" s="1"/>
  <c r="E253" i="90" s="1"/>
  <c r="G253" i="90" s="1"/>
  <c r="C253" i="91" s="1"/>
  <c r="E253" i="91" s="1"/>
  <c r="G253" i="91" s="1"/>
  <c r="C253" i="92" s="1"/>
  <c r="E253" i="92" s="1"/>
  <c r="G253" i="92" s="1"/>
  <c r="C253" i="93" s="1"/>
  <c r="E253" i="93" s="1"/>
  <c r="G253" i="93" s="1"/>
  <c r="C253" i="94" s="1"/>
  <c r="E253" i="94" s="1"/>
  <c r="G253" i="94" s="1"/>
  <c r="C253" i="95" s="1"/>
  <c r="E253" i="95" s="1"/>
  <c r="G253" i="95" s="1"/>
  <c r="C253" i="96" s="1"/>
  <c r="E253" i="96" s="1"/>
  <c r="G253" i="96" s="1"/>
  <c r="J253" i="33"/>
  <c r="M253" i="33" s="1"/>
  <c r="E254" i="33"/>
  <c r="G254" i="33" s="1"/>
  <c r="C254" i="66" s="1"/>
  <c r="E254" i="66" s="1"/>
  <c r="G254" i="66" s="1"/>
  <c r="C254" i="67" s="1"/>
  <c r="E254" i="67" s="1"/>
  <c r="G254" i="67" s="1"/>
  <c r="C254" i="70" s="1"/>
  <c r="E254" i="70" s="1"/>
  <c r="G254" i="70" s="1"/>
  <c r="C254" i="71" s="1"/>
  <c r="E254" i="71" s="1"/>
  <c r="G254" i="71" s="1"/>
  <c r="C254" i="68" s="1"/>
  <c r="E254" i="68" s="1"/>
  <c r="G254" i="68" s="1"/>
  <c r="C254" i="69" s="1"/>
  <c r="E254" i="69" s="1"/>
  <c r="G254" i="69" s="1"/>
  <c r="C254" i="72" s="1"/>
  <c r="E254" i="72" s="1"/>
  <c r="G254" i="72" s="1"/>
  <c r="C254" i="73" s="1"/>
  <c r="E254" i="73" s="1"/>
  <c r="G254" i="73" s="1"/>
  <c r="C254" i="74" s="1"/>
  <c r="E254" i="74" s="1"/>
  <c r="G254" i="74" s="1"/>
  <c r="C254" i="75" s="1"/>
  <c r="E254" i="75" s="1"/>
  <c r="G254" i="75" s="1"/>
  <c r="C254" i="76" s="1"/>
  <c r="E254" i="76" s="1"/>
  <c r="G254" i="76" s="1"/>
  <c r="C254" i="77" s="1"/>
  <c r="E254" i="77" s="1"/>
  <c r="G254" i="77" s="1"/>
  <c r="C254" i="78" s="1"/>
  <c r="E254" i="78" s="1"/>
  <c r="G254" i="78" s="1"/>
  <c r="C254" i="79" s="1"/>
  <c r="E254" i="79" s="1"/>
  <c r="G254" i="79" s="1"/>
  <c r="C254" i="80" s="1"/>
  <c r="E254" i="80" s="1"/>
  <c r="G254" i="80" s="1"/>
  <c r="C254" i="81" s="1"/>
  <c r="E254" i="81" s="1"/>
  <c r="G254" i="81" s="1"/>
  <c r="C254" i="82" s="1"/>
  <c r="E254" i="82" s="1"/>
  <c r="G254" i="82" s="1"/>
  <c r="C254" i="83" s="1"/>
  <c r="E254" i="83" s="1"/>
  <c r="G254" i="83" s="1"/>
  <c r="C254" i="84" s="1"/>
  <c r="E254" i="84" s="1"/>
  <c r="G254" i="84" s="1"/>
  <c r="C254" i="85" s="1"/>
  <c r="E254" i="85" s="1"/>
  <c r="G254" i="85" s="1"/>
  <c r="C254" i="86" s="1"/>
  <c r="E254" i="86" s="1"/>
  <c r="G254" i="86" s="1"/>
  <c r="C254" i="87" s="1"/>
  <c r="E254" i="87" s="1"/>
  <c r="G254" i="87" s="1"/>
  <c r="C254" i="88" s="1"/>
  <c r="E254" i="88" s="1"/>
  <c r="G254" i="88" s="1"/>
  <c r="C254" i="89" s="1"/>
  <c r="E254" i="89" s="1"/>
  <c r="G254" i="89" s="1"/>
  <c r="C254" i="90" s="1"/>
  <c r="E254" i="90" s="1"/>
  <c r="G254" i="90" s="1"/>
  <c r="C254" i="91" s="1"/>
  <c r="E254" i="91" s="1"/>
  <c r="G254" i="91" s="1"/>
  <c r="C254" i="92" s="1"/>
  <c r="E254" i="92" s="1"/>
  <c r="G254" i="92" s="1"/>
  <c r="C254" i="93" s="1"/>
  <c r="E254" i="93" s="1"/>
  <c r="G254" i="93" s="1"/>
  <c r="C254" i="94" s="1"/>
  <c r="E254" i="94" s="1"/>
  <c r="G254" i="94" s="1"/>
  <c r="C254" i="95" s="1"/>
  <c r="E254" i="95" s="1"/>
  <c r="G254" i="95" s="1"/>
  <c r="C254" i="96" s="1"/>
  <c r="E254" i="96" s="1"/>
  <c r="G254" i="96" s="1"/>
  <c r="J254" i="33"/>
  <c r="M254" i="33" s="1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E251" i="8" s="1"/>
  <c r="C252" i="8"/>
  <c r="C253" i="8"/>
  <c r="C254" i="8"/>
  <c r="E17" i="8" l="1"/>
  <c r="E44" i="8"/>
  <c r="E19" i="8"/>
  <c r="E234" i="8"/>
  <c r="G234" i="8"/>
  <c r="E137" i="8"/>
  <c r="E129" i="8"/>
  <c r="E113" i="8"/>
  <c r="E64" i="8"/>
  <c r="E32" i="8"/>
  <c r="E224" i="8"/>
  <c r="E136" i="8"/>
  <c r="E112" i="8"/>
  <c r="E16" i="8"/>
  <c r="E226" i="8"/>
  <c r="E248" i="8"/>
  <c r="E89" i="8"/>
  <c r="E238" i="8"/>
  <c r="E135" i="8"/>
  <c r="E127" i="8"/>
  <c r="E21" i="8"/>
  <c r="G218" i="8"/>
  <c r="E218" i="8"/>
  <c r="E211" i="8"/>
  <c r="E195" i="8"/>
  <c r="E187" i="8"/>
  <c r="E163" i="8"/>
  <c r="E147" i="8"/>
  <c r="E139" i="8"/>
  <c r="E123" i="8"/>
  <c r="E115" i="8"/>
  <c r="E149" i="8"/>
  <c r="E111" i="8"/>
  <c r="E103" i="8"/>
  <c r="E229" i="8"/>
  <c r="E221" i="8"/>
  <c r="E77" i="8"/>
  <c r="E95" i="8"/>
  <c r="E101" i="8"/>
  <c r="E79" i="8"/>
  <c r="E54" i="8"/>
  <c r="E30" i="8"/>
  <c r="E93" i="8"/>
  <c r="E203" i="8"/>
  <c r="E50" i="8"/>
  <c r="E230" i="8"/>
  <c r="E222" i="8"/>
  <c r="E207" i="8"/>
  <c r="E199" i="8"/>
  <c r="E183" i="8"/>
  <c r="E175" i="8"/>
  <c r="E159" i="8"/>
  <c r="E216" i="8"/>
  <c r="E97" i="8"/>
  <c r="G10" i="8"/>
  <c r="E254" i="8"/>
  <c r="E151" i="8"/>
  <c r="E231" i="8"/>
  <c r="E223" i="8"/>
  <c r="E215" i="8"/>
  <c r="E192" i="8"/>
  <c r="E96" i="8"/>
  <c r="E137" i="70"/>
  <c r="G137" i="70" s="1"/>
  <c r="C137" i="71" s="1"/>
  <c r="E137" i="71" s="1"/>
  <c r="G137" i="71" s="1"/>
  <c r="C137" i="70"/>
  <c r="C141" i="70"/>
  <c r="E141" i="70" s="1"/>
  <c r="G141" i="70" s="1"/>
  <c r="C141" i="71" s="1"/>
  <c r="E141" i="71" s="1"/>
  <c r="G141" i="71" s="1"/>
  <c r="C45" i="70"/>
  <c r="E45" i="70" s="1"/>
  <c r="G45" i="70" s="1"/>
  <c r="C45" i="71" s="1"/>
  <c r="E45" i="71" s="1"/>
  <c r="G45" i="71" s="1"/>
  <c r="C216" i="70"/>
  <c r="E216" i="70" s="1"/>
  <c r="G216" i="70" s="1"/>
  <c r="C216" i="71" s="1"/>
  <c r="E216" i="71" s="1"/>
  <c r="G216" i="71" s="1"/>
  <c r="C207" i="70"/>
  <c r="E207" i="70" s="1"/>
  <c r="G207" i="70" s="1"/>
  <c r="C207" i="71" s="1"/>
  <c r="E207" i="71" s="1"/>
  <c r="G207" i="71" s="1"/>
  <c r="C170" i="70"/>
  <c r="E170" i="70" s="1"/>
  <c r="G170" i="70" s="1"/>
  <c r="C170" i="71" s="1"/>
  <c r="E170" i="71" s="1"/>
  <c r="G170" i="71" s="1"/>
  <c r="C150" i="70"/>
  <c r="E150" i="70" s="1"/>
  <c r="G150" i="70" s="1"/>
  <c r="C150" i="71" s="1"/>
  <c r="E150" i="71" s="1"/>
  <c r="G150" i="71" s="1"/>
  <c r="C119" i="70"/>
  <c r="E119" i="70" s="1"/>
  <c r="G119" i="70" s="1"/>
  <c r="C119" i="71" s="1"/>
  <c r="E119" i="71" s="1"/>
  <c r="G119" i="71" s="1"/>
  <c r="C99" i="70"/>
  <c r="E99" i="70" s="1"/>
  <c r="G99" i="70" s="1"/>
  <c r="C99" i="71" s="1"/>
  <c r="E99" i="71" s="1"/>
  <c r="G99" i="71" s="1"/>
  <c r="C94" i="70"/>
  <c r="E94" i="70" s="1"/>
  <c r="G94" i="70" s="1"/>
  <c r="C94" i="71" s="1"/>
  <c r="E94" i="71" s="1"/>
  <c r="G94" i="71" s="1"/>
  <c r="E83" i="8"/>
  <c r="C220" i="67"/>
  <c r="E220" i="67" s="1"/>
  <c r="G220" i="67" s="1"/>
  <c r="C220" i="70" s="1"/>
  <c r="E220" i="70" s="1"/>
  <c r="G220" i="70" s="1"/>
  <c r="C220" i="71" s="1"/>
  <c r="E220" i="71" s="1"/>
  <c r="G220" i="71" s="1"/>
  <c r="C220" i="68" s="1"/>
  <c r="E220" i="68" s="1"/>
  <c r="G220" i="68" s="1"/>
  <c r="C220" i="69" s="1"/>
  <c r="E220" i="69" s="1"/>
  <c r="G220" i="69" s="1"/>
  <c r="C220" i="72" s="1"/>
  <c r="E220" i="72" s="1"/>
  <c r="G220" i="72" s="1"/>
  <c r="C220" i="73" s="1"/>
  <c r="E220" i="73" s="1"/>
  <c r="G220" i="73" s="1"/>
  <c r="C220" i="74" s="1"/>
  <c r="E220" i="74" s="1"/>
  <c r="G220" i="74" s="1"/>
  <c r="C220" i="75" s="1"/>
  <c r="E220" i="75" s="1"/>
  <c r="G220" i="75" s="1"/>
  <c r="E220" i="76" s="1"/>
  <c r="G220" i="76" s="1"/>
  <c r="C220" i="77" s="1"/>
  <c r="E220" i="77" s="1"/>
  <c r="G220" i="77" s="1"/>
  <c r="C220" i="78" s="1"/>
  <c r="E220" i="78" s="1"/>
  <c r="G220" i="78" s="1"/>
  <c r="C220" i="79" s="1"/>
  <c r="E220" i="79" s="1"/>
  <c r="G220" i="79" s="1"/>
  <c r="C220" i="80" s="1"/>
  <c r="E220" i="80" s="1"/>
  <c r="G220" i="80" s="1"/>
  <c r="C220" i="81" s="1"/>
  <c r="E220" i="81" s="1"/>
  <c r="G220" i="81" s="1"/>
  <c r="C220" i="82" s="1"/>
  <c r="E220" i="82" s="1"/>
  <c r="G220" i="82" s="1"/>
  <c r="C220" i="83" s="1"/>
  <c r="E220" i="83" s="1"/>
  <c r="G220" i="83" s="1"/>
  <c r="C220" i="84" s="1"/>
  <c r="E220" i="84" s="1"/>
  <c r="G220" i="84" s="1"/>
  <c r="C220" i="85" s="1"/>
  <c r="E220" i="85" s="1"/>
  <c r="G220" i="85" s="1"/>
  <c r="C220" i="86" s="1"/>
  <c r="E220" i="86" s="1"/>
  <c r="G220" i="86" s="1"/>
  <c r="C220" i="87" s="1"/>
  <c r="E220" i="87" s="1"/>
  <c r="G220" i="87" s="1"/>
  <c r="C220" i="88" s="1"/>
  <c r="E220" i="88" s="1"/>
  <c r="G220" i="88" s="1"/>
  <c r="C220" i="89" s="1"/>
  <c r="E220" i="89" s="1"/>
  <c r="G220" i="89" s="1"/>
  <c r="C220" i="90" s="1"/>
  <c r="E220" i="90" s="1"/>
  <c r="G220" i="90" s="1"/>
  <c r="C220" i="91" s="1"/>
  <c r="E220" i="91" s="1"/>
  <c r="G220" i="91" s="1"/>
  <c r="C220" i="92" s="1"/>
  <c r="E220" i="92" s="1"/>
  <c r="G220" i="92" s="1"/>
  <c r="C220" i="93" s="1"/>
  <c r="E220" i="93" s="1"/>
  <c r="G220" i="93" s="1"/>
  <c r="C220" i="94" s="1"/>
  <c r="E220" i="94" s="1"/>
  <c r="G220" i="94" s="1"/>
  <c r="C220" i="95" s="1"/>
  <c r="E220" i="95" s="1"/>
  <c r="G220" i="95" s="1"/>
  <c r="C220" i="96" s="1"/>
  <c r="E220" i="96" s="1"/>
  <c r="G220" i="96" s="1"/>
  <c r="C206" i="70"/>
  <c r="E206" i="70" s="1"/>
  <c r="G206" i="70" s="1"/>
  <c r="C206" i="71" s="1"/>
  <c r="E206" i="71" s="1"/>
  <c r="G206" i="71" s="1"/>
  <c r="M5" i="90"/>
  <c r="C100" i="70"/>
  <c r="E100" i="70" s="1"/>
  <c r="G100" i="70" s="1"/>
  <c r="C100" i="71" s="1"/>
  <c r="E100" i="71" s="1"/>
  <c r="G100" i="71" s="1"/>
  <c r="K257" i="82"/>
  <c r="M21" i="8" s="1"/>
  <c r="S21" i="8" s="1"/>
  <c r="G216" i="8"/>
  <c r="E205" i="8"/>
  <c r="E193" i="8"/>
  <c r="E169" i="8"/>
  <c r="C46" i="70"/>
  <c r="E46" i="70" s="1"/>
  <c r="G46" i="70" s="1"/>
  <c r="C46" i="71" s="1"/>
  <c r="E46" i="71" s="1"/>
  <c r="G46" i="71" s="1"/>
  <c r="C21" i="70"/>
  <c r="E21" i="70" s="1"/>
  <c r="G21" i="70" s="1"/>
  <c r="C21" i="71" s="1"/>
  <c r="E21" i="71" s="1"/>
  <c r="G21" i="71" s="1"/>
  <c r="M5" i="82"/>
  <c r="N254" i="82" s="1"/>
  <c r="E204" i="8"/>
  <c r="C67" i="70"/>
  <c r="E67" i="70" s="1"/>
  <c r="G67" i="70" s="1"/>
  <c r="C67" i="71" s="1"/>
  <c r="E67" i="71" s="1"/>
  <c r="G67" i="71" s="1"/>
  <c r="C62" i="70"/>
  <c r="E62" i="70" s="1"/>
  <c r="G62" i="70" s="1"/>
  <c r="C62" i="71" s="1"/>
  <c r="E62" i="71" s="1"/>
  <c r="G62" i="71" s="1"/>
  <c r="C57" i="70"/>
  <c r="E57" i="70" s="1"/>
  <c r="G57" i="70" s="1"/>
  <c r="C57" i="71" s="1"/>
  <c r="E57" i="71" s="1"/>
  <c r="G57" i="71" s="1"/>
  <c r="C35" i="70"/>
  <c r="E35" i="70" s="1"/>
  <c r="G35" i="70" s="1"/>
  <c r="C35" i="71" s="1"/>
  <c r="E35" i="71" s="1"/>
  <c r="G35" i="71" s="1"/>
  <c r="C24" i="70"/>
  <c r="E24" i="70" s="1"/>
  <c r="G24" i="70" s="1"/>
  <c r="C24" i="71" s="1"/>
  <c r="E24" i="71" s="1"/>
  <c r="G24" i="71" s="1"/>
  <c r="C92" i="70"/>
  <c r="E92" i="70" s="1"/>
  <c r="G92" i="70" s="1"/>
  <c r="C92" i="71" s="1"/>
  <c r="E92" i="71" s="1"/>
  <c r="G92" i="71" s="1"/>
  <c r="K257" i="87"/>
  <c r="C151" i="70"/>
  <c r="E151" i="70" s="1"/>
  <c r="G151" i="70" s="1"/>
  <c r="C151" i="71" s="1"/>
  <c r="E151" i="71" s="1"/>
  <c r="G151" i="71" s="1"/>
  <c r="C125" i="70"/>
  <c r="E125" i="70" s="1"/>
  <c r="G125" i="70" s="1"/>
  <c r="C125" i="71" s="1"/>
  <c r="E125" i="71" s="1"/>
  <c r="G125" i="71" s="1"/>
  <c r="C70" i="70"/>
  <c r="E70" i="70" s="1"/>
  <c r="G70" i="70" s="1"/>
  <c r="C70" i="71" s="1"/>
  <c r="E70" i="71" s="1"/>
  <c r="G70" i="71" s="1"/>
  <c r="C33" i="70"/>
  <c r="E33" i="70" s="1"/>
  <c r="G33" i="70" s="1"/>
  <c r="C33" i="71" s="1"/>
  <c r="E33" i="71" s="1"/>
  <c r="G33" i="71" s="1"/>
  <c r="C197" i="70"/>
  <c r="E197" i="70" s="1"/>
  <c r="G197" i="70" s="1"/>
  <c r="C197" i="71" s="1"/>
  <c r="E197" i="71" s="1"/>
  <c r="G197" i="71" s="1"/>
  <c r="C155" i="70"/>
  <c r="E155" i="70" s="1"/>
  <c r="G155" i="70" s="1"/>
  <c r="C155" i="71" s="1"/>
  <c r="E155" i="71" s="1"/>
  <c r="G155" i="71" s="1"/>
  <c r="E109" i="70"/>
  <c r="G109" i="70" s="1"/>
  <c r="C109" i="71" s="1"/>
  <c r="E109" i="71" s="1"/>
  <c r="G109" i="71" s="1"/>
  <c r="C109" i="70"/>
  <c r="C74" i="70"/>
  <c r="E74" i="70" s="1"/>
  <c r="G74" i="70" s="1"/>
  <c r="C74" i="71" s="1"/>
  <c r="E74" i="71" s="1"/>
  <c r="G74" i="71" s="1"/>
  <c r="C215" i="70"/>
  <c r="E215" i="70" s="1"/>
  <c r="G215" i="70" s="1"/>
  <c r="C215" i="71" s="1"/>
  <c r="E215" i="71" s="1"/>
  <c r="G215" i="71" s="1"/>
  <c r="C164" i="70"/>
  <c r="E164" i="70" s="1"/>
  <c r="G164" i="70" s="1"/>
  <c r="C164" i="71" s="1"/>
  <c r="E164" i="71" s="1"/>
  <c r="G164" i="71" s="1"/>
  <c r="C145" i="70"/>
  <c r="E145" i="70" s="1"/>
  <c r="G145" i="70" s="1"/>
  <c r="C145" i="71" s="1"/>
  <c r="E145" i="71" s="1"/>
  <c r="G145" i="71" s="1"/>
  <c r="C129" i="70"/>
  <c r="E129" i="70" s="1"/>
  <c r="G129" i="70" s="1"/>
  <c r="C129" i="71" s="1"/>
  <c r="E129" i="71" s="1"/>
  <c r="G129" i="71" s="1"/>
  <c r="E34" i="8"/>
  <c r="C211" i="70"/>
  <c r="E211" i="70" s="1"/>
  <c r="G211" i="70" s="1"/>
  <c r="C211" i="71" s="1"/>
  <c r="E211" i="71" s="1"/>
  <c r="G211" i="71" s="1"/>
  <c r="C194" i="70"/>
  <c r="E194" i="70" s="1"/>
  <c r="G194" i="70" s="1"/>
  <c r="C194" i="71" s="1"/>
  <c r="E194" i="71" s="1"/>
  <c r="G194" i="71" s="1"/>
  <c r="C184" i="70"/>
  <c r="E184" i="70" s="1"/>
  <c r="G184" i="70" s="1"/>
  <c r="C184" i="71" s="1"/>
  <c r="E184" i="71" s="1"/>
  <c r="G184" i="71" s="1"/>
  <c r="C167" i="70"/>
  <c r="E167" i="70" s="1"/>
  <c r="G167" i="70" s="1"/>
  <c r="C167" i="71" s="1"/>
  <c r="E167" i="71" s="1"/>
  <c r="G167" i="71" s="1"/>
  <c r="C142" i="70"/>
  <c r="E142" i="70" s="1"/>
  <c r="G142" i="70" s="1"/>
  <c r="C142" i="71" s="1"/>
  <c r="E142" i="71" s="1"/>
  <c r="G142" i="71" s="1"/>
  <c r="C126" i="70"/>
  <c r="E126" i="70" s="1"/>
  <c r="G126" i="70" s="1"/>
  <c r="C126" i="71" s="1"/>
  <c r="E126" i="71" s="1"/>
  <c r="G126" i="71" s="1"/>
  <c r="C121" i="70"/>
  <c r="E121" i="70" s="1"/>
  <c r="G121" i="70" s="1"/>
  <c r="C121" i="71" s="1"/>
  <c r="E121" i="71" s="1"/>
  <c r="G121" i="71" s="1"/>
  <c r="C76" i="70"/>
  <c r="E76" i="70" s="1"/>
  <c r="G76" i="70" s="1"/>
  <c r="C76" i="71" s="1"/>
  <c r="E76" i="71" s="1"/>
  <c r="G76" i="71" s="1"/>
  <c r="C51" i="70"/>
  <c r="E51" i="70" s="1"/>
  <c r="G51" i="70" s="1"/>
  <c r="C51" i="71" s="1"/>
  <c r="E51" i="71" s="1"/>
  <c r="G51" i="71" s="1"/>
  <c r="C18" i="70"/>
  <c r="E18" i="70" s="1"/>
  <c r="G18" i="70" s="1"/>
  <c r="C18" i="71" s="1"/>
  <c r="E18" i="71" s="1"/>
  <c r="G18" i="71" s="1"/>
  <c r="C148" i="70"/>
  <c r="E148" i="70" s="1"/>
  <c r="G148" i="70" s="1"/>
  <c r="C148" i="71" s="1"/>
  <c r="E148" i="71" s="1"/>
  <c r="G148" i="71" s="1"/>
  <c r="C159" i="70"/>
  <c r="E159" i="70" s="1"/>
  <c r="G159" i="70" s="1"/>
  <c r="C159" i="71" s="1"/>
  <c r="E159" i="71" s="1"/>
  <c r="G159" i="71" s="1"/>
  <c r="K257" i="85"/>
  <c r="M5" i="88"/>
  <c r="N254" i="88" s="1"/>
  <c r="C202" i="70"/>
  <c r="E202" i="70" s="1"/>
  <c r="G202" i="70" s="1"/>
  <c r="C202" i="71" s="1"/>
  <c r="E202" i="71" s="1"/>
  <c r="G202" i="71" s="1"/>
  <c r="C212" i="70"/>
  <c r="E212" i="70" s="1"/>
  <c r="G212" i="70" s="1"/>
  <c r="C212" i="71" s="1"/>
  <c r="E212" i="71" s="1"/>
  <c r="G212" i="71" s="1"/>
  <c r="C198" i="70"/>
  <c r="E198" i="70" s="1"/>
  <c r="G198" i="70" s="1"/>
  <c r="C198" i="71" s="1"/>
  <c r="E198" i="71" s="1"/>
  <c r="G198" i="71" s="1"/>
  <c r="C156" i="70"/>
  <c r="E156" i="70" s="1"/>
  <c r="G156" i="70" s="1"/>
  <c r="C156" i="71" s="1"/>
  <c r="E156" i="71" s="1"/>
  <c r="G156" i="71" s="1"/>
  <c r="C146" i="70"/>
  <c r="E146" i="70" s="1"/>
  <c r="G146" i="70" s="1"/>
  <c r="C146" i="71" s="1"/>
  <c r="E146" i="71" s="1"/>
  <c r="G146" i="71" s="1"/>
  <c r="C136" i="70"/>
  <c r="E136" i="70" s="1"/>
  <c r="G136" i="70" s="1"/>
  <c r="C136" i="71" s="1"/>
  <c r="E136" i="71" s="1"/>
  <c r="G136" i="71" s="1"/>
  <c r="C95" i="70"/>
  <c r="E95" i="70" s="1"/>
  <c r="G95" i="70" s="1"/>
  <c r="C95" i="71" s="1"/>
  <c r="E95" i="71" s="1"/>
  <c r="G95" i="71" s="1"/>
  <c r="C85" i="70"/>
  <c r="E85" i="70" s="1"/>
  <c r="G85" i="70" s="1"/>
  <c r="C85" i="71" s="1"/>
  <c r="E85" i="71" s="1"/>
  <c r="G85" i="71" s="1"/>
  <c r="C65" i="70"/>
  <c r="E65" i="70" s="1"/>
  <c r="G65" i="70" s="1"/>
  <c r="C65" i="71" s="1"/>
  <c r="E65" i="71" s="1"/>
  <c r="G65" i="71" s="1"/>
  <c r="C44" i="70"/>
  <c r="E44" i="70" s="1"/>
  <c r="G44" i="70" s="1"/>
  <c r="C44" i="71" s="1"/>
  <c r="E44" i="71" s="1"/>
  <c r="G44" i="71" s="1"/>
  <c r="C22" i="70"/>
  <c r="E22" i="70" s="1"/>
  <c r="G22" i="70" s="1"/>
  <c r="C22" i="71" s="1"/>
  <c r="E22" i="71" s="1"/>
  <c r="G22" i="71" s="1"/>
  <c r="C15" i="70"/>
  <c r="E15" i="70" s="1"/>
  <c r="G15" i="70" s="1"/>
  <c r="C15" i="71" s="1"/>
  <c r="E15" i="71" s="1"/>
  <c r="G15" i="71" s="1"/>
  <c r="C203" i="70"/>
  <c r="E203" i="70" s="1"/>
  <c r="G203" i="70" s="1"/>
  <c r="C203" i="71" s="1"/>
  <c r="E203" i="71" s="1"/>
  <c r="G203" i="71" s="1"/>
  <c r="C165" i="70"/>
  <c r="E165" i="70" s="1"/>
  <c r="G165" i="70" s="1"/>
  <c r="C165" i="71" s="1"/>
  <c r="E165" i="71" s="1"/>
  <c r="G165" i="71" s="1"/>
  <c r="C90" i="70"/>
  <c r="E90" i="70" s="1"/>
  <c r="G90" i="70" s="1"/>
  <c r="C90" i="71" s="1"/>
  <c r="E90" i="71" s="1"/>
  <c r="G90" i="71" s="1"/>
  <c r="C80" i="70"/>
  <c r="E80" i="70" s="1"/>
  <c r="G80" i="70" s="1"/>
  <c r="C80" i="71" s="1"/>
  <c r="E80" i="71" s="1"/>
  <c r="G80" i="71" s="1"/>
  <c r="C60" i="70"/>
  <c r="E60" i="70" s="1"/>
  <c r="G60" i="70" s="1"/>
  <c r="C60" i="71" s="1"/>
  <c r="E60" i="71" s="1"/>
  <c r="G60" i="71" s="1"/>
  <c r="C55" i="70"/>
  <c r="E55" i="70" s="1"/>
  <c r="G55" i="70" s="1"/>
  <c r="C55" i="71" s="1"/>
  <c r="E55" i="71" s="1"/>
  <c r="G55" i="71" s="1"/>
  <c r="C38" i="70"/>
  <c r="E38" i="70" s="1"/>
  <c r="G38" i="70" s="1"/>
  <c r="C38" i="71" s="1"/>
  <c r="E38" i="71" s="1"/>
  <c r="G38" i="71" s="1"/>
  <c r="C27" i="70"/>
  <c r="E27" i="70" s="1"/>
  <c r="G27" i="70" s="1"/>
  <c r="C27" i="71" s="1"/>
  <c r="E27" i="71" s="1"/>
  <c r="G27" i="71" s="1"/>
  <c r="C176" i="70"/>
  <c r="E176" i="70" s="1"/>
  <c r="G176" i="70" s="1"/>
  <c r="C176" i="71" s="1"/>
  <c r="E176" i="71" s="1"/>
  <c r="G176" i="71" s="1"/>
  <c r="C140" i="70"/>
  <c r="E140" i="70" s="1"/>
  <c r="G140" i="70" s="1"/>
  <c r="C140" i="71" s="1"/>
  <c r="E140" i="71" s="1"/>
  <c r="G140" i="71" s="1"/>
  <c r="C124" i="70"/>
  <c r="E124" i="70" s="1"/>
  <c r="G124" i="70" s="1"/>
  <c r="C124" i="71" s="1"/>
  <c r="E124" i="71" s="1"/>
  <c r="G124" i="71" s="1"/>
  <c r="C104" i="70"/>
  <c r="E104" i="70" s="1"/>
  <c r="G104" i="70" s="1"/>
  <c r="C104" i="71" s="1"/>
  <c r="E104" i="71" s="1"/>
  <c r="G104" i="71" s="1"/>
  <c r="M5" i="86"/>
  <c r="N254" i="86" s="1"/>
  <c r="K257" i="86"/>
  <c r="G217" i="8"/>
  <c r="C110" i="70"/>
  <c r="E110" i="70" s="1"/>
  <c r="G110" i="70" s="1"/>
  <c r="C110" i="71" s="1"/>
  <c r="E110" i="71" s="1"/>
  <c r="G110" i="71" s="1"/>
  <c r="C199" i="70"/>
  <c r="E199" i="70" s="1"/>
  <c r="G199" i="70" s="1"/>
  <c r="C199" i="71" s="1"/>
  <c r="E199" i="71" s="1"/>
  <c r="G199" i="71" s="1"/>
  <c r="C189" i="70"/>
  <c r="E189" i="70" s="1"/>
  <c r="G189" i="70" s="1"/>
  <c r="C189" i="71" s="1"/>
  <c r="E189" i="71" s="1"/>
  <c r="G189" i="71" s="1"/>
  <c r="C157" i="70"/>
  <c r="E157" i="70" s="1"/>
  <c r="G157" i="70" s="1"/>
  <c r="C157" i="71" s="1"/>
  <c r="E157" i="71" s="1"/>
  <c r="G157" i="71" s="1"/>
  <c r="C147" i="70"/>
  <c r="E147" i="70" s="1"/>
  <c r="G147" i="70" s="1"/>
  <c r="C147" i="71" s="1"/>
  <c r="E147" i="71" s="1"/>
  <c r="G147" i="71" s="1"/>
  <c r="C131" i="70"/>
  <c r="E131" i="70" s="1"/>
  <c r="G131" i="70" s="1"/>
  <c r="C131" i="71" s="1"/>
  <c r="E131" i="71" s="1"/>
  <c r="G131" i="71" s="1"/>
  <c r="E116" i="70"/>
  <c r="G116" i="70" s="1"/>
  <c r="C116" i="71" s="1"/>
  <c r="E116" i="71" s="1"/>
  <c r="G116" i="71" s="1"/>
  <c r="C116" i="70"/>
  <c r="C91" i="70"/>
  <c r="E91" i="70" s="1"/>
  <c r="G91" i="70" s="1"/>
  <c r="C91" i="71" s="1"/>
  <c r="E91" i="71" s="1"/>
  <c r="G91" i="71" s="1"/>
  <c r="C86" i="70"/>
  <c r="E86" i="70" s="1"/>
  <c r="G86" i="70" s="1"/>
  <c r="C86" i="71" s="1"/>
  <c r="E86" i="71" s="1"/>
  <c r="G86" i="71" s="1"/>
  <c r="C66" i="70"/>
  <c r="E66" i="70" s="1"/>
  <c r="G66" i="70" s="1"/>
  <c r="C66" i="71" s="1"/>
  <c r="E66" i="71" s="1"/>
  <c r="G66" i="71" s="1"/>
  <c r="C61" i="70"/>
  <c r="E61" i="70" s="1"/>
  <c r="G61" i="70" s="1"/>
  <c r="C61" i="71" s="1"/>
  <c r="E61" i="71" s="1"/>
  <c r="G61" i="71" s="1"/>
  <c r="C56" i="70"/>
  <c r="E56" i="70" s="1"/>
  <c r="G56" i="70" s="1"/>
  <c r="C56" i="71" s="1"/>
  <c r="E56" i="71" s="1"/>
  <c r="G56" i="71" s="1"/>
  <c r="C34" i="70"/>
  <c r="E34" i="70" s="1"/>
  <c r="G34" i="70" s="1"/>
  <c r="C34" i="71" s="1"/>
  <c r="E34" i="71" s="1"/>
  <c r="G34" i="71" s="1"/>
  <c r="C23" i="70"/>
  <c r="E23" i="70" s="1"/>
  <c r="G23" i="70" s="1"/>
  <c r="C23" i="71" s="1"/>
  <c r="E23" i="71" s="1"/>
  <c r="G23" i="71" s="1"/>
  <c r="K257" i="89"/>
  <c r="K263" i="89" s="1"/>
  <c r="C217" i="70"/>
  <c r="E217" i="70" s="1"/>
  <c r="G217" i="70" s="1"/>
  <c r="C217" i="71" s="1"/>
  <c r="E217" i="71" s="1"/>
  <c r="G217" i="71" s="1"/>
  <c r="C208" i="70"/>
  <c r="E208" i="70" s="1"/>
  <c r="G208" i="70" s="1"/>
  <c r="C208" i="71" s="1"/>
  <c r="E208" i="71" s="1"/>
  <c r="G208" i="71" s="1"/>
  <c r="C193" i="70"/>
  <c r="E193" i="70" s="1"/>
  <c r="G193" i="70" s="1"/>
  <c r="C193" i="71" s="1"/>
  <c r="E193" i="71" s="1"/>
  <c r="G193" i="71" s="1"/>
  <c r="C166" i="70"/>
  <c r="E166" i="70" s="1"/>
  <c r="G166" i="70" s="1"/>
  <c r="C166" i="71" s="1"/>
  <c r="E166" i="71" s="1"/>
  <c r="G166" i="71" s="1"/>
  <c r="C105" i="70"/>
  <c r="E105" i="70" s="1"/>
  <c r="G105" i="70" s="1"/>
  <c r="C105" i="71" s="1"/>
  <c r="E105" i="71" s="1"/>
  <c r="G105" i="71" s="1"/>
  <c r="C81" i="70"/>
  <c r="E81" i="70" s="1"/>
  <c r="G81" i="70" s="1"/>
  <c r="C81" i="71" s="1"/>
  <c r="E81" i="71" s="1"/>
  <c r="G81" i="71" s="1"/>
  <c r="C75" i="70"/>
  <c r="E75" i="70" s="1"/>
  <c r="G75" i="70" s="1"/>
  <c r="C75" i="71" s="1"/>
  <c r="E75" i="71" s="1"/>
  <c r="G75" i="71" s="1"/>
  <c r="C50" i="70"/>
  <c r="E50" i="70" s="1"/>
  <c r="G50" i="70" s="1"/>
  <c r="C50" i="71" s="1"/>
  <c r="E50" i="71" s="1"/>
  <c r="G50" i="71" s="1"/>
  <c r="C17" i="70"/>
  <c r="E17" i="70" s="1"/>
  <c r="G17" i="70" s="1"/>
  <c r="C17" i="71" s="1"/>
  <c r="E17" i="71" s="1"/>
  <c r="G17" i="71" s="1"/>
  <c r="M5" i="76"/>
  <c r="N254" i="76" s="1"/>
  <c r="K257" i="76"/>
  <c r="E157" i="8"/>
  <c r="G146" i="8"/>
  <c r="C214" i="70"/>
  <c r="E214" i="70" s="1"/>
  <c r="G214" i="70" s="1"/>
  <c r="C214" i="71" s="1"/>
  <c r="E214" i="71" s="1"/>
  <c r="G214" i="71" s="1"/>
  <c r="C201" i="70"/>
  <c r="E201" i="70" s="1"/>
  <c r="G201" i="70" s="1"/>
  <c r="C201" i="71" s="1"/>
  <c r="E201" i="71" s="1"/>
  <c r="G201" i="71" s="1"/>
  <c r="C181" i="70"/>
  <c r="E181" i="70" s="1"/>
  <c r="G181" i="70" s="1"/>
  <c r="C181" i="71" s="1"/>
  <c r="E181" i="71" s="1"/>
  <c r="G181" i="71" s="1"/>
  <c r="C175" i="70"/>
  <c r="E175" i="70" s="1"/>
  <c r="G175" i="70" s="1"/>
  <c r="C175" i="71" s="1"/>
  <c r="E175" i="71" s="1"/>
  <c r="G175" i="71" s="1"/>
  <c r="E154" i="70"/>
  <c r="G154" i="70" s="1"/>
  <c r="C154" i="71" s="1"/>
  <c r="E154" i="71" s="1"/>
  <c r="G154" i="71" s="1"/>
  <c r="C154" i="70"/>
  <c r="C123" i="70"/>
  <c r="E123" i="70" s="1"/>
  <c r="G123" i="70" s="1"/>
  <c r="C123" i="71" s="1"/>
  <c r="E123" i="71" s="1"/>
  <c r="G123" i="71" s="1"/>
  <c r="C108" i="70"/>
  <c r="E108" i="70" s="1"/>
  <c r="G108" i="70" s="1"/>
  <c r="C108" i="71" s="1"/>
  <c r="E108" i="71" s="1"/>
  <c r="G108" i="71" s="1"/>
  <c r="C84" i="70"/>
  <c r="E84" i="70" s="1"/>
  <c r="G84" i="70" s="1"/>
  <c r="C84" i="71" s="1"/>
  <c r="E84" i="71" s="1"/>
  <c r="G84" i="71" s="1"/>
  <c r="C79" i="70"/>
  <c r="E79" i="70" s="1"/>
  <c r="G79" i="70" s="1"/>
  <c r="C79" i="71" s="1"/>
  <c r="E79" i="71" s="1"/>
  <c r="G79" i="71" s="1"/>
  <c r="C69" i="70"/>
  <c r="E69" i="70" s="1"/>
  <c r="G69" i="70" s="1"/>
  <c r="C69" i="71" s="1"/>
  <c r="E69" i="71" s="1"/>
  <c r="G69" i="71" s="1"/>
  <c r="E64" i="70"/>
  <c r="G64" i="70" s="1"/>
  <c r="C64" i="71" s="1"/>
  <c r="E64" i="71" s="1"/>
  <c r="G64" i="71" s="1"/>
  <c r="C64" i="70"/>
  <c r="C43" i="70"/>
  <c r="E43" i="70" s="1"/>
  <c r="G43" i="70" s="1"/>
  <c r="C43" i="71" s="1"/>
  <c r="E43" i="71" s="1"/>
  <c r="G43" i="71" s="1"/>
  <c r="C32" i="70"/>
  <c r="E32" i="70" s="1"/>
  <c r="G32" i="70" s="1"/>
  <c r="C32" i="71" s="1"/>
  <c r="E32" i="71" s="1"/>
  <c r="G32" i="71" s="1"/>
  <c r="C16" i="70"/>
  <c r="E16" i="70" s="1"/>
  <c r="G16" i="70" s="1"/>
  <c r="C16" i="71" s="1"/>
  <c r="E16" i="71" s="1"/>
  <c r="G16" i="71" s="1"/>
  <c r="C96" i="70"/>
  <c r="E96" i="70" s="1"/>
  <c r="G96" i="70" s="1"/>
  <c r="C96" i="71" s="1"/>
  <c r="E96" i="71" s="1"/>
  <c r="G96" i="71" s="1"/>
  <c r="C106" i="70"/>
  <c r="E106" i="70" s="1"/>
  <c r="G106" i="70" s="1"/>
  <c r="C106" i="71" s="1"/>
  <c r="E106" i="71" s="1"/>
  <c r="G106" i="71" s="1"/>
  <c r="G225" i="8"/>
  <c r="E214" i="8"/>
  <c r="E180" i="8"/>
  <c r="E156" i="8"/>
  <c r="E145" i="8"/>
  <c r="E191" i="70"/>
  <c r="G191" i="70" s="1"/>
  <c r="C191" i="71" s="1"/>
  <c r="E191" i="71" s="1"/>
  <c r="G191" i="71" s="1"/>
  <c r="C191" i="70"/>
  <c r="C186" i="70"/>
  <c r="E186" i="70" s="1"/>
  <c r="G186" i="70" s="1"/>
  <c r="C186" i="71" s="1"/>
  <c r="E186" i="71" s="1"/>
  <c r="G186" i="71" s="1"/>
  <c r="C169" i="70"/>
  <c r="E169" i="70" s="1"/>
  <c r="G169" i="70" s="1"/>
  <c r="C169" i="71" s="1"/>
  <c r="E169" i="71" s="1"/>
  <c r="G169" i="71" s="1"/>
  <c r="E163" i="70"/>
  <c r="G163" i="70" s="1"/>
  <c r="C163" i="71" s="1"/>
  <c r="E163" i="71" s="1"/>
  <c r="G163" i="71" s="1"/>
  <c r="C163" i="70"/>
  <c r="C149" i="70"/>
  <c r="E149" i="70" s="1"/>
  <c r="G149" i="70" s="1"/>
  <c r="C149" i="71" s="1"/>
  <c r="E149" i="71" s="1"/>
  <c r="G149" i="71" s="1"/>
  <c r="C144" i="70"/>
  <c r="E144" i="70" s="1"/>
  <c r="G144" i="70" s="1"/>
  <c r="C144" i="71" s="1"/>
  <c r="E144" i="71" s="1"/>
  <c r="G144" i="71" s="1"/>
  <c r="E139" i="70"/>
  <c r="G139" i="70" s="1"/>
  <c r="C139" i="71" s="1"/>
  <c r="E139" i="71" s="1"/>
  <c r="G139" i="71" s="1"/>
  <c r="C139" i="70"/>
  <c r="C128" i="70"/>
  <c r="E128" i="70" s="1"/>
  <c r="G128" i="70" s="1"/>
  <c r="C128" i="71" s="1"/>
  <c r="E128" i="71" s="1"/>
  <c r="G128" i="71" s="1"/>
  <c r="C118" i="70"/>
  <c r="E118" i="70" s="1"/>
  <c r="G118" i="70" s="1"/>
  <c r="C118" i="71" s="1"/>
  <c r="E118" i="71" s="1"/>
  <c r="G118" i="71" s="1"/>
  <c r="E103" i="70"/>
  <c r="G103" i="70" s="1"/>
  <c r="C103" i="71" s="1"/>
  <c r="E103" i="71" s="1"/>
  <c r="G103" i="71" s="1"/>
  <c r="C103" i="70"/>
  <c r="C89" i="70"/>
  <c r="E89" i="70" s="1"/>
  <c r="G89" i="70" s="1"/>
  <c r="C89" i="71" s="1"/>
  <c r="E89" i="71" s="1"/>
  <c r="G89" i="71" s="1"/>
  <c r="C73" i="70"/>
  <c r="E73" i="70" s="1"/>
  <c r="G73" i="70" s="1"/>
  <c r="C73" i="71" s="1"/>
  <c r="E73" i="71" s="1"/>
  <c r="G73" i="71" s="1"/>
  <c r="E37" i="70"/>
  <c r="G37" i="70" s="1"/>
  <c r="C37" i="71" s="1"/>
  <c r="E37" i="71" s="1"/>
  <c r="G37" i="71" s="1"/>
  <c r="C37" i="70"/>
  <c r="M5" i="78"/>
  <c r="C200" i="70"/>
  <c r="E200" i="70" s="1"/>
  <c r="G200" i="70" s="1"/>
  <c r="C200" i="71" s="1"/>
  <c r="E200" i="71" s="1"/>
  <c r="G200" i="71" s="1"/>
  <c r="C180" i="70"/>
  <c r="E180" i="70" s="1"/>
  <c r="G180" i="70" s="1"/>
  <c r="C180" i="71" s="1"/>
  <c r="E180" i="71" s="1"/>
  <c r="G180" i="71" s="1"/>
  <c r="C113" i="70"/>
  <c r="E113" i="70" s="1"/>
  <c r="G113" i="70" s="1"/>
  <c r="C113" i="71" s="1"/>
  <c r="E113" i="71" s="1"/>
  <c r="G113" i="71" s="1"/>
  <c r="C93" i="70"/>
  <c r="E93" i="70" s="1"/>
  <c r="G93" i="70" s="1"/>
  <c r="C93" i="71" s="1"/>
  <c r="E93" i="71" s="1"/>
  <c r="G93" i="71" s="1"/>
  <c r="C42" i="70"/>
  <c r="E42" i="70" s="1"/>
  <c r="G42" i="70" s="1"/>
  <c r="C42" i="71" s="1"/>
  <c r="E42" i="71" s="1"/>
  <c r="G42" i="71" s="1"/>
  <c r="C26" i="70"/>
  <c r="E26" i="70" s="1"/>
  <c r="G26" i="70" s="1"/>
  <c r="C26" i="71" s="1"/>
  <c r="E26" i="71" s="1"/>
  <c r="G26" i="71" s="1"/>
  <c r="C41" i="70"/>
  <c r="E41" i="70" s="1"/>
  <c r="G41" i="70" s="1"/>
  <c r="C41" i="71" s="1"/>
  <c r="E41" i="71" s="1"/>
  <c r="G41" i="71" s="1"/>
  <c r="C185" i="70"/>
  <c r="E185" i="70" s="1"/>
  <c r="G185" i="70" s="1"/>
  <c r="C185" i="71" s="1"/>
  <c r="E185" i="71" s="1"/>
  <c r="G185" i="71" s="1"/>
  <c r="C162" i="70"/>
  <c r="E162" i="70" s="1"/>
  <c r="G162" i="70" s="1"/>
  <c r="C162" i="71" s="1"/>
  <c r="E162" i="71" s="1"/>
  <c r="G162" i="71" s="1"/>
  <c r="C102" i="70"/>
  <c r="E102" i="70" s="1"/>
  <c r="G102" i="70" s="1"/>
  <c r="C102" i="71" s="1"/>
  <c r="E102" i="71" s="1"/>
  <c r="G102" i="71" s="1"/>
  <c r="M5" i="77"/>
  <c r="N254" i="77" s="1"/>
  <c r="C77" i="70"/>
  <c r="E77" i="70" s="1"/>
  <c r="G77" i="70" s="1"/>
  <c r="C77" i="71" s="1"/>
  <c r="E77" i="71" s="1"/>
  <c r="G77" i="71" s="1"/>
  <c r="C174" i="70"/>
  <c r="E174" i="70" s="1"/>
  <c r="G174" i="70" s="1"/>
  <c r="C174" i="71" s="1"/>
  <c r="E174" i="71" s="1"/>
  <c r="G174" i="71" s="1"/>
  <c r="C158" i="70"/>
  <c r="E158" i="70" s="1"/>
  <c r="G158" i="70" s="1"/>
  <c r="C158" i="71" s="1"/>
  <c r="E158" i="71" s="1"/>
  <c r="G158" i="71" s="1"/>
  <c r="C122" i="70"/>
  <c r="E122" i="70" s="1"/>
  <c r="G122" i="70" s="1"/>
  <c r="C122" i="71" s="1"/>
  <c r="E122" i="71" s="1"/>
  <c r="G122" i="71" s="1"/>
  <c r="C98" i="70"/>
  <c r="E98" i="70" s="1"/>
  <c r="G98" i="70" s="1"/>
  <c r="C98" i="71" s="1"/>
  <c r="E98" i="71" s="1"/>
  <c r="G98" i="71" s="1"/>
  <c r="C209" i="70"/>
  <c r="E209" i="70" s="1"/>
  <c r="G209" i="70" s="1"/>
  <c r="C209" i="71" s="1"/>
  <c r="E209" i="71" s="1"/>
  <c r="G209" i="71" s="1"/>
  <c r="C204" i="70"/>
  <c r="E204" i="70" s="1"/>
  <c r="G204" i="70" s="1"/>
  <c r="C204" i="71" s="1"/>
  <c r="E204" i="71" s="1"/>
  <c r="G204" i="71" s="1"/>
  <c r="C168" i="70"/>
  <c r="E168" i="70" s="1"/>
  <c r="G168" i="70" s="1"/>
  <c r="C168" i="71" s="1"/>
  <c r="E168" i="71" s="1"/>
  <c r="G168" i="71" s="1"/>
  <c r="C143" i="70"/>
  <c r="E143" i="70" s="1"/>
  <c r="G143" i="70" s="1"/>
  <c r="C143" i="71" s="1"/>
  <c r="E143" i="71" s="1"/>
  <c r="G143" i="71" s="1"/>
  <c r="C138" i="70"/>
  <c r="E138" i="70" s="1"/>
  <c r="G138" i="70" s="1"/>
  <c r="C138" i="71" s="1"/>
  <c r="E138" i="71" s="1"/>
  <c r="G138" i="71" s="1"/>
  <c r="C127" i="70"/>
  <c r="E127" i="70" s="1"/>
  <c r="G127" i="70" s="1"/>
  <c r="C127" i="71" s="1"/>
  <c r="E127" i="71" s="1"/>
  <c r="G127" i="71" s="1"/>
  <c r="C107" i="70"/>
  <c r="E107" i="70" s="1"/>
  <c r="G107" i="70" s="1"/>
  <c r="C107" i="71" s="1"/>
  <c r="E107" i="71" s="1"/>
  <c r="G107" i="71" s="1"/>
  <c r="C68" i="70"/>
  <c r="E68" i="70" s="1"/>
  <c r="G68" i="70" s="1"/>
  <c r="C68" i="71" s="1"/>
  <c r="E68" i="71" s="1"/>
  <c r="G68" i="71" s="1"/>
  <c r="C31" i="70"/>
  <c r="E31" i="70" s="1"/>
  <c r="G31" i="70" s="1"/>
  <c r="C31" i="71" s="1"/>
  <c r="E31" i="71" s="1"/>
  <c r="G31" i="71" s="1"/>
  <c r="C213" i="70"/>
  <c r="E213" i="70" s="1"/>
  <c r="G213" i="70" s="1"/>
  <c r="C213" i="71" s="1"/>
  <c r="E213" i="71" s="1"/>
  <c r="G213" i="71" s="1"/>
  <c r="C190" i="70"/>
  <c r="E190" i="70" s="1"/>
  <c r="G190" i="70" s="1"/>
  <c r="C190" i="71" s="1"/>
  <c r="E190" i="71" s="1"/>
  <c r="G190" i="71" s="1"/>
  <c r="C173" i="70"/>
  <c r="E173" i="70" s="1"/>
  <c r="G173" i="70" s="1"/>
  <c r="C173" i="71" s="1"/>
  <c r="E173" i="71" s="1"/>
  <c r="G173" i="71" s="1"/>
  <c r="C132" i="70"/>
  <c r="E132" i="70" s="1"/>
  <c r="G132" i="70" s="1"/>
  <c r="C132" i="71" s="1"/>
  <c r="E132" i="71" s="1"/>
  <c r="G132" i="71" s="1"/>
  <c r="C117" i="70"/>
  <c r="E117" i="70" s="1"/>
  <c r="G117" i="70" s="1"/>
  <c r="C117" i="71" s="1"/>
  <c r="E117" i="71" s="1"/>
  <c r="G117" i="71" s="1"/>
  <c r="C112" i="70"/>
  <c r="E112" i="70" s="1"/>
  <c r="G112" i="70" s="1"/>
  <c r="C112" i="71" s="1"/>
  <c r="E112" i="71" s="1"/>
  <c r="G112" i="71" s="1"/>
  <c r="C72" i="70"/>
  <c r="E72" i="70" s="1"/>
  <c r="G72" i="70" s="1"/>
  <c r="C72" i="71" s="1"/>
  <c r="E72" i="71" s="1"/>
  <c r="G72" i="71" s="1"/>
  <c r="C52" i="70"/>
  <c r="E52" i="70" s="1"/>
  <c r="G52" i="70" s="1"/>
  <c r="C52" i="71" s="1"/>
  <c r="E52" i="71" s="1"/>
  <c r="G52" i="71" s="1"/>
  <c r="C36" i="70"/>
  <c r="E36" i="70" s="1"/>
  <c r="G36" i="70" s="1"/>
  <c r="C36" i="71" s="1"/>
  <c r="E36" i="71" s="1"/>
  <c r="G36" i="71" s="1"/>
  <c r="E191" i="8"/>
  <c r="E179" i="8"/>
  <c r="E155" i="8"/>
  <c r="E133" i="8"/>
  <c r="G9" i="8"/>
  <c r="C192" i="70"/>
  <c r="E192" i="70" s="1"/>
  <c r="G192" i="70" s="1"/>
  <c r="C192" i="71" s="1"/>
  <c r="E192" i="71" s="1"/>
  <c r="G192" i="71" s="1"/>
  <c r="C188" i="70"/>
  <c r="E188" i="70" s="1"/>
  <c r="G188" i="70" s="1"/>
  <c r="C188" i="71" s="1"/>
  <c r="E188" i="71" s="1"/>
  <c r="G188" i="71" s="1"/>
  <c r="C183" i="70"/>
  <c r="E183" i="70" s="1"/>
  <c r="G183" i="70" s="1"/>
  <c r="C183" i="71" s="1"/>
  <c r="E183" i="71" s="1"/>
  <c r="G183" i="71" s="1"/>
  <c r="C178" i="70"/>
  <c r="E178" i="70" s="1"/>
  <c r="G178" i="70" s="1"/>
  <c r="C178" i="71" s="1"/>
  <c r="E178" i="71" s="1"/>
  <c r="G178" i="71" s="1"/>
  <c r="C172" i="70"/>
  <c r="E172" i="70" s="1"/>
  <c r="G172" i="70" s="1"/>
  <c r="C172" i="71" s="1"/>
  <c r="E172" i="71" s="1"/>
  <c r="G172" i="71" s="1"/>
  <c r="C153" i="70"/>
  <c r="E153" i="70" s="1"/>
  <c r="G153" i="70" s="1"/>
  <c r="C153" i="71" s="1"/>
  <c r="E153" i="71" s="1"/>
  <c r="G153" i="71" s="1"/>
  <c r="C135" i="70"/>
  <c r="E135" i="70" s="1"/>
  <c r="G135" i="70" s="1"/>
  <c r="C135" i="71" s="1"/>
  <c r="E135" i="71" s="1"/>
  <c r="G135" i="71" s="1"/>
  <c r="C130" i="70"/>
  <c r="E130" i="70" s="1"/>
  <c r="G130" i="70" s="1"/>
  <c r="C130" i="71" s="1"/>
  <c r="E130" i="71" s="1"/>
  <c r="G130" i="71" s="1"/>
  <c r="C111" i="70"/>
  <c r="E111" i="70" s="1"/>
  <c r="G111" i="70" s="1"/>
  <c r="C111" i="71" s="1"/>
  <c r="E111" i="71" s="1"/>
  <c r="G111" i="71" s="1"/>
  <c r="C88" i="70"/>
  <c r="E88" i="70" s="1"/>
  <c r="G88" i="70" s="1"/>
  <c r="C88" i="71" s="1"/>
  <c r="E88" i="71" s="1"/>
  <c r="G88" i="71" s="1"/>
  <c r="C83" i="70"/>
  <c r="E83" i="70" s="1"/>
  <c r="G83" i="70" s="1"/>
  <c r="C83" i="71" s="1"/>
  <c r="E83" i="71" s="1"/>
  <c r="G83" i="71" s="1"/>
  <c r="C59" i="70"/>
  <c r="E59" i="70" s="1"/>
  <c r="G59" i="70" s="1"/>
  <c r="C59" i="71" s="1"/>
  <c r="E59" i="71" s="1"/>
  <c r="G59" i="71" s="1"/>
  <c r="C54" i="70"/>
  <c r="E54" i="70" s="1"/>
  <c r="G54" i="70" s="1"/>
  <c r="C54" i="71" s="1"/>
  <c r="E54" i="71" s="1"/>
  <c r="G54" i="71" s="1"/>
  <c r="C49" i="70"/>
  <c r="E49" i="70" s="1"/>
  <c r="G49" i="70" s="1"/>
  <c r="C49" i="71" s="1"/>
  <c r="E49" i="71" s="1"/>
  <c r="G49" i="71" s="1"/>
  <c r="C40" i="70"/>
  <c r="E40" i="70" s="1"/>
  <c r="G40" i="70" s="1"/>
  <c r="C40" i="71" s="1"/>
  <c r="E40" i="71" s="1"/>
  <c r="G40" i="71" s="1"/>
  <c r="C30" i="70"/>
  <c r="E30" i="70" s="1"/>
  <c r="G30" i="70" s="1"/>
  <c r="C30" i="71" s="1"/>
  <c r="E30" i="71" s="1"/>
  <c r="G30" i="71" s="1"/>
  <c r="C25" i="70"/>
  <c r="E25" i="70" s="1"/>
  <c r="G25" i="70" s="1"/>
  <c r="C25" i="71" s="1"/>
  <c r="E25" i="71" s="1"/>
  <c r="G25" i="71" s="1"/>
  <c r="M5" i="75"/>
  <c r="N254" i="75" s="1"/>
  <c r="K257" i="83"/>
  <c r="K257" i="93"/>
  <c r="K263" i="93" s="1"/>
  <c r="G224" i="8"/>
  <c r="E143" i="8"/>
  <c r="E121" i="8"/>
  <c r="E8" i="8"/>
  <c r="E200" i="8"/>
  <c r="E176" i="8"/>
  <c r="C210" i="70"/>
  <c r="E210" i="70" s="1"/>
  <c r="G210" i="70" s="1"/>
  <c r="C210" i="71" s="1"/>
  <c r="E210" i="71" s="1"/>
  <c r="G210" i="71" s="1"/>
  <c r="C97" i="70"/>
  <c r="E97" i="70" s="1"/>
  <c r="G97" i="70" s="1"/>
  <c r="C97" i="71" s="1"/>
  <c r="E97" i="71" s="1"/>
  <c r="G97" i="71" s="1"/>
  <c r="C78" i="70"/>
  <c r="E78" i="70" s="1"/>
  <c r="G78" i="70" s="1"/>
  <c r="C78" i="71" s="1"/>
  <c r="E78" i="71" s="1"/>
  <c r="G78" i="71" s="1"/>
  <c r="C20" i="70"/>
  <c r="E20" i="70" s="1"/>
  <c r="G20" i="70" s="1"/>
  <c r="C20" i="71" s="1"/>
  <c r="E20" i="71" s="1"/>
  <c r="G20" i="71" s="1"/>
  <c r="M5" i="95"/>
  <c r="G233" i="8"/>
  <c r="E189" i="8"/>
  <c r="E165" i="8"/>
  <c r="E153" i="8"/>
  <c r="E131" i="8"/>
  <c r="E109" i="8"/>
  <c r="E66" i="8"/>
  <c r="E167" i="8"/>
  <c r="C205" i="70"/>
  <c r="E205" i="70" s="1"/>
  <c r="G205" i="70" s="1"/>
  <c r="C205" i="71" s="1"/>
  <c r="E205" i="71" s="1"/>
  <c r="G205" i="71" s="1"/>
  <c r="C196" i="70"/>
  <c r="E196" i="70" s="1"/>
  <c r="G196" i="70" s="1"/>
  <c r="C196" i="71" s="1"/>
  <c r="E196" i="71" s="1"/>
  <c r="G196" i="71" s="1"/>
  <c r="C171" i="70"/>
  <c r="E171" i="70" s="1"/>
  <c r="G171" i="70" s="1"/>
  <c r="C171" i="71" s="1"/>
  <c r="E171" i="71" s="1"/>
  <c r="G171" i="71" s="1"/>
  <c r="C161" i="70"/>
  <c r="E161" i="70" s="1"/>
  <c r="G161" i="70" s="1"/>
  <c r="C161" i="71" s="1"/>
  <c r="E161" i="71" s="1"/>
  <c r="G161" i="71" s="1"/>
  <c r="C134" i="70"/>
  <c r="E134" i="70" s="1"/>
  <c r="G134" i="70" s="1"/>
  <c r="C134" i="71" s="1"/>
  <c r="E134" i="71" s="1"/>
  <c r="G134" i="71" s="1"/>
  <c r="C120" i="70"/>
  <c r="E120" i="70" s="1"/>
  <c r="G120" i="70" s="1"/>
  <c r="C120" i="71" s="1"/>
  <c r="E120" i="71" s="1"/>
  <c r="G120" i="71" s="1"/>
  <c r="C115" i="70"/>
  <c r="E115" i="70" s="1"/>
  <c r="G115" i="70" s="1"/>
  <c r="C115" i="71" s="1"/>
  <c r="E115" i="71" s="1"/>
  <c r="G115" i="71" s="1"/>
  <c r="C101" i="70"/>
  <c r="E101" i="70" s="1"/>
  <c r="G101" i="70" s="1"/>
  <c r="C101" i="71" s="1"/>
  <c r="E101" i="71" s="1"/>
  <c r="G101" i="71" s="1"/>
  <c r="C87" i="70"/>
  <c r="E87" i="70" s="1"/>
  <c r="G87" i="70" s="1"/>
  <c r="C87" i="71" s="1"/>
  <c r="E87" i="71" s="1"/>
  <c r="G87" i="71" s="1"/>
  <c r="C63" i="70"/>
  <c r="E63" i="70" s="1"/>
  <c r="G63" i="70" s="1"/>
  <c r="C63" i="71" s="1"/>
  <c r="E63" i="71" s="1"/>
  <c r="G63" i="71" s="1"/>
  <c r="C58" i="70"/>
  <c r="E58" i="70" s="1"/>
  <c r="G58" i="70" s="1"/>
  <c r="C58" i="71" s="1"/>
  <c r="E58" i="71" s="1"/>
  <c r="G58" i="71" s="1"/>
  <c r="C53" i="70"/>
  <c r="E53" i="70" s="1"/>
  <c r="G53" i="70" s="1"/>
  <c r="C53" i="71" s="1"/>
  <c r="E53" i="71" s="1"/>
  <c r="G53" i="71" s="1"/>
  <c r="E39" i="70"/>
  <c r="G39" i="70" s="1"/>
  <c r="C39" i="71" s="1"/>
  <c r="E39" i="71" s="1"/>
  <c r="G39" i="71" s="1"/>
  <c r="C39" i="70"/>
  <c r="C29" i="70"/>
  <c r="E29" i="70" s="1"/>
  <c r="G29" i="70" s="1"/>
  <c r="C29" i="71" s="1"/>
  <c r="E29" i="71" s="1"/>
  <c r="G29" i="71" s="1"/>
  <c r="M5" i="84"/>
  <c r="N254" i="84" s="1"/>
  <c r="E141" i="8"/>
  <c r="E119" i="8"/>
  <c r="E108" i="8"/>
  <c r="E75" i="8"/>
  <c r="E27" i="8"/>
  <c r="C187" i="70"/>
  <c r="E187" i="70" s="1"/>
  <c r="G187" i="70" s="1"/>
  <c r="C187" i="71" s="1"/>
  <c r="E187" i="71" s="1"/>
  <c r="G187" i="71" s="1"/>
  <c r="C182" i="70"/>
  <c r="E182" i="70" s="1"/>
  <c r="G182" i="70" s="1"/>
  <c r="C182" i="71" s="1"/>
  <c r="E182" i="71" s="1"/>
  <c r="G182" i="71" s="1"/>
  <c r="C152" i="70"/>
  <c r="E152" i="70" s="1"/>
  <c r="G152" i="70" s="1"/>
  <c r="C152" i="71" s="1"/>
  <c r="E152" i="71" s="1"/>
  <c r="G152" i="71" s="1"/>
  <c r="C82" i="70"/>
  <c r="E82" i="70" s="1"/>
  <c r="G82" i="70" s="1"/>
  <c r="C82" i="71" s="1"/>
  <c r="E82" i="71" s="1"/>
  <c r="G82" i="71" s="1"/>
  <c r="C48" i="70"/>
  <c r="E48" i="70" s="1"/>
  <c r="G48" i="70" s="1"/>
  <c r="C48" i="71" s="1"/>
  <c r="E48" i="71" s="1"/>
  <c r="G48" i="71" s="1"/>
  <c r="C19" i="70"/>
  <c r="E19" i="70" s="1"/>
  <c r="G19" i="70" s="1"/>
  <c r="C19" i="71" s="1"/>
  <c r="E19" i="71" s="1"/>
  <c r="G19" i="71" s="1"/>
  <c r="K257" i="79"/>
  <c r="M5" i="94"/>
  <c r="N254" i="94" s="1"/>
  <c r="K257" i="94"/>
  <c r="K263" i="94" s="1"/>
  <c r="G210" i="8"/>
  <c r="E140" i="8"/>
  <c r="E107" i="8"/>
  <c r="E74" i="8"/>
  <c r="E26" i="8"/>
  <c r="E15" i="8"/>
  <c r="E232" i="8"/>
  <c r="M5" i="74"/>
  <c r="M5" i="80"/>
  <c r="N254" i="80" s="1"/>
  <c r="K257" i="80"/>
  <c r="M5" i="81"/>
  <c r="K257" i="81"/>
  <c r="M5" i="91"/>
  <c r="E117" i="8"/>
  <c r="E25" i="8"/>
  <c r="E184" i="8"/>
  <c r="C195" i="70"/>
  <c r="E195" i="70" s="1"/>
  <c r="G195" i="70" s="1"/>
  <c r="C195" i="71" s="1"/>
  <c r="E195" i="71" s="1"/>
  <c r="G195" i="71" s="1"/>
  <c r="C160" i="70"/>
  <c r="E160" i="70" s="1"/>
  <c r="G160" i="70" s="1"/>
  <c r="C160" i="71" s="1"/>
  <c r="E160" i="71" s="1"/>
  <c r="G160" i="71" s="1"/>
  <c r="E133" i="70"/>
  <c r="G133" i="70" s="1"/>
  <c r="C133" i="71" s="1"/>
  <c r="E133" i="71" s="1"/>
  <c r="G133" i="71" s="1"/>
  <c r="C133" i="70"/>
  <c r="C114" i="70"/>
  <c r="E114" i="70" s="1"/>
  <c r="G114" i="70" s="1"/>
  <c r="C114" i="71" s="1"/>
  <c r="E114" i="71" s="1"/>
  <c r="G114" i="71" s="1"/>
  <c r="C71" i="70"/>
  <c r="E71" i="70" s="1"/>
  <c r="G71" i="70" s="1"/>
  <c r="C71" i="71" s="1"/>
  <c r="E71" i="71" s="1"/>
  <c r="G71" i="71" s="1"/>
  <c r="C47" i="70"/>
  <c r="E47" i="70" s="1"/>
  <c r="G47" i="70" s="1"/>
  <c r="C47" i="71" s="1"/>
  <c r="E47" i="71" s="1"/>
  <c r="G47" i="71" s="1"/>
  <c r="C28" i="70"/>
  <c r="E28" i="70" s="1"/>
  <c r="G28" i="70" s="1"/>
  <c r="C28" i="71" s="1"/>
  <c r="E28" i="71" s="1"/>
  <c r="G28" i="71" s="1"/>
  <c r="K257" i="92"/>
  <c r="K263" i="92" s="1"/>
  <c r="E116" i="8"/>
  <c r="E105" i="8"/>
  <c r="E85" i="8"/>
  <c r="E72" i="8"/>
  <c r="E60" i="8"/>
  <c r="E36" i="8"/>
  <c r="E39" i="8"/>
  <c r="E38" i="8"/>
  <c r="E24" i="8"/>
  <c r="S28" i="8"/>
  <c r="S29" i="8"/>
  <c r="S30" i="8"/>
  <c r="S31" i="8"/>
  <c r="S32" i="8"/>
  <c r="S33" i="8"/>
  <c r="S34" i="8"/>
  <c r="U35" i="8"/>
  <c r="E177" i="8"/>
  <c r="E70" i="8"/>
  <c r="E67" i="8"/>
  <c r="E56" i="8"/>
  <c r="E43" i="8"/>
  <c r="E40" i="8"/>
  <c r="E35" i="8"/>
  <c r="E14" i="8"/>
  <c r="C179" i="70"/>
  <c r="E179" i="70" s="1"/>
  <c r="G179" i="70" s="1"/>
  <c r="C179" i="71" s="1"/>
  <c r="E179" i="71" s="1"/>
  <c r="G179" i="71" s="1"/>
  <c r="E171" i="8"/>
  <c r="C177" i="70"/>
  <c r="E177" i="70" s="1"/>
  <c r="G177" i="70" s="1"/>
  <c r="C177" i="71" s="1"/>
  <c r="E177" i="71" s="1"/>
  <c r="G177" i="71" s="1"/>
  <c r="C218" i="67"/>
  <c r="E218" i="67" s="1"/>
  <c r="G218" i="67" s="1"/>
  <c r="C218" i="70" s="1"/>
  <c r="E218" i="70" s="1"/>
  <c r="G218" i="70" s="1"/>
  <c r="C218" i="71" s="1"/>
  <c r="E218" i="71" s="1"/>
  <c r="G218" i="71" s="1"/>
  <c r="E218" i="68" s="1"/>
  <c r="G218" i="68" s="1"/>
  <c r="E218" i="69" s="1"/>
  <c r="G218" i="69" s="1"/>
  <c r="E218" i="72" s="1"/>
  <c r="G218" i="72" s="1"/>
  <c r="E218" i="73" s="1"/>
  <c r="G218" i="73" s="1"/>
  <c r="E218" i="74" s="1"/>
  <c r="G218" i="74" s="1"/>
  <c r="E218" i="75" s="1"/>
  <c r="G218" i="75" s="1"/>
  <c r="E218" i="76" s="1"/>
  <c r="G218" i="76" s="1"/>
  <c r="E218" i="77" s="1"/>
  <c r="G218" i="77" s="1"/>
  <c r="E218" i="78" s="1"/>
  <c r="G218" i="78" s="1"/>
  <c r="E218" i="79" s="1"/>
  <c r="G218" i="79" s="1"/>
  <c r="E218" i="80" s="1"/>
  <c r="G218" i="80" s="1"/>
  <c r="E218" i="81" s="1"/>
  <c r="G218" i="81" s="1"/>
  <c r="E218" i="82" s="1"/>
  <c r="G218" i="82" s="1"/>
  <c r="E218" i="83" s="1"/>
  <c r="G218" i="83" s="1"/>
  <c r="E218" i="84" s="1"/>
  <c r="G218" i="84" s="1"/>
  <c r="E218" i="85" s="1"/>
  <c r="G218" i="85" s="1"/>
  <c r="E218" i="86" s="1"/>
  <c r="G218" i="86" s="1"/>
  <c r="E218" i="87" s="1"/>
  <c r="G218" i="87" s="1"/>
  <c r="E218" i="88" s="1"/>
  <c r="G218" i="88" s="1"/>
  <c r="E218" i="89" s="1"/>
  <c r="G218" i="89" s="1"/>
  <c r="E218" i="90" s="1"/>
  <c r="G218" i="90" s="1"/>
  <c r="E218" i="91" s="1"/>
  <c r="G218" i="91" s="1"/>
  <c r="E218" i="92" s="1"/>
  <c r="G218" i="92" s="1"/>
  <c r="E218" i="93" s="1"/>
  <c r="G218" i="93" s="1"/>
  <c r="E218" i="94" s="1"/>
  <c r="G218" i="94" s="1"/>
  <c r="E218" i="95" s="1"/>
  <c r="G218" i="95" s="1"/>
  <c r="E218" i="96" s="1"/>
  <c r="G218" i="96" s="1"/>
  <c r="C219" i="67"/>
  <c r="E219" i="67" s="1"/>
  <c r="G219" i="67" s="1"/>
  <c r="C219" i="70" s="1"/>
  <c r="E219" i="70" s="1"/>
  <c r="G219" i="70" s="1"/>
  <c r="C219" i="71" s="1"/>
  <c r="E219" i="71" s="1"/>
  <c r="G219" i="71" s="1"/>
  <c r="E219" i="68" s="1"/>
  <c r="G219" i="68" s="1"/>
  <c r="E219" i="69" s="1"/>
  <c r="G219" i="69" s="1"/>
  <c r="E219" i="72" s="1"/>
  <c r="G219" i="72" s="1"/>
  <c r="E219" i="73" s="1"/>
  <c r="G219" i="73" s="1"/>
  <c r="E219" i="74" s="1"/>
  <c r="G219" i="74" s="1"/>
  <c r="E219" i="75" s="1"/>
  <c r="G219" i="75" s="1"/>
  <c r="E219" i="76" s="1"/>
  <c r="G219" i="76" s="1"/>
  <c r="E219" i="77" s="1"/>
  <c r="G219" i="77" s="1"/>
  <c r="E219" i="78" s="1"/>
  <c r="G219" i="78" s="1"/>
  <c r="E219" i="79" s="1"/>
  <c r="G219" i="79" s="1"/>
  <c r="E219" i="80" s="1"/>
  <c r="G219" i="80" s="1"/>
  <c r="E219" i="81" s="1"/>
  <c r="G219" i="81" s="1"/>
  <c r="E219" i="82" s="1"/>
  <c r="G219" i="82" s="1"/>
  <c r="E219" i="83" s="1"/>
  <c r="G219" i="83" s="1"/>
  <c r="E219" i="84" s="1"/>
  <c r="G219" i="84" s="1"/>
  <c r="E219" i="85" s="1"/>
  <c r="G219" i="85" s="1"/>
  <c r="E219" i="86" s="1"/>
  <c r="G219" i="86" s="1"/>
  <c r="E219" i="87" s="1"/>
  <c r="G219" i="87" s="1"/>
  <c r="E219" i="88" s="1"/>
  <c r="G219" i="88" s="1"/>
  <c r="E219" i="89" s="1"/>
  <c r="G219" i="89" s="1"/>
  <c r="E219" i="90" s="1"/>
  <c r="G219" i="90" s="1"/>
  <c r="E219" i="91" s="1"/>
  <c r="G219" i="91" s="1"/>
  <c r="E219" i="92" s="1"/>
  <c r="G219" i="92" s="1"/>
  <c r="E219" i="93" s="1"/>
  <c r="G219" i="93" s="1"/>
  <c r="E219" i="94" s="1"/>
  <c r="G219" i="94" s="1"/>
  <c r="E219" i="95" s="1"/>
  <c r="G219" i="95" s="1"/>
  <c r="E219" i="96" s="1"/>
  <c r="G219" i="96" s="1"/>
  <c r="E12" i="8"/>
  <c r="G66" i="8"/>
  <c r="E9" i="8"/>
  <c r="E13" i="8"/>
  <c r="G11" i="8"/>
  <c r="G19" i="8"/>
  <c r="G23" i="8"/>
  <c r="E33" i="8"/>
  <c r="E37" i="8"/>
  <c r="G39" i="8"/>
  <c r="G47" i="8"/>
  <c r="E45" i="8"/>
  <c r="E61" i="8"/>
  <c r="G55" i="8"/>
  <c r="E53" i="8"/>
  <c r="E71" i="8"/>
  <c r="E104" i="8"/>
  <c r="E88" i="8"/>
  <c r="E118" i="8"/>
  <c r="E110" i="8"/>
  <c r="E102" i="8"/>
  <c r="E94" i="8"/>
  <c r="E86" i="8"/>
  <c r="E128" i="8"/>
  <c r="E142" i="8"/>
  <c r="E134" i="8"/>
  <c r="E126" i="8"/>
  <c r="G131" i="8"/>
  <c r="E158" i="8"/>
  <c r="E150" i="8"/>
  <c r="E168" i="8"/>
  <c r="E166" i="8"/>
  <c r="E201" i="8"/>
  <c r="E185" i="8"/>
  <c r="E198" i="8"/>
  <c r="E190" i="8"/>
  <c r="E182" i="8"/>
  <c r="E174" i="8"/>
  <c r="E208" i="8"/>
  <c r="E209" i="8"/>
  <c r="E206" i="8"/>
  <c r="E87" i="8"/>
  <c r="G82" i="8"/>
  <c r="E81" i="8"/>
  <c r="E62" i="8"/>
  <c r="E51" i="8"/>
  <c r="E48" i="8"/>
  <c r="E47" i="8"/>
  <c r="E46" i="8"/>
  <c r="E42" i="8"/>
  <c r="G34" i="8"/>
  <c r="G31" i="8"/>
  <c r="E23" i="8"/>
  <c r="E22" i="8"/>
  <c r="E6" i="8"/>
  <c r="E120" i="8"/>
  <c r="G211" i="8"/>
  <c r="E161" i="8"/>
  <c r="E160" i="8"/>
  <c r="E144" i="8"/>
  <c r="E80" i="8"/>
  <c r="E78" i="8"/>
  <c r="E69" i="8"/>
  <c r="E63" i="8"/>
  <c r="E29" i="8"/>
  <c r="G26" i="8"/>
  <c r="G18" i="8"/>
  <c r="X32" i="66"/>
  <c r="J256" i="66" s="1"/>
  <c r="E220" i="8"/>
  <c r="E173" i="8"/>
  <c r="E132" i="8"/>
  <c r="E31" i="8"/>
  <c r="E7" i="8"/>
  <c r="E219" i="8"/>
  <c r="G203" i="8"/>
  <c r="G165" i="8"/>
  <c r="G157" i="8"/>
  <c r="G141" i="8"/>
  <c r="G133" i="8"/>
  <c r="G125" i="8"/>
  <c r="G117" i="8"/>
  <c r="G109" i="8"/>
  <c r="G101" i="8"/>
  <c r="G93" i="8"/>
  <c r="G85" i="8"/>
  <c r="G76" i="8"/>
  <c r="G68" i="8"/>
  <c r="G60" i="8"/>
  <c r="G52" i="8"/>
  <c r="G44" i="8"/>
  <c r="E188" i="8"/>
  <c r="E164" i="8"/>
  <c r="E124" i="8"/>
  <c r="E55" i="8"/>
  <c r="G195" i="8"/>
  <c r="G179" i="8"/>
  <c r="G163" i="8"/>
  <c r="G155" i="8"/>
  <c r="G147" i="8"/>
  <c r="G139" i="8"/>
  <c r="G123" i="8"/>
  <c r="G115" i="8"/>
  <c r="G107" i="8"/>
  <c r="G99" i="8"/>
  <c r="G91" i="8"/>
  <c r="G83" i="8"/>
  <c r="G74" i="8"/>
  <c r="G58" i="8"/>
  <c r="G50" i="8"/>
  <c r="G42" i="8"/>
  <c r="G32" i="8"/>
  <c r="G24" i="8"/>
  <c r="G16" i="8"/>
  <c r="G5" i="8"/>
  <c r="J250" i="8"/>
  <c r="J242" i="8"/>
  <c r="J234" i="8"/>
  <c r="J226" i="8"/>
  <c r="J218" i="8"/>
  <c r="J211" i="8"/>
  <c r="J203" i="8"/>
  <c r="J249" i="8"/>
  <c r="J241" i="8"/>
  <c r="J233" i="8"/>
  <c r="J225" i="8"/>
  <c r="J217" i="8"/>
  <c r="J210" i="8"/>
  <c r="J248" i="8"/>
  <c r="J240" i="8"/>
  <c r="J232" i="8"/>
  <c r="J224" i="8"/>
  <c r="J216" i="8"/>
  <c r="J209" i="8"/>
  <c r="G228" i="8"/>
  <c r="G213" i="8"/>
  <c r="J247" i="8"/>
  <c r="J239" i="8"/>
  <c r="J231" i="8"/>
  <c r="J223" i="8"/>
  <c r="J215" i="8"/>
  <c r="J208" i="8"/>
  <c r="J254" i="8"/>
  <c r="J246" i="8"/>
  <c r="J238" i="8"/>
  <c r="J230" i="8"/>
  <c r="J222" i="8"/>
  <c r="J214" i="8"/>
  <c r="J207" i="8"/>
  <c r="J253" i="8"/>
  <c r="J245" i="8"/>
  <c r="J237" i="8"/>
  <c r="J229" i="8"/>
  <c r="J221" i="8"/>
  <c r="J77" i="8"/>
  <c r="J206" i="8"/>
  <c r="J252" i="8"/>
  <c r="J244" i="8"/>
  <c r="J236" i="8"/>
  <c r="J228" i="8"/>
  <c r="J220" i="8"/>
  <c r="J213" i="8"/>
  <c r="J205" i="8"/>
  <c r="J251" i="8"/>
  <c r="J243" i="8"/>
  <c r="J235" i="8"/>
  <c r="J227" i="8"/>
  <c r="J219" i="8"/>
  <c r="J212" i="8"/>
  <c r="J204" i="8"/>
  <c r="N254" i="78"/>
  <c r="G197" i="8"/>
  <c r="G181" i="8"/>
  <c r="G149" i="8"/>
  <c r="G187" i="8"/>
  <c r="G171" i="8"/>
  <c r="G194" i="8"/>
  <c r="G106" i="8"/>
  <c r="G170" i="8"/>
  <c r="G130" i="8"/>
  <c r="G65" i="8"/>
  <c r="G41" i="8"/>
  <c r="G90" i="8"/>
  <c r="G17" i="8"/>
  <c r="G186" i="8"/>
  <c r="G154" i="8"/>
  <c r="G114" i="8"/>
  <c r="G49" i="8"/>
  <c r="G25" i="8"/>
  <c r="G138" i="8"/>
  <c r="G73" i="8"/>
  <c r="G202" i="8"/>
  <c r="G98" i="8"/>
  <c r="G178" i="8"/>
  <c r="G162" i="8"/>
  <c r="G122" i="8"/>
  <c r="G57" i="8"/>
  <c r="G33" i="8"/>
  <c r="G169" i="8"/>
  <c r="G129" i="8"/>
  <c r="G64" i="8"/>
  <c r="G40" i="8"/>
  <c r="G185" i="8"/>
  <c r="G89" i="8"/>
  <c r="G8" i="8"/>
  <c r="G153" i="8"/>
  <c r="G113" i="8"/>
  <c r="G48" i="8"/>
  <c r="G137" i="8"/>
  <c r="G72" i="8"/>
  <c r="G97" i="8"/>
  <c r="G177" i="8"/>
  <c r="G161" i="8"/>
  <c r="G121" i="8"/>
  <c r="G56" i="8"/>
  <c r="G145" i="8"/>
  <c r="G81" i="8"/>
  <c r="G193" i="8"/>
  <c r="G105" i="8"/>
  <c r="M5" i="89"/>
  <c r="J5" i="8"/>
  <c r="J100" i="8"/>
  <c r="J159" i="8"/>
  <c r="J183" i="8"/>
  <c r="J190" i="8"/>
  <c r="J174" i="8"/>
  <c r="J36" i="8"/>
  <c r="J42" i="8"/>
  <c r="J117" i="8"/>
  <c r="M190" i="95"/>
  <c r="J85" i="8"/>
  <c r="J112" i="8"/>
  <c r="J136" i="8"/>
  <c r="J139" i="8"/>
  <c r="J142" i="8"/>
  <c r="J145" i="8"/>
  <c r="J200" i="8"/>
  <c r="J30" i="8"/>
  <c r="J124" i="8"/>
  <c r="J151" i="8"/>
  <c r="J157" i="8"/>
  <c r="J163" i="8"/>
  <c r="J169" i="8"/>
  <c r="J172" i="8"/>
  <c r="J178" i="8"/>
  <c r="J184" i="8"/>
  <c r="J188" i="8"/>
  <c r="J194" i="8"/>
  <c r="J40" i="8"/>
  <c r="J104" i="8"/>
  <c r="J109" i="8"/>
  <c r="J146" i="8"/>
  <c r="J149" i="8"/>
  <c r="J175" i="8"/>
  <c r="J191" i="8"/>
  <c r="J201" i="8"/>
  <c r="J193" i="8"/>
  <c r="J28" i="8"/>
  <c r="J84" i="8"/>
  <c r="J133" i="8"/>
  <c r="J143" i="8"/>
  <c r="J152" i="8"/>
  <c r="J155" i="8"/>
  <c r="J161" i="8"/>
  <c r="J167" i="8"/>
  <c r="J182" i="8"/>
  <c r="J185" i="8"/>
  <c r="J22" i="8"/>
  <c r="J44" i="8"/>
  <c r="J96" i="8"/>
  <c r="J108" i="8"/>
  <c r="J116" i="8"/>
  <c r="J137" i="8"/>
  <c r="J158" i="8"/>
  <c r="J173" i="8"/>
  <c r="J179" i="8"/>
  <c r="J189" i="8"/>
  <c r="J195" i="8"/>
  <c r="J198" i="8"/>
  <c r="J16" i="8"/>
  <c r="J38" i="8"/>
  <c r="J76" i="8"/>
  <c r="J80" i="8"/>
  <c r="J128" i="8"/>
  <c r="J147" i="8"/>
  <c r="J150" i="8"/>
  <c r="J26" i="8"/>
  <c r="J88" i="8"/>
  <c r="J120" i="8"/>
  <c r="J153" i="8"/>
  <c r="J162" i="8"/>
  <c r="J168" i="8"/>
  <c r="J177" i="8"/>
  <c r="J199" i="8"/>
  <c r="J180" i="8"/>
  <c r="J166" i="8"/>
  <c r="J134" i="8"/>
  <c r="J126" i="8"/>
  <c r="J118" i="8"/>
  <c r="J110" i="8"/>
  <c r="J102" i="8"/>
  <c r="J94" i="8"/>
  <c r="J86" i="8"/>
  <c r="J78" i="8"/>
  <c r="J69" i="8"/>
  <c r="J61" i="8"/>
  <c r="J53" i="8"/>
  <c r="J45" i="8"/>
  <c r="J37" i="8"/>
  <c r="J29" i="8"/>
  <c r="J21" i="8"/>
  <c r="J13" i="8"/>
  <c r="M22" i="96"/>
  <c r="M36" i="96"/>
  <c r="M133" i="96"/>
  <c r="M145" i="96"/>
  <c r="M172" i="96"/>
  <c r="M185" i="96"/>
  <c r="M188" i="96"/>
  <c r="M193" i="96"/>
  <c r="M201" i="96"/>
  <c r="J197" i="8"/>
  <c r="J181" i="8"/>
  <c r="J165" i="8"/>
  <c r="J141" i="8"/>
  <c r="J125" i="8"/>
  <c r="J101" i="8"/>
  <c r="J93" i="8"/>
  <c r="J68" i="8"/>
  <c r="J60" i="8"/>
  <c r="J52" i="8"/>
  <c r="J20" i="8"/>
  <c r="J12" i="8"/>
  <c r="J196" i="8"/>
  <c r="J164" i="8"/>
  <c r="J156" i="8"/>
  <c r="J148" i="8"/>
  <c r="J140" i="8"/>
  <c r="J132" i="8"/>
  <c r="J92" i="8"/>
  <c r="J75" i="8"/>
  <c r="J67" i="8"/>
  <c r="J59" i="8"/>
  <c r="J51" i="8"/>
  <c r="J43" i="8"/>
  <c r="J35" i="8"/>
  <c r="J27" i="8"/>
  <c r="J19" i="8"/>
  <c r="J11" i="8"/>
  <c r="M42" i="96"/>
  <c r="M88" i="96"/>
  <c r="M112" i="96"/>
  <c r="M137" i="96"/>
  <c r="M143" i="96"/>
  <c r="M159" i="96"/>
  <c r="M162" i="96"/>
  <c r="M175" i="96"/>
  <c r="M178" i="96"/>
  <c r="M183" i="96"/>
  <c r="M191" i="96"/>
  <c r="M199" i="96"/>
  <c r="J187" i="8"/>
  <c r="J171" i="8"/>
  <c r="J131" i="8"/>
  <c r="J123" i="8"/>
  <c r="J115" i="8"/>
  <c r="J107" i="8"/>
  <c r="J99" i="8"/>
  <c r="J91" i="8"/>
  <c r="J83" i="8"/>
  <c r="J74" i="8"/>
  <c r="J66" i="8"/>
  <c r="J58" i="8"/>
  <c r="J50" i="8"/>
  <c r="J34" i="8"/>
  <c r="J18" i="8"/>
  <c r="J10" i="8"/>
  <c r="M96" i="96"/>
  <c r="M104" i="96"/>
  <c r="M146" i="96"/>
  <c r="M151" i="96"/>
  <c r="M194" i="96"/>
  <c r="J202" i="8"/>
  <c r="J186" i="8"/>
  <c r="J170" i="8"/>
  <c r="J154" i="8"/>
  <c r="J138" i="8"/>
  <c r="J130" i="8"/>
  <c r="J122" i="8"/>
  <c r="J114" i="8"/>
  <c r="J106" i="8"/>
  <c r="J98" i="8"/>
  <c r="J90" i="8"/>
  <c r="J82" i="8"/>
  <c r="J73" i="8"/>
  <c r="J65" i="8"/>
  <c r="J57" i="8"/>
  <c r="J49" i="8"/>
  <c r="J41" i="8"/>
  <c r="J33" i="8"/>
  <c r="J25" i="8"/>
  <c r="J17" i="8"/>
  <c r="J9" i="8"/>
  <c r="J129" i="8"/>
  <c r="J121" i="8"/>
  <c r="J113" i="8"/>
  <c r="J105" i="8"/>
  <c r="J97" i="8"/>
  <c r="J89" i="8"/>
  <c r="J81" i="8"/>
  <c r="J72" i="8"/>
  <c r="J64" i="8"/>
  <c r="J56" i="8"/>
  <c r="J48" i="8"/>
  <c r="J32" i="8"/>
  <c r="J24" i="8"/>
  <c r="J8" i="8"/>
  <c r="M184" i="96"/>
  <c r="M200" i="96"/>
  <c r="J192" i="8"/>
  <c r="J176" i="8"/>
  <c r="J160" i="8"/>
  <c r="J144" i="8"/>
  <c r="J71" i="8"/>
  <c r="J63" i="8"/>
  <c r="J55" i="8"/>
  <c r="J47" i="8"/>
  <c r="J39" i="8"/>
  <c r="J31" i="8"/>
  <c r="J23" i="8"/>
  <c r="J15" i="8"/>
  <c r="J7" i="8"/>
  <c r="M38" i="96"/>
  <c r="J135" i="8"/>
  <c r="J127" i="8"/>
  <c r="J119" i="8"/>
  <c r="J111" i="8"/>
  <c r="J103" i="8"/>
  <c r="J95" i="8"/>
  <c r="J87" i="8"/>
  <c r="J79" i="8"/>
  <c r="J70" i="8"/>
  <c r="J62" i="8"/>
  <c r="J54" i="8"/>
  <c r="J46" i="8"/>
  <c r="J14" i="8"/>
  <c r="J6" i="8"/>
  <c r="G226" i="8"/>
  <c r="G209" i="8"/>
  <c r="G220" i="8"/>
  <c r="G205" i="8"/>
  <c r="G189" i="8"/>
  <c r="G173" i="8"/>
  <c r="E227" i="8"/>
  <c r="E213" i="8"/>
  <c r="E181" i="8"/>
  <c r="G232" i="8"/>
  <c r="G201" i="8"/>
  <c r="E228" i="8"/>
  <c r="E212" i="8"/>
  <c r="E197" i="8"/>
  <c r="E5" i="8"/>
  <c r="G235" i="8"/>
  <c r="E233" i="8"/>
  <c r="G227" i="8"/>
  <c r="E225" i="8"/>
  <c r="G219" i="8"/>
  <c r="E217" i="8"/>
  <c r="G212" i="8"/>
  <c r="E210" i="8"/>
  <c r="G204" i="8"/>
  <c r="E202" i="8"/>
  <c r="G196" i="8"/>
  <c r="E194" i="8"/>
  <c r="G188" i="8"/>
  <c r="E186" i="8"/>
  <c r="G180" i="8"/>
  <c r="E178" i="8"/>
  <c r="G172" i="8"/>
  <c r="E170" i="8"/>
  <c r="G164" i="8"/>
  <c r="E162" i="8"/>
  <c r="G156" i="8"/>
  <c r="E154" i="8"/>
  <c r="G148" i="8"/>
  <c r="E146" i="8"/>
  <c r="G140" i="8"/>
  <c r="E138" i="8"/>
  <c r="G132" i="8"/>
  <c r="E130" i="8"/>
  <c r="G124" i="8"/>
  <c r="E122" i="8"/>
  <c r="G116" i="8"/>
  <c r="E114" i="8"/>
  <c r="G108" i="8"/>
  <c r="E106" i="8"/>
  <c r="G100" i="8"/>
  <c r="E98" i="8"/>
  <c r="G92" i="8"/>
  <c r="E90" i="8"/>
  <c r="G84" i="8"/>
  <c r="E82" i="8"/>
  <c r="G75" i="8"/>
  <c r="E73" i="8"/>
  <c r="G67" i="8"/>
  <c r="E65" i="8"/>
  <c r="G59" i="8"/>
  <c r="E57" i="8"/>
  <c r="G51" i="8"/>
  <c r="E49" i="8"/>
  <c r="G43" i="8"/>
  <c r="G35" i="8"/>
  <c r="G27" i="8"/>
  <c r="G36" i="8"/>
  <c r="G28" i="8"/>
  <c r="G20" i="8"/>
  <c r="G12" i="8"/>
  <c r="G229" i="8"/>
  <c r="G221" i="8"/>
  <c r="G77" i="8"/>
  <c r="G206" i="8"/>
  <c r="G198" i="8"/>
  <c r="G190" i="8"/>
  <c r="G182" i="8"/>
  <c r="G174" i="8"/>
  <c r="G166" i="8"/>
  <c r="G158" i="8"/>
  <c r="G150" i="8"/>
  <c r="G142" i="8"/>
  <c r="G134" i="8"/>
  <c r="G126" i="8"/>
  <c r="G118" i="8"/>
  <c r="G110" i="8"/>
  <c r="G102" i="8"/>
  <c r="G94" i="8"/>
  <c r="G86" i="8"/>
  <c r="G78" i="8"/>
  <c r="G69" i="8"/>
  <c r="G61" i="8"/>
  <c r="G53" i="8"/>
  <c r="G45" i="8"/>
  <c r="G37" i="8"/>
  <c r="G29" i="8"/>
  <c r="G21" i="8"/>
  <c r="G13" i="8"/>
  <c r="G230" i="8"/>
  <c r="G222" i="8"/>
  <c r="G214" i="8"/>
  <c r="G207" i="8"/>
  <c r="G199" i="8"/>
  <c r="G191" i="8"/>
  <c r="G183" i="8"/>
  <c r="G175" i="8"/>
  <c r="G167" i="8"/>
  <c r="G159" i="8"/>
  <c r="G151" i="8"/>
  <c r="G143" i="8"/>
  <c r="G135" i="8"/>
  <c r="G127" i="8"/>
  <c r="G119" i="8"/>
  <c r="G111" i="8"/>
  <c r="G103" i="8"/>
  <c r="G95" i="8"/>
  <c r="G87" i="8"/>
  <c r="G79" i="8"/>
  <c r="G70" i="8"/>
  <c r="G62" i="8"/>
  <c r="G54" i="8"/>
  <c r="G46" i="8"/>
  <c r="G38" i="8"/>
  <c r="G30" i="8"/>
  <c r="G22" i="8"/>
  <c r="G14" i="8"/>
  <c r="G6" i="8"/>
  <c r="G231" i="8"/>
  <c r="G223" i="8"/>
  <c r="G215" i="8"/>
  <c r="G208" i="8"/>
  <c r="G200" i="8"/>
  <c r="G192" i="8"/>
  <c r="G184" i="8"/>
  <c r="G176" i="8"/>
  <c r="G168" i="8"/>
  <c r="G160" i="8"/>
  <c r="G152" i="8"/>
  <c r="G144" i="8"/>
  <c r="G136" i="8"/>
  <c r="G128" i="8"/>
  <c r="G120" i="8"/>
  <c r="G112" i="8"/>
  <c r="G104" i="8"/>
  <c r="G96" i="8"/>
  <c r="G88" i="8"/>
  <c r="G80" i="8"/>
  <c r="G71" i="8"/>
  <c r="G63" i="8"/>
  <c r="G15" i="8"/>
  <c r="G7" i="8"/>
  <c r="N254" i="89"/>
  <c r="N254" i="90"/>
  <c r="J256" i="91"/>
  <c r="K257" i="91" s="1"/>
  <c r="K263" i="91" s="1"/>
  <c r="J256" i="90"/>
  <c r="K257" i="90" s="1"/>
  <c r="K263" i="90" s="1"/>
  <c r="N254" i="91"/>
  <c r="M5" i="92"/>
  <c r="N254" i="92" s="1"/>
  <c r="M5" i="93"/>
  <c r="N254" i="93" s="1"/>
  <c r="J256" i="95"/>
  <c r="K257" i="95" s="1"/>
  <c r="K263" i="95" s="1"/>
  <c r="M5" i="96"/>
  <c r="J256" i="96"/>
  <c r="K257" i="96" s="1"/>
  <c r="K263" i="96" s="1"/>
  <c r="M5" i="79"/>
  <c r="N254" i="79" s="1"/>
  <c r="N254" i="81"/>
  <c r="M5" i="83"/>
  <c r="N254" i="83" s="1"/>
  <c r="J256" i="84"/>
  <c r="K257" i="84" s="1"/>
  <c r="N254" i="85"/>
  <c r="M5" i="87"/>
  <c r="N254" i="87" s="1"/>
  <c r="J256" i="88"/>
  <c r="K257" i="88" s="1"/>
  <c r="J256" i="72"/>
  <c r="K257" i="72" s="1"/>
  <c r="M139" i="72"/>
  <c r="N254" i="72" s="1"/>
  <c r="N254" i="74"/>
  <c r="J256" i="74"/>
  <c r="K257" i="74" s="1"/>
  <c r="K257" i="73"/>
  <c r="N254" i="73"/>
  <c r="J256" i="75"/>
  <c r="K257" i="75" s="1"/>
  <c r="J256" i="77"/>
  <c r="K257" i="77" s="1"/>
  <c r="J256" i="78"/>
  <c r="K257" i="78" s="1"/>
  <c r="K257" i="70"/>
  <c r="M5" i="70"/>
  <c r="N254" i="70" s="1"/>
  <c r="J256" i="71"/>
  <c r="K257" i="71"/>
  <c r="M5" i="71"/>
  <c r="N254" i="71" s="1"/>
  <c r="K257" i="68"/>
  <c r="N254" i="68"/>
  <c r="N254" i="69"/>
  <c r="J256" i="69"/>
  <c r="K257" i="69"/>
  <c r="E244" i="8"/>
  <c r="N254" i="67"/>
  <c r="J256" i="67"/>
  <c r="K257" i="67" s="1"/>
  <c r="G240" i="8"/>
  <c r="G243" i="8"/>
  <c r="E240" i="8"/>
  <c r="G254" i="8"/>
  <c r="G249" i="8"/>
  <c r="E241" i="8"/>
  <c r="K257" i="66"/>
  <c r="N254" i="66"/>
  <c r="E252" i="8"/>
  <c r="E249" i="8"/>
  <c r="G250" i="8"/>
  <c r="E247" i="8"/>
  <c r="E239" i="8"/>
  <c r="E253" i="8"/>
  <c r="E245" i="8"/>
  <c r="G242" i="8"/>
  <c r="G251" i="8"/>
  <c r="E246" i="8"/>
  <c r="E243" i="8"/>
  <c r="G241" i="8"/>
  <c r="G252" i="8"/>
  <c r="E250" i="8"/>
  <c r="G244" i="8"/>
  <c r="E242" i="8"/>
  <c r="G245" i="8"/>
  <c r="G246" i="8"/>
  <c r="G238" i="8"/>
  <c r="G253" i="8"/>
  <c r="G247" i="8"/>
  <c r="G239" i="8"/>
  <c r="G248" i="8"/>
  <c r="N254" i="95" l="1"/>
  <c r="K263" i="88"/>
  <c r="M27" i="8"/>
  <c r="S27" i="8" s="1"/>
  <c r="K263" i="84"/>
  <c r="M23" i="8"/>
  <c r="S23" i="8" s="1"/>
  <c r="K263" i="86"/>
  <c r="M25" i="8"/>
  <c r="S25" i="8" s="1"/>
  <c r="K263" i="87"/>
  <c r="M26" i="8"/>
  <c r="S26" i="8" s="1"/>
  <c r="K263" i="82"/>
  <c r="K265" i="82" s="1"/>
  <c r="K263" i="83"/>
  <c r="M22" i="8"/>
  <c r="S22" i="8" s="1"/>
  <c r="K263" i="85"/>
  <c r="M24" i="8"/>
  <c r="S24" i="8" s="1"/>
  <c r="K263" i="79"/>
  <c r="M18" i="8"/>
  <c r="S18" i="8" s="1"/>
  <c r="K263" i="81"/>
  <c r="M20" i="8"/>
  <c r="S20" i="8" s="1"/>
  <c r="K263" i="80"/>
  <c r="M19" i="8"/>
  <c r="S19" i="8" s="1"/>
  <c r="K263" i="78"/>
  <c r="M17" i="8"/>
  <c r="S17" i="8" s="1"/>
  <c r="K263" i="75"/>
  <c r="M14" i="8"/>
  <c r="S14" i="8" s="1"/>
  <c r="U14" i="8" s="1"/>
  <c r="K263" i="77"/>
  <c r="K266" i="77" s="1"/>
  <c r="M16" i="8"/>
  <c r="S16" i="8" s="1"/>
  <c r="K263" i="76"/>
  <c r="M15" i="8"/>
  <c r="S15" i="8" s="1"/>
  <c r="K263" i="74"/>
  <c r="K266" i="74" s="1"/>
  <c r="M13" i="8"/>
  <c r="S13" i="8" s="1"/>
  <c r="C178" i="68"/>
  <c r="E178" i="68" s="1"/>
  <c r="G178" i="68" s="1"/>
  <c r="C178" i="69" s="1"/>
  <c r="E178" i="69" s="1"/>
  <c r="G178" i="69" s="1"/>
  <c r="C155" i="68"/>
  <c r="E155" i="68" s="1"/>
  <c r="G155" i="68" s="1"/>
  <c r="C155" i="69" s="1"/>
  <c r="E155" i="69" s="1"/>
  <c r="G155" i="69" s="1"/>
  <c r="C195" i="68"/>
  <c r="E195" i="68" s="1"/>
  <c r="G195" i="68" s="1"/>
  <c r="C195" i="69" s="1"/>
  <c r="E195" i="69" s="1"/>
  <c r="G195" i="69" s="1"/>
  <c r="C54" i="68"/>
  <c r="E54" i="68" s="1"/>
  <c r="G54" i="68" s="1"/>
  <c r="C54" i="69" s="1"/>
  <c r="E54" i="69" s="1"/>
  <c r="G54" i="69" s="1"/>
  <c r="C182" i="68"/>
  <c r="E182" i="68" s="1"/>
  <c r="G182" i="68" s="1"/>
  <c r="C182" i="69" s="1"/>
  <c r="E182" i="69" s="1"/>
  <c r="G182" i="69" s="1"/>
  <c r="C90" i="68"/>
  <c r="E90" i="68" s="1"/>
  <c r="G90" i="68" s="1"/>
  <c r="C90" i="69" s="1"/>
  <c r="E90" i="69" s="1"/>
  <c r="G90" i="69" s="1"/>
  <c r="C200" i="68"/>
  <c r="E200" i="68" s="1"/>
  <c r="G200" i="68" s="1"/>
  <c r="C200" i="69" s="1"/>
  <c r="E200" i="69" s="1"/>
  <c r="G200" i="69" s="1"/>
  <c r="E100" i="68"/>
  <c r="G100" i="68" s="1"/>
  <c r="C100" i="69" s="1"/>
  <c r="E100" i="69" s="1"/>
  <c r="G100" i="69" s="1"/>
  <c r="C100" i="68"/>
  <c r="C149" i="68"/>
  <c r="E149" i="68" s="1"/>
  <c r="G149" i="68" s="1"/>
  <c r="C149" i="69" s="1"/>
  <c r="E149" i="69" s="1"/>
  <c r="G149" i="69" s="1"/>
  <c r="C124" i="68"/>
  <c r="E124" i="68" s="1"/>
  <c r="G124" i="68" s="1"/>
  <c r="C124" i="69" s="1"/>
  <c r="E124" i="69" s="1"/>
  <c r="G124" i="69" s="1"/>
  <c r="C76" i="68"/>
  <c r="E76" i="68" s="1"/>
  <c r="G76" i="68" s="1"/>
  <c r="C76" i="69" s="1"/>
  <c r="E76" i="69" s="1"/>
  <c r="G76" i="69" s="1"/>
  <c r="C145" i="68"/>
  <c r="E145" i="68" s="1"/>
  <c r="G145" i="68" s="1"/>
  <c r="C145" i="69" s="1"/>
  <c r="E145" i="69" s="1"/>
  <c r="G145" i="69" s="1"/>
  <c r="C207" i="68"/>
  <c r="E207" i="68" s="1"/>
  <c r="G207" i="68" s="1"/>
  <c r="C207" i="69" s="1"/>
  <c r="E207" i="69" s="1"/>
  <c r="G207" i="69" s="1"/>
  <c r="C134" i="68"/>
  <c r="E134" i="68" s="1"/>
  <c r="G134" i="68" s="1"/>
  <c r="C134" i="69" s="1"/>
  <c r="E134" i="69" s="1"/>
  <c r="G134" i="69" s="1"/>
  <c r="C52" i="68"/>
  <c r="E52" i="68" s="1"/>
  <c r="G52" i="68" s="1"/>
  <c r="C52" i="69" s="1"/>
  <c r="E52" i="69" s="1"/>
  <c r="G52" i="69" s="1"/>
  <c r="C174" i="68"/>
  <c r="E174" i="68" s="1"/>
  <c r="G174" i="68" s="1"/>
  <c r="C174" i="69" s="1"/>
  <c r="E174" i="69" s="1"/>
  <c r="G174" i="69" s="1"/>
  <c r="C86" i="68"/>
  <c r="E86" i="68" s="1"/>
  <c r="G86" i="68" s="1"/>
  <c r="C86" i="69" s="1"/>
  <c r="E86" i="69" s="1"/>
  <c r="G86" i="69" s="1"/>
  <c r="C95" i="68"/>
  <c r="E95" i="68" s="1"/>
  <c r="G95" i="68" s="1"/>
  <c r="C95" i="69" s="1"/>
  <c r="E95" i="69" s="1"/>
  <c r="G95" i="69" s="1"/>
  <c r="C184" i="68"/>
  <c r="E184" i="68" s="1"/>
  <c r="G184" i="68" s="1"/>
  <c r="C184" i="69" s="1"/>
  <c r="E184" i="69" s="1"/>
  <c r="G184" i="69" s="1"/>
  <c r="E77" i="68"/>
  <c r="G77" i="68" s="1"/>
  <c r="C77" i="69" s="1"/>
  <c r="E77" i="69" s="1"/>
  <c r="G77" i="69" s="1"/>
  <c r="C77" i="68"/>
  <c r="C128" i="68"/>
  <c r="E128" i="68" s="1"/>
  <c r="G128" i="68" s="1"/>
  <c r="C128" i="69" s="1"/>
  <c r="E128" i="69" s="1"/>
  <c r="G128" i="69" s="1"/>
  <c r="C193" i="68"/>
  <c r="E193" i="68" s="1"/>
  <c r="G193" i="68" s="1"/>
  <c r="C193" i="69" s="1"/>
  <c r="E193" i="69" s="1"/>
  <c r="G193" i="69" s="1"/>
  <c r="C136" i="68"/>
  <c r="E136" i="68" s="1"/>
  <c r="G136" i="68" s="1"/>
  <c r="C136" i="69" s="1"/>
  <c r="E136" i="69" s="1"/>
  <c r="G136" i="69" s="1"/>
  <c r="C197" i="68"/>
  <c r="E197" i="68" s="1"/>
  <c r="G197" i="68" s="1"/>
  <c r="C197" i="69" s="1"/>
  <c r="E197" i="69" s="1"/>
  <c r="G197" i="69" s="1"/>
  <c r="C171" i="68"/>
  <c r="E171" i="68" s="1"/>
  <c r="G171" i="68" s="1"/>
  <c r="C171" i="69" s="1"/>
  <c r="E171" i="69" s="1"/>
  <c r="G171" i="69" s="1"/>
  <c r="C208" i="68"/>
  <c r="E208" i="68" s="1"/>
  <c r="G208" i="68" s="1"/>
  <c r="C208" i="69" s="1"/>
  <c r="E208" i="69" s="1"/>
  <c r="G208" i="69" s="1"/>
  <c r="C211" i="68"/>
  <c r="E211" i="68" s="1"/>
  <c r="G211" i="68" s="1"/>
  <c r="C211" i="69" s="1"/>
  <c r="E211" i="69" s="1"/>
  <c r="G211" i="69" s="1"/>
  <c r="C156" i="68"/>
  <c r="E156" i="68" s="1"/>
  <c r="G156" i="68" s="1"/>
  <c r="C156" i="69" s="1"/>
  <c r="E156" i="69" s="1"/>
  <c r="G156" i="69" s="1"/>
  <c r="C117" i="68"/>
  <c r="E117" i="68" s="1"/>
  <c r="G117" i="68" s="1"/>
  <c r="C117" i="69" s="1"/>
  <c r="E117" i="69" s="1"/>
  <c r="G117" i="69" s="1"/>
  <c r="C162" i="68"/>
  <c r="E162" i="68" s="1"/>
  <c r="G162" i="68" s="1"/>
  <c r="C162" i="69" s="1"/>
  <c r="E162" i="69" s="1"/>
  <c r="G162" i="69" s="1"/>
  <c r="C144" i="68"/>
  <c r="E144" i="68" s="1"/>
  <c r="G144" i="68" s="1"/>
  <c r="C144" i="69" s="1"/>
  <c r="E144" i="69" s="1"/>
  <c r="G144" i="69" s="1"/>
  <c r="C108" i="68"/>
  <c r="E108" i="68" s="1"/>
  <c r="G108" i="68" s="1"/>
  <c r="C108" i="69" s="1"/>
  <c r="E108" i="69" s="1"/>
  <c r="G108" i="69" s="1"/>
  <c r="C104" i="68"/>
  <c r="E104" i="68" s="1"/>
  <c r="G104" i="68" s="1"/>
  <c r="C104" i="69" s="1"/>
  <c r="E104" i="69" s="1"/>
  <c r="G104" i="69" s="1"/>
  <c r="C198" i="68"/>
  <c r="E198" i="68" s="1"/>
  <c r="G198" i="68" s="1"/>
  <c r="C198" i="69" s="1"/>
  <c r="E198" i="69" s="1"/>
  <c r="G198" i="69" s="1"/>
  <c r="C51" i="68"/>
  <c r="E51" i="68" s="1"/>
  <c r="G51" i="68" s="1"/>
  <c r="C51" i="69" s="1"/>
  <c r="E51" i="69" s="1"/>
  <c r="G51" i="69" s="1"/>
  <c r="C129" i="68"/>
  <c r="E129" i="68" s="1"/>
  <c r="G129" i="68" s="1"/>
  <c r="C129" i="69" s="1"/>
  <c r="E129" i="69" s="1"/>
  <c r="G129" i="69" s="1"/>
  <c r="C70" i="68"/>
  <c r="E70" i="68" s="1"/>
  <c r="G70" i="68" s="1"/>
  <c r="C70" i="69" s="1"/>
  <c r="E70" i="69" s="1"/>
  <c r="G70" i="69" s="1"/>
  <c r="E67" i="68"/>
  <c r="G67" i="68" s="1"/>
  <c r="C67" i="69" s="1"/>
  <c r="E67" i="69" s="1"/>
  <c r="G67" i="69" s="1"/>
  <c r="C67" i="68"/>
  <c r="C170" i="68"/>
  <c r="E170" i="68" s="1"/>
  <c r="G170" i="68" s="1"/>
  <c r="C170" i="69" s="1"/>
  <c r="E170" i="69" s="1"/>
  <c r="G170" i="69" s="1"/>
  <c r="C28" i="68"/>
  <c r="E28" i="68" s="1"/>
  <c r="G28" i="68" s="1"/>
  <c r="C28" i="69" s="1"/>
  <c r="E28" i="69" s="1"/>
  <c r="G28" i="69" s="1"/>
  <c r="C63" i="68"/>
  <c r="E63" i="68" s="1"/>
  <c r="G63" i="68" s="1"/>
  <c r="C63" i="69" s="1"/>
  <c r="E63" i="69" s="1"/>
  <c r="G63" i="69" s="1"/>
  <c r="C192" i="68"/>
  <c r="E192" i="68" s="1"/>
  <c r="G192" i="68" s="1"/>
  <c r="C192" i="69" s="1"/>
  <c r="E192" i="69" s="1"/>
  <c r="G192" i="69" s="1"/>
  <c r="C132" i="68"/>
  <c r="E132" i="68" s="1"/>
  <c r="G132" i="68" s="1"/>
  <c r="C132" i="69" s="1"/>
  <c r="E132" i="69" s="1"/>
  <c r="G132" i="69" s="1"/>
  <c r="C168" i="68"/>
  <c r="E168" i="68" s="1"/>
  <c r="G168" i="68" s="1"/>
  <c r="C168" i="69" s="1"/>
  <c r="E168" i="69" s="1"/>
  <c r="G168" i="69" s="1"/>
  <c r="C106" i="68"/>
  <c r="E106" i="68" s="1"/>
  <c r="G106" i="68" s="1"/>
  <c r="C106" i="69" s="1"/>
  <c r="E106" i="69" s="1"/>
  <c r="G106" i="69" s="1"/>
  <c r="C17" i="68"/>
  <c r="E17" i="68" s="1"/>
  <c r="G17" i="68" s="1"/>
  <c r="C17" i="69" s="1"/>
  <c r="E17" i="69" s="1"/>
  <c r="G17" i="69" s="1"/>
  <c r="C131" i="68"/>
  <c r="E131" i="68" s="1"/>
  <c r="G131" i="68" s="1"/>
  <c r="C131" i="69" s="1"/>
  <c r="E131" i="69" s="1"/>
  <c r="G131" i="69" s="1"/>
  <c r="C203" i="68"/>
  <c r="E203" i="68" s="1"/>
  <c r="G203" i="68" s="1"/>
  <c r="C203" i="69" s="1"/>
  <c r="E203" i="69" s="1"/>
  <c r="G203" i="69" s="1"/>
  <c r="C125" i="68"/>
  <c r="E125" i="68" s="1"/>
  <c r="G125" i="68" s="1"/>
  <c r="C125" i="69" s="1"/>
  <c r="E125" i="69" s="1"/>
  <c r="G125" i="69" s="1"/>
  <c r="C47" i="68"/>
  <c r="E47" i="68" s="1"/>
  <c r="G47" i="68" s="1"/>
  <c r="C47" i="69" s="1"/>
  <c r="E47" i="69" s="1"/>
  <c r="G47" i="69" s="1"/>
  <c r="C87" i="68"/>
  <c r="E87" i="68" s="1"/>
  <c r="G87" i="68" s="1"/>
  <c r="C87" i="69" s="1"/>
  <c r="E87" i="69" s="1"/>
  <c r="G87" i="69" s="1"/>
  <c r="C78" i="68"/>
  <c r="E78" i="68" s="1"/>
  <c r="G78" i="68" s="1"/>
  <c r="C78" i="69" s="1"/>
  <c r="E78" i="69" s="1"/>
  <c r="G78" i="69" s="1"/>
  <c r="C173" i="68"/>
  <c r="E173" i="68" s="1"/>
  <c r="G173" i="68" s="1"/>
  <c r="C173" i="69" s="1"/>
  <c r="E173" i="69" s="1"/>
  <c r="G173" i="69" s="1"/>
  <c r="C204" i="68"/>
  <c r="E204" i="68" s="1"/>
  <c r="G204" i="68" s="1"/>
  <c r="C204" i="69" s="1"/>
  <c r="E204" i="69" s="1"/>
  <c r="G204" i="69" s="1"/>
  <c r="E96" i="68"/>
  <c r="G96" i="68" s="1"/>
  <c r="C96" i="69" s="1"/>
  <c r="E96" i="69" s="1"/>
  <c r="G96" i="69" s="1"/>
  <c r="C96" i="68"/>
  <c r="C50" i="68"/>
  <c r="E50" i="68" s="1"/>
  <c r="G50" i="68" s="1"/>
  <c r="C50" i="69" s="1"/>
  <c r="E50" i="69" s="1"/>
  <c r="G50" i="69" s="1"/>
  <c r="C147" i="68"/>
  <c r="E147" i="68" s="1"/>
  <c r="G147" i="68" s="1"/>
  <c r="C147" i="69" s="1"/>
  <c r="E147" i="69" s="1"/>
  <c r="G147" i="69" s="1"/>
  <c r="C140" i="68"/>
  <c r="E140" i="68" s="1"/>
  <c r="G140" i="68" s="1"/>
  <c r="C140" i="69" s="1"/>
  <c r="E140" i="69" s="1"/>
  <c r="G140" i="69" s="1"/>
  <c r="C15" i="68"/>
  <c r="E15" i="68" s="1"/>
  <c r="G15" i="68" s="1"/>
  <c r="C15" i="69" s="1"/>
  <c r="E15" i="69" s="1"/>
  <c r="G15" i="69" s="1"/>
  <c r="C121" i="68"/>
  <c r="E121" i="68" s="1"/>
  <c r="G121" i="68" s="1"/>
  <c r="C121" i="69" s="1"/>
  <c r="E121" i="69" s="1"/>
  <c r="G121" i="69" s="1"/>
  <c r="C216" i="68"/>
  <c r="E216" i="68" s="1"/>
  <c r="G216" i="68" s="1"/>
  <c r="C216" i="69" s="1"/>
  <c r="E216" i="69" s="1"/>
  <c r="G216" i="69" s="1"/>
  <c r="C113" i="68"/>
  <c r="E113" i="68" s="1"/>
  <c r="G113" i="68" s="1"/>
  <c r="C113" i="69" s="1"/>
  <c r="E113" i="69" s="1"/>
  <c r="G113" i="69" s="1"/>
  <c r="C69" i="68"/>
  <c r="E69" i="68" s="1"/>
  <c r="G69" i="68" s="1"/>
  <c r="C69" i="69" s="1"/>
  <c r="E69" i="69" s="1"/>
  <c r="G69" i="69" s="1"/>
  <c r="C83" i="68"/>
  <c r="E83" i="68" s="1"/>
  <c r="G83" i="68" s="1"/>
  <c r="C83" i="69" s="1"/>
  <c r="E83" i="69" s="1"/>
  <c r="G83" i="69" s="1"/>
  <c r="C102" i="68"/>
  <c r="E102" i="68" s="1"/>
  <c r="G102" i="68" s="1"/>
  <c r="C102" i="69" s="1"/>
  <c r="E102" i="69" s="1"/>
  <c r="G102" i="69" s="1"/>
  <c r="C62" i="68"/>
  <c r="E62" i="68" s="1"/>
  <c r="G62" i="68" s="1"/>
  <c r="C62" i="69" s="1"/>
  <c r="E62" i="69" s="1"/>
  <c r="G62" i="69" s="1"/>
  <c r="E25" i="68"/>
  <c r="G25" i="68" s="1"/>
  <c r="C25" i="69" s="1"/>
  <c r="E25" i="69" s="1"/>
  <c r="G25" i="69" s="1"/>
  <c r="C25" i="68"/>
  <c r="C209" i="68"/>
  <c r="E209" i="68" s="1"/>
  <c r="G209" i="68" s="1"/>
  <c r="C209" i="69" s="1"/>
  <c r="E209" i="69" s="1"/>
  <c r="G209" i="69" s="1"/>
  <c r="C16" i="68"/>
  <c r="E16" i="68" s="1"/>
  <c r="G16" i="68" s="1"/>
  <c r="C16" i="69" s="1"/>
  <c r="E16" i="69" s="1"/>
  <c r="G16" i="69" s="1"/>
  <c r="C157" i="68"/>
  <c r="E157" i="68" s="1"/>
  <c r="G157" i="68" s="1"/>
  <c r="C157" i="69" s="1"/>
  <c r="E157" i="69" s="1"/>
  <c r="G157" i="69" s="1"/>
  <c r="C22" i="68"/>
  <c r="E22" i="68" s="1"/>
  <c r="G22" i="68" s="1"/>
  <c r="C22" i="69" s="1"/>
  <c r="E22" i="69" s="1"/>
  <c r="G22" i="69" s="1"/>
  <c r="C126" i="68"/>
  <c r="E126" i="68" s="1"/>
  <c r="G126" i="68" s="1"/>
  <c r="C126" i="69" s="1"/>
  <c r="E126" i="69" s="1"/>
  <c r="G126" i="69" s="1"/>
  <c r="C160" i="68"/>
  <c r="E160" i="68" s="1"/>
  <c r="G160" i="68" s="1"/>
  <c r="C160" i="69" s="1"/>
  <c r="E160" i="69" s="1"/>
  <c r="G160" i="69" s="1"/>
  <c r="C214" i="68"/>
  <c r="E214" i="68" s="1"/>
  <c r="G214" i="68" s="1"/>
  <c r="C214" i="69" s="1"/>
  <c r="E214" i="69" s="1"/>
  <c r="G214" i="69" s="1"/>
  <c r="C194" i="68"/>
  <c r="E194" i="68" s="1"/>
  <c r="G194" i="68" s="1"/>
  <c r="C194" i="69" s="1"/>
  <c r="E194" i="69" s="1"/>
  <c r="G194" i="69" s="1"/>
  <c r="K265" i="95"/>
  <c r="K266" i="95"/>
  <c r="C88" i="68"/>
  <c r="E88" i="68" s="1"/>
  <c r="G88" i="68" s="1"/>
  <c r="C88" i="69" s="1"/>
  <c r="E88" i="69" s="1"/>
  <c r="G88" i="69" s="1"/>
  <c r="K265" i="96"/>
  <c r="K266" i="96"/>
  <c r="C152" i="68"/>
  <c r="E152" i="68" s="1"/>
  <c r="G152" i="68" s="1"/>
  <c r="C152" i="69" s="1"/>
  <c r="E152" i="69" s="1"/>
  <c r="G152" i="69" s="1"/>
  <c r="C127" i="68"/>
  <c r="E127" i="68" s="1"/>
  <c r="G127" i="68" s="1"/>
  <c r="C127" i="69" s="1"/>
  <c r="E127" i="69" s="1"/>
  <c r="G127" i="69" s="1"/>
  <c r="C59" i="68"/>
  <c r="E59" i="68" s="1"/>
  <c r="G59" i="68" s="1"/>
  <c r="C59" i="69" s="1"/>
  <c r="E59" i="69" s="1"/>
  <c r="G59" i="69" s="1"/>
  <c r="C57" i="68"/>
  <c r="E57" i="68" s="1"/>
  <c r="G57" i="68" s="1"/>
  <c r="C57" i="69" s="1"/>
  <c r="E57" i="69" s="1"/>
  <c r="G57" i="69" s="1"/>
  <c r="C53" i="68"/>
  <c r="E53" i="68" s="1"/>
  <c r="G53" i="68" s="1"/>
  <c r="C53" i="69" s="1"/>
  <c r="E53" i="69" s="1"/>
  <c r="G53" i="69" s="1"/>
  <c r="C112" i="68"/>
  <c r="E112" i="68" s="1"/>
  <c r="G112" i="68" s="1"/>
  <c r="C112" i="69" s="1"/>
  <c r="E112" i="69" s="1"/>
  <c r="G112" i="69" s="1"/>
  <c r="C84" i="68"/>
  <c r="E84" i="68" s="1"/>
  <c r="G84" i="68" s="1"/>
  <c r="C84" i="69" s="1"/>
  <c r="E84" i="69" s="1"/>
  <c r="G84" i="69" s="1"/>
  <c r="C58" i="68"/>
  <c r="E58" i="68" s="1"/>
  <c r="G58" i="68" s="1"/>
  <c r="C58" i="69" s="1"/>
  <c r="E58" i="69" s="1"/>
  <c r="G58" i="69" s="1"/>
  <c r="C71" i="68"/>
  <c r="E71" i="68" s="1"/>
  <c r="G71" i="68" s="1"/>
  <c r="C71" i="69" s="1"/>
  <c r="E71" i="69" s="1"/>
  <c r="G71" i="69" s="1"/>
  <c r="C176" i="68"/>
  <c r="E176" i="68" s="1"/>
  <c r="G176" i="68" s="1"/>
  <c r="C176" i="69" s="1"/>
  <c r="E176" i="69" s="1"/>
  <c r="G176" i="69" s="1"/>
  <c r="K266" i="90"/>
  <c r="K265" i="90"/>
  <c r="C30" i="68"/>
  <c r="E30" i="68" s="1"/>
  <c r="G30" i="68" s="1"/>
  <c r="C30" i="69" s="1"/>
  <c r="E30" i="69" s="1"/>
  <c r="G30" i="69" s="1"/>
  <c r="C98" i="68"/>
  <c r="E98" i="68" s="1"/>
  <c r="G98" i="68" s="1"/>
  <c r="C98" i="69" s="1"/>
  <c r="E98" i="69" s="1"/>
  <c r="G98" i="69" s="1"/>
  <c r="C73" i="68"/>
  <c r="E73" i="68" s="1"/>
  <c r="G73" i="68" s="1"/>
  <c r="C73" i="69" s="1"/>
  <c r="E73" i="69" s="1"/>
  <c r="G73" i="69" s="1"/>
  <c r="C32" i="68"/>
  <c r="E32" i="68" s="1"/>
  <c r="G32" i="68" s="1"/>
  <c r="C32" i="69" s="1"/>
  <c r="E32" i="69" s="1"/>
  <c r="G32" i="69" s="1"/>
  <c r="C44" i="68"/>
  <c r="E44" i="68" s="1"/>
  <c r="G44" i="68" s="1"/>
  <c r="C44" i="69" s="1"/>
  <c r="E44" i="69" s="1"/>
  <c r="G44" i="69" s="1"/>
  <c r="K265" i="91"/>
  <c r="K266" i="91"/>
  <c r="C19" i="68"/>
  <c r="E19" i="68" s="1"/>
  <c r="G19" i="68" s="1"/>
  <c r="C19" i="69" s="1"/>
  <c r="E19" i="69" s="1"/>
  <c r="G19" i="69" s="1"/>
  <c r="C135" i="68"/>
  <c r="E135" i="68" s="1"/>
  <c r="G135" i="68" s="1"/>
  <c r="C135" i="69" s="1"/>
  <c r="E135" i="69" s="1"/>
  <c r="G135" i="69" s="1"/>
  <c r="C122" i="68"/>
  <c r="E122" i="68" s="1"/>
  <c r="G122" i="68" s="1"/>
  <c r="C122" i="69" s="1"/>
  <c r="E122" i="69" s="1"/>
  <c r="G122" i="69" s="1"/>
  <c r="C89" i="68"/>
  <c r="E89" i="68" s="1"/>
  <c r="G89" i="68" s="1"/>
  <c r="C89" i="69" s="1"/>
  <c r="E89" i="69" s="1"/>
  <c r="G89" i="69" s="1"/>
  <c r="C186" i="68"/>
  <c r="E186" i="68" s="1"/>
  <c r="G186" i="68" s="1"/>
  <c r="C186" i="69" s="1"/>
  <c r="E186" i="69" s="1"/>
  <c r="G186" i="69" s="1"/>
  <c r="C175" i="68"/>
  <c r="E175" i="68" s="1"/>
  <c r="G175" i="68" s="1"/>
  <c r="C175" i="69" s="1"/>
  <c r="E175" i="69" s="1"/>
  <c r="G175" i="69" s="1"/>
  <c r="C56" i="68"/>
  <c r="E56" i="68" s="1"/>
  <c r="G56" i="68" s="1"/>
  <c r="C56" i="69" s="1"/>
  <c r="E56" i="69" s="1"/>
  <c r="G56" i="69" s="1"/>
  <c r="C65" i="68"/>
  <c r="E65" i="68" s="1"/>
  <c r="G65" i="68" s="1"/>
  <c r="C65" i="69" s="1"/>
  <c r="E65" i="69" s="1"/>
  <c r="G65" i="69" s="1"/>
  <c r="E74" i="68"/>
  <c r="G74" i="68" s="1"/>
  <c r="C74" i="69" s="1"/>
  <c r="E74" i="69" s="1"/>
  <c r="G74" i="69" s="1"/>
  <c r="C74" i="68"/>
  <c r="C46" i="68"/>
  <c r="E46" i="68" s="1"/>
  <c r="G46" i="68" s="1"/>
  <c r="C46" i="69" s="1"/>
  <c r="E46" i="69" s="1"/>
  <c r="G46" i="69" s="1"/>
  <c r="C94" i="68"/>
  <c r="E94" i="68" s="1"/>
  <c r="G94" i="68" s="1"/>
  <c r="C94" i="69" s="1"/>
  <c r="E94" i="69" s="1"/>
  <c r="G94" i="69" s="1"/>
  <c r="C141" i="68"/>
  <c r="E141" i="68" s="1"/>
  <c r="G141" i="68" s="1"/>
  <c r="C141" i="69" s="1"/>
  <c r="E141" i="69" s="1"/>
  <c r="G141" i="69" s="1"/>
  <c r="C107" i="68"/>
  <c r="E107" i="68" s="1"/>
  <c r="G107" i="68" s="1"/>
  <c r="C107" i="69" s="1"/>
  <c r="E107" i="69" s="1"/>
  <c r="G107" i="69" s="1"/>
  <c r="C60" i="68"/>
  <c r="E60" i="68" s="1"/>
  <c r="G60" i="68" s="1"/>
  <c r="C60" i="69" s="1"/>
  <c r="E60" i="69" s="1"/>
  <c r="G60" i="69" s="1"/>
  <c r="C80" i="68"/>
  <c r="E80" i="68" s="1"/>
  <c r="G80" i="68" s="1"/>
  <c r="C80" i="69" s="1"/>
  <c r="E80" i="69" s="1"/>
  <c r="G80" i="69" s="1"/>
  <c r="C138" i="68"/>
  <c r="E138" i="68" s="1"/>
  <c r="G138" i="68" s="1"/>
  <c r="C138" i="69" s="1"/>
  <c r="E138" i="69" s="1"/>
  <c r="G138" i="69" s="1"/>
  <c r="C146" i="68"/>
  <c r="E146" i="68" s="1"/>
  <c r="G146" i="68" s="1"/>
  <c r="C146" i="69" s="1"/>
  <c r="E146" i="69" s="1"/>
  <c r="G146" i="69" s="1"/>
  <c r="C210" i="68"/>
  <c r="E210" i="68" s="1"/>
  <c r="G210" i="68" s="1"/>
  <c r="C210" i="69" s="1"/>
  <c r="E210" i="69" s="1"/>
  <c r="G210" i="69" s="1"/>
  <c r="C48" i="68"/>
  <c r="E48" i="68" s="1"/>
  <c r="G48" i="68" s="1"/>
  <c r="C48" i="69" s="1"/>
  <c r="E48" i="69" s="1"/>
  <c r="G48" i="69" s="1"/>
  <c r="C153" i="68"/>
  <c r="E153" i="68" s="1"/>
  <c r="G153" i="68" s="1"/>
  <c r="C153" i="69" s="1"/>
  <c r="E153" i="69" s="1"/>
  <c r="G153" i="69" s="1"/>
  <c r="C31" i="68"/>
  <c r="E31" i="68" s="1"/>
  <c r="G31" i="68" s="1"/>
  <c r="C31" i="69" s="1"/>
  <c r="E31" i="69" s="1"/>
  <c r="G31" i="69" s="1"/>
  <c r="C181" i="68"/>
  <c r="E181" i="68" s="1"/>
  <c r="G181" i="68" s="1"/>
  <c r="C181" i="69" s="1"/>
  <c r="E181" i="69" s="1"/>
  <c r="G181" i="69" s="1"/>
  <c r="C61" i="68"/>
  <c r="E61" i="68" s="1"/>
  <c r="G61" i="68" s="1"/>
  <c r="C61" i="69" s="1"/>
  <c r="E61" i="69" s="1"/>
  <c r="G61" i="69" s="1"/>
  <c r="C38" i="68"/>
  <c r="E38" i="68" s="1"/>
  <c r="G38" i="68" s="1"/>
  <c r="C38" i="69" s="1"/>
  <c r="E38" i="69" s="1"/>
  <c r="G38" i="69" s="1"/>
  <c r="C118" i="68"/>
  <c r="E118" i="68" s="1"/>
  <c r="G118" i="68" s="1"/>
  <c r="C118" i="69" s="1"/>
  <c r="E118" i="69" s="1"/>
  <c r="G118" i="69" s="1"/>
  <c r="C161" i="68"/>
  <c r="E161" i="68" s="1"/>
  <c r="G161" i="68" s="1"/>
  <c r="C161" i="69" s="1"/>
  <c r="E161" i="69" s="1"/>
  <c r="G161" i="69" s="1"/>
  <c r="C35" i="68"/>
  <c r="E35" i="68" s="1"/>
  <c r="G35" i="68" s="1"/>
  <c r="C35" i="69" s="1"/>
  <c r="E35" i="69" s="1"/>
  <c r="G35" i="69" s="1"/>
  <c r="C79" i="68"/>
  <c r="E79" i="68" s="1"/>
  <c r="G79" i="68" s="1"/>
  <c r="C79" i="69" s="1"/>
  <c r="E79" i="69" s="1"/>
  <c r="G79" i="69" s="1"/>
  <c r="C217" i="68"/>
  <c r="E217" i="68" s="1"/>
  <c r="G217" i="68" s="1"/>
  <c r="C217" i="69" s="1"/>
  <c r="E217" i="69" s="1"/>
  <c r="G217" i="69" s="1"/>
  <c r="K266" i="84"/>
  <c r="K265" i="84"/>
  <c r="C97" i="68"/>
  <c r="E97" i="68" s="1"/>
  <c r="G97" i="68" s="1"/>
  <c r="C97" i="69" s="1"/>
  <c r="E97" i="69" s="1"/>
  <c r="G97" i="69" s="1"/>
  <c r="C190" i="68"/>
  <c r="E190" i="68" s="1"/>
  <c r="G190" i="68" s="1"/>
  <c r="C190" i="69" s="1"/>
  <c r="E190" i="69" s="1"/>
  <c r="G190" i="69" s="1"/>
  <c r="C41" i="68"/>
  <c r="E41" i="68" s="1"/>
  <c r="G41" i="68" s="1"/>
  <c r="C41" i="69" s="1"/>
  <c r="E41" i="69" s="1"/>
  <c r="G41" i="69" s="1"/>
  <c r="C75" i="68"/>
  <c r="E75" i="68" s="1"/>
  <c r="G75" i="68" s="1"/>
  <c r="C75" i="69" s="1"/>
  <c r="E75" i="69" s="1"/>
  <c r="G75" i="69" s="1"/>
  <c r="C202" i="68"/>
  <c r="E202" i="68" s="1"/>
  <c r="G202" i="68" s="1"/>
  <c r="C202" i="69" s="1"/>
  <c r="E202" i="69" s="1"/>
  <c r="G202" i="69" s="1"/>
  <c r="C26" i="68"/>
  <c r="E26" i="68" s="1"/>
  <c r="G26" i="68" s="1"/>
  <c r="C26" i="69" s="1"/>
  <c r="E26" i="69" s="1"/>
  <c r="G26" i="69" s="1"/>
  <c r="C169" i="68"/>
  <c r="E169" i="68" s="1"/>
  <c r="G169" i="68" s="1"/>
  <c r="C169" i="69" s="1"/>
  <c r="E169" i="69" s="1"/>
  <c r="G169" i="69" s="1"/>
  <c r="E81" i="68"/>
  <c r="G81" i="68" s="1"/>
  <c r="C81" i="69" s="1"/>
  <c r="E81" i="69" s="1"/>
  <c r="G81" i="69" s="1"/>
  <c r="C81" i="68"/>
  <c r="C189" i="68"/>
  <c r="E189" i="68" s="1"/>
  <c r="G189" i="68" s="1"/>
  <c r="C189" i="69" s="1"/>
  <c r="E189" i="69" s="1"/>
  <c r="G189" i="69" s="1"/>
  <c r="C215" i="68"/>
  <c r="E215" i="68" s="1"/>
  <c r="G215" i="68" s="1"/>
  <c r="C215" i="69" s="1"/>
  <c r="E215" i="69" s="1"/>
  <c r="G215" i="69" s="1"/>
  <c r="C120" i="68"/>
  <c r="E120" i="68" s="1"/>
  <c r="G120" i="68" s="1"/>
  <c r="C120" i="69" s="1"/>
  <c r="E120" i="69" s="1"/>
  <c r="G120" i="69" s="1"/>
  <c r="C172" i="68"/>
  <c r="E172" i="68" s="1"/>
  <c r="G172" i="68" s="1"/>
  <c r="C172" i="69" s="1"/>
  <c r="E172" i="69" s="1"/>
  <c r="G172" i="69" s="1"/>
  <c r="C36" i="68"/>
  <c r="E36" i="68" s="1"/>
  <c r="G36" i="68" s="1"/>
  <c r="C36" i="69" s="1"/>
  <c r="E36" i="69" s="1"/>
  <c r="G36" i="69" s="1"/>
  <c r="C68" i="68"/>
  <c r="E68" i="68" s="1"/>
  <c r="G68" i="68" s="1"/>
  <c r="C68" i="69" s="1"/>
  <c r="E68" i="69" s="1"/>
  <c r="G68" i="69" s="1"/>
  <c r="C93" i="68"/>
  <c r="E93" i="68" s="1"/>
  <c r="G93" i="68" s="1"/>
  <c r="C93" i="69" s="1"/>
  <c r="E93" i="69" s="1"/>
  <c r="G93" i="69" s="1"/>
  <c r="C201" i="68"/>
  <c r="E201" i="68" s="1"/>
  <c r="G201" i="68" s="1"/>
  <c r="C201" i="69" s="1"/>
  <c r="E201" i="69" s="1"/>
  <c r="G201" i="69" s="1"/>
  <c r="C66" i="68"/>
  <c r="E66" i="68" s="1"/>
  <c r="G66" i="68" s="1"/>
  <c r="C66" i="69" s="1"/>
  <c r="E66" i="69" s="1"/>
  <c r="G66" i="69" s="1"/>
  <c r="C55" i="68"/>
  <c r="E55" i="68" s="1"/>
  <c r="G55" i="68" s="1"/>
  <c r="C55" i="69" s="1"/>
  <c r="E55" i="69" s="1"/>
  <c r="G55" i="69" s="1"/>
  <c r="C159" i="68"/>
  <c r="E159" i="68" s="1"/>
  <c r="G159" i="68" s="1"/>
  <c r="C159" i="69" s="1"/>
  <c r="E159" i="69" s="1"/>
  <c r="G159" i="69" s="1"/>
  <c r="K266" i="86"/>
  <c r="K265" i="86"/>
  <c r="K266" i="88"/>
  <c r="K265" i="88"/>
  <c r="K266" i="85"/>
  <c r="K265" i="85"/>
  <c r="K263" i="73"/>
  <c r="K266" i="73" s="1"/>
  <c r="M12" i="8"/>
  <c r="C143" i="68"/>
  <c r="E143" i="68" s="1"/>
  <c r="G143" i="68" s="1"/>
  <c r="C143" i="69" s="1"/>
  <c r="E143" i="69" s="1"/>
  <c r="G143" i="69" s="1"/>
  <c r="C163" i="68"/>
  <c r="E163" i="68" s="1"/>
  <c r="G163" i="68" s="1"/>
  <c r="C163" i="69" s="1"/>
  <c r="E163" i="69" s="1"/>
  <c r="G163" i="69" s="1"/>
  <c r="C206" i="68"/>
  <c r="E206" i="68" s="1"/>
  <c r="G206" i="68" s="1"/>
  <c r="C206" i="69" s="1"/>
  <c r="E206" i="69" s="1"/>
  <c r="G206" i="69" s="1"/>
  <c r="K266" i="78"/>
  <c r="K265" i="78"/>
  <c r="C82" i="68"/>
  <c r="E82" i="68" s="1"/>
  <c r="G82" i="68" s="1"/>
  <c r="C82" i="69" s="1"/>
  <c r="E82" i="69" s="1"/>
  <c r="G82" i="69" s="1"/>
  <c r="C42" i="68"/>
  <c r="E42" i="68" s="1"/>
  <c r="G42" i="68" s="1"/>
  <c r="C42" i="69" s="1"/>
  <c r="E42" i="69" s="1"/>
  <c r="G42" i="69" s="1"/>
  <c r="C37" i="68"/>
  <c r="E37" i="68" s="1"/>
  <c r="G37" i="68" s="1"/>
  <c r="C37" i="69" s="1"/>
  <c r="E37" i="69" s="1"/>
  <c r="G37" i="69" s="1"/>
  <c r="C139" i="68"/>
  <c r="E139" i="68" s="1"/>
  <c r="G139" i="68" s="1"/>
  <c r="C139" i="69" s="1"/>
  <c r="E139" i="69" s="1"/>
  <c r="G139" i="69" s="1"/>
  <c r="C191" i="68"/>
  <c r="E191" i="68" s="1"/>
  <c r="G191" i="68" s="1"/>
  <c r="C191" i="69" s="1"/>
  <c r="E191" i="69" s="1"/>
  <c r="G191" i="69" s="1"/>
  <c r="C109" i="68"/>
  <c r="E109" i="68" s="1"/>
  <c r="G109" i="68" s="1"/>
  <c r="C109" i="69" s="1"/>
  <c r="E109" i="69" s="1"/>
  <c r="G109" i="69" s="1"/>
  <c r="C151" i="68"/>
  <c r="E151" i="68" s="1"/>
  <c r="G151" i="68" s="1"/>
  <c r="C151" i="69" s="1"/>
  <c r="E151" i="69" s="1"/>
  <c r="G151" i="69" s="1"/>
  <c r="C187" i="68"/>
  <c r="E187" i="68" s="1"/>
  <c r="G187" i="68" s="1"/>
  <c r="C187" i="69" s="1"/>
  <c r="E187" i="69" s="1"/>
  <c r="G187" i="69" s="1"/>
  <c r="C180" i="68"/>
  <c r="E180" i="68" s="1"/>
  <c r="G180" i="68" s="1"/>
  <c r="C180" i="69" s="1"/>
  <c r="E180" i="69" s="1"/>
  <c r="G180" i="69" s="1"/>
  <c r="C165" i="68"/>
  <c r="E165" i="68" s="1"/>
  <c r="G165" i="68" s="1"/>
  <c r="C165" i="69" s="1"/>
  <c r="E165" i="69" s="1"/>
  <c r="G165" i="69" s="1"/>
  <c r="K266" i="89"/>
  <c r="K265" i="89"/>
  <c r="K265" i="87"/>
  <c r="K266" i="87"/>
  <c r="C99" i="68"/>
  <c r="E99" i="68" s="1"/>
  <c r="G99" i="68" s="1"/>
  <c r="C99" i="69" s="1"/>
  <c r="E99" i="69" s="1"/>
  <c r="G99" i="69" s="1"/>
  <c r="C45" i="68"/>
  <c r="E45" i="68" s="1"/>
  <c r="G45" i="68" s="1"/>
  <c r="C45" i="69" s="1"/>
  <c r="E45" i="69" s="1"/>
  <c r="G45" i="69" s="1"/>
  <c r="K266" i="93"/>
  <c r="K265" i="93"/>
  <c r="C158" i="68"/>
  <c r="E158" i="68" s="1"/>
  <c r="G158" i="68" s="1"/>
  <c r="C158" i="69" s="1"/>
  <c r="E158" i="69" s="1"/>
  <c r="G158" i="69" s="1"/>
  <c r="C33" i="68"/>
  <c r="E33" i="68" s="1"/>
  <c r="G33" i="68" s="1"/>
  <c r="C33" i="69" s="1"/>
  <c r="E33" i="69" s="1"/>
  <c r="G33" i="69" s="1"/>
  <c r="K266" i="92"/>
  <c r="K265" i="92"/>
  <c r="K263" i="69"/>
  <c r="K265" i="69" s="1"/>
  <c r="M10" i="8"/>
  <c r="C114" i="68"/>
  <c r="E114" i="68" s="1"/>
  <c r="G114" i="68" s="1"/>
  <c r="C114" i="69" s="1"/>
  <c r="E114" i="69" s="1"/>
  <c r="G114" i="69" s="1"/>
  <c r="K266" i="81"/>
  <c r="K265" i="81"/>
  <c r="C29" i="68"/>
  <c r="E29" i="68" s="1"/>
  <c r="G29" i="68" s="1"/>
  <c r="C29" i="69" s="1"/>
  <c r="E29" i="69" s="1"/>
  <c r="G29" i="69" s="1"/>
  <c r="C101" i="68"/>
  <c r="E101" i="68" s="1"/>
  <c r="G101" i="68" s="1"/>
  <c r="C101" i="69" s="1"/>
  <c r="E101" i="69" s="1"/>
  <c r="G101" i="69" s="1"/>
  <c r="C196" i="68"/>
  <c r="E196" i="68" s="1"/>
  <c r="G196" i="68" s="1"/>
  <c r="C196" i="69" s="1"/>
  <c r="E196" i="69" s="1"/>
  <c r="G196" i="69" s="1"/>
  <c r="C40" i="68"/>
  <c r="E40" i="68" s="1"/>
  <c r="G40" i="68" s="1"/>
  <c r="C40" i="69" s="1"/>
  <c r="E40" i="69" s="1"/>
  <c r="G40" i="69" s="1"/>
  <c r="C111" i="68"/>
  <c r="E111" i="68" s="1"/>
  <c r="G111" i="68" s="1"/>
  <c r="C111" i="69" s="1"/>
  <c r="E111" i="69" s="1"/>
  <c r="G111" i="69" s="1"/>
  <c r="C183" i="68"/>
  <c r="E183" i="68" s="1"/>
  <c r="G183" i="68" s="1"/>
  <c r="C183" i="69" s="1"/>
  <c r="E183" i="69" s="1"/>
  <c r="G183" i="69" s="1"/>
  <c r="C43" i="68"/>
  <c r="E43" i="68" s="1"/>
  <c r="G43" i="68" s="1"/>
  <c r="C43" i="69" s="1"/>
  <c r="E43" i="69" s="1"/>
  <c r="G43" i="69" s="1"/>
  <c r="C123" i="68"/>
  <c r="E123" i="68" s="1"/>
  <c r="G123" i="68" s="1"/>
  <c r="C123" i="69" s="1"/>
  <c r="E123" i="69" s="1"/>
  <c r="G123" i="69" s="1"/>
  <c r="C105" i="68"/>
  <c r="E105" i="68" s="1"/>
  <c r="G105" i="68" s="1"/>
  <c r="C105" i="69" s="1"/>
  <c r="E105" i="69" s="1"/>
  <c r="G105" i="69" s="1"/>
  <c r="C23" i="68"/>
  <c r="E23" i="68" s="1"/>
  <c r="G23" i="68" s="1"/>
  <c r="C23" i="69" s="1"/>
  <c r="E23" i="69" s="1"/>
  <c r="G23" i="69" s="1"/>
  <c r="C91" i="68"/>
  <c r="E91" i="68" s="1"/>
  <c r="G91" i="68" s="1"/>
  <c r="C91" i="69" s="1"/>
  <c r="E91" i="69" s="1"/>
  <c r="G91" i="69" s="1"/>
  <c r="C199" i="68"/>
  <c r="E199" i="68" s="1"/>
  <c r="G199" i="68" s="1"/>
  <c r="C199" i="69" s="1"/>
  <c r="E199" i="69" s="1"/>
  <c r="G199" i="69" s="1"/>
  <c r="C148" i="68"/>
  <c r="E148" i="68" s="1"/>
  <c r="G148" i="68" s="1"/>
  <c r="C148" i="69" s="1"/>
  <c r="E148" i="69" s="1"/>
  <c r="G148" i="69" s="1"/>
  <c r="C142" i="68"/>
  <c r="E142" i="68" s="1"/>
  <c r="G142" i="68" s="1"/>
  <c r="C142" i="69" s="1"/>
  <c r="E142" i="69" s="1"/>
  <c r="G142" i="69" s="1"/>
  <c r="C92" i="68"/>
  <c r="E92" i="68" s="1"/>
  <c r="G92" i="68" s="1"/>
  <c r="C92" i="69" s="1"/>
  <c r="E92" i="69" s="1"/>
  <c r="G92" i="69" s="1"/>
  <c r="C119" i="68"/>
  <c r="E119" i="68" s="1"/>
  <c r="G119" i="68" s="1"/>
  <c r="C119" i="69" s="1"/>
  <c r="E119" i="69" s="1"/>
  <c r="G119" i="69" s="1"/>
  <c r="K266" i="79"/>
  <c r="K265" i="79"/>
  <c r="C213" i="68"/>
  <c r="E213" i="68" s="1"/>
  <c r="G213" i="68" s="1"/>
  <c r="C213" i="69" s="1"/>
  <c r="E213" i="69" s="1"/>
  <c r="G213" i="69" s="1"/>
  <c r="C103" i="68"/>
  <c r="E103" i="68" s="1"/>
  <c r="G103" i="68" s="1"/>
  <c r="C103" i="69" s="1"/>
  <c r="E103" i="69" s="1"/>
  <c r="G103" i="69" s="1"/>
  <c r="C27" i="68"/>
  <c r="E27" i="68" s="1"/>
  <c r="G27" i="68" s="1"/>
  <c r="C27" i="69" s="1"/>
  <c r="E27" i="69" s="1"/>
  <c r="G27" i="69" s="1"/>
  <c r="C212" i="68"/>
  <c r="E212" i="68" s="1"/>
  <c r="G212" i="68" s="1"/>
  <c r="C212" i="69" s="1"/>
  <c r="E212" i="69" s="1"/>
  <c r="G212" i="69" s="1"/>
  <c r="C164" i="68"/>
  <c r="E164" i="68" s="1"/>
  <c r="G164" i="68" s="1"/>
  <c r="C164" i="69" s="1"/>
  <c r="E164" i="69" s="1"/>
  <c r="G164" i="69" s="1"/>
  <c r="K266" i="83"/>
  <c r="K265" i="83"/>
  <c r="K266" i="75"/>
  <c r="K265" i="75"/>
  <c r="K265" i="94"/>
  <c r="K266" i="94"/>
  <c r="K266" i="76"/>
  <c r="K265" i="76"/>
  <c r="C72" i="68"/>
  <c r="E72" i="68" s="1"/>
  <c r="G72" i="68" s="1"/>
  <c r="C72" i="69" s="1"/>
  <c r="E72" i="69" s="1"/>
  <c r="G72" i="69" s="1"/>
  <c r="C185" i="68"/>
  <c r="E185" i="68" s="1"/>
  <c r="G185" i="68" s="1"/>
  <c r="C185" i="69" s="1"/>
  <c r="E185" i="69" s="1"/>
  <c r="G185" i="69" s="1"/>
  <c r="C85" i="68"/>
  <c r="E85" i="68" s="1"/>
  <c r="G85" i="68" s="1"/>
  <c r="C85" i="69" s="1"/>
  <c r="E85" i="69" s="1"/>
  <c r="G85" i="69" s="1"/>
  <c r="C133" i="68"/>
  <c r="E133" i="68" s="1"/>
  <c r="G133" i="68" s="1"/>
  <c r="C133" i="69" s="1"/>
  <c r="E133" i="69" s="1"/>
  <c r="G133" i="69" s="1"/>
  <c r="K266" i="80"/>
  <c r="K265" i="80"/>
  <c r="C39" i="68"/>
  <c r="E39" i="68" s="1"/>
  <c r="G39" i="68" s="1"/>
  <c r="C39" i="69" s="1"/>
  <c r="E39" i="69" s="1"/>
  <c r="G39" i="69" s="1"/>
  <c r="C115" i="68"/>
  <c r="E115" i="68" s="1"/>
  <c r="G115" i="68" s="1"/>
  <c r="C115" i="69" s="1"/>
  <c r="E115" i="69" s="1"/>
  <c r="G115" i="69" s="1"/>
  <c r="C205" i="68"/>
  <c r="E205" i="68" s="1"/>
  <c r="G205" i="68" s="1"/>
  <c r="C205" i="69" s="1"/>
  <c r="E205" i="69" s="1"/>
  <c r="G205" i="69" s="1"/>
  <c r="C20" i="68"/>
  <c r="E20" i="68" s="1"/>
  <c r="G20" i="68" s="1"/>
  <c r="C20" i="69" s="1"/>
  <c r="E20" i="69" s="1"/>
  <c r="G20" i="69" s="1"/>
  <c r="C49" i="68"/>
  <c r="E49" i="68" s="1"/>
  <c r="G49" i="68" s="1"/>
  <c r="C49" i="69" s="1"/>
  <c r="E49" i="69" s="1"/>
  <c r="G49" i="69" s="1"/>
  <c r="C130" i="68"/>
  <c r="E130" i="68" s="1"/>
  <c r="G130" i="68" s="1"/>
  <c r="C130" i="69" s="1"/>
  <c r="E130" i="69" s="1"/>
  <c r="G130" i="69" s="1"/>
  <c r="C188" i="68"/>
  <c r="E188" i="68" s="1"/>
  <c r="G188" i="68" s="1"/>
  <c r="C188" i="69" s="1"/>
  <c r="E188" i="69" s="1"/>
  <c r="G188" i="69" s="1"/>
  <c r="C64" i="68"/>
  <c r="E64" i="68" s="1"/>
  <c r="G64" i="68" s="1"/>
  <c r="C64" i="69" s="1"/>
  <c r="E64" i="69" s="1"/>
  <c r="G64" i="69" s="1"/>
  <c r="C154" i="68"/>
  <c r="E154" i="68" s="1"/>
  <c r="G154" i="68" s="1"/>
  <c r="C154" i="69" s="1"/>
  <c r="E154" i="69" s="1"/>
  <c r="G154" i="69" s="1"/>
  <c r="C166" i="68"/>
  <c r="E166" i="68" s="1"/>
  <c r="G166" i="68" s="1"/>
  <c r="C166" i="69" s="1"/>
  <c r="E166" i="69" s="1"/>
  <c r="G166" i="69" s="1"/>
  <c r="C34" i="68"/>
  <c r="E34" i="68" s="1"/>
  <c r="G34" i="68" s="1"/>
  <c r="C34" i="69" s="1"/>
  <c r="E34" i="69" s="1"/>
  <c r="G34" i="69" s="1"/>
  <c r="E116" i="68"/>
  <c r="G116" i="68" s="1"/>
  <c r="C116" i="69" s="1"/>
  <c r="E116" i="69" s="1"/>
  <c r="G116" i="69" s="1"/>
  <c r="C116" i="68"/>
  <c r="C110" i="68"/>
  <c r="E110" i="68" s="1"/>
  <c r="G110" i="68" s="1"/>
  <c r="C110" i="69" s="1"/>
  <c r="E110" i="69" s="1"/>
  <c r="G110" i="69" s="1"/>
  <c r="C18" i="68"/>
  <c r="E18" i="68" s="1"/>
  <c r="G18" i="68" s="1"/>
  <c r="C18" i="69" s="1"/>
  <c r="E18" i="69" s="1"/>
  <c r="G18" i="69" s="1"/>
  <c r="C167" i="68"/>
  <c r="E167" i="68" s="1"/>
  <c r="G167" i="68" s="1"/>
  <c r="C167" i="69" s="1"/>
  <c r="E167" i="69" s="1"/>
  <c r="G167" i="69" s="1"/>
  <c r="C24" i="68"/>
  <c r="E24" i="68" s="1"/>
  <c r="G24" i="68" s="1"/>
  <c r="C24" i="69" s="1"/>
  <c r="E24" i="69" s="1"/>
  <c r="G24" i="69" s="1"/>
  <c r="C21" i="68"/>
  <c r="E21" i="68" s="1"/>
  <c r="G21" i="68" s="1"/>
  <c r="C21" i="69" s="1"/>
  <c r="E21" i="69" s="1"/>
  <c r="G21" i="69" s="1"/>
  <c r="E150" i="68"/>
  <c r="G150" i="68" s="1"/>
  <c r="C150" i="69" s="1"/>
  <c r="E150" i="69" s="1"/>
  <c r="G150" i="69" s="1"/>
  <c r="C150" i="68"/>
  <c r="C137" i="68"/>
  <c r="E137" i="68" s="1"/>
  <c r="G137" i="68" s="1"/>
  <c r="C137" i="69" s="1"/>
  <c r="E137" i="69" s="1"/>
  <c r="G137" i="69" s="1"/>
  <c r="K263" i="72"/>
  <c r="K265" i="72" s="1"/>
  <c r="M11" i="8"/>
  <c r="K263" i="71"/>
  <c r="K266" i="71" s="1"/>
  <c r="M8" i="8"/>
  <c r="S8" i="8" s="1"/>
  <c r="K263" i="68"/>
  <c r="K266" i="68" s="1"/>
  <c r="M9" i="8"/>
  <c r="C179" i="68"/>
  <c r="E179" i="68" s="1"/>
  <c r="G179" i="68" s="1"/>
  <c r="C179" i="69" s="1"/>
  <c r="E179" i="69" s="1"/>
  <c r="G179" i="69" s="1"/>
  <c r="C177" i="68"/>
  <c r="E177" i="68" s="1"/>
  <c r="G177" i="68" s="1"/>
  <c r="C177" i="69" s="1"/>
  <c r="E177" i="69" s="1"/>
  <c r="G177" i="69" s="1"/>
  <c r="K263" i="70"/>
  <c r="M7" i="8"/>
  <c r="K263" i="67"/>
  <c r="M6" i="8"/>
  <c r="K263" i="66"/>
  <c r="K265" i="66" s="1"/>
  <c r="M5" i="8"/>
  <c r="S5" i="8" s="1"/>
  <c r="N254" i="96"/>
  <c r="K266" i="69"/>
  <c r="K266" i="82" l="1"/>
  <c r="K265" i="77"/>
  <c r="K265" i="71"/>
  <c r="K265" i="73"/>
  <c r="K265" i="68"/>
  <c r="K265" i="74"/>
  <c r="C101" i="72"/>
  <c r="E101" i="72" s="1"/>
  <c r="G101" i="72" s="1"/>
  <c r="C75" i="72"/>
  <c r="E75" i="72" s="1"/>
  <c r="G75" i="72" s="1"/>
  <c r="C19" i="72"/>
  <c r="E19" i="72" s="1"/>
  <c r="G19" i="72" s="1"/>
  <c r="C126" i="72"/>
  <c r="E126" i="72" s="1"/>
  <c r="G126" i="72" s="1"/>
  <c r="C184" i="72"/>
  <c r="E184" i="72" s="1"/>
  <c r="G184" i="72" s="1"/>
  <c r="C91" i="72"/>
  <c r="E91" i="72" s="1"/>
  <c r="G91" i="72" s="1"/>
  <c r="C187" i="72"/>
  <c r="E187" i="72" s="1"/>
  <c r="G187" i="72" s="1"/>
  <c r="C210" i="72"/>
  <c r="E210" i="72" s="1"/>
  <c r="G210" i="72" s="1"/>
  <c r="C22" i="72"/>
  <c r="E22" i="72" s="1"/>
  <c r="G22" i="72" s="1"/>
  <c r="C129" i="72"/>
  <c r="E129" i="72" s="1"/>
  <c r="G129" i="72" s="1"/>
  <c r="C23" i="72"/>
  <c r="E23" i="72" s="1"/>
  <c r="G23" i="72" s="1"/>
  <c r="C146" i="72"/>
  <c r="E146" i="72" s="1"/>
  <c r="G146" i="72" s="1"/>
  <c r="C78" i="72"/>
  <c r="E78" i="72" s="1"/>
  <c r="G78" i="72" s="1"/>
  <c r="C51" i="72"/>
  <c r="E51" i="72" s="1"/>
  <c r="G51" i="72" s="1"/>
  <c r="C205" i="72"/>
  <c r="E205" i="72" s="1"/>
  <c r="G205" i="72" s="1"/>
  <c r="C120" i="72"/>
  <c r="E120" i="72" s="1"/>
  <c r="G120" i="72" s="1"/>
  <c r="C44" i="72"/>
  <c r="E44" i="72" s="1"/>
  <c r="G44" i="72" s="1"/>
  <c r="C87" i="72"/>
  <c r="E87" i="72" s="1"/>
  <c r="G87" i="72" s="1"/>
  <c r="C174" i="72"/>
  <c r="E174" i="72" s="1"/>
  <c r="G174" i="72" s="1"/>
  <c r="C99" i="72"/>
  <c r="E99" i="72" s="1"/>
  <c r="G99" i="72" s="1"/>
  <c r="C151" i="72"/>
  <c r="E151" i="72" s="1"/>
  <c r="G151" i="72" s="1"/>
  <c r="C32" i="72"/>
  <c r="E32" i="72" s="1"/>
  <c r="G32" i="72" s="1"/>
  <c r="C121" i="72"/>
  <c r="E121" i="72" s="1"/>
  <c r="G121" i="72" s="1"/>
  <c r="C132" i="72"/>
  <c r="E132" i="72" s="1"/>
  <c r="G132" i="72" s="1"/>
  <c r="C200" i="72"/>
  <c r="E200" i="72" s="1"/>
  <c r="G200" i="72" s="1"/>
  <c r="C114" i="72"/>
  <c r="E114" i="72" s="1"/>
  <c r="G114" i="72" s="1"/>
  <c r="C38" i="72"/>
  <c r="E38" i="72" s="1"/>
  <c r="G38" i="72" s="1"/>
  <c r="C175" i="72"/>
  <c r="E175" i="72" s="1"/>
  <c r="G175" i="72" s="1"/>
  <c r="C15" i="72"/>
  <c r="E15" i="72" s="1"/>
  <c r="G15" i="72" s="1"/>
  <c r="C192" i="72"/>
  <c r="E192" i="72" s="1"/>
  <c r="G192" i="72" s="1"/>
  <c r="C197" i="72"/>
  <c r="E197" i="72" s="1"/>
  <c r="G197" i="72" s="1"/>
  <c r="C90" i="72"/>
  <c r="E90" i="72" s="1"/>
  <c r="G90" i="72" s="1"/>
  <c r="C166" i="72"/>
  <c r="E166" i="72" s="1"/>
  <c r="G166" i="72" s="1"/>
  <c r="C119" i="72"/>
  <c r="E119" i="72" s="1"/>
  <c r="G119" i="72" s="1"/>
  <c r="C55" i="72"/>
  <c r="E55" i="72" s="1"/>
  <c r="G55" i="72" s="1"/>
  <c r="C61" i="72"/>
  <c r="E61" i="72" s="1"/>
  <c r="G61" i="72" s="1"/>
  <c r="C186" i="72"/>
  <c r="E186" i="72" s="1"/>
  <c r="G186" i="72" s="1"/>
  <c r="C112" i="72"/>
  <c r="E112" i="72" s="1"/>
  <c r="G112" i="72" s="1"/>
  <c r="C140" i="72"/>
  <c r="E140" i="72" s="1"/>
  <c r="G140" i="72" s="1"/>
  <c r="C63" i="72"/>
  <c r="E63" i="72" s="1"/>
  <c r="G63" i="72" s="1"/>
  <c r="C136" i="72"/>
  <c r="E136" i="72" s="1"/>
  <c r="G136" i="72" s="1"/>
  <c r="C182" i="72"/>
  <c r="E182" i="72" s="1"/>
  <c r="G182" i="72" s="1"/>
  <c r="C154" i="72"/>
  <c r="E154" i="72" s="1"/>
  <c r="G154" i="72" s="1"/>
  <c r="C92" i="72"/>
  <c r="E92" i="72" s="1"/>
  <c r="G92" i="72" s="1"/>
  <c r="C143" i="72"/>
  <c r="E143" i="72" s="1"/>
  <c r="G143" i="72" s="1"/>
  <c r="C66" i="72"/>
  <c r="E66" i="72" s="1"/>
  <c r="G66" i="72" s="1"/>
  <c r="C181" i="72"/>
  <c r="E181" i="72" s="1"/>
  <c r="G181" i="72" s="1"/>
  <c r="C89" i="72"/>
  <c r="E89" i="72" s="1"/>
  <c r="G89" i="72" s="1"/>
  <c r="C53" i="72"/>
  <c r="E53" i="72" s="1"/>
  <c r="G53" i="72" s="1"/>
  <c r="C194" i="72"/>
  <c r="E194" i="72" s="1"/>
  <c r="G194" i="72" s="1"/>
  <c r="C147" i="72"/>
  <c r="E147" i="72" s="1"/>
  <c r="G147" i="72" s="1"/>
  <c r="C28" i="72"/>
  <c r="E28" i="72" s="1"/>
  <c r="G28" i="72" s="1"/>
  <c r="C193" i="72"/>
  <c r="E193" i="72" s="1"/>
  <c r="G193" i="72" s="1"/>
  <c r="C54" i="72"/>
  <c r="E54" i="72" s="1"/>
  <c r="G54" i="72" s="1"/>
  <c r="C72" i="72"/>
  <c r="E72" i="72" s="1"/>
  <c r="G72" i="72" s="1"/>
  <c r="C48" i="72"/>
  <c r="E48" i="72" s="1"/>
  <c r="G48" i="72" s="1"/>
  <c r="C204" i="72"/>
  <c r="E204" i="72" s="1"/>
  <c r="G204" i="72" s="1"/>
  <c r="C110" i="72"/>
  <c r="E110" i="72" s="1"/>
  <c r="G110" i="72" s="1"/>
  <c r="C71" i="72"/>
  <c r="E71" i="72" s="1"/>
  <c r="G71" i="72" s="1"/>
  <c r="C95" i="72"/>
  <c r="E95" i="72" s="1"/>
  <c r="G95" i="72" s="1"/>
  <c r="C172" i="72"/>
  <c r="E172" i="72" s="1"/>
  <c r="G172" i="72" s="1"/>
  <c r="C86" i="72"/>
  <c r="E86" i="72" s="1"/>
  <c r="G86" i="72" s="1"/>
  <c r="C45" i="72"/>
  <c r="E45" i="72" s="1"/>
  <c r="G45" i="72" s="1"/>
  <c r="C16" i="72"/>
  <c r="E16" i="72" s="1"/>
  <c r="G16" i="72" s="1"/>
  <c r="C123" i="72"/>
  <c r="E123" i="72" s="1"/>
  <c r="G123" i="72" s="1"/>
  <c r="C215" i="72"/>
  <c r="E215" i="72" s="1"/>
  <c r="G215" i="72" s="1"/>
  <c r="C88" i="72"/>
  <c r="E88" i="72" s="1"/>
  <c r="G88" i="72" s="1"/>
  <c r="C39" i="72"/>
  <c r="E39" i="72" s="1"/>
  <c r="G39" i="72" s="1"/>
  <c r="C189" i="72"/>
  <c r="E189" i="72" s="1"/>
  <c r="G189" i="72" s="1"/>
  <c r="C142" i="72"/>
  <c r="E142" i="72" s="1"/>
  <c r="G142" i="72" s="1"/>
  <c r="C107" i="72"/>
  <c r="E107" i="72" s="1"/>
  <c r="G107" i="72" s="1"/>
  <c r="C57" i="72"/>
  <c r="E57" i="72" s="1"/>
  <c r="G57" i="72" s="1"/>
  <c r="C125" i="72"/>
  <c r="E125" i="72" s="1"/>
  <c r="G125" i="72" s="1"/>
  <c r="C144" i="72"/>
  <c r="E144" i="72" s="1"/>
  <c r="G144" i="72" s="1"/>
  <c r="C164" i="72"/>
  <c r="E164" i="72" s="1"/>
  <c r="G164" i="72" s="1"/>
  <c r="C93" i="72"/>
  <c r="E93" i="72" s="1"/>
  <c r="G93" i="72" s="1"/>
  <c r="C141" i="72"/>
  <c r="E141" i="72" s="1"/>
  <c r="G141" i="72" s="1"/>
  <c r="C30" i="72"/>
  <c r="E30" i="72" s="1"/>
  <c r="G30" i="72" s="1"/>
  <c r="C203" i="72"/>
  <c r="E203" i="72" s="1"/>
  <c r="G203" i="72" s="1"/>
  <c r="C145" i="72"/>
  <c r="E145" i="72" s="1"/>
  <c r="G145" i="72" s="1"/>
  <c r="C24" i="72"/>
  <c r="E24" i="72" s="1"/>
  <c r="G24" i="72" s="1"/>
  <c r="C85" i="72"/>
  <c r="E85" i="72" s="1"/>
  <c r="G85" i="72" s="1"/>
  <c r="C212" i="72"/>
  <c r="E212" i="72" s="1"/>
  <c r="G212" i="72" s="1"/>
  <c r="C40" i="72"/>
  <c r="E40" i="72" s="1"/>
  <c r="G40" i="72" s="1"/>
  <c r="C33" i="72"/>
  <c r="E33" i="72" s="1"/>
  <c r="G33" i="72" s="1"/>
  <c r="C37" i="72"/>
  <c r="E37" i="72" s="1"/>
  <c r="G37" i="72" s="1"/>
  <c r="C26" i="72"/>
  <c r="E26" i="72" s="1"/>
  <c r="G26" i="72" s="1"/>
  <c r="C35" i="72"/>
  <c r="E35" i="72" s="1"/>
  <c r="G35" i="72" s="1"/>
  <c r="C94" i="72"/>
  <c r="E94" i="72" s="1"/>
  <c r="G94" i="72" s="1"/>
  <c r="C83" i="72"/>
  <c r="E83" i="72" s="1"/>
  <c r="G83" i="72" s="1"/>
  <c r="C131" i="72"/>
  <c r="E131" i="72" s="1"/>
  <c r="G131" i="72" s="1"/>
  <c r="C117" i="72"/>
  <c r="E117" i="72" s="1"/>
  <c r="G117" i="72" s="1"/>
  <c r="C76" i="72"/>
  <c r="E76" i="72" s="1"/>
  <c r="G76" i="72" s="1"/>
  <c r="C155" i="72"/>
  <c r="E155" i="72" s="1"/>
  <c r="G155" i="72" s="1"/>
  <c r="C18" i="72"/>
  <c r="E18" i="72" s="1"/>
  <c r="G18" i="72" s="1"/>
  <c r="C82" i="72"/>
  <c r="E82" i="72" s="1"/>
  <c r="G82" i="72" s="1"/>
  <c r="C176" i="72"/>
  <c r="E176" i="72" s="1"/>
  <c r="G176" i="72" s="1"/>
  <c r="C70" i="72"/>
  <c r="E70" i="72" s="1"/>
  <c r="G70" i="72" s="1"/>
  <c r="C41" i="72"/>
  <c r="E41" i="72" s="1"/>
  <c r="G41" i="72" s="1"/>
  <c r="C173" i="72"/>
  <c r="E173" i="72" s="1"/>
  <c r="G173" i="72" s="1"/>
  <c r="C20" i="72"/>
  <c r="E20" i="72" s="1"/>
  <c r="G20" i="72" s="1"/>
  <c r="C157" i="72"/>
  <c r="E157" i="72" s="1"/>
  <c r="G157" i="72" s="1"/>
  <c r="C105" i="72"/>
  <c r="E105" i="72" s="1"/>
  <c r="G105" i="72" s="1"/>
  <c r="C138" i="72"/>
  <c r="E138" i="72" s="1"/>
  <c r="G138" i="72" s="1"/>
  <c r="C198" i="72"/>
  <c r="E198" i="72" s="1"/>
  <c r="G198" i="72" s="1"/>
  <c r="C115" i="72"/>
  <c r="E115" i="72" s="1"/>
  <c r="G115" i="72" s="1"/>
  <c r="C56" i="72"/>
  <c r="E56" i="72" s="1"/>
  <c r="G56" i="72" s="1"/>
  <c r="C171" i="72"/>
  <c r="E171" i="72" s="1"/>
  <c r="G171" i="72" s="1"/>
  <c r="C137" i="72"/>
  <c r="E137" i="72" s="1"/>
  <c r="G137" i="72" s="1"/>
  <c r="C109" i="72"/>
  <c r="E109" i="72" s="1"/>
  <c r="G109" i="72" s="1"/>
  <c r="C64" i="72"/>
  <c r="E64" i="72" s="1"/>
  <c r="G64" i="72" s="1"/>
  <c r="C201" i="72"/>
  <c r="E201" i="72" s="1"/>
  <c r="G201" i="72" s="1"/>
  <c r="C217" i="72"/>
  <c r="E217" i="72" s="1"/>
  <c r="G217" i="72" s="1"/>
  <c r="C62" i="72"/>
  <c r="E62" i="72" s="1"/>
  <c r="G62" i="72" s="1"/>
  <c r="C207" i="72"/>
  <c r="E207" i="72" s="1"/>
  <c r="G207" i="72" s="1"/>
  <c r="C188" i="72"/>
  <c r="E188" i="72" s="1"/>
  <c r="G188" i="72" s="1"/>
  <c r="C111" i="72"/>
  <c r="E111" i="72" s="1"/>
  <c r="G111" i="72" s="1"/>
  <c r="C79" i="72"/>
  <c r="E79" i="72" s="1"/>
  <c r="G79" i="72" s="1"/>
  <c r="C59" i="72"/>
  <c r="E59" i="72" s="1"/>
  <c r="G59" i="72" s="1"/>
  <c r="C102" i="72"/>
  <c r="E102" i="72" s="1"/>
  <c r="G102" i="72" s="1"/>
  <c r="C162" i="72"/>
  <c r="E162" i="72" s="1"/>
  <c r="G162" i="72" s="1"/>
  <c r="C167" i="72"/>
  <c r="E167" i="72" s="1"/>
  <c r="G167" i="72" s="1"/>
  <c r="C185" i="72"/>
  <c r="E185" i="72" s="1"/>
  <c r="G185" i="72" s="1"/>
  <c r="C27" i="72"/>
  <c r="E27" i="72" s="1"/>
  <c r="G27" i="72" s="1"/>
  <c r="C196" i="72"/>
  <c r="E196" i="72" s="1"/>
  <c r="G196" i="72" s="1"/>
  <c r="C42" i="72"/>
  <c r="E42" i="72" s="1"/>
  <c r="G42" i="72" s="1"/>
  <c r="C42" i="73" s="1"/>
  <c r="E42" i="73" s="1"/>
  <c r="G42" i="73" s="1"/>
  <c r="C42" i="74" s="1"/>
  <c r="E42" i="74" s="1"/>
  <c r="G42" i="74" s="1"/>
  <c r="C202" i="72"/>
  <c r="E202" i="72" s="1"/>
  <c r="G202" i="72" s="1"/>
  <c r="C46" i="72"/>
  <c r="E46" i="72" s="1"/>
  <c r="G46" i="72" s="1"/>
  <c r="C46" i="73" s="1"/>
  <c r="E46" i="73" s="1"/>
  <c r="G46" i="73" s="1"/>
  <c r="C46" i="74" s="1"/>
  <c r="E46" i="74" s="1"/>
  <c r="G46" i="74" s="1"/>
  <c r="C69" i="72"/>
  <c r="E69" i="72" s="1"/>
  <c r="G69" i="72" s="1"/>
  <c r="C17" i="72"/>
  <c r="E17" i="72" s="1"/>
  <c r="G17" i="72" s="1"/>
  <c r="C156" i="72"/>
  <c r="E156" i="72" s="1"/>
  <c r="G156" i="72" s="1"/>
  <c r="C124" i="72"/>
  <c r="E124" i="72" s="1"/>
  <c r="G124" i="72" s="1"/>
  <c r="C178" i="72"/>
  <c r="E178" i="72" s="1"/>
  <c r="G178" i="72" s="1"/>
  <c r="K266" i="72"/>
  <c r="C116" i="72"/>
  <c r="E116" i="72" s="1"/>
  <c r="G116" i="72" s="1"/>
  <c r="C148" i="72"/>
  <c r="E148" i="72" s="1"/>
  <c r="G148" i="72" s="1"/>
  <c r="C191" i="72"/>
  <c r="E191" i="72" s="1"/>
  <c r="G191" i="72" s="1"/>
  <c r="C81" i="72"/>
  <c r="E81" i="72" s="1"/>
  <c r="G81" i="72" s="1"/>
  <c r="C161" i="72"/>
  <c r="E161" i="72" s="1"/>
  <c r="G161" i="72" s="1"/>
  <c r="C80" i="72"/>
  <c r="E80" i="72" s="1"/>
  <c r="G80" i="72" s="1"/>
  <c r="C122" i="72"/>
  <c r="E122" i="72" s="1"/>
  <c r="G122" i="72" s="1"/>
  <c r="C58" i="72"/>
  <c r="E58" i="72" s="1"/>
  <c r="G58" i="72" s="1"/>
  <c r="C214" i="72"/>
  <c r="E214" i="72" s="1"/>
  <c r="G214" i="72" s="1"/>
  <c r="C113" i="72"/>
  <c r="E113" i="72" s="1"/>
  <c r="G113" i="72" s="1"/>
  <c r="C47" i="72"/>
  <c r="E47" i="72" s="1"/>
  <c r="G47" i="72" s="1"/>
  <c r="C170" i="72"/>
  <c r="E170" i="72" s="1"/>
  <c r="G170" i="72" s="1"/>
  <c r="C104" i="72"/>
  <c r="E104" i="72" s="1"/>
  <c r="G104" i="72" s="1"/>
  <c r="C52" i="72"/>
  <c r="E52" i="72" s="1"/>
  <c r="G52" i="72" s="1"/>
  <c r="C149" i="72"/>
  <c r="E149" i="72" s="1"/>
  <c r="G149" i="72" s="1"/>
  <c r="C74" i="72"/>
  <c r="E74" i="72" s="1"/>
  <c r="G74" i="72" s="1"/>
  <c r="C73" i="72"/>
  <c r="E73" i="72" s="1"/>
  <c r="G73" i="72" s="1"/>
  <c r="C127" i="72"/>
  <c r="E127" i="72" s="1"/>
  <c r="G127" i="72" s="1"/>
  <c r="C209" i="72"/>
  <c r="E209" i="72" s="1"/>
  <c r="G209" i="72" s="1"/>
  <c r="C50" i="72"/>
  <c r="E50" i="72" s="1"/>
  <c r="G50" i="72" s="1"/>
  <c r="C106" i="72"/>
  <c r="E106" i="72" s="1"/>
  <c r="G106" i="72" s="1"/>
  <c r="C211" i="72"/>
  <c r="E211" i="72" s="1"/>
  <c r="G211" i="72" s="1"/>
  <c r="C128" i="72"/>
  <c r="E128" i="72" s="1"/>
  <c r="G128" i="72" s="1"/>
  <c r="C195" i="72"/>
  <c r="E195" i="72" s="1"/>
  <c r="G195" i="72" s="1"/>
  <c r="C177" i="72"/>
  <c r="E177" i="72" s="1"/>
  <c r="G177" i="72" s="1"/>
  <c r="C43" i="72"/>
  <c r="E43" i="72" s="1"/>
  <c r="G43" i="72" s="1"/>
  <c r="C158" i="72"/>
  <c r="E158" i="72" s="1"/>
  <c r="G158" i="72" s="1"/>
  <c r="C68" i="72"/>
  <c r="E68" i="72" s="1"/>
  <c r="G68" i="72" s="1"/>
  <c r="C179" i="72"/>
  <c r="E179" i="72" s="1"/>
  <c r="G179" i="72" s="1"/>
  <c r="C49" i="72"/>
  <c r="E49" i="72" s="1"/>
  <c r="G49" i="72" s="1"/>
  <c r="C213" i="72"/>
  <c r="E213" i="72" s="1"/>
  <c r="G213" i="72" s="1"/>
  <c r="C180" i="72"/>
  <c r="E180" i="72" s="1"/>
  <c r="G180" i="72" s="1"/>
  <c r="C163" i="72"/>
  <c r="E163" i="72" s="1"/>
  <c r="G163" i="72" s="1"/>
  <c r="C36" i="72"/>
  <c r="E36" i="72" s="1"/>
  <c r="G36" i="72" s="1"/>
  <c r="C97" i="72"/>
  <c r="E97" i="72" s="1"/>
  <c r="G97" i="72" s="1"/>
  <c r="C118" i="72"/>
  <c r="E118" i="72" s="1"/>
  <c r="G118" i="72" s="1"/>
  <c r="C153" i="72"/>
  <c r="E153" i="72" s="1"/>
  <c r="G153" i="72" s="1"/>
  <c r="C60" i="72"/>
  <c r="E60" i="72" s="1"/>
  <c r="G60" i="72" s="1"/>
  <c r="C65" i="72"/>
  <c r="E65" i="72" s="1"/>
  <c r="G65" i="72" s="1"/>
  <c r="C135" i="72"/>
  <c r="E135" i="72" s="1"/>
  <c r="G135" i="72" s="1"/>
  <c r="C98" i="72"/>
  <c r="E98" i="72" s="1"/>
  <c r="G98" i="72" s="1"/>
  <c r="C84" i="72"/>
  <c r="E84" i="72" s="1"/>
  <c r="G84" i="72" s="1"/>
  <c r="C152" i="72"/>
  <c r="E152" i="72" s="1"/>
  <c r="G152" i="72" s="1"/>
  <c r="C160" i="72"/>
  <c r="E160" i="72" s="1"/>
  <c r="G160" i="72" s="1"/>
  <c r="C25" i="72"/>
  <c r="E25" i="72" s="1"/>
  <c r="G25" i="72" s="1"/>
  <c r="C216" i="72"/>
  <c r="E216" i="72" s="1"/>
  <c r="G216" i="72" s="1"/>
  <c r="C96" i="72"/>
  <c r="E96" i="72" s="1"/>
  <c r="G96" i="72" s="1"/>
  <c r="C168" i="72"/>
  <c r="E168" i="72" s="1"/>
  <c r="G168" i="72" s="1"/>
  <c r="C67" i="72"/>
  <c r="E67" i="72" s="1"/>
  <c r="G67" i="72" s="1"/>
  <c r="C108" i="72"/>
  <c r="E108" i="72" s="1"/>
  <c r="G108" i="72" s="1"/>
  <c r="C208" i="72"/>
  <c r="E208" i="72" s="1"/>
  <c r="G208" i="72" s="1"/>
  <c r="C77" i="72"/>
  <c r="E77" i="72" s="1"/>
  <c r="G77" i="72" s="1"/>
  <c r="E134" i="72"/>
  <c r="G134" i="72" s="1"/>
  <c r="C134" i="72"/>
  <c r="C100" i="72"/>
  <c r="E100" i="72" s="1"/>
  <c r="G100" i="72" s="1"/>
  <c r="C130" i="72"/>
  <c r="E130" i="72" s="1"/>
  <c r="G130" i="72" s="1"/>
  <c r="C29" i="72"/>
  <c r="E29" i="72" s="1"/>
  <c r="G29" i="72" s="1"/>
  <c r="C206" i="72"/>
  <c r="E206" i="72" s="1"/>
  <c r="G206" i="72" s="1"/>
  <c r="C31" i="72"/>
  <c r="E31" i="72" s="1"/>
  <c r="G31" i="72" s="1"/>
  <c r="C34" i="72"/>
  <c r="E34" i="72" s="1"/>
  <c r="G34" i="72" s="1"/>
  <c r="C183" i="72"/>
  <c r="E183" i="72" s="1"/>
  <c r="G183" i="72" s="1"/>
  <c r="C159" i="72"/>
  <c r="E159" i="72" s="1"/>
  <c r="G159" i="72" s="1"/>
  <c r="C150" i="72"/>
  <c r="E150" i="72" s="1"/>
  <c r="G150" i="72" s="1"/>
  <c r="C103" i="72"/>
  <c r="E103" i="72" s="1"/>
  <c r="G103" i="72" s="1"/>
  <c r="C165" i="72"/>
  <c r="E165" i="72" s="1"/>
  <c r="G165" i="72" s="1"/>
  <c r="C190" i="72"/>
  <c r="E190" i="72" s="1"/>
  <c r="G190" i="72" s="1"/>
  <c r="C21" i="72"/>
  <c r="E21" i="72" s="1"/>
  <c r="G21" i="72" s="1"/>
  <c r="C133" i="72"/>
  <c r="E133" i="72" s="1"/>
  <c r="G133" i="72" s="1"/>
  <c r="C199" i="72"/>
  <c r="E199" i="72" s="1"/>
  <c r="G199" i="72" s="1"/>
  <c r="C139" i="72"/>
  <c r="E139" i="72" s="1"/>
  <c r="G139" i="72" s="1"/>
  <c r="C169" i="72"/>
  <c r="E169" i="72" s="1"/>
  <c r="G169" i="72" s="1"/>
  <c r="S7" i="8"/>
  <c r="K265" i="70"/>
  <c r="K266" i="70"/>
  <c r="K266" i="67"/>
  <c r="K265" i="67"/>
  <c r="K266" i="66"/>
  <c r="S10" i="8"/>
  <c r="S6" i="8"/>
  <c r="S12" i="8"/>
  <c r="N36" i="8"/>
  <c r="S9" i="8"/>
  <c r="Q36" i="8"/>
  <c r="R36" i="8"/>
  <c r="O36" i="8"/>
  <c r="S11" i="8"/>
  <c r="P36" i="8"/>
  <c r="C236" i="8"/>
  <c r="C237" i="8"/>
  <c r="E237" i="8"/>
  <c r="C135" i="73" l="1"/>
  <c r="E135" i="73" s="1"/>
  <c r="G135" i="73" s="1"/>
  <c r="C135" i="74" s="1"/>
  <c r="E135" i="74" s="1"/>
  <c r="G135" i="74" s="1"/>
  <c r="C119" i="73"/>
  <c r="E119" i="73" s="1"/>
  <c r="G119" i="73" s="1"/>
  <c r="C119" i="74" s="1"/>
  <c r="E119" i="74" s="1"/>
  <c r="G119" i="74" s="1"/>
  <c r="C124" i="73"/>
  <c r="E124" i="73" s="1"/>
  <c r="G124" i="73" s="1"/>
  <c r="C124" i="74" s="1"/>
  <c r="E124" i="74" s="1"/>
  <c r="G124" i="74" s="1"/>
  <c r="C60" i="73"/>
  <c r="E60" i="73" s="1"/>
  <c r="G60" i="73" s="1"/>
  <c r="C60" i="74" s="1"/>
  <c r="E60" i="74" s="1"/>
  <c r="G60" i="74" s="1"/>
  <c r="C167" i="73"/>
  <c r="E167" i="73" s="1"/>
  <c r="G167" i="73" s="1"/>
  <c r="C167" i="74" s="1"/>
  <c r="E167" i="74" s="1"/>
  <c r="G167" i="74" s="1"/>
  <c r="C182" i="73"/>
  <c r="E182" i="73" s="1"/>
  <c r="G182" i="73" s="1"/>
  <c r="C182" i="74" s="1"/>
  <c r="E182" i="74" s="1"/>
  <c r="G182" i="74" s="1"/>
  <c r="C150" i="73"/>
  <c r="E150" i="73" s="1"/>
  <c r="G150" i="73" s="1"/>
  <c r="C150" i="74" s="1"/>
  <c r="E150" i="74" s="1"/>
  <c r="G150" i="74" s="1"/>
  <c r="C77" i="73"/>
  <c r="E77" i="73" s="1"/>
  <c r="G77" i="73" s="1"/>
  <c r="C77" i="74" s="1"/>
  <c r="E77" i="74" s="1"/>
  <c r="G77" i="74" s="1"/>
  <c r="C213" i="73"/>
  <c r="E213" i="73" s="1"/>
  <c r="G213" i="73" s="1"/>
  <c r="C213" i="74" s="1"/>
  <c r="E213" i="74" s="1"/>
  <c r="G213" i="74" s="1"/>
  <c r="C106" i="73"/>
  <c r="E106" i="73" s="1"/>
  <c r="G106" i="73" s="1"/>
  <c r="C106" i="74" s="1"/>
  <c r="E106" i="74" s="1"/>
  <c r="G106" i="74" s="1"/>
  <c r="C196" i="73"/>
  <c r="E196" i="73" s="1"/>
  <c r="G196" i="73" s="1"/>
  <c r="C196" i="74" s="1"/>
  <c r="E196" i="74" s="1"/>
  <c r="G196" i="74" s="1"/>
  <c r="C188" i="73"/>
  <c r="E188" i="73" s="1"/>
  <c r="G188" i="73" s="1"/>
  <c r="C188" i="74" s="1"/>
  <c r="E188" i="74" s="1"/>
  <c r="G188" i="74" s="1"/>
  <c r="C56" i="73"/>
  <c r="E56" i="73" s="1"/>
  <c r="G56" i="73" s="1"/>
  <c r="C56" i="74" s="1"/>
  <c r="E56" i="74" s="1"/>
  <c r="G56" i="74" s="1"/>
  <c r="C70" i="73"/>
  <c r="E70" i="73" s="1"/>
  <c r="G70" i="73" s="1"/>
  <c r="C70" i="74" s="1"/>
  <c r="E70" i="74" s="1"/>
  <c r="G70" i="74" s="1"/>
  <c r="C94" i="73"/>
  <c r="E94" i="73" s="1"/>
  <c r="G94" i="73" s="1"/>
  <c r="C94" i="74" s="1"/>
  <c r="E94" i="74" s="1"/>
  <c r="G94" i="74" s="1"/>
  <c r="C57" i="73"/>
  <c r="E57" i="73" s="1"/>
  <c r="G57" i="73" s="1"/>
  <c r="C57" i="74" s="1"/>
  <c r="E57" i="74" s="1"/>
  <c r="G57" i="74" s="1"/>
  <c r="C54" i="73"/>
  <c r="E54" i="73" s="1"/>
  <c r="G54" i="73" s="1"/>
  <c r="C54" i="74" s="1"/>
  <c r="E54" i="74" s="1"/>
  <c r="G54" i="74" s="1"/>
  <c r="C61" i="73"/>
  <c r="E61" i="73" s="1"/>
  <c r="G61" i="73" s="1"/>
  <c r="C61" i="74" s="1"/>
  <c r="E61" i="74" s="1"/>
  <c r="G61" i="74" s="1"/>
  <c r="C87" i="73"/>
  <c r="E87" i="73" s="1"/>
  <c r="G87" i="73" s="1"/>
  <c r="C87" i="74" s="1"/>
  <c r="E87" i="74" s="1"/>
  <c r="G87" i="74" s="1"/>
  <c r="C159" i="73"/>
  <c r="E159" i="73" s="1"/>
  <c r="G159" i="73" s="1"/>
  <c r="C159" i="74" s="1"/>
  <c r="E159" i="74" s="1"/>
  <c r="G159" i="74" s="1"/>
  <c r="C208" i="73"/>
  <c r="E208" i="73" s="1"/>
  <c r="G208" i="73" s="1"/>
  <c r="C208" i="74" s="1"/>
  <c r="E208" i="74" s="1"/>
  <c r="G208" i="74" s="1"/>
  <c r="C49" i="73"/>
  <c r="E49" i="73" s="1"/>
  <c r="G49" i="73" s="1"/>
  <c r="C49" i="74" s="1"/>
  <c r="E49" i="74" s="1"/>
  <c r="G49" i="74" s="1"/>
  <c r="C50" i="73"/>
  <c r="E50" i="73" s="1"/>
  <c r="G50" i="73" s="1"/>
  <c r="C50" i="74" s="1"/>
  <c r="E50" i="74" s="1"/>
  <c r="G50" i="74" s="1"/>
  <c r="C113" i="73"/>
  <c r="E113" i="73" s="1"/>
  <c r="G113" i="73" s="1"/>
  <c r="C113" i="74" s="1"/>
  <c r="E113" i="74" s="1"/>
  <c r="G113" i="74" s="1"/>
  <c r="C27" i="73"/>
  <c r="E27" i="73" s="1"/>
  <c r="G27" i="73" s="1"/>
  <c r="C27" i="74" s="1"/>
  <c r="E27" i="74" s="1"/>
  <c r="G27" i="74" s="1"/>
  <c r="C115" i="73"/>
  <c r="E115" i="73" s="1"/>
  <c r="G115" i="73" s="1"/>
  <c r="C115" i="74" s="1"/>
  <c r="E115" i="74" s="1"/>
  <c r="G115" i="74" s="1"/>
  <c r="C35" i="73"/>
  <c r="E35" i="73" s="1"/>
  <c r="G35" i="73" s="1"/>
  <c r="C35" i="74" s="1"/>
  <c r="E35" i="74" s="1"/>
  <c r="G35" i="74" s="1"/>
  <c r="C145" i="73"/>
  <c r="E145" i="73" s="1"/>
  <c r="G145" i="73" s="1"/>
  <c r="C145" i="74" s="1"/>
  <c r="E145" i="74" s="1"/>
  <c r="G145" i="74" s="1"/>
  <c r="C107" i="73"/>
  <c r="E107" i="73" s="1"/>
  <c r="G107" i="73" s="1"/>
  <c r="C107" i="74" s="1"/>
  <c r="E107" i="74" s="1"/>
  <c r="G107" i="74" s="1"/>
  <c r="C86" i="73"/>
  <c r="E86" i="73" s="1"/>
  <c r="G86" i="73" s="1"/>
  <c r="C86" i="74" s="1"/>
  <c r="E86" i="74" s="1"/>
  <c r="G86" i="74" s="1"/>
  <c r="C193" i="73"/>
  <c r="E193" i="73" s="1"/>
  <c r="G193" i="73" s="1"/>
  <c r="C193" i="74" s="1"/>
  <c r="E193" i="74" s="1"/>
  <c r="G193" i="74" s="1"/>
  <c r="C92" i="73"/>
  <c r="E92" i="73" s="1"/>
  <c r="G92" i="73" s="1"/>
  <c r="C92" i="74" s="1"/>
  <c r="E92" i="74" s="1"/>
  <c r="G92" i="74" s="1"/>
  <c r="C55" i="73"/>
  <c r="E55" i="73" s="1"/>
  <c r="G55" i="73" s="1"/>
  <c r="C55" i="74" s="1"/>
  <c r="E55" i="74" s="1"/>
  <c r="G55" i="74" s="1"/>
  <c r="C114" i="73"/>
  <c r="E114" i="73" s="1"/>
  <c r="G114" i="73" s="1"/>
  <c r="C114" i="74" s="1"/>
  <c r="E114" i="74" s="1"/>
  <c r="G114" i="74" s="1"/>
  <c r="C44" i="73"/>
  <c r="E44" i="73" s="1"/>
  <c r="G44" i="73" s="1"/>
  <c r="C44" i="74" s="1"/>
  <c r="E44" i="74" s="1"/>
  <c r="G44" i="74" s="1"/>
  <c r="C210" i="73"/>
  <c r="E210" i="73" s="1"/>
  <c r="G210" i="73" s="1"/>
  <c r="C210" i="74" s="1"/>
  <c r="E210" i="74" s="1"/>
  <c r="G210" i="74" s="1"/>
  <c r="C214" i="73"/>
  <c r="E214" i="73" s="1"/>
  <c r="G214" i="73" s="1"/>
  <c r="C214" i="74" s="1"/>
  <c r="E214" i="74" s="1"/>
  <c r="G214" i="74" s="1"/>
  <c r="C169" i="73"/>
  <c r="E169" i="73" s="1"/>
  <c r="G169" i="73" s="1"/>
  <c r="C169" i="74" s="1"/>
  <c r="E169" i="74" s="1"/>
  <c r="G169" i="74" s="1"/>
  <c r="C127" i="73"/>
  <c r="E127" i="73" s="1"/>
  <c r="G127" i="73" s="1"/>
  <c r="C127" i="74" s="1"/>
  <c r="E127" i="74" s="1"/>
  <c r="G127" i="74" s="1"/>
  <c r="C139" i="73"/>
  <c r="E139" i="73" s="1"/>
  <c r="G139" i="73" s="1"/>
  <c r="C139" i="74" s="1"/>
  <c r="E139" i="74" s="1"/>
  <c r="G139" i="74" s="1"/>
  <c r="C122" i="73"/>
  <c r="E122" i="73" s="1"/>
  <c r="G122" i="73" s="1"/>
  <c r="C122" i="74" s="1"/>
  <c r="E122" i="74" s="1"/>
  <c r="G122" i="74" s="1"/>
  <c r="C18" i="73"/>
  <c r="E18" i="73" s="1"/>
  <c r="G18" i="73" s="1"/>
  <c r="C18" i="74" s="1"/>
  <c r="E18" i="74" s="1"/>
  <c r="G18" i="74" s="1"/>
  <c r="C132" i="73"/>
  <c r="E132" i="73" s="1"/>
  <c r="G132" i="73" s="1"/>
  <c r="C132" i="74" s="1"/>
  <c r="E132" i="74" s="1"/>
  <c r="G132" i="74" s="1"/>
  <c r="C199" i="73"/>
  <c r="E199" i="73" s="1"/>
  <c r="G199" i="73" s="1"/>
  <c r="C199" i="74" s="1"/>
  <c r="E199" i="74" s="1"/>
  <c r="G199" i="74" s="1"/>
  <c r="C80" i="73"/>
  <c r="E80" i="73" s="1"/>
  <c r="G80" i="73" s="1"/>
  <c r="C80" i="74" s="1"/>
  <c r="E80" i="74" s="1"/>
  <c r="G80" i="74" s="1"/>
  <c r="E80" i="75" s="1"/>
  <c r="G80" i="75" s="1"/>
  <c r="C39" i="73"/>
  <c r="E39" i="73" s="1"/>
  <c r="G39" i="73" s="1"/>
  <c r="C39" i="74" s="1"/>
  <c r="E39" i="74" s="1"/>
  <c r="G39" i="74" s="1"/>
  <c r="C136" i="73"/>
  <c r="E136" i="73" s="1"/>
  <c r="G136" i="73" s="1"/>
  <c r="C136" i="74" s="1"/>
  <c r="E136" i="74" s="1"/>
  <c r="G136" i="74" s="1"/>
  <c r="C51" i="73"/>
  <c r="E51" i="73" s="1"/>
  <c r="G51" i="73" s="1"/>
  <c r="C51" i="74" s="1"/>
  <c r="E51" i="74" s="1"/>
  <c r="G51" i="74" s="1"/>
  <c r="C74" i="73"/>
  <c r="E74" i="73" s="1"/>
  <c r="G74" i="73" s="1"/>
  <c r="C74" i="74" s="1"/>
  <c r="E74" i="74" s="1"/>
  <c r="G74" i="74" s="1"/>
  <c r="C63" i="73"/>
  <c r="E63" i="73" s="1"/>
  <c r="G63" i="73" s="1"/>
  <c r="C63" i="74" s="1"/>
  <c r="E63" i="74" s="1"/>
  <c r="G63" i="74" s="1"/>
  <c r="C149" i="73"/>
  <c r="E149" i="73" s="1"/>
  <c r="G149" i="73" s="1"/>
  <c r="C149" i="74" s="1"/>
  <c r="E149" i="74" s="1"/>
  <c r="G149" i="74" s="1"/>
  <c r="C25" i="73"/>
  <c r="E25" i="73" s="1"/>
  <c r="G25" i="73" s="1"/>
  <c r="C25" i="74" s="1"/>
  <c r="E25" i="74" s="1"/>
  <c r="G25" i="74" s="1"/>
  <c r="C100" i="73"/>
  <c r="E100" i="73" s="1"/>
  <c r="G100" i="73" s="1"/>
  <c r="C100" i="74" s="1"/>
  <c r="E100" i="74" s="1"/>
  <c r="G100" i="74" s="1"/>
  <c r="C108" i="73"/>
  <c r="E108" i="73" s="1"/>
  <c r="G108" i="73" s="1"/>
  <c r="C108" i="74" s="1"/>
  <c r="E108" i="74" s="1"/>
  <c r="G108" i="74" s="1"/>
  <c r="C142" i="73"/>
  <c r="E142" i="73" s="1"/>
  <c r="G142" i="73" s="1"/>
  <c r="C142" i="74" s="1"/>
  <c r="E142" i="74" s="1"/>
  <c r="G142" i="74" s="1"/>
  <c r="C65" i="73"/>
  <c r="E65" i="73" s="1"/>
  <c r="G65" i="73" s="1"/>
  <c r="C65" i="74" s="1"/>
  <c r="E65" i="74" s="1"/>
  <c r="G65" i="74" s="1"/>
  <c r="C62" i="73"/>
  <c r="E62" i="73" s="1"/>
  <c r="G62" i="73" s="1"/>
  <c r="C62" i="74" s="1"/>
  <c r="E62" i="74" s="1"/>
  <c r="G62" i="74" s="1"/>
  <c r="C156" i="73"/>
  <c r="E156" i="73" s="1"/>
  <c r="G156" i="73" s="1"/>
  <c r="C156" i="74" s="1"/>
  <c r="E156" i="74" s="1"/>
  <c r="G156" i="74" s="1"/>
  <c r="C138" i="73"/>
  <c r="E138" i="73" s="1"/>
  <c r="G138" i="73" s="1"/>
  <c r="C138" i="74" s="1"/>
  <c r="E138" i="74" s="1"/>
  <c r="G138" i="74" s="1"/>
  <c r="C95" i="73"/>
  <c r="E95" i="73" s="1"/>
  <c r="G95" i="73" s="1"/>
  <c r="C95" i="74" s="1"/>
  <c r="E95" i="74" s="1"/>
  <c r="G95" i="74" s="1"/>
  <c r="C153" i="73"/>
  <c r="E153" i="73" s="1"/>
  <c r="G153" i="73" s="1"/>
  <c r="C153" i="74" s="1"/>
  <c r="E153" i="74" s="1"/>
  <c r="G153" i="74" s="1"/>
  <c r="C201" i="73"/>
  <c r="E201" i="73" s="1"/>
  <c r="G201" i="73" s="1"/>
  <c r="C201" i="74" s="1"/>
  <c r="E201" i="74" s="1"/>
  <c r="G201" i="74" s="1"/>
  <c r="C133" i="73"/>
  <c r="E133" i="73" s="1"/>
  <c r="G133" i="73" s="1"/>
  <c r="C133" i="74" s="1"/>
  <c r="E133" i="74" s="1"/>
  <c r="G133" i="74" s="1"/>
  <c r="C43" i="73"/>
  <c r="E43" i="73" s="1"/>
  <c r="G43" i="73" s="1"/>
  <c r="C43" i="74" s="1"/>
  <c r="E43" i="74" s="1"/>
  <c r="G43" i="74" s="1"/>
  <c r="C32" i="73"/>
  <c r="E32" i="73" s="1"/>
  <c r="G32" i="73" s="1"/>
  <c r="C32" i="74" s="1"/>
  <c r="E32" i="74" s="1"/>
  <c r="G32" i="74" s="1"/>
  <c r="C21" i="73"/>
  <c r="E21" i="73" s="1"/>
  <c r="G21" i="73" s="1"/>
  <c r="C21" i="74" s="1"/>
  <c r="E21" i="74" s="1"/>
  <c r="G21" i="74" s="1"/>
  <c r="C177" i="73"/>
  <c r="E177" i="73" s="1"/>
  <c r="G177" i="73" s="1"/>
  <c r="C177" i="74" s="1"/>
  <c r="E177" i="74" s="1"/>
  <c r="G177" i="74" s="1"/>
  <c r="C40" i="73"/>
  <c r="E40" i="73" s="1"/>
  <c r="G40" i="73" s="1"/>
  <c r="C40" i="74" s="1"/>
  <c r="E40" i="74" s="1"/>
  <c r="G40" i="74" s="1"/>
  <c r="E40" i="75" s="1"/>
  <c r="G40" i="75" s="1"/>
  <c r="C130" i="73"/>
  <c r="E130" i="73" s="1"/>
  <c r="G130" i="73" s="1"/>
  <c r="C130" i="74" s="1"/>
  <c r="E130" i="74" s="1"/>
  <c r="G130" i="74" s="1"/>
  <c r="C195" i="73"/>
  <c r="E195" i="73" s="1"/>
  <c r="G195" i="73" s="1"/>
  <c r="C195" i="74" s="1"/>
  <c r="E195" i="74" s="1"/>
  <c r="G195" i="74" s="1"/>
  <c r="C52" i="73"/>
  <c r="E52" i="73" s="1"/>
  <c r="G52" i="73" s="1"/>
  <c r="C52" i="74" s="1"/>
  <c r="E52" i="74" s="1"/>
  <c r="G52" i="74" s="1"/>
  <c r="C81" i="73"/>
  <c r="E81" i="73" s="1"/>
  <c r="G81" i="73" s="1"/>
  <c r="C81" i="74" s="1"/>
  <c r="E81" i="74" s="1"/>
  <c r="G81" i="74" s="1"/>
  <c r="C109" i="73"/>
  <c r="E109" i="73" s="1"/>
  <c r="G109" i="73" s="1"/>
  <c r="C109" i="74" s="1"/>
  <c r="E109" i="74" s="1"/>
  <c r="G109" i="74" s="1"/>
  <c r="C212" i="73"/>
  <c r="E212" i="73" s="1"/>
  <c r="G212" i="73" s="1"/>
  <c r="C212" i="74" s="1"/>
  <c r="E212" i="74" s="1"/>
  <c r="G212" i="74" s="1"/>
  <c r="C89" i="73"/>
  <c r="E89" i="73" s="1"/>
  <c r="G89" i="73" s="1"/>
  <c r="C89" i="74" s="1"/>
  <c r="E89" i="74" s="1"/>
  <c r="G89" i="74" s="1"/>
  <c r="C192" i="73"/>
  <c r="E192" i="73" s="1"/>
  <c r="G192" i="73" s="1"/>
  <c r="C192" i="74" s="1"/>
  <c r="E192" i="74" s="1"/>
  <c r="G192" i="74" s="1"/>
  <c r="C36" i="73"/>
  <c r="E36" i="73" s="1"/>
  <c r="G36" i="73" s="1"/>
  <c r="C36" i="74" s="1"/>
  <c r="E36" i="74" s="1"/>
  <c r="G36" i="74" s="1"/>
  <c r="C191" i="73"/>
  <c r="E191" i="73" s="1"/>
  <c r="G191" i="73" s="1"/>
  <c r="C191" i="74" s="1"/>
  <c r="E191" i="74" s="1"/>
  <c r="G191" i="74" s="1"/>
  <c r="C79" i="73"/>
  <c r="E79" i="73" s="1"/>
  <c r="G79" i="73" s="1"/>
  <c r="C79" i="74" s="1"/>
  <c r="E79" i="74" s="1"/>
  <c r="G79" i="74" s="1"/>
  <c r="C173" i="73"/>
  <c r="E173" i="73" s="1"/>
  <c r="G173" i="73" s="1"/>
  <c r="C173" i="74" s="1"/>
  <c r="E173" i="74" s="1"/>
  <c r="G173" i="74" s="1"/>
  <c r="C123" i="73"/>
  <c r="E123" i="73" s="1"/>
  <c r="G123" i="73" s="1"/>
  <c r="C123" i="74" s="1"/>
  <c r="E123" i="74" s="1"/>
  <c r="G123" i="74" s="1"/>
  <c r="C23" i="73"/>
  <c r="E23" i="73" s="1"/>
  <c r="G23" i="73" s="1"/>
  <c r="C23" i="74" s="1"/>
  <c r="E23" i="74" s="1"/>
  <c r="G23" i="74" s="1"/>
  <c r="C163" i="73"/>
  <c r="E163" i="73" s="1"/>
  <c r="G163" i="73" s="1"/>
  <c r="C163" i="74" s="1"/>
  <c r="E163" i="74" s="1"/>
  <c r="G163" i="74" s="1"/>
  <c r="C170" i="73"/>
  <c r="E170" i="73" s="1"/>
  <c r="G170" i="73" s="1"/>
  <c r="C170" i="74" s="1"/>
  <c r="E170" i="74" s="1"/>
  <c r="G170" i="74" s="1"/>
  <c r="C148" i="73"/>
  <c r="E148" i="73" s="1"/>
  <c r="G148" i="73" s="1"/>
  <c r="C148" i="74" s="1"/>
  <c r="E148" i="74" s="1"/>
  <c r="G148" i="74" s="1"/>
  <c r="C16" i="73"/>
  <c r="E16" i="73" s="1"/>
  <c r="G16" i="73" s="1"/>
  <c r="C16" i="74" s="1"/>
  <c r="E16" i="74" s="1"/>
  <c r="G16" i="74" s="1"/>
  <c r="C66" i="73"/>
  <c r="E66" i="73" s="1"/>
  <c r="G66" i="73" s="1"/>
  <c r="C66" i="74" s="1"/>
  <c r="E66" i="74" s="1"/>
  <c r="G66" i="74" s="1"/>
  <c r="C175" i="73"/>
  <c r="E175" i="73" s="1"/>
  <c r="G175" i="73" s="1"/>
  <c r="C175" i="74" s="1"/>
  <c r="E175" i="74" s="1"/>
  <c r="G175" i="74" s="1"/>
  <c r="C129" i="73"/>
  <c r="E129" i="73" s="1"/>
  <c r="G129" i="73" s="1"/>
  <c r="C129" i="74" s="1"/>
  <c r="E129" i="74" s="1"/>
  <c r="G129" i="74" s="1"/>
  <c r="C183" i="73"/>
  <c r="E183" i="73" s="1"/>
  <c r="G183" i="73" s="1"/>
  <c r="C183" i="74" s="1"/>
  <c r="E183" i="74" s="1"/>
  <c r="G183" i="74" s="1"/>
  <c r="C209" i="73"/>
  <c r="E209" i="73" s="1"/>
  <c r="G209" i="73" s="1"/>
  <c r="C209" i="74" s="1"/>
  <c r="E209" i="74" s="1"/>
  <c r="G209" i="74" s="1"/>
  <c r="C28" i="73"/>
  <c r="E28" i="73" s="1"/>
  <c r="G28" i="73" s="1"/>
  <c r="C28" i="74" s="1"/>
  <c r="E28" i="74" s="1"/>
  <c r="G28" i="74" s="1"/>
  <c r="C120" i="73"/>
  <c r="E120" i="73" s="1"/>
  <c r="G120" i="73" s="1"/>
  <c r="C120" i="74" s="1"/>
  <c r="E120" i="74" s="1"/>
  <c r="G120" i="74" s="1"/>
  <c r="C67" i="73"/>
  <c r="E67" i="73" s="1"/>
  <c r="G67" i="73" s="1"/>
  <c r="C67" i="74" s="1"/>
  <c r="E67" i="74" s="1"/>
  <c r="G67" i="74" s="1"/>
  <c r="C58" i="73"/>
  <c r="E58" i="73" s="1"/>
  <c r="G58" i="73" s="1"/>
  <c r="C58" i="74" s="1"/>
  <c r="E58" i="74" s="1"/>
  <c r="G58" i="74" s="1"/>
  <c r="C82" i="73"/>
  <c r="E82" i="73" s="1"/>
  <c r="G82" i="73" s="1"/>
  <c r="C82" i="74" s="1"/>
  <c r="E82" i="74" s="1"/>
  <c r="G82" i="74" s="1"/>
  <c r="C168" i="73"/>
  <c r="E168" i="73" s="1"/>
  <c r="G168" i="73" s="1"/>
  <c r="C168" i="74" s="1"/>
  <c r="E168" i="74" s="1"/>
  <c r="G168" i="74" s="1"/>
  <c r="C68" i="73"/>
  <c r="E68" i="73" s="1"/>
  <c r="G68" i="73" s="1"/>
  <c r="C68" i="74" s="1"/>
  <c r="E68" i="74" s="1"/>
  <c r="G68" i="74" s="1"/>
  <c r="C217" i="73"/>
  <c r="E217" i="73" s="1"/>
  <c r="G217" i="73" s="1"/>
  <c r="C217" i="74" s="1"/>
  <c r="E217" i="74" s="1"/>
  <c r="G217" i="74" s="1"/>
  <c r="C37" i="73"/>
  <c r="E37" i="73" s="1"/>
  <c r="G37" i="73" s="1"/>
  <c r="C37" i="74" s="1"/>
  <c r="E37" i="74" s="1"/>
  <c r="G37" i="74" s="1"/>
  <c r="C30" i="73"/>
  <c r="E30" i="73" s="1"/>
  <c r="G30" i="73" s="1"/>
  <c r="C30" i="74" s="1"/>
  <c r="E30" i="74" s="1"/>
  <c r="G30" i="74" s="1"/>
  <c r="C91" i="73"/>
  <c r="E91" i="73" s="1"/>
  <c r="G91" i="73" s="1"/>
  <c r="C91" i="74" s="1"/>
  <c r="E91" i="74" s="1"/>
  <c r="G91" i="74" s="1"/>
  <c r="C31" i="73"/>
  <c r="E31" i="73" s="1"/>
  <c r="G31" i="73" s="1"/>
  <c r="C31" i="74" s="1"/>
  <c r="E31" i="74" s="1"/>
  <c r="G31" i="74" s="1"/>
  <c r="C158" i="73"/>
  <c r="E158" i="73" s="1"/>
  <c r="G158" i="73" s="1"/>
  <c r="C158" i="74" s="1"/>
  <c r="E158" i="74" s="1"/>
  <c r="G158" i="74" s="1"/>
  <c r="C17" i="73"/>
  <c r="E17" i="73" s="1"/>
  <c r="G17" i="73" s="1"/>
  <c r="C17" i="74" s="1"/>
  <c r="E17" i="74" s="1"/>
  <c r="G17" i="74" s="1"/>
  <c r="C155" i="73"/>
  <c r="E155" i="73" s="1"/>
  <c r="G155" i="73" s="1"/>
  <c r="C155" i="74" s="1"/>
  <c r="E155" i="74" s="1"/>
  <c r="G155" i="74" s="1"/>
  <c r="C141" i="73"/>
  <c r="E141" i="73" s="1"/>
  <c r="G141" i="73" s="1"/>
  <c r="C141" i="74" s="1"/>
  <c r="E141" i="74" s="1"/>
  <c r="G141" i="74" s="1"/>
  <c r="C71" i="73"/>
  <c r="E71" i="73" s="1"/>
  <c r="G71" i="73" s="1"/>
  <c r="C71" i="74" s="1"/>
  <c r="E71" i="74" s="1"/>
  <c r="G71" i="74" s="1"/>
  <c r="C194" i="73"/>
  <c r="E194" i="73" s="1"/>
  <c r="G194" i="73" s="1"/>
  <c r="C194" i="74" s="1"/>
  <c r="E194" i="74" s="1"/>
  <c r="G194" i="74" s="1"/>
  <c r="C90" i="73"/>
  <c r="E90" i="73" s="1"/>
  <c r="G90" i="73" s="1"/>
  <c r="C90" i="74" s="1"/>
  <c r="E90" i="74" s="1"/>
  <c r="G90" i="74" s="1"/>
  <c r="C121" i="73"/>
  <c r="E121" i="73" s="1"/>
  <c r="G121" i="73" s="1"/>
  <c r="C121" i="74" s="1"/>
  <c r="E121" i="74" s="1"/>
  <c r="G121" i="74" s="1"/>
  <c r="C184" i="73"/>
  <c r="E184" i="73" s="1"/>
  <c r="G184" i="73" s="1"/>
  <c r="C184" i="74" s="1"/>
  <c r="E184" i="74" s="1"/>
  <c r="G184" i="74" s="1"/>
  <c r="C206" i="73"/>
  <c r="E206" i="73" s="1"/>
  <c r="G206" i="73" s="1"/>
  <c r="C206" i="74" s="1"/>
  <c r="E206" i="74" s="1"/>
  <c r="G206" i="74" s="1"/>
  <c r="C118" i="73"/>
  <c r="E118" i="73" s="1"/>
  <c r="G118" i="73" s="1"/>
  <c r="C118" i="74" s="1"/>
  <c r="E118" i="74" s="1"/>
  <c r="G118" i="74" s="1"/>
  <c r="C93" i="73"/>
  <c r="E93" i="73" s="1"/>
  <c r="G93" i="73" s="1"/>
  <c r="C93" i="74" s="1"/>
  <c r="E93" i="74" s="1"/>
  <c r="G93" i="74" s="1"/>
  <c r="C110" i="73"/>
  <c r="E110" i="73" s="1"/>
  <c r="G110" i="73" s="1"/>
  <c r="C110" i="74" s="1"/>
  <c r="E110" i="74" s="1"/>
  <c r="G110" i="74" s="1"/>
  <c r="C126" i="73"/>
  <c r="E126" i="73" s="1"/>
  <c r="G126" i="73" s="1"/>
  <c r="C126" i="74" s="1"/>
  <c r="E126" i="74" s="1"/>
  <c r="G126" i="74" s="1"/>
  <c r="C29" i="73"/>
  <c r="E29" i="73" s="1"/>
  <c r="G29" i="73" s="1"/>
  <c r="C29" i="74" s="1"/>
  <c r="E29" i="74" s="1"/>
  <c r="G29" i="74" s="1"/>
  <c r="C216" i="73"/>
  <c r="E216" i="73" s="1"/>
  <c r="G216" i="73" s="1"/>
  <c r="C216" i="74" s="1"/>
  <c r="E216" i="74" s="1"/>
  <c r="G216" i="74" s="1"/>
  <c r="C102" i="73"/>
  <c r="E102" i="73" s="1"/>
  <c r="G102" i="73" s="1"/>
  <c r="C102" i="74" s="1"/>
  <c r="E102" i="74" s="1"/>
  <c r="G102" i="74" s="1"/>
  <c r="C157" i="73"/>
  <c r="E157" i="73" s="1"/>
  <c r="G157" i="73" s="1"/>
  <c r="C157" i="74" s="1"/>
  <c r="E157" i="74" s="1"/>
  <c r="G157" i="74" s="1"/>
  <c r="C46" i="75"/>
  <c r="E46" i="75" s="1"/>
  <c r="G46" i="75" s="1"/>
  <c r="C59" i="73"/>
  <c r="E59" i="73" s="1"/>
  <c r="G59" i="73" s="1"/>
  <c r="C59" i="74" s="1"/>
  <c r="E59" i="74" s="1"/>
  <c r="G59" i="74" s="1"/>
  <c r="C20" i="73"/>
  <c r="E20" i="73" s="1"/>
  <c r="G20" i="73" s="1"/>
  <c r="C20" i="74" s="1"/>
  <c r="E20" i="74" s="1"/>
  <c r="G20" i="74" s="1"/>
  <c r="C117" i="73"/>
  <c r="E117" i="73" s="1"/>
  <c r="G117" i="73" s="1"/>
  <c r="C117" i="74" s="1"/>
  <c r="E117" i="74" s="1"/>
  <c r="G117" i="74" s="1"/>
  <c r="C215" i="73"/>
  <c r="E215" i="73" s="1"/>
  <c r="G215" i="73" s="1"/>
  <c r="C215" i="74" s="1"/>
  <c r="E215" i="74" s="1"/>
  <c r="G215" i="74" s="1"/>
  <c r="C146" i="73"/>
  <c r="E146" i="73" s="1"/>
  <c r="G146" i="73" s="1"/>
  <c r="C146" i="74" s="1"/>
  <c r="E146" i="74" s="1"/>
  <c r="G146" i="74" s="1"/>
  <c r="C160" i="73"/>
  <c r="E160" i="73" s="1"/>
  <c r="G160" i="73" s="1"/>
  <c r="C160" i="74" s="1"/>
  <c r="E160" i="74" s="1"/>
  <c r="G160" i="74" s="1"/>
  <c r="C104" i="73"/>
  <c r="E104" i="73" s="1"/>
  <c r="G104" i="73" s="1"/>
  <c r="C104" i="74" s="1"/>
  <c r="E104" i="74" s="1"/>
  <c r="G104" i="74" s="1"/>
  <c r="C144" i="73"/>
  <c r="E144" i="73" s="1"/>
  <c r="G144" i="73" s="1"/>
  <c r="C144" i="74" s="1"/>
  <c r="E144" i="74" s="1"/>
  <c r="G144" i="74" s="1"/>
  <c r="C48" i="73"/>
  <c r="E48" i="73" s="1"/>
  <c r="G48" i="73" s="1"/>
  <c r="C48" i="74" s="1"/>
  <c r="E48" i="74" s="1"/>
  <c r="G48" i="74" s="1"/>
  <c r="C181" i="73"/>
  <c r="E181" i="73" s="1"/>
  <c r="G181" i="73" s="1"/>
  <c r="C181" i="74" s="1"/>
  <c r="E181" i="74" s="1"/>
  <c r="G181" i="74" s="1"/>
  <c r="C112" i="73"/>
  <c r="E112" i="73" s="1"/>
  <c r="G112" i="73" s="1"/>
  <c r="C112" i="74" s="1"/>
  <c r="E112" i="74" s="1"/>
  <c r="G112" i="74" s="1"/>
  <c r="C15" i="73"/>
  <c r="E15" i="73" s="1"/>
  <c r="G15" i="73" s="1"/>
  <c r="C15" i="74" s="1"/>
  <c r="E15" i="74" s="1"/>
  <c r="G15" i="74" s="1"/>
  <c r="C99" i="73"/>
  <c r="E99" i="73" s="1"/>
  <c r="G99" i="73" s="1"/>
  <c r="C99" i="74" s="1"/>
  <c r="E99" i="74" s="1"/>
  <c r="G99" i="74" s="1"/>
  <c r="C75" i="73"/>
  <c r="E75" i="73" s="1"/>
  <c r="G75" i="73" s="1"/>
  <c r="C75" i="74" s="1"/>
  <c r="E75" i="74" s="1"/>
  <c r="G75" i="74" s="1"/>
  <c r="C165" i="73"/>
  <c r="E165" i="73" s="1"/>
  <c r="G165" i="73" s="1"/>
  <c r="C165" i="74" s="1"/>
  <c r="E165" i="74" s="1"/>
  <c r="G165" i="74" s="1"/>
  <c r="C152" i="73"/>
  <c r="E152" i="73" s="1"/>
  <c r="G152" i="73" s="1"/>
  <c r="C152" i="74" s="1"/>
  <c r="E152" i="74" s="1"/>
  <c r="G152" i="74" s="1"/>
  <c r="C103" i="73"/>
  <c r="E103" i="73" s="1"/>
  <c r="G103" i="73" s="1"/>
  <c r="C103" i="74" s="1"/>
  <c r="E103" i="74" s="1"/>
  <c r="G103" i="74" s="1"/>
  <c r="C84" i="73"/>
  <c r="E84" i="73" s="1"/>
  <c r="G84" i="73" s="1"/>
  <c r="C84" i="74" s="1"/>
  <c r="E84" i="74" s="1"/>
  <c r="G84" i="74" s="1"/>
  <c r="C180" i="73"/>
  <c r="E180" i="73" s="1"/>
  <c r="G180" i="73" s="1"/>
  <c r="C180" i="74" s="1"/>
  <c r="E180" i="74" s="1"/>
  <c r="G180" i="74" s="1"/>
  <c r="C211" i="73"/>
  <c r="E211" i="73" s="1"/>
  <c r="G211" i="73" s="1"/>
  <c r="C211" i="74" s="1"/>
  <c r="E211" i="74" s="1"/>
  <c r="G211" i="74" s="1"/>
  <c r="C116" i="73"/>
  <c r="E116" i="73" s="1"/>
  <c r="G116" i="73" s="1"/>
  <c r="C116" i="74" s="1"/>
  <c r="E116" i="74" s="1"/>
  <c r="G116" i="74" s="1"/>
  <c r="C42" i="75"/>
  <c r="E42" i="75" s="1"/>
  <c r="G42" i="75" s="1"/>
  <c r="C171" i="73"/>
  <c r="E171" i="73" s="1"/>
  <c r="G171" i="73" s="1"/>
  <c r="C171" i="74" s="1"/>
  <c r="E171" i="74" s="1"/>
  <c r="G171" i="74" s="1"/>
  <c r="C83" i="73"/>
  <c r="E83" i="73" s="1"/>
  <c r="G83" i="73" s="1"/>
  <c r="C83" i="74" s="1"/>
  <c r="E83" i="74" s="1"/>
  <c r="G83" i="74" s="1"/>
  <c r="C190" i="73"/>
  <c r="E190" i="73" s="1"/>
  <c r="G190" i="73" s="1"/>
  <c r="C190" i="74" s="1"/>
  <c r="E190" i="74" s="1"/>
  <c r="G190" i="74" s="1"/>
  <c r="C98" i="73"/>
  <c r="E98" i="73" s="1"/>
  <c r="G98" i="73" s="1"/>
  <c r="C98" i="74" s="1"/>
  <c r="E98" i="74" s="1"/>
  <c r="G98" i="74" s="1"/>
  <c r="C47" i="73"/>
  <c r="E47" i="73" s="1"/>
  <c r="G47" i="73" s="1"/>
  <c r="C47" i="74" s="1"/>
  <c r="E47" i="74" s="1"/>
  <c r="G47" i="74" s="1"/>
  <c r="C161" i="73"/>
  <c r="E161" i="73" s="1"/>
  <c r="G161" i="73" s="1"/>
  <c r="C161" i="74" s="1"/>
  <c r="E161" i="74" s="1"/>
  <c r="G161" i="74" s="1"/>
  <c r="C97" i="73"/>
  <c r="E97" i="73" s="1"/>
  <c r="G97" i="73" s="1"/>
  <c r="C97" i="74" s="1"/>
  <c r="E97" i="74" s="1"/>
  <c r="G97" i="74" s="1"/>
  <c r="C111" i="73"/>
  <c r="E111" i="73" s="1"/>
  <c r="G111" i="73" s="1"/>
  <c r="C111" i="74" s="1"/>
  <c r="E111" i="74" s="1"/>
  <c r="G111" i="74" s="1"/>
  <c r="C134" i="73"/>
  <c r="E134" i="73" s="1"/>
  <c r="G134" i="73" s="1"/>
  <c r="C134" i="74" s="1"/>
  <c r="E134" i="74" s="1"/>
  <c r="G134" i="74" s="1"/>
  <c r="C128" i="73"/>
  <c r="E128" i="73" s="1"/>
  <c r="G128" i="73" s="1"/>
  <c r="C128" i="74" s="1"/>
  <c r="E128" i="74" s="1"/>
  <c r="G128" i="74" s="1"/>
  <c r="C85" i="73"/>
  <c r="E85" i="73" s="1"/>
  <c r="G85" i="73" s="1"/>
  <c r="C85" i="74" s="1"/>
  <c r="E85" i="74" s="1"/>
  <c r="G85" i="74" s="1"/>
  <c r="C185" i="73"/>
  <c r="E185" i="73" s="1"/>
  <c r="G185" i="73" s="1"/>
  <c r="C185" i="74" s="1"/>
  <c r="E185" i="74" s="1"/>
  <c r="G185" i="74" s="1"/>
  <c r="C64" i="73"/>
  <c r="E64" i="73" s="1"/>
  <c r="G64" i="73" s="1"/>
  <c r="C64" i="74" s="1"/>
  <c r="E64" i="74" s="1"/>
  <c r="G64" i="74" s="1"/>
  <c r="C198" i="73"/>
  <c r="E198" i="73" s="1"/>
  <c r="G198" i="73" s="1"/>
  <c r="C198" i="74" s="1"/>
  <c r="E198" i="74" s="1"/>
  <c r="G198" i="74" s="1"/>
  <c r="C76" i="73"/>
  <c r="E76" i="73" s="1"/>
  <c r="G76" i="73" s="1"/>
  <c r="C76" i="74" s="1"/>
  <c r="E76" i="74" s="1"/>
  <c r="G76" i="74" s="1"/>
  <c r="C24" i="73"/>
  <c r="E24" i="73" s="1"/>
  <c r="G24" i="73" s="1"/>
  <c r="C24" i="74" s="1"/>
  <c r="E24" i="74" s="1"/>
  <c r="G24" i="74" s="1"/>
  <c r="C189" i="73"/>
  <c r="E189" i="73" s="1"/>
  <c r="G189" i="73" s="1"/>
  <c r="C189" i="74" s="1"/>
  <c r="E189" i="74" s="1"/>
  <c r="G189" i="74" s="1"/>
  <c r="C45" i="73"/>
  <c r="E45" i="73" s="1"/>
  <c r="G45" i="73" s="1"/>
  <c r="C45" i="74" s="1"/>
  <c r="E45" i="74" s="1"/>
  <c r="G45" i="74" s="1"/>
  <c r="C147" i="73"/>
  <c r="E147" i="73" s="1"/>
  <c r="G147" i="73" s="1"/>
  <c r="C147" i="74" s="1"/>
  <c r="E147" i="74" s="1"/>
  <c r="G147" i="74" s="1"/>
  <c r="C166" i="73"/>
  <c r="E166" i="73" s="1"/>
  <c r="G166" i="73" s="1"/>
  <c r="C166" i="74" s="1"/>
  <c r="E166" i="74" s="1"/>
  <c r="G166" i="74" s="1"/>
  <c r="C151" i="73"/>
  <c r="E151" i="73" s="1"/>
  <c r="G151" i="73" s="1"/>
  <c r="C151" i="74" s="1"/>
  <c r="E151" i="74" s="1"/>
  <c r="G151" i="74" s="1"/>
  <c r="C22" i="73"/>
  <c r="E22" i="73" s="1"/>
  <c r="G22" i="73" s="1"/>
  <c r="C22" i="74" s="1"/>
  <c r="E22" i="74" s="1"/>
  <c r="G22" i="74" s="1"/>
  <c r="C96" i="73"/>
  <c r="E96" i="73" s="1"/>
  <c r="G96" i="73" s="1"/>
  <c r="C96" i="74" s="1"/>
  <c r="E96" i="74" s="1"/>
  <c r="G96" i="74" s="1"/>
  <c r="C73" i="73"/>
  <c r="E73" i="73" s="1"/>
  <c r="G73" i="73" s="1"/>
  <c r="C73" i="74" s="1"/>
  <c r="E73" i="74" s="1"/>
  <c r="G73" i="74" s="1"/>
  <c r="C69" i="73"/>
  <c r="E69" i="73" s="1"/>
  <c r="G69" i="73" s="1"/>
  <c r="C69" i="74" s="1"/>
  <c r="E69" i="74" s="1"/>
  <c r="G69" i="74" s="1"/>
  <c r="C41" i="73"/>
  <c r="E41" i="73" s="1"/>
  <c r="G41" i="73" s="1"/>
  <c r="C41" i="74" s="1"/>
  <c r="E41" i="74" s="1"/>
  <c r="G41" i="74" s="1"/>
  <c r="C26" i="73"/>
  <c r="E26" i="73" s="1"/>
  <c r="G26" i="73" s="1"/>
  <c r="C26" i="74" s="1"/>
  <c r="E26" i="74" s="1"/>
  <c r="G26" i="74" s="1"/>
  <c r="C164" i="73"/>
  <c r="E164" i="73" s="1"/>
  <c r="G164" i="73" s="1"/>
  <c r="C164" i="74" s="1"/>
  <c r="E164" i="74" s="1"/>
  <c r="G164" i="74" s="1"/>
  <c r="C204" i="73"/>
  <c r="E204" i="73" s="1"/>
  <c r="G204" i="73" s="1"/>
  <c r="C204" i="74" s="1"/>
  <c r="E204" i="74" s="1"/>
  <c r="G204" i="74" s="1"/>
  <c r="C143" i="73"/>
  <c r="E143" i="73" s="1"/>
  <c r="G143" i="73" s="1"/>
  <c r="C143" i="74" s="1"/>
  <c r="E143" i="74" s="1"/>
  <c r="G143" i="74" s="1"/>
  <c r="C140" i="73"/>
  <c r="E140" i="73" s="1"/>
  <c r="G140" i="73" s="1"/>
  <c r="C140" i="74" s="1"/>
  <c r="E140" i="74" s="1"/>
  <c r="G140" i="74" s="1"/>
  <c r="C38" i="73"/>
  <c r="E38" i="73" s="1"/>
  <c r="G38" i="73" s="1"/>
  <c r="C38" i="74" s="1"/>
  <c r="E38" i="74" s="1"/>
  <c r="G38" i="74" s="1"/>
  <c r="C205" i="73"/>
  <c r="E205" i="73" s="1"/>
  <c r="G205" i="73" s="1"/>
  <c r="C205" i="74" s="1"/>
  <c r="E205" i="74" s="1"/>
  <c r="G205" i="74" s="1"/>
  <c r="C19" i="73"/>
  <c r="E19" i="73" s="1"/>
  <c r="G19" i="73" s="1"/>
  <c r="C19" i="74" s="1"/>
  <c r="E19" i="74" s="1"/>
  <c r="G19" i="74" s="1"/>
  <c r="C34" i="73"/>
  <c r="E34" i="73" s="1"/>
  <c r="G34" i="73" s="1"/>
  <c r="C34" i="74" s="1"/>
  <c r="E34" i="74" s="1"/>
  <c r="G34" i="74" s="1"/>
  <c r="C179" i="73"/>
  <c r="E179" i="73" s="1"/>
  <c r="G179" i="73" s="1"/>
  <c r="C179" i="74" s="1"/>
  <c r="E179" i="74" s="1"/>
  <c r="G179" i="74" s="1"/>
  <c r="C178" i="73"/>
  <c r="E178" i="73" s="1"/>
  <c r="G178" i="73" s="1"/>
  <c r="C178" i="74" s="1"/>
  <c r="E178" i="74" s="1"/>
  <c r="G178" i="74" s="1"/>
  <c r="C202" i="73"/>
  <c r="E202" i="73" s="1"/>
  <c r="G202" i="73" s="1"/>
  <c r="C202" i="74" s="1"/>
  <c r="E202" i="74" s="1"/>
  <c r="G202" i="74" s="1"/>
  <c r="C162" i="73"/>
  <c r="E162" i="73" s="1"/>
  <c r="G162" i="73" s="1"/>
  <c r="C162" i="74" s="1"/>
  <c r="E162" i="74" s="1"/>
  <c r="G162" i="74" s="1"/>
  <c r="C207" i="73"/>
  <c r="E207" i="73" s="1"/>
  <c r="G207" i="73" s="1"/>
  <c r="C207" i="74" s="1"/>
  <c r="E207" i="74" s="1"/>
  <c r="G207" i="74" s="1"/>
  <c r="C137" i="73"/>
  <c r="E137" i="73" s="1"/>
  <c r="G137" i="73" s="1"/>
  <c r="C137" i="74" s="1"/>
  <c r="E137" i="74" s="1"/>
  <c r="G137" i="74" s="1"/>
  <c r="C105" i="73"/>
  <c r="E105" i="73" s="1"/>
  <c r="G105" i="73" s="1"/>
  <c r="C105" i="74" s="1"/>
  <c r="E105" i="74" s="1"/>
  <c r="G105" i="74" s="1"/>
  <c r="C176" i="73"/>
  <c r="E176" i="73" s="1"/>
  <c r="G176" i="73" s="1"/>
  <c r="C176" i="74" s="1"/>
  <c r="E176" i="74" s="1"/>
  <c r="G176" i="74" s="1"/>
  <c r="C131" i="73"/>
  <c r="E131" i="73" s="1"/>
  <c r="G131" i="73" s="1"/>
  <c r="C131" i="74" s="1"/>
  <c r="E131" i="74" s="1"/>
  <c r="G131" i="74" s="1"/>
  <c r="C33" i="73"/>
  <c r="E33" i="73" s="1"/>
  <c r="G33" i="73" s="1"/>
  <c r="C33" i="74" s="1"/>
  <c r="E33" i="74" s="1"/>
  <c r="G33" i="74" s="1"/>
  <c r="C203" i="73"/>
  <c r="E203" i="73" s="1"/>
  <c r="G203" i="73" s="1"/>
  <c r="C203" i="74" s="1"/>
  <c r="E203" i="74" s="1"/>
  <c r="G203" i="74" s="1"/>
  <c r="C125" i="73"/>
  <c r="E125" i="73" s="1"/>
  <c r="G125" i="73" s="1"/>
  <c r="C125" i="74" s="1"/>
  <c r="E125" i="74" s="1"/>
  <c r="G125" i="74" s="1"/>
  <c r="C88" i="73"/>
  <c r="E88" i="73" s="1"/>
  <c r="G88" i="73" s="1"/>
  <c r="C88" i="74" s="1"/>
  <c r="E88" i="74" s="1"/>
  <c r="G88" i="74" s="1"/>
  <c r="C172" i="73"/>
  <c r="E172" i="73" s="1"/>
  <c r="G172" i="73" s="1"/>
  <c r="C172" i="74" s="1"/>
  <c r="E172" i="74" s="1"/>
  <c r="G172" i="74" s="1"/>
  <c r="C72" i="73"/>
  <c r="E72" i="73" s="1"/>
  <c r="G72" i="73" s="1"/>
  <c r="C72" i="74" s="1"/>
  <c r="E72" i="74" s="1"/>
  <c r="G72" i="74" s="1"/>
  <c r="C53" i="73"/>
  <c r="E53" i="73" s="1"/>
  <c r="G53" i="73" s="1"/>
  <c r="C53" i="74" s="1"/>
  <c r="E53" i="74" s="1"/>
  <c r="G53" i="74" s="1"/>
  <c r="C154" i="73"/>
  <c r="E154" i="73" s="1"/>
  <c r="G154" i="73" s="1"/>
  <c r="C154" i="74" s="1"/>
  <c r="E154" i="74" s="1"/>
  <c r="G154" i="74" s="1"/>
  <c r="C186" i="73"/>
  <c r="E186" i="73" s="1"/>
  <c r="G186" i="73" s="1"/>
  <c r="C186" i="74" s="1"/>
  <c r="E186" i="74" s="1"/>
  <c r="G186" i="74" s="1"/>
  <c r="C197" i="73"/>
  <c r="E197" i="73" s="1"/>
  <c r="G197" i="73" s="1"/>
  <c r="C197" i="74" s="1"/>
  <c r="E197" i="74" s="1"/>
  <c r="G197" i="74" s="1"/>
  <c r="C200" i="73"/>
  <c r="E200" i="73" s="1"/>
  <c r="G200" i="73" s="1"/>
  <c r="C200" i="74" s="1"/>
  <c r="E200" i="74" s="1"/>
  <c r="G200" i="74" s="1"/>
  <c r="C174" i="73"/>
  <c r="E174" i="73" s="1"/>
  <c r="G174" i="73" s="1"/>
  <c r="C174" i="74" s="1"/>
  <c r="E174" i="74" s="1"/>
  <c r="G174" i="74" s="1"/>
  <c r="C78" i="73"/>
  <c r="E78" i="73" s="1"/>
  <c r="G78" i="73" s="1"/>
  <c r="C78" i="74" s="1"/>
  <c r="E78" i="74" s="1"/>
  <c r="G78" i="74" s="1"/>
  <c r="C187" i="73"/>
  <c r="E187" i="73" s="1"/>
  <c r="G187" i="73" s="1"/>
  <c r="C187" i="74" s="1"/>
  <c r="E187" i="74" s="1"/>
  <c r="G187" i="74" s="1"/>
  <c r="C101" i="73"/>
  <c r="E101" i="73" s="1"/>
  <c r="G101" i="73" s="1"/>
  <c r="C101" i="74" s="1"/>
  <c r="E101" i="74" s="1"/>
  <c r="G101" i="74" s="1"/>
  <c r="S36" i="8"/>
  <c r="E236" i="8"/>
  <c r="G237" i="8"/>
  <c r="G236" i="8"/>
  <c r="K262" i="33"/>
  <c r="K259" i="33"/>
  <c r="X135" i="33"/>
  <c r="S135" i="33"/>
  <c r="U135" i="33" s="1"/>
  <c r="X134" i="33"/>
  <c r="S134" i="33"/>
  <c r="U134" i="33" s="1"/>
  <c r="X133" i="33"/>
  <c r="S133" i="33"/>
  <c r="U133" i="33" s="1"/>
  <c r="X132" i="33"/>
  <c r="S132" i="33"/>
  <c r="U132" i="33" s="1"/>
  <c r="X131" i="33"/>
  <c r="S131" i="33"/>
  <c r="U131" i="33" s="1"/>
  <c r="X130" i="33"/>
  <c r="S130" i="33"/>
  <c r="U130" i="33" s="1"/>
  <c r="X129" i="33"/>
  <c r="S129" i="33"/>
  <c r="U129" i="33" s="1"/>
  <c r="X128" i="33"/>
  <c r="S128" i="33"/>
  <c r="U128" i="33" s="1"/>
  <c r="X127" i="33"/>
  <c r="S127" i="33"/>
  <c r="U127" i="33" s="1"/>
  <c r="X126" i="33"/>
  <c r="S126" i="33"/>
  <c r="U126" i="33" s="1"/>
  <c r="X125" i="33"/>
  <c r="S125" i="33"/>
  <c r="U125" i="33" s="1"/>
  <c r="X124" i="33"/>
  <c r="S124" i="33"/>
  <c r="U124" i="33" s="1"/>
  <c r="X123" i="33"/>
  <c r="S123" i="33"/>
  <c r="U123" i="33" s="1"/>
  <c r="X122" i="33"/>
  <c r="S122" i="33"/>
  <c r="U122" i="33" s="1"/>
  <c r="X121" i="33"/>
  <c r="S121" i="33"/>
  <c r="U121" i="33" s="1"/>
  <c r="X120" i="33"/>
  <c r="S120" i="33"/>
  <c r="U120" i="33" s="1"/>
  <c r="X119" i="33"/>
  <c r="S119" i="33"/>
  <c r="U119" i="33" s="1"/>
  <c r="X118" i="33"/>
  <c r="S118" i="33"/>
  <c r="U118" i="33" s="1"/>
  <c r="X117" i="33"/>
  <c r="S117" i="33"/>
  <c r="U117" i="33" s="1"/>
  <c r="X116" i="33"/>
  <c r="S116" i="33"/>
  <c r="U116" i="33" s="1"/>
  <c r="X115" i="33"/>
  <c r="S115" i="33"/>
  <c r="U115" i="33" s="1"/>
  <c r="X114" i="33"/>
  <c r="S114" i="33"/>
  <c r="U114" i="33" s="1"/>
  <c r="X113" i="33"/>
  <c r="S113" i="33"/>
  <c r="U113" i="33" s="1"/>
  <c r="X112" i="33"/>
  <c r="S112" i="33"/>
  <c r="U112" i="33" s="1"/>
  <c r="X111" i="33"/>
  <c r="S111" i="33"/>
  <c r="U111" i="33" s="1"/>
  <c r="X110" i="33"/>
  <c r="S110" i="33"/>
  <c r="U110" i="33" s="1"/>
  <c r="X109" i="33"/>
  <c r="S109" i="33"/>
  <c r="U109" i="33" s="1"/>
  <c r="X108" i="33"/>
  <c r="S108" i="33"/>
  <c r="U108" i="33" s="1"/>
  <c r="X107" i="33"/>
  <c r="S107" i="33"/>
  <c r="U107" i="33" s="1"/>
  <c r="X106" i="33"/>
  <c r="S106" i="33"/>
  <c r="U106" i="33" s="1"/>
  <c r="X105" i="33"/>
  <c r="S105" i="33"/>
  <c r="U105" i="33" s="1"/>
  <c r="X104" i="33"/>
  <c r="S104" i="33"/>
  <c r="U104" i="33" s="1"/>
  <c r="X103" i="33"/>
  <c r="S103" i="33"/>
  <c r="U103" i="33" s="1"/>
  <c r="X102" i="33"/>
  <c r="S102" i="33"/>
  <c r="U102" i="33" s="1"/>
  <c r="X101" i="33"/>
  <c r="S101" i="33"/>
  <c r="U101" i="33" s="1"/>
  <c r="X100" i="33"/>
  <c r="S100" i="33"/>
  <c r="U100" i="33" s="1"/>
  <c r="X99" i="33"/>
  <c r="S99" i="33"/>
  <c r="U99" i="33" s="1"/>
  <c r="X98" i="33"/>
  <c r="S98" i="33"/>
  <c r="U98" i="33" s="1"/>
  <c r="X97" i="33"/>
  <c r="S97" i="33"/>
  <c r="U97" i="33" s="1"/>
  <c r="X96" i="33"/>
  <c r="S96" i="33"/>
  <c r="U96" i="33" s="1"/>
  <c r="X95" i="33"/>
  <c r="S95" i="33"/>
  <c r="U95" i="33" s="1"/>
  <c r="X94" i="33"/>
  <c r="S94" i="33"/>
  <c r="U94" i="33" s="1"/>
  <c r="X93" i="33"/>
  <c r="S93" i="33"/>
  <c r="U93" i="33" s="1"/>
  <c r="X92" i="33"/>
  <c r="S92" i="33"/>
  <c r="U92" i="33" s="1"/>
  <c r="X91" i="33"/>
  <c r="S91" i="33"/>
  <c r="U91" i="33" s="1"/>
  <c r="X90" i="33"/>
  <c r="S90" i="33"/>
  <c r="U90" i="33" s="1"/>
  <c r="X89" i="33"/>
  <c r="S89" i="33"/>
  <c r="U89" i="33" s="1"/>
  <c r="X88" i="33"/>
  <c r="S88" i="33"/>
  <c r="U88" i="33" s="1"/>
  <c r="X87" i="33"/>
  <c r="S87" i="33"/>
  <c r="U87" i="33" s="1"/>
  <c r="X86" i="33"/>
  <c r="S86" i="33"/>
  <c r="U86" i="33" s="1"/>
  <c r="X85" i="33"/>
  <c r="S85" i="33"/>
  <c r="U85" i="33" s="1"/>
  <c r="X84" i="33"/>
  <c r="S84" i="33"/>
  <c r="U84" i="33" s="1"/>
  <c r="X83" i="33"/>
  <c r="S83" i="33"/>
  <c r="U83" i="33" s="1"/>
  <c r="X82" i="33"/>
  <c r="S82" i="33"/>
  <c r="U82" i="33" s="1"/>
  <c r="X81" i="33"/>
  <c r="S81" i="33"/>
  <c r="U81" i="33" s="1"/>
  <c r="X80" i="33"/>
  <c r="S80" i="33"/>
  <c r="U80" i="33" s="1"/>
  <c r="X79" i="33"/>
  <c r="S79" i="33"/>
  <c r="U79" i="33" s="1"/>
  <c r="X78" i="33"/>
  <c r="S78" i="33"/>
  <c r="U78" i="33" s="1"/>
  <c r="X76" i="33"/>
  <c r="S76" i="33"/>
  <c r="U76" i="33" s="1"/>
  <c r="X75" i="33"/>
  <c r="S75" i="33"/>
  <c r="U75" i="33" s="1"/>
  <c r="X74" i="33"/>
  <c r="S74" i="33"/>
  <c r="U74" i="33" s="1"/>
  <c r="X73" i="33"/>
  <c r="S73" i="33"/>
  <c r="U73" i="33" s="1"/>
  <c r="X72" i="33"/>
  <c r="S72" i="33"/>
  <c r="U72" i="33" s="1"/>
  <c r="X71" i="33"/>
  <c r="S71" i="33"/>
  <c r="U71" i="33" s="1"/>
  <c r="X70" i="33"/>
  <c r="S70" i="33"/>
  <c r="U70" i="33" s="1"/>
  <c r="X69" i="33"/>
  <c r="S69" i="33"/>
  <c r="U69" i="33" s="1"/>
  <c r="X68" i="33"/>
  <c r="S68" i="33"/>
  <c r="U68" i="33" s="1"/>
  <c r="X67" i="33"/>
  <c r="S67" i="33"/>
  <c r="U67" i="33" s="1"/>
  <c r="X66" i="33"/>
  <c r="S66" i="33"/>
  <c r="U66" i="33" s="1"/>
  <c r="X65" i="33"/>
  <c r="S65" i="33"/>
  <c r="U65" i="33" s="1"/>
  <c r="X64" i="33"/>
  <c r="S64" i="33"/>
  <c r="U64" i="33" s="1"/>
  <c r="X63" i="33"/>
  <c r="S63" i="33"/>
  <c r="U63" i="33" s="1"/>
  <c r="X62" i="33"/>
  <c r="S62" i="33"/>
  <c r="U62" i="33" s="1"/>
  <c r="X61" i="33"/>
  <c r="S61" i="33"/>
  <c r="U61" i="33" s="1"/>
  <c r="X60" i="33"/>
  <c r="S60" i="33"/>
  <c r="U60" i="33" s="1"/>
  <c r="X59" i="33"/>
  <c r="S59" i="33"/>
  <c r="U59" i="33" s="1"/>
  <c r="X58" i="33"/>
  <c r="S58" i="33"/>
  <c r="U58" i="33" s="1"/>
  <c r="X57" i="33"/>
  <c r="S57" i="33"/>
  <c r="U57" i="33" s="1"/>
  <c r="X56" i="33"/>
  <c r="S56" i="33"/>
  <c r="U56" i="33" s="1"/>
  <c r="X55" i="33"/>
  <c r="S55" i="33"/>
  <c r="U55" i="33" s="1"/>
  <c r="X54" i="33"/>
  <c r="S54" i="33"/>
  <c r="U54" i="33" s="1"/>
  <c r="X53" i="33"/>
  <c r="S53" i="33"/>
  <c r="U53" i="33" s="1"/>
  <c r="X52" i="33"/>
  <c r="S52" i="33"/>
  <c r="U52" i="33" s="1"/>
  <c r="X51" i="33"/>
  <c r="S51" i="33"/>
  <c r="U51" i="33" s="1"/>
  <c r="X50" i="33"/>
  <c r="S50" i="33"/>
  <c r="U50" i="33" s="1"/>
  <c r="X49" i="33"/>
  <c r="S49" i="33"/>
  <c r="U49" i="33" s="1"/>
  <c r="X48" i="33"/>
  <c r="S48" i="33"/>
  <c r="U48" i="33" s="1"/>
  <c r="X47" i="33"/>
  <c r="S47" i="33"/>
  <c r="U47" i="33" s="1"/>
  <c r="X46" i="33"/>
  <c r="S46" i="33"/>
  <c r="U46" i="33" s="1"/>
  <c r="X45" i="33"/>
  <c r="S45" i="33"/>
  <c r="U45" i="33" s="1"/>
  <c r="X14" i="33"/>
  <c r="S14" i="33"/>
  <c r="U14" i="33" s="1"/>
  <c r="J14" i="33"/>
  <c r="M14" i="33" s="1"/>
  <c r="E14" i="33"/>
  <c r="G14" i="33" s="1"/>
  <c r="C14" i="66" s="1"/>
  <c r="E14" i="66" s="1"/>
  <c r="G14" i="66" s="1"/>
  <c r="C14" i="67" s="1"/>
  <c r="E14" i="67" s="1"/>
  <c r="G14" i="67" s="1"/>
  <c r="X13" i="33"/>
  <c r="S13" i="33"/>
  <c r="U13" i="33" s="1"/>
  <c r="J13" i="33"/>
  <c r="M13" i="33" s="1"/>
  <c r="E13" i="33"/>
  <c r="G13" i="33" s="1"/>
  <c r="C13" i="66" s="1"/>
  <c r="E13" i="66" s="1"/>
  <c r="G13" i="66" s="1"/>
  <c r="C13" i="67" s="1"/>
  <c r="E13" i="67" s="1"/>
  <c r="G13" i="67" s="1"/>
  <c r="X12" i="33"/>
  <c r="S12" i="33"/>
  <c r="U12" i="33" s="1"/>
  <c r="J12" i="33"/>
  <c r="M12" i="33" s="1"/>
  <c r="E12" i="33"/>
  <c r="G12" i="33" s="1"/>
  <c r="C12" i="66" s="1"/>
  <c r="E12" i="66" s="1"/>
  <c r="G12" i="66" s="1"/>
  <c r="C12" i="67" s="1"/>
  <c r="E12" i="67" s="1"/>
  <c r="G12" i="67" s="1"/>
  <c r="X11" i="33"/>
  <c r="S11" i="33"/>
  <c r="U11" i="33" s="1"/>
  <c r="J11" i="33"/>
  <c r="M11" i="33" s="1"/>
  <c r="E11" i="33"/>
  <c r="G11" i="33" s="1"/>
  <c r="C11" i="66" s="1"/>
  <c r="E11" i="66" s="1"/>
  <c r="G11" i="66" s="1"/>
  <c r="C11" i="67" s="1"/>
  <c r="E11" i="67" s="1"/>
  <c r="G11" i="67" s="1"/>
  <c r="X10" i="33"/>
  <c r="S10" i="33"/>
  <c r="U10" i="33" s="1"/>
  <c r="J10" i="33"/>
  <c r="M10" i="33" s="1"/>
  <c r="E10" i="33"/>
  <c r="G10" i="33" s="1"/>
  <c r="C10" i="66" s="1"/>
  <c r="E10" i="66" s="1"/>
  <c r="G10" i="66" s="1"/>
  <c r="C10" i="67" s="1"/>
  <c r="E10" i="67" s="1"/>
  <c r="G10" i="67" s="1"/>
  <c r="X9" i="33"/>
  <c r="S9" i="33"/>
  <c r="U9" i="33" s="1"/>
  <c r="J9" i="33"/>
  <c r="M9" i="33" s="1"/>
  <c r="E9" i="33"/>
  <c r="G9" i="33" s="1"/>
  <c r="C9" i="66" s="1"/>
  <c r="E9" i="66" s="1"/>
  <c r="G9" i="66" s="1"/>
  <c r="C9" i="67" s="1"/>
  <c r="E9" i="67" s="1"/>
  <c r="G9" i="67" s="1"/>
  <c r="X8" i="33"/>
  <c r="S8" i="33"/>
  <c r="U8" i="33" s="1"/>
  <c r="J8" i="33"/>
  <c r="M8" i="33" s="1"/>
  <c r="E8" i="33"/>
  <c r="G8" i="33" s="1"/>
  <c r="C8" i="66" s="1"/>
  <c r="E8" i="66" s="1"/>
  <c r="G8" i="66" s="1"/>
  <c r="C8" i="67" s="1"/>
  <c r="E8" i="67" s="1"/>
  <c r="G8" i="67" s="1"/>
  <c r="X7" i="33"/>
  <c r="S7" i="33"/>
  <c r="U7" i="33" s="1"/>
  <c r="J7" i="33"/>
  <c r="M7" i="33" s="1"/>
  <c r="E7" i="33"/>
  <c r="G7" i="33" s="1"/>
  <c r="C7" i="66" s="1"/>
  <c r="E7" i="66" s="1"/>
  <c r="G7" i="66" s="1"/>
  <c r="C7" i="67" s="1"/>
  <c r="E7" i="67" s="1"/>
  <c r="G7" i="67" s="1"/>
  <c r="X6" i="33"/>
  <c r="S6" i="33"/>
  <c r="U6" i="33" s="1"/>
  <c r="J6" i="33"/>
  <c r="M6" i="33" s="1"/>
  <c r="E6" i="33"/>
  <c r="G6" i="33" s="1"/>
  <c r="C6" i="66" s="1"/>
  <c r="E6" i="66" s="1"/>
  <c r="G6" i="66" s="1"/>
  <c r="C6" i="67" s="1"/>
  <c r="E6" i="67" s="1"/>
  <c r="G6" i="67" s="1"/>
  <c r="X5" i="33"/>
  <c r="S5" i="33"/>
  <c r="U5" i="33" s="1"/>
  <c r="J5" i="33"/>
  <c r="M5" i="33" s="1"/>
  <c r="E5" i="33"/>
  <c r="G5" i="33" s="1"/>
  <c r="C5" i="66" s="1"/>
  <c r="E5" i="66" s="1"/>
  <c r="G5" i="66" s="1"/>
  <c r="C5" i="67" s="1"/>
  <c r="E5" i="67" s="1"/>
  <c r="G5" i="67" s="1"/>
  <c r="C42" i="76" l="1"/>
  <c r="E42" i="76" s="1"/>
  <c r="G42" i="76" s="1"/>
  <c r="C42" i="77" s="1"/>
  <c r="E42" i="77" s="1"/>
  <c r="G42" i="77" s="1"/>
  <c r="C42" i="78" s="1"/>
  <c r="E42" i="78" s="1"/>
  <c r="G42" i="78" s="1"/>
  <c r="C42" i="79" s="1"/>
  <c r="E42" i="79" s="1"/>
  <c r="G42" i="79" s="1"/>
  <c r="C80" i="76"/>
  <c r="E80" i="76" s="1"/>
  <c r="G80" i="76" s="1"/>
  <c r="C80" i="77" s="1"/>
  <c r="E80" i="77" s="1"/>
  <c r="G80" i="77" s="1"/>
  <c r="C80" i="78" s="1"/>
  <c r="E80" i="78" s="1"/>
  <c r="G80" i="78" s="1"/>
  <c r="C80" i="79" s="1"/>
  <c r="E80" i="79" s="1"/>
  <c r="G80" i="79" s="1"/>
  <c r="C40" i="76"/>
  <c r="E40" i="76" s="1"/>
  <c r="G40" i="76" s="1"/>
  <c r="C40" i="77" s="1"/>
  <c r="E40" i="77" s="1"/>
  <c r="G40" i="77" s="1"/>
  <c r="C40" i="78" s="1"/>
  <c r="E40" i="78" s="1"/>
  <c r="G40" i="78" s="1"/>
  <c r="C40" i="79" s="1"/>
  <c r="E40" i="79" s="1"/>
  <c r="G40" i="79" s="1"/>
  <c r="C46" i="76"/>
  <c r="E46" i="76" s="1"/>
  <c r="G46" i="76" s="1"/>
  <c r="C46" i="77" s="1"/>
  <c r="E46" i="77" s="1"/>
  <c r="G46" i="77" s="1"/>
  <c r="C46" i="78" s="1"/>
  <c r="E46" i="78" s="1"/>
  <c r="G46" i="78" s="1"/>
  <c r="C46" i="79" s="1"/>
  <c r="E46" i="79" s="1"/>
  <c r="G46" i="79" s="1"/>
  <c r="C71" i="75"/>
  <c r="E71" i="75" s="1"/>
  <c r="G71" i="75" s="1"/>
  <c r="C170" i="75"/>
  <c r="E170" i="75" s="1"/>
  <c r="G170" i="75" s="1"/>
  <c r="C81" i="75"/>
  <c r="E81" i="75" s="1"/>
  <c r="G81" i="75" s="1"/>
  <c r="C95" i="75"/>
  <c r="E95" i="75" s="1"/>
  <c r="G95" i="75" s="1"/>
  <c r="C51" i="75"/>
  <c r="E51" i="75" s="1"/>
  <c r="G51" i="75" s="1"/>
  <c r="C210" i="75"/>
  <c r="E210" i="75" s="1"/>
  <c r="G210" i="75" s="1"/>
  <c r="C113" i="75"/>
  <c r="E113" i="75" s="1"/>
  <c r="G113" i="75" s="1"/>
  <c r="C188" i="75"/>
  <c r="E188" i="75" s="1"/>
  <c r="G188" i="75" s="1"/>
  <c r="C101" i="75"/>
  <c r="E101" i="75" s="1"/>
  <c r="G101" i="75" s="1"/>
  <c r="C125" i="75"/>
  <c r="E125" i="75" s="1"/>
  <c r="G125" i="75" s="1"/>
  <c r="C34" i="75"/>
  <c r="E34" i="75" s="1"/>
  <c r="G34" i="75" s="1"/>
  <c r="C96" i="75"/>
  <c r="E96" i="75" s="1"/>
  <c r="G96" i="75" s="1"/>
  <c r="C85" i="75"/>
  <c r="E85" i="75" s="1"/>
  <c r="G85" i="75" s="1"/>
  <c r="C116" i="75"/>
  <c r="E116" i="75" s="1"/>
  <c r="G116" i="75" s="1"/>
  <c r="C48" i="75"/>
  <c r="E48" i="75" s="1"/>
  <c r="G48" i="75" s="1"/>
  <c r="E48" i="76" s="1"/>
  <c r="G48" i="76" s="1"/>
  <c r="C48" i="77" s="1"/>
  <c r="E48" i="77" s="1"/>
  <c r="G48" i="77" s="1"/>
  <c r="C48" i="78" s="1"/>
  <c r="E48" i="78" s="1"/>
  <c r="G48" i="78" s="1"/>
  <c r="C48" i="79" s="1"/>
  <c r="E48" i="79" s="1"/>
  <c r="G48" i="79" s="1"/>
  <c r="C216" i="75"/>
  <c r="E216" i="75" s="1"/>
  <c r="G216" i="75" s="1"/>
  <c r="C141" i="75"/>
  <c r="E141" i="75" s="1"/>
  <c r="G141" i="75" s="1"/>
  <c r="C58" i="75"/>
  <c r="E58" i="75" s="1"/>
  <c r="G58" i="75" s="1"/>
  <c r="C163" i="75"/>
  <c r="E163" i="75" s="1"/>
  <c r="G163" i="75" s="1"/>
  <c r="C52" i="75"/>
  <c r="E52" i="75" s="1"/>
  <c r="G52" i="75" s="1"/>
  <c r="C138" i="75"/>
  <c r="E138" i="75" s="1"/>
  <c r="G138" i="75" s="1"/>
  <c r="C136" i="75"/>
  <c r="E136" i="75" s="1"/>
  <c r="G136" i="75" s="1"/>
  <c r="C44" i="75"/>
  <c r="E44" i="75" s="1"/>
  <c r="G44" i="75" s="1"/>
  <c r="C50" i="75"/>
  <c r="E50" i="75" s="1"/>
  <c r="G50" i="75" s="1"/>
  <c r="C196" i="75"/>
  <c r="E196" i="75" s="1"/>
  <c r="G196" i="75" s="1"/>
  <c r="C213" i="75"/>
  <c r="E213" i="75" s="1"/>
  <c r="G213" i="75" s="1"/>
  <c r="C131" i="75"/>
  <c r="E131" i="75" s="1"/>
  <c r="G131" i="75" s="1"/>
  <c r="C166" i="75"/>
  <c r="E166" i="75" s="1"/>
  <c r="G166" i="75" s="1"/>
  <c r="C84" i="75"/>
  <c r="E84" i="75" s="1"/>
  <c r="G84" i="75" s="1"/>
  <c r="C110" i="75"/>
  <c r="E110" i="75" s="1"/>
  <c r="G110" i="75" s="1"/>
  <c r="C28" i="75"/>
  <c r="E28" i="75" s="1"/>
  <c r="G28" i="75" s="1"/>
  <c r="C65" i="75"/>
  <c r="E65" i="75" s="1"/>
  <c r="G65" i="75" s="1"/>
  <c r="C92" i="75"/>
  <c r="E92" i="75" s="1"/>
  <c r="G92" i="75" s="1"/>
  <c r="C200" i="75"/>
  <c r="E200" i="75" s="1"/>
  <c r="G200" i="75" s="1"/>
  <c r="C97" i="75"/>
  <c r="E97" i="75" s="1"/>
  <c r="G97" i="75" s="1"/>
  <c r="C93" i="75"/>
  <c r="E93" i="75" s="1"/>
  <c r="G93" i="75" s="1"/>
  <c r="C79" i="75"/>
  <c r="E79" i="75" s="1"/>
  <c r="G79" i="75" s="1"/>
  <c r="C132" i="75"/>
  <c r="E132" i="75" s="1"/>
  <c r="G132" i="75" s="1"/>
  <c r="C193" i="75"/>
  <c r="E193" i="75" s="1"/>
  <c r="G193" i="75" s="1"/>
  <c r="C150" i="75"/>
  <c r="E150" i="75" s="1"/>
  <c r="G150" i="75" s="1"/>
  <c r="C143" i="75"/>
  <c r="E143" i="75" s="1"/>
  <c r="G143" i="75" s="1"/>
  <c r="C161" i="75"/>
  <c r="E161" i="75" s="1"/>
  <c r="G161" i="75" s="1"/>
  <c r="C118" i="75"/>
  <c r="E118" i="75" s="1"/>
  <c r="G118" i="75" s="1"/>
  <c r="C191" i="75"/>
  <c r="E191" i="75" s="1"/>
  <c r="G191" i="75" s="1"/>
  <c r="C108" i="75"/>
  <c r="E108" i="75" s="1"/>
  <c r="G108" i="75" s="1"/>
  <c r="C61" i="75"/>
  <c r="E61" i="75" s="1"/>
  <c r="G61" i="75" s="1"/>
  <c r="C204" i="75"/>
  <c r="E204" i="75" s="1"/>
  <c r="G204" i="75" s="1"/>
  <c r="C47" i="75"/>
  <c r="E47" i="75" s="1"/>
  <c r="G47" i="75" s="1"/>
  <c r="C165" i="75"/>
  <c r="E165" i="75" s="1"/>
  <c r="G165" i="75" s="1"/>
  <c r="C30" i="75"/>
  <c r="E30" i="75" s="1"/>
  <c r="G30" i="75" s="1"/>
  <c r="C36" i="75"/>
  <c r="E36" i="75" s="1"/>
  <c r="G36" i="75" s="1"/>
  <c r="C122" i="75"/>
  <c r="E122" i="75" s="1"/>
  <c r="G122" i="75" s="1"/>
  <c r="C54" i="75"/>
  <c r="E54" i="75" s="1"/>
  <c r="G54" i="75" s="1"/>
  <c r="C164" i="75"/>
  <c r="E164" i="75" s="1"/>
  <c r="G164" i="75" s="1"/>
  <c r="C75" i="75"/>
  <c r="E75" i="75" s="1"/>
  <c r="G75" i="75" s="1"/>
  <c r="C184" i="75"/>
  <c r="E184" i="75" s="1"/>
  <c r="G184" i="75" s="1"/>
  <c r="C37" i="75"/>
  <c r="E37" i="75" s="1"/>
  <c r="G37" i="75" s="1"/>
  <c r="C175" i="75"/>
  <c r="E175" i="75" s="1"/>
  <c r="G175" i="75" s="1"/>
  <c r="C192" i="75"/>
  <c r="E192" i="75" s="1"/>
  <c r="G192" i="75" s="1"/>
  <c r="C43" i="75"/>
  <c r="E43" i="75" s="1"/>
  <c r="G43" i="75" s="1"/>
  <c r="C25" i="75"/>
  <c r="E25" i="75" s="1"/>
  <c r="G25" i="75" s="1"/>
  <c r="C139" i="75"/>
  <c r="E139" i="75" s="1"/>
  <c r="G139" i="75" s="1"/>
  <c r="C145" i="75"/>
  <c r="E145" i="75" s="1"/>
  <c r="G145" i="75" s="1"/>
  <c r="C57" i="75"/>
  <c r="E57" i="75" s="1"/>
  <c r="G57" i="75" s="1"/>
  <c r="C60" i="75"/>
  <c r="E60" i="75" s="1"/>
  <c r="G60" i="75" s="1"/>
  <c r="C88" i="75"/>
  <c r="E88" i="75" s="1"/>
  <c r="G88" i="75" s="1"/>
  <c r="C185" i="75"/>
  <c r="E185" i="75" s="1"/>
  <c r="G185" i="75" s="1"/>
  <c r="C82" i="75"/>
  <c r="E82" i="75" s="1"/>
  <c r="G82" i="75" s="1"/>
  <c r="C187" i="75"/>
  <c r="E187" i="75" s="1"/>
  <c r="G187" i="75" s="1"/>
  <c r="C77" i="75"/>
  <c r="E77" i="75" s="1"/>
  <c r="G77" i="75" s="1"/>
  <c r="C176" i="75"/>
  <c r="E176" i="75" s="1"/>
  <c r="G176" i="75" s="1"/>
  <c r="C147" i="75"/>
  <c r="E147" i="75" s="1"/>
  <c r="G147" i="75" s="1"/>
  <c r="C103" i="75"/>
  <c r="E103" i="75" s="1"/>
  <c r="G103" i="75" s="1"/>
  <c r="C31" i="75"/>
  <c r="E31" i="75" s="1"/>
  <c r="G31" i="75" s="1"/>
  <c r="C209" i="75"/>
  <c r="E209" i="75" s="1"/>
  <c r="G209" i="75" s="1"/>
  <c r="C177" i="75"/>
  <c r="E177" i="75" s="1"/>
  <c r="G177" i="75" s="1"/>
  <c r="C142" i="75"/>
  <c r="E142" i="75" s="1"/>
  <c r="G142" i="75" s="1"/>
  <c r="C87" i="75"/>
  <c r="E87" i="75" s="1"/>
  <c r="G87" i="75" s="1"/>
  <c r="C197" i="75"/>
  <c r="E197" i="75" s="1"/>
  <c r="G197" i="75" s="1"/>
  <c r="E105" i="75"/>
  <c r="G105" i="75" s="1"/>
  <c r="C105" i="75"/>
  <c r="C45" i="75"/>
  <c r="E45" i="75" s="1"/>
  <c r="G45" i="75" s="1"/>
  <c r="C152" i="75"/>
  <c r="E152" i="75" s="1"/>
  <c r="G152" i="75" s="1"/>
  <c r="E152" i="76" s="1"/>
  <c r="G152" i="76" s="1"/>
  <c r="C152" i="77" s="1"/>
  <c r="E152" i="77" s="1"/>
  <c r="G152" i="77" s="1"/>
  <c r="C152" i="78" s="1"/>
  <c r="E152" i="78" s="1"/>
  <c r="G152" i="78" s="1"/>
  <c r="C152" i="79" s="1"/>
  <c r="E152" i="79" s="1"/>
  <c r="G152" i="79" s="1"/>
  <c r="C215" i="75"/>
  <c r="E215" i="75" s="1"/>
  <c r="G215" i="75" s="1"/>
  <c r="C91" i="75"/>
  <c r="E91" i="75" s="1"/>
  <c r="G91" i="75" s="1"/>
  <c r="C183" i="75"/>
  <c r="E183" i="75" s="1"/>
  <c r="G183" i="75" s="1"/>
  <c r="C21" i="75"/>
  <c r="E21" i="75" s="1"/>
  <c r="G21" i="75" s="1"/>
  <c r="C18" i="75"/>
  <c r="E18" i="75" s="1"/>
  <c r="G18" i="75" s="1"/>
  <c r="C86" i="75"/>
  <c r="E86" i="75" s="1"/>
  <c r="G86" i="75" s="1"/>
  <c r="C182" i="75"/>
  <c r="E182" i="75" s="1"/>
  <c r="G182" i="75" s="1"/>
  <c r="C186" i="75"/>
  <c r="E186" i="75" s="1"/>
  <c r="G186" i="75" s="1"/>
  <c r="C137" i="75"/>
  <c r="E137" i="75" s="1"/>
  <c r="G137" i="75" s="1"/>
  <c r="C189" i="75"/>
  <c r="E189" i="75" s="1"/>
  <c r="G189" i="75" s="1"/>
  <c r="C117" i="75"/>
  <c r="E117" i="75" s="1"/>
  <c r="G117" i="75" s="1"/>
  <c r="C206" i="75"/>
  <c r="E206" i="75" s="1"/>
  <c r="G206" i="75" s="1"/>
  <c r="C129" i="75"/>
  <c r="E129" i="75" s="1"/>
  <c r="G129" i="75" s="1"/>
  <c r="C32" i="75"/>
  <c r="E32" i="75" s="1"/>
  <c r="G32" i="75" s="1"/>
  <c r="C100" i="75"/>
  <c r="E100" i="75" s="1"/>
  <c r="G100" i="75" s="1"/>
  <c r="C107" i="75"/>
  <c r="E107" i="75" s="1"/>
  <c r="G107" i="75" s="1"/>
  <c r="C167" i="75"/>
  <c r="E167" i="75" s="1"/>
  <c r="G167" i="75" s="1"/>
  <c r="C154" i="75"/>
  <c r="E154" i="75" s="1"/>
  <c r="G154" i="75" s="1"/>
  <c r="C207" i="75"/>
  <c r="E207" i="75" s="1"/>
  <c r="G207" i="75" s="1"/>
  <c r="C24" i="75"/>
  <c r="E24" i="75" s="1"/>
  <c r="G24" i="75" s="1"/>
  <c r="C98" i="75"/>
  <c r="E98" i="75" s="1"/>
  <c r="G98" i="75" s="1"/>
  <c r="C20" i="75"/>
  <c r="E20" i="75" s="1"/>
  <c r="G20" i="75" s="1"/>
  <c r="C53" i="75"/>
  <c r="E53" i="75" s="1"/>
  <c r="G53" i="75" s="1"/>
  <c r="C162" i="75"/>
  <c r="E162" i="75" s="1"/>
  <c r="G162" i="75" s="1"/>
  <c r="C26" i="75"/>
  <c r="E26" i="75" s="1"/>
  <c r="G26" i="75" s="1"/>
  <c r="C76" i="75"/>
  <c r="E76" i="75" s="1"/>
  <c r="G76" i="75" s="1"/>
  <c r="C190" i="75"/>
  <c r="E190" i="75" s="1"/>
  <c r="G190" i="75" s="1"/>
  <c r="C99" i="75"/>
  <c r="E99" i="75" s="1"/>
  <c r="G99" i="75" s="1"/>
  <c r="C59" i="75"/>
  <c r="E59" i="75" s="1"/>
  <c r="G59" i="75" s="1"/>
  <c r="C121" i="75"/>
  <c r="E121" i="75" s="1"/>
  <c r="G121" i="75" s="1"/>
  <c r="C217" i="75"/>
  <c r="E217" i="75" s="1"/>
  <c r="G217" i="75" s="1"/>
  <c r="C66" i="75"/>
  <c r="E66" i="75" s="1"/>
  <c r="G66" i="75" s="1"/>
  <c r="C89" i="75"/>
  <c r="E89" i="75" s="1"/>
  <c r="G89" i="75" s="1"/>
  <c r="C133" i="75"/>
  <c r="E133" i="75" s="1"/>
  <c r="G133" i="75" s="1"/>
  <c r="C149" i="75"/>
  <c r="E149" i="75" s="1"/>
  <c r="G149" i="75" s="1"/>
  <c r="C127" i="75"/>
  <c r="E127" i="75" s="1"/>
  <c r="G127" i="75" s="1"/>
  <c r="C35" i="75"/>
  <c r="E35" i="75" s="1"/>
  <c r="G35" i="75" s="1"/>
  <c r="C94" i="75"/>
  <c r="E94" i="75" s="1"/>
  <c r="G94" i="75" s="1"/>
  <c r="C124" i="75"/>
  <c r="E124" i="75" s="1"/>
  <c r="G124" i="75" s="1"/>
  <c r="E179" i="75"/>
  <c r="G179" i="75" s="1"/>
  <c r="C179" i="75"/>
  <c r="C181" i="75"/>
  <c r="E181" i="75" s="1"/>
  <c r="G181" i="75" s="1"/>
  <c r="C203" i="75"/>
  <c r="E203" i="75" s="1"/>
  <c r="G203" i="75" s="1"/>
  <c r="C19" i="75"/>
  <c r="E19" i="75" s="1"/>
  <c r="G19" i="75" s="1"/>
  <c r="C128" i="75"/>
  <c r="E128" i="75" s="1"/>
  <c r="G128" i="75" s="1"/>
  <c r="C29" i="75"/>
  <c r="E29" i="75" s="1"/>
  <c r="G29" i="75" s="1"/>
  <c r="C23" i="75"/>
  <c r="E23" i="75" s="1"/>
  <c r="G23" i="75" s="1"/>
  <c r="C195" i="75"/>
  <c r="E195" i="75" s="1"/>
  <c r="G195" i="75" s="1"/>
  <c r="C39" i="75"/>
  <c r="E39" i="75" s="1"/>
  <c r="G39" i="75" s="1"/>
  <c r="C106" i="75"/>
  <c r="E106" i="75" s="1"/>
  <c r="G106" i="75" s="1"/>
  <c r="C78" i="75"/>
  <c r="E78" i="75" s="1"/>
  <c r="G78" i="75" s="1"/>
  <c r="C205" i="75"/>
  <c r="E205" i="75" s="1"/>
  <c r="G205" i="75" s="1"/>
  <c r="C134" i="75"/>
  <c r="E134" i="75" s="1"/>
  <c r="G134" i="75" s="1"/>
  <c r="C126" i="75"/>
  <c r="E126" i="75" s="1"/>
  <c r="G126" i="75" s="1"/>
  <c r="C120" i="75"/>
  <c r="E120" i="75" s="1"/>
  <c r="G120" i="75" s="1"/>
  <c r="C130" i="75"/>
  <c r="E130" i="75" s="1"/>
  <c r="G130" i="75" s="1"/>
  <c r="C55" i="75"/>
  <c r="E55" i="75" s="1"/>
  <c r="G55" i="75" s="1"/>
  <c r="E55" i="76" s="1"/>
  <c r="G55" i="76" s="1"/>
  <c r="C55" i="77" s="1"/>
  <c r="E55" i="77" s="1"/>
  <c r="G55" i="77" s="1"/>
  <c r="C55" i="78" s="1"/>
  <c r="E55" i="78" s="1"/>
  <c r="G55" i="78" s="1"/>
  <c r="C55" i="79" s="1"/>
  <c r="E55" i="79" s="1"/>
  <c r="G55" i="79" s="1"/>
  <c r="C146" i="75"/>
  <c r="E146" i="75" s="1"/>
  <c r="G146" i="75" s="1"/>
  <c r="C72" i="75"/>
  <c r="E72" i="75" s="1"/>
  <c r="G72" i="75" s="1"/>
  <c r="C202" i="75"/>
  <c r="E202" i="75" s="1"/>
  <c r="G202" i="75" s="1"/>
  <c r="C41" i="75"/>
  <c r="E41" i="75" s="1"/>
  <c r="G41" i="75" s="1"/>
  <c r="C198" i="75"/>
  <c r="E198" i="75" s="1"/>
  <c r="G198" i="75" s="1"/>
  <c r="C83" i="75"/>
  <c r="E83" i="75" s="1"/>
  <c r="G83" i="75" s="1"/>
  <c r="C15" i="75"/>
  <c r="E15" i="75" s="1"/>
  <c r="G15" i="75" s="1"/>
  <c r="C90" i="75"/>
  <c r="E90" i="75" s="1"/>
  <c r="G90" i="75" s="1"/>
  <c r="C68" i="75"/>
  <c r="E68" i="75" s="1"/>
  <c r="G68" i="75" s="1"/>
  <c r="C16" i="75"/>
  <c r="E16" i="75" s="1"/>
  <c r="G16" i="75" s="1"/>
  <c r="C212" i="75"/>
  <c r="E212" i="75" s="1"/>
  <c r="G212" i="75" s="1"/>
  <c r="C201" i="75"/>
  <c r="E201" i="75" s="1"/>
  <c r="G201" i="75" s="1"/>
  <c r="C63" i="75"/>
  <c r="E63" i="75" s="1"/>
  <c r="G63" i="75" s="1"/>
  <c r="C169" i="75"/>
  <c r="E169" i="75" s="1"/>
  <c r="G169" i="75" s="1"/>
  <c r="C115" i="75"/>
  <c r="E115" i="75" s="1"/>
  <c r="G115" i="75" s="1"/>
  <c r="C70" i="75"/>
  <c r="E70" i="75" s="1"/>
  <c r="G70" i="75" s="1"/>
  <c r="C119" i="75"/>
  <c r="E119" i="75" s="1"/>
  <c r="G119" i="75" s="1"/>
  <c r="C73" i="75"/>
  <c r="E73" i="75" s="1"/>
  <c r="G73" i="75" s="1"/>
  <c r="C102" i="75"/>
  <c r="E102" i="75" s="1"/>
  <c r="G102" i="75" s="1"/>
  <c r="C22" i="75"/>
  <c r="E22" i="75" s="1"/>
  <c r="G22" i="75" s="1"/>
  <c r="C211" i="75"/>
  <c r="E211" i="75" s="1"/>
  <c r="G211" i="75" s="1"/>
  <c r="C144" i="75"/>
  <c r="E144" i="75" s="1"/>
  <c r="G144" i="75" s="1"/>
  <c r="C155" i="75"/>
  <c r="E155" i="75" s="1"/>
  <c r="G155" i="75" s="1"/>
  <c r="C67" i="75"/>
  <c r="E67" i="75" s="1"/>
  <c r="G67" i="75" s="1"/>
  <c r="C156" i="75"/>
  <c r="E156" i="75" s="1"/>
  <c r="G156" i="75" s="1"/>
  <c r="C114" i="75"/>
  <c r="E114" i="75" s="1"/>
  <c r="G114" i="75" s="1"/>
  <c r="C49" i="75"/>
  <c r="E49" i="75" s="1"/>
  <c r="G49" i="75" s="1"/>
  <c r="C33" i="75"/>
  <c r="E33" i="75" s="1"/>
  <c r="G33" i="75" s="1"/>
  <c r="C151" i="75"/>
  <c r="E151" i="75" s="1"/>
  <c r="G151" i="75" s="1"/>
  <c r="C180" i="75"/>
  <c r="E180" i="75" s="1"/>
  <c r="G180" i="75" s="1"/>
  <c r="C104" i="75"/>
  <c r="E104" i="75" s="1"/>
  <c r="G104" i="75" s="1"/>
  <c r="C17" i="75"/>
  <c r="E17" i="75" s="1"/>
  <c r="G17" i="75" s="1"/>
  <c r="C123" i="75"/>
  <c r="E123" i="75" s="1"/>
  <c r="G123" i="75" s="1"/>
  <c r="C62" i="75"/>
  <c r="E62" i="75" s="1"/>
  <c r="G62" i="75" s="1"/>
  <c r="C208" i="75"/>
  <c r="E208" i="75" s="1"/>
  <c r="G208" i="75" s="1"/>
  <c r="C174" i="75"/>
  <c r="E174" i="75" s="1"/>
  <c r="G174" i="75" s="1"/>
  <c r="C38" i="75"/>
  <c r="E38" i="75" s="1"/>
  <c r="G38" i="75" s="1"/>
  <c r="C111" i="75"/>
  <c r="E111" i="75" s="1"/>
  <c r="G111" i="75" s="1"/>
  <c r="C160" i="75"/>
  <c r="E160" i="75" s="1"/>
  <c r="G160" i="75" s="1"/>
  <c r="C158" i="75"/>
  <c r="E158" i="75" s="1"/>
  <c r="G158" i="75" s="1"/>
  <c r="C173" i="75"/>
  <c r="E173" i="75" s="1"/>
  <c r="G173" i="75" s="1"/>
  <c r="C199" i="75"/>
  <c r="E199" i="75" s="1"/>
  <c r="G199" i="75" s="1"/>
  <c r="C159" i="75"/>
  <c r="E159" i="75" s="1"/>
  <c r="G159" i="75" s="1"/>
  <c r="C140" i="75"/>
  <c r="E140" i="75" s="1"/>
  <c r="G140" i="75" s="1"/>
  <c r="C172" i="75"/>
  <c r="E172" i="75" s="1"/>
  <c r="G172" i="75" s="1"/>
  <c r="C178" i="75"/>
  <c r="E178" i="75" s="1"/>
  <c r="G178" i="75" s="1"/>
  <c r="C69" i="75"/>
  <c r="E69" i="75" s="1"/>
  <c r="G69" i="75" s="1"/>
  <c r="C64" i="75"/>
  <c r="E64" i="75" s="1"/>
  <c r="G64" i="75" s="1"/>
  <c r="C171" i="75"/>
  <c r="E171" i="75" s="1"/>
  <c r="G171" i="75" s="1"/>
  <c r="C112" i="75"/>
  <c r="E112" i="75" s="1"/>
  <c r="G112" i="75" s="1"/>
  <c r="C157" i="75"/>
  <c r="E157" i="75" s="1"/>
  <c r="G157" i="75" s="1"/>
  <c r="C194" i="75"/>
  <c r="E194" i="75" s="1"/>
  <c r="G194" i="75" s="1"/>
  <c r="C168" i="75"/>
  <c r="E168" i="75" s="1"/>
  <c r="G168" i="75" s="1"/>
  <c r="C148" i="75"/>
  <c r="E148" i="75" s="1"/>
  <c r="G148" i="75" s="1"/>
  <c r="C109" i="75"/>
  <c r="E109" i="75" s="1"/>
  <c r="G109" i="75" s="1"/>
  <c r="C153" i="75"/>
  <c r="E153" i="75" s="1"/>
  <c r="G153" i="75" s="1"/>
  <c r="C74" i="75"/>
  <c r="E74" i="75" s="1"/>
  <c r="G74" i="75" s="1"/>
  <c r="C214" i="75"/>
  <c r="E214" i="75" s="1"/>
  <c r="G214" i="75" s="1"/>
  <c r="C27" i="75"/>
  <c r="E27" i="75" s="1"/>
  <c r="G27" i="75" s="1"/>
  <c r="C56" i="75"/>
  <c r="E56" i="75" s="1"/>
  <c r="G56" i="75" s="1"/>
  <c r="E56" i="76" s="1"/>
  <c r="G56" i="76" s="1"/>
  <c r="C56" i="77" s="1"/>
  <c r="E56" i="77" s="1"/>
  <c r="G56" i="77" s="1"/>
  <c r="C56" i="78" s="1"/>
  <c r="E56" i="78" s="1"/>
  <c r="G56" i="78" s="1"/>
  <c r="C56" i="79" s="1"/>
  <c r="E56" i="79" s="1"/>
  <c r="G56" i="79" s="1"/>
  <c r="C135" i="75"/>
  <c r="E135" i="75" s="1"/>
  <c r="G135" i="75" s="1"/>
  <c r="C8" i="70"/>
  <c r="E8" i="70" s="1"/>
  <c r="G8" i="70" s="1"/>
  <c r="C8" i="71" s="1"/>
  <c r="E8" i="71" s="1"/>
  <c r="G8" i="71" s="1"/>
  <c r="C7" i="70"/>
  <c r="E7" i="70" s="1"/>
  <c r="G7" i="70" s="1"/>
  <c r="C7" i="71" s="1"/>
  <c r="E7" i="71" s="1"/>
  <c r="G7" i="71" s="1"/>
  <c r="C10" i="70"/>
  <c r="E10" i="70" s="1"/>
  <c r="G10" i="70" s="1"/>
  <c r="C10" i="71" s="1"/>
  <c r="E10" i="71" s="1"/>
  <c r="G10" i="71" s="1"/>
  <c r="C13" i="70"/>
  <c r="E13" i="70" s="1"/>
  <c r="G13" i="70" s="1"/>
  <c r="C13" i="71" s="1"/>
  <c r="E13" i="71" s="1"/>
  <c r="G13" i="71" s="1"/>
  <c r="C11" i="70"/>
  <c r="E11" i="70" s="1"/>
  <c r="G11" i="70" s="1"/>
  <c r="C11" i="71" s="1"/>
  <c r="E11" i="71" s="1"/>
  <c r="G11" i="71" s="1"/>
  <c r="C12" i="70"/>
  <c r="E12" i="70" s="1"/>
  <c r="G12" i="70" s="1"/>
  <c r="C12" i="71" s="1"/>
  <c r="E12" i="71" s="1"/>
  <c r="G12" i="71" s="1"/>
  <c r="C9" i="70"/>
  <c r="E9" i="70" s="1"/>
  <c r="G9" i="70" s="1"/>
  <c r="C9" i="71" s="1"/>
  <c r="E9" i="71" s="1"/>
  <c r="G9" i="71" s="1"/>
  <c r="C5" i="70"/>
  <c r="E5" i="70" s="1"/>
  <c r="G5" i="70" s="1"/>
  <c r="C5" i="71" s="1"/>
  <c r="E5" i="71" s="1"/>
  <c r="G5" i="71" s="1"/>
  <c r="C6" i="70"/>
  <c r="E6" i="70" s="1"/>
  <c r="G6" i="70" s="1"/>
  <c r="C6" i="71" s="1"/>
  <c r="E6" i="71" s="1"/>
  <c r="G6" i="71" s="1"/>
  <c r="C14" i="70"/>
  <c r="E14" i="70" s="1"/>
  <c r="G14" i="70" s="1"/>
  <c r="C14" i="71" s="1"/>
  <c r="E14" i="71" s="1"/>
  <c r="G14" i="71" s="1"/>
  <c r="N254" i="33"/>
  <c r="X138" i="33"/>
  <c r="J256" i="33" s="1"/>
  <c r="K257" i="33" s="1"/>
  <c r="K263" i="33" s="1"/>
  <c r="K266" i="33" s="1"/>
  <c r="C40" i="80" l="1"/>
  <c r="E40" i="80" s="1"/>
  <c r="G40" i="80" s="1"/>
  <c r="C40" i="81" s="1"/>
  <c r="E40" i="81" s="1"/>
  <c r="G40" i="81" s="1"/>
  <c r="C40" i="82" s="1"/>
  <c r="E40" i="82" s="1"/>
  <c r="G40" i="82" s="1"/>
  <c r="E40" i="83" s="1"/>
  <c r="G40" i="83" s="1"/>
  <c r="C42" i="80"/>
  <c r="E42" i="80" s="1"/>
  <c r="G42" i="80" s="1"/>
  <c r="C42" i="81" s="1"/>
  <c r="E42" i="81" s="1"/>
  <c r="G42" i="81" s="1"/>
  <c r="C42" i="82" s="1"/>
  <c r="E42" i="82" s="1"/>
  <c r="G42" i="82" s="1"/>
  <c r="C48" i="80"/>
  <c r="E48" i="80" s="1"/>
  <c r="G48" i="80" s="1"/>
  <c r="C48" i="81" s="1"/>
  <c r="E48" i="81" s="1"/>
  <c r="G48" i="81" s="1"/>
  <c r="C48" i="82" s="1"/>
  <c r="E48" i="82" s="1"/>
  <c r="G48" i="82" s="1"/>
  <c r="C46" i="80"/>
  <c r="E46" i="80" s="1"/>
  <c r="G46" i="80" s="1"/>
  <c r="C46" i="81" s="1"/>
  <c r="E46" i="81" s="1"/>
  <c r="G46" i="81" s="1"/>
  <c r="C46" i="82" s="1"/>
  <c r="E46" i="82" s="1"/>
  <c r="G46" i="82" s="1"/>
  <c r="C56" i="80"/>
  <c r="E56" i="80" s="1"/>
  <c r="G56" i="80" s="1"/>
  <c r="C56" i="81" s="1"/>
  <c r="E56" i="81" s="1"/>
  <c r="G56" i="81" s="1"/>
  <c r="C56" i="82" s="1"/>
  <c r="E56" i="82" s="1"/>
  <c r="G56" i="82" s="1"/>
  <c r="C55" i="80"/>
  <c r="E55" i="80" s="1"/>
  <c r="G55" i="80" s="1"/>
  <c r="C55" i="81" s="1"/>
  <c r="E55" i="81" s="1"/>
  <c r="G55" i="81" s="1"/>
  <c r="C55" i="82" s="1"/>
  <c r="E55" i="82" s="1"/>
  <c r="G55" i="82" s="1"/>
  <c r="C80" i="80"/>
  <c r="E80" i="80" s="1"/>
  <c r="G80" i="80" s="1"/>
  <c r="C80" i="81" s="1"/>
  <c r="E80" i="81" s="1"/>
  <c r="G80" i="81" s="1"/>
  <c r="C80" i="82" s="1"/>
  <c r="E80" i="82" s="1"/>
  <c r="G80" i="82" s="1"/>
  <c r="C152" i="80"/>
  <c r="E152" i="80" s="1"/>
  <c r="G152" i="80" s="1"/>
  <c r="C152" i="81" s="1"/>
  <c r="E152" i="81" s="1"/>
  <c r="G152" i="81" s="1"/>
  <c r="C152" i="82" s="1"/>
  <c r="E152" i="82" s="1"/>
  <c r="G152" i="82" s="1"/>
  <c r="C139" i="76"/>
  <c r="E139" i="76" s="1"/>
  <c r="G139" i="76" s="1"/>
  <c r="C139" i="77" s="1"/>
  <c r="E139" i="77" s="1"/>
  <c r="G139" i="77" s="1"/>
  <c r="C139" i="78" s="1"/>
  <c r="E139" i="78" s="1"/>
  <c r="G139" i="78" s="1"/>
  <c r="C139" i="79" s="1"/>
  <c r="E139" i="79" s="1"/>
  <c r="G139" i="79" s="1"/>
  <c r="C20" i="76"/>
  <c r="E20" i="76" s="1"/>
  <c r="G20" i="76" s="1"/>
  <c r="C20" i="77" s="1"/>
  <c r="E20" i="77" s="1"/>
  <c r="G20" i="77" s="1"/>
  <c r="C20" i="78" s="1"/>
  <c r="E20" i="78" s="1"/>
  <c r="G20" i="78" s="1"/>
  <c r="C20" i="79" s="1"/>
  <c r="E20" i="79" s="1"/>
  <c r="G20" i="79" s="1"/>
  <c r="C99" i="76"/>
  <c r="E99" i="76" s="1"/>
  <c r="G99" i="76" s="1"/>
  <c r="C99" i="77" s="1"/>
  <c r="E99" i="77" s="1"/>
  <c r="G99" i="77" s="1"/>
  <c r="C99" i="78" s="1"/>
  <c r="E99" i="78" s="1"/>
  <c r="G99" i="78" s="1"/>
  <c r="C99" i="79" s="1"/>
  <c r="E99" i="79" s="1"/>
  <c r="G99" i="79" s="1"/>
  <c r="C116" i="76"/>
  <c r="E116" i="76" s="1"/>
  <c r="G116" i="76" s="1"/>
  <c r="C116" i="77" s="1"/>
  <c r="E116" i="77" s="1"/>
  <c r="G116" i="77" s="1"/>
  <c r="C116" i="78" s="1"/>
  <c r="E116" i="78" s="1"/>
  <c r="G116" i="78" s="1"/>
  <c r="C116" i="79" s="1"/>
  <c r="E116" i="79" s="1"/>
  <c r="G116" i="79" s="1"/>
  <c r="C169" i="76"/>
  <c r="E169" i="76" s="1"/>
  <c r="G169" i="76" s="1"/>
  <c r="C169" i="77" s="1"/>
  <c r="E169" i="77" s="1"/>
  <c r="G169" i="77" s="1"/>
  <c r="C169" i="78" s="1"/>
  <c r="E169" i="78" s="1"/>
  <c r="G169" i="78" s="1"/>
  <c r="C169" i="79" s="1"/>
  <c r="E169" i="79" s="1"/>
  <c r="G169" i="79" s="1"/>
  <c r="C189" i="76"/>
  <c r="E189" i="76" s="1"/>
  <c r="G189" i="76" s="1"/>
  <c r="C189" i="77" s="1"/>
  <c r="E189" i="77" s="1"/>
  <c r="G189" i="77" s="1"/>
  <c r="C189" i="78" s="1"/>
  <c r="E189" i="78" s="1"/>
  <c r="G189" i="78" s="1"/>
  <c r="C189" i="79" s="1"/>
  <c r="E189" i="79" s="1"/>
  <c r="G189" i="79" s="1"/>
  <c r="C140" i="76"/>
  <c r="E140" i="76" s="1"/>
  <c r="G140" i="76" s="1"/>
  <c r="C140" i="77" s="1"/>
  <c r="E140" i="77" s="1"/>
  <c r="G140" i="77" s="1"/>
  <c r="C140" i="78" s="1"/>
  <c r="E140" i="78" s="1"/>
  <c r="G140" i="78" s="1"/>
  <c r="C140" i="79" s="1"/>
  <c r="E140" i="79" s="1"/>
  <c r="G140" i="79" s="1"/>
  <c r="C22" i="76"/>
  <c r="E22" i="76" s="1"/>
  <c r="G22" i="76" s="1"/>
  <c r="C22" i="77" s="1"/>
  <c r="E22" i="77" s="1"/>
  <c r="G22" i="77" s="1"/>
  <c r="C22" i="78" s="1"/>
  <c r="E22" i="78" s="1"/>
  <c r="G22" i="78" s="1"/>
  <c r="C22" i="79" s="1"/>
  <c r="E22" i="79" s="1"/>
  <c r="G22" i="79" s="1"/>
  <c r="C23" i="76"/>
  <c r="E23" i="76" s="1"/>
  <c r="G23" i="76" s="1"/>
  <c r="C23" i="77" s="1"/>
  <c r="E23" i="77" s="1"/>
  <c r="G23" i="77" s="1"/>
  <c r="E23" i="78" s="1"/>
  <c r="G23" i="78" s="1"/>
  <c r="E23" i="79" s="1"/>
  <c r="G23" i="79" s="1"/>
  <c r="C132" i="76"/>
  <c r="E132" i="76" s="1"/>
  <c r="G132" i="76" s="1"/>
  <c r="C132" i="77" s="1"/>
  <c r="E132" i="77" s="1"/>
  <c r="G132" i="77" s="1"/>
  <c r="C132" i="78" s="1"/>
  <c r="E132" i="78" s="1"/>
  <c r="G132" i="78" s="1"/>
  <c r="C132" i="79" s="1"/>
  <c r="E132" i="79" s="1"/>
  <c r="G132" i="79" s="1"/>
  <c r="C114" i="76"/>
  <c r="E114" i="76" s="1"/>
  <c r="G114" i="76" s="1"/>
  <c r="C114" i="77" s="1"/>
  <c r="E114" i="77" s="1"/>
  <c r="G114" i="77" s="1"/>
  <c r="C114" i="78" s="1"/>
  <c r="E114" i="78" s="1"/>
  <c r="G114" i="78" s="1"/>
  <c r="C114" i="79" s="1"/>
  <c r="E114" i="79" s="1"/>
  <c r="G114" i="79" s="1"/>
  <c r="C134" i="76"/>
  <c r="E134" i="76" s="1"/>
  <c r="G134" i="76" s="1"/>
  <c r="C134" i="77" s="1"/>
  <c r="E134" i="77" s="1"/>
  <c r="G134" i="77" s="1"/>
  <c r="C134" i="78" s="1"/>
  <c r="E134" i="78" s="1"/>
  <c r="G134" i="78" s="1"/>
  <c r="C134" i="79" s="1"/>
  <c r="E134" i="79" s="1"/>
  <c r="G134" i="79" s="1"/>
  <c r="C191" i="76"/>
  <c r="E191" i="76" s="1"/>
  <c r="G191" i="76" s="1"/>
  <c r="C191" i="77" s="1"/>
  <c r="E191" i="77" s="1"/>
  <c r="G191" i="77" s="1"/>
  <c r="C191" i="78" s="1"/>
  <c r="E191" i="78" s="1"/>
  <c r="G191" i="78" s="1"/>
  <c r="C191" i="79" s="1"/>
  <c r="E191" i="79" s="1"/>
  <c r="G191" i="79" s="1"/>
  <c r="E21" i="76"/>
  <c r="G21" i="76" s="1"/>
  <c r="C21" i="77" s="1"/>
  <c r="E21" i="77" s="1"/>
  <c r="G21" i="77" s="1"/>
  <c r="C21" i="78" s="1"/>
  <c r="E21" i="78" s="1"/>
  <c r="G21" i="78" s="1"/>
  <c r="C21" i="79" s="1"/>
  <c r="E21" i="79" s="1"/>
  <c r="G21" i="79" s="1"/>
  <c r="C21" i="76"/>
  <c r="C111" i="76"/>
  <c r="E111" i="76" s="1"/>
  <c r="G111" i="76" s="1"/>
  <c r="C111" i="77" s="1"/>
  <c r="E111" i="77" s="1"/>
  <c r="G111" i="77" s="1"/>
  <c r="C111" i="78" s="1"/>
  <c r="E111" i="78" s="1"/>
  <c r="G111" i="78" s="1"/>
  <c r="C111" i="79" s="1"/>
  <c r="E111" i="79" s="1"/>
  <c r="G111" i="79" s="1"/>
  <c r="C133" i="76"/>
  <c r="E133" i="76" s="1"/>
  <c r="G133" i="76" s="1"/>
  <c r="C133" i="77" s="1"/>
  <c r="E133" i="77" s="1"/>
  <c r="G133" i="77" s="1"/>
  <c r="C133" i="78" s="1"/>
  <c r="E133" i="78" s="1"/>
  <c r="G133" i="78" s="1"/>
  <c r="C133" i="79" s="1"/>
  <c r="E133" i="79" s="1"/>
  <c r="G133" i="79" s="1"/>
  <c r="C184" i="76"/>
  <c r="E184" i="76" s="1"/>
  <c r="G184" i="76" s="1"/>
  <c r="C184" i="77" s="1"/>
  <c r="E184" i="77" s="1"/>
  <c r="G184" i="77" s="1"/>
  <c r="C184" i="78" s="1"/>
  <c r="E184" i="78" s="1"/>
  <c r="G184" i="78" s="1"/>
  <c r="C184" i="79" s="1"/>
  <c r="E184" i="79" s="1"/>
  <c r="G184" i="79" s="1"/>
  <c r="C33" i="76"/>
  <c r="E33" i="76" s="1"/>
  <c r="G33" i="76" s="1"/>
  <c r="C33" i="77" s="1"/>
  <c r="E33" i="77" s="1"/>
  <c r="G33" i="77" s="1"/>
  <c r="C33" i="78" s="1"/>
  <c r="E33" i="78" s="1"/>
  <c r="G33" i="78" s="1"/>
  <c r="C33" i="79" s="1"/>
  <c r="E33" i="79" s="1"/>
  <c r="G33" i="79" s="1"/>
  <c r="C127" i="76"/>
  <c r="E127" i="76" s="1"/>
  <c r="G127" i="76" s="1"/>
  <c r="C127" i="77" s="1"/>
  <c r="E127" i="77" s="1"/>
  <c r="G127" i="77" s="1"/>
  <c r="C127" i="78" s="1"/>
  <c r="E127" i="78" s="1"/>
  <c r="G127" i="78" s="1"/>
  <c r="C127" i="79" s="1"/>
  <c r="E127" i="79" s="1"/>
  <c r="G127" i="79" s="1"/>
  <c r="C49" i="76"/>
  <c r="E49" i="76" s="1"/>
  <c r="G49" i="76" s="1"/>
  <c r="C49" i="77" s="1"/>
  <c r="E49" i="77" s="1"/>
  <c r="G49" i="77" s="1"/>
  <c r="C49" i="78" s="1"/>
  <c r="E49" i="78" s="1"/>
  <c r="G49" i="78" s="1"/>
  <c r="C49" i="79" s="1"/>
  <c r="E49" i="79" s="1"/>
  <c r="G49" i="79" s="1"/>
  <c r="C203" i="76"/>
  <c r="E203" i="76" s="1"/>
  <c r="G203" i="76" s="1"/>
  <c r="C203" i="77" s="1"/>
  <c r="E203" i="77" s="1"/>
  <c r="G203" i="77" s="1"/>
  <c r="C203" i="78" s="1"/>
  <c r="E203" i="78" s="1"/>
  <c r="G203" i="78" s="1"/>
  <c r="C203" i="79" s="1"/>
  <c r="E203" i="79" s="1"/>
  <c r="G203" i="79" s="1"/>
  <c r="C187" i="76"/>
  <c r="E187" i="76" s="1"/>
  <c r="G187" i="76" s="1"/>
  <c r="C187" i="77" s="1"/>
  <c r="E187" i="77" s="1"/>
  <c r="G187" i="77" s="1"/>
  <c r="C187" i="78" s="1"/>
  <c r="E187" i="78" s="1"/>
  <c r="G187" i="78" s="1"/>
  <c r="C187" i="79" s="1"/>
  <c r="E187" i="79" s="1"/>
  <c r="G187" i="79" s="1"/>
  <c r="C165" i="76"/>
  <c r="E165" i="76" s="1"/>
  <c r="G165" i="76" s="1"/>
  <c r="C165" i="77" s="1"/>
  <c r="E165" i="77" s="1"/>
  <c r="G165" i="77" s="1"/>
  <c r="C165" i="78" s="1"/>
  <c r="E165" i="78" s="1"/>
  <c r="G165" i="78" s="1"/>
  <c r="C165" i="79" s="1"/>
  <c r="E165" i="79" s="1"/>
  <c r="G165" i="79" s="1"/>
  <c r="C166" i="76"/>
  <c r="E166" i="76" s="1"/>
  <c r="G166" i="76" s="1"/>
  <c r="C166" i="77" s="1"/>
  <c r="E166" i="77" s="1"/>
  <c r="G166" i="77" s="1"/>
  <c r="C166" i="78" s="1"/>
  <c r="E166" i="78" s="1"/>
  <c r="G166" i="78" s="1"/>
  <c r="C166" i="79" s="1"/>
  <c r="E166" i="79" s="1"/>
  <c r="G166" i="79" s="1"/>
  <c r="C135" i="76"/>
  <c r="E135" i="76" s="1"/>
  <c r="G135" i="76" s="1"/>
  <c r="C135" i="77" s="1"/>
  <c r="E135" i="77" s="1"/>
  <c r="G135" i="77" s="1"/>
  <c r="C135" i="78" s="1"/>
  <c r="E135" i="78" s="1"/>
  <c r="G135" i="78" s="1"/>
  <c r="C135" i="79" s="1"/>
  <c r="E135" i="79" s="1"/>
  <c r="G135" i="79" s="1"/>
  <c r="C148" i="76"/>
  <c r="E148" i="76" s="1"/>
  <c r="G148" i="76" s="1"/>
  <c r="C148" i="77" s="1"/>
  <c r="E148" i="77" s="1"/>
  <c r="G148" i="77" s="1"/>
  <c r="C148" i="78" s="1"/>
  <c r="E148" i="78" s="1"/>
  <c r="G148" i="78" s="1"/>
  <c r="C148" i="79" s="1"/>
  <c r="E148" i="79" s="1"/>
  <c r="G148" i="79" s="1"/>
  <c r="C69" i="76"/>
  <c r="E69" i="76" s="1"/>
  <c r="G69" i="76" s="1"/>
  <c r="C69" i="77" s="1"/>
  <c r="E69" i="77" s="1"/>
  <c r="G69" i="77" s="1"/>
  <c r="C69" i="78" s="1"/>
  <c r="E69" i="78" s="1"/>
  <c r="G69" i="78" s="1"/>
  <c r="C69" i="79" s="1"/>
  <c r="E69" i="79" s="1"/>
  <c r="G69" i="79" s="1"/>
  <c r="C158" i="76"/>
  <c r="E158" i="76" s="1"/>
  <c r="G158" i="76" s="1"/>
  <c r="C158" i="77" s="1"/>
  <c r="E158" i="77" s="1"/>
  <c r="G158" i="77" s="1"/>
  <c r="C158" i="78" s="1"/>
  <c r="E158" i="78" s="1"/>
  <c r="G158" i="78" s="1"/>
  <c r="C158" i="79" s="1"/>
  <c r="E158" i="79" s="1"/>
  <c r="G158" i="79" s="1"/>
  <c r="C123" i="76"/>
  <c r="E123" i="76" s="1"/>
  <c r="G123" i="76" s="1"/>
  <c r="C123" i="77" s="1"/>
  <c r="E123" i="77" s="1"/>
  <c r="G123" i="77" s="1"/>
  <c r="C123" i="78" s="1"/>
  <c r="E123" i="78" s="1"/>
  <c r="G123" i="78" s="1"/>
  <c r="C123" i="79" s="1"/>
  <c r="E123" i="79" s="1"/>
  <c r="G123" i="79" s="1"/>
  <c r="C63" i="76"/>
  <c r="E63" i="76" s="1"/>
  <c r="G63" i="76" s="1"/>
  <c r="C63" i="77" s="1"/>
  <c r="E63" i="77" s="1"/>
  <c r="G63" i="77" s="1"/>
  <c r="C63" i="78" s="1"/>
  <c r="E63" i="78" s="1"/>
  <c r="G63" i="78" s="1"/>
  <c r="C63" i="79" s="1"/>
  <c r="E63" i="79" s="1"/>
  <c r="G63" i="79" s="1"/>
  <c r="C83" i="76"/>
  <c r="E83" i="76" s="1"/>
  <c r="G83" i="76" s="1"/>
  <c r="C83" i="77" s="1"/>
  <c r="E83" i="77" s="1"/>
  <c r="G83" i="77" s="1"/>
  <c r="C83" i="78" s="1"/>
  <c r="E83" i="78" s="1"/>
  <c r="G83" i="78" s="1"/>
  <c r="C83" i="79" s="1"/>
  <c r="E83" i="79" s="1"/>
  <c r="G83" i="79" s="1"/>
  <c r="C130" i="76"/>
  <c r="E130" i="76" s="1"/>
  <c r="G130" i="76" s="1"/>
  <c r="C130" i="77" s="1"/>
  <c r="E130" i="77" s="1"/>
  <c r="G130" i="77" s="1"/>
  <c r="C130" i="78" s="1"/>
  <c r="E130" i="78" s="1"/>
  <c r="G130" i="78" s="1"/>
  <c r="C130" i="79" s="1"/>
  <c r="E130" i="79" s="1"/>
  <c r="G130" i="79" s="1"/>
  <c r="C39" i="76"/>
  <c r="E39" i="76" s="1"/>
  <c r="G39" i="76" s="1"/>
  <c r="C39" i="77" s="1"/>
  <c r="E39" i="77" s="1"/>
  <c r="G39" i="77" s="1"/>
  <c r="C39" i="78" s="1"/>
  <c r="E39" i="78" s="1"/>
  <c r="G39" i="78" s="1"/>
  <c r="C39" i="79" s="1"/>
  <c r="E39" i="79" s="1"/>
  <c r="G39" i="79" s="1"/>
  <c r="E39" i="80" s="1"/>
  <c r="G39" i="80" s="1"/>
  <c r="C39" i="81" s="1"/>
  <c r="E39" i="81" s="1"/>
  <c r="G39" i="81" s="1"/>
  <c r="C39" i="82" s="1"/>
  <c r="E39" i="82" s="1"/>
  <c r="G39" i="82" s="1"/>
  <c r="E39" i="83" s="1"/>
  <c r="G39" i="83" s="1"/>
  <c r="C181" i="76"/>
  <c r="E181" i="76" s="1"/>
  <c r="G181" i="76" s="1"/>
  <c r="C181" i="77" s="1"/>
  <c r="E181" i="77" s="1"/>
  <c r="G181" i="77" s="1"/>
  <c r="C181" i="78" s="1"/>
  <c r="E181" i="78" s="1"/>
  <c r="G181" i="78" s="1"/>
  <c r="C181" i="79" s="1"/>
  <c r="E181" i="79" s="1"/>
  <c r="G181" i="79" s="1"/>
  <c r="C98" i="76"/>
  <c r="E98" i="76" s="1"/>
  <c r="G98" i="76" s="1"/>
  <c r="C98" i="77" s="1"/>
  <c r="E98" i="77" s="1"/>
  <c r="G98" i="77" s="1"/>
  <c r="C98" i="78" s="1"/>
  <c r="E98" i="78" s="1"/>
  <c r="G98" i="78" s="1"/>
  <c r="C98" i="79" s="1"/>
  <c r="E98" i="79" s="1"/>
  <c r="G98" i="79" s="1"/>
  <c r="C32" i="76"/>
  <c r="E32" i="76" s="1"/>
  <c r="G32" i="76" s="1"/>
  <c r="C32" i="77" s="1"/>
  <c r="E32" i="77" s="1"/>
  <c r="G32" i="77" s="1"/>
  <c r="C32" i="78" s="1"/>
  <c r="E32" i="78" s="1"/>
  <c r="G32" i="78" s="1"/>
  <c r="C32" i="79" s="1"/>
  <c r="E32" i="79" s="1"/>
  <c r="G32" i="79" s="1"/>
  <c r="C182" i="76"/>
  <c r="E182" i="76" s="1"/>
  <c r="G182" i="76" s="1"/>
  <c r="C182" i="77" s="1"/>
  <c r="E182" i="77" s="1"/>
  <c r="G182" i="77" s="1"/>
  <c r="C182" i="78" s="1"/>
  <c r="E182" i="78" s="1"/>
  <c r="G182" i="78" s="1"/>
  <c r="C182" i="79" s="1"/>
  <c r="E182" i="79" s="1"/>
  <c r="G182" i="79" s="1"/>
  <c r="C209" i="76"/>
  <c r="E209" i="76" s="1"/>
  <c r="G209" i="76" s="1"/>
  <c r="C209" i="77" s="1"/>
  <c r="E209" i="77" s="1"/>
  <c r="G209" i="77" s="1"/>
  <c r="C209" i="78" s="1"/>
  <c r="E209" i="78" s="1"/>
  <c r="G209" i="78" s="1"/>
  <c r="C209" i="79" s="1"/>
  <c r="E209" i="79" s="1"/>
  <c r="G209" i="79" s="1"/>
  <c r="C75" i="76"/>
  <c r="E75" i="76" s="1"/>
  <c r="G75" i="76" s="1"/>
  <c r="C75" i="77" s="1"/>
  <c r="E75" i="77" s="1"/>
  <c r="G75" i="77" s="1"/>
  <c r="C75" i="78" s="1"/>
  <c r="E75" i="78" s="1"/>
  <c r="G75" i="78" s="1"/>
  <c r="C75" i="79" s="1"/>
  <c r="E75" i="79" s="1"/>
  <c r="G75" i="79" s="1"/>
  <c r="C47" i="76"/>
  <c r="E47" i="76" s="1"/>
  <c r="G47" i="76" s="1"/>
  <c r="C47" i="77" s="1"/>
  <c r="E47" i="77" s="1"/>
  <c r="G47" i="77" s="1"/>
  <c r="C47" i="78" s="1"/>
  <c r="E47" i="78" s="1"/>
  <c r="G47" i="78" s="1"/>
  <c r="C47" i="79" s="1"/>
  <c r="E47" i="79" s="1"/>
  <c r="G47" i="79" s="1"/>
  <c r="C143" i="76"/>
  <c r="E143" i="76" s="1"/>
  <c r="G143" i="76" s="1"/>
  <c r="C143" i="77" s="1"/>
  <c r="E143" i="77" s="1"/>
  <c r="G143" i="77" s="1"/>
  <c r="C143" i="78" s="1"/>
  <c r="E143" i="78" s="1"/>
  <c r="G143" i="78" s="1"/>
  <c r="C143" i="79" s="1"/>
  <c r="E143" i="79" s="1"/>
  <c r="G143" i="79" s="1"/>
  <c r="E200" i="76"/>
  <c r="G200" i="76" s="1"/>
  <c r="C200" i="77" s="1"/>
  <c r="E200" i="77" s="1"/>
  <c r="G200" i="77" s="1"/>
  <c r="C200" i="78" s="1"/>
  <c r="E200" i="78" s="1"/>
  <c r="G200" i="78" s="1"/>
  <c r="C200" i="79" s="1"/>
  <c r="E200" i="79" s="1"/>
  <c r="G200" i="79" s="1"/>
  <c r="C200" i="76"/>
  <c r="C131" i="76"/>
  <c r="E131" i="76" s="1"/>
  <c r="G131" i="76" s="1"/>
  <c r="C131" i="77" s="1"/>
  <c r="E131" i="77" s="1"/>
  <c r="G131" i="77" s="1"/>
  <c r="C131" i="78" s="1"/>
  <c r="E131" i="78" s="1"/>
  <c r="G131" i="78" s="1"/>
  <c r="C131" i="79" s="1"/>
  <c r="E131" i="79" s="1"/>
  <c r="G131" i="79" s="1"/>
  <c r="C113" i="76"/>
  <c r="E113" i="76" s="1"/>
  <c r="G113" i="76" s="1"/>
  <c r="C113" i="77" s="1"/>
  <c r="E113" i="77" s="1"/>
  <c r="G113" i="77" s="1"/>
  <c r="C113" i="78" s="1"/>
  <c r="E113" i="78" s="1"/>
  <c r="G113" i="78" s="1"/>
  <c r="C113" i="79" s="1"/>
  <c r="E113" i="79" s="1"/>
  <c r="G113" i="79" s="1"/>
  <c r="C199" i="76"/>
  <c r="E199" i="76" s="1"/>
  <c r="G199" i="76" s="1"/>
  <c r="C199" i="77" s="1"/>
  <c r="E199" i="77" s="1"/>
  <c r="G199" i="77" s="1"/>
  <c r="C199" i="78" s="1"/>
  <c r="E199" i="78" s="1"/>
  <c r="G199" i="78" s="1"/>
  <c r="C199" i="79" s="1"/>
  <c r="E199" i="79" s="1"/>
  <c r="G199" i="79" s="1"/>
  <c r="C78" i="76"/>
  <c r="E78" i="76" s="1"/>
  <c r="G78" i="76" s="1"/>
  <c r="C78" i="77" s="1"/>
  <c r="E78" i="77" s="1"/>
  <c r="G78" i="77" s="1"/>
  <c r="C78" i="78" s="1"/>
  <c r="E78" i="78" s="1"/>
  <c r="G78" i="78" s="1"/>
  <c r="C78" i="79" s="1"/>
  <c r="E78" i="79" s="1"/>
  <c r="G78" i="79" s="1"/>
  <c r="C64" i="76"/>
  <c r="E64" i="76" s="1"/>
  <c r="G64" i="76" s="1"/>
  <c r="C64" i="77" s="1"/>
  <c r="E64" i="77" s="1"/>
  <c r="G64" i="77" s="1"/>
  <c r="C64" i="78" s="1"/>
  <c r="E64" i="78" s="1"/>
  <c r="G64" i="78" s="1"/>
  <c r="C64" i="79" s="1"/>
  <c r="E64" i="79" s="1"/>
  <c r="G64" i="79" s="1"/>
  <c r="C149" i="76"/>
  <c r="E149" i="76" s="1"/>
  <c r="G149" i="76" s="1"/>
  <c r="C149" i="77" s="1"/>
  <c r="E149" i="77" s="1"/>
  <c r="G149" i="77" s="1"/>
  <c r="C149" i="78" s="1"/>
  <c r="E149" i="78" s="1"/>
  <c r="G149" i="78" s="1"/>
  <c r="C149" i="79" s="1"/>
  <c r="E149" i="79" s="1"/>
  <c r="G149" i="79" s="1"/>
  <c r="C186" i="76"/>
  <c r="E186" i="76" s="1"/>
  <c r="G186" i="76" s="1"/>
  <c r="C186" i="77" s="1"/>
  <c r="E186" i="77" s="1"/>
  <c r="G186" i="77" s="1"/>
  <c r="C186" i="78" s="1"/>
  <c r="E186" i="78" s="1"/>
  <c r="G186" i="78" s="1"/>
  <c r="C186" i="79" s="1"/>
  <c r="E186" i="79" s="1"/>
  <c r="G186" i="79" s="1"/>
  <c r="C188" i="76"/>
  <c r="E188" i="76" s="1"/>
  <c r="G188" i="76" s="1"/>
  <c r="C188" i="77" s="1"/>
  <c r="E188" i="77" s="1"/>
  <c r="G188" i="77" s="1"/>
  <c r="C188" i="78" s="1"/>
  <c r="E188" i="78" s="1"/>
  <c r="G188" i="78" s="1"/>
  <c r="C188" i="79" s="1"/>
  <c r="E188" i="79" s="1"/>
  <c r="G188" i="79" s="1"/>
  <c r="C168" i="76"/>
  <c r="E168" i="76" s="1"/>
  <c r="G168" i="76" s="1"/>
  <c r="C168" i="77" s="1"/>
  <c r="E168" i="77" s="1"/>
  <c r="G168" i="77" s="1"/>
  <c r="C168" i="78" s="1"/>
  <c r="E168" i="78" s="1"/>
  <c r="G168" i="78" s="1"/>
  <c r="C168" i="79" s="1"/>
  <c r="E168" i="79" s="1"/>
  <c r="G168" i="79" s="1"/>
  <c r="C178" i="76"/>
  <c r="E178" i="76" s="1"/>
  <c r="G178" i="76" s="1"/>
  <c r="C178" i="77" s="1"/>
  <c r="E178" i="77" s="1"/>
  <c r="G178" i="77" s="1"/>
  <c r="C178" i="78" s="1"/>
  <c r="E178" i="78" s="1"/>
  <c r="G178" i="78" s="1"/>
  <c r="C178" i="79" s="1"/>
  <c r="E178" i="79" s="1"/>
  <c r="G178" i="79" s="1"/>
  <c r="C160" i="76"/>
  <c r="E160" i="76" s="1"/>
  <c r="G160" i="76" s="1"/>
  <c r="C160" i="77" s="1"/>
  <c r="E160" i="77" s="1"/>
  <c r="G160" i="77" s="1"/>
  <c r="C160" i="78" s="1"/>
  <c r="E160" i="78" s="1"/>
  <c r="G160" i="78" s="1"/>
  <c r="C160" i="79" s="1"/>
  <c r="E160" i="79" s="1"/>
  <c r="G160" i="79" s="1"/>
  <c r="C102" i="76"/>
  <c r="E102" i="76" s="1"/>
  <c r="G102" i="76" s="1"/>
  <c r="C102" i="77" s="1"/>
  <c r="E102" i="77" s="1"/>
  <c r="G102" i="77" s="1"/>
  <c r="C102" i="78" s="1"/>
  <c r="E102" i="78" s="1"/>
  <c r="G102" i="78" s="1"/>
  <c r="C102" i="79" s="1"/>
  <c r="E102" i="79" s="1"/>
  <c r="G102" i="79" s="1"/>
  <c r="C201" i="76"/>
  <c r="E201" i="76" s="1"/>
  <c r="G201" i="76" s="1"/>
  <c r="C201" i="77" s="1"/>
  <c r="E201" i="77" s="1"/>
  <c r="G201" i="77" s="1"/>
  <c r="C201" i="78" s="1"/>
  <c r="E201" i="78" s="1"/>
  <c r="G201" i="78" s="1"/>
  <c r="C201" i="79" s="1"/>
  <c r="E201" i="79" s="1"/>
  <c r="G201" i="79" s="1"/>
  <c r="C198" i="76"/>
  <c r="E198" i="76" s="1"/>
  <c r="G198" i="76" s="1"/>
  <c r="C198" i="77" s="1"/>
  <c r="E198" i="77" s="1"/>
  <c r="G198" i="77" s="1"/>
  <c r="C198" i="78" s="1"/>
  <c r="E198" i="78" s="1"/>
  <c r="G198" i="78" s="1"/>
  <c r="C198" i="79" s="1"/>
  <c r="E198" i="79" s="1"/>
  <c r="G198" i="79" s="1"/>
  <c r="C120" i="76"/>
  <c r="E120" i="76" s="1"/>
  <c r="G120" i="76" s="1"/>
  <c r="C120" i="77" s="1"/>
  <c r="E120" i="77" s="1"/>
  <c r="G120" i="77" s="1"/>
  <c r="C120" i="78" s="1"/>
  <c r="E120" i="78" s="1"/>
  <c r="G120" i="78" s="1"/>
  <c r="C120" i="79" s="1"/>
  <c r="E120" i="79" s="1"/>
  <c r="G120" i="79" s="1"/>
  <c r="C195" i="76"/>
  <c r="E195" i="76" s="1"/>
  <c r="G195" i="76" s="1"/>
  <c r="C195" i="77" s="1"/>
  <c r="E195" i="77" s="1"/>
  <c r="G195" i="77" s="1"/>
  <c r="C195" i="78" s="1"/>
  <c r="E195" i="78" s="1"/>
  <c r="G195" i="78" s="1"/>
  <c r="C195" i="79" s="1"/>
  <c r="E195" i="79" s="1"/>
  <c r="G195" i="79" s="1"/>
  <c r="C190" i="76"/>
  <c r="E190" i="76" s="1"/>
  <c r="G190" i="76" s="1"/>
  <c r="C190" i="77" s="1"/>
  <c r="E190" i="77" s="1"/>
  <c r="G190" i="77" s="1"/>
  <c r="C190" i="78" s="1"/>
  <c r="E190" i="78" s="1"/>
  <c r="G190" i="78" s="1"/>
  <c r="C190" i="79" s="1"/>
  <c r="E190" i="79" s="1"/>
  <c r="G190" i="79" s="1"/>
  <c r="C24" i="76"/>
  <c r="E24" i="76" s="1"/>
  <c r="G24" i="76" s="1"/>
  <c r="C24" i="77" s="1"/>
  <c r="E24" i="77" s="1"/>
  <c r="G24" i="77" s="1"/>
  <c r="C24" i="78" s="1"/>
  <c r="E24" i="78" s="1"/>
  <c r="G24" i="78" s="1"/>
  <c r="C24" i="79" s="1"/>
  <c r="E24" i="79" s="1"/>
  <c r="G24" i="79" s="1"/>
  <c r="C129" i="76"/>
  <c r="E129" i="76" s="1"/>
  <c r="G129" i="76" s="1"/>
  <c r="C129" i="77" s="1"/>
  <c r="E129" i="77" s="1"/>
  <c r="G129" i="77" s="1"/>
  <c r="C129" i="78" s="1"/>
  <c r="E129" i="78" s="1"/>
  <c r="G129" i="78" s="1"/>
  <c r="C129" i="79" s="1"/>
  <c r="E129" i="79" s="1"/>
  <c r="G129" i="79" s="1"/>
  <c r="E86" i="76"/>
  <c r="G86" i="76" s="1"/>
  <c r="C86" i="77" s="1"/>
  <c r="E86" i="77" s="1"/>
  <c r="G86" i="77" s="1"/>
  <c r="C86" i="78" s="1"/>
  <c r="E86" i="78" s="1"/>
  <c r="G86" i="78" s="1"/>
  <c r="C86" i="79" s="1"/>
  <c r="E86" i="79" s="1"/>
  <c r="G86" i="79" s="1"/>
  <c r="C86" i="76"/>
  <c r="C45" i="76"/>
  <c r="E45" i="76" s="1"/>
  <c r="G45" i="76" s="1"/>
  <c r="C45" i="77" s="1"/>
  <c r="E45" i="77" s="1"/>
  <c r="G45" i="77" s="1"/>
  <c r="C45" i="78" s="1"/>
  <c r="E45" i="78" s="1"/>
  <c r="G45" i="78" s="1"/>
  <c r="C45" i="79" s="1"/>
  <c r="E45" i="79" s="1"/>
  <c r="G45" i="79" s="1"/>
  <c r="C82" i="76"/>
  <c r="E82" i="76" s="1"/>
  <c r="G82" i="76" s="1"/>
  <c r="C82" i="77" s="1"/>
  <c r="E82" i="77" s="1"/>
  <c r="G82" i="77" s="1"/>
  <c r="C82" i="78" s="1"/>
  <c r="E82" i="78" s="1"/>
  <c r="G82" i="78" s="1"/>
  <c r="C82" i="79" s="1"/>
  <c r="E82" i="79" s="1"/>
  <c r="G82" i="79" s="1"/>
  <c r="C25" i="76"/>
  <c r="E25" i="76" s="1"/>
  <c r="G25" i="76" s="1"/>
  <c r="C25" i="77" s="1"/>
  <c r="E25" i="77" s="1"/>
  <c r="G25" i="77" s="1"/>
  <c r="C25" i="78" s="1"/>
  <c r="E25" i="78" s="1"/>
  <c r="G25" i="78" s="1"/>
  <c r="C25" i="79" s="1"/>
  <c r="E25" i="79" s="1"/>
  <c r="G25" i="79" s="1"/>
  <c r="C164" i="76"/>
  <c r="E164" i="76" s="1"/>
  <c r="G164" i="76" s="1"/>
  <c r="C164" i="77" s="1"/>
  <c r="E164" i="77" s="1"/>
  <c r="G164" i="77" s="1"/>
  <c r="C164" i="78" s="1"/>
  <c r="E164" i="78" s="1"/>
  <c r="G164" i="78" s="1"/>
  <c r="C164" i="79" s="1"/>
  <c r="E164" i="79" s="1"/>
  <c r="G164" i="79" s="1"/>
  <c r="C204" i="76"/>
  <c r="E204" i="76" s="1"/>
  <c r="G204" i="76" s="1"/>
  <c r="C204" i="77" s="1"/>
  <c r="E204" i="77" s="1"/>
  <c r="G204" i="77" s="1"/>
  <c r="C204" i="78" s="1"/>
  <c r="E204" i="78" s="1"/>
  <c r="G204" i="78" s="1"/>
  <c r="C204" i="79" s="1"/>
  <c r="E204" i="79" s="1"/>
  <c r="G204" i="79" s="1"/>
  <c r="C150" i="76"/>
  <c r="E150" i="76" s="1"/>
  <c r="G150" i="76" s="1"/>
  <c r="C150" i="77" s="1"/>
  <c r="E150" i="77" s="1"/>
  <c r="G150" i="77" s="1"/>
  <c r="C150" i="78" s="1"/>
  <c r="E150" i="78" s="1"/>
  <c r="G150" i="78" s="1"/>
  <c r="C150" i="79" s="1"/>
  <c r="E150" i="79" s="1"/>
  <c r="G150" i="79" s="1"/>
  <c r="C92" i="76"/>
  <c r="E92" i="76" s="1"/>
  <c r="G92" i="76" s="1"/>
  <c r="C92" i="77" s="1"/>
  <c r="E92" i="77" s="1"/>
  <c r="G92" i="77" s="1"/>
  <c r="C92" i="78" s="1"/>
  <c r="E92" i="78" s="1"/>
  <c r="G92" i="78" s="1"/>
  <c r="C92" i="79" s="1"/>
  <c r="E92" i="79" s="1"/>
  <c r="G92" i="79" s="1"/>
  <c r="E52" i="76"/>
  <c r="G52" i="76" s="1"/>
  <c r="C52" i="77" s="1"/>
  <c r="E52" i="77" s="1"/>
  <c r="G52" i="77" s="1"/>
  <c r="C52" i="78" s="1"/>
  <c r="E52" i="78" s="1"/>
  <c r="G52" i="78" s="1"/>
  <c r="C52" i="79" s="1"/>
  <c r="E52" i="79" s="1"/>
  <c r="G52" i="79" s="1"/>
  <c r="C52" i="76"/>
  <c r="C85" i="76"/>
  <c r="E85" i="76" s="1"/>
  <c r="G85" i="76" s="1"/>
  <c r="C85" i="77" s="1"/>
  <c r="E85" i="77" s="1"/>
  <c r="G85" i="77" s="1"/>
  <c r="C85" i="78" s="1"/>
  <c r="E85" i="78" s="1"/>
  <c r="G85" i="78" s="1"/>
  <c r="C85" i="79" s="1"/>
  <c r="E85" i="79" s="1"/>
  <c r="G85" i="79" s="1"/>
  <c r="C210" i="76"/>
  <c r="E210" i="76" s="1"/>
  <c r="G210" i="76" s="1"/>
  <c r="C210" i="77" s="1"/>
  <c r="E210" i="77" s="1"/>
  <c r="G210" i="77" s="1"/>
  <c r="C210" i="78" s="1"/>
  <c r="E210" i="78" s="1"/>
  <c r="G210" i="78" s="1"/>
  <c r="C210" i="79" s="1"/>
  <c r="E210" i="79" s="1"/>
  <c r="G210" i="79" s="1"/>
  <c r="C153" i="76"/>
  <c r="E153" i="76" s="1"/>
  <c r="G153" i="76" s="1"/>
  <c r="C153" i="77" s="1"/>
  <c r="E153" i="77" s="1"/>
  <c r="G153" i="77" s="1"/>
  <c r="C153" i="78" s="1"/>
  <c r="E153" i="78" s="1"/>
  <c r="G153" i="78" s="1"/>
  <c r="C153" i="79" s="1"/>
  <c r="E153" i="79" s="1"/>
  <c r="G153" i="79" s="1"/>
  <c r="C90" i="76"/>
  <c r="E90" i="76" s="1"/>
  <c r="G90" i="76" s="1"/>
  <c r="C90" i="77" s="1"/>
  <c r="E90" i="77" s="1"/>
  <c r="G90" i="77" s="1"/>
  <c r="C90" i="78" s="1"/>
  <c r="E90" i="78" s="1"/>
  <c r="G90" i="78" s="1"/>
  <c r="C90" i="79" s="1"/>
  <c r="E90" i="79" s="1"/>
  <c r="G90" i="79" s="1"/>
  <c r="C137" i="76"/>
  <c r="E137" i="76" s="1"/>
  <c r="G137" i="76" s="1"/>
  <c r="C137" i="77" s="1"/>
  <c r="E137" i="77" s="1"/>
  <c r="G137" i="77" s="1"/>
  <c r="C137" i="78" s="1"/>
  <c r="E137" i="78" s="1"/>
  <c r="G137" i="78" s="1"/>
  <c r="C137" i="79" s="1"/>
  <c r="E137" i="79" s="1"/>
  <c r="G137" i="79" s="1"/>
  <c r="C62" i="76"/>
  <c r="E62" i="76" s="1"/>
  <c r="G62" i="76" s="1"/>
  <c r="C62" i="77" s="1"/>
  <c r="E62" i="77" s="1"/>
  <c r="G62" i="77" s="1"/>
  <c r="C62" i="78" s="1"/>
  <c r="E62" i="78" s="1"/>
  <c r="G62" i="78" s="1"/>
  <c r="C62" i="79" s="1"/>
  <c r="E62" i="79" s="1"/>
  <c r="G62" i="79" s="1"/>
  <c r="C106" i="76"/>
  <c r="E106" i="76" s="1"/>
  <c r="G106" i="76" s="1"/>
  <c r="C106" i="77" s="1"/>
  <c r="E106" i="77" s="1"/>
  <c r="G106" i="77" s="1"/>
  <c r="C106" i="78" s="1"/>
  <c r="E106" i="78" s="1"/>
  <c r="G106" i="78" s="1"/>
  <c r="C106" i="79" s="1"/>
  <c r="E106" i="79" s="1"/>
  <c r="G106" i="79" s="1"/>
  <c r="E100" i="76"/>
  <c r="G100" i="76" s="1"/>
  <c r="C100" i="77" s="1"/>
  <c r="E100" i="77" s="1"/>
  <c r="G100" i="77" s="1"/>
  <c r="C100" i="78" s="1"/>
  <c r="E100" i="78" s="1"/>
  <c r="G100" i="78" s="1"/>
  <c r="C100" i="79" s="1"/>
  <c r="E100" i="79" s="1"/>
  <c r="G100" i="79" s="1"/>
  <c r="C100" i="76"/>
  <c r="C138" i="76"/>
  <c r="E138" i="76" s="1"/>
  <c r="G138" i="76" s="1"/>
  <c r="C138" i="77" s="1"/>
  <c r="E138" i="77" s="1"/>
  <c r="G138" i="77" s="1"/>
  <c r="C138" i="78" s="1"/>
  <c r="E138" i="78" s="1"/>
  <c r="G138" i="78" s="1"/>
  <c r="C138" i="79" s="1"/>
  <c r="E138" i="79" s="1"/>
  <c r="G138" i="79" s="1"/>
  <c r="C194" i="76"/>
  <c r="E194" i="76" s="1"/>
  <c r="G194" i="76" s="1"/>
  <c r="C194" i="77" s="1"/>
  <c r="E194" i="77" s="1"/>
  <c r="G194" i="77" s="1"/>
  <c r="C194" i="78" s="1"/>
  <c r="E194" i="78" s="1"/>
  <c r="G194" i="78" s="1"/>
  <c r="C194" i="79" s="1"/>
  <c r="E194" i="79" s="1"/>
  <c r="G194" i="79" s="1"/>
  <c r="C17" i="76"/>
  <c r="E17" i="76" s="1"/>
  <c r="G17" i="76" s="1"/>
  <c r="C17" i="77" s="1"/>
  <c r="E17" i="77" s="1"/>
  <c r="G17" i="77" s="1"/>
  <c r="C17" i="78" s="1"/>
  <c r="E17" i="78" s="1"/>
  <c r="G17" i="78" s="1"/>
  <c r="C17" i="79" s="1"/>
  <c r="E17" i="79" s="1"/>
  <c r="G17" i="79" s="1"/>
  <c r="C156" i="76"/>
  <c r="E156" i="76" s="1"/>
  <c r="G156" i="76" s="1"/>
  <c r="C156" i="77" s="1"/>
  <c r="E156" i="77" s="1"/>
  <c r="G156" i="77" s="1"/>
  <c r="C156" i="78" s="1"/>
  <c r="E156" i="78" s="1"/>
  <c r="G156" i="78" s="1"/>
  <c r="C156" i="79" s="1"/>
  <c r="E156" i="79" s="1"/>
  <c r="G156" i="79" s="1"/>
  <c r="C73" i="76"/>
  <c r="E73" i="76" s="1"/>
  <c r="G73" i="76" s="1"/>
  <c r="C73" i="77" s="1"/>
  <c r="E73" i="77" s="1"/>
  <c r="G73" i="77" s="1"/>
  <c r="C73" i="78" s="1"/>
  <c r="E73" i="78" s="1"/>
  <c r="G73" i="78" s="1"/>
  <c r="C73" i="79" s="1"/>
  <c r="E73" i="79" s="1"/>
  <c r="G73" i="79" s="1"/>
  <c r="C212" i="76"/>
  <c r="E212" i="76" s="1"/>
  <c r="G212" i="76" s="1"/>
  <c r="C212" i="77" s="1"/>
  <c r="E212" i="77" s="1"/>
  <c r="G212" i="77" s="1"/>
  <c r="C212" i="78" s="1"/>
  <c r="E212" i="78" s="1"/>
  <c r="G212" i="78" s="1"/>
  <c r="C212" i="79" s="1"/>
  <c r="E212" i="79" s="1"/>
  <c r="G212" i="79" s="1"/>
  <c r="C41" i="76"/>
  <c r="E41" i="76" s="1"/>
  <c r="G41" i="76" s="1"/>
  <c r="C41" i="77" s="1"/>
  <c r="E41" i="77" s="1"/>
  <c r="G41" i="77" s="1"/>
  <c r="C41" i="78" s="1"/>
  <c r="E41" i="78" s="1"/>
  <c r="G41" i="78" s="1"/>
  <c r="C41" i="79" s="1"/>
  <c r="E41" i="79" s="1"/>
  <c r="G41" i="79" s="1"/>
  <c r="C126" i="76"/>
  <c r="E126" i="76" s="1"/>
  <c r="G126" i="76" s="1"/>
  <c r="C126" i="77" s="1"/>
  <c r="E126" i="77" s="1"/>
  <c r="G126" i="77" s="1"/>
  <c r="C126" i="78" s="1"/>
  <c r="E126" i="78" s="1"/>
  <c r="G126" i="78" s="1"/>
  <c r="C126" i="79" s="1"/>
  <c r="E126" i="79" s="1"/>
  <c r="G126" i="79" s="1"/>
  <c r="C179" i="76"/>
  <c r="E179" i="76" s="1"/>
  <c r="G179" i="76" s="1"/>
  <c r="C179" i="77" s="1"/>
  <c r="E179" i="77" s="1"/>
  <c r="G179" i="77" s="1"/>
  <c r="C179" i="78" s="1"/>
  <c r="E179" i="78" s="1"/>
  <c r="G179" i="78" s="1"/>
  <c r="C179" i="79" s="1"/>
  <c r="E179" i="79" s="1"/>
  <c r="G179" i="79" s="1"/>
  <c r="C89" i="76"/>
  <c r="E89" i="76" s="1"/>
  <c r="G89" i="76" s="1"/>
  <c r="C89" i="77" s="1"/>
  <c r="E89" i="77" s="1"/>
  <c r="G89" i="77" s="1"/>
  <c r="C89" i="78" s="1"/>
  <c r="E89" i="78" s="1"/>
  <c r="G89" i="78" s="1"/>
  <c r="C89" i="79" s="1"/>
  <c r="E89" i="79" s="1"/>
  <c r="G89" i="79" s="1"/>
  <c r="C76" i="76"/>
  <c r="E76" i="76" s="1"/>
  <c r="G76" i="76" s="1"/>
  <c r="C76" i="77" s="1"/>
  <c r="E76" i="77" s="1"/>
  <c r="G76" i="77" s="1"/>
  <c r="C76" i="78" s="1"/>
  <c r="E76" i="78" s="1"/>
  <c r="G76" i="78" s="1"/>
  <c r="C76" i="79" s="1"/>
  <c r="E76" i="79" s="1"/>
  <c r="G76" i="79" s="1"/>
  <c r="C207" i="76"/>
  <c r="E207" i="76" s="1"/>
  <c r="G207" i="76" s="1"/>
  <c r="C207" i="77" s="1"/>
  <c r="E207" i="77" s="1"/>
  <c r="G207" i="77" s="1"/>
  <c r="C207" i="78" s="1"/>
  <c r="E207" i="78" s="1"/>
  <c r="G207" i="78" s="1"/>
  <c r="C207" i="79" s="1"/>
  <c r="E207" i="79" s="1"/>
  <c r="G207" i="79" s="1"/>
  <c r="C206" i="76"/>
  <c r="E206" i="76" s="1"/>
  <c r="G206" i="76" s="1"/>
  <c r="C206" i="77" s="1"/>
  <c r="E206" i="77" s="1"/>
  <c r="G206" i="77" s="1"/>
  <c r="C206" i="78" s="1"/>
  <c r="E206" i="78" s="1"/>
  <c r="G206" i="78" s="1"/>
  <c r="C206" i="79" s="1"/>
  <c r="E206" i="79" s="1"/>
  <c r="G206" i="79" s="1"/>
  <c r="C18" i="76"/>
  <c r="E18" i="76" s="1"/>
  <c r="G18" i="76" s="1"/>
  <c r="C18" i="77" s="1"/>
  <c r="E18" i="77" s="1"/>
  <c r="G18" i="77" s="1"/>
  <c r="C18" i="78" s="1"/>
  <c r="E18" i="78" s="1"/>
  <c r="G18" i="78" s="1"/>
  <c r="C18" i="79" s="1"/>
  <c r="E18" i="79" s="1"/>
  <c r="G18" i="79" s="1"/>
  <c r="C31" i="76"/>
  <c r="E31" i="76" s="1"/>
  <c r="G31" i="76" s="1"/>
  <c r="C31" i="77" s="1"/>
  <c r="E31" i="77" s="1"/>
  <c r="G31" i="77" s="1"/>
  <c r="C31" i="78" s="1"/>
  <c r="E31" i="78" s="1"/>
  <c r="G31" i="78" s="1"/>
  <c r="C31" i="79" s="1"/>
  <c r="E31" i="79" s="1"/>
  <c r="G31" i="79" s="1"/>
  <c r="E185" i="76"/>
  <c r="G185" i="76" s="1"/>
  <c r="C185" i="77" s="1"/>
  <c r="E185" i="77" s="1"/>
  <c r="G185" i="77" s="1"/>
  <c r="C185" i="78" s="1"/>
  <c r="E185" i="78" s="1"/>
  <c r="G185" i="78" s="1"/>
  <c r="C185" i="79" s="1"/>
  <c r="E185" i="79" s="1"/>
  <c r="G185" i="79" s="1"/>
  <c r="C185" i="76"/>
  <c r="C43" i="76"/>
  <c r="E43" i="76" s="1"/>
  <c r="G43" i="76" s="1"/>
  <c r="C43" i="77" s="1"/>
  <c r="E43" i="77" s="1"/>
  <c r="G43" i="77" s="1"/>
  <c r="C43" i="78" s="1"/>
  <c r="E43" i="78" s="1"/>
  <c r="G43" i="78" s="1"/>
  <c r="C43" i="79" s="1"/>
  <c r="E43" i="79" s="1"/>
  <c r="G43" i="79" s="1"/>
  <c r="C54" i="76"/>
  <c r="E54" i="76" s="1"/>
  <c r="G54" i="76" s="1"/>
  <c r="C54" i="77" s="1"/>
  <c r="E54" i="77" s="1"/>
  <c r="G54" i="77" s="1"/>
  <c r="C54" i="78" s="1"/>
  <c r="E54" i="78" s="1"/>
  <c r="G54" i="78" s="1"/>
  <c r="C54" i="79" s="1"/>
  <c r="E54" i="79" s="1"/>
  <c r="G54" i="79" s="1"/>
  <c r="C61" i="76"/>
  <c r="E61" i="76" s="1"/>
  <c r="G61" i="76" s="1"/>
  <c r="C61" i="77" s="1"/>
  <c r="E61" i="77" s="1"/>
  <c r="G61" i="77" s="1"/>
  <c r="C61" i="78" s="1"/>
  <c r="E61" i="78" s="1"/>
  <c r="G61" i="78" s="1"/>
  <c r="C61" i="79" s="1"/>
  <c r="E61" i="79" s="1"/>
  <c r="G61" i="79" s="1"/>
  <c r="C193" i="76"/>
  <c r="E193" i="76" s="1"/>
  <c r="G193" i="76" s="1"/>
  <c r="C193" i="77" s="1"/>
  <c r="E193" i="77" s="1"/>
  <c r="G193" i="77" s="1"/>
  <c r="C193" i="78" s="1"/>
  <c r="E193" i="78" s="1"/>
  <c r="G193" i="78" s="1"/>
  <c r="C193" i="79" s="1"/>
  <c r="E193" i="79" s="1"/>
  <c r="G193" i="79" s="1"/>
  <c r="C213" i="76"/>
  <c r="E213" i="76" s="1"/>
  <c r="G213" i="76" s="1"/>
  <c r="C213" i="77" s="1"/>
  <c r="E213" i="77" s="1"/>
  <c r="G213" i="77" s="1"/>
  <c r="C213" i="78" s="1"/>
  <c r="E213" i="78" s="1"/>
  <c r="G213" i="78" s="1"/>
  <c r="C213" i="79" s="1"/>
  <c r="E213" i="79" s="1"/>
  <c r="G213" i="79" s="1"/>
  <c r="C163" i="76"/>
  <c r="E163" i="76" s="1"/>
  <c r="G163" i="76" s="1"/>
  <c r="C163" i="77" s="1"/>
  <c r="E163" i="77" s="1"/>
  <c r="G163" i="77" s="1"/>
  <c r="C163" i="78" s="1"/>
  <c r="E163" i="78" s="1"/>
  <c r="G163" i="78" s="1"/>
  <c r="C163" i="79" s="1"/>
  <c r="E163" i="79" s="1"/>
  <c r="G163" i="79" s="1"/>
  <c r="C96" i="76"/>
  <c r="E96" i="76" s="1"/>
  <c r="G96" i="76" s="1"/>
  <c r="C96" i="77" s="1"/>
  <c r="E96" i="77" s="1"/>
  <c r="G96" i="77" s="1"/>
  <c r="C96" i="78" s="1"/>
  <c r="E96" i="78" s="1"/>
  <c r="G96" i="78" s="1"/>
  <c r="C96" i="79" s="1"/>
  <c r="E96" i="79" s="1"/>
  <c r="G96" i="79" s="1"/>
  <c r="C51" i="76"/>
  <c r="E51" i="76" s="1"/>
  <c r="G51" i="76" s="1"/>
  <c r="C51" i="77" s="1"/>
  <c r="E51" i="77" s="1"/>
  <c r="G51" i="77" s="1"/>
  <c r="C51" i="78" s="1"/>
  <c r="E51" i="78" s="1"/>
  <c r="G51" i="78" s="1"/>
  <c r="C51" i="79" s="1"/>
  <c r="E51" i="79" s="1"/>
  <c r="G51" i="79" s="1"/>
  <c r="C208" i="76"/>
  <c r="E208" i="76" s="1"/>
  <c r="G208" i="76" s="1"/>
  <c r="C208" i="77" s="1"/>
  <c r="E208" i="77" s="1"/>
  <c r="G208" i="77" s="1"/>
  <c r="C208" i="78" s="1"/>
  <c r="E208" i="78" s="1"/>
  <c r="G208" i="78" s="1"/>
  <c r="C208" i="79" s="1"/>
  <c r="E208" i="79" s="1"/>
  <c r="G208" i="79" s="1"/>
  <c r="C91" i="76"/>
  <c r="E91" i="76" s="1"/>
  <c r="G91" i="76" s="1"/>
  <c r="C91" i="77" s="1"/>
  <c r="E91" i="77" s="1"/>
  <c r="G91" i="77" s="1"/>
  <c r="C91" i="78" s="1"/>
  <c r="E91" i="78" s="1"/>
  <c r="G91" i="78" s="1"/>
  <c r="C91" i="79" s="1"/>
  <c r="E91" i="79" s="1"/>
  <c r="G91" i="79" s="1"/>
  <c r="C173" i="76"/>
  <c r="E173" i="76" s="1"/>
  <c r="G173" i="76" s="1"/>
  <c r="C173" i="77" s="1"/>
  <c r="E173" i="77" s="1"/>
  <c r="G173" i="77" s="1"/>
  <c r="C173" i="78" s="1"/>
  <c r="E173" i="78" s="1"/>
  <c r="G173" i="78" s="1"/>
  <c r="C173" i="79" s="1"/>
  <c r="E173" i="79" s="1"/>
  <c r="G173" i="79" s="1"/>
  <c r="E146" i="76"/>
  <c r="G146" i="76" s="1"/>
  <c r="C146" i="77" s="1"/>
  <c r="E146" i="77" s="1"/>
  <c r="G146" i="77" s="1"/>
  <c r="C146" i="78" s="1"/>
  <c r="E146" i="78" s="1"/>
  <c r="G146" i="78" s="1"/>
  <c r="C146" i="79" s="1"/>
  <c r="E146" i="79" s="1"/>
  <c r="G146" i="79" s="1"/>
  <c r="C146" i="76"/>
  <c r="C107" i="76"/>
  <c r="E107" i="76" s="1"/>
  <c r="G107" i="76" s="1"/>
  <c r="C107" i="77" s="1"/>
  <c r="E107" i="77" s="1"/>
  <c r="G107" i="77" s="1"/>
  <c r="C107" i="78" s="1"/>
  <c r="E107" i="78" s="1"/>
  <c r="G107" i="78" s="1"/>
  <c r="C107" i="79" s="1"/>
  <c r="E107" i="79" s="1"/>
  <c r="G107" i="79" s="1"/>
  <c r="C27" i="76"/>
  <c r="E27" i="76" s="1"/>
  <c r="G27" i="76" s="1"/>
  <c r="C27" i="77" s="1"/>
  <c r="E27" i="77" s="1"/>
  <c r="G27" i="77" s="1"/>
  <c r="C27" i="78" s="1"/>
  <c r="E27" i="78" s="1"/>
  <c r="G27" i="78" s="1"/>
  <c r="C27" i="79" s="1"/>
  <c r="E27" i="79" s="1"/>
  <c r="G27" i="79" s="1"/>
  <c r="C172" i="76"/>
  <c r="E172" i="76" s="1"/>
  <c r="G172" i="76" s="1"/>
  <c r="C172" i="77" s="1"/>
  <c r="E172" i="77" s="1"/>
  <c r="G172" i="77" s="1"/>
  <c r="C172" i="78" s="1"/>
  <c r="E172" i="78" s="1"/>
  <c r="G172" i="78" s="1"/>
  <c r="C172" i="79" s="1"/>
  <c r="E172" i="79" s="1"/>
  <c r="G172" i="79" s="1"/>
  <c r="E157" i="76"/>
  <c r="G157" i="76" s="1"/>
  <c r="C157" i="77" s="1"/>
  <c r="E157" i="77" s="1"/>
  <c r="G157" i="77" s="1"/>
  <c r="C157" i="78" s="1"/>
  <c r="E157" i="78" s="1"/>
  <c r="G157" i="78" s="1"/>
  <c r="C157" i="79" s="1"/>
  <c r="E157" i="79" s="1"/>
  <c r="G157" i="79" s="1"/>
  <c r="C157" i="76"/>
  <c r="C119" i="76"/>
  <c r="E119" i="76" s="1"/>
  <c r="G119" i="76" s="1"/>
  <c r="C119" i="77" s="1"/>
  <c r="E119" i="77" s="1"/>
  <c r="G119" i="77" s="1"/>
  <c r="C119" i="78" s="1"/>
  <c r="E119" i="78" s="1"/>
  <c r="G119" i="78" s="1"/>
  <c r="C119" i="79" s="1"/>
  <c r="E119" i="79" s="1"/>
  <c r="G119" i="79" s="1"/>
  <c r="C26" i="76"/>
  <c r="E26" i="76" s="1"/>
  <c r="G26" i="76" s="1"/>
  <c r="C26" i="77" s="1"/>
  <c r="E26" i="77" s="1"/>
  <c r="G26" i="77" s="1"/>
  <c r="C26" i="78" s="1"/>
  <c r="E26" i="78" s="1"/>
  <c r="G26" i="78" s="1"/>
  <c r="C26" i="79" s="1"/>
  <c r="E26" i="79" s="1"/>
  <c r="G26" i="79" s="1"/>
  <c r="C117" i="76"/>
  <c r="E117" i="76" s="1"/>
  <c r="G117" i="76" s="1"/>
  <c r="C117" i="77" s="1"/>
  <c r="E117" i="77" s="1"/>
  <c r="G117" i="77" s="1"/>
  <c r="C117" i="78" s="1"/>
  <c r="E117" i="78" s="1"/>
  <c r="G117" i="78" s="1"/>
  <c r="C117" i="79" s="1"/>
  <c r="E117" i="79" s="1"/>
  <c r="G117" i="79" s="1"/>
  <c r="C105" i="76"/>
  <c r="E105" i="76" s="1"/>
  <c r="G105" i="76" s="1"/>
  <c r="C105" i="77" s="1"/>
  <c r="E105" i="77" s="1"/>
  <c r="G105" i="77" s="1"/>
  <c r="C105" i="78" s="1"/>
  <c r="E105" i="78" s="1"/>
  <c r="G105" i="78" s="1"/>
  <c r="C105" i="79" s="1"/>
  <c r="E105" i="79" s="1"/>
  <c r="G105" i="79" s="1"/>
  <c r="C88" i="76"/>
  <c r="E88" i="76" s="1"/>
  <c r="G88" i="76" s="1"/>
  <c r="C88" i="77" s="1"/>
  <c r="E88" i="77" s="1"/>
  <c r="G88" i="77" s="1"/>
  <c r="C88" i="78" s="1"/>
  <c r="E88" i="78" s="1"/>
  <c r="G88" i="78" s="1"/>
  <c r="C88" i="79" s="1"/>
  <c r="E88" i="79" s="1"/>
  <c r="G88" i="79" s="1"/>
  <c r="C122" i="76"/>
  <c r="E122" i="76" s="1"/>
  <c r="G122" i="76" s="1"/>
  <c r="C122" i="77" s="1"/>
  <c r="E122" i="77" s="1"/>
  <c r="G122" i="77" s="1"/>
  <c r="C122" i="78" s="1"/>
  <c r="E122" i="78" s="1"/>
  <c r="G122" i="78" s="1"/>
  <c r="C122" i="79" s="1"/>
  <c r="E122" i="79" s="1"/>
  <c r="G122" i="79" s="1"/>
  <c r="C65" i="76"/>
  <c r="E65" i="76" s="1"/>
  <c r="G65" i="76" s="1"/>
  <c r="C65" i="77" s="1"/>
  <c r="E65" i="77" s="1"/>
  <c r="G65" i="77" s="1"/>
  <c r="C65" i="78" s="1"/>
  <c r="E65" i="78" s="1"/>
  <c r="G65" i="78" s="1"/>
  <c r="C65" i="79" s="1"/>
  <c r="E65" i="79" s="1"/>
  <c r="G65" i="79" s="1"/>
  <c r="C58" i="76"/>
  <c r="E58" i="76" s="1"/>
  <c r="G58" i="76" s="1"/>
  <c r="C58" i="77" s="1"/>
  <c r="E58" i="77" s="1"/>
  <c r="G58" i="77" s="1"/>
  <c r="C58" i="78" s="1"/>
  <c r="E58" i="78" s="1"/>
  <c r="G58" i="78" s="1"/>
  <c r="C58" i="79" s="1"/>
  <c r="E58" i="79" s="1"/>
  <c r="G58" i="79" s="1"/>
  <c r="C95" i="76"/>
  <c r="E95" i="76" s="1"/>
  <c r="G95" i="76" s="1"/>
  <c r="C95" i="77" s="1"/>
  <c r="E95" i="77" s="1"/>
  <c r="G95" i="77" s="1"/>
  <c r="C95" i="78" s="1"/>
  <c r="E95" i="78" s="1"/>
  <c r="G95" i="78" s="1"/>
  <c r="C95" i="79" s="1"/>
  <c r="E95" i="79" s="1"/>
  <c r="G95" i="79" s="1"/>
  <c r="C74" i="76"/>
  <c r="E74" i="76" s="1"/>
  <c r="G74" i="76" s="1"/>
  <c r="C74" i="77" s="1"/>
  <c r="E74" i="77" s="1"/>
  <c r="G74" i="77" s="1"/>
  <c r="C74" i="78" s="1"/>
  <c r="E74" i="78" s="1"/>
  <c r="G74" i="78" s="1"/>
  <c r="C74" i="79" s="1"/>
  <c r="E74" i="79" s="1"/>
  <c r="G74" i="79" s="1"/>
  <c r="C38" i="76"/>
  <c r="E38" i="76" s="1"/>
  <c r="G38" i="76" s="1"/>
  <c r="C38" i="77" s="1"/>
  <c r="E38" i="77" s="1"/>
  <c r="G38" i="77" s="1"/>
  <c r="C38" i="78" s="1"/>
  <c r="E38" i="78" s="1"/>
  <c r="G38" i="78" s="1"/>
  <c r="C38" i="79" s="1"/>
  <c r="E38" i="79" s="1"/>
  <c r="G38" i="79" s="1"/>
  <c r="E38" i="80" s="1"/>
  <c r="G38" i="80" s="1"/>
  <c r="C38" i="81" s="1"/>
  <c r="E38" i="81" s="1"/>
  <c r="G38" i="81" s="1"/>
  <c r="C38" i="82" s="1"/>
  <c r="E38" i="82" s="1"/>
  <c r="G38" i="82" s="1"/>
  <c r="E38" i="83" s="1"/>
  <c r="G38" i="83" s="1"/>
  <c r="C180" i="76"/>
  <c r="E180" i="76" s="1"/>
  <c r="G180" i="76" s="1"/>
  <c r="C180" i="77" s="1"/>
  <c r="E180" i="77" s="1"/>
  <c r="G180" i="77" s="1"/>
  <c r="C180" i="78" s="1"/>
  <c r="E180" i="78" s="1"/>
  <c r="G180" i="78" s="1"/>
  <c r="C180" i="79" s="1"/>
  <c r="E180" i="79" s="1"/>
  <c r="G180" i="79" s="1"/>
  <c r="C155" i="76"/>
  <c r="E155" i="76" s="1"/>
  <c r="G155" i="76" s="1"/>
  <c r="C155" i="77" s="1"/>
  <c r="E155" i="77" s="1"/>
  <c r="G155" i="77" s="1"/>
  <c r="C155" i="78" s="1"/>
  <c r="E155" i="78" s="1"/>
  <c r="G155" i="78" s="1"/>
  <c r="C155" i="79" s="1"/>
  <c r="E155" i="79" s="1"/>
  <c r="G155" i="79" s="1"/>
  <c r="C70" i="76"/>
  <c r="E70" i="76" s="1"/>
  <c r="G70" i="76" s="1"/>
  <c r="C70" i="77" s="1"/>
  <c r="E70" i="77" s="1"/>
  <c r="G70" i="77" s="1"/>
  <c r="C70" i="78" s="1"/>
  <c r="E70" i="78" s="1"/>
  <c r="G70" i="78" s="1"/>
  <c r="C70" i="79" s="1"/>
  <c r="E70" i="79" s="1"/>
  <c r="G70" i="79" s="1"/>
  <c r="C68" i="76"/>
  <c r="E68" i="76" s="1"/>
  <c r="G68" i="76" s="1"/>
  <c r="C68" i="77" s="1"/>
  <c r="E68" i="77" s="1"/>
  <c r="G68" i="77" s="1"/>
  <c r="C68" i="78" s="1"/>
  <c r="E68" i="78" s="1"/>
  <c r="G68" i="78" s="1"/>
  <c r="C68" i="79" s="1"/>
  <c r="E68" i="79" s="1"/>
  <c r="G68" i="79" s="1"/>
  <c r="E29" i="76"/>
  <c r="G29" i="76" s="1"/>
  <c r="C29" i="77" s="1"/>
  <c r="E29" i="77" s="1"/>
  <c r="G29" i="77" s="1"/>
  <c r="C29" i="78" s="1"/>
  <c r="E29" i="78" s="1"/>
  <c r="G29" i="78" s="1"/>
  <c r="E29" i="79" s="1"/>
  <c r="G29" i="79" s="1"/>
  <c r="E29" i="80" s="1"/>
  <c r="G29" i="80" s="1"/>
  <c r="C29" i="81" s="1"/>
  <c r="E29" i="81" s="1"/>
  <c r="G29" i="81" s="1"/>
  <c r="C29" i="82" s="1"/>
  <c r="E29" i="82" s="1"/>
  <c r="G29" i="82" s="1"/>
  <c r="C29" i="76"/>
  <c r="C94" i="76"/>
  <c r="E94" i="76" s="1"/>
  <c r="G94" i="76" s="1"/>
  <c r="C94" i="77" s="1"/>
  <c r="E94" i="77" s="1"/>
  <c r="G94" i="77" s="1"/>
  <c r="C94" i="78" s="1"/>
  <c r="E94" i="78" s="1"/>
  <c r="G94" i="78" s="1"/>
  <c r="C94" i="79" s="1"/>
  <c r="E94" i="79" s="1"/>
  <c r="G94" i="79" s="1"/>
  <c r="C217" i="76"/>
  <c r="E217" i="76" s="1"/>
  <c r="G217" i="76" s="1"/>
  <c r="C217" i="77" s="1"/>
  <c r="E217" i="77" s="1"/>
  <c r="G217" i="77" s="1"/>
  <c r="C217" i="78" s="1"/>
  <c r="E217" i="78" s="1"/>
  <c r="G217" i="78" s="1"/>
  <c r="C217" i="79" s="1"/>
  <c r="E217" i="79" s="1"/>
  <c r="G217" i="79" s="1"/>
  <c r="C162" i="76"/>
  <c r="E162" i="76" s="1"/>
  <c r="G162" i="76" s="1"/>
  <c r="C162" i="77" s="1"/>
  <c r="E162" i="77" s="1"/>
  <c r="G162" i="77" s="1"/>
  <c r="C162" i="78" s="1"/>
  <c r="E162" i="78" s="1"/>
  <c r="G162" i="78" s="1"/>
  <c r="C162" i="79" s="1"/>
  <c r="E162" i="79" s="1"/>
  <c r="G162" i="79" s="1"/>
  <c r="C167" i="76"/>
  <c r="E167" i="76" s="1"/>
  <c r="G167" i="76" s="1"/>
  <c r="C167" i="77" s="1"/>
  <c r="E167" i="77" s="1"/>
  <c r="G167" i="77" s="1"/>
  <c r="C167" i="78" s="1"/>
  <c r="E167" i="78" s="1"/>
  <c r="G167" i="78" s="1"/>
  <c r="C167" i="79" s="1"/>
  <c r="E167" i="79" s="1"/>
  <c r="G167" i="79" s="1"/>
  <c r="C197" i="76"/>
  <c r="E197" i="76" s="1"/>
  <c r="G197" i="76" s="1"/>
  <c r="C197" i="77" s="1"/>
  <c r="E197" i="77" s="1"/>
  <c r="G197" i="77" s="1"/>
  <c r="C197" i="78" s="1"/>
  <c r="E197" i="78" s="1"/>
  <c r="G197" i="78" s="1"/>
  <c r="C197" i="79" s="1"/>
  <c r="E197" i="79" s="1"/>
  <c r="G197" i="79" s="1"/>
  <c r="C147" i="76"/>
  <c r="E147" i="76" s="1"/>
  <c r="G147" i="76" s="1"/>
  <c r="C147" i="77" s="1"/>
  <c r="E147" i="77" s="1"/>
  <c r="G147" i="77" s="1"/>
  <c r="C147" i="78" s="1"/>
  <c r="E147" i="78" s="1"/>
  <c r="G147" i="78" s="1"/>
  <c r="C147" i="79" s="1"/>
  <c r="E147" i="79" s="1"/>
  <c r="G147" i="79" s="1"/>
  <c r="C60" i="76"/>
  <c r="E60" i="76" s="1"/>
  <c r="G60" i="76" s="1"/>
  <c r="C60" i="77" s="1"/>
  <c r="E60" i="77" s="1"/>
  <c r="G60" i="77" s="1"/>
  <c r="C60" i="78" s="1"/>
  <c r="E60" i="78" s="1"/>
  <c r="G60" i="78" s="1"/>
  <c r="C60" i="79" s="1"/>
  <c r="E60" i="79" s="1"/>
  <c r="G60" i="79" s="1"/>
  <c r="C175" i="76"/>
  <c r="E175" i="76" s="1"/>
  <c r="G175" i="76" s="1"/>
  <c r="C175" i="77" s="1"/>
  <c r="E175" i="77" s="1"/>
  <c r="G175" i="77" s="1"/>
  <c r="C175" i="78" s="1"/>
  <c r="E175" i="78" s="1"/>
  <c r="G175" i="78" s="1"/>
  <c r="C175" i="79" s="1"/>
  <c r="E175" i="79" s="1"/>
  <c r="G175" i="79" s="1"/>
  <c r="C36" i="76"/>
  <c r="E36" i="76" s="1"/>
  <c r="G36" i="76" s="1"/>
  <c r="C36" i="77" s="1"/>
  <c r="E36" i="77" s="1"/>
  <c r="G36" i="77" s="1"/>
  <c r="C36" i="78" s="1"/>
  <c r="E36" i="78" s="1"/>
  <c r="G36" i="78" s="1"/>
  <c r="C36" i="79" s="1"/>
  <c r="E36" i="79" s="1"/>
  <c r="G36" i="79" s="1"/>
  <c r="C28" i="76"/>
  <c r="E28" i="76" s="1"/>
  <c r="G28" i="76" s="1"/>
  <c r="C28" i="77" s="1"/>
  <c r="E28" i="77" s="1"/>
  <c r="G28" i="77" s="1"/>
  <c r="C28" i="78" s="1"/>
  <c r="E28" i="78" s="1"/>
  <c r="G28" i="78" s="1"/>
  <c r="C28" i="79" s="1"/>
  <c r="E28" i="79" s="1"/>
  <c r="G28" i="79" s="1"/>
  <c r="C50" i="76"/>
  <c r="E50" i="76" s="1"/>
  <c r="G50" i="76" s="1"/>
  <c r="C50" i="77" s="1"/>
  <c r="E50" i="77" s="1"/>
  <c r="G50" i="77" s="1"/>
  <c r="C50" i="78" s="1"/>
  <c r="E50" i="78" s="1"/>
  <c r="G50" i="78" s="1"/>
  <c r="C50" i="79" s="1"/>
  <c r="E50" i="79" s="1"/>
  <c r="G50" i="79" s="1"/>
  <c r="C141" i="76"/>
  <c r="E141" i="76" s="1"/>
  <c r="G141" i="76" s="1"/>
  <c r="C141" i="77" s="1"/>
  <c r="E141" i="77" s="1"/>
  <c r="G141" i="77" s="1"/>
  <c r="C141" i="78" s="1"/>
  <c r="E141" i="78" s="1"/>
  <c r="G141" i="78" s="1"/>
  <c r="C141" i="79" s="1"/>
  <c r="E141" i="79" s="1"/>
  <c r="G141" i="79" s="1"/>
  <c r="C125" i="76"/>
  <c r="E125" i="76" s="1"/>
  <c r="G125" i="76" s="1"/>
  <c r="C125" i="77" s="1"/>
  <c r="E125" i="77" s="1"/>
  <c r="G125" i="77" s="1"/>
  <c r="C125" i="78" s="1"/>
  <c r="E125" i="78" s="1"/>
  <c r="G125" i="78" s="1"/>
  <c r="C125" i="79" s="1"/>
  <c r="E125" i="79" s="1"/>
  <c r="G125" i="79" s="1"/>
  <c r="C81" i="76"/>
  <c r="E81" i="76" s="1"/>
  <c r="G81" i="76" s="1"/>
  <c r="C81" i="77" s="1"/>
  <c r="E81" i="77" s="1"/>
  <c r="G81" i="77" s="1"/>
  <c r="C81" i="78" s="1"/>
  <c r="E81" i="78" s="1"/>
  <c r="G81" i="78" s="1"/>
  <c r="C81" i="79" s="1"/>
  <c r="E81" i="79" s="1"/>
  <c r="G81" i="79" s="1"/>
  <c r="C177" i="76"/>
  <c r="E177" i="76" s="1"/>
  <c r="G177" i="76" s="1"/>
  <c r="C177" i="77" s="1"/>
  <c r="E177" i="77" s="1"/>
  <c r="G177" i="77" s="1"/>
  <c r="C177" i="78" s="1"/>
  <c r="E177" i="78" s="1"/>
  <c r="G177" i="78" s="1"/>
  <c r="C177" i="79" s="1"/>
  <c r="E177" i="79" s="1"/>
  <c r="G177" i="79" s="1"/>
  <c r="C161" i="76"/>
  <c r="E161" i="76" s="1"/>
  <c r="G161" i="76" s="1"/>
  <c r="C161" i="77" s="1"/>
  <c r="E161" i="77" s="1"/>
  <c r="G161" i="77" s="1"/>
  <c r="C161" i="78" s="1"/>
  <c r="E161" i="78" s="1"/>
  <c r="G161" i="78" s="1"/>
  <c r="C161" i="79" s="1"/>
  <c r="E161" i="79" s="1"/>
  <c r="G161" i="79" s="1"/>
  <c r="C71" i="76"/>
  <c r="E71" i="76" s="1"/>
  <c r="G71" i="76" s="1"/>
  <c r="C71" i="77" s="1"/>
  <c r="E71" i="77" s="1"/>
  <c r="G71" i="77" s="1"/>
  <c r="C71" i="78" s="1"/>
  <c r="E71" i="78" s="1"/>
  <c r="G71" i="78" s="1"/>
  <c r="C71" i="79" s="1"/>
  <c r="E71" i="79" s="1"/>
  <c r="G71" i="79" s="1"/>
  <c r="C214" i="76"/>
  <c r="E214" i="76" s="1"/>
  <c r="G214" i="76" s="1"/>
  <c r="C214" i="77" s="1"/>
  <c r="E214" i="77" s="1"/>
  <c r="G214" i="77" s="1"/>
  <c r="C214" i="78" s="1"/>
  <c r="E214" i="78" s="1"/>
  <c r="G214" i="78" s="1"/>
  <c r="C214" i="79" s="1"/>
  <c r="E214" i="79" s="1"/>
  <c r="G214" i="79" s="1"/>
  <c r="C104" i="76"/>
  <c r="E104" i="76" s="1"/>
  <c r="G104" i="76" s="1"/>
  <c r="C104" i="77" s="1"/>
  <c r="E104" i="77" s="1"/>
  <c r="G104" i="77" s="1"/>
  <c r="C104" i="78" s="1"/>
  <c r="E104" i="78" s="1"/>
  <c r="G104" i="78" s="1"/>
  <c r="C104" i="79" s="1"/>
  <c r="E104" i="79" s="1"/>
  <c r="G104" i="79" s="1"/>
  <c r="C67" i="76"/>
  <c r="E67" i="76" s="1"/>
  <c r="G67" i="76" s="1"/>
  <c r="C67" i="77" s="1"/>
  <c r="E67" i="77" s="1"/>
  <c r="G67" i="77" s="1"/>
  <c r="C67" i="78" s="1"/>
  <c r="E67" i="78" s="1"/>
  <c r="G67" i="78" s="1"/>
  <c r="C67" i="79" s="1"/>
  <c r="E67" i="79" s="1"/>
  <c r="G67" i="79" s="1"/>
  <c r="C16" i="76"/>
  <c r="E16" i="76" s="1"/>
  <c r="G16" i="76" s="1"/>
  <c r="C16" i="77" s="1"/>
  <c r="E16" i="77" s="1"/>
  <c r="G16" i="77" s="1"/>
  <c r="C16" i="78" s="1"/>
  <c r="E16" i="78" s="1"/>
  <c r="G16" i="78" s="1"/>
  <c r="C16" i="79" s="1"/>
  <c r="E16" i="79" s="1"/>
  <c r="G16" i="79" s="1"/>
  <c r="C202" i="76"/>
  <c r="E202" i="76" s="1"/>
  <c r="G202" i="76" s="1"/>
  <c r="C202" i="77" s="1"/>
  <c r="E202" i="77" s="1"/>
  <c r="G202" i="77" s="1"/>
  <c r="C202" i="78" s="1"/>
  <c r="E202" i="78" s="1"/>
  <c r="G202" i="78" s="1"/>
  <c r="C202" i="79" s="1"/>
  <c r="E202" i="79" s="1"/>
  <c r="G202" i="79" s="1"/>
  <c r="C124" i="76"/>
  <c r="E124" i="76" s="1"/>
  <c r="G124" i="76" s="1"/>
  <c r="C124" i="77" s="1"/>
  <c r="E124" i="77" s="1"/>
  <c r="G124" i="77" s="1"/>
  <c r="C124" i="78" s="1"/>
  <c r="E124" i="78" s="1"/>
  <c r="G124" i="78" s="1"/>
  <c r="C124" i="79" s="1"/>
  <c r="E124" i="79" s="1"/>
  <c r="G124" i="79" s="1"/>
  <c r="C66" i="76"/>
  <c r="E66" i="76" s="1"/>
  <c r="G66" i="76" s="1"/>
  <c r="C66" i="77" s="1"/>
  <c r="E66" i="77" s="1"/>
  <c r="G66" i="77" s="1"/>
  <c r="C66" i="78" s="1"/>
  <c r="E66" i="78" s="1"/>
  <c r="G66" i="78" s="1"/>
  <c r="C66" i="79" s="1"/>
  <c r="E66" i="79" s="1"/>
  <c r="G66" i="79" s="1"/>
  <c r="C154" i="76"/>
  <c r="E154" i="76" s="1"/>
  <c r="G154" i="76" s="1"/>
  <c r="C154" i="77" s="1"/>
  <c r="E154" i="77" s="1"/>
  <c r="G154" i="77" s="1"/>
  <c r="C154" i="78" s="1"/>
  <c r="E154" i="78" s="1"/>
  <c r="G154" i="78" s="1"/>
  <c r="C154" i="79" s="1"/>
  <c r="E154" i="79" s="1"/>
  <c r="G154" i="79" s="1"/>
  <c r="C103" i="76"/>
  <c r="E103" i="76" s="1"/>
  <c r="G103" i="76" s="1"/>
  <c r="C103" i="77" s="1"/>
  <c r="E103" i="77" s="1"/>
  <c r="G103" i="77" s="1"/>
  <c r="C103" i="78" s="1"/>
  <c r="E103" i="78" s="1"/>
  <c r="G103" i="78" s="1"/>
  <c r="C103" i="79" s="1"/>
  <c r="E103" i="79" s="1"/>
  <c r="G103" i="79" s="1"/>
  <c r="C192" i="76"/>
  <c r="E192" i="76" s="1"/>
  <c r="G192" i="76" s="1"/>
  <c r="C192" i="77" s="1"/>
  <c r="E192" i="77" s="1"/>
  <c r="G192" i="77" s="1"/>
  <c r="C192" i="78" s="1"/>
  <c r="E192" i="78" s="1"/>
  <c r="G192" i="78" s="1"/>
  <c r="C192" i="79" s="1"/>
  <c r="E192" i="79" s="1"/>
  <c r="G192" i="79" s="1"/>
  <c r="C108" i="76"/>
  <c r="E108" i="76" s="1"/>
  <c r="G108" i="76" s="1"/>
  <c r="C108" i="77" s="1"/>
  <c r="E108" i="77" s="1"/>
  <c r="G108" i="77" s="1"/>
  <c r="C108" i="78" s="1"/>
  <c r="E108" i="78" s="1"/>
  <c r="G108" i="78" s="1"/>
  <c r="C108" i="79" s="1"/>
  <c r="E108" i="79" s="1"/>
  <c r="G108" i="79" s="1"/>
  <c r="C196" i="76"/>
  <c r="E196" i="76" s="1"/>
  <c r="G196" i="76" s="1"/>
  <c r="C196" i="77" s="1"/>
  <c r="E196" i="77" s="1"/>
  <c r="G196" i="77" s="1"/>
  <c r="C196" i="78" s="1"/>
  <c r="E196" i="78" s="1"/>
  <c r="G196" i="78" s="1"/>
  <c r="C196" i="79" s="1"/>
  <c r="E196" i="79" s="1"/>
  <c r="G196" i="79" s="1"/>
  <c r="C34" i="76"/>
  <c r="E34" i="76" s="1"/>
  <c r="G34" i="76" s="1"/>
  <c r="C34" i="77" s="1"/>
  <c r="E34" i="77" s="1"/>
  <c r="G34" i="77" s="1"/>
  <c r="C34" i="78" s="1"/>
  <c r="E34" i="78" s="1"/>
  <c r="G34" i="78" s="1"/>
  <c r="C34" i="79" s="1"/>
  <c r="E34" i="79" s="1"/>
  <c r="G34" i="79" s="1"/>
  <c r="E34" i="80" s="1"/>
  <c r="G34" i="80" s="1"/>
  <c r="C34" i="81" s="1"/>
  <c r="E34" i="81" s="1"/>
  <c r="G34" i="81" s="1"/>
  <c r="E34" i="82" s="1"/>
  <c r="G34" i="82" s="1"/>
  <c r="E34" i="83" s="1"/>
  <c r="G34" i="83" s="1"/>
  <c r="C112" i="76"/>
  <c r="E112" i="76" s="1"/>
  <c r="G112" i="76" s="1"/>
  <c r="C112" i="77" s="1"/>
  <c r="E112" i="77" s="1"/>
  <c r="G112" i="77" s="1"/>
  <c r="C112" i="78" s="1"/>
  <c r="E112" i="78" s="1"/>
  <c r="G112" i="78" s="1"/>
  <c r="C112" i="79" s="1"/>
  <c r="E112" i="79" s="1"/>
  <c r="G112" i="79" s="1"/>
  <c r="E159" i="76"/>
  <c r="G159" i="76" s="1"/>
  <c r="C159" i="77" s="1"/>
  <c r="E159" i="77" s="1"/>
  <c r="G159" i="77" s="1"/>
  <c r="C159" i="78" s="1"/>
  <c r="E159" i="78" s="1"/>
  <c r="G159" i="78" s="1"/>
  <c r="C159" i="79" s="1"/>
  <c r="E159" i="79" s="1"/>
  <c r="G159" i="79" s="1"/>
  <c r="C159" i="76"/>
  <c r="C174" i="76"/>
  <c r="E174" i="76" s="1"/>
  <c r="G174" i="76" s="1"/>
  <c r="C174" i="77" s="1"/>
  <c r="E174" i="77" s="1"/>
  <c r="G174" i="77" s="1"/>
  <c r="C174" i="78" s="1"/>
  <c r="E174" i="78" s="1"/>
  <c r="G174" i="78" s="1"/>
  <c r="C174" i="79" s="1"/>
  <c r="E174" i="79" s="1"/>
  <c r="G174" i="79" s="1"/>
  <c r="C151" i="76"/>
  <c r="E151" i="76" s="1"/>
  <c r="G151" i="76" s="1"/>
  <c r="C151" i="77" s="1"/>
  <c r="E151" i="77" s="1"/>
  <c r="G151" i="77" s="1"/>
  <c r="C151" i="78" s="1"/>
  <c r="E151" i="78" s="1"/>
  <c r="G151" i="78" s="1"/>
  <c r="C151" i="79" s="1"/>
  <c r="E151" i="79" s="1"/>
  <c r="G151" i="79" s="1"/>
  <c r="C144" i="76"/>
  <c r="E144" i="76" s="1"/>
  <c r="G144" i="76" s="1"/>
  <c r="C144" i="77" s="1"/>
  <c r="E144" i="77" s="1"/>
  <c r="G144" i="77" s="1"/>
  <c r="C144" i="78" s="1"/>
  <c r="E144" i="78" s="1"/>
  <c r="G144" i="78" s="1"/>
  <c r="C144" i="79" s="1"/>
  <c r="E144" i="79" s="1"/>
  <c r="G144" i="79" s="1"/>
  <c r="C115" i="76"/>
  <c r="E115" i="76" s="1"/>
  <c r="G115" i="76" s="1"/>
  <c r="C115" i="77" s="1"/>
  <c r="E115" i="77" s="1"/>
  <c r="G115" i="77" s="1"/>
  <c r="C115" i="78" s="1"/>
  <c r="E115" i="78" s="1"/>
  <c r="G115" i="78" s="1"/>
  <c r="C115" i="79" s="1"/>
  <c r="E115" i="79" s="1"/>
  <c r="G115" i="79" s="1"/>
  <c r="C72" i="76"/>
  <c r="E72" i="76" s="1"/>
  <c r="G72" i="76" s="1"/>
  <c r="C72" i="77" s="1"/>
  <c r="E72" i="77" s="1"/>
  <c r="G72" i="77" s="1"/>
  <c r="C72" i="78" s="1"/>
  <c r="E72" i="78" s="1"/>
  <c r="G72" i="78" s="1"/>
  <c r="C72" i="79" s="1"/>
  <c r="E72" i="79" s="1"/>
  <c r="G72" i="79" s="1"/>
  <c r="C205" i="76"/>
  <c r="E205" i="76" s="1"/>
  <c r="G205" i="76" s="1"/>
  <c r="C205" i="77" s="1"/>
  <c r="E205" i="77" s="1"/>
  <c r="G205" i="77" s="1"/>
  <c r="C205" i="78" s="1"/>
  <c r="E205" i="78" s="1"/>
  <c r="G205" i="78" s="1"/>
  <c r="C205" i="79" s="1"/>
  <c r="E205" i="79" s="1"/>
  <c r="G205" i="79" s="1"/>
  <c r="C128" i="76"/>
  <c r="E128" i="76" s="1"/>
  <c r="G128" i="76" s="1"/>
  <c r="C128" i="77" s="1"/>
  <c r="E128" i="77" s="1"/>
  <c r="G128" i="77" s="1"/>
  <c r="C128" i="78" s="1"/>
  <c r="E128" i="78" s="1"/>
  <c r="G128" i="78" s="1"/>
  <c r="C128" i="79" s="1"/>
  <c r="E128" i="79" s="1"/>
  <c r="G128" i="79" s="1"/>
  <c r="C35" i="76"/>
  <c r="E35" i="76" s="1"/>
  <c r="G35" i="76" s="1"/>
  <c r="C35" i="77" s="1"/>
  <c r="E35" i="77" s="1"/>
  <c r="G35" i="77" s="1"/>
  <c r="C35" i="78" s="1"/>
  <c r="E35" i="78" s="1"/>
  <c r="G35" i="78" s="1"/>
  <c r="C35" i="79" s="1"/>
  <c r="E35" i="79" s="1"/>
  <c r="G35" i="79" s="1"/>
  <c r="E35" i="80" s="1"/>
  <c r="G35" i="80" s="1"/>
  <c r="C35" i="81" s="1"/>
  <c r="E35" i="81" s="1"/>
  <c r="G35" i="81" s="1"/>
  <c r="C35" i="82" s="1"/>
  <c r="E35" i="82" s="1"/>
  <c r="G35" i="82" s="1"/>
  <c r="C121" i="76"/>
  <c r="E121" i="76" s="1"/>
  <c r="G121" i="76" s="1"/>
  <c r="C121" i="77" s="1"/>
  <c r="E121" i="77" s="1"/>
  <c r="G121" i="77" s="1"/>
  <c r="C121" i="78" s="1"/>
  <c r="E121" i="78" s="1"/>
  <c r="G121" i="78" s="1"/>
  <c r="C121" i="79" s="1"/>
  <c r="E121" i="79" s="1"/>
  <c r="G121" i="79" s="1"/>
  <c r="C53" i="76"/>
  <c r="E53" i="76" s="1"/>
  <c r="G53" i="76" s="1"/>
  <c r="C53" i="77" s="1"/>
  <c r="E53" i="77" s="1"/>
  <c r="G53" i="77" s="1"/>
  <c r="C53" i="78" s="1"/>
  <c r="E53" i="78" s="1"/>
  <c r="G53" i="78" s="1"/>
  <c r="C53" i="79" s="1"/>
  <c r="E53" i="79" s="1"/>
  <c r="G53" i="79" s="1"/>
  <c r="C183" i="76"/>
  <c r="E183" i="76" s="1"/>
  <c r="G183" i="76" s="1"/>
  <c r="C183" i="77" s="1"/>
  <c r="E183" i="77" s="1"/>
  <c r="G183" i="77" s="1"/>
  <c r="C183" i="78" s="1"/>
  <c r="E183" i="78" s="1"/>
  <c r="G183" i="78" s="1"/>
  <c r="C183" i="79" s="1"/>
  <c r="E183" i="79" s="1"/>
  <c r="G183" i="79" s="1"/>
  <c r="E87" i="76"/>
  <c r="G87" i="76" s="1"/>
  <c r="C87" i="77" s="1"/>
  <c r="E87" i="77" s="1"/>
  <c r="G87" i="77" s="1"/>
  <c r="C87" i="78" s="1"/>
  <c r="E87" i="78" s="1"/>
  <c r="G87" i="78" s="1"/>
  <c r="C87" i="79" s="1"/>
  <c r="E87" i="79" s="1"/>
  <c r="G87" i="79" s="1"/>
  <c r="C87" i="76"/>
  <c r="C176" i="76"/>
  <c r="E176" i="76" s="1"/>
  <c r="G176" i="76" s="1"/>
  <c r="C176" i="77" s="1"/>
  <c r="E176" i="77" s="1"/>
  <c r="G176" i="77" s="1"/>
  <c r="C176" i="78" s="1"/>
  <c r="E176" i="78" s="1"/>
  <c r="G176" i="78" s="1"/>
  <c r="C176" i="79" s="1"/>
  <c r="E176" i="79" s="1"/>
  <c r="G176" i="79" s="1"/>
  <c r="C57" i="76"/>
  <c r="E57" i="76" s="1"/>
  <c r="G57" i="76" s="1"/>
  <c r="C57" i="77" s="1"/>
  <c r="E57" i="77" s="1"/>
  <c r="G57" i="77" s="1"/>
  <c r="C57" i="78" s="1"/>
  <c r="E57" i="78" s="1"/>
  <c r="G57" i="78" s="1"/>
  <c r="C57" i="79" s="1"/>
  <c r="E57" i="79" s="1"/>
  <c r="G57" i="79" s="1"/>
  <c r="C37" i="76"/>
  <c r="E37" i="76" s="1"/>
  <c r="G37" i="76" s="1"/>
  <c r="C37" i="77" s="1"/>
  <c r="E37" i="77" s="1"/>
  <c r="G37" i="77" s="1"/>
  <c r="C37" i="78" s="1"/>
  <c r="E37" i="78" s="1"/>
  <c r="G37" i="78" s="1"/>
  <c r="C37" i="79" s="1"/>
  <c r="E37" i="79" s="1"/>
  <c r="G37" i="79" s="1"/>
  <c r="E79" i="76"/>
  <c r="G79" i="76" s="1"/>
  <c r="C79" i="77" s="1"/>
  <c r="E79" i="77" s="1"/>
  <c r="G79" i="77" s="1"/>
  <c r="C79" i="78" s="1"/>
  <c r="E79" i="78" s="1"/>
  <c r="G79" i="78" s="1"/>
  <c r="C79" i="79" s="1"/>
  <c r="E79" i="79" s="1"/>
  <c r="G79" i="79" s="1"/>
  <c r="C79" i="76"/>
  <c r="C110" i="76"/>
  <c r="E110" i="76" s="1"/>
  <c r="G110" i="76" s="1"/>
  <c r="C110" i="77" s="1"/>
  <c r="E110" i="77" s="1"/>
  <c r="G110" i="77" s="1"/>
  <c r="C110" i="78" s="1"/>
  <c r="E110" i="78" s="1"/>
  <c r="G110" i="78" s="1"/>
  <c r="C110" i="79" s="1"/>
  <c r="E110" i="79" s="1"/>
  <c r="G110" i="79" s="1"/>
  <c r="C44" i="76"/>
  <c r="E44" i="76" s="1"/>
  <c r="G44" i="76" s="1"/>
  <c r="C44" i="77" s="1"/>
  <c r="E44" i="77" s="1"/>
  <c r="G44" i="77" s="1"/>
  <c r="C44" i="78" s="1"/>
  <c r="E44" i="78" s="1"/>
  <c r="G44" i="78" s="1"/>
  <c r="C44" i="79" s="1"/>
  <c r="E44" i="79" s="1"/>
  <c r="G44" i="79" s="1"/>
  <c r="C216" i="76"/>
  <c r="E216" i="76" s="1"/>
  <c r="G216" i="76" s="1"/>
  <c r="C216" i="77" s="1"/>
  <c r="E216" i="77" s="1"/>
  <c r="G216" i="77" s="1"/>
  <c r="C216" i="78" s="1"/>
  <c r="E216" i="78" s="1"/>
  <c r="G216" i="78" s="1"/>
  <c r="C216" i="79" s="1"/>
  <c r="E216" i="79" s="1"/>
  <c r="G216" i="79" s="1"/>
  <c r="C101" i="76"/>
  <c r="E101" i="76" s="1"/>
  <c r="G101" i="76" s="1"/>
  <c r="C101" i="77" s="1"/>
  <c r="E101" i="77" s="1"/>
  <c r="G101" i="77" s="1"/>
  <c r="C101" i="78" s="1"/>
  <c r="E101" i="78" s="1"/>
  <c r="G101" i="78" s="1"/>
  <c r="C101" i="79" s="1"/>
  <c r="E101" i="79" s="1"/>
  <c r="G101" i="79" s="1"/>
  <c r="C171" i="76"/>
  <c r="E171" i="76" s="1"/>
  <c r="G171" i="76" s="1"/>
  <c r="C171" i="77" s="1"/>
  <c r="E171" i="77" s="1"/>
  <c r="G171" i="77" s="1"/>
  <c r="C171" i="78" s="1"/>
  <c r="E171" i="78" s="1"/>
  <c r="G171" i="78" s="1"/>
  <c r="C171" i="79" s="1"/>
  <c r="E171" i="79" s="1"/>
  <c r="G171" i="79" s="1"/>
  <c r="C59" i="76"/>
  <c r="E59" i="76" s="1"/>
  <c r="G59" i="76" s="1"/>
  <c r="C59" i="77" s="1"/>
  <c r="E59" i="77" s="1"/>
  <c r="G59" i="77" s="1"/>
  <c r="C59" i="78" s="1"/>
  <c r="E59" i="78" s="1"/>
  <c r="G59" i="78" s="1"/>
  <c r="C59" i="79" s="1"/>
  <c r="E59" i="79" s="1"/>
  <c r="G59" i="79" s="1"/>
  <c r="C142" i="76"/>
  <c r="E142" i="76" s="1"/>
  <c r="G142" i="76" s="1"/>
  <c r="C142" i="77" s="1"/>
  <c r="E142" i="77" s="1"/>
  <c r="G142" i="77" s="1"/>
  <c r="C142" i="78" s="1"/>
  <c r="E142" i="78" s="1"/>
  <c r="G142" i="78" s="1"/>
  <c r="C142" i="79" s="1"/>
  <c r="E142" i="79" s="1"/>
  <c r="G142" i="79" s="1"/>
  <c r="C77" i="76"/>
  <c r="E77" i="76" s="1"/>
  <c r="G77" i="76" s="1"/>
  <c r="C77" i="77" s="1"/>
  <c r="E77" i="77" s="1"/>
  <c r="G77" i="77" s="1"/>
  <c r="C77" i="78" s="1"/>
  <c r="E77" i="78" s="1"/>
  <c r="G77" i="78" s="1"/>
  <c r="C77" i="79" s="1"/>
  <c r="E77" i="79" s="1"/>
  <c r="G77" i="79" s="1"/>
  <c r="C145" i="76"/>
  <c r="E145" i="76" s="1"/>
  <c r="G145" i="76" s="1"/>
  <c r="C145" i="77" s="1"/>
  <c r="E145" i="77" s="1"/>
  <c r="G145" i="77" s="1"/>
  <c r="C145" i="78" s="1"/>
  <c r="E145" i="78" s="1"/>
  <c r="G145" i="78" s="1"/>
  <c r="C145" i="79" s="1"/>
  <c r="E145" i="79" s="1"/>
  <c r="G145" i="79" s="1"/>
  <c r="C30" i="76"/>
  <c r="E30" i="76" s="1"/>
  <c r="G30" i="76" s="1"/>
  <c r="C30" i="77" s="1"/>
  <c r="E30" i="77" s="1"/>
  <c r="G30" i="77" s="1"/>
  <c r="C30" i="78" s="1"/>
  <c r="E30" i="78" s="1"/>
  <c r="G30" i="78" s="1"/>
  <c r="C30" i="79" s="1"/>
  <c r="E30" i="79" s="1"/>
  <c r="G30" i="79" s="1"/>
  <c r="C118" i="76"/>
  <c r="E118" i="76" s="1"/>
  <c r="G118" i="76" s="1"/>
  <c r="C118" i="77" s="1"/>
  <c r="E118" i="77" s="1"/>
  <c r="G118" i="77" s="1"/>
  <c r="C118" i="78" s="1"/>
  <c r="E118" i="78" s="1"/>
  <c r="G118" i="78" s="1"/>
  <c r="C118" i="79" s="1"/>
  <c r="E118" i="79" s="1"/>
  <c r="G118" i="79" s="1"/>
  <c r="C93" i="76"/>
  <c r="E93" i="76" s="1"/>
  <c r="G93" i="76" s="1"/>
  <c r="C93" i="77" s="1"/>
  <c r="E93" i="77" s="1"/>
  <c r="G93" i="77" s="1"/>
  <c r="C93" i="78" s="1"/>
  <c r="E93" i="78" s="1"/>
  <c r="G93" i="78" s="1"/>
  <c r="C93" i="79" s="1"/>
  <c r="E93" i="79" s="1"/>
  <c r="G93" i="79" s="1"/>
  <c r="C84" i="76"/>
  <c r="E84" i="76" s="1"/>
  <c r="G84" i="76" s="1"/>
  <c r="C84" i="77" s="1"/>
  <c r="E84" i="77" s="1"/>
  <c r="G84" i="77" s="1"/>
  <c r="C84" i="78" s="1"/>
  <c r="E84" i="78" s="1"/>
  <c r="G84" i="78" s="1"/>
  <c r="C84" i="79" s="1"/>
  <c r="E84" i="79" s="1"/>
  <c r="G84" i="79" s="1"/>
  <c r="C136" i="76"/>
  <c r="E136" i="76" s="1"/>
  <c r="G136" i="76" s="1"/>
  <c r="C136" i="77" s="1"/>
  <c r="E136" i="77" s="1"/>
  <c r="G136" i="77" s="1"/>
  <c r="C136" i="78" s="1"/>
  <c r="E136" i="78" s="1"/>
  <c r="G136" i="78" s="1"/>
  <c r="C136" i="79" s="1"/>
  <c r="E136" i="79" s="1"/>
  <c r="G136" i="79" s="1"/>
  <c r="C170" i="76"/>
  <c r="E170" i="76" s="1"/>
  <c r="G170" i="76" s="1"/>
  <c r="C170" i="77" s="1"/>
  <c r="E170" i="77" s="1"/>
  <c r="G170" i="77" s="1"/>
  <c r="C170" i="78" s="1"/>
  <c r="E170" i="78" s="1"/>
  <c r="G170" i="78" s="1"/>
  <c r="C170" i="79" s="1"/>
  <c r="E170" i="79" s="1"/>
  <c r="G170" i="79" s="1"/>
  <c r="E211" i="76"/>
  <c r="G211" i="76" s="1"/>
  <c r="C211" i="77" s="1"/>
  <c r="E211" i="77" s="1"/>
  <c r="G211" i="77" s="1"/>
  <c r="C211" i="78" s="1"/>
  <c r="E211" i="78" s="1"/>
  <c r="G211" i="78" s="1"/>
  <c r="C211" i="79" s="1"/>
  <c r="E211" i="79" s="1"/>
  <c r="G211" i="79" s="1"/>
  <c r="C211" i="76"/>
  <c r="C19" i="76"/>
  <c r="E19" i="76" s="1"/>
  <c r="G19" i="76" s="1"/>
  <c r="C19" i="77" s="1"/>
  <c r="E19" i="77" s="1"/>
  <c r="G19" i="77" s="1"/>
  <c r="C19" i="78" s="1"/>
  <c r="E19" i="78" s="1"/>
  <c r="G19" i="78" s="1"/>
  <c r="C19" i="79" s="1"/>
  <c r="E19" i="79" s="1"/>
  <c r="G19" i="79" s="1"/>
  <c r="C109" i="76"/>
  <c r="E109" i="76" s="1"/>
  <c r="G109" i="76" s="1"/>
  <c r="C109" i="77" s="1"/>
  <c r="E109" i="77" s="1"/>
  <c r="G109" i="77" s="1"/>
  <c r="C109" i="78" s="1"/>
  <c r="E109" i="78" s="1"/>
  <c r="G109" i="78" s="1"/>
  <c r="C109" i="79" s="1"/>
  <c r="E109" i="79" s="1"/>
  <c r="G109" i="79" s="1"/>
  <c r="C15" i="76"/>
  <c r="E15" i="76" s="1"/>
  <c r="G15" i="76" s="1"/>
  <c r="C15" i="77" s="1"/>
  <c r="E15" i="77" s="1"/>
  <c r="G15" i="77" s="1"/>
  <c r="C15" i="78" s="1"/>
  <c r="E15" i="78" s="1"/>
  <c r="G15" i="78" s="1"/>
  <c r="C15" i="79" s="1"/>
  <c r="E15" i="79" s="1"/>
  <c r="G15" i="79" s="1"/>
  <c r="C215" i="76"/>
  <c r="E215" i="76" s="1"/>
  <c r="G215" i="76" s="1"/>
  <c r="C215" i="77" s="1"/>
  <c r="E215" i="77" s="1"/>
  <c r="G215" i="77" s="1"/>
  <c r="C215" i="78" s="1"/>
  <c r="E215" i="78" s="1"/>
  <c r="G215" i="78" s="1"/>
  <c r="C215" i="79" s="1"/>
  <c r="E215" i="79" s="1"/>
  <c r="G215" i="79" s="1"/>
  <c r="C97" i="76"/>
  <c r="E97" i="76" s="1"/>
  <c r="G97" i="76" s="1"/>
  <c r="C97" i="77" s="1"/>
  <c r="E97" i="77" s="1"/>
  <c r="G97" i="77" s="1"/>
  <c r="C97" i="78" s="1"/>
  <c r="E97" i="78" s="1"/>
  <c r="G97" i="78" s="1"/>
  <c r="C97" i="79" s="1"/>
  <c r="E97" i="79" s="1"/>
  <c r="G97" i="79" s="1"/>
  <c r="C12" i="68"/>
  <c r="E12" i="68" s="1"/>
  <c r="G12" i="68" s="1"/>
  <c r="C12" i="69" s="1"/>
  <c r="E12" i="69" s="1"/>
  <c r="G12" i="69" s="1"/>
  <c r="C13" i="68"/>
  <c r="E13" i="68" s="1"/>
  <c r="G13" i="68" s="1"/>
  <c r="C13" i="69" s="1"/>
  <c r="E13" i="69" s="1"/>
  <c r="G13" i="69" s="1"/>
  <c r="C10" i="68"/>
  <c r="E10" i="68" s="1"/>
  <c r="G10" i="68" s="1"/>
  <c r="C10" i="69" s="1"/>
  <c r="E10" i="69" s="1"/>
  <c r="G10" i="69" s="1"/>
  <c r="C7" i="68"/>
  <c r="E7" i="68" s="1"/>
  <c r="G7" i="68" s="1"/>
  <c r="C7" i="69" s="1"/>
  <c r="E7" i="69" s="1"/>
  <c r="G7" i="69" s="1"/>
  <c r="C14" i="68"/>
  <c r="E14" i="68" s="1"/>
  <c r="G14" i="68" s="1"/>
  <c r="C14" i="69" s="1"/>
  <c r="E14" i="69" s="1"/>
  <c r="G14" i="69" s="1"/>
  <c r="C11" i="68"/>
  <c r="E11" i="68" s="1"/>
  <c r="G11" i="68" s="1"/>
  <c r="C11" i="69" s="1"/>
  <c r="E11" i="69" s="1"/>
  <c r="G11" i="69" s="1"/>
  <c r="C6" i="68"/>
  <c r="E6" i="68" s="1"/>
  <c r="G6" i="68" s="1"/>
  <c r="C6" i="69" s="1"/>
  <c r="E6" i="69" s="1"/>
  <c r="G6" i="69" s="1"/>
  <c r="C5" i="68"/>
  <c r="E5" i="68" s="1"/>
  <c r="G5" i="68" s="1"/>
  <c r="C5" i="69" s="1"/>
  <c r="E5" i="69" s="1"/>
  <c r="G5" i="69" s="1"/>
  <c r="C5" i="72" s="1"/>
  <c r="C8" i="68"/>
  <c r="E8" i="68" s="1"/>
  <c r="G8" i="68" s="1"/>
  <c r="C8" i="69" s="1"/>
  <c r="E8" i="69" s="1"/>
  <c r="G8" i="69" s="1"/>
  <c r="C9" i="68"/>
  <c r="E9" i="68" s="1"/>
  <c r="G9" i="68" s="1"/>
  <c r="C9" i="69" s="1"/>
  <c r="E9" i="69" s="1"/>
  <c r="G9" i="69" s="1"/>
  <c r="K265" i="33"/>
  <c r="E55" i="83" l="1"/>
  <c r="G55" i="83" s="1"/>
  <c r="C55" i="83"/>
  <c r="C35" i="83"/>
  <c r="E35" i="83" s="1"/>
  <c r="G35" i="83" s="1"/>
  <c r="C56" i="83"/>
  <c r="E56" i="83" s="1"/>
  <c r="G56" i="83" s="1"/>
  <c r="C80" i="83"/>
  <c r="E80" i="83" s="1"/>
  <c r="G80" i="83" s="1"/>
  <c r="E39" i="84"/>
  <c r="G39" i="84" s="1"/>
  <c r="C39" i="84"/>
  <c r="C38" i="84"/>
  <c r="E38" i="84" s="1"/>
  <c r="G38" i="84" s="1"/>
  <c r="C46" i="83"/>
  <c r="E46" i="83" s="1"/>
  <c r="G46" i="83" s="1"/>
  <c r="C34" i="84"/>
  <c r="E34" i="84" s="1"/>
  <c r="G34" i="84" s="1"/>
  <c r="E48" i="83"/>
  <c r="G48" i="83" s="1"/>
  <c r="C48" i="83"/>
  <c r="C42" i="83"/>
  <c r="E42" i="83" s="1"/>
  <c r="G42" i="83" s="1"/>
  <c r="C29" i="83"/>
  <c r="E29" i="83" s="1"/>
  <c r="G29" i="83" s="1"/>
  <c r="C152" i="83"/>
  <c r="E152" i="83" s="1"/>
  <c r="G152" i="83" s="1"/>
  <c r="E40" i="84"/>
  <c r="G40" i="84" s="1"/>
  <c r="C40" i="84"/>
  <c r="C148" i="80"/>
  <c r="E148" i="80" s="1"/>
  <c r="G148" i="80" s="1"/>
  <c r="C148" i="81" s="1"/>
  <c r="E148" i="81" s="1"/>
  <c r="G148" i="81" s="1"/>
  <c r="C148" i="82" s="1"/>
  <c r="E148" i="82" s="1"/>
  <c r="G148" i="82" s="1"/>
  <c r="E156" i="80"/>
  <c r="G156" i="80" s="1"/>
  <c r="C156" i="81" s="1"/>
  <c r="E156" i="81" s="1"/>
  <c r="G156" i="81" s="1"/>
  <c r="C156" i="82" s="1"/>
  <c r="E156" i="82" s="1"/>
  <c r="G156" i="82" s="1"/>
  <c r="C156" i="80"/>
  <c r="C181" i="80"/>
  <c r="E181" i="80" s="1"/>
  <c r="G181" i="80" s="1"/>
  <c r="C181" i="81" s="1"/>
  <c r="E181" i="81" s="1"/>
  <c r="G181" i="81" s="1"/>
  <c r="C181" i="82" s="1"/>
  <c r="E181" i="82" s="1"/>
  <c r="G181" i="82" s="1"/>
  <c r="C215" i="80"/>
  <c r="E215" i="80" s="1"/>
  <c r="G215" i="80" s="1"/>
  <c r="C215" i="81" s="1"/>
  <c r="E215" i="81" s="1"/>
  <c r="G215" i="81" s="1"/>
  <c r="C215" i="82" s="1"/>
  <c r="E215" i="82" s="1"/>
  <c r="G215" i="82" s="1"/>
  <c r="C167" i="80"/>
  <c r="E167" i="80" s="1"/>
  <c r="G167" i="80" s="1"/>
  <c r="C167" i="81" s="1"/>
  <c r="E167" i="81" s="1"/>
  <c r="G167" i="81" s="1"/>
  <c r="C167" i="82" s="1"/>
  <c r="E167" i="82" s="1"/>
  <c r="G167" i="82" s="1"/>
  <c r="E33" i="80"/>
  <c r="G33" i="80" s="1"/>
  <c r="C33" i="81" s="1"/>
  <c r="E33" i="81" s="1"/>
  <c r="G33" i="81" s="1"/>
  <c r="C33" i="82" s="1"/>
  <c r="E33" i="82" s="1"/>
  <c r="G33" i="82" s="1"/>
  <c r="C33" i="80"/>
  <c r="C77" i="80"/>
  <c r="E77" i="80" s="1"/>
  <c r="G77" i="80" s="1"/>
  <c r="C77" i="81" s="1"/>
  <c r="E77" i="81" s="1"/>
  <c r="G77" i="81" s="1"/>
  <c r="C77" i="82" s="1"/>
  <c r="E77" i="82" s="1"/>
  <c r="G77" i="82" s="1"/>
  <c r="C58" i="80"/>
  <c r="E58" i="80" s="1"/>
  <c r="G58" i="80" s="1"/>
  <c r="C58" i="81" s="1"/>
  <c r="E58" i="81" s="1"/>
  <c r="G58" i="81" s="1"/>
  <c r="C58" i="82" s="1"/>
  <c r="E58" i="82" s="1"/>
  <c r="G58" i="82" s="1"/>
  <c r="C93" i="80"/>
  <c r="E93" i="80" s="1"/>
  <c r="G93" i="80" s="1"/>
  <c r="C93" i="81" s="1"/>
  <c r="E93" i="81" s="1"/>
  <c r="G93" i="81" s="1"/>
  <c r="C93" i="82" s="1"/>
  <c r="E93" i="82" s="1"/>
  <c r="G93" i="82" s="1"/>
  <c r="E66" i="80"/>
  <c r="G66" i="80" s="1"/>
  <c r="C66" i="81" s="1"/>
  <c r="E66" i="81" s="1"/>
  <c r="G66" i="81" s="1"/>
  <c r="C66" i="82" s="1"/>
  <c r="E66" i="82" s="1"/>
  <c r="G66" i="82" s="1"/>
  <c r="C66" i="80"/>
  <c r="C180" i="80"/>
  <c r="E180" i="80" s="1"/>
  <c r="G180" i="80" s="1"/>
  <c r="C180" i="81" s="1"/>
  <c r="E180" i="81" s="1"/>
  <c r="G180" i="81" s="1"/>
  <c r="C180" i="82" s="1"/>
  <c r="E180" i="82" s="1"/>
  <c r="G180" i="82" s="1"/>
  <c r="C105" i="80"/>
  <c r="E105" i="80" s="1"/>
  <c r="G105" i="80" s="1"/>
  <c r="C105" i="81" s="1"/>
  <c r="E105" i="81" s="1"/>
  <c r="G105" i="81" s="1"/>
  <c r="C105" i="82" s="1"/>
  <c r="E105" i="82" s="1"/>
  <c r="G105" i="82" s="1"/>
  <c r="C164" i="80"/>
  <c r="E164" i="80" s="1"/>
  <c r="G164" i="80" s="1"/>
  <c r="C164" i="81" s="1"/>
  <c r="E164" i="81" s="1"/>
  <c r="G164" i="81" s="1"/>
  <c r="C164" i="82" s="1"/>
  <c r="E164" i="82" s="1"/>
  <c r="G164" i="82" s="1"/>
  <c r="C67" i="80"/>
  <c r="E67" i="80" s="1"/>
  <c r="G67" i="80" s="1"/>
  <c r="C67" i="81" s="1"/>
  <c r="E67" i="81" s="1"/>
  <c r="G67" i="81" s="1"/>
  <c r="C67" i="82" s="1"/>
  <c r="E67" i="82" s="1"/>
  <c r="G67" i="82" s="1"/>
  <c r="C207" i="80"/>
  <c r="E207" i="80" s="1"/>
  <c r="G207" i="80" s="1"/>
  <c r="C207" i="81" s="1"/>
  <c r="E207" i="81" s="1"/>
  <c r="G207" i="81" s="1"/>
  <c r="C207" i="82" s="1"/>
  <c r="E207" i="82" s="1"/>
  <c r="G207" i="82" s="1"/>
  <c r="C101" i="80"/>
  <c r="E101" i="80" s="1"/>
  <c r="G101" i="80" s="1"/>
  <c r="C101" i="81" s="1"/>
  <c r="E101" i="81" s="1"/>
  <c r="G101" i="81" s="1"/>
  <c r="C101" i="82" s="1"/>
  <c r="E101" i="82" s="1"/>
  <c r="G101" i="82" s="1"/>
  <c r="C195" i="80"/>
  <c r="E195" i="80" s="1"/>
  <c r="G195" i="80" s="1"/>
  <c r="C195" i="81" s="1"/>
  <c r="E195" i="81" s="1"/>
  <c r="G195" i="81" s="1"/>
  <c r="C195" i="82" s="1"/>
  <c r="E195" i="82" s="1"/>
  <c r="G195" i="82" s="1"/>
  <c r="E188" i="80"/>
  <c r="G188" i="80" s="1"/>
  <c r="C188" i="81" s="1"/>
  <c r="E188" i="81" s="1"/>
  <c r="G188" i="81" s="1"/>
  <c r="C188" i="82" s="1"/>
  <c r="E188" i="82" s="1"/>
  <c r="G188" i="82" s="1"/>
  <c r="C188" i="80"/>
  <c r="C115" i="80"/>
  <c r="E115" i="80" s="1"/>
  <c r="G115" i="80" s="1"/>
  <c r="C115" i="81" s="1"/>
  <c r="E115" i="81" s="1"/>
  <c r="G115" i="81" s="1"/>
  <c r="C115" i="82" s="1"/>
  <c r="E115" i="82" s="1"/>
  <c r="G115" i="82" s="1"/>
  <c r="C193" i="80"/>
  <c r="E193" i="80" s="1"/>
  <c r="G193" i="80" s="1"/>
  <c r="C193" i="81" s="1"/>
  <c r="E193" i="81" s="1"/>
  <c r="G193" i="81" s="1"/>
  <c r="C193" i="82" s="1"/>
  <c r="E193" i="82" s="1"/>
  <c r="G193" i="82" s="1"/>
  <c r="C108" i="80"/>
  <c r="E108" i="80" s="1"/>
  <c r="G108" i="80" s="1"/>
  <c r="C108" i="81" s="1"/>
  <c r="E108" i="81" s="1"/>
  <c r="G108" i="81" s="1"/>
  <c r="C108" i="82" s="1"/>
  <c r="E108" i="82" s="1"/>
  <c r="G108" i="82" s="1"/>
  <c r="C161" i="80"/>
  <c r="E161" i="80" s="1"/>
  <c r="G161" i="80" s="1"/>
  <c r="C161" i="81" s="1"/>
  <c r="E161" i="81" s="1"/>
  <c r="G161" i="81" s="1"/>
  <c r="C161" i="82" s="1"/>
  <c r="E161" i="82" s="1"/>
  <c r="G161" i="82" s="1"/>
  <c r="C212" i="80"/>
  <c r="E212" i="80" s="1"/>
  <c r="G212" i="80" s="1"/>
  <c r="C212" i="81" s="1"/>
  <c r="E212" i="81" s="1"/>
  <c r="G212" i="81" s="1"/>
  <c r="C212" i="82" s="1"/>
  <c r="E212" i="82" s="1"/>
  <c r="G212" i="82" s="1"/>
  <c r="C49" i="80"/>
  <c r="E49" i="80" s="1"/>
  <c r="G49" i="80" s="1"/>
  <c r="C49" i="81" s="1"/>
  <c r="E49" i="81" s="1"/>
  <c r="G49" i="81" s="1"/>
  <c r="C49" i="82" s="1"/>
  <c r="E49" i="82" s="1"/>
  <c r="G49" i="82" s="1"/>
  <c r="C21" i="80"/>
  <c r="E21" i="80" s="1"/>
  <c r="G21" i="80" s="1"/>
  <c r="C21" i="81" s="1"/>
  <c r="E21" i="81" s="1"/>
  <c r="G21" i="81" s="1"/>
  <c r="C21" i="82" s="1"/>
  <c r="E21" i="82" s="1"/>
  <c r="G21" i="82" s="1"/>
  <c r="C140" i="80"/>
  <c r="E140" i="80" s="1"/>
  <c r="G140" i="80" s="1"/>
  <c r="C140" i="81" s="1"/>
  <c r="E140" i="81" s="1"/>
  <c r="G140" i="81" s="1"/>
  <c r="C140" i="82" s="1"/>
  <c r="E140" i="82" s="1"/>
  <c r="G140" i="82" s="1"/>
  <c r="C109" i="80"/>
  <c r="E109" i="80" s="1"/>
  <c r="G109" i="80" s="1"/>
  <c r="C109" i="81" s="1"/>
  <c r="E109" i="81" s="1"/>
  <c r="G109" i="81" s="1"/>
  <c r="C109" i="82" s="1"/>
  <c r="E109" i="82" s="1"/>
  <c r="G109" i="82" s="1"/>
  <c r="C171" i="80"/>
  <c r="E171" i="80" s="1"/>
  <c r="G171" i="80" s="1"/>
  <c r="C171" i="81" s="1"/>
  <c r="E171" i="81" s="1"/>
  <c r="G171" i="81" s="1"/>
  <c r="C171" i="82" s="1"/>
  <c r="E171" i="82" s="1"/>
  <c r="G171" i="82" s="1"/>
  <c r="C37" i="80"/>
  <c r="E37" i="80" s="1"/>
  <c r="G37" i="80" s="1"/>
  <c r="C37" i="81" s="1"/>
  <c r="E37" i="81" s="1"/>
  <c r="G37" i="81" s="1"/>
  <c r="C37" i="82" s="1"/>
  <c r="E37" i="82" s="1"/>
  <c r="G37" i="82" s="1"/>
  <c r="C151" i="80"/>
  <c r="E151" i="80" s="1"/>
  <c r="G151" i="80" s="1"/>
  <c r="C151" i="81" s="1"/>
  <c r="E151" i="81" s="1"/>
  <c r="G151" i="81" s="1"/>
  <c r="C151" i="82" s="1"/>
  <c r="E151" i="82" s="1"/>
  <c r="G151" i="82" s="1"/>
  <c r="C16" i="80"/>
  <c r="E16" i="80" s="1"/>
  <c r="G16" i="80" s="1"/>
  <c r="C16" i="81" s="1"/>
  <c r="E16" i="81" s="1"/>
  <c r="G16" i="81" s="1"/>
  <c r="C16" i="82" s="1"/>
  <c r="E16" i="82" s="1"/>
  <c r="G16" i="82" s="1"/>
  <c r="C177" i="80"/>
  <c r="E177" i="80" s="1"/>
  <c r="G177" i="80" s="1"/>
  <c r="C177" i="81" s="1"/>
  <c r="E177" i="81" s="1"/>
  <c r="G177" i="81" s="1"/>
  <c r="C177" i="82" s="1"/>
  <c r="E177" i="82" s="1"/>
  <c r="G177" i="82" s="1"/>
  <c r="C217" i="80"/>
  <c r="E217" i="80" s="1"/>
  <c r="G217" i="80" s="1"/>
  <c r="C217" i="81" s="1"/>
  <c r="E217" i="81" s="1"/>
  <c r="G217" i="81" s="1"/>
  <c r="C217" i="82" s="1"/>
  <c r="E217" i="82" s="1"/>
  <c r="G217" i="82" s="1"/>
  <c r="E88" i="80"/>
  <c r="G88" i="80" s="1"/>
  <c r="C88" i="81" s="1"/>
  <c r="E88" i="81" s="1"/>
  <c r="G88" i="81" s="1"/>
  <c r="C88" i="82" s="1"/>
  <c r="E88" i="82" s="1"/>
  <c r="G88" i="82" s="1"/>
  <c r="C88" i="80"/>
  <c r="C172" i="80"/>
  <c r="E172" i="80" s="1"/>
  <c r="G172" i="80" s="1"/>
  <c r="C172" i="81" s="1"/>
  <c r="E172" i="81" s="1"/>
  <c r="G172" i="81" s="1"/>
  <c r="C172" i="82" s="1"/>
  <c r="E172" i="82" s="1"/>
  <c r="G172" i="82" s="1"/>
  <c r="C54" i="80"/>
  <c r="E54" i="80" s="1"/>
  <c r="G54" i="80" s="1"/>
  <c r="C54" i="81" s="1"/>
  <c r="E54" i="81" s="1"/>
  <c r="G54" i="81" s="1"/>
  <c r="C54" i="82" s="1"/>
  <c r="E54" i="82" s="1"/>
  <c r="G54" i="82" s="1"/>
  <c r="C73" i="80"/>
  <c r="E73" i="80" s="1"/>
  <c r="G73" i="80" s="1"/>
  <c r="C73" i="81" s="1"/>
  <c r="E73" i="81" s="1"/>
  <c r="G73" i="81" s="1"/>
  <c r="C73" i="82" s="1"/>
  <c r="E73" i="82" s="1"/>
  <c r="G73" i="82" s="1"/>
  <c r="E106" i="80"/>
  <c r="G106" i="80" s="1"/>
  <c r="C106" i="81" s="1"/>
  <c r="E106" i="81" s="1"/>
  <c r="G106" i="81" s="1"/>
  <c r="C106" i="82" s="1"/>
  <c r="E106" i="82" s="1"/>
  <c r="G106" i="82" s="1"/>
  <c r="C106" i="80"/>
  <c r="C82" i="80"/>
  <c r="E82" i="80" s="1"/>
  <c r="G82" i="80" s="1"/>
  <c r="C82" i="81" s="1"/>
  <c r="E82" i="81" s="1"/>
  <c r="G82" i="81" s="1"/>
  <c r="C82" i="82" s="1"/>
  <c r="E82" i="82" s="1"/>
  <c r="G82" i="82" s="1"/>
  <c r="C168" i="80"/>
  <c r="E168" i="80" s="1"/>
  <c r="G168" i="80" s="1"/>
  <c r="C168" i="81" s="1"/>
  <c r="E168" i="81" s="1"/>
  <c r="G168" i="81" s="1"/>
  <c r="C168" i="82" s="1"/>
  <c r="E168" i="82" s="1"/>
  <c r="G168" i="82" s="1"/>
  <c r="C199" i="80"/>
  <c r="E199" i="80" s="1"/>
  <c r="G199" i="80" s="1"/>
  <c r="C199" i="81" s="1"/>
  <c r="E199" i="81" s="1"/>
  <c r="G199" i="81" s="1"/>
  <c r="C199" i="82" s="1"/>
  <c r="E199" i="82" s="1"/>
  <c r="G199" i="82" s="1"/>
  <c r="E130" i="80"/>
  <c r="G130" i="80" s="1"/>
  <c r="C130" i="81" s="1"/>
  <c r="E130" i="81" s="1"/>
  <c r="G130" i="81" s="1"/>
  <c r="C130" i="82" s="1"/>
  <c r="E130" i="82" s="1"/>
  <c r="G130" i="82" s="1"/>
  <c r="C130" i="80"/>
  <c r="C127" i="80"/>
  <c r="E127" i="80" s="1"/>
  <c r="G127" i="80" s="1"/>
  <c r="C127" i="81" s="1"/>
  <c r="E127" i="81" s="1"/>
  <c r="G127" i="81" s="1"/>
  <c r="C127" i="82" s="1"/>
  <c r="E127" i="82" s="1"/>
  <c r="G127" i="82" s="1"/>
  <c r="C191" i="80"/>
  <c r="E191" i="80" s="1"/>
  <c r="G191" i="80" s="1"/>
  <c r="C191" i="81" s="1"/>
  <c r="E191" i="81" s="1"/>
  <c r="G191" i="81" s="1"/>
  <c r="C191" i="82" s="1"/>
  <c r="E191" i="82" s="1"/>
  <c r="G191" i="82" s="1"/>
  <c r="C79" i="80"/>
  <c r="E79" i="80" s="1"/>
  <c r="G79" i="80" s="1"/>
  <c r="C79" i="81" s="1"/>
  <c r="E79" i="81" s="1"/>
  <c r="G79" i="81" s="1"/>
  <c r="C79" i="82" s="1"/>
  <c r="E79" i="82" s="1"/>
  <c r="G79" i="82" s="1"/>
  <c r="C122" i="80"/>
  <c r="E122" i="80" s="1"/>
  <c r="G122" i="80" s="1"/>
  <c r="C122" i="81" s="1"/>
  <c r="E122" i="81" s="1"/>
  <c r="G122" i="81" s="1"/>
  <c r="C122" i="82" s="1"/>
  <c r="E122" i="82" s="1"/>
  <c r="G122" i="82" s="1"/>
  <c r="C25" i="80"/>
  <c r="E25" i="80" s="1"/>
  <c r="G25" i="80" s="1"/>
  <c r="C25" i="81" s="1"/>
  <c r="E25" i="81" s="1"/>
  <c r="G25" i="81" s="1"/>
  <c r="C25" i="82" s="1"/>
  <c r="E25" i="82" s="1"/>
  <c r="G25" i="82" s="1"/>
  <c r="C78" i="80"/>
  <c r="E78" i="80" s="1"/>
  <c r="G78" i="80" s="1"/>
  <c r="C78" i="81" s="1"/>
  <c r="E78" i="81" s="1"/>
  <c r="G78" i="81" s="1"/>
  <c r="C78" i="82" s="1"/>
  <c r="E78" i="82" s="1"/>
  <c r="G78" i="82" s="1"/>
  <c r="C57" i="80"/>
  <c r="E57" i="80" s="1"/>
  <c r="G57" i="80" s="1"/>
  <c r="C57" i="81" s="1"/>
  <c r="E57" i="81" s="1"/>
  <c r="G57" i="81" s="1"/>
  <c r="C57" i="82" s="1"/>
  <c r="E57" i="82" s="1"/>
  <c r="G57" i="82" s="1"/>
  <c r="E51" i="80"/>
  <c r="G51" i="80" s="1"/>
  <c r="C51" i="81" s="1"/>
  <c r="E51" i="81" s="1"/>
  <c r="G51" i="81" s="1"/>
  <c r="C51" i="82" s="1"/>
  <c r="E51" i="82" s="1"/>
  <c r="G51" i="82" s="1"/>
  <c r="C51" i="80"/>
  <c r="C43" i="80"/>
  <c r="E43" i="80" s="1"/>
  <c r="G43" i="80" s="1"/>
  <c r="C43" i="81" s="1"/>
  <c r="E43" i="81" s="1"/>
  <c r="G43" i="81" s="1"/>
  <c r="C43" i="82" s="1"/>
  <c r="E43" i="82" s="1"/>
  <c r="G43" i="82" s="1"/>
  <c r="C76" i="80"/>
  <c r="E76" i="80" s="1"/>
  <c r="G76" i="80" s="1"/>
  <c r="C76" i="81" s="1"/>
  <c r="E76" i="81" s="1"/>
  <c r="G76" i="81" s="1"/>
  <c r="C76" i="82" s="1"/>
  <c r="E76" i="82" s="1"/>
  <c r="G76" i="82" s="1"/>
  <c r="C62" i="80"/>
  <c r="E62" i="80" s="1"/>
  <c r="G62" i="80" s="1"/>
  <c r="C62" i="81" s="1"/>
  <c r="E62" i="81" s="1"/>
  <c r="G62" i="81" s="1"/>
  <c r="C62" i="82" s="1"/>
  <c r="E62" i="82" s="1"/>
  <c r="G62" i="82" s="1"/>
  <c r="C52" i="80"/>
  <c r="E52" i="80" s="1"/>
  <c r="G52" i="80" s="1"/>
  <c r="C52" i="81" s="1"/>
  <c r="E52" i="81" s="1"/>
  <c r="G52" i="81" s="1"/>
  <c r="C52" i="82" s="1"/>
  <c r="E52" i="82" s="1"/>
  <c r="G52" i="82" s="1"/>
  <c r="C45" i="80"/>
  <c r="E45" i="80" s="1"/>
  <c r="G45" i="80" s="1"/>
  <c r="C45" i="81" s="1"/>
  <c r="E45" i="81" s="1"/>
  <c r="G45" i="81" s="1"/>
  <c r="C45" i="82" s="1"/>
  <c r="E45" i="82" s="1"/>
  <c r="G45" i="82" s="1"/>
  <c r="C120" i="80"/>
  <c r="E120" i="80" s="1"/>
  <c r="G120" i="80" s="1"/>
  <c r="C120" i="81" s="1"/>
  <c r="E120" i="81" s="1"/>
  <c r="G120" i="81" s="1"/>
  <c r="C120" i="82" s="1"/>
  <c r="E120" i="82" s="1"/>
  <c r="G120" i="82" s="1"/>
  <c r="C113" i="80"/>
  <c r="E113" i="80" s="1"/>
  <c r="G113" i="80" s="1"/>
  <c r="C113" i="81" s="1"/>
  <c r="E113" i="81" s="1"/>
  <c r="G113" i="81" s="1"/>
  <c r="C113" i="82" s="1"/>
  <c r="E113" i="82" s="1"/>
  <c r="G113" i="82" s="1"/>
  <c r="C209" i="80"/>
  <c r="E209" i="80" s="1"/>
  <c r="G209" i="80" s="1"/>
  <c r="C209" i="81" s="1"/>
  <c r="E209" i="81" s="1"/>
  <c r="G209" i="81" s="1"/>
  <c r="C209" i="82" s="1"/>
  <c r="E209" i="82" s="1"/>
  <c r="G209" i="82" s="1"/>
  <c r="C83" i="80"/>
  <c r="E83" i="80" s="1"/>
  <c r="G83" i="80" s="1"/>
  <c r="C83" i="81" s="1"/>
  <c r="E83" i="81" s="1"/>
  <c r="G83" i="81" s="1"/>
  <c r="C83" i="82" s="1"/>
  <c r="E83" i="82" s="1"/>
  <c r="G83" i="82" s="1"/>
  <c r="C135" i="80"/>
  <c r="E135" i="80" s="1"/>
  <c r="G135" i="80" s="1"/>
  <c r="C135" i="81" s="1"/>
  <c r="E135" i="81" s="1"/>
  <c r="G135" i="81" s="1"/>
  <c r="C135" i="82" s="1"/>
  <c r="E135" i="82" s="1"/>
  <c r="G135" i="82" s="1"/>
  <c r="C134" i="80"/>
  <c r="E134" i="80" s="1"/>
  <c r="G134" i="80" s="1"/>
  <c r="C134" i="81" s="1"/>
  <c r="E134" i="81" s="1"/>
  <c r="G134" i="81" s="1"/>
  <c r="C134" i="82" s="1"/>
  <c r="E134" i="82" s="1"/>
  <c r="G134" i="82" s="1"/>
  <c r="C189" i="80"/>
  <c r="E189" i="80" s="1"/>
  <c r="G189" i="80" s="1"/>
  <c r="C189" i="81" s="1"/>
  <c r="E189" i="81" s="1"/>
  <c r="G189" i="81" s="1"/>
  <c r="C189" i="82" s="1"/>
  <c r="E189" i="82" s="1"/>
  <c r="G189" i="82" s="1"/>
  <c r="C121" i="80"/>
  <c r="E121" i="80" s="1"/>
  <c r="G121" i="80" s="1"/>
  <c r="C121" i="81" s="1"/>
  <c r="E121" i="81" s="1"/>
  <c r="G121" i="81" s="1"/>
  <c r="C121" i="82" s="1"/>
  <c r="E121" i="82" s="1"/>
  <c r="G121" i="82" s="1"/>
  <c r="C208" i="80"/>
  <c r="E208" i="80" s="1"/>
  <c r="G208" i="80" s="1"/>
  <c r="C208" i="81" s="1"/>
  <c r="E208" i="81" s="1"/>
  <c r="G208" i="81" s="1"/>
  <c r="C208" i="82" s="1"/>
  <c r="E208" i="82" s="1"/>
  <c r="G208" i="82" s="1"/>
  <c r="C174" i="80"/>
  <c r="E174" i="80" s="1"/>
  <c r="G174" i="80" s="1"/>
  <c r="C174" i="81" s="1"/>
  <c r="E174" i="81" s="1"/>
  <c r="G174" i="81" s="1"/>
  <c r="C174" i="82" s="1"/>
  <c r="E174" i="82" s="1"/>
  <c r="G174" i="82" s="1"/>
  <c r="E192" i="80"/>
  <c r="G192" i="80" s="1"/>
  <c r="C192" i="81" s="1"/>
  <c r="E192" i="81" s="1"/>
  <c r="G192" i="81" s="1"/>
  <c r="C192" i="82" s="1"/>
  <c r="E192" i="82" s="1"/>
  <c r="G192" i="82" s="1"/>
  <c r="C192" i="80"/>
  <c r="C81" i="80"/>
  <c r="E81" i="80" s="1"/>
  <c r="G81" i="80" s="1"/>
  <c r="C81" i="81" s="1"/>
  <c r="E81" i="81" s="1"/>
  <c r="G81" i="81" s="1"/>
  <c r="C81" i="82" s="1"/>
  <c r="E81" i="82" s="1"/>
  <c r="G81" i="82" s="1"/>
  <c r="C175" i="80"/>
  <c r="E175" i="80" s="1"/>
  <c r="G175" i="80" s="1"/>
  <c r="C175" i="81" s="1"/>
  <c r="E175" i="81" s="1"/>
  <c r="G175" i="81" s="1"/>
  <c r="C175" i="82" s="1"/>
  <c r="E175" i="82" s="1"/>
  <c r="G175" i="82" s="1"/>
  <c r="C94" i="80"/>
  <c r="E94" i="80" s="1"/>
  <c r="G94" i="80" s="1"/>
  <c r="C94" i="81" s="1"/>
  <c r="E94" i="81" s="1"/>
  <c r="G94" i="81" s="1"/>
  <c r="C94" i="82" s="1"/>
  <c r="E94" i="82" s="1"/>
  <c r="G94" i="82" s="1"/>
  <c r="E27" i="80"/>
  <c r="G27" i="80" s="1"/>
  <c r="C27" i="81" s="1"/>
  <c r="E27" i="81" s="1"/>
  <c r="G27" i="81" s="1"/>
  <c r="C27" i="82" s="1"/>
  <c r="E27" i="82" s="1"/>
  <c r="G27" i="82" s="1"/>
  <c r="C27" i="80"/>
  <c r="C30" i="80"/>
  <c r="E30" i="80" s="1"/>
  <c r="G30" i="80" s="1"/>
  <c r="C30" i="81" s="1"/>
  <c r="E30" i="81" s="1"/>
  <c r="G30" i="81" s="1"/>
  <c r="C30" i="82" s="1"/>
  <c r="E30" i="82" s="1"/>
  <c r="G30" i="82" s="1"/>
  <c r="C176" i="80"/>
  <c r="E176" i="80" s="1"/>
  <c r="G176" i="80" s="1"/>
  <c r="C176" i="81" s="1"/>
  <c r="E176" i="81" s="1"/>
  <c r="G176" i="81" s="1"/>
  <c r="C176" i="82" s="1"/>
  <c r="E176" i="82" s="1"/>
  <c r="G176" i="82" s="1"/>
  <c r="C128" i="80"/>
  <c r="E128" i="80" s="1"/>
  <c r="G128" i="80" s="1"/>
  <c r="C128" i="81" s="1"/>
  <c r="E128" i="81" s="1"/>
  <c r="G128" i="81" s="1"/>
  <c r="C128" i="82" s="1"/>
  <c r="E128" i="82" s="1"/>
  <c r="G128" i="82" s="1"/>
  <c r="E103" i="80"/>
  <c r="G103" i="80" s="1"/>
  <c r="C103" i="81" s="1"/>
  <c r="E103" i="81" s="1"/>
  <c r="G103" i="81" s="1"/>
  <c r="C103" i="82" s="1"/>
  <c r="E103" i="82" s="1"/>
  <c r="G103" i="82" s="1"/>
  <c r="C103" i="80"/>
  <c r="C125" i="80"/>
  <c r="E125" i="80" s="1"/>
  <c r="G125" i="80" s="1"/>
  <c r="C125" i="81" s="1"/>
  <c r="E125" i="81" s="1"/>
  <c r="G125" i="81" s="1"/>
  <c r="C125" i="82" s="1"/>
  <c r="E125" i="82" s="1"/>
  <c r="G125" i="82" s="1"/>
  <c r="C60" i="80"/>
  <c r="E60" i="80" s="1"/>
  <c r="G60" i="80" s="1"/>
  <c r="C60" i="81" s="1"/>
  <c r="E60" i="81" s="1"/>
  <c r="G60" i="81" s="1"/>
  <c r="C60" i="82" s="1"/>
  <c r="E60" i="82" s="1"/>
  <c r="G60" i="82" s="1"/>
  <c r="C74" i="80"/>
  <c r="E74" i="80" s="1"/>
  <c r="G74" i="80" s="1"/>
  <c r="C74" i="81" s="1"/>
  <c r="E74" i="81" s="1"/>
  <c r="G74" i="81" s="1"/>
  <c r="C74" i="82" s="1"/>
  <c r="E74" i="82" s="1"/>
  <c r="G74" i="82" s="1"/>
  <c r="C107" i="80"/>
  <c r="E107" i="80" s="1"/>
  <c r="G107" i="80" s="1"/>
  <c r="C107" i="81" s="1"/>
  <c r="E107" i="81" s="1"/>
  <c r="G107" i="81" s="1"/>
  <c r="C107" i="82" s="1"/>
  <c r="E107" i="82" s="1"/>
  <c r="G107" i="82" s="1"/>
  <c r="C96" i="80"/>
  <c r="E96" i="80" s="1"/>
  <c r="G96" i="80" s="1"/>
  <c r="C96" i="81" s="1"/>
  <c r="E96" i="81" s="1"/>
  <c r="G96" i="81" s="1"/>
  <c r="C96" i="82" s="1"/>
  <c r="E96" i="82" s="1"/>
  <c r="G96" i="82" s="1"/>
  <c r="C89" i="80"/>
  <c r="E89" i="80" s="1"/>
  <c r="G89" i="80" s="1"/>
  <c r="C89" i="81" s="1"/>
  <c r="E89" i="81" s="1"/>
  <c r="G89" i="81" s="1"/>
  <c r="C89" i="82" s="1"/>
  <c r="E89" i="82" s="1"/>
  <c r="G89" i="82" s="1"/>
  <c r="C137" i="80"/>
  <c r="E137" i="80" s="1"/>
  <c r="G137" i="80" s="1"/>
  <c r="C137" i="81" s="1"/>
  <c r="E137" i="81" s="1"/>
  <c r="G137" i="81" s="1"/>
  <c r="C137" i="82" s="1"/>
  <c r="E137" i="82" s="1"/>
  <c r="G137" i="82" s="1"/>
  <c r="E92" i="80"/>
  <c r="G92" i="80" s="1"/>
  <c r="C92" i="81" s="1"/>
  <c r="E92" i="81" s="1"/>
  <c r="G92" i="81" s="1"/>
  <c r="C92" i="82" s="1"/>
  <c r="E92" i="82" s="1"/>
  <c r="G92" i="82" s="1"/>
  <c r="C92" i="80"/>
  <c r="C198" i="80"/>
  <c r="E198" i="80" s="1"/>
  <c r="G198" i="80" s="1"/>
  <c r="C198" i="81" s="1"/>
  <c r="E198" i="81" s="1"/>
  <c r="G198" i="81" s="1"/>
  <c r="C198" i="82" s="1"/>
  <c r="E198" i="82" s="1"/>
  <c r="G198" i="82" s="1"/>
  <c r="C131" i="80"/>
  <c r="E131" i="80" s="1"/>
  <c r="G131" i="80" s="1"/>
  <c r="C131" i="81" s="1"/>
  <c r="E131" i="81" s="1"/>
  <c r="G131" i="81" s="1"/>
  <c r="C131" i="82" s="1"/>
  <c r="E131" i="82" s="1"/>
  <c r="G131" i="82" s="1"/>
  <c r="C182" i="80"/>
  <c r="E182" i="80" s="1"/>
  <c r="G182" i="80" s="1"/>
  <c r="C182" i="81" s="1"/>
  <c r="E182" i="81" s="1"/>
  <c r="G182" i="81" s="1"/>
  <c r="C182" i="82" s="1"/>
  <c r="E182" i="82" s="1"/>
  <c r="G182" i="82" s="1"/>
  <c r="C166" i="80"/>
  <c r="E166" i="80" s="1"/>
  <c r="G166" i="80" s="1"/>
  <c r="C166" i="81" s="1"/>
  <c r="E166" i="81" s="1"/>
  <c r="G166" i="81" s="1"/>
  <c r="C166" i="82" s="1"/>
  <c r="E166" i="82" s="1"/>
  <c r="G166" i="82" s="1"/>
  <c r="C114" i="80"/>
  <c r="E114" i="80" s="1"/>
  <c r="G114" i="80" s="1"/>
  <c r="C114" i="81" s="1"/>
  <c r="E114" i="81" s="1"/>
  <c r="G114" i="81" s="1"/>
  <c r="C114" i="82" s="1"/>
  <c r="E114" i="82" s="1"/>
  <c r="G114" i="82" s="1"/>
  <c r="C169" i="80"/>
  <c r="E169" i="80" s="1"/>
  <c r="G169" i="80" s="1"/>
  <c r="C169" i="81" s="1"/>
  <c r="E169" i="81" s="1"/>
  <c r="G169" i="81" s="1"/>
  <c r="C169" i="82" s="1"/>
  <c r="E169" i="82" s="1"/>
  <c r="G169" i="82" s="1"/>
  <c r="C59" i="80"/>
  <c r="E59" i="80" s="1"/>
  <c r="G59" i="80" s="1"/>
  <c r="C59" i="81" s="1"/>
  <c r="E59" i="81" s="1"/>
  <c r="G59" i="81" s="1"/>
  <c r="C59" i="82" s="1"/>
  <c r="E59" i="82" s="1"/>
  <c r="G59" i="82" s="1"/>
  <c r="C36" i="80"/>
  <c r="E36" i="80" s="1"/>
  <c r="G36" i="80" s="1"/>
  <c r="C36" i="81" s="1"/>
  <c r="E36" i="81" s="1"/>
  <c r="G36" i="81" s="1"/>
  <c r="C36" i="82" s="1"/>
  <c r="E36" i="82" s="1"/>
  <c r="G36" i="82" s="1"/>
  <c r="C100" i="80"/>
  <c r="E100" i="80" s="1"/>
  <c r="G100" i="80" s="1"/>
  <c r="C100" i="81" s="1"/>
  <c r="E100" i="81" s="1"/>
  <c r="G100" i="81" s="1"/>
  <c r="C100" i="82" s="1"/>
  <c r="E100" i="82" s="1"/>
  <c r="G100" i="82" s="1"/>
  <c r="C178" i="80"/>
  <c r="E178" i="80" s="1"/>
  <c r="G178" i="80" s="1"/>
  <c r="C178" i="81" s="1"/>
  <c r="E178" i="81" s="1"/>
  <c r="G178" i="81" s="1"/>
  <c r="C178" i="82" s="1"/>
  <c r="E178" i="82" s="1"/>
  <c r="G178" i="82" s="1"/>
  <c r="C75" i="80"/>
  <c r="E75" i="80" s="1"/>
  <c r="G75" i="80" s="1"/>
  <c r="C75" i="81" s="1"/>
  <c r="E75" i="81" s="1"/>
  <c r="G75" i="81" s="1"/>
  <c r="C75" i="82" s="1"/>
  <c r="E75" i="82" s="1"/>
  <c r="G75" i="82" s="1"/>
  <c r="C19" i="80"/>
  <c r="E19" i="80" s="1"/>
  <c r="G19" i="80" s="1"/>
  <c r="C19" i="81" s="1"/>
  <c r="E19" i="81" s="1"/>
  <c r="G19" i="81" s="1"/>
  <c r="C19" i="82" s="1"/>
  <c r="E19" i="82" s="1"/>
  <c r="G19" i="82" s="1"/>
  <c r="C118" i="80"/>
  <c r="E118" i="80" s="1"/>
  <c r="G118" i="80" s="1"/>
  <c r="C118" i="81" s="1"/>
  <c r="E118" i="81" s="1"/>
  <c r="G118" i="81" s="1"/>
  <c r="C118" i="82" s="1"/>
  <c r="E118" i="82" s="1"/>
  <c r="G118" i="82" s="1"/>
  <c r="C211" i="80"/>
  <c r="E211" i="80" s="1"/>
  <c r="G211" i="80" s="1"/>
  <c r="C211" i="81" s="1"/>
  <c r="E211" i="81" s="1"/>
  <c r="G211" i="81" s="1"/>
  <c r="C211" i="82" s="1"/>
  <c r="E211" i="82" s="1"/>
  <c r="G211" i="82" s="1"/>
  <c r="C145" i="80"/>
  <c r="E145" i="80" s="1"/>
  <c r="G145" i="80" s="1"/>
  <c r="C145" i="81" s="1"/>
  <c r="E145" i="81" s="1"/>
  <c r="G145" i="81" s="1"/>
  <c r="C145" i="82" s="1"/>
  <c r="E145" i="82" s="1"/>
  <c r="G145" i="82" s="1"/>
  <c r="E216" i="80"/>
  <c r="G216" i="80" s="1"/>
  <c r="C216" i="81" s="1"/>
  <c r="E216" i="81" s="1"/>
  <c r="G216" i="81" s="1"/>
  <c r="C216" i="82" s="1"/>
  <c r="E216" i="82" s="1"/>
  <c r="G216" i="82" s="1"/>
  <c r="C216" i="80"/>
  <c r="C205" i="80"/>
  <c r="E205" i="80" s="1"/>
  <c r="G205" i="80" s="1"/>
  <c r="C205" i="81" s="1"/>
  <c r="E205" i="81" s="1"/>
  <c r="G205" i="81" s="1"/>
  <c r="C205" i="82" s="1"/>
  <c r="E205" i="82" s="1"/>
  <c r="G205" i="82" s="1"/>
  <c r="C159" i="80"/>
  <c r="E159" i="80" s="1"/>
  <c r="G159" i="80" s="1"/>
  <c r="C159" i="81" s="1"/>
  <c r="E159" i="81" s="1"/>
  <c r="G159" i="81" s="1"/>
  <c r="C159" i="82" s="1"/>
  <c r="E159" i="82" s="1"/>
  <c r="G159" i="82" s="1"/>
  <c r="C154" i="80"/>
  <c r="E154" i="80" s="1"/>
  <c r="G154" i="80" s="1"/>
  <c r="C154" i="81" s="1"/>
  <c r="E154" i="81" s="1"/>
  <c r="G154" i="81" s="1"/>
  <c r="C154" i="82" s="1"/>
  <c r="E154" i="82" s="1"/>
  <c r="G154" i="82" s="1"/>
  <c r="E104" i="80"/>
  <c r="G104" i="80" s="1"/>
  <c r="C104" i="81" s="1"/>
  <c r="E104" i="81" s="1"/>
  <c r="G104" i="81" s="1"/>
  <c r="C104" i="82" s="1"/>
  <c r="E104" i="82" s="1"/>
  <c r="G104" i="82" s="1"/>
  <c r="C104" i="80"/>
  <c r="C147" i="80"/>
  <c r="E147" i="80" s="1"/>
  <c r="G147" i="80" s="1"/>
  <c r="C147" i="81" s="1"/>
  <c r="E147" i="81" s="1"/>
  <c r="G147" i="81" s="1"/>
  <c r="C147" i="82" s="1"/>
  <c r="E147" i="82" s="1"/>
  <c r="G147" i="82" s="1"/>
  <c r="C95" i="80"/>
  <c r="E95" i="80" s="1"/>
  <c r="G95" i="80" s="1"/>
  <c r="C95" i="81" s="1"/>
  <c r="E95" i="81" s="1"/>
  <c r="G95" i="81" s="1"/>
  <c r="C95" i="82" s="1"/>
  <c r="E95" i="82" s="1"/>
  <c r="G95" i="82" s="1"/>
  <c r="C117" i="80"/>
  <c r="E117" i="80" s="1"/>
  <c r="G117" i="80" s="1"/>
  <c r="C117" i="81" s="1"/>
  <c r="E117" i="81" s="1"/>
  <c r="G117" i="81" s="1"/>
  <c r="C117" i="82" s="1"/>
  <c r="E117" i="82" s="1"/>
  <c r="G117" i="82" s="1"/>
  <c r="E163" i="80"/>
  <c r="G163" i="80" s="1"/>
  <c r="C163" i="81" s="1"/>
  <c r="E163" i="81" s="1"/>
  <c r="G163" i="81" s="1"/>
  <c r="C163" i="82" s="1"/>
  <c r="E163" i="82" s="1"/>
  <c r="G163" i="82" s="1"/>
  <c r="C163" i="80"/>
  <c r="C185" i="80"/>
  <c r="E185" i="80" s="1"/>
  <c r="G185" i="80" s="1"/>
  <c r="C185" i="81" s="1"/>
  <c r="E185" i="81" s="1"/>
  <c r="G185" i="81" s="1"/>
  <c r="C185" i="82" s="1"/>
  <c r="E185" i="82" s="1"/>
  <c r="G185" i="82" s="1"/>
  <c r="C179" i="80"/>
  <c r="E179" i="80" s="1"/>
  <c r="G179" i="80" s="1"/>
  <c r="C179" i="81" s="1"/>
  <c r="E179" i="81" s="1"/>
  <c r="G179" i="81" s="1"/>
  <c r="C179" i="82" s="1"/>
  <c r="E179" i="82" s="1"/>
  <c r="G179" i="82" s="1"/>
  <c r="C17" i="80"/>
  <c r="E17" i="80" s="1"/>
  <c r="G17" i="80" s="1"/>
  <c r="C17" i="81" s="1"/>
  <c r="E17" i="81" s="1"/>
  <c r="G17" i="81" s="1"/>
  <c r="C17" i="82" s="1"/>
  <c r="E17" i="82" s="1"/>
  <c r="G17" i="82" s="1"/>
  <c r="C150" i="80"/>
  <c r="E150" i="80" s="1"/>
  <c r="G150" i="80" s="1"/>
  <c r="C150" i="81" s="1"/>
  <c r="E150" i="81" s="1"/>
  <c r="G150" i="81" s="1"/>
  <c r="C150" i="82" s="1"/>
  <c r="E150" i="82" s="1"/>
  <c r="G150" i="82" s="1"/>
  <c r="C86" i="80"/>
  <c r="E86" i="80" s="1"/>
  <c r="G86" i="80" s="1"/>
  <c r="C86" i="81" s="1"/>
  <c r="E86" i="81" s="1"/>
  <c r="G86" i="81" s="1"/>
  <c r="C86" i="82" s="1"/>
  <c r="E86" i="82" s="1"/>
  <c r="G86" i="82" s="1"/>
  <c r="C201" i="80"/>
  <c r="E201" i="80" s="1"/>
  <c r="G201" i="80" s="1"/>
  <c r="C201" i="81" s="1"/>
  <c r="E201" i="81" s="1"/>
  <c r="G201" i="81" s="1"/>
  <c r="C201" i="82" s="1"/>
  <c r="E201" i="82" s="1"/>
  <c r="G201" i="82" s="1"/>
  <c r="C186" i="80"/>
  <c r="E186" i="80" s="1"/>
  <c r="G186" i="80" s="1"/>
  <c r="C186" i="81" s="1"/>
  <c r="E186" i="81" s="1"/>
  <c r="G186" i="81" s="1"/>
  <c r="C186" i="82" s="1"/>
  <c r="E186" i="82" s="1"/>
  <c r="G186" i="82" s="1"/>
  <c r="E32" i="80"/>
  <c r="G32" i="80" s="1"/>
  <c r="C32" i="81" s="1"/>
  <c r="E32" i="81" s="1"/>
  <c r="G32" i="81" s="1"/>
  <c r="C32" i="82" s="1"/>
  <c r="E32" i="82" s="1"/>
  <c r="G32" i="82" s="1"/>
  <c r="C32" i="80"/>
  <c r="C63" i="80"/>
  <c r="E63" i="80" s="1"/>
  <c r="G63" i="80" s="1"/>
  <c r="C63" i="81" s="1"/>
  <c r="E63" i="81" s="1"/>
  <c r="G63" i="81" s="1"/>
  <c r="C63" i="82" s="1"/>
  <c r="E63" i="82" s="1"/>
  <c r="G63" i="82" s="1"/>
  <c r="C165" i="80"/>
  <c r="E165" i="80" s="1"/>
  <c r="G165" i="80" s="1"/>
  <c r="C165" i="81" s="1"/>
  <c r="E165" i="81" s="1"/>
  <c r="G165" i="81" s="1"/>
  <c r="C165" i="82" s="1"/>
  <c r="E165" i="82" s="1"/>
  <c r="G165" i="82" s="1"/>
  <c r="C184" i="80"/>
  <c r="E184" i="80" s="1"/>
  <c r="G184" i="80" s="1"/>
  <c r="C184" i="81" s="1"/>
  <c r="E184" i="81" s="1"/>
  <c r="G184" i="81" s="1"/>
  <c r="C184" i="82" s="1"/>
  <c r="E184" i="82" s="1"/>
  <c r="G184" i="82" s="1"/>
  <c r="C116" i="80"/>
  <c r="E116" i="80" s="1"/>
  <c r="G116" i="80" s="1"/>
  <c r="C116" i="81" s="1"/>
  <c r="E116" i="81" s="1"/>
  <c r="G116" i="81" s="1"/>
  <c r="C116" i="82" s="1"/>
  <c r="E116" i="82" s="1"/>
  <c r="G116" i="82" s="1"/>
  <c r="C15" i="80"/>
  <c r="E15" i="80" s="1"/>
  <c r="G15" i="80" s="1"/>
  <c r="C15" i="81" s="1"/>
  <c r="E15" i="81" s="1"/>
  <c r="G15" i="81" s="1"/>
  <c r="C15" i="82" s="1"/>
  <c r="E15" i="82" s="1"/>
  <c r="G15" i="82" s="1"/>
  <c r="C162" i="80"/>
  <c r="E162" i="80" s="1"/>
  <c r="G162" i="80" s="1"/>
  <c r="C162" i="81" s="1"/>
  <c r="E162" i="81" s="1"/>
  <c r="G162" i="81" s="1"/>
  <c r="C162" i="82" s="1"/>
  <c r="E162" i="82" s="1"/>
  <c r="G162" i="82" s="1"/>
  <c r="C85" i="80"/>
  <c r="E85" i="80" s="1"/>
  <c r="G85" i="80" s="1"/>
  <c r="C85" i="81" s="1"/>
  <c r="E85" i="81" s="1"/>
  <c r="G85" i="81" s="1"/>
  <c r="C85" i="82" s="1"/>
  <c r="E85" i="82" s="1"/>
  <c r="G85" i="82" s="1"/>
  <c r="C44" i="80"/>
  <c r="E44" i="80" s="1"/>
  <c r="G44" i="80" s="1"/>
  <c r="C44" i="81" s="1"/>
  <c r="E44" i="81" s="1"/>
  <c r="G44" i="81" s="1"/>
  <c r="C44" i="82" s="1"/>
  <c r="E44" i="82" s="1"/>
  <c r="G44" i="82" s="1"/>
  <c r="C72" i="80"/>
  <c r="E72" i="80" s="1"/>
  <c r="G72" i="80" s="1"/>
  <c r="C72" i="81" s="1"/>
  <c r="E72" i="81" s="1"/>
  <c r="G72" i="81" s="1"/>
  <c r="C72" i="82" s="1"/>
  <c r="E72" i="82" s="1"/>
  <c r="G72" i="82" s="1"/>
  <c r="C214" i="80"/>
  <c r="E214" i="80" s="1"/>
  <c r="G214" i="80" s="1"/>
  <c r="C214" i="81" s="1"/>
  <c r="E214" i="81" s="1"/>
  <c r="G214" i="81" s="1"/>
  <c r="C214" i="82" s="1"/>
  <c r="E214" i="82" s="1"/>
  <c r="G214" i="82" s="1"/>
  <c r="C141" i="80"/>
  <c r="E141" i="80" s="1"/>
  <c r="G141" i="80" s="1"/>
  <c r="C141" i="81" s="1"/>
  <c r="E141" i="81" s="1"/>
  <c r="G141" i="81" s="1"/>
  <c r="C141" i="82" s="1"/>
  <c r="E141" i="82" s="1"/>
  <c r="G141" i="82" s="1"/>
  <c r="C68" i="80"/>
  <c r="E68" i="80" s="1"/>
  <c r="G68" i="80" s="1"/>
  <c r="C68" i="81" s="1"/>
  <c r="E68" i="81" s="1"/>
  <c r="G68" i="81" s="1"/>
  <c r="C68" i="82" s="1"/>
  <c r="E68" i="82" s="1"/>
  <c r="G68" i="82" s="1"/>
  <c r="C26" i="80"/>
  <c r="E26" i="80" s="1"/>
  <c r="G26" i="80" s="1"/>
  <c r="C26" i="81" s="1"/>
  <c r="E26" i="81" s="1"/>
  <c r="G26" i="81" s="1"/>
  <c r="C26" i="82" s="1"/>
  <c r="E26" i="82" s="1"/>
  <c r="G26" i="82" s="1"/>
  <c r="C146" i="80"/>
  <c r="E146" i="80" s="1"/>
  <c r="G146" i="80" s="1"/>
  <c r="C146" i="81" s="1"/>
  <c r="E146" i="81" s="1"/>
  <c r="G146" i="81" s="1"/>
  <c r="C146" i="82" s="1"/>
  <c r="E146" i="82" s="1"/>
  <c r="G146" i="82" s="1"/>
  <c r="C213" i="80"/>
  <c r="E213" i="80" s="1"/>
  <c r="G213" i="80" s="1"/>
  <c r="C213" i="81" s="1"/>
  <c r="E213" i="81" s="1"/>
  <c r="G213" i="81" s="1"/>
  <c r="C213" i="82" s="1"/>
  <c r="E213" i="82" s="1"/>
  <c r="G213" i="82" s="1"/>
  <c r="E31" i="80"/>
  <c r="G31" i="80" s="1"/>
  <c r="C31" i="81" s="1"/>
  <c r="E31" i="81" s="1"/>
  <c r="G31" i="81" s="1"/>
  <c r="C31" i="82" s="1"/>
  <c r="E31" i="82" s="1"/>
  <c r="G31" i="82" s="1"/>
  <c r="C31" i="80"/>
  <c r="C194" i="80"/>
  <c r="E194" i="80" s="1"/>
  <c r="G194" i="80" s="1"/>
  <c r="C194" i="81" s="1"/>
  <c r="E194" i="81" s="1"/>
  <c r="G194" i="81" s="1"/>
  <c r="C194" i="82" s="1"/>
  <c r="E194" i="82" s="1"/>
  <c r="G194" i="82" s="1"/>
  <c r="C90" i="80"/>
  <c r="E90" i="80" s="1"/>
  <c r="G90" i="80" s="1"/>
  <c r="C90" i="81" s="1"/>
  <c r="E90" i="81" s="1"/>
  <c r="G90" i="81" s="1"/>
  <c r="C90" i="82" s="1"/>
  <c r="E90" i="82" s="1"/>
  <c r="G90" i="82" s="1"/>
  <c r="C204" i="80"/>
  <c r="E204" i="80" s="1"/>
  <c r="G204" i="80" s="1"/>
  <c r="C204" i="81" s="1"/>
  <c r="E204" i="81" s="1"/>
  <c r="G204" i="81" s="1"/>
  <c r="C204" i="82" s="1"/>
  <c r="E204" i="82" s="1"/>
  <c r="G204" i="82" s="1"/>
  <c r="E129" i="80"/>
  <c r="G129" i="80" s="1"/>
  <c r="C129" i="81" s="1"/>
  <c r="E129" i="81" s="1"/>
  <c r="G129" i="81" s="1"/>
  <c r="C129" i="82" s="1"/>
  <c r="E129" i="82" s="1"/>
  <c r="G129" i="82" s="1"/>
  <c r="C129" i="80"/>
  <c r="C149" i="80"/>
  <c r="E149" i="80" s="1"/>
  <c r="G149" i="80" s="1"/>
  <c r="C149" i="81" s="1"/>
  <c r="E149" i="81" s="1"/>
  <c r="G149" i="81" s="1"/>
  <c r="C149" i="82" s="1"/>
  <c r="E149" i="82" s="1"/>
  <c r="G149" i="82" s="1"/>
  <c r="C200" i="80"/>
  <c r="E200" i="80" s="1"/>
  <c r="G200" i="80" s="1"/>
  <c r="C200" i="81" s="1"/>
  <c r="E200" i="81" s="1"/>
  <c r="G200" i="81" s="1"/>
  <c r="C200" i="82" s="1"/>
  <c r="E200" i="82" s="1"/>
  <c r="G200" i="82" s="1"/>
  <c r="C98" i="80"/>
  <c r="E98" i="80" s="1"/>
  <c r="G98" i="80" s="1"/>
  <c r="C98" i="81" s="1"/>
  <c r="E98" i="81" s="1"/>
  <c r="G98" i="81" s="1"/>
  <c r="C98" i="82" s="1"/>
  <c r="E98" i="82" s="1"/>
  <c r="G98" i="82" s="1"/>
  <c r="E123" i="80"/>
  <c r="G123" i="80" s="1"/>
  <c r="C123" i="81" s="1"/>
  <c r="E123" i="81" s="1"/>
  <c r="G123" i="81" s="1"/>
  <c r="C123" i="82" s="1"/>
  <c r="E123" i="82" s="1"/>
  <c r="G123" i="82" s="1"/>
  <c r="C123" i="80"/>
  <c r="C133" i="80"/>
  <c r="E133" i="80" s="1"/>
  <c r="G133" i="80" s="1"/>
  <c r="C133" i="81" s="1"/>
  <c r="E133" i="81" s="1"/>
  <c r="G133" i="81" s="1"/>
  <c r="C133" i="82" s="1"/>
  <c r="E133" i="82" s="1"/>
  <c r="G133" i="82" s="1"/>
  <c r="C132" i="80"/>
  <c r="E132" i="80" s="1"/>
  <c r="G132" i="80" s="1"/>
  <c r="C132" i="81" s="1"/>
  <c r="E132" i="81" s="1"/>
  <c r="G132" i="81" s="1"/>
  <c r="C132" i="82" s="1"/>
  <c r="E132" i="82" s="1"/>
  <c r="G132" i="82" s="1"/>
  <c r="C99" i="80"/>
  <c r="E99" i="80" s="1"/>
  <c r="G99" i="80" s="1"/>
  <c r="C99" i="81" s="1"/>
  <c r="E99" i="81" s="1"/>
  <c r="G99" i="81" s="1"/>
  <c r="C99" i="82" s="1"/>
  <c r="E99" i="82" s="1"/>
  <c r="G99" i="82" s="1"/>
  <c r="C144" i="80"/>
  <c r="E144" i="80" s="1"/>
  <c r="G144" i="80" s="1"/>
  <c r="C144" i="81" s="1"/>
  <c r="E144" i="81" s="1"/>
  <c r="G144" i="81" s="1"/>
  <c r="C144" i="82" s="1"/>
  <c r="E144" i="82" s="1"/>
  <c r="G144" i="82" s="1"/>
  <c r="C157" i="80"/>
  <c r="E157" i="80" s="1"/>
  <c r="G157" i="80" s="1"/>
  <c r="C157" i="81" s="1"/>
  <c r="E157" i="81" s="1"/>
  <c r="G157" i="81" s="1"/>
  <c r="C157" i="82" s="1"/>
  <c r="E157" i="82" s="1"/>
  <c r="G157" i="82" s="1"/>
  <c r="C170" i="80"/>
  <c r="E170" i="80" s="1"/>
  <c r="G170" i="80" s="1"/>
  <c r="C170" i="81" s="1"/>
  <c r="E170" i="81" s="1"/>
  <c r="G170" i="81" s="1"/>
  <c r="C170" i="82" s="1"/>
  <c r="E170" i="82" s="1"/>
  <c r="G170" i="82" s="1"/>
  <c r="C50" i="80"/>
  <c r="E50" i="80" s="1"/>
  <c r="G50" i="80" s="1"/>
  <c r="C50" i="81" s="1"/>
  <c r="E50" i="81" s="1"/>
  <c r="G50" i="81" s="1"/>
  <c r="C50" i="82" s="1"/>
  <c r="E50" i="82" s="1"/>
  <c r="G50" i="82" s="1"/>
  <c r="E119" i="80"/>
  <c r="G119" i="80" s="1"/>
  <c r="C119" i="81" s="1"/>
  <c r="E119" i="81" s="1"/>
  <c r="G119" i="81" s="1"/>
  <c r="C119" i="82" s="1"/>
  <c r="E119" i="82" s="1"/>
  <c r="G119" i="82" s="1"/>
  <c r="C119" i="80"/>
  <c r="C18" i="80"/>
  <c r="E18" i="80" s="1"/>
  <c r="G18" i="80" s="1"/>
  <c r="C18" i="81" s="1"/>
  <c r="E18" i="81" s="1"/>
  <c r="G18" i="81" s="1"/>
  <c r="C18" i="82" s="1"/>
  <c r="E18" i="82" s="1"/>
  <c r="G18" i="82" s="1"/>
  <c r="C126" i="80"/>
  <c r="E126" i="80" s="1"/>
  <c r="G126" i="80" s="1"/>
  <c r="C126" i="81" s="1"/>
  <c r="E126" i="81" s="1"/>
  <c r="G126" i="81" s="1"/>
  <c r="C126" i="82" s="1"/>
  <c r="E126" i="82" s="1"/>
  <c r="G126" i="82" s="1"/>
  <c r="C138" i="80"/>
  <c r="E138" i="80" s="1"/>
  <c r="G138" i="80" s="1"/>
  <c r="C138" i="81" s="1"/>
  <c r="E138" i="81" s="1"/>
  <c r="G138" i="81" s="1"/>
  <c r="C138" i="82" s="1"/>
  <c r="E138" i="82" s="1"/>
  <c r="G138" i="82" s="1"/>
  <c r="C153" i="80"/>
  <c r="E153" i="80" s="1"/>
  <c r="G153" i="80" s="1"/>
  <c r="C153" i="81" s="1"/>
  <c r="E153" i="81" s="1"/>
  <c r="G153" i="81" s="1"/>
  <c r="C153" i="82" s="1"/>
  <c r="E153" i="82" s="1"/>
  <c r="G153" i="82" s="1"/>
  <c r="C24" i="80"/>
  <c r="E24" i="80" s="1"/>
  <c r="G24" i="80" s="1"/>
  <c r="C24" i="81" s="1"/>
  <c r="E24" i="81" s="1"/>
  <c r="G24" i="81" s="1"/>
  <c r="C24" i="82" s="1"/>
  <c r="E24" i="82" s="1"/>
  <c r="G24" i="82" s="1"/>
  <c r="C102" i="80"/>
  <c r="E102" i="80" s="1"/>
  <c r="G102" i="80" s="1"/>
  <c r="C102" i="81" s="1"/>
  <c r="E102" i="81" s="1"/>
  <c r="G102" i="81" s="1"/>
  <c r="C102" i="82" s="1"/>
  <c r="E102" i="82" s="1"/>
  <c r="G102" i="82" s="1"/>
  <c r="C64" i="80"/>
  <c r="E64" i="80" s="1"/>
  <c r="G64" i="80" s="1"/>
  <c r="C64" i="81" s="1"/>
  <c r="E64" i="81" s="1"/>
  <c r="G64" i="81" s="1"/>
  <c r="C64" i="82" s="1"/>
  <c r="E64" i="82" s="1"/>
  <c r="G64" i="82" s="1"/>
  <c r="C143" i="80"/>
  <c r="E143" i="80" s="1"/>
  <c r="G143" i="80" s="1"/>
  <c r="C143" i="81" s="1"/>
  <c r="E143" i="81" s="1"/>
  <c r="G143" i="81" s="1"/>
  <c r="C143" i="82" s="1"/>
  <c r="E143" i="82" s="1"/>
  <c r="G143" i="82" s="1"/>
  <c r="C158" i="80"/>
  <c r="E158" i="80" s="1"/>
  <c r="G158" i="80" s="1"/>
  <c r="C158" i="81" s="1"/>
  <c r="E158" i="81" s="1"/>
  <c r="G158" i="81" s="1"/>
  <c r="C158" i="82" s="1"/>
  <c r="E158" i="82" s="1"/>
  <c r="G158" i="82" s="1"/>
  <c r="C187" i="80"/>
  <c r="E187" i="80" s="1"/>
  <c r="G187" i="80" s="1"/>
  <c r="C187" i="81" s="1"/>
  <c r="E187" i="81" s="1"/>
  <c r="G187" i="81" s="1"/>
  <c r="C187" i="82" s="1"/>
  <c r="E187" i="82" s="1"/>
  <c r="G187" i="82" s="1"/>
  <c r="C111" i="80"/>
  <c r="E111" i="80" s="1"/>
  <c r="G111" i="80" s="1"/>
  <c r="C111" i="81" s="1"/>
  <c r="E111" i="81" s="1"/>
  <c r="G111" i="81" s="1"/>
  <c r="C111" i="82" s="1"/>
  <c r="E111" i="82" s="1"/>
  <c r="G111" i="82" s="1"/>
  <c r="C23" i="80"/>
  <c r="E23" i="80" s="1"/>
  <c r="G23" i="80" s="1"/>
  <c r="C23" i="81" s="1"/>
  <c r="E23" i="81" s="1"/>
  <c r="G23" i="81" s="1"/>
  <c r="C23" i="82" s="1"/>
  <c r="E23" i="82" s="1"/>
  <c r="G23" i="82" s="1"/>
  <c r="E23" i="83" s="1"/>
  <c r="G23" i="83" s="1"/>
  <c r="C20" i="80"/>
  <c r="E20" i="80" s="1"/>
  <c r="G20" i="80" s="1"/>
  <c r="C20" i="81" s="1"/>
  <c r="E20" i="81" s="1"/>
  <c r="G20" i="81" s="1"/>
  <c r="C20" i="82" s="1"/>
  <c r="E20" i="82" s="1"/>
  <c r="G20" i="82" s="1"/>
  <c r="C202" i="80"/>
  <c r="E202" i="80" s="1"/>
  <c r="G202" i="80" s="1"/>
  <c r="C202" i="81" s="1"/>
  <c r="E202" i="81" s="1"/>
  <c r="G202" i="81" s="1"/>
  <c r="C202" i="82" s="1"/>
  <c r="E202" i="82" s="1"/>
  <c r="G202" i="82" s="1"/>
  <c r="C61" i="80"/>
  <c r="E61" i="80" s="1"/>
  <c r="G61" i="80" s="1"/>
  <c r="C61" i="81" s="1"/>
  <c r="E61" i="81" s="1"/>
  <c r="G61" i="81" s="1"/>
  <c r="C61" i="82" s="1"/>
  <c r="E61" i="82" s="1"/>
  <c r="G61" i="82" s="1"/>
  <c r="E97" i="80"/>
  <c r="G97" i="80" s="1"/>
  <c r="C97" i="81" s="1"/>
  <c r="E97" i="81" s="1"/>
  <c r="G97" i="81" s="1"/>
  <c r="C97" i="82" s="1"/>
  <c r="E97" i="82" s="1"/>
  <c r="G97" i="82" s="1"/>
  <c r="C97" i="80"/>
  <c r="C87" i="80"/>
  <c r="E87" i="80" s="1"/>
  <c r="G87" i="80" s="1"/>
  <c r="C87" i="81" s="1"/>
  <c r="E87" i="81" s="1"/>
  <c r="G87" i="81" s="1"/>
  <c r="C87" i="82" s="1"/>
  <c r="E87" i="82" s="1"/>
  <c r="G87" i="82" s="1"/>
  <c r="C112" i="80"/>
  <c r="E112" i="80" s="1"/>
  <c r="G112" i="80" s="1"/>
  <c r="C112" i="81" s="1"/>
  <c r="E112" i="81" s="1"/>
  <c r="G112" i="81" s="1"/>
  <c r="C112" i="82" s="1"/>
  <c r="E112" i="82" s="1"/>
  <c r="G112" i="82" s="1"/>
  <c r="C197" i="80"/>
  <c r="E197" i="80" s="1"/>
  <c r="G197" i="80" s="1"/>
  <c r="C197" i="81" s="1"/>
  <c r="E197" i="81" s="1"/>
  <c r="G197" i="81" s="1"/>
  <c r="C197" i="82" s="1"/>
  <c r="E197" i="82" s="1"/>
  <c r="G197" i="82" s="1"/>
  <c r="E136" i="80"/>
  <c r="G136" i="80" s="1"/>
  <c r="C136" i="81" s="1"/>
  <c r="E136" i="81" s="1"/>
  <c r="G136" i="81" s="1"/>
  <c r="C136" i="82" s="1"/>
  <c r="E136" i="82" s="1"/>
  <c r="G136" i="82" s="1"/>
  <c r="C136" i="80"/>
  <c r="C110" i="80"/>
  <c r="E110" i="80" s="1"/>
  <c r="G110" i="80" s="1"/>
  <c r="C110" i="81" s="1"/>
  <c r="E110" i="81" s="1"/>
  <c r="G110" i="81" s="1"/>
  <c r="C110" i="82" s="1"/>
  <c r="E110" i="82" s="1"/>
  <c r="G110" i="82" s="1"/>
  <c r="C183" i="80"/>
  <c r="E183" i="80" s="1"/>
  <c r="G183" i="80" s="1"/>
  <c r="C183" i="81" s="1"/>
  <c r="E183" i="81" s="1"/>
  <c r="G183" i="81" s="1"/>
  <c r="C183" i="82" s="1"/>
  <c r="E183" i="82" s="1"/>
  <c r="G183" i="82" s="1"/>
  <c r="C71" i="80"/>
  <c r="E71" i="80" s="1"/>
  <c r="G71" i="80" s="1"/>
  <c r="C71" i="81" s="1"/>
  <c r="E71" i="81" s="1"/>
  <c r="G71" i="81" s="1"/>
  <c r="C71" i="82" s="1"/>
  <c r="E71" i="82" s="1"/>
  <c r="G71" i="82" s="1"/>
  <c r="E71" i="83" s="1"/>
  <c r="G71" i="83" s="1"/>
  <c r="E70" i="80"/>
  <c r="G70" i="80" s="1"/>
  <c r="C70" i="81" s="1"/>
  <c r="E70" i="81" s="1"/>
  <c r="G70" i="81" s="1"/>
  <c r="C70" i="82" s="1"/>
  <c r="E70" i="82" s="1"/>
  <c r="G70" i="82" s="1"/>
  <c r="E70" i="83" s="1"/>
  <c r="C70" i="80"/>
  <c r="C173" i="80"/>
  <c r="E173" i="80" s="1"/>
  <c r="G173" i="80" s="1"/>
  <c r="C173" i="81" s="1"/>
  <c r="E173" i="81" s="1"/>
  <c r="G173" i="81" s="1"/>
  <c r="C173" i="82" s="1"/>
  <c r="E173" i="82" s="1"/>
  <c r="G173" i="82" s="1"/>
  <c r="C84" i="80"/>
  <c r="E84" i="80" s="1"/>
  <c r="G84" i="80" s="1"/>
  <c r="C84" i="81" s="1"/>
  <c r="E84" i="81" s="1"/>
  <c r="G84" i="81" s="1"/>
  <c r="C84" i="82" s="1"/>
  <c r="E84" i="82" s="1"/>
  <c r="G84" i="82" s="1"/>
  <c r="C142" i="80"/>
  <c r="E142" i="80" s="1"/>
  <c r="G142" i="80" s="1"/>
  <c r="C142" i="81" s="1"/>
  <c r="E142" i="81" s="1"/>
  <c r="G142" i="81" s="1"/>
  <c r="C142" i="82" s="1"/>
  <c r="E142" i="82" s="1"/>
  <c r="G142" i="82" s="1"/>
  <c r="C53" i="80"/>
  <c r="E53" i="80" s="1"/>
  <c r="G53" i="80" s="1"/>
  <c r="C53" i="81" s="1"/>
  <c r="E53" i="81" s="1"/>
  <c r="G53" i="81" s="1"/>
  <c r="C53" i="82" s="1"/>
  <c r="E53" i="82" s="1"/>
  <c r="G53" i="82" s="1"/>
  <c r="C196" i="80"/>
  <c r="E196" i="80" s="1"/>
  <c r="G196" i="80" s="1"/>
  <c r="C196" i="81" s="1"/>
  <c r="E196" i="81" s="1"/>
  <c r="G196" i="81" s="1"/>
  <c r="C196" i="82" s="1"/>
  <c r="E196" i="82" s="1"/>
  <c r="G196" i="82" s="1"/>
  <c r="C124" i="80"/>
  <c r="E124" i="80" s="1"/>
  <c r="G124" i="80" s="1"/>
  <c r="C124" i="81" s="1"/>
  <c r="E124" i="81" s="1"/>
  <c r="G124" i="81" s="1"/>
  <c r="C124" i="82" s="1"/>
  <c r="E124" i="82" s="1"/>
  <c r="G124" i="82" s="1"/>
  <c r="C28" i="80"/>
  <c r="E28" i="80" s="1"/>
  <c r="G28" i="80" s="1"/>
  <c r="C28" i="81" s="1"/>
  <c r="E28" i="81" s="1"/>
  <c r="G28" i="81" s="1"/>
  <c r="C28" i="82" s="1"/>
  <c r="E28" i="82" s="1"/>
  <c r="G28" i="82" s="1"/>
  <c r="E155" i="80"/>
  <c r="G155" i="80" s="1"/>
  <c r="C155" i="81" s="1"/>
  <c r="E155" i="81" s="1"/>
  <c r="G155" i="81" s="1"/>
  <c r="C155" i="82" s="1"/>
  <c r="E155" i="82" s="1"/>
  <c r="G155" i="82" s="1"/>
  <c r="C155" i="80"/>
  <c r="C65" i="80"/>
  <c r="E65" i="80" s="1"/>
  <c r="G65" i="80" s="1"/>
  <c r="C65" i="81" s="1"/>
  <c r="E65" i="81" s="1"/>
  <c r="G65" i="81" s="1"/>
  <c r="C65" i="82" s="1"/>
  <c r="E65" i="82" s="1"/>
  <c r="G65" i="82" s="1"/>
  <c r="C91" i="80"/>
  <c r="E91" i="80" s="1"/>
  <c r="G91" i="80" s="1"/>
  <c r="C91" i="81" s="1"/>
  <c r="E91" i="81" s="1"/>
  <c r="G91" i="81" s="1"/>
  <c r="C91" i="82" s="1"/>
  <c r="E91" i="82" s="1"/>
  <c r="G91" i="82" s="1"/>
  <c r="C206" i="80"/>
  <c r="E206" i="80" s="1"/>
  <c r="G206" i="80" s="1"/>
  <c r="C206" i="81" s="1"/>
  <c r="E206" i="81" s="1"/>
  <c r="G206" i="81" s="1"/>
  <c r="C206" i="82" s="1"/>
  <c r="E206" i="82" s="1"/>
  <c r="G206" i="82" s="1"/>
  <c r="C41" i="80"/>
  <c r="E41" i="80" s="1"/>
  <c r="G41" i="80" s="1"/>
  <c r="C41" i="81" s="1"/>
  <c r="E41" i="81" s="1"/>
  <c r="G41" i="81" s="1"/>
  <c r="C41" i="82" s="1"/>
  <c r="E41" i="82" s="1"/>
  <c r="G41" i="82" s="1"/>
  <c r="C210" i="80"/>
  <c r="E210" i="80" s="1"/>
  <c r="G210" i="80" s="1"/>
  <c r="C210" i="81" s="1"/>
  <c r="E210" i="81" s="1"/>
  <c r="G210" i="81" s="1"/>
  <c r="C210" i="82" s="1"/>
  <c r="E210" i="82" s="1"/>
  <c r="G210" i="82" s="1"/>
  <c r="C190" i="80"/>
  <c r="E190" i="80" s="1"/>
  <c r="G190" i="80" s="1"/>
  <c r="C190" i="81" s="1"/>
  <c r="E190" i="81" s="1"/>
  <c r="G190" i="81" s="1"/>
  <c r="C190" i="82" s="1"/>
  <c r="E190" i="82" s="1"/>
  <c r="G190" i="82" s="1"/>
  <c r="C160" i="80"/>
  <c r="E160" i="80" s="1"/>
  <c r="G160" i="80" s="1"/>
  <c r="C160" i="81" s="1"/>
  <c r="E160" i="81" s="1"/>
  <c r="G160" i="81" s="1"/>
  <c r="C160" i="82" s="1"/>
  <c r="E160" i="82" s="1"/>
  <c r="G160" i="82" s="1"/>
  <c r="C47" i="80"/>
  <c r="E47" i="80" s="1"/>
  <c r="G47" i="80" s="1"/>
  <c r="C47" i="81" s="1"/>
  <c r="E47" i="81" s="1"/>
  <c r="G47" i="81" s="1"/>
  <c r="C47" i="82" s="1"/>
  <c r="E47" i="82" s="1"/>
  <c r="G47" i="82" s="1"/>
  <c r="C69" i="80"/>
  <c r="E69" i="80" s="1"/>
  <c r="G69" i="80" s="1"/>
  <c r="C69" i="81" s="1"/>
  <c r="E69" i="81" s="1"/>
  <c r="G69" i="81" s="1"/>
  <c r="C69" i="82" s="1"/>
  <c r="E69" i="82" s="1"/>
  <c r="G69" i="82" s="1"/>
  <c r="C203" i="80"/>
  <c r="E203" i="80" s="1"/>
  <c r="G203" i="80" s="1"/>
  <c r="C203" i="81" s="1"/>
  <c r="E203" i="81" s="1"/>
  <c r="G203" i="81" s="1"/>
  <c r="C203" i="82" s="1"/>
  <c r="E203" i="82" s="1"/>
  <c r="G203" i="82" s="1"/>
  <c r="C22" i="80"/>
  <c r="E22" i="80" s="1"/>
  <c r="G22" i="80" s="1"/>
  <c r="C22" i="81" s="1"/>
  <c r="E22" i="81" s="1"/>
  <c r="G22" i="81" s="1"/>
  <c r="C22" i="82" s="1"/>
  <c r="E22" i="82" s="1"/>
  <c r="G22" i="82" s="1"/>
  <c r="C139" i="80"/>
  <c r="E139" i="80" s="1"/>
  <c r="G139" i="80" s="1"/>
  <c r="C139" i="81" s="1"/>
  <c r="E139" i="81" s="1"/>
  <c r="G139" i="81" s="1"/>
  <c r="C139" i="82" s="1"/>
  <c r="E139" i="82" s="1"/>
  <c r="G139" i="82" s="1"/>
  <c r="C9" i="72"/>
  <c r="E9" i="72" s="1"/>
  <c r="G9" i="72" s="1"/>
  <c r="C8" i="72"/>
  <c r="E8" i="72" s="1"/>
  <c r="G8" i="72" s="1"/>
  <c r="C11" i="72"/>
  <c r="E11" i="72" s="1"/>
  <c r="G11" i="72" s="1"/>
  <c r="C7" i="72"/>
  <c r="E7" i="72" s="1"/>
  <c r="G7" i="72" s="1"/>
  <c r="C13" i="72"/>
  <c r="E13" i="72" s="1"/>
  <c r="G13" i="72" s="1"/>
  <c r="C14" i="72"/>
  <c r="E14" i="72" s="1"/>
  <c r="G14" i="72" s="1"/>
  <c r="C10" i="72"/>
  <c r="E10" i="72" s="1"/>
  <c r="G10" i="72" s="1"/>
  <c r="C6" i="72"/>
  <c r="E6" i="72" s="1"/>
  <c r="G6" i="72" s="1"/>
  <c r="C12" i="72"/>
  <c r="E12" i="72" s="1"/>
  <c r="G12" i="72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38" i="85" l="1"/>
  <c r="G38" i="85" s="1"/>
  <c r="C38" i="85"/>
  <c r="C41" i="83"/>
  <c r="E41" i="83" s="1"/>
  <c r="G41" i="83" s="1"/>
  <c r="E68" i="83"/>
  <c r="G68" i="83" s="1"/>
  <c r="C68" i="83"/>
  <c r="C36" i="83"/>
  <c r="E36" i="83" s="1"/>
  <c r="G36" i="83" s="1"/>
  <c r="E52" i="83"/>
  <c r="G52" i="83" s="1"/>
  <c r="C52" i="83"/>
  <c r="C140" i="83"/>
  <c r="E140" i="83" s="1"/>
  <c r="G140" i="83" s="1"/>
  <c r="E152" i="84"/>
  <c r="G152" i="84" s="1"/>
  <c r="C152" i="84"/>
  <c r="C53" i="83"/>
  <c r="E53" i="83" s="1"/>
  <c r="G53" i="83" s="1"/>
  <c r="E150" i="83"/>
  <c r="G150" i="83" s="1"/>
  <c r="C150" i="83"/>
  <c r="C122" i="83"/>
  <c r="E122" i="83" s="1"/>
  <c r="G122" i="83" s="1"/>
  <c r="E29" i="84"/>
  <c r="G29" i="84" s="1"/>
  <c r="C29" i="84"/>
  <c r="C143" i="83"/>
  <c r="E143" i="83" s="1"/>
  <c r="G143" i="83" s="1"/>
  <c r="E116" i="83"/>
  <c r="G116" i="83" s="1"/>
  <c r="C116" i="83"/>
  <c r="C189" i="83"/>
  <c r="E189" i="83" s="1"/>
  <c r="G189" i="83" s="1"/>
  <c r="E42" i="84"/>
  <c r="G42" i="84" s="1"/>
  <c r="C42" i="84"/>
  <c r="C80" i="84"/>
  <c r="E80" i="84" s="1"/>
  <c r="G80" i="84" s="1"/>
  <c r="E56" i="84"/>
  <c r="G56" i="84" s="1"/>
  <c r="C56" i="84"/>
  <c r="C139" i="83"/>
  <c r="E139" i="83" s="1"/>
  <c r="G139" i="83" s="1"/>
  <c r="E47" i="83"/>
  <c r="G47" i="83" s="1"/>
  <c r="C47" i="83"/>
  <c r="C153" i="83"/>
  <c r="E153" i="83" s="1"/>
  <c r="G153" i="83" s="1"/>
  <c r="E19" i="83"/>
  <c r="G19" i="83" s="1"/>
  <c r="C19" i="83"/>
  <c r="C166" i="83"/>
  <c r="E166" i="83" s="1"/>
  <c r="G166" i="83" s="1"/>
  <c r="E209" i="83"/>
  <c r="G209" i="83" s="1"/>
  <c r="C209" i="83"/>
  <c r="C151" i="83"/>
  <c r="E151" i="83" s="1"/>
  <c r="G151" i="83" s="1"/>
  <c r="E161" i="83"/>
  <c r="G161" i="83" s="1"/>
  <c r="C161" i="83"/>
  <c r="C35" i="84"/>
  <c r="E35" i="84" s="1"/>
  <c r="G35" i="84" s="1"/>
  <c r="E23" i="84"/>
  <c r="G23" i="84" s="1"/>
  <c r="C23" i="84"/>
  <c r="C44" i="83"/>
  <c r="E44" i="83" s="1"/>
  <c r="G44" i="83" s="1"/>
  <c r="E144" i="83"/>
  <c r="G144" i="83" s="1"/>
  <c r="C144" i="83"/>
  <c r="C107" i="83"/>
  <c r="E107" i="83" s="1"/>
  <c r="G107" i="83" s="1"/>
  <c r="E67" i="83"/>
  <c r="G67" i="83" s="1"/>
  <c r="C67" i="83"/>
  <c r="C34" i="85"/>
  <c r="E34" i="85" s="1"/>
  <c r="G34" i="85" s="1"/>
  <c r="E34" i="86" s="1"/>
  <c r="G34" i="86" s="1"/>
  <c r="E46" i="84"/>
  <c r="G46" i="84" s="1"/>
  <c r="C46" i="84"/>
  <c r="C173" i="83"/>
  <c r="E173" i="83" s="1"/>
  <c r="G173" i="83" s="1"/>
  <c r="E204" i="83"/>
  <c r="G204" i="83" s="1"/>
  <c r="C204" i="83"/>
  <c r="C185" i="83"/>
  <c r="E185" i="83" s="1"/>
  <c r="G185" i="83" s="1"/>
  <c r="E125" i="83"/>
  <c r="G125" i="83" s="1"/>
  <c r="C125" i="83"/>
  <c r="C127" i="83"/>
  <c r="E127" i="83" s="1"/>
  <c r="G127" i="83" s="1"/>
  <c r="E73" i="83"/>
  <c r="G73" i="83" s="1"/>
  <c r="C73" i="83"/>
  <c r="C180" i="83"/>
  <c r="E180" i="83" s="1"/>
  <c r="G180" i="83" s="1"/>
  <c r="E167" i="83"/>
  <c r="G167" i="83" s="1"/>
  <c r="C167" i="83"/>
  <c r="C210" i="83"/>
  <c r="E210" i="83" s="1"/>
  <c r="G210" i="83" s="1"/>
  <c r="E28" i="83"/>
  <c r="G28" i="83" s="1"/>
  <c r="C28" i="83"/>
  <c r="C112" i="83"/>
  <c r="E112" i="83" s="1"/>
  <c r="G112" i="83" s="1"/>
  <c r="E24" i="83"/>
  <c r="G24" i="83" s="1"/>
  <c r="C24" i="83"/>
  <c r="C50" i="83"/>
  <c r="E50" i="83" s="1"/>
  <c r="G50" i="83" s="1"/>
  <c r="E90" i="83"/>
  <c r="G90" i="83" s="1"/>
  <c r="C90" i="83"/>
  <c r="C15" i="83"/>
  <c r="E15" i="83" s="1"/>
  <c r="G15" i="83" s="1"/>
  <c r="E186" i="83"/>
  <c r="G186" i="83" s="1"/>
  <c r="C186" i="83"/>
  <c r="C159" i="83"/>
  <c r="E159" i="83" s="1"/>
  <c r="G159" i="83" s="1"/>
  <c r="E114" i="83"/>
  <c r="G114" i="83" s="1"/>
  <c r="C114" i="83"/>
  <c r="C137" i="83"/>
  <c r="E137" i="83" s="1"/>
  <c r="G137" i="83" s="1"/>
  <c r="E175" i="83"/>
  <c r="G175" i="83" s="1"/>
  <c r="C175" i="83"/>
  <c r="C45" i="83"/>
  <c r="E45" i="83" s="1"/>
  <c r="G45" i="83" s="1"/>
  <c r="E57" i="83"/>
  <c r="G57" i="83" s="1"/>
  <c r="C57" i="83"/>
  <c r="C54" i="83"/>
  <c r="E54" i="83" s="1"/>
  <c r="G54" i="83" s="1"/>
  <c r="E212" i="83"/>
  <c r="G212" i="83" s="1"/>
  <c r="C212" i="83"/>
  <c r="C195" i="83"/>
  <c r="E195" i="83" s="1"/>
  <c r="G195" i="83" s="1"/>
  <c r="E215" i="83"/>
  <c r="G215" i="83" s="1"/>
  <c r="C215" i="83"/>
  <c r="C190" i="83"/>
  <c r="E190" i="83" s="1"/>
  <c r="G190" i="83" s="1"/>
  <c r="E133" i="83"/>
  <c r="G133" i="83" s="1"/>
  <c r="C133" i="83"/>
  <c r="C154" i="83"/>
  <c r="E154" i="83" s="1"/>
  <c r="G154" i="83" s="1"/>
  <c r="E120" i="83"/>
  <c r="G120" i="83" s="1"/>
  <c r="C120" i="83"/>
  <c r="C49" i="83"/>
  <c r="E49" i="83" s="1"/>
  <c r="G49" i="83" s="1"/>
  <c r="C22" i="83"/>
  <c r="E22" i="83" s="1"/>
  <c r="G22" i="83" s="1"/>
  <c r="E22" i="84" s="1"/>
  <c r="G22" i="84" s="1"/>
  <c r="C124" i="83"/>
  <c r="E124" i="83" s="1"/>
  <c r="G124" i="83" s="1"/>
  <c r="E70" i="84"/>
  <c r="G70" i="84" s="1"/>
  <c r="G70" i="83"/>
  <c r="C70" i="84" s="1"/>
  <c r="C87" i="83"/>
  <c r="E87" i="83" s="1"/>
  <c r="G87" i="83" s="1"/>
  <c r="E111" i="83"/>
  <c r="G111" i="83" s="1"/>
  <c r="C111" i="83"/>
  <c r="C170" i="83"/>
  <c r="E170" i="83" s="1"/>
  <c r="G170" i="83" s="1"/>
  <c r="E123" i="83"/>
  <c r="G123" i="83" s="1"/>
  <c r="C123" i="83"/>
  <c r="C194" i="83"/>
  <c r="E194" i="83" s="1"/>
  <c r="G194" i="83" s="1"/>
  <c r="E141" i="83"/>
  <c r="G141" i="83" s="1"/>
  <c r="C141" i="83"/>
  <c r="C201" i="83"/>
  <c r="E201" i="83" s="1"/>
  <c r="G201" i="83" s="1"/>
  <c r="E163" i="83"/>
  <c r="G163" i="83" s="1"/>
  <c r="C163" i="83"/>
  <c r="C205" i="83"/>
  <c r="E205" i="83" s="1"/>
  <c r="G205" i="83" s="1"/>
  <c r="E75" i="83"/>
  <c r="G75" i="83" s="1"/>
  <c r="C75" i="83"/>
  <c r="C89" i="83"/>
  <c r="E89" i="83" s="1"/>
  <c r="G89" i="83" s="1"/>
  <c r="E103" i="83"/>
  <c r="G103" i="83" s="1"/>
  <c r="C103" i="83"/>
  <c r="C81" i="83"/>
  <c r="E81" i="83" s="1"/>
  <c r="G81" i="83" s="1"/>
  <c r="E134" i="83"/>
  <c r="G134" i="83" s="1"/>
  <c r="C134" i="83"/>
  <c r="C78" i="83"/>
  <c r="E78" i="83" s="1"/>
  <c r="G78" i="83" s="1"/>
  <c r="E130" i="83"/>
  <c r="G130" i="83" s="1"/>
  <c r="C130" i="83"/>
  <c r="C172" i="83"/>
  <c r="E172" i="83" s="1"/>
  <c r="G172" i="83" s="1"/>
  <c r="E37" i="83"/>
  <c r="G37" i="83" s="1"/>
  <c r="C37" i="83"/>
  <c r="C101" i="83"/>
  <c r="E101" i="83" s="1"/>
  <c r="G101" i="83" s="1"/>
  <c r="E66" i="83"/>
  <c r="G66" i="83" s="1"/>
  <c r="C66" i="83"/>
  <c r="C181" i="83"/>
  <c r="E181" i="83" s="1"/>
  <c r="G181" i="83" s="1"/>
  <c r="E197" i="83"/>
  <c r="G197" i="83" s="1"/>
  <c r="C197" i="83"/>
  <c r="C32" i="83"/>
  <c r="E32" i="83" s="1"/>
  <c r="G32" i="83" s="1"/>
  <c r="E169" i="83"/>
  <c r="G169" i="83" s="1"/>
  <c r="C169" i="83"/>
  <c r="C51" i="83"/>
  <c r="E51" i="83" s="1"/>
  <c r="G51" i="83" s="1"/>
  <c r="E188" i="83"/>
  <c r="G188" i="83" s="1"/>
  <c r="C188" i="83"/>
  <c r="C203" i="83"/>
  <c r="E203" i="83" s="1"/>
  <c r="G203" i="83" s="1"/>
  <c r="E196" i="83"/>
  <c r="G196" i="83" s="1"/>
  <c r="C196" i="83"/>
  <c r="C71" i="84"/>
  <c r="E71" i="84" s="1"/>
  <c r="G71" i="84" s="1"/>
  <c r="E187" i="83"/>
  <c r="G187" i="83" s="1"/>
  <c r="C187" i="83"/>
  <c r="C157" i="83"/>
  <c r="E157" i="83" s="1"/>
  <c r="G157" i="83" s="1"/>
  <c r="E98" i="83"/>
  <c r="G98" i="83" s="1"/>
  <c r="C98" i="83"/>
  <c r="C214" i="83"/>
  <c r="E214" i="83" s="1"/>
  <c r="G214" i="83" s="1"/>
  <c r="E86" i="83"/>
  <c r="G86" i="83" s="1"/>
  <c r="C86" i="83"/>
  <c r="C117" i="83"/>
  <c r="E117" i="83" s="1"/>
  <c r="G117" i="83" s="1"/>
  <c r="C178" i="83"/>
  <c r="E178" i="83" s="1"/>
  <c r="G178" i="83" s="1"/>
  <c r="C96" i="83"/>
  <c r="E96" i="83" s="1"/>
  <c r="G96" i="83" s="1"/>
  <c r="E128" i="83"/>
  <c r="G128" i="83" s="1"/>
  <c r="C128" i="83"/>
  <c r="C135" i="83"/>
  <c r="E135" i="83" s="1"/>
  <c r="G135" i="83" s="1"/>
  <c r="E25" i="83"/>
  <c r="G25" i="83" s="1"/>
  <c r="C25" i="83"/>
  <c r="C199" i="83"/>
  <c r="E199" i="83" s="1"/>
  <c r="G199" i="83" s="1"/>
  <c r="E171" i="83"/>
  <c r="G171" i="83" s="1"/>
  <c r="C171" i="83"/>
  <c r="C207" i="83"/>
  <c r="E207" i="83" s="1"/>
  <c r="G207" i="83" s="1"/>
  <c r="E93" i="83"/>
  <c r="G93" i="83" s="1"/>
  <c r="C93" i="83"/>
  <c r="C119" i="83"/>
  <c r="E119" i="83" s="1"/>
  <c r="G119" i="83" s="1"/>
  <c r="E94" i="83"/>
  <c r="G94" i="83" s="1"/>
  <c r="C94" i="83"/>
  <c r="C69" i="83"/>
  <c r="E69" i="83" s="1"/>
  <c r="G69" i="83" s="1"/>
  <c r="E206" i="83"/>
  <c r="G206" i="83" s="1"/>
  <c r="C206" i="83"/>
  <c r="C97" i="83"/>
  <c r="E97" i="83" s="1"/>
  <c r="G97" i="83" s="1"/>
  <c r="E158" i="83"/>
  <c r="G158" i="83" s="1"/>
  <c r="C158" i="83"/>
  <c r="C138" i="83"/>
  <c r="E138" i="83" s="1"/>
  <c r="G138" i="83" s="1"/>
  <c r="E200" i="83"/>
  <c r="G200" i="83" s="1"/>
  <c r="C200" i="83"/>
  <c r="C31" i="83"/>
  <c r="E31" i="83" s="1"/>
  <c r="G31" i="83" s="1"/>
  <c r="E72" i="83"/>
  <c r="G72" i="83" s="1"/>
  <c r="C72" i="83"/>
  <c r="C184" i="83"/>
  <c r="E184" i="83" s="1"/>
  <c r="G184" i="83" s="1"/>
  <c r="E95" i="83"/>
  <c r="G95" i="83" s="1"/>
  <c r="C95" i="83"/>
  <c r="C216" i="83"/>
  <c r="E216" i="83" s="1"/>
  <c r="G216" i="83" s="1"/>
  <c r="E100" i="83"/>
  <c r="G100" i="83" s="1"/>
  <c r="C100" i="83"/>
  <c r="C182" i="83"/>
  <c r="E182" i="83" s="1"/>
  <c r="G182" i="83" s="1"/>
  <c r="E176" i="83"/>
  <c r="G176" i="83" s="1"/>
  <c r="C176" i="83"/>
  <c r="C192" i="83"/>
  <c r="E192" i="83" s="1"/>
  <c r="G192" i="83" s="1"/>
  <c r="C83" i="83"/>
  <c r="E83" i="83" s="1"/>
  <c r="G83" i="83" s="1"/>
  <c r="E83" i="84" s="1"/>
  <c r="G83" i="84" s="1"/>
  <c r="C62" i="83"/>
  <c r="E62" i="83" s="1"/>
  <c r="G62" i="83" s="1"/>
  <c r="E168" i="83"/>
  <c r="G168" i="83" s="1"/>
  <c r="C168" i="83"/>
  <c r="C88" i="83"/>
  <c r="E88" i="83" s="1"/>
  <c r="G88" i="83" s="1"/>
  <c r="E88" i="84" s="1"/>
  <c r="G88" i="84" s="1"/>
  <c r="E109" i="83"/>
  <c r="G109" i="83" s="1"/>
  <c r="C109" i="83"/>
  <c r="C108" i="83"/>
  <c r="E108" i="83" s="1"/>
  <c r="G108" i="83" s="1"/>
  <c r="E58" i="83"/>
  <c r="G58" i="83" s="1"/>
  <c r="C58" i="83"/>
  <c r="C156" i="83"/>
  <c r="E156" i="83" s="1"/>
  <c r="G156" i="83" s="1"/>
  <c r="E155" i="83"/>
  <c r="G155" i="83" s="1"/>
  <c r="C155" i="83"/>
  <c r="C162" i="83"/>
  <c r="E162" i="83" s="1"/>
  <c r="G162" i="83" s="1"/>
  <c r="E91" i="83"/>
  <c r="G91" i="83" s="1"/>
  <c r="C91" i="83"/>
  <c r="C110" i="83"/>
  <c r="E110" i="83" s="1"/>
  <c r="G110" i="83" s="1"/>
  <c r="E61" i="83"/>
  <c r="G61" i="83" s="1"/>
  <c r="C61" i="83"/>
  <c r="E126" i="83"/>
  <c r="G126" i="83" s="1"/>
  <c r="C126" i="83"/>
  <c r="E149" i="83"/>
  <c r="G149" i="83" s="1"/>
  <c r="C149" i="83"/>
  <c r="C213" i="83"/>
  <c r="E213" i="83" s="1"/>
  <c r="G213" i="83" s="1"/>
  <c r="E165" i="83"/>
  <c r="G165" i="83" s="1"/>
  <c r="C165" i="83"/>
  <c r="E147" i="83"/>
  <c r="G147" i="83" s="1"/>
  <c r="C147" i="83"/>
  <c r="E145" i="83"/>
  <c r="G145" i="83" s="1"/>
  <c r="C145" i="83"/>
  <c r="C131" i="83"/>
  <c r="E131" i="83" s="1"/>
  <c r="G131" i="83" s="1"/>
  <c r="E30" i="83"/>
  <c r="G30" i="83" s="1"/>
  <c r="C30" i="83"/>
  <c r="E174" i="83"/>
  <c r="G174" i="83" s="1"/>
  <c r="C174" i="83"/>
  <c r="E76" i="83"/>
  <c r="G76" i="83" s="1"/>
  <c r="C76" i="83"/>
  <c r="C82" i="83"/>
  <c r="E82" i="83" s="1"/>
  <c r="G82" i="83" s="1"/>
  <c r="E82" i="84" s="1"/>
  <c r="G82" i="84" s="1"/>
  <c r="E217" i="83"/>
  <c r="G217" i="83" s="1"/>
  <c r="C217" i="83"/>
  <c r="E193" i="83"/>
  <c r="G193" i="83" s="1"/>
  <c r="C193" i="83"/>
  <c r="E77" i="83"/>
  <c r="G77" i="83" s="1"/>
  <c r="C77" i="83"/>
  <c r="C148" i="83"/>
  <c r="E148" i="83" s="1"/>
  <c r="G148" i="83" s="1"/>
  <c r="E102" i="83"/>
  <c r="G102" i="83" s="1"/>
  <c r="C102" i="83"/>
  <c r="E92" i="83"/>
  <c r="G92" i="83" s="1"/>
  <c r="C92" i="83"/>
  <c r="E183" i="83"/>
  <c r="G183" i="83" s="1"/>
  <c r="C183" i="83"/>
  <c r="C65" i="83"/>
  <c r="E65" i="83" s="1"/>
  <c r="G65" i="83" s="1"/>
  <c r="E142" i="83"/>
  <c r="G142" i="83" s="1"/>
  <c r="C142" i="83"/>
  <c r="E202" i="83"/>
  <c r="G202" i="83" s="1"/>
  <c r="C202" i="83"/>
  <c r="E18" i="83"/>
  <c r="G18" i="83" s="1"/>
  <c r="C18" i="83"/>
  <c r="C99" i="83"/>
  <c r="E99" i="83" s="1"/>
  <c r="G99" i="83" s="1"/>
  <c r="E146" i="83"/>
  <c r="G146" i="83" s="1"/>
  <c r="C146" i="83"/>
  <c r="E63" i="83"/>
  <c r="G63" i="83" s="1"/>
  <c r="C63" i="83"/>
  <c r="E17" i="83"/>
  <c r="G17" i="83" s="1"/>
  <c r="C17" i="83"/>
  <c r="C211" i="83"/>
  <c r="E211" i="83" s="1"/>
  <c r="G211" i="83" s="1"/>
  <c r="E198" i="83"/>
  <c r="G198" i="83" s="1"/>
  <c r="C198" i="83"/>
  <c r="C74" i="83"/>
  <c r="E74" i="83" s="1"/>
  <c r="G74" i="83" s="1"/>
  <c r="E74" i="84" s="1"/>
  <c r="G74" i="84" s="1"/>
  <c r="E208" i="83"/>
  <c r="G208" i="83" s="1"/>
  <c r="C208" i="83"/>
  <c r="C43" i="83"/>
  <c r="E43" i="83" s="1"/>
  <c r="G43" i="83" s="1"/>
  <c r="E79" i="83"/>
  <c r="G79" i="83" s="1"/>
  <c r="C79" i="83"/>
  <c r="C177" i="83"/>
  <c r="E177" i="83" s="1"/>
  <c r="G177" i="83" s="1"/>
  <c r="E115" i="83"/>
  <c r="G115" i="83" s="1"/>
  <c r="C115" i="83"/>
  <c r="C164" i="83"/>
  <c r="E164" i="83" s="1"/>
  <c r="G164" i="83" s="1"/>
  <c r="E160" i="83"/>
  <c r="G160" i="83" s="1"/>
  <c r="C160" i="83"/>
  <c r="E84" i="83"/>
  <c r="G84" i="83" s="1"/>
  <c r="C84" i="83"/>
  <c r="E136" i="83"/>
  <c r="G136" i="83" s="1"/>
  <c r="C136" i="83"/>
  <c r="C20" i="83"/>
  <c r="E20" i="83" s="1"/>
  <c r="G20" i="83" s="1"/>
  <c r="E64" i="83"/>
  <c r="G64" i="83" s="1"/>
  <c r="C64" i="83"/>
  <c r="E132" i="83"/>
  <c r="G132" i="83" s="1"/>
  <c r="C132" i="83"/>
  <c r="E129" i="83"/>
  <c r="G129" i="83" s="1"/>
  <c r="C129" i="83"/>
  <c r="C26" i="83"/>
  <c r="E26" i="83" s="1"/>
  <c r="G26" i="83" s="1"/>
  <c r="E85" i="83"/>
  <c r="G85" i="83" s="1"/>
  <c r="C85" i="83"/>
  <c r="E179" i="83"/>
  <c r="G179" i="83" s="1"/>
  <c r="C179" i="83"/>
  <c r="E104" i="83"/>
  <c r="G104" i="83" s="1"/>
  <c r="C104" i="83"/>
  <c r="C118" i="83"/>
  <c r="E118" i="83" s="1"/>
  <c r="G118" i="83" s="1"/>
  <c r="E59" i="83"/>
  <c r="G59" i="83" s="1"/>
  <c r="C59" i="83"/>
  <c r="E60" i="83"/>
  <c r="G60" i="83" s="1"/>
  <c r="C60" i="83"/>
  <c r="E27" i="83"/>
  <c r="G27" i="83" s="1"/>
  <c r="C27" i="83"/>
  <c r="C121" i="83"/>
  <c r="E121" i="83" s="1"/>
  <c r="G121" i="83" s="1"/>
  <c r="E113" i="83"/>
  <c r="G113" i="83" s="1"/>
  <c r="C113" i="83"/>
  <c r="E191" i="83"/>
  <c r="G191" i="83" s="1"/>
  <c r="C191" i="83"/>
  <c r="E106" i="83"/>
  <c r="G106" i="83" s="1"/>
  <c r="C106" i="83"/>
  <c r="C16" i="83"/>
  <c r="E16" i="83" s="1"/>
  <c r="G16" i="83" s="1"/>
  <c r="E21" i="83"/>
  <c r="G21" i="83" s="1"/>
  <c r="C21" i="83"/>
  <c r="E105" i="83"/>
  <c r="G105" i="83" s="1"/>
  <c r="C105" i="83"/>
  <c r="E33" i="83"/>
  <c r="G33" i="83" s="1"/>
  <c r="C33" i="83"/>
  <c r="C40" i="85"/>
  <c r="E40" i="85" s="1"/>
  <c r="G40" i="85" s="1"/>
  <c r="E48" i="84"/>
  <c r="G48" i="84" s="1"/>
  <c r="C48" i="84"/>
  <c r="E39" i="85"/>
  <c r="G39" i="85" s="1"/>
  <c r="C39" i="85"/>
  <c r="E55" i="84"/>
  <c r="G55" i="84" s="1"/>
  <c r="C55" i="84"/>
  <c r="C6" i="73"/>
  <c r="E6" i="73" s="1"/>
  <c r="G6" i="73" s="1"/>
  <c r="C6" i="74" s="1"/>
  <c r="E6" i="74" s="1"/>
  <c r="G6" i="74" s="1"/>
  <c r="E6" i="75" s="1"/>
  <c r="G6" i="75" s="1"/>
  <c r="C12" i="73"/>
  <c r="E12" i="73" s="1"/>
  <c r="G12" i="73" s="1"/>
  <c r="C12" i="74" s="1"/>
  <c r="E12" i="74" s="1"/>
  <c r="G12" i="74" s="1"/>
  <c r="C10" i="73"/>
  <c r="E10" i="73" s="1"/>
  <c r="G10" i="73" s="1"/>
  <c r="C10" i="74" s="1"/>
  <c r="E10" i="74" s="1"/>
  <c r="G10" i="74" s="1"/>
  <c r="C14" i="73"/>
  <c r="E14" i="73" s="1"/>
  <c r="G14" i="73" s="1"/>
  <c r="C14" i="74" s="1"/>
  <c r="E14" i="74" s="1"/>
  <c r="G14" i="74" s="1"/>
  <c r="C13" i="73"/>
  <c r="E13" i="73" s="1"/>
  <c r="G13" i="73" s="1"/>
  <c r="C13" i="74" s="1"/>
  <c r="E13" i="74" s="1"/>
  <c r="G13" i="74" s="1"/>
  <c r="C7" i="73"/>
  <c r="E7" i="73" s="1"/>
  <c r="G7" i="73" s="1"/>
  <c r="C7" i="74" s="1"/>
  <c r="E7" i="74" s="1"/>
  <c r="G7" i="74" s="1"/>
  <c r="C11" i="73"/>
  <c r="E11" i="73" s="1"/>
  <c r="G11" i="73" s="1"/>
  <c r="C11" i="74" s="1"/>
  <c r="E11" i="74" s="1"/>
  <c r="G11" i="74" s="1"/>
  <c r="C8" i="73"/>
  <c r="E8" i="73" s="1"/>
  <c r="G8" i="73" s="1"/>
  <c r="C8" i="74" s="1"/>
  <c r="E8" i="74" s="1"/>
  <c r="G8" i="74" s="1"/>
  <c r="C9" i="73"/>
  <c r="E9" i="73" s="1"/>
  <c r="G9" i="73" s="1"/>
  <c r="C9" i="74" s="1"/>
  <c r="E9" i="74" s="1"/>
  <c r="G9" i="74" s="1"/>
  <c r="N204" i="64"/>
  <c r="X107" i="64"/>
  <c r="J206" i="64" s="1"/>
  <c r="K207" i="64" s="1"/>
  <c r="E138" i="84" l="1"/>
  <c r="G138" i="84" s="1"/>
  <c r="C138" i="84"/>
  <c r="E101" i="84"/>
  <c r="G101" i="84" s="1"/>
  <c r="C101" i="84"/>
  <c r="C166" i="84"/>
  <c r="E166" i="84" s="1"/>
  <c r="G166" i="84" s="1"/>
  <c r="C20" i="84"/>
  <c r="E20" i="84" s="1"/>
  <c r="G20" i="84" s="1"/>
  <c r="E192" i="84"/>
  <c r="G192" i="84" s="1"/>
  <c r="C192" i="84"/>
  <c r="C49" i="84"/>
  <c r="E49" i="84" s="1"/>
  <c r="G49" i="84" s="1"/>
  <c r="C82" i="85"/>
  <c r="E82" i="85" s="1"/>
  <c r="G82" i="85" s="1"/>
  <c r="C135" i="84"/>
  <c r="E135" i="84" s="1"/>
  <c r="G135" i="84" s="1"/>
  <c r="E201" i="84"/>
  <c r="G201" i="84" s="1"/>
  <c r="C201" i="84"/>
  <c r="E195" i="84"/>
  <c r="G195" i="84" s="1"/>
  <c r="C195" i="84"/>
  <c r="C210" i="84"/>
  <c r="E210" i="84" s="1"/>
  <c r="G210" i="84" s="1"/>
  <c r="C35" i="85"/>
  <c r="E35" i="85" s="1"/>
  <c r="G35" i="85" s="1"/>
  <c r="E122" i="84"/>
  <c r="G122" i="84" s="1"/>
  <c r="C122" i="84"/>
  <c r="E118" i="84"/>
  <c r="G118" i="84" s="1"/>
  <c r="C118" i="84"/>
  <c r="C148" i="84"/>
  <c r="E148" i="84" s="1"/>
  <c r="G148" i="84" s="1"/>
  <c r="C88" i="85"/>
  <c r="E88" i="85" s="1"/>
  <c r="G88" i="85" s="1"/>
  <c r="E97" i="84"/>
  <c r="G97" i="84" s="1"/>
  <c r="C97" i="84"/>
  <c r="E214" i="84"/>
  <c r="G214" i="84" s="1"/>
  <c r="C214" i="84"/>
  <c r="C172" i="84"/>
  <c r="E172" i="84" s="1"/>
  <c r="G172" i="84" s="1"/>
  <c r="C87" i="84"/>
  <c r="E87" i="84" s="1"/>
  <c r="G87" i="84" s="1"/>
  <c r="E137" i="84"/>
  <c r="G137" i="84" s="1"/>
  <c r="C137" i="84"/>
  <c r="E185" i="84"/>
  <c r="G185" i="84" s="1"/>
  <c r="C185" i="84"/>
  <c r="C153" i="84"/>
  <c r="E153" i="84" s="1"/>
  <c r="G153" i="84" s="1"/>
  <c r="C36" i="84"/>
  <c r="E36" i="84" s="1"/>
  <c r="G36" i="84" s="1"/>
  <c r="E108" i="84"/>
  <c r="G108" i="84" s="1"/>
  <c r="C108" i="84"/>
  <c r="E45" i="84"/>
  <c r="G45" i="84" s="1"/>
  <c r="C45" i="84"/>
  <c r="C140" i="84"/>
  <c r="E140" i="84" s="1"/>
  <c r="G140" i="84" s="1"/>
  <c r="C131" i="84"/>
  <c r="E131" i="84" s="1"/>
  <c r="G131" i="84" s="1"/>
  <c r="E71" i="85"/>
  <c r="G71" i="85" s="1"/>
  <c r="C71" i="85"/>
  <c r="E81" i="84"/>
  <c r="G81" i="84" s="1"/>
  <c r="C81" i="84"/>
  <c r="C15" i="84"/>
  <c r="E15" i="84" s="1"/>
  <c r="G15" i="84" s="1"/>
  <c r="C184" i="84"/>
  <c r="E184" i="84" s="1"/>
  <c r="G184" i="84" s="1"/>
  <c r="E182" i="84"/>
  <c r="G182" i="84" s="1"/>
  <c r="C182" i="84"/>
  <c r="E89" i="84"/>
  <c r="G89" i="84" s="1"/>
  <c r="C89" i="84"/>
  <c r="C189" i="84"/>
  <c r="E189" i="84" s="1"/>
  <c r="G189" i="84" s="1"/>
  <c r="C16" i="84"/>
  <c r="E16" i="84" s="1"/>
  <c r="G16" i="84" s="1"/>
  <c r="E99" i="84"/>
  <c r="G99" i="84" s="1"/>
  <c r="C99" i="84"/>
  <c r="E156" i="84"/>
  <c r="G156" i="84" s="1"/>
  <c r="C156" i="84"/>
  <c r="C31" i="84"/>
  <c r="E31" i="84" s="1"/>
  <c r="G31" i="84" s="1"/>
  <c r="C96" i="84"/>
  <c r="E96" i="84" s="1"/>
  <c r="G96" i="84" s="1"/>
  <c r="E181" i="84"/>
  <c r="G181" i="84" s="1"/>
  <c r="C181" i="84"/>
  <c r="E194" i="84"/>
  <c r="G194" i="84" s="1"/>
  <c r="C194" i="84"/>
  <c r="C54" i="84"/>
  <c r="E54" i="84" s="1"/>
  <c r="G54" i="84" s="1"/>
  <c r="C180" i="84"/>
  <c r="E180" i="84" s="1"/>
  <c r="G180" i="84" s="1"/>
  <c r="E151" i="84"/>
  <c r="G151" i="84" s="1"/>
  <c r="C151" i="84"/>
  <c r="E53" i="84"/>
  <c r="G53" i="84" s="1"/>
  <c r="C53" i="84"/>
  <c r="C164" i="84"/>
  <c r="E164" i="84" s="1"/>
  <c r="G164" i="84" s="1"/>
  <c r="C117" i="84"/>
  <c r="E117" i="84" s="1"/>
  <c r="G117" i="84" s="1"/>
  <c r="E34" i="87"/>
  <c r="G34" i="87" s="1"/>
  <c r="C34" i="88" s="1"/>
  <c r="E34" i="88" s="1"/>
  <c r="G34" i="88" s="1"/>
  <c r="C34" i="89" s="1"/>
  <c r="E34" i="89" s="1"/>
  <c r="G34" i="89" s="1"/>
  <c r="E34" i="90" s="1"/>
  <c r="G34" i="90" s="1"/>
  <c r="E34" i="91" s="1"/>
  <c r="G34" i="91" s="1"/>
  <c r="C34" i="92" s="1"/>
  <c r="E34" i="92" s="1"/>
  <c r="G34" i="92" s="1"/>
  <c r="E34" i="93" s="1"/>
  <c r="G34" i="93" s="1"/>
  <c r="C34" i="94" s="1"/>
  <c r="E34" i="94" s="1"/>
  <c r="G34" i="94" s="1"/>
  <c r="C34" i="95" s="1"/>
  <c r="E34" i="95" s="1"/>
  <c r="G34" i="95" s="1"/>
  <c r="C34" i="96" s="1"/>
  <c r="E34" i="96" s="1"/>
  <c r="G34" i="96" s="1"/>
  <c r="C34" i="87"/>
  <c r="E162" i="84"/>
  <c r="G162" i="84" s="1"/>
  <c r="C162" i="84"/>
  <c r="E121" i="84"/>
  <c r="G121" i="84" s="1"/>
  <c r="C121" i="84"/>
  <c r="C207" i="84"/>
  <c r="E207" i="84" s="1"/>
  <c r="G207" i="84" s="1"/>
  <c r="E154" i="84"/>
  <c r="G154" i="84" s="1"/>
  <c r="C154" i="84"/>
  <c r="E50" i="84"/>
  <c r="G50" i="84" s="1"/>
  <c r="C50" i="84"/>
  <c r="E62" i="84"/>
  <c r="G62" i="84" s="1"/>
  <c r="C62" i="84"/>
  <c r="C69" i="84"/>
  <c r="E69" i="84" s="1"/>
  <c r="G69" i="84" s="1"/>
  <c r="E157" i="84"/>
  <c r="G157" i="84" s="1"/>
  <c r="C157" i="84"/>
  <c r="E78" i="84"/>
  <c r="G78" i="84" s="1"/>
  <c r="C78" i="84"/>
  <c r="E124" i="84"/>
  <c r="G124" i="84" s="1"/>
  <c r="C124" i="84"/>
  <c r="C159" i="84"/>
  <c r="E159" i="84" s="1"/>
  <c r="G159" i="84" s="1"/>
  <c r="E173" i="84"/>
  <c r="G173" i="84" s="1"/>
  <c r="C173" i="84"/>
  <c r="E139" i="84"/>
  <c r="G139" i="84" s="1"/>
  <c r="C139" i="84"/>
  <c r="E41" i="84"/>
  <c r="G41" i="84" s="1"/>
  <c r="C41" i="84"/>
  <c r="C213" i="84"/>
  <c r="E213" i="84" s="1"/>
  <c r="G213" i="84" s="1"/>
  <c r="E170" i="84"/>
  <c r="G170" i="84" s="1"/>
  <c r="C170" i="84"/>
  <c r="E127" i="84"/>
  <c r="G127" i="84" s="1"/>
  <c r="C127" i="84"/>
  <c r="E119" i="84"/>
  <c r="G119" i="84" s="1"/>
  <c r="C119" i="84"/>
  <c r="C80" i="85"/>
  <c r="E80" i="85" s="1"/>
  <c r="G80" i="85" s="1"/>
  <c r="E26" i="84"/>
  <c r="G26" i="84" s="1"/>
  <c r="C26" i="84"/>
  <c r="E32" i="84"/>
  <c r="G32" i="84" s="1"/>
  <c r="C32" i="84"/>
  <c r="E65" i="84"/>
  <c r="G65" i="84" s="1"/>
  <c r="C65" i="84"/>
  <c r="C203" i="84"/>
  <c r="E203" i="84" s="1"/>
  <c r="G203" i="84" s="1"/>
  <c r="E107" i="84"/>
  <c r="G107" i="84" s="1"/>
  <c r="C107" i="84"/>
  <c r="E40" i="86"/>
  <c r="G40" i="86" s="1"/>
  <c r="C40" i="86"/>
  <c r="E211" i="84"/>
  <c r="G211" i="84" s="1"/>
  <c r="C211" i="84"/>
  <c r="C43" i="84"/>
  <c r="E43" i="84" s="1"/>
  <c r="G43" i="84" s="1"/>
  <c r="E110" i="84"/>
  <c r="G110" i="84" s="1"/>
  <c r="C110" i="84"/>
  <c r="E216" i="84"/>
  <c r="G216" i="84" s="1"/>
  <c r="C216" i="84"/>
  <c r="E199" i="84"/>
  <c r="G199" i="84" s="1"/>
  <c r="C199" i="84"/>
  <c r="C51" i="84"/>
  <c r="E51" i="84" s="1"/>
  <c r="G51" i="84" s="1"/>
  <c r="E205" i="84"/>
  <c r="G205" i="84" s="1"/>
  <c r="C205" i="84"/>
  <c r="E190" i="84"/>
  <c r="G190" i="84" s="1"/>
  <c r="C190" i="84"/>
  <c r="E112" i="84"/>
  <c r="G112" i="84" s="1"/>
  <c r="C112" i="84"/>
  <c r="C44" i="84"/>
  <c r="E44" i="84" s="1"/>
  <c r="G44" i="84" s="1"/>
  <c r="E143" i="84"/>
  <c r="G143" i="84" s="1"/>
  <c r="C143" i="84"/>
  <c r="E85" i="84"/>
  <c r="G85" i="84" s="1"/>
  <c r="C85" i="84"/>
  <c r="E146" i="84"/>
  <c r="G146" i="84" s="1"/>
  <c r="C146" i="84"/>
  <c r="C61" i="84"/>
  <c r="E61" i="84" s="1"/>
  <c r="G61" i="84" s="1"/>
  <c r="E158" i="84"/>
  <c r="G158" i="84" s="1"/>
  <c r="C158" i="84"/>
  <c r="E86" i="84"/>
  <c r="G86" i="84" s="1"/>
  <c r="C86" i="84"/>
  <c r="E197" i="84"/>
  <c r="G197" i="84" s="1"/>
  <c r="C197" i="84"/>
  <c r="C141" i="84"/>
  <c r="E141" i="84" s="1"/>
  <c r="G141" i="84" s="1"/>
  <c r="E111" i="84"/>
  <c r="G111" i="84" s="1"/>
  <c r="C111" i="84"/>
  <c r="E133" i="84"/>
  <c r="G133" i="84" s="1"/>
  <c r="C133" i="84"/>
  <c r="E125" i="84"/>
  <c r="G125" i="84" s="1"/>
  <c r="C125" i="84"/>
  <c r="C59" i="84"/>
  <c r="E59" i="84" s="1"/>
  <c r="G59" i="84" s="1"/>
  <c r="E142" i="84"/>
  <c r="G142" i="84" s="1"/>
  <c r="C142" i="84"/>
  <c r="E155" i="84"/>
  <c r="G155" i="84" s="1"/>
  <c r="C155" i="84"/>
  <c r="E94" i="84"/>
  <c r="G94" i="84" s="1"/>
  <c r="C94" i="84"/>
  <c r="C187" i="84"/>
  <c r="E187" i="84" s="1"/>
  <c r="G187" i="84" s="1"/>
  <c r="E175" i="84"/>
  <c r="G175" i="84" s="1"/>
  <c r="C175" i="84"/>
  <c r="E48" i="85"/>
  <c r="G48" i="85" s="1"/>
  <c r="C48" i="85"/>
  <c r="E79" i="84"/>
  <c r="G79" i="84" s="1"/>
  <c r="C79" i="84"/>
  <c r="C30" i="84"/>
  <c r="E30" i="84" s="1"/>
  <c r="G30" i="84" s="1"/>
  <c r="E100" i="84"/>
  <c r="G100" i="84" s="1"/>
  <c r="C100" i="84"/>
  <c r="E134" i="84"/>
  <c r="G134" i="84" s="1"/>
  <c r="C134" i="84"/>
  <c r="E106" i="84"/>
  <c r="G106" i="84" s="1"/>
  <c r="C106" i="84"/>
  <c r="C136" i="84"/>
  <c r="E136" i="84" s="1"/>
  <c r="G136" i="84" s="1"/>
  <c r="E77" i="84"/>
  <c r="G77" i="84" s="1"/>
  <c r="C77" i="84"/>
  <c r="E58" i="84"/>
  <c r="G58" i="84" s="1"/>
  <c r="C58" i="84"/>
  <c r="E200" i="84"/>
  <c r="G200" i="84" s="1"/>
  <c r="C200" i="84"/>
  <c r="C196" i="84"/>
  <c r="E196" i="84" s="1"/>
  <c r="G196" i="84" s="1"/>
  <c r="E103" i="84"/>
  <c r="G103" i="84" s="1"/>
  <c r="C103" i="84"/>
  <c r="E120" i="84"/>
  <c r="G120" i="84" s="1"/>
  <c r="C120" i="84"/>
  <c r="E28" i="84"/>
  <c r="G28" i="84" s="1"/>
  <c r="C28" i="84"/>
  <c r="C47" i="84"/>
  <c r="E47" i="84" s="1"/>
  <c r="G47" i="84" s="1"/>
  <c r="E64" i="84"/>
  <c r="G64" i="84" s="1"/>
  <c r="C64" i="84"/>
  <c r="E102" i="84"/>
  <c r="G102" i="84" s="1"/>
  <c r="C102" i="84"/>
  <c r="E109" i="84"/>
  <c r="G109" i="84" s="1"/>
  <c r="C109" i="84"/>
  <c r="C171" i="84"/>
  <c r="E171" i="84" s="1"/>
  <c r="G171" i="84" s="1"/>
  <c r="E37" i="84"/>
  <c r="G37" i="84" s="1"/>
  <c r="C37" i="84"/>
  <c r="E55" i="85"/>
  <c r="G55" i="85" s="1"/>
  <c r="C55" i="85"/>
  <c r="E129" i="84"/>
  <c r="G129" i="84" s="1"/>
  <c r="C129" i="84"/>
  <c r="C17" i="84"/>
  <c r="E17" i="84" s="1"/>
  <c r="G17" i="84" s="1"/>
  <c r="E76" i="84"/>
  <c r="G76" i="84" s="1"/>
  <c r="C76" i="84"/>
  <c r="E91" i="84"/>
  <c r="G91" i="84" s="1"/>
  <c r="C91" i="84"/>
  <c r="E95" i="84"/>
  <c r="G95" i="84" s="1"/>
  <c r="C95" i="84"/>
  <c r="C25" i="84"/>
  <c r="E25" i="84" s="1"/>
  <c r="G25" i="84" s="1"/>
  <c r="E169" i="84"/>
  <c r="G169" i="84" s="1"/>
  <c r="C169" i="84"/>
  <c r="E163" i="84"/>
  <c r="G163" i="84" s="1"/>
  <c r="C163" i="84"/>
  <c r="E215" i="84"/>
  <c r="G215" i="84" s="1"/>
  <c r="C215" i="84"/>
  <c r="C90" i="84"/>
  <c r="E90" i="84" s="1"/>
  <c r="G90" i="84" s="1"/>
  <c r="E73" i="84"/>
  <c r="G73" i="84" s="1"/>
  <c r="C73" i="84"/>
  <c r="E204" i="84"/>
  <c r="G204" i="84" s="1"/>
  <c r="C204" i="84"/>
  <c r="E67" i="84"/>
  <c r="G67" i="84" s="1"/>
  <c r="C67" i="84"/>
  <c r="C209" i="84"/>
  <c r="E209" i="84" s="1"/>
  <c r="G209" i="84" s="1"/>
  <c r="E42" i="85"/>
  <c r="G42" i="85" s="1"/>
  <c r="C42" i="85"/>
  <c r="E152" i="85"/>
  <c r="G152" i="85" s="1"/>
  <c r="C152" i="85"/>
  <c r="E68" i="84"/>
  <c r="G68" i="84" s="1"/>
  <c r="C68" i="84"/>
  <c r="C21" i="84"/>
  <c r="E21" i="84" s="1"/>
  <c r="G21" i="84" s="1"/>
  <c r="E83" i="85"/>
  <c r="G83" i="85" s="1"/>
  <c r="C83" i="85"/>
  <c r="E104" i="84"/>
  <c r="G104" i="84" s="1"/>
  <c r="C104" i="84"/>
  <c r="E208" i="84"/>
  <c r="G208" i="84" s="1"/>
  <c r="C208" i="84"/>
  <c r="C183" i="84"/>
  <c r="E183" i="84" s="1"/>
  <c r="G183" i="84" s="1"/>
  <c r="E149" i="84"/>
  <c r="G149" i="84" s="1"/>
  <c r="C149" i="84"/>
  <c r="E176" i="84"/>
  <c r="G176" i="84" s="1"/>
  <c r="C176" i="84"/>
  <c r="E93" i="84"/>
  <c r="G93" i="84" s="1"/>
  <c r="C93" i="84"/>
  <c r="C98" i="84"/>
  <c r="E98" i="84" s="1"/>
  <c r="G98" i="84" s="1"/>
  <c r="E66" i="84"/>
  <c r="G66" i="84" s="1"/>
  <c r="C66" i="84"/>
  <c r="E123" i="84"/>
  <c r="G123" i="84" s="1"/>
  <c r="C123" i="84"/>
  <c r="E57" i="84"/>
  <c r="G57" i="84" s="1"/>
  <c r="C57" i="84"/>
  <c r="C29" i="85"/>
  <c r="E29" i="85" s="1"/>
  <c r="G29" i="85" s="1"/>
  <c r="E39" i="86"/>
  <c r="G39" i="86" s="1"/>
  <c r="C39" i="86"/>
  <c r="E60" i="84"/>
  <c r="G60" i="84" s="1"/>
  <c r="C60" i="84"/>
  <c r="E132" i="84"/>
  <c r="G132" i="84" s="1"/>
  <c r="C132" i="84"/>
  <c r="C74" i="85"/>
  <c r="E74" i="85" s="1"/>
  <c r="G74" i="85" s="1"/>
  <c r="E202" i="84"/>
  <c r="G202" i="84" s="1"/>
  <c r="C202" i="84"/>
  <c r="E92" i="84"/>
  <c r="G92" i="84" s="1"/>
  <c r="C92" i="84"/>
  <c r="E193" i="84"/>
  <c r="G193" i="84" s="1"/>
  <c r="C193" i="84"/>
  <c r="C174" i="84"/>
  <c r="E174" i="84" s="1"/>
  <c r="G174" i="84" s="1"/>
  <c r="E147" i="84"/>
  <c r="G147" i="84" s="1"/>
  <c r="C147" i="84"/>
  <c r="E126" i="84"/>
  <c r="G126" i="84" s="1"/>
  <c r="C126" i="84"/>
  <c r="E113" i="84"/>
  <c r="G113" i="84" s="1"/>
  <c r="C113" i="84"/>
  <c r="C198" i="84"/>
  <c r="E198" i="84" s="1"/>
  <c r="G198" i="84" s="1"/>
  <c r="E165" i="84"/>
  <c r="G165" i="84" s="1"/>
  <c r="C165" i="84"/>
  <c r="E128" i="84"/>
  <c r="G128" i="84" s="1"/>
  <c r="C128" i="84"/>
  <c r="E75" i="84"/>
  <c r="G75" i="84" s="1"/>
  <c r="C75" i="84"/>
  <c r="C33" i="84"/>
  <c r="E33" i="84" s="1"/>
  <c r="G33" i="84" s="1"/>
  <c r="E27" i="84"/>
  <c r="G27" i="84" s="1"/>
  <c r="C27" i="84"/>
  <c r="E115" i="84"/>
  <c r="G115" i="84" s="1"/>
  <c r="C115" i="84"/>
  <c r="E18" i="84"/>
  <c r="G18" i="84" s="1"/>
  <c r="C18" i="84"/>
  <c r="C145" i="84"/>
  <c r="E145" i="84" s="1"/>
  <c r="G145" i="84" s="1"/>
  <c r="C168" i="84"/>
  <c r="E168" i="84" s="1"/>
  <c r="G168" i="84" s="1"/>
  <c r="E206" i="84"/>
  <c r="G206" i="84" s="1"/>
  <c r="C206" i="84"/>
  <c r="C178" i="84"/>
  <c r="E178" i="84" s="1"/>
  <c r="G178" i="84" s="1"/>
  <c r="C130" i="84"/>
  <c r="E130" i="84" s="1"/>
  <c r="G130" i="84" s="1"/>
  <c r="E70" i="85"/>
  <c r="G70" i="85" s="1"/>
  <c r="C70" i="85"/>
  <c r="E114" i="84"/>
  <c r="G114" i="84" s="1"/>
  <c r="C114" i="84"/>
  <c r="E23" i="85"/>
  <c r="G23" i="85" s="1"/>
  <c r="C23" i="85"/>
  <c r="C105" i="84"/>
  <c r="E105" i="84" s="1"/>
  <c r="G105" i="84" s="1"/>
  <c r="E191" i="84"/>
  <c r="G191" i="84" s="1"/>
  <c r="C191" i="84"/>
  <c r="E179" i="84"/>
  <c r="G179" i="84" s="1"/>
  <c r="C179" i="84"/>
  <c r="E84" i="84"/>
  <c r="G84" i="84" s="1"/>
  <c r="C84" i="84"/>
  <c r="C177" i="84"/>
  <c r="E177" i="84" s="1"/>
  <c r="G177" i="84" s="1"/>
  <c r="E63" i="84"/>
  <c r="G63" i="84" s="1"/>
  <c r="C63" i="84"/>
  <c r="E160" i="84"/>
  <c r="G160" i="84" s="1"/>
  <c r="C160" i="84"/>
  <c r="E217" i="84"/>
  <c r="G217" i="84" s="1"/>
  <c r="C217" i="84"/>
  <c r="C72" i="84"/>
  <c r="E72" i="84" s="1"/>
  <c r="G72" i="84" s="1"/>
  <c r="E188" i="84"/>
  <c r="G188" i="84" s="1"/>
  <c r="C188" i="84"/>
  <c r="E22" i="85"/>
  <c r="G22" i="85" s="1"/>
  <c r="C22" i="85"/>
  <c r="E212" i="84"/>
  <c r="G212" i="84" s="1"/>
  <c r="C212" i="84"/>
  <c r="C186" i="84"/>
  <c r="E186" i="84" s="1"/>
  <c r="G186" i="84" s="1"/>
  <c r="E24" i="84"/>
  <c r="G24" i="84" s="1"/>
  <c r="C24" i="84"/>
  <c r="E167" i="84"/>
  <c r="G167" i="84" s="1"/>
  <c r="C167" i="84"/>
  <c r="E46" i="85"/>
  <c r="G46" i="85" s="1"/>
  <c r="C46" i="85"/>
  <c r="C144" i="84"/>
  <c r="E144" i="84" s="1"/>
  <c r="G144" i="84" s="1"/>
  <c r="E161" i="84"/>
  <c r="G161" i="84" s="1"/>
  <c r="C161" i="84"/>
  <c r="E19" i="84"/>
  <c r="G19" i="84" s="1"/>
  <c r="C19" i="84"/>
  <c r="E56" i="85"/>
  <c r="G56" i="85" s="1"/>
  <c r="C56" i="85"/>
  <c r="C116" i="84"/>
  <c r="E116" i="84" s="1"/>
  <c r="G116" i="84" s="1"/>
  <c r="E150" i="84"/>
  <c r="G150" i="84" s="1"/>
  <c r="C150" i="84"/>
  <c r="E52" i="84"/>
  <c r="G52" i="84" s="1"/>
  <c r="C52" i="84"/>
  <c r="E38" i="86"/>
  <c r="G38" i="86" s="1"/>
  <c r="C38" i="86"/>
  <c r="C6" i="76"/>
  <c r="E6" i="76" s="1"/>
  <c r="G6" i="76" s="1"/>
  <c r="C6" i="77" s="1"/>
  <c r="E6" i="77" s="1"/>
  <c r="G6" i="77" s="1"/>
  <c r="C6" i="78" s="1"/>
  <c r="E6" i="78" s="1"/>
  <c r="G6" i="78" s="1"/>
  <c r="C6" i="79" s="1"/>
  <c r="E6" i="79" s="1"/>
  <c r="G6" i="79" s="1"/>
  <c r="C9" i="75"/>
  <c r="E9" i="75" s="1"/>
  <c r="G9" i="75" s="1"/>
  <c r="C8" i="75"/>
  <c r="E8" i="75" s="1"/>
  <c r="G8" i="75" s="1"/>
  <c r="C11" i="75"/>
  <c r="E11" i="75" s="1"/>
  <c r="G11" i="75" s="1"/>
  <c r="C13" i="75"/>
  <c r="E13" i="75" s="1"/>
  <c r="G13" i="75" s="1"/>
  <c r="C12" i="75"/>
  <c r="E12" i="75" s="1"/>
  <c r="G12" i="75" s="1"/>
  <c r="C14" i="75"/>
  <c r="E14" i="75" s="1"/>
  <c r="G14" i="75" s="1"/>
  <c r="C10" i="75"/>
  <c r="E10" i="75" s="1"/>
  <c r="G10" i="75" s="1"/>
  <c r="C7" i="75"/>
  <c r="E7" i="75" s="1"/>
  <c r="G7" i="75" s="1"/>
  <c r="J256" i="8"/>
  <c r="K213" i="64"/>
  <c r="K215" i="64" s="1"/>
  <c r="E145" i="85" l="1"/>
  <c r="G145" i="85" s="1"/>
  <c r="C145" i="85"/>
  <c r="C140" i="85"/>
  <c r="E140" i="85" s="1"/>
  <c r="G140" i="85" s="1"/>
  <c r="C196" i="85"/>
  <c r="E196" i="85" s="1"/>
  <c r="G196" i="85" s="1"/>
  <c r="C117" i="85"/>
  <c r="E117" i="85" s="1"/>
  <c r="G117" i="85" s="1"/>
  <c r="E184" i="85"/>
  <c r="G184" i="85" s="1"/>
  <c r="C184" i="85"/>
  <c r="C88" i="86"/>
  <c r="E88" i="86" s="1"/>
  <c r="G88" i="86" s="1"/>
  <c r="C105" i="85"/>
  <c r="E105" i="85" s="1"/>
  <c r="G105" i="85" s="1"/>
  <c r="C98" i="85"/>
  <c r="E98" i="85" s="1"/>
  <c r="G98" i="85" s="1"/>
  <c r="E47" i="85"/>
  <c r="G47" i="85" s="1"/>
  <c r="C47" i="85"/>
  <c r="C44" i="85"/>
  <c r="E44" i="85" s="1"/>
  <c r="G44" i="85" s="1"/>
  <c r="C207" i="85"/>
  <c r="E207" i="85" s="1"/>
  <c r="G207" i="85" s="1"/>
  <c r="C164" i="85"/>
  <c r="E164" i="85" s="1"/>
  <c r="G164" i="85" s="1"/>
  <c r="E15" i="85"/>
  <c r="G15" i="85" s="1"/>
  <c r="C15" i="85"/>
  <c r="C148" i="85"/>
  <c r="E148" i="85" s="1"/>
  <c r="G148" i="85" s="1"/>
  <c r="C43" i="85"/>
  <c r="E43" i="85" s="1"/>
  <c r="G43" i="85" s="1"/>
  <c r="C210" i="85"/>
  <c r="E210" i="85" s="1"/>
  <c r="G210" i="85" s="1"/>
  <c r="E130" i="85"/>
  <c r="G130" i="85" s="1"/>
  <c r="C130" i="85"/>
  <c r="C183" i="85"/>
  <c r="E183" i="85" s="1"/>
  <c r="G183" i="85" s="1"/>
  <c r="C177" i="85"/>
  <c r="E177" i="85" s="1"/>
  <c r="G177" i="85" s="1"/>
  <c r="C29" i="86"/>
  <c r="E29" i="86" s="1"/>
  <c r="G29" i="86" s="1"/>
  <c r="E171" i="85"/>
  <c r="G171" i="85" s="1"/>
  <c r="C171" i="85"/>
  <c r="C61" i="85"/>
  <c r="E61" i="85" s="1"/>
  <c r="G61" i="85" s="1"/>
  <c r="C69" i="85"/>
  <c r="E69" i="85" s="1"/>
  <c r="G69" i="85" s="1"/>
  <c r="C16" i="85"/>
  <c r="E16" i="85" s="1"/>
  <c r="G16" i="85" s="1"/>
  <c r="E87" i="85"/>
  <c r="G87" i="85" s="1"/>
  <c r="C87" i="85"/>
  <c r="C20" i="85"/>
  <c r="E20" i="85" s="1"/>
  <c r="G20" i="85" s="1"/>
  <c r="C21" i="85"/>
  <c r="E21" i="85" s="1"/>
  <c r="G21" i="85" s="1"/>
  <c r="C54" i="85"/>
  <c r="E54" i="85" s="1"/>
  <c r="G54" i="85" s="1"/>
  <c r="E51" i="85"/>
  <c r="G51" i="85" s="1"/>
  <c r="C51" i="85"/>
  <c r="C72" i="85"/>
  <c r="E72" i="85" s="1"/>
  <c r="G72" i="85" s="1"/>
  <c r="C74" i="86"/>
  <c r="E74" i="86" s="1"/>
  <c r="G74" i="86" s="1"/>
  <c r="C17" i="85"/>
  <c r="E17" i="85" s="1"/>
  <c r="G17" i="85" s="1"/>
  <c r="E141" i="85"/>
  <c r="G141" i="85" s="1"/>
  <c r="C141" i="85"/>
  <c r="C159" i="85"/>
  <c r="E159" i="85" s="1"/>
  <c r="G159" i="85" s="1"/>
  <c r="C189" i="85"/>
  <c r="E189" i="85" s="1"/>
  <c r="G189" i="85" s="1"/>
  <c r="C172" i="85"/>
  <c r="E172" i="85" s="1"/>
  <c r="G172" i="85" s="1"/>
  <c r="E166" i="85"/>
  <c r="G166" i="85" s="1"/>
  <c r="C166" i="85"/>
  <c r="C136" i="85"/>
  <c r="E136" i="85" s="1"/>
  <c r="G136" i="85" s="1"/>
  <c r="C25" i="85"/>
  <c r="E25" i="85" s="1"/>
  <c r="G25" i="85" s="1"/>
  <c r="C213" i="85"/>
  <c r="E213" i="85" s="1"/>
  <c r="G213" i="85" s="1"/>
  <c r="E135" i="85"/>
  <c r="G135" i="85" s="1"/>
  <c r="C135" i="85"/>
  <c r="C90" i="85"/>
  <c r="E90" i="85" s="1"/>
  <c r="G90" i="85" s="1"/>
  <c r="C187" i="85"/>
  <c r="E187" i="85" s="1"/>
  <c r="G187" i="85" s="1"/>
  <c r="C80" i="86"/>
  <c r="E80" i="86" s="1"/>
  <c r="G80" i="86" s="1"/>
  <c r="E31" i="85"/>
  <c r="G31" i="85" s="1"/>
  <c r="C31" i="85"/>
  <c r="C153" i="85"/>
  <c r="E153" i="85" s="1"/>
  <c r="G153" i="85" s="1"/>
  <c r="C82" i="86"/>
  <c r="E82" i="86" s="1"/>
  <c r="G82" i="86" s="1"/>
  <c r="C186" i="85"/>
  <c r="E186" i="85" s="1"/>
  <c r="G186" i="85" s="1"/>
  <c r="E174" i="85"/>
  <c r="G174" i="85" s="1"/>
  <c r="C174" i="85"/>
  <c r="C59" i="85"/>
  <c r="E59" i="85" s="1"/>
  <c r="G59" i="85" s="1"/>
  <c r="C96" i="85"/>
  <c r="E96" i="85" s="1"/>
  <c r="G96" i="85" s="1"/>
  <c r="C36" i="85"/>
  <c r="E36" i="85" s="1"/>
  <c r="G36" i="85" s="1"/>
  <c r="E144" i="85"/>
  <c r="G144" i="85" s="1"/>
  <c r="C144" i="85"/>
  <c r="C198" i="85"/>
  <c r="E198" i="85" s="1"/>
  <c r="G198" i="85" s="1"/>
  <c r="C116" i="85"/>
  <c r="E116" i="85" s="1"/>
  <c r="G116" i="85" s="1"/>
  <c r="C33" i="85"/>
  <c r="E33" i="85" s="1"/>
  <c r="G33" i="85" s="1"/>
  <c r="E209" i="85"/>
  <c r="G209" i="85" s="1"/>
  <c r="C209" i="85"/>
  <c r="C30" i="85"/>
  <c r="E30" i="85" s="1"/>
  <c r="G30" i="85" s="1"/>
  <c r="C203" i="85"/>
  <c r="E203" i="85" s="1"/>
  <c r="G203" i="85" s="1"/>
  <c r="C180" i="85"/>
  <c r="E180" i="85" s="1"/>
  <c r="G180" i="85" s="1"/>
  <c r="E131" i="85"/>
  <c r="G131" i="85" s="1"/>
  <c r="C131" i="85"/>
  <c r="C35" i="86"/>
  <c r="E35" i="86" s="1"/>
  <c r="G35" i="86" s="1"/>
  <c r="C188" i="85"/>
  <c r="E188" i="85" s="1"/>
  <c r="G188" i="85" s="1"/>
  <c r="C27" i="85"/>
  <c r="E27" i="85" s="1"/>
  <c r="G27" i="85" s="1"/>
  <c r="E39" i="87"/>
  <c r="G39" i="87" s="1"/>
  <c r="C39" i="88" s="1"/>
  <c r="E39" i="88" s="1"/>
  <c r="G39" i="88" s="1"/>
  <c r="C39" i="89" s="1"/>
  <c r="E39" i="89" s="1"/>
  <c r="G39" i="89" s="1"/>
  <c r="E39" i="90" s="1"/>
  <c r="G39" i="90" s="1"/>
  <c r="E39" i="91" s="1"/>
  <c r="G39" i="91" s="1"/>
  <c r="C39" i="92" s="1"/>
  <c r="E39" i="92" s="1"/>
  <c r="G39" i="92" s="1"/>
  <c r="E39" i="93" s="1"/>
  <c r="G39" i="93" s="1"/>
  <c r="C39" i="94" s="1"/>
  <c r="E39" i="94" s="1"/>
  <c r="G39" i="94" s="1"/>
  <c r="C39" i="95" s="1"/>
  <c r="E39" i="95" s="1"/>
  <c r="G39" i="95" s="1"/>
  <c r="C39" i="96" s="1"/>
  <c r="E39" i="96" s="1"/>
  <c r="G39" i="96" s="1"/>
  <c r="C39" i="87"/>
  <c r="C83" i="86"/>
  <c r="E83" i="86" s="1"/>
  <c r="G83" i="86" s="1"/>
  <c r="C169" i="85"/>
  <c r="E169" i="85" s="1"/>
  <c r="G169" i="85" s="1"/>
  <c r="C64" i="85"/>
  <c r="E64" i="85" s="1"/>
  <c r="G64" i="85" s="1"/>
  <c r="E100" i="85"/>
  <c r="G100" i="85" s="1"/>
  <c r="C100" i="85"/>
  <c r="C111" i="85"/>
  <c r="E111" i="85" s="1"/>
  <c r="G111" i="85" s="1"/>
  <c r="C205" i="85"/>
  <c r="E205" i="85" s="1"/>
  <c r="G205" i="85" s="1"/>
  <c r="C170" i="85"/>
  <c r="E170" i="85" s="1"/>
  <c r="G170" i="85" s="1"/>
  <c r="E181" i="85"/>
  <c r="G181" i="85" s="1"/>
  <c r="C181" i="85"/>
  <c r="C161" i="85"/>
  <c r="E161" i="85" s="1"/>
  <c r="G161" i="85" s="1"/>
  <c r="C63" i="85"/>
  <c r="E63" i="85" s="1"/>
  <c r="G63" i="85" s="1"/>
  <c r="C168" i="85"/>
  <c r="E168" i="85" s="1"/>
  <c r="G168" i="85" s="1"/>
  <c r="E147" i="85"/>
  <c r="G147" i="85" s="1"/>
  <c r="C147" i="85"/>
  <c r="C66" i="85"/>
  <c r="E66" i="85" s="1"/>
  <c r="G66" i="85" s="1"/>
  <c r="E66" i="86" s="1"/>
  <c r="G66" i="86" s="1"/>
  <c r="C42" i="86"/>
  <c r="E42" i="86" s="1"/>
  <c r="G42" i="86" s="1"/>
  <c r="C76" i="85"/>
  <c r="E76" i="85" s="1"/>
  <c r="G76" i="85" s="1"/>
  <c r="E77" i="85"/>
  <c r="G77" i="85" s="1"/>
  <c r="C77" i="85"/>
  <c r="C142" i="85"/>
  <c r="E142" i="85" s="1"/>
  <c r="G142" i="85" s="1"/>
  <c r="C143" i="85"/>
  <c r="E143" i="85" s="1"/>
  <c r="G143" i="85" s="1"/>
  <c r="C107" i="85"/>
  <c r="E107" i="85" s="1"/>
  <c r="G107" i="85" s="1"/>
  <c r="E173" i="85"/>
  <c r="G173" i="85" s="1"/>
  <c r="C173" i="85"/>
  <c r="C99" i="85"/>
  <c r="E99" i="85" s="1"/>
  <c r="G99" i="85" s="1"/>
  <c r="C56" i="86"/>
  <c r="E56" i="86" s="1"/>
  <c r="G56" i="86" s="1"/>
  <c r="C18" i="85"/>
  <c r="E18" i="85" s="1"/>
  <c r="G18" i="85" s="1"/>
  <c r="E113" i="85"/>
  <c r="G113" i="85" s="1"/>
  <c r="C113" i="85"/>
  <c r="C132" i="85"/>
  <c r="E132" i="85" s="1"/>
  <c r="G132" i="85" s="1"/>
  <c r="C57" i="85"/>
  <c r="E57" i="85" s="1"/>
  <c r="G57" i="85" s="1"/>
  <c r="C208" i="85"/>
  <c r="E208" i="85" s="1"/>
  <c r="G208" i="85" s="1"/>
  <c r="E68" i="85"/>
  <c r="G68" i="85" s="1"/>
  <c r="C68" i="85"/>
  <c r="C67" i="85"/>
  <c r="E67" i="85" s="1"/>
  <c r="G67" i="85" s="1"/>
  <c r="C215" i="85"/>
  <c r="E215" i="85" s="1"/>
  <c r="G215" i="85" s="1"/>
  <c r="C95" i="85"/>
  <c r="E95" i="85" s="1"/>
  <c r="G95" i="85" s="1"/>
  <c r="E129" i="85"/>
  <c r="G129" i="85" s="1"/>
  <c r="C129" i="85"/>
  <c r="C109" i="85"/>
  <c r="E109" i="85" s="1"/>
  <c r="G109" i="85" s="1"/>
  <c r="C28" i="85"/>
  <c r="E28" i="85" s="1"/>
  <c r="G28" i="85" s="1"/>
  <c r="C200" i="85"/>
  <c r="E200" i="85" s="1"/>
  <c r="G200" i="85" s="1"/>
  <c r="E106" i="85"/>
  <c r="G106" i="85" s="1"/>
  <c r="C106" i="85"/>
  <c r="C79" i="85"/>
  <c r="E79" i="85" s="1"/>
  <c r="G79" i="85" s="1"/>
  <c r="C94" i="85"/>
  <c r="E94" i="85" s="1"/>
  <c r="G94" i="85" s="1"/>
  <c r="C125" i="85"/>
  <c r="E125" i="85" s="1"/>
  <c r="G125" i="85" s="1"/>
  <c r="E197" i="85"/>
  <c r="G197" i="85" s="1"/>
  <c r="C197" i="85"/>
  <c r="C146" i="85"/>
  <c r="E146" i="85" s="1"/>
  <c r="G146" i="85" s="1"/>
  <c r="C112" i="85"/>
  <c r="E112" i="85" s="1"/>
  <c r="G112" i="85" s="1"/>
  <c r="C199" i="85"/>
  <c r="E199" i="85" s="1"/>
  <c r="G199" i="85" s="1"/>
  <c r="E211" i="85"/>
  <c r="G211" i="85" s="1"/>
  <c r="C211" i="85"/>
  <c r="C65" i="85"/>
  <c r="E65" i="85" s="1"/>
  <c r="G65" i="85" s="1"/>
  <c r="C119" i="85"/>
  <c r="E119" i="85" s="1"/>
  <c r="G119" i="85" s="1"/>
  <c r="C41" i="85"/>
  <c r="E41" i="85" s="1"/>
  <c r="G41" i="85" s="1"/>
  <c r="E124" i="85"/>
  <c r="G124" i="85" s="1"/>
  <c r="C124" i="85"/>
  <c r="C62" i="85"/>
  <c r="E62" i="85" s="1"/>
  <c r="G62" i="85" s="1"/>
  <c r="E62" i="86" s="1"/>
  <c r="G62" i="86" s="1"/>
  <c r="C121" i="85"/>
  <c r="E121" i="85" s="1"/>
  <c r="G121" i="85" s="1"/>
  <c r="C38" i="87"/>
  <c r="E38" i="87" s="1"/>
  <c r="G38" i="87" s="1"/>
  <c r="C38" i="88" s="1"/>
  <c r="E38" i="88" s="1"/>
  <c r="G38" i="88" s="1"/>
  <c r="C38" i="89" s="1"/>
  <c r="E38" i="89" s="1"/>
  <c r="G38" i="89" s="1"/>
  <c r="E38" i="90" s="1"/>
  <c r="G38" i="90" s="1"/>
  <c r="E38" i="91" s="1"/>
  <c r="G38" i="91" s="1"/>
  <c r="C38" i="92" s="1"/>
  <c r="E38" i="92" s="1"/>
  <c r="G38" i="92" s="1"/>
  <c r="E38" i="93" s="1"/>
  <c r="G38" i="93" s="1"/>
  <c r="C38" i="94" s="1"/>
  <c r="E38" i="94" s="1"/>
  <c r="G38" i="94" s="1"/>
  <c r="C38" i="95" s="1"/>
  <c r="E38" i="95" s="1"/>
  <c r="G38" i="95" s="1"/>
  <c r="C38" i="96" s="1"/>
  <c r="E38" i="96" s="1"/>
  <c r="G38" i="96" s="1"/>
  <c r="E46" i="86"/>
  <c r="G46" i="86" s="1"/>
  <c r="C46" i="86"/>
  <c r="C212" i="85"/>
  <c r="E212" i="85" s="1"/>
  <c r="G212" i="85" s="1"/>
  <c r="C217" i="85"/>
  <c r="E217" i="85" s="1"/>
  <c r="G217" i="85" s="1"/>
  <c r="C84" i="85"/>
  <c r="E84" i="85" s="1"/>
  <c r="G84" i="85" s="1"/>
  <c r="E23" i="86"/>
  <c r="G23" i="86" s="1"/>
  <c r="C23" i="86"/>
  <c r="C178" i="85"/>
  <c r="E178" i="85" s="1"/>
  <c r="G178" i="85" s="1"/>
  <c r="C75" i="85"/>
  <c r="E75" i="85" s="1"/>
  <c r="G75" i="85" s="1"/>
  <c r="C193" i="85"/>
  <c r="E193" i="85" s="1"/>
  <c r="G193" i="85" s="1"/>
  <c r="E93" i="85"/>
  <c r="G93" i="85" s="1"/>
  <c r="C93" i="85"/>
  <c r="C70" i="86"/>
  <c r="E70" i="86" s="1"/>
  <c r="G70" i="86" s="1"/>
  <c r="C52" i="85"/>
  <c r="E52" i="85" s="1"/>
  <c r="G52" i="85" s="1"/>
  <c r="C167" i="85"/>
  <c r="E167" i="85" s="1"/>
  <c r="G167" i="85" s="1"/>
  <c r="E160" i="85"/>
  <c r="G160" i="85" s="1"/>
  <c r="C160" i="85"/>
  <c r="C114" i="85"/>
  <c r="E114" i="85" s="1"/>
  <c r="G114" i="85" s="1"/>
  <c r="C115" i="85"/>
  <c r="E115" i="85" s="1"/>
  <c r="G115" i="85" s="1"/>
  <c r="C126" i="85"/>
  <c r="E126" i="85" s="1"/>
  <c r="G126" i="85" s="1"/>
  <c r="E60" i="85"/>
  <c r="G60" i="85" s="1"/>
  <c r="C60" i="85"/>
  <c r="C176" i="85"/>
  <c r="E176" i="85" s="1"/>
  <c r="G176" i="85" s="1"/>
  <c r="C104" i="85"/>
  <c r="E104" i="85" s="1"/>
  <c r="G104" i="85" s="1"/>
  <c r="C204" i="85"/>
  <c r="E204" i="85" s="1"/>
  <c r="G204" i="85" s="1"/>
  <c r="E91" i="85"/>
  <c r="G91" i="85" s="1"/>
  <c r="C91" i="85"/>
  <c r="C102" i="85"/>
  <c r="E102" i="85" s="1"/>
  <c r="G102" i="85" s="1"/>
  <c r="C58" i="85"/>
  <c r="E58" i="85" s="1"/>
  <c r="G58" i="85" s="1"/>
  <c r="C48" i="86"/>
  <c r="E48" i="86" s="1"/>
  <c r="G48" i="86" s="1"/>
  <c r="E133" i="85"/>
  <c r="G133" i="85" s="1"/>
  <c r="C133" i="85"/>
  <c r="C190" i="85"/>
  <c r="E190" i="85" s="1"/>
  <c r="G190" i="85" s="1"/>
  <c r="C40" i="87"/>
  <c r="E40" i="87" s="1"/>
  <c r="G40" i="87" s="1"/>
  <c r="E40" i="88" s="1"/>
  <c r="G40" i="88" s="1"/>
  <c r="C40" i="89" s="1"/>
  <c r="E40" i="89" s="1"/>
  <c r="G40" i="89" s="1"/>
  <c r="E40" i="90" s="1"/>
  <c r="G40" i="90" s="1"/>
  <c r="E40" i="91" s="1"/>
  <c r="G40" i="91" s="1"/>
  <c r="E40" i="92" s="1"/>
  <c r="G40" i="92" s="1"/>
  <c r="E40" i="93" s="1"/>
  <c r="G40" i="93" s="1"/>
  <c r="C40" i="94" s="1"/>
  <c r="E40" i="94" s="1"/>
  <c r="G40" i="94" s="1"/>
  <c r="C40" i="95" s="1"/>
  <c r="E40" i="95" s="1"/>
  <c r="G40" i="95" s="1"/>
  <c r="C40" i="96" s="1"/>
  <c r="E40" i="96" s="1"/>
  <c r="G40" i="96" s="1"/>
  <c r="C139" i="85"/>
  <c r="E139" i="85" s="1"/>
  <c r="G139" i="85" s="1"/>
  <c r="E162" i="85"/>
  <c r="G162" i="85" s="1"/>
  <c r="C162" i="85"/>
  <c r="C81" i="85"/>
  <c r="E81" i="85" s="1"/>
  <c r="G81" i="85" s="1"/>
  <c r="C150" i="85"/>
  <c r="E150" i="85" s="1"/>
  <c r="G150" i="85" s="1"/>
  <c r="C19" i="85"/>
  <c r="E19" i="85" s="1"/>
  <c r="G19" i="85" s="1"/>
  <c r="E22" i="86"/>
  <c r="G22" i="86" s="1"/>
  <c r="C22" i="86"/>
  <c r="C179" i="85"/>
  <c r="E179" i="85" s="1"/>
  <c r="G179" i="85" s="1"/>
  <c r="C206" i="85"/>
  <c r="E206" i="85" s="1"/>
  <c r="G206" i="85" s="1"/>
  <c r="C128" i="85"/>
  <c r="E128" i="85" s="1"/>
  <c r="G128" i="85" s="1"/>
  <c r="E92" i="85"/>
  <c r="G92" i="85" s="1"/>
  <c r="C92" i="85"/>
  <c r="C123" i="85"/>
  <c r="E123" i="85" s="1"/>
  <c r="G123" i="85" s="1"/>
  <c r="C152" i="86"/>
  <c r="E152" i="86" s="1"/>
  <c r="G152" i="86" s="1"/>
  <c r="C163" i="85"/>
  <c r="E163" i="85" s="1"/>
  <c r="G163" i="85" s="1"/>
  <c r="E55" i="86"/>
  <c r="G55" i="86" s="1"/>
  <c r="C55" i="86"/>
  <c r="C120" i="85"/>
  <c r="E120" i="85" s="1"/>
  <c r="G120" i="85" s="1"/>
  <c r="C134" i="85"/>
  <c r="E134" i="85" s="1"/>
  <c r="G134" i="85" s="1"/>
  <c r="C155" i="85"/>
  <c r="E155" i="85" s="1"/>
  <c r="G155" i="85" s="1"/>
  <c r="E86" i="85"/>
  <c r="G86" i="85" s="1"/>
  <c r="C86" i="85"/>
  <c r="C85" i="85"/>
  <c r="E85" i="85" s="1"/>
  <c r="G85" i="85" s="1"/>
  <c r="C216" i="85"/>
  <c r="E216" i="85" s="1"/>
  <c r="G216" i="85" s="1"/>
  <c r="C32" i="85"/>
  <c r="E32" i="85" s="1"/>
  <c r="G32" i="85" s="1"/>
  <c r="E127" i="85"/>
  <c r="G127" i="85" s="1"/>
  <c r="C127" i="85"/>
  <c r="C78" i="85"/>
  <c r="E78" i="85" s="1"/>
  <c r="G78" i="85" s="1"/>
  <c r="C50" i="85"/>
  <c r="E50" i="85" s="1"/>
  <c r="G50" i="85" s="1"/>
  <c r="C53" i="85"/>
  <c r="E53" i="85" s="1"/>
  <c r="G53" i="85" s="1"/>
  <c r="E194" i="85"/>
  <c r="G194" i="85" s="1"/>
  <c r="C194" i="85"/>
  <c r="C156" i="85"/>
  <c r="E156" i="85" s="1"/>
  <c r="G156" i="85" s="1"/>
  <c r="C89" i="85"/>
  <c r="E89" i="85" s="1"/>
  <c r="G89" i="85" s="1"/>
  <c r="C45" i="85"/>
  <c r="E45" i="85" s="1"/>
  <c r="G45" i="85" s="1"/>
  <c r="E185" i="85"/>
  <c r="G185" i="85" s="1"/>
  <c r="C185" i="85"/>
  <c r="C214" i="85"/>
  <c r="E214" i="85" s="1"/>
  <c r="G214" i="85" s="1"/>
  <c r="C118" i="85"/>
  <c r="E118" i="85" s="1"/>
  <c r="G118" i="85" s="1"/>
  <c r="C195" i="85"/>
  <c r="E195" i="85" s="1"/>
  <c r="G195" i="85" s="1"/>
  <c r="E49" i="85"/>
  <c r="G49" i="85" s="1"/>
  <c r="C49" i="85"/>
  <c r="C101" i="85"/>
  <c r="E101" i="85" s="1"/>
  <c r="G101" i="85" s="1"/>
  <c r="C24" i="85"/>
  <c r="E24" i="85" s="1"/>
  <c r="G24" i="85" s="1"/>
  <c r="C191" i="85"/>
  <c r="E191" i="85" s="1"/>
  <c r="G191" i="85" s="1"/>
  <c r="E165" i="85"/>
  <c r="G165" i="85" s="1"/>
  <c r="C165" i="85"/>
  <c r="C202" i="85"/>
  <c r="E202" i="85" s="1"/>
  <c r="G202" i="85" s="1"/>
  <c r="C149" i="85"/>
  <c r="E149" i="85" s="1"/>
  <c r="G149" i="85" s="1"/>
  <c r="C73" i="85"/>
  <c r="E73" i="85" s="1"/>
  <c r="G73" i="85" s="1"/>
  <c r="E37" i="85"/>
  <c r="G37" i="85" s="1"/>
  <c r="C37" i="85"/>
  <c r="C103" i="85"/>
  <c r="E103" i="85" s="1"/>
  <c r="G103" i="85" s="1"/>
  <c r="C175" i="85"/>
  <c r="E175" i="85" s="1"/>
  <c r="G175" i="85" s="1"/>
  <c r="C158" i="85"/>
  <c r="E158" i="85" s="1"/>
  <c r="G158" i="85" s="1"/>
  <c r="E110" i="85"/>
  <c r="G110" i="85" s="1"/>
  <c r="C110" i="85"/>
  <c r="C26" i="85"/>
  <c r="E26" i="85" s="1"/>
  <c r="G26" i="85" s="1"/>
  <c r="C157" i="85"/>
  <c r="E157" i="85" s="1"/>
  <c r="G157" i="85" s="1"/>
  <c r="C154" i="85"/>
  <c r="E154" i="85" s="1"/>
  <c r="G154" i="85" s="1"/>
  <c r="E151" i="85"/>
  <c r="G151" i="85" s="1"/>
  <c r="C151" i="85"/>
  <c r="C182" i="85"/>
  <c r="E182" i="85" s="1"/>
  <c r="G182" i="85" s="1"/>
  <c r="C71" i="86"/>
  <c r="E71" i="86" s="1"/>
  <c r="G71" i="86" s="1"/>
  <c r="C108" i="85"/>
  <c r="E108" i="85" s="1"/>
  <c r="G108" i="85" s="1"/>
  <c r="E137" i="85"/>
  <c r="G137" i="85" s="1"/>
  <c r="C137" i="85"/>
  <c r="C97" i="85"/>
  <c r="E97" i="85" s="1"/>
  <c r="G97" i="85" s="1"/>
  <c r="C122" i="85"/>
  <c r="E122" i="85" s="1"/>
  <c r="G122" i="85" s="1"/>
  <c r="C201" i="85"/>
  <c r="E201" i="85" s="1"/>
  <c r="G201" i="85" s="1"/>
  <c r="E192" i="85"/>
  <c r="G192" i="85" s="1"/>
  <c r="C192" i="85"/>
  <c r="C138" i="85"/>
  <c r="E138" i="85" s="1"/>
  <c r="G138" i="85" s="1"/>
  <c r="C6" i="80"/>
  <c r="E6" i="80" s="1"/>
  <c r="G6" i="80" s="1"/>
  <c r="C6" i="81" s="1"/>
  <c r="E6" i="81" s="1"/>
  <c r="G6" i="81" s="1"/>
  <c r="C6" i="82" s="1"/>
  <c r="E6" i="82" s="1"/>
  <c r="G6" i="82" s="1"/>
  <c r="E6" i="83" s="1"/>
  <c r="G6" i="83" s="1"/>
  <c r="C7" i="76"/>
  <c r="E7" i="76" s="1"/>
  <c r="G7" i="76" s="1"/>
  <c r="C7" i="77" s="1"/>
  <c r="E7" i="77" s="1"/>
  <c r="G7" i="77" s="1"/>
  <c r="C7" i="78" s="1"/>
  <c r="E7" i="78" s="1"/>
  <c r="G7" i="78" s="1"/>
  <c r="C7" i="79" s="1"/>
  <c r="E7" i="79" s="1"/>
  <c r="G7" i="79" s="1"/>
  <c r="C10" i="76"/>
  <c r="E10" i="76" s="1"/>
  <c r="G10" i="76" s="1"/>
  <c r="C10" i="77" s="1"/>
  <c r="E10" i="77" s="1"/>
  <c r="G10" i="77" s="1"/>
  <c r="C10" i="78" s="1"/>
  <c r="E10" i="78" s="1"/>
  <c r="G10" i="78" s="1"/>
  <c r="C10" i="79" s="1"/>
  <c r="E10" i="79" s="1"/>
  <c r="G10" i="79" s="1"/>
  <c r="C14" i="76"/>
  <c r="E14" i="76" s="1"/>
  <c r="G14" i="76" s="1"/>
  <c r="C14" i="77" s="1"/>
  <c r="E14" i="77" s="1"/>
  <c r="G14" i="77" s="1"/>
  <c r="C14" i="78" s="1"/>
  <c r="E14" i="78" s="1"/>
  <c r="G14" i="78" s="1"/>
  <c r="C14" i="79" s="1"/>
  <c r="E14" i="79" s="1"/>
  <c r="G14" i="79" s="1"/>
  <c r="C12" i="76"/>
  <c r="E12" i="76" s="1"/>
  <c r="G12" i="76" s="1"/>
  <c r="C12" i="77" s="1"/>
  <c r="E12" i="77" s="1"/>
  <c r="G12" i="77" s="1"/>
  <c r="C12" i="78" s="1"/>
  <c r="E12" i="78" s="1"/>
  <c r="G12" i="78" s="1"/>
  <c r="C12" i="79" s="1"/>
  <c r="E12" i="79" s="1"/>
  <c r="G12" i="79" s="1"/>
  <c r="C13" i="76"/>
  <c r="E13" i="76" s="1"/>
  <c r="G13" i="76" s="1"/>
  <c r="C13" i="77" s="1"/>
  <c r="E13" i="77" s="1"/>
  <c r="G13" i="77" s="1"/>
  <c r="C13" i="78" s="1"/>
  <c r="E13" i="78" s="1"/>
  <c r="G13" i="78" s="1"/>
  <c r="C13" i="79" s="1"/>
  <c r="E13" i="79" s="1"/>
  <c r="G13" i="79" s="1"/>
  <c r="C11" i="76"/>
  <c r="E11" i="76" s="1"/>
  <c r="G11" i="76" s="1"/>
  <c r="C11" i="77" s="1"/>
  <c r="E11" i="77" s="1"/>
  <c r="G11" i="77" s="1"/>
  <c r="C11" i="78" s="1"/>
  <c r="E11" i="78" s="1"/>
  <c r="G11" i="78" s="1"/>
  <c r="C11" i="79" s="1"/>
  <c r="E11" i="79" s="1"/>
  <c r="G11" i="79" s="1"/>
  <c r="C8" i="76"/>
  <c r="E8" i="76" s="1"/>
  <c r="G8" i="76" s="1"/>
  <c r="C8" i="77" s="1"/>
  <c r="E8" i="77" s="1"/>
  <c r="G8" i="77" s="1"/>
  <c r="C8" i="78" s="1"/>
  <c r="E8" i="78" s="1"/>
  <c r="G8" i="78" s="1"/>
  <c r="C8" i="79" s="1"/>
  <c r="E8" i="79" s="1"/>
  <c r="G8" i="79" s="1"/>
  <c r="C9" i="76"/>
  <c r="E9" i="76" s="1"/>
  <c r="G9" i="76" s="1"/>
  <c r="C9" i="77" s="1"/>
  <c r="E9" i="77" s="1"/>
  <c r="G9" i="77" s="1"/>
  <c r="C9" i="78" s="1"/>
  <c r="E9" i="78" s="1"/>
  <c r="G9" i="78" s="1"/>
  <c r="C9" i="79" s="1"/>
  <c r="E9" i="79" s="1"/>
  <c r="G9" i="79" s="1"/>
  <c r="K216" i="64"/>
  <c r="E191" i="86" l="1"/>
  <c r="G191" i="86" s="1"/>
  <c r="C191" i="86"/>
  <c r="C123" i="86"/>
  <c r="E123" i="86" s="1"/>
  <c r="G123" i="86" s="1"/>
  <c r="C94" i="86"/>
  <c r="E94" i="86" s="1"/>
  <c r="G94" i="86" s="1"/>
  <c r="C107" i="86"/>
  <c r="E107" i="86" s="1"/>
  <c r="G107" i="86" s="1"/>
  <c r="E30" i="86"/>
  <c r="G30" i="86" s="1"/>
  <c r="C30" i="86"/>
  <c r="C25" i="86"/>
  <c r="E25" i="86" s="1"/>
  <c r="G25" i="86" s="1"/>
  <c r="C20" i="86"/>
  <c r="E20" i="86" s="1"/>
  <c r="G20" i="86" s="1"/>
  <c r="C154" i="86"/>
  <c r="E154" i="86" s="1"/>
  <c r="G154" i="86" s="1"/>
  <c r="E24" i="86"/>
  <c r="G24" i="86" s="1"/>
  <c r="C24" i="86"/>
  <c r="C78" i="86"/>
  <c r="E78" i="86" s="1"/>
  <c r="G78" i="86" s="1"/>
  <c r="C155" i="86"/>
  <c r="E155" i="86" s="1"/>
  <c r="G155" i="86" s="1"/>
  <c r="C150" i="86"/>
  <c r="E150" i="86" s="1"/>
  <c r="G150" i="86" s="1"/>
  <c r="E176" i="86"/>
  <c r="G176" i="86" s="1"/>
  <c r="C176" i="86"/>
  <c r="C167" i="86"/>
  <c r="E167" i="86" s="1"/>
  <c r="G167" i="86" s="1"/>
  <c r="C121" i="86"/>
  <c r="E121" i="86" s="1"/>
  <c r="G121" i="86" s="1"/>
  <c r="C79" i="86"/>
  <c r="E79" i="86" s="1"/>
  <c r="G79" i="86" s="1"/>
  <c r="E95" i="86"/>
  <c r="G95" i="86" s="1"/>
  <c r="C95" i="86"/>
  <c r="C143" i="86"/>
  <c r="E143" i="86" s="1"/>
  <c r="G143" i="86" s="1"/>
  <c r="C111" i="86"/>
  <c r="E111" i="86" s="1"/>
  <c r="G111" i="86" s="1"/>
  <c r="C27" i="86"/>
  <c r="E27" i="86" s="1"/>
  <c r="G27" i="86" s="1"/>
  <c r="E96" i="86"/>
  <c r="G96" i="86" s="1"/>
  <c r="C96" i="86"/>
  <c r="C136" i="86"/>
  <c r="E136" i="86" s="1"/>
  <c r="G136" i="86" s="1"/>
  <c r="C17" i="86"/>
  <c r="E17" i="86" s="1"/>
  <c r="G17" i="86" s="1"/>
  <c r="C177" i="86"/>
  <c r="E177" i="86" s="1"/>
  <c r="G177" i="86" s="1"/>
  <c r="E88" i="87"/>
  <c r="G88" i="87" s="1"/>
  <c r="C88" i="88" s="1"/>
  <c r="E88" i="88" s="1"/>
  <c r="G88" i="88" s="1"/>
  <c r="C88" i="89" s="1"/>
  <c r="E88" i="89" s="1"/>
  <c r="G88" i="89" s="1"/>
  <c r="E88" i="90" s="1"/>
  <c r="G88" i="90" s="1"/>
  <c r="E88" i="91" s="1"/>
  <c r="G88" i="91" s="1"/>
  <c r="C88" i="92" s="1"/>
  <c r="E88" i="92" s="1"/>
  <c r="G88" i="92" s="1"/>
  <c r="E88" i="93" s="1"/>
  <c r="G88" i="93" s="1"/>
  <c r="C88" i="94" s="1"/>
  <c r="E88" i="94" s="1"/>
  <c r="G88" i="94" s="1"/>
  <c r="C88" i="95" s="1"/>
  <c r="E88" i="95" s="1"/>
  <c r="G88" i="95" s="1"/>
  <c r="C88" i="96" s="1"/>
  <c r="E88" i="96" s="1"/>
  <c r="G88" i="96" s="1"/>
  <c r="C88" i="87"/>
  <c r="C157" i="86"/>
  <c r="E157" i="86" s="1"/>
  <c r="G157" i="86" s="1"/>
  <c r="C101" i="86"/>
  <c r="E101" i="86" s="1"/>
  <c r="G101" i="86" s="1"/>
  <c r="C45" i="86"/>
  <c r="E45" i="86" s="1"/>
  <c r="G45" i="86" s="1"/>
  <c r="E134" i="86"/>
  <c r="G134" i="86" s="1"/>
  <c r="C134" i="86"/>
  <c r="C81" i="86"/>
  <c r="E81" i="86" s="1"/>
  <c r="G81" i="86" s="1"/>
  <c r="C48" i="87"/>
  <c r="E48" i="87" s="1"/>
  <c r="G48" i="87" s="1"/>
  <c r="C48" i="88" s="1"/>
  <c r="E48" i="88" s="1"/>
  <c r="G48" i="88" s="1"/>
  <c r="C48" i="89" s="1"/>
  <c r="E48" i="89" s="1"/>
  <c r="G48" i="89" s="1"/>
  <c r="E48" i="90" s="1"/>
  <c r="G48" i="90" s="1"/>
  <c r="E48" i="91" s="1"/>
  <c r="G48" i="91" s="1"/>
  <c r="C48" i="92" s="1"/>
  <c r="E48" i="92" s="1"/>
  <c r="G48" i="92" s="1"/>
  <c r="E48" i="93" s="1"/>
  <c r="G48" i="93" s="1"/>
  <c r="C48" i="94" s="1"/>
  <c r="E48" i="94" s="1"/>
  <c r="G48" i="94" s="1"/>
  <c r="C48" i="95" s="1"/>
  <c r="E48" i="95" s="1"/>
  <c r="G48" i="95" s="1"/>
  <c r="C48" i="96" s="1"/>
  <c r="E48" i="96" s="1"/>
  <c r="G48" i="96" s="1"/>
  <c r="C52" i="86"/>
  <c r="E52" i="86" s="1"/>
  <c r="G52" i="86" s="1"/>
  <c r="E62" i="87"/>
  <c r="G62" i="87" s="1"/>
  <c r="C62" i="88" s="1"/>
  <c r="E62" i="88" s="1"/>
  <c r="G62" i="88" s="1"/>
  <c r="C62" i="89" s="1"/>
  <c r="E62" i="89" s="1"/>
  <c r="G62" i="89" s="1"/>
  <c r="E62" i="90" s="1"/>
  <c r="G62" i="90" s="1"/>
  <c r="E62" i="91" s="1"/>
  <c r="G62" i="91" s="1"/>
  <c r="C62" i="92" s="1"/>
  <c r="E62" i="92" s="1"/>
  <c r="G62" i="92" s="1"/>
  <c r="E62" i="93" s="1"/>
  <c r="G62" i="93" s="1"/>
  <c r="C62" i="94" s="1"/>
  <c r="E62" i="94" s="1"/>
  <c r="G62" i="94" s="1"/>
  <c r="C62" i="95" s="1"/>
  <c r="E62" i="95" s="1"/>
  <c r="G62" i="95" s="1"/>
  <c r="C62" i="96" s="1"/>
  <c r="E62" i="96" s="1"/>
  <c r="G62" i="96" s="1"/>
  <c r="C62" i="87"/>
  <c r="C199" i="86"/>
  <c r="E199" i="86" s="1"/>
  <c r="G199" i="86" s="1"/>
  <c r="C215" i="86"/>
  <c r="E215" i="86" s="1"/>
  <c r="G215" i="86" s="1"/>
  <c r="C142" i="86"/>
  <c r="E142" i="86" s="1"/>
  <c r="G142" i="86" s="1"/>
  <c r="E168" i="86"/>
  <c r="G168" i="86" s="1"/>
  <c r="C168" i="86"/>
  <c r="C188" i="86"/>
  <c r="E188" i="86" s="1"/>
  <c r="G188" i="86" s="1"/>
  <c r="C59" i="86"/>
  <c r="E59" i="86" s="1"/>
  <c r="G59" i="86" s="1"/>
  <c r="C80" i="87"/>
  <c r="E80" i="87" s="1"/>
  <c r="G80" i="87" s="1"/>
  <c r="C80" i="88" s="1"/>
  <c r="E80" i="88" s="1"/>
  <c r="G80" i="88" s="1"/>
  <c r="C80" i="89" s="1"/>
  <c r="E80" i="89" s="1"/>
  <c r="G80" i="89" s="1"/>
  <c r="E80" i="90" s="1"/>
  <c r="G80" i="90" s="1"/>
  <c r="E80" i="91" s="1"/>
  <c r="G80" i="91" s="1"/>
  <c r="E80" i="92" s="1"/>
  <c r="G80" i="92" s="1"/>
  <c r="E80" i="93" s="1"/>
  <c r="G80" i="93" s="1"/>
  <c r="C80" i="94" s="1"/>
  <c r="E80" i="94" s="1"/>
  <c r="G80" i="94" s="1"/>
  <c r="C80" i="95" s="1"/>
  <c r="E80" i="95" s="1"/>
  <c r="G80" i="95" s="1"/>
  <c r="C80" i="96" s="1"/>
  <c r="E80" i="96" s="1"/>
  <c r="G80" i="96" s="1"/>
  <c r="E74" i="87"/>
  <c r="G74" i="87" s="1"/>
  <c r="C74" i="88" s="1"/>
  <c r="E74" i="88" s="1"/>
  <c r="G74" i="88" s="1"/>
  <c r="C74" i="89" s="1"/>
  <c r="E74" i="89" s="1"/>
  <c r="G74" i="89" s="1"/>
  <c r="E74" i="90" s="1"/>
  <c r="G74" i="90" s="1"/>
  <c r="E74" i="91" s="1"/>
  <c r="G74" i="91" s="1"/>
  <c r="C74" i="92" s="1"/>
  <c r="E74" i="92" s="1"/>
  <c r="G74" i="92" s="1"/>
  <c r="E74" i="93" s="1"/>
  <c r="G74" i="93" s="1"/>
  <c r="C74" i="94" s="1"/>
  <c r="E74" i="94" s="1"/>
  <c r="G74" i="94" s="1"/>
  <c r="C74" i="95" s="1"/>
  <c r="E74" i="95" s="1"/>
  <c r="G74" i="95" s="1"/>
  <c r="C74" i="96" s="1"/>
  <c r="E74" i="96" s="1"/>
  <c r="G74" i="96" s="1"/>
  <c r="C74" i="87"/>
  <c r="C183" i="86"/>
  <c r="E183" i="86" s="1"/>
  <c r="G183" i="86" s="1"/>
  <c r="C164" i="86"/>
  <c r="E164" i="86" s="1"/>
  <c r="G164" i="86" s="1"/>
  <c r="C104" i="86"/>
  <c r="E104" i="86" s="1"/>
  <c r="G104" i="86" s="1"/>
  <c r="E132" i="86"/>
  <c r="G132" i="86" s="1"/>
  <c r="C132" i="86"/>
  <c r="C36" i="86"/>
  <c r="E36" i="86" s="1"/>
  <c r="G36" i="86" s="1"/>
  <c r="C105" i="86"/>
  <c r="E105" i="86" s="1"/>
  <c r="G105" i="86" s="1"/>
  <c r="C97" i="86"/>
  <c r="E97" i="86" s="1"/>
  <c r="G97" i="86" s="1"/>
  <c r="E26" i="86"/>
  <c r="G26" i="86" s="1"/>
  <c r="C26" i="86"/>
  <c r="C89" i="86"/>
  <c r="E89" i="86" s="1"/>
  <c r="G89" i="86" s="1"/>
  <c r="C120" i="86"/>
  <c r="E120" i="86" s="1"/>
  <c r="G120" i="86" s="1"/>
  <c r="C70" i="87"/>
  <c r="E70" i="87" s="1"/>
  <c r="G70" i="87" s="1"/>
  <c r="C70" i="88" s="1"/>
  <c r="E70" i="88" s="1"/>
  <c r="G70" i="88" s="1"/>
  <c r="C70" i="89" s="1"/>
  <c r="E70" i="89" s="1"/>
  <c r="G70" i="89" s="1"/>
  <c r="E70" i="90" s="1"/>
  <c r="G70" i="90" s="1"/>
  <c r="E70" i="91" s="1"/>
  <c r="G70" i="91" s="1"/>
  <c r="C70" i="92" s="1"/>
  <c r="E70" i="92" s="1"/>
  <c r="G70" i="92" s="1"/>
  <c r="E70" i="93" s="1"/>
  <c r="G70" i="93" s="1"/>
  <c r="C70" i="94" s="1"/>
  <c r="E70" i="94" s="1"/>
  <c r="G70" i="94" s="1"/>
  <c r="C70" i="95" s="1"/>
  <c r="E70" i="95" s="1"/>
  <c r="G70" i="95" s="1"/>
  <c r="C70" i="96" s="1"/>
  <c r="E70" i="96" s="1"/>
  <c r="G70" i="96" s="1"/>
  <c r="E112" i="86"/>
  <c r="G112" i="86" s="1"/>
  <c r="C112" i="86"/>
  <c r="C18" i="86"/>
  <c r="E18" i="86" s="1"/>
  <c r="G18" i="86" s="1"/>
  <c r="C35" i="87"/>
  <c r="E35" i="87" s="1"/>
  <c r="G35" i="87" s="1"/>
  <c r="C35" i="88" s="1"/>
  <c r="E35" i="88" s="1"/>
  <c r="G35" i="88" s="1"/>
  <c r="C35" i="89" s="1"/>
  <c r="E35" i="89" s="1"/>
  <c r="G35" i="89" s="1"/>
  <c r="E35" i="90" s="1"/>
  <c r="G35" i="90" s="1"/>
  <c r="E35" i="91" s="1"/>
  <c r="G35" i="91" s="1"/>
  <c r="C35" i="92" s="1"/>
  <c r="E35" i="92" s="1"/>
  <c r="G35" i="92" s="1"/>
  <c r="E35" i="93" s="1"/>
  <c r="G35" i="93" s="1"/>
  <c r="C35" i="94" s="1"/>
  <c r="E35" i="94" s="1"/>
  <c r="G35" i="94" s="1"/>
  <c r="C35" i="95" s="1"/>
  <c r="E35" i="95" s="1"/>
  <c r="G35" i="95" s="1"/>
  <c r="C35" i="96" s="1"/>
  <c r="E35" i="96" s="1"/>
  <c r="G35" i="96" s="1"/>
  <c r="C187" i="86"/>
  <c r="E187" i="86" s="1"/>
  <c r="G187" i="86" s="1"/>
  <c r="E207" i="86"/>
  <c r="G207" i="86" s="1"/>
  <c r="C207" i="86"/>
  <c r="C138" i="86"/>
  <c r="E138" i="86" s="1"/>
  <c r="G138" i="86" s="1"/>
  <c r="C149" i="86"/>
  <c r="E149" i="86" s="1"/>
  <c r="G149" i="86" s="1"/>
  <c r="C156" i="86"/>
  <c r="E156" i="86" s="1"/>
  <c r="G156" i="86" s="1"/>
  <c r="E32" i="86"/>
  <c r="G32" i="86" s="1"/>
  <c r="C32" i="86"/>
  <c r="C206" i="86"/>
  <c r="E206" i="86" s="1"/>
  <c r="G206" i="86" s="1"/>
  <c r="C102" i="86"/>
  <c r="E102" i="86" s="1"/>
  <c r="G102" i="86" s="1"/>
  <c r="C126" i="86"/>
  <c r="E126" i="86" s="1"/>
  <c r="G126" i="86" s="1"/>
  <c r="E217" i="86"/>
  <c r="G217" i="86" s="1"/>
  <c r="C217" i="86"/>
  <c r="C146" i="86"/>
  <c r="E146" i="86" s="1"/>
  <c r="G146" i="86" s="1"/>
  <c r="C200" i="86"/>
  <c r="E200" i="86" s="1"/>
  <c r="G200" i="86" s="1"/>
  <c r="C56" i="87"/>
  <c r="E56" i="87" s="1"/>
  <c r="G56" i="87" s="1"/>
  <c r="C56" i="88" s="1"/>
  <c r="E56" i="88" s="1"/>
  <c r="G56" i="88" s="1"/>
  <c r="C56" i="89" s="1"/>
  <c r="E56" i="89" s="1"/>
  <c r="G56" i="89" s="1"/>
  <c r="E56" i="90" s="1"/>
  <c r="G56" i="90" s="1"/>
  <c r="E56" i="91" s="1"/>
  <c r="G56" i="91" s="1"/>
  <c r="C56" i="92" s="1"/>
  <c r="E56" i="92" s="1"/>
  <c r="G56" i="92" s="1"/>
  <c r="E56" i="93" s="1"/>
  <c r="G56" i="93" s="1"/>
  <c r="C56" i="94" s="1"/>
  <c r="E56" i="94" s="1"/>
  <c r="G56" i="94" s="1"/>
  <c r="C56" i="95" s="1"/>
  <c r="E56" i="95" s="1"/>
  <c r="G56" i="95" s="1"/>
  <c r="C56" i="96" s="1"/>
  <c r="E56" i="96" s="1"/>
  <c r="G56" i="96" s="1"/>
  <c r="E161" i="86"/>
  <c r="G161" i="86" s="1"/>
  <c r="C161" i="86"/>
  <c r="C64" i="86"/>
  <c r="E64" i="86" s="1"/>
  <c r="G64" i="86" s="1"/>
  <c r="C116" i="86"/>
  <c r="E116" i="86" s="1"/>
  <c r="G116" i="86" s="1"/>
  <c r="C90" i="86"/>
  <c r="E90" i="86" s="1"/>
  <c r="G90" i="86" s="1"/>
  <c r="E172" i="86"/>
  <c r="G172" i="86" s="1"/>
  <c r="C172" i="86"/>
  <c r="C69" i="86"/>
  <c r="E69" i="86" s="1"/>
  <c r="G69" i="86" s="1"/>
  <c r="C44" i="86"/>
  <c r="E44" i="86" s="1"/>
  <c r="G44" i="86" s="1"/>
  <c r="C117" i="86"/>
  <c r="E117" i="86" s="1"/>
  <c r="G117" i="86" s="1"/>
  <c r="E103" i="86"/>
  <c r="G103" i="86" s="1"/>
  <c r="C103" i="86"/>
  <c r="C50" i="86"/>
  <c r="E50" i="86" s="1"/>
  <c r="G50" i="86" s="1"/>
  <c r="C178" i="86"/>
  <c r="E178" i="86" s="1"/>
  <c r="G178" i="86" s="1"/>
  <c r="C6" i="84"/>
  <c r="E6" i="84" s="1"/>
  <c r="G6" i="84" s="1"/>
  <c r="E73" i="86"/>
  <c r="G73" i="86" s="1"/>
  <c r="C73" i="86"/>
  <c r="C128" i="86"/>
  <c r="E128" i="86" s="1"/>
  <c r="G128" i="86" s="1"/>
  <c r="C58" i="86"/>
  <c r="E58" i="86" s="1"/>
  <c r="G58" i="86" s="1"/>
  <c r="C84" i="86"/>
  <c r="E84" i="86" s="1"/>
  <c r="G84" i="86" s="1"/>
  <c r="E67" i="86"/>
  <c r="G67" i="86" s="1"/>
  <c r="C67" i="86"/>
  <c r="C63" i="86"/>
  <c r="E63" i="86" s="1"/>
  <c r="G63" i="86" s="1"/>
  <c r="C33" i="86"/>
  <c r="E33" i="86" s="1"/>
  <c r="G33" i="86" s="1"/>
  <c r="C72" i="86"/>
  <c r="E72" i="86" s="1"/>
  <c r="G72" i="86" s="1"/>
  <c r="E16" i="86"/>
  <c r="G16" i="86" s="1"/>
  <c r="C16" i="86"/>
  <c r="C108" i="86"/>
  <c r="E108" i="86" s="1"/>
  <c r="G108" i="86" s="1"/>
  <c r="C71" i="87"/>
  <c r="E71" i="87" s="1"/>
  <c r="G71" i="87" s="1"/>
  <c r="C71" i="88" s="1"/>
  <c r="E71" i="88" s="1"/>
  <c r="G71" i="88" s="1"/>
  <c r="C71" i="89" s="1"/>
  <c r="E71" i="89" s="1"/>
  <c r="G71" i="89" s="1"/>
  <c r="E71" i="90" s="1"/>
  <c r="G71" i="90" s="1"/>
  <c r="E71" i="91" s="1"/>
  <c r="G71" i="91" s="1"/>
  <c r="C71" i="92" s="1"/>
  <c r="E71" i="92" s="1"/>
  <c r="G71" i="92" s="1"/>
  <c r="E71" i="93" s="1"/>
  <c r="G71" i="93" s="1"/>
  <c r="C71" i="94" s="1"/>
  <c r="E71" i="94" s="1"/>
  <c r="G71" i="94" s="1"/>
  <c r="C71" i="95" s="1"/>
  <c r="E71" i="95" s="1"/>
  <c r="G71" i="95" s="1"/>
  <c r="C71" i="96" s="1"/>
  <c r="E71" i="96" s="1"/>
  <c r="G71" i="96" s="1"/>
  <c r="C202" i="86"/>
  <c r="E202" i="86" s="1"/>
  <c r="G202" i="86" s="1"/>
  <c r="E195" i="86"/>
  <c r="G195" i="86" s="1"/>
  <c r="C195" i="86"/>
  <c r="C216" i="86"/>
  <c r="E216" i="86" s="1"/>
  <c r="G216" i="86" s="1"/>
  <c r="C179" i="86"/>
  <c r="E179" i="86" s="1"/>
  <c r="G179" i="86" s="1"/>
  <c r="C139" i="86"/>
  <c r="E139" i="86" s="1"/>
  <c r="G139" i="86" s="1"/>
  <c r="E115" i="86"/>
  <c r="G115" i="86" s="1"/>
  <c r="C115" i="86"/>
  <c r="C212" i="86"/>
  <c r="E212" i="86" s="1"/>
  <c r="G212" i="86" s="1"/>
  <c r="C41" i="86"/>
  <c r="E41" i="86" s="1"/>
  <c r="G41" i="86" s="1"/>
  <c r="C28" i="86"/>
  <c r="E28" i="86" s="1"/>
  <c r="G28" i="86" s="1"/>
  <c r="E99" i="86"/>
  <c r="G99" i="86" s="1"/>
  <c r="C99" i="86"/>
  <c r="C76" i="86"/>
  <c r="E76" i="86" s="1"/>
  <c r="G76" i="86" s="1"/>
  <c r="C169" i="86"/>
  <c r="E169" i="86" s="1"/>
  <c r="G169" i="86" s="1"/>
  <c r="C198" i="86"/>
  <c r="E198" i="86" s="1"/>
  <c r="G198" i="86" s="1"/>
  <c r="E186" i="86"/>
  <c r="G186" i="86" s="1"/>
  <c r="C186" i="86"/>
  <c r="C189" i="86"/>
  <c r="E189" i="86" s="1"/>
  <c r="G189" i="86" s="1"/>
  <c r="C61" i="86"/>
  <c r="E61" i="86" s="1"/>
  <c r="G61" i="86" s="1"/>
  <c r="C210" i="86"/>
  <c r="E210" i="86" s="1"/>
  <c r="G210" i="86" s="1"/>
  <c r="E196" i="86"/>
  <c r="G196" i="86" s="1"/>
  <c r="C196" i="86"/>
  <c r="C158" i="86"/>
  <c r="E158" i="86" s="1"/>
  <c r="G158" i="86" s="1"/>
  <c r="C163" i="86"/>
  <c r="E163" i="86" s="1"/>
  <c r="G163" i="86" s="1"/>
  <c r="C182" i="86"/>
  <c r="E182" i="86" s="1"/>
  <c r="G182" i="86" s="1"/>
  <c r="E118" i="86"/>
  <c r="G118" i="86" s="1"/>
  <c r="C118" i="86"/>
  <c r="C85" i="86"/>
  <c r="E85" i="86" s="1"/>
  <c r="G85" i="86" s="1"/>
  <c r="C114" i="86"/>
  <c r="E114" i="86" s="1"/>
  <c r="G114" i="86" s="1"/>
  <c r="C193" i="86"/>
  <c r="E193" i="86" s="1"/>
  <c r="G193" i="86" s="1"/>
  <c r="E119" i="86"/>
  <c r="G119" i="86" s="1"/>
  <c r="C119" i="86"/>
  <c r="C109" i="86"/>
  <c r="E109" i="86" s="1"/>
  <c r="G109" i="86" s="1"/>
  <c r="C208" i="86"/>
  <c r="E208" i="86" s="1"/>
  <c r="G208" i="86" s="1"/>
  <c r="C42" i="87"/>
  <c r="E42" i="87" s="1"/>
  <c r="G42" i="87" s="1"/>
  <c r="C42" i="88" s="1"/>
  <c r="E42" i="88" s="1"/>
  <c r="G42" i="88" s="1"/>
  <c r="C42" i="89" s="1"/>
  <c r="E42" i="89" s="1"/>
  <c r="G42" i="89" s="1"/>
  <c r="E42" i="90" s="1"/>
  <c r="G42" i="90" s="1"/>
  <c r="E42" i="91" s="1"/>
  <c r="G42" i="91" s="1"/>
  <c r="C42" i="92" s="1"/>
  <c r="E42" i="92" s="1"/>
  <c r="G42" i="92" s="1"/>
  <c r="E42" i="93" s="1"/>
  <c r="G42" i="93" s="1"/>
  <c r="C42" i="94" s="1"/>
  <c r="E42" i="94" s="1"/>
  <c r="G42" i="94" s="1"/>
  <c r="C42" i="95" s="1"/>
  <c r="E42" i="95" s="1"/>
  <c r="G42" i="95" s="1"/>
  <c r="C42" i="96" s="1"/>
  <c r="E42" i="96" s="1"/>
  <c r="G42" i="96" s="1"/>
  <c r="E83" i="87"/>
  <c r="G83" i="87" s="1"/>
  <c r="C83" i="88" s="1"/>
  <c r="E83" i="88" s="1"/>
  <c r="G83" i="88" s="1"/>
  <c r="C83" i="89" s="1"/>
  <c r="E83" i="89" s="1"/>
  <c r="G83" i="89" s="1"/>
  <c r="E83" i="90" s="1"/>
  <c r="G83" i="90" s="1"/>
  <c r="E83" i="91" s="1"/>
  <c r="G83" i="91" s="1"/>
  <c r="C83" i="92" s="1"/>
  <c r="E83" i="92" s="1"/>
  <c r="G83" i="92" s="1"/>
  <c r="E83" i="93" s="1"/>
  <c r="G83" i="93" s="1"/>
  <c r="C83" i="94" s="1"/>
  <c r="E83" i="94" s="1"/>
  <c r="G83" i="94" s="1"/>
  <c r="C83" i="95" s="1"/>
  <c r="E83" i="95" s="1"/>
  <c r="G83" i="95" s="1"/>
  <c r="C83" i="96" s="1"/>
  <c r="E83" i="96" s="1"/>
  <c r="G83" i="96" s="1"/>
  <c r="C83" i="87"/>
  <c r="C180" i="86"/>
  <c r="E180" i="86" s="1"/>
  <c r="G180" i="86" s="1"/>
  <c r="C82" i="87"/>
  <c r="E82" i="87" s="1"/>
  <c r="G82" i="87" s="1"/>
  <c r="C82" i="88" s="1"/>
  <c r="E82" i="88" s="1"/>
  <c r="G82" i="88" s="1"/>
  <c r="C82" i="89" s="1"/>
  <c r="E82" i="89" s="1"/>
  <c r="G82" i="89" s="1"/>
  <c r="E82" i="90" s="1"/>
  <c r="G82" i="90" s="1"/>
  <c r="E82" i="91" s="1"/>
  <c r="G82" i="91" s="1"/>
  <c r="C82" i="92" s="1"/>
  <c r="E82" i="92" s="1"/>
  <c r="G82" i="92" s="1"/>
  <c r="E82" i="93" s="1"/>
  <c r="G82" i="93" s="1"/>
  <c r="C82" i="94" s="1"/>
  <c r="E82" i="94" s="1"/>
  <c r="G82" i="94" s="1"/>
  <c r="C82" i="95" s="1"/>
  <c r="E82" i="95" s="1"/>
  <c r="G82" i="95" s="1"/>
  <c r="C82" i="96" s="1"/>
  <c r="E82" i="96" s="1"/>
  <c r="G82" i="96" s="1"/>
  <c r="C159" i="86"/>
  <c r="E159" i="86" s="1"/>
  <c r="G159" i="86" s="1"/>
  <c r="E54" i="86"/>
  <c r="G54" i="86" s="1"/>
  <c r="C54" i="86"/>
  <c r="C43" i="86"/>
  <c r="E43" i="86" s="1"/>
  <c r="G43" i="86" s="1"/>
  <c r="C140" i="86"/>
  <c r="E140" i="86" s="1"/>
  <c r="G140" i="86" s="1"/>
  <c r="C201" i="86"/>
  <c r="E201" i="86" s="1"/>
  <c r="G201" i="86" s="1"/>
  <c r="E175" i="86"/>
  <c r="G175" i="86" s="1"/>
  <c r="C175" i="86"/>
  <c r="C214" i="86"/>
  <c r="E214" i="86" s="1"/>
  <c r="G214" i="86" s="1"/>
  <c r="C53" i="86"/>
  <c r="E53" i="86" s="1"/>
  <c r="G53" i="86" s="1"/>
  <c r="C152" i="87"/>
  <c r="E152" i="87" s="1"/>
  <c r="G152" i="87" s="1"/>
  <c r="C152" i="88" s="1"/>
  <c r="E152" i="88" s="1"/>
  <c r="G152" i="88" s="1"/>
  <c r="C152" i="89" s="1"/>
  <c r="E152" i="89" s="1"/>
  <c r="G152" i="89" s="1"/>
  <c r="E152" i="90" s="1"/>
  <c r="G152" i="90" s="1"/>
  <c r="E152" i="91" s="1"/>
  <c r="G152" i="91" s="1"/>
  <c r="C152" i="92" s="1"/>
  <c r="E152" i="92" s="1"/>
  <c r="G152" i="92" s="1"/>
  <c r="E152" i="93" s="1"/>
  <c r="G152" i="93" s="1"/>
  <c r="C152" i="94" s="1"/>
  <c r="E152" i="94" s="1"/>
  <c r="G152" i="94" s="1"/>
  <c r="C152" i="95" s="1"/>
  <c r="E152" i="95" s="1"/>
  <c r="G152" i="95" s="1"/>
  <c r="C152" i="96" s="1"/>
  <c r="E152" i="96" s="1"/>
  <c r="G152" i="96" s="1"/>
  <c r="E190" i="86"/>
  <c r="G190" i="86" s="1"/>
  <c r="C190" i="86"/>
  <c r="C204" i="86"/>
  <c r="E204" i="86" s="1"/>
  <c r="G204" i="86" s="1"/>
  <c r="C75" i="86"/>
  <c r="E75" i="86" s="1"/>
  <c r="G75" i="86" s="1"/>
  <c r="C65" i="86"/>
  <c r="E65" i="86" s="1"/>
  <c r="G65" i="86" s="1"/>
  <c r="E125" i="86"/>
  <c r="G125" i="86" s="1"/>
  <c r="C125" i="86"/>
  <c r="C57" i="86"/>
  <c r="E57" i="86" s="1"/>
  <c r="G57" i="86" s="1"/>
  <c r="C66" i="87"/>
  <c r="E66" i="87" s="1"/>
  <c r="G66" i="87" s="1"/>
  <c r="C66" i="88" s="1"/>
  <c r="E66" i="88" s="1"/>
  <c r="G66" i="88" s="1"/>
  <c r="C66" i="89" s="1"/>
  <c r="E66" i="89" s="1"/>
  <c r="G66" i="89" s="1"/>
  <c r="E66" i="90" s="1"/>
  <c r="G66" i="90" s="1"/>
  <c r="E66" i="91" s="1"/>
  <c r="G66" i="91" s="1"/>
  <c r="C66" i="92" s="1"/>
  <c r="E66" i="92" s="1"/>
  <c r="G66" i="92" s="1"/>
  <c r="E66" i="93" s="1"/>
  <c r="G66" i="93" s="1"/>
  <c r="C66" i="94" s="1"/>
  <c r="E66" i="94" s="1"/>
  <c r="G66" i="94" s="1"/>
  <c r="C66" i="95" s="1"/>
  <c r="E66" i="95" s="1"/>
  <c r="G66" i="95" s="1"/>
  <c r="C66" i="96" s="1"/>
  <c r="E66" i="96" s="1"/>
  <c r="G66" i="96" s="1"/>
  <c r="C170" i="86"/>
  <c r="E170" i="86" s="1"/>
  <c r="G170" i="86" s="1"/>
  <c r="E203" i="86"/>
  <c r="G203" i="86" s="1"/>
  <c r="C203" i="86"/>
  <c r="C153" i="86"/>
  <c r="E153" i="86" s="1"/>
  <c r="G153" i="86" s="1"/>
  <c r="C213" i="86"/>
  <c r="E213" i="86" s="1"/>
  <c r="G213" i="86" s="1"/>
  <c r="C21" i="86"/>
  <c r="E21" i="86" s="1"/>
  <c r="G21" i="86" s="1"/>
  <c r="E148" i="86"/>
  <c r="G148" i="86" s="1"/>
  <c r="C148" i="86"/>
  <c r="C98" i="86"/>
  <c r="E98" i="86" s="1"/>
  <c r="G98" i="86" s="1"/>
  <c r="C122" i="86"/>
  <c r="E122" i="86" s="1"/>
  <c r="G122" i="86" s="1"/>
  <c r="C19" i="86"/>
  <c r="E19" i="86" s="1"/>
  <c r="G19" i="86" s="1"/>
  <c r="E205" i="86"/>
  <c r="G205" i="86" s="1"/>
  <c r="C205" i="86"/>
  <c r="C29" i="87"/>
  <c r="E29" i="87" s="1"/>
  <c r="G29" i="87" s="1"/>
  <c r="C29" i="88" s="1"/>
  <c r="E29" i="88" s="1"/>
  <c r="G29" i="88" s="1"/>
  <c r="C29" i="89" s="1"/>
  <c r="E29" i="89" s="1"/>
  <c r="G29" i="89" s="1"/>
  <c r="E29" i="90" s="1"/>
  <c r="G29" i="90" s="1"/>
  <c r="E29" i="91" s="1"/>
  <c r="G29" i="91" s="1"/>
  <c r="C29" i="92" s="1"/>
  <c r="E29" i="92" s="1"/>
  <c r="G29" i="92" s="1"/>
  <c r="E29" i="93" s="1"/>
  <c r="G29" i="93" s="1"/>
  <c r="C29" i="94" s="1"/>
  <c r="E29" i="94" s="1"/>
  <c r="G29" i="94" s="1"/>
  <c r="C29" i="95" s="1"/>
  <c r="E29" i="95" s="1"/>
  <c r="G29" i="95" s="1"/>
  <c r="C29" i="96" s="1"/>
  <c r="E29" i="96" s="1"/>
  <c r="G29" i="96" s="1"/>
  <c r="C209" i="86"/>
  <c r="E209" i="86" s="1"/>
  <c r="G209" i="86" s="1"/>
  <c r="C174" i="86"/>
  <c r="E174" i="86" s="1"/>
  <c r="G174" i="86" s="1"/>
  <c r="E31" i="86"/>
  <c r="G31" i="86" s="1"/>
  <c r="C31" i="86"/>
  <c r="C166" i="86"/>
  <c r="E166" i="86" s="1"/>
  <c r="G166" i="86" s="1"/>
  <c r="C141" i="86"/>
  <c r="E141" i="86" s="1"/>
  <c r="G141" i="86" s="1"/>
  <c r="C51" i="86"/>
  <c r="E51" i="86" s="1"/>
  <c r="G51" i="86" s="1"/>
  <c r="E87" i="86"/>
  <c r="G87" i="86" s="1"/>
  <c r="C87" i="86"/>
  <c r="C171" i="86"/>
  <c r="E171" i="86" s="1"/>
  <c r="G171" i="86" s="1"/>
  <c r="C15" i="86"/>
  <c r="E15" i="86" s="1"/>
  <c r="G15" i="86" s="1"/>
  <c r="C47" i="86"/>
  <c r="E47" i="86" s="1"/>
  <c r="G47" i="86" s="1"/>
  <c r="E184" i="86"/>
  <c r="G184" i="86" s="1"/>
  <c r="C184" i="86"/>
  <c r="C145" i="86"/>
  <c r="E145" i="86" s="1"/>
  <c r="G145" i="86" s="1"/>
  <c r="C151" i="86"/>
  <c r="E151" i="86" s="1"/>
  <c r="G151" i="86" s="1"/>
  <c r="C49" i="86"/>
  <c r="E49" i="86" s="1"/>
  <c r="G49" i="86" s="1"/>
  <c r="E86" i="86"/>
  <c r="G86" i="86" s="1"/>
  <c r="C86" i="86"/>
  <c r="C162" i="86"/>
  <c r="E162" i="86" s="1"/>
  <c r="G162" i="86" s="1"/>
  <c r="C160" i="86"/>
  <c r="E160" i="86" s="1"/>
  <c r="G160" i="86" s="1"/>
  <c r="C106" i="86"/>
  <c r="E106" i="86" s="1"/>
  <c r="G106" i="86" s="1"/>
  <c r="E77" i="86"/>
  <c r="G77" i="86" s="1"/>
  <c r="C77" i="86"/>
  <c r="C165" i="86"/>
  <c r="E165" i="86" s="1"/>
  <c r="G165" i="86" s="1"/>
  <c r="C55" i="87"/>
  <c r="E55" i="87" s="1"/>
  <c r="G55" i="87" s="1"/>
  <c r="C55" i="88" s="1"/>
  <c r="E55" i="88" s="1"/>
  <c r="G55" i="88" s="1"/>
  <c r="C55" i="89" s="1"/>
  <c r="E55" i="89" s="1"/>
  <c r="G55" i="89" s="1"/>
  <c r="E55" i="90" s="1"/>
  <c r="G55" i="90" s="1"/>
  <c r="E55" i="91" s="1"/>
  <c r="G55" i="91" s="1"/>
  <c r="C55" i="92" s="1"/>
  <c r="E55" i="92" s="1"/>
  <c r="G55" i="92" s="1"/>
  <c r="E55" i="93" s="1"/>
  <c r="G55" i="93" s="1"/>
  <c r="C55" i="94" s="1"/>
  <c r="E55" i="94" s="1"/>
  <c r="G55" i="94" s="1"/>
  <c r="C55" i="95" s="1"/>
  <c r="E55" i="95" s="1"/>
  <c r="G55" i="95" s="1"/>
  <c r="C55" i="96" s="1"/>
  <c r="E55" i="96" s="1"/>
  <c r="G55" i="96" s="1"/>
  <c r="C46" i="87"/>
  <c r="E46" i="87" s="1"/>
  <c r="G46" i="87" s="1"/>
  <c r="C46" i="88" s="1"/>
  <c r="E46" i="88" s="1"/>
  <c r="G46" i="88" s="1"/>
  <c r="C46" i="89" s="1"/>
  <c r="E46" i="89" s="1"/>
  <c r="G46" i="89" s="1"/>
  <c r="E46" i="90" s="1"/>
  <c r="G46" i="90" s="1"/>
  <c r="E46" i="91" s="1"/>
  <c r="G46" i="91" s="1"/>
  <c r="C46" i="92" s="1"/>
  <c r="E46" i="92" s="1"/>
  <c r="G46" i="92" s="1"/>
  <c r="E46" i="93" s="1"/>
  <c r="G46" i="93" s="1"/>
  <c r="C46" i="94" s="1"/>
  <c r="E46" i="94" s="1"/>
  <c r="G46" i="94" s="1"/>
  <c r="C46" i="95" s="1"/>
  <c r="E46" i="95" s="1"/>
  <c r="G46" i="95" s="1"/>
  <c r="C46" i="96" s="1"/>
  <c r="E46" i="96" s="1"/>
  <c r="G46" i="96" s="1"/>
  <c r="E137" i="86"/>
  <c r="G137" i="86" s="1"/>
  <c r="C137" i="86"/>
  <c r="C194" i="86"/>
  <c r="E194" i="86" s="1"/>
  <c r="G194" i="86" s="1"/>
  <c r="C22" i="87"/>
  <c r="E22" i="87" s="1"/>
  <c r="G22" i="87" s="1"/>
  <c r="C22" i="88" s="1"/>
  <c r="E22" i="88" s="1"/>
  <c r="G22" i="88" s="1"/>
  <c r="C22" i="89" s="1"/>
  <c r="E22" i="89" s="1"/>
  <c r="G22" i="89" s="1"/>
  <c r="E22" i="90" s="1"/>
  <c r="G22" i="90" s="1"/>
  <c r="E22" i="91" s="1"/>
  <c r="G22" i="91" s="1"/>
  <c r="C22" i="92" s="1"/>
  <c r="E22" i="92" s="1"/>
  <c r="G22" i="92" s="1"/>
  <c r="E22" i="93" s="1"/>
  <c r="G22" i="93" s="1"/>
  <c r="C22" i="94" s="1"/>
  <c r="E22" i="94" s="1"/>
  <c r="G22" i="94" s="1"/>
  <c r="C22" i="95" s="1"/>
  <c r="E22" i="95" s="1"/>
  <c r="G22" i="95" s="1"/>
  <c r="C22" i="96" s="1"/>
  <c r="E22" i="96" s="1"/>
  <c r="G22" i="96" s="1"/>
  <c r="C60" i="86"/>
  <c r="E60" i="86" s="1"/>
  <c r="G60" i="86" s="1"/>
  <c r="E124" i="86"/>
  <c r="G124" i="86" s="1"/>
  <c r="C124" i="86"/>
  <c r="C147" i="86"/>
  <c r="E147" i="86" s="1"/>
  <c r="G147" i="86" s="1"/>
  <c r="C192" i="86"/>
  <c r="E192" i="86" s="1"/>
  <c r="G192" i="86" s="1"/>
  <c r="C37" i="86"/>
  <c r="E37" i="86" s="1"/>
  <c r="G37" i="86" s="1"/>
  <c r="E127" i="86"/>
  <c r="G127" i="86" s="1"/>
  <c r="C127" i="86"/>
  <c r="C133" i="86"/>
  <c r="E133" i="86" s="1"/>
  <c r="G133" i="86" s="1"/>
  <c r="C23" i="87"/>
  <c r="E23" i="87" s="1"/>
  <c r="G23" i="87" s="1"/>
  <c r="C23" i="88" s="1"/>
  <c r="E23" i="88" s="1"/>
  <c r="G23" i="88" s="1"/>
  <c r="C23" i="89" s="1"/>
  <c r="E23" i="89" s="1"/>
  <c r="G23" i="89" s="1"/>
  <c r="E23" i="90" s="1"/>
  <c r="G23" i="90" s="1"/>
  <c r="E23" i="91" s="1"/>
  <c r="G23" i="91" s="1"/>
  <c r="C23" i="92" s="1"/>
  <c r="E23" i="92" s="1"/>
  <c r="G23" i="92" s="1"/>
  <c r="E23" i="93" s="1"/>
  <c r="G23" i="93" s="1"/>
  <c r="C23" i="94" s="1"/>
  <c r="E23" i="94" s="1"/>
  <c r="G23" i="94" s="1"/>
  <c r="C23" i="95" s="1"/>
  <c r="E23" i="95" s="1"/>
  <c r="G23" i="95" s="1"/>
  <c r="C23" i="96" s="1"/>
  <c r="E23" i="96" s="1"/>
  <c r="G23" i="96" s="1"/>
  <c r="C197" i="86"/>
  <c r="E197" i="86" s="1"/>
  <c r="G197" i="86" s="1"/>
  <c r="E68" i="86"/>
  <c r="G68" i="86" s="1"/>
  <c r="C68" i="86"/>
  <c r="C181" i="86"/>
  <c r="E181" i="86" s="1"/>
  <c r="G181" i="86" s="1"/>
  <c r="C110" i="86"/>
  <c r="E110" i="86" s="1"/>
  <c r="G110" i="86" s="1"/>
  <c r="C185" i="86"/>
  <c r="E185" i="86" s="1"/>
  <c r="G185" i="86" s="1"/>
  <c r="E92" i="86"/>
  <c r="G92" i="86" s="1"/>
  <c r="C92" i="86"/>
  <c r="C91" i="86"/>
  <c r="E91" i="86" s="1"/>
  <c r="G91" i="86" s="1"/>
  <c r="C93" i="86"/>
  <c r="E93" i="86" s="1"/>
  <c r="G93" i="86" s="1"/>
  <c r="C211" i="86"/>
  <c r="E211" i="86" s="1"/>
  <c r="G211" i="86" s="1"/>
  <c r="E129" i="86"/>
  <c r="G129" i="86" s="1"/>
  <c r="C129" i="86"/>
  <c r="C113" i="86"/>
  <c r="E113" i="86" s="1"/>
  <c r="G113" i="86" s="1"/>
  <c r="C173" i="86"/>
  <c r="E173" i="86" s="1"/>
  <c r="G173" i="86" s="1"/>
  <c r="C100" i="86"/>
  <c r="E100" i="86" s="1"/>
  <c r="G100" i="86" s="1"/>
  <c r="E131" i="86"/>
  <c r="G131" i="86" s="1"/>
  <c r="C131" i="86"/>
  <c r="C144" i="86"/>
  <c r="E144" i="86" s="1"/>
  <c r="G144" i="86" s="1"/>
  <c r="C135" i="86"/>
  <c r="E135" i="86" s="1"/>
  <c r="G135" i="86" s="1"/>
  <c r="C130" i="86"/>
  <c r="E130" i="86" s="1"/>
  <c r="G130" i="86" s="1"/>
  <c r="E13" i="80"/>
  <c r="G13" i="80" s="1"/>
  <c r="C13" i="81" s="1"/>
  <c r="E13" i="81" s="1"/>
  <c r="G13" i="81" s="1"/>
  <c r="C13" i="82" s="1"/>
  <c r="E13" i="82" s="1"/>
  <c r="G13" i="82" s="1"/>
  <c r="C13" i="80"/>
  <c r="C11" i="80"/>
  <c r="E11" i="80" s="1"/>
  <c r="G11" i="80" s="1"/>
  <c r="C11" i="81" s="1"/>
  <c r="E11" i="81" s="1"/>
  <c r="G11" i="81" s="1"/>
  <c r="C11" i="82" s="1"/>
  <c r="E11" i="82" s="1"/>
  <c r="G11" i="82" s="1"/>
  <c r="C14" i="80"/>
  <c r="E14" i="80" s="1"/>
  <c r="G14" i="80" s="1"/>
  <c r="C14" i="81" s="1"/>
  <c r="E14" i="81" s="1"/>
  <c r="G14" i="81" s="1"/>
  <c r="C14" i="82" s="1"/>
  <c r="E14" i="82" s="1"/>
  <c r="G14" i="82" s="1"/>
  <c r="C12" i="80"/>
  <c r="E12" i="80" s="1"/>
  <c r="G12" i="80" s="1"/>
  <c r="C12" i="81" s="1"/>
  <c r="E12" i="81" s="1"/>
  <c r="G12" i="81" s="1"/>
  <c r="C12" i="82" s="1"/>
  <c r="E12" i="82" s="1"/>
  <c r="G12" i="82" s="1"/>
  <c r="E10" i="80"/>
  <c r="G10" i="80" s="1"/>
  <c r="C10" i="81" s="1"/>
  <c r="E10" i="81" s="1"/>
  <c r="G10" i="81" s="1"/>
  <c r="C10" i="82" s="1"/>
  <c r="E10" i="82" s="1"/>
  <c r="G10" i="82" s="1"/>
  <c r="C10" i="80"/>
  <c r="C8" i="80"/>
  <c r="E8" i="80" s="1"/>
  <c r="G8" i="80" s="1"/>
  <c r="C8" i="81" s="1"/>
  <c r="E8" i="81" s="1"/>
  <c r="G8" i="81" s="1"/>
  <c r="C8" i="82" s="1"/>
  <c r="E8" i="82" s="1"/>
  <c r="G8" i="82" s="1"/>
  <c r="C7" i="80"/>
  <c r="E7" i="80" s="1"/>
  <c r="G7" i="80" s="1"/>
  <c r="C7" i="81" s="1"/>
  <c r="E7" i="81" s="1"/>
  <c r="G7" i="81" s="1"/>
  <c r="C7" i="82" s="1"/>
  <c r="E7" i="82" s="1"/>
  <c r="G7" i="82" s="1"/>
  <c r="C9" i="80"/>
  <c r="E9" i="80" s="1"/>
  <c r="G9" i="80" s="1"/>
  <c r="C9" i="81" s="1"/>
  <c r="E9" i="81" s="1"/>
  <c r="G9" i="81" s="1"/>
  <c r="C9" i="82" s="1"/>
  <c r="E9" i="82" s="1"/>
  <c r="G9" i="82" s="1"/>
  <c r="E160" i="87" l="1"/>
  <c r="G160" i="87" s="1"/>
  <c r="C160" i="88" s="1"/>
  <c r="E160" i="88" s="1"/>
  <c r="G160" i="88" s="1"/>
  <c r="C160" i="89" s="1"/>
  <c r="E160" i="89" s="1"/>
  <c r="G160" i="89" s="1"/>
  <c r="E160" i="90" s="1"/>
  <c r="G160" i="90" s="1"/>
  <c r="E160" i="91" s="1"/>
  <c r="G160" i="91" s="1"/>
  <c r="C160" i="92" s="1"/>
  <c r="E160" i="92" s="1"/>
  <c r="G160" i="92" s="1"/>
  <c r="E160" i="93" s="1"/>
  <c r="G160" i="93" s="1"/>
  <c r="C160" i="94" s="1"/>
  <c r="E160" i="94" s="1"/>
  <c r="G160" i="94" s="1"/>
  <c r="C160" i="95" s="1"/>
  <c r="E160" i="95" s="1"/>
  <c r="G160" i="95" s="1"/>
  <c r="C160" i="96" s="1"/>
  <c r="E160" i="96" s="1"/>
  <c r="G160" i="96" s="1"/>
  <c r="C160" i="87"/>
  <c r="C75" i="87"/>
  <c r="E75" i="87" s="1"/>
  <c r="G75" i="87" s="1"/>
  <c r="C75" i="88" s="1"/>
  <c r="E75" i="88" s="1"/>
  <c r="G75" i="88" s="1"/>
  <c r="C75" i="89" s="1"/>
  <c r="E75" i="89" s="1"/>
  <c r="G75" i="89" s="1"/>
  <c r="E75" i="90" s="1"/>
  <c r="G75" i="90" s="1"/>
  <c r="E75" i="91" s="1"/>
  <c r="G75" i="91" s="1"/>
  <c r="C75" i="92" s="1"/>
  <c r="E75" i="92" s="1"/>
  <c r="G75" i="92" s="1"/>
  <c r="E75" i="93" s="1"/>
  <c r="G75" i="93" s="1"/>
  <c r="C75" i="94" s="1"/>
  <c r="E75" i="94" s="1"/>
  <c r="G75" i="94" s="1"/>
  <c r="C75" i="95" s="1"/>
  <c r="E75" i="95" s="1"/>
  <c r="G75" i="95" s="1"/>
  <c r="C75" i="96" s="1"/>
  <c r="E75" i="96" s="1"/>
  <c r="G75" i="96" s="1"/>
  <c r="E169" i="87"/>
  <c r="G169" i="87" s="1"/>
  <c r="C169" i="88" s="1"/>
  <c r="E169" i="88" s="1"/>
  <c r="G169" i="88" s="1"/>
  <c r="C169" i="89" s="1"/>
  <c r="E169" i="89" s="1"/>
  <c r="G169" i="89" s="1"/>
  <c r="E169" i="90" s="1"/>
  <c r="G169" i="90" s="1"/>
  <c r="E169" i="91" s="1"/>
  <c r="G169" i="91" s="1"/>
  <c r="C169" i="92" s="1"/>
  <c r="E169" i="92" s="1"/>
  <c r="G169" i="92" s="1"/>
  <c r="E169" i="93" s="1"/>
  <c r="G169" i="93" s="1"/>
  <c r="C169" i="94" s="1"/>
  <c r="E169" i="94" s="1"/>
  <c r="G169" i="94" s="1"/>
  <c r="C169" i="95" s="1"/>
  <c r="E169" i="95" s="1"/>
  <c r="G169" i="95" s="1"/>
  <c r="C169" i="96" s="1"/>
  <c r="E169" i="96" s="1"/>
  <c r="G169" i="96" s="1"/>
  <c r="C169" i="87"/>
  <c r="C138" i="87"/>
  <c r="E138" i="87" s="1"/>
  <c r="G138" i="87" s="1"/>
  <c r="C138" i="88" s="1"/>
  <c r="E138" i="88" s="1"/>
  <c r="G138" i="88" s="1"/>
  <c r="C138" i="89" s="1"/>
  <c r="E138" i="89" s="1"/>
  <c r="G138" i="89" s="1"/>
  <c r="E138" i="90" s="1"/>
  <c r="G138" i="90" s="1"/>
  <c r="E138" i="91" s="1"/>
  <c r="G138" i="91" s="1"/>
  <c r="C138" i="92" s="1"/>
  <c r="E138" i="92" s="1"/>
  <c r="G138" i="92" s="1"/>
  <c r="E138" i="93" s="1"/>
  <c r="G138" i="93" s="1"/>
  <c r="C138" i="94" s="1"/>
  <c r="E138" i="94" s="1"/>
  <c r="G138" i="94" s="1"/>
  <c r="C138" i="95" s="1"/>
  <c r="E138" i="95" s="1"/>
  <c r="G138" i="95" s="1"/>
  <c r="C138" i="96" s="1"/>
  <c r="E138" i="96" s="1"/>
  <c r="G138" i="96" s="1"/>
  <c r="E192" i="87"/>
  <c r="G192" i="87" s="1"/>
  <c r="C192" i="88" s="1"/>
  <c r="E192" i="88" s="1"/>
  <c r="G192" i="88" s="1"/>
  <c r="C192" i="89" s="1"/>
  <c r="E192" i="89" s="1"/>
  <c r="G192" i="89" s="1"/>
  <c r="E192" i="90" s="1"/>
  <c r="G192" i="90" s="1"/>
  <c r="E192" i="91" s="1"/>
  <c r="G192" i="91" s="1"/>
  <c r="C192" i="92" s="1"/>
  <c r="E192" i="92" s="1"/>
  <c r="G192" i="92" s="1"/>
  <c r="E192" i="93" s="1"/>
  <c r="G192" i="93" s="1"/>
  <c r="C192" i="94" s="1"/>
  <c r="E192" i="94" s="1"/>
  <c r="G192" i="94" s="1"/>
  <c r="C192" i="95" s="1"/>
  <c r="E192" i="95" s="1"/>
  <c r="G192" i="95" s="1"/>
  <c r="C192" i="96" s="1"/>
  <c r="E192" i="96" s="1"/>
  <c r="G192" i="96" s="1"/>
  <c r="C192" i="87"/>
  <c r="C47" i="87"/>
  <c r="E47" i="87" s="1"/>
  <c r="G47" i="87" s="1"/>
  <c r="C47" i="88" s="1"/>
  <c r="E47" i="88" s="1"/>
  <c r="G47" i="88" s="1"/>
  <c r="C47" i="89" s="1"/>
  <c r="E47" i="89" s="1"/>
  <c r="G47" i="89" s="1"/>
  <c r="E47" i="90" s="1"/>
  <c r="G47" i="90" s="1"/>
  <c r="E47" i="91" s="1"/>
  <c r="G47" i="91" s="1"/>
  <c r="C47" i="92" s="1"/>
  <c r="E47" i="92" s="1"/>
  <c r="G47" i="92" s="1"/>
  <c r="E47" i="93" s="1"/>
  <c r="G47" i="93" s="1"/>
  <c r="C47" i="94" s="1"/>
  <c r="E47" i="94" s="1"/>
  <c r="G47" i="94" s="1"/>
  <c r="C47" i="95" s="1"/>
  <c r="E47" i="95" s="1"/>
  <c r="G47" i="95" s="1"/>
  <c r="C47" i="96" s="1"/>
  <c r="E47" i="96" s="1"/>
  <c r="G47" i="96" s="1"/>
  <c r="E122" i="87"/>
  <c r="G122" i="87" s="1"/>
  <c r="C122" i="88" s="1"/>
  <c r="E122" i="88" s="1"/>
  <c r="G122" i="88" s="1"/>
  <c r="C122" i="89" s="1"/>
  <c r="E122" i="89" s="1"/>
  <c r="G122" i="89" s="1"/>
  <c r="E122" i="90" s="1"/>
  <c r="G122" i="90" s="1"/>
  <c r="E122" i="91" s="1"/>
  <c r="G122" i="91" s="1"/>
  <c r="C122" i="92" s="1"/>
  <c r="E122" i="92" s="1"/>
  <c r="G122" i="92" s="1"/>
  <c r="E122" i="93" s="1"/>
  <c r="G122" i="93" s="1"/>
  <c r="C122" i="94" s="1"/>
  <c r="E122" i="94" s="1"/>
  <c r="G122" i="94" s="1"/>
  <c r="C122" i="95" s="1"/>
  <c r="E122" i="95" s="1"/>
  <c r="G122" i="95" s="1"/>
  <c r="C122" i="96" s="1"/>
  <c r="E122" i="96" s="1"/>
  <c r="G122" i="96" s="1"/>
  <c r="C122" i="87"/>
  <c r="C204" i="87"/>
  <c r="E204" i="87" s="1"/>
  <c r="G204" i="87" s="1"/>
  <c r="C204" i="88" s="1"/>
  <c r="E204" i="88" s="1"/>
  <c r="G204" i="88" s="1"/>
  <c r="C204" i="89" s="1"/>
  <c r="E204" i="89" s="1"/>
  <c r="G204" i="89" s="1"/>
  <c r="E204" i="90" s="1"/>
  <c r="G204" i="90" s="1"/>
  <c r="E204" i="91" s="1"/>
  <c r="G204" i="91" s="1"/>
  <c r="C204" i="92" s="1"/>
  <c r="E204" i="92" s="1"/>
  <c r="G204" i="92" s="1"/>
  <c r="E204" i="93" s="1"/>
  <c r="G204" i="93" s="1"/>
  <c r="C204" i="94" s="1"/>
  <c r="E204" i="94" s="1"/>
  <c r="G204" i="94" s="1"/>
  <c r="C204" i="95" s="1"/>
  <c r="E204" i="95" s="1"/>
  <c r="G204" i="95" s="1"/>
  <c r="C204" i="96" s="1"/>
  <c r="E204" i="96" s="1"/>
  <c r="G204" i="96" s="1"/>
  <c r="E201" i="87"/>
  <c r="G201" i="87" s="1"/>
  <c r="C201" i="88" s="1"/>
  <c r="E201" i="88" s="1"/>
  <c r="G201" i="88" s="1"/>
  <c r="C201" i="89" s="1"/>
  <c r="E201" i="89" s="1"/>
  <c r="G201" i="89" s="1"/>
  <c r="E201" i="90" s="1"/>
  <c r="G201" i="90" s="1"/>
  <c r="E201" i="91" s="1"/>
  <c r="G201" i="91" s="1"/>
  <c r="C201" i="92" s="1"/>
  <c r="E201" i="92" s="1"/>
  <c r="G201" i="92" s="1"/>
  <c r="E201" i="93" s="1"/>
  <c r="G201" i="93" s="1"/>
  <c r="C201" i="94" s="1"/>
  <c r="E201" i="94" s="1"/>
  <c r="G201" i="94" s="1"/>
  <c r="C201" i="95" s="1"/>
  <c r="E201" i="95" s="1"/>
  <c r="G201" i="95" s="1"/>
  <c r="C201" i="96" s="1"/>
  <c r="E201" i="96" s="1"/>
  <c r="G201" i="96" s="1"/>
  <c r="C201" i="87"/>
  <c r="C114" i="87"/>
  <c r="E114" i="87" s="1"/>
  <c r="G114" i="87" s="1"/>
  <c r="C114" i="88" s="1"/>
  <c r="E114" i="88" s="1"/>
  <c r="G114" i="88" s="1"/>
  <c r="C114" i="89" s="1"/>
  <c r="E114" i="89" s="1"/>
  <c r="G114" i="89" s="1"/>
  <c r="E114" i="90" s="1"/>
  <c r="G114" i="90" s="1"/>
  <c r="E114" i="91" s="1"/>
  <c r="G114" i="91" s="1"/>
  <c r="C114" i="92" s="1"/>
  <c r="E114" i="92" s="1"/>
  <c r="G114" i="92" s="1"/>
  <c r="E114" i="93" s="1"/>
  <c r="G114" i="93" s="1"/>
  <c r="C114" i="94" s="1"/>
  <c r="E114" i="94" s="1"/>
  <c r="G114" i="94" s="1"/>
  <c r="C114" i="95" s="1"/>
  <c r="E114" i="95" s="1"/>
  <c r="G114" i="95" s="1"/>
  <c r="C114" i="96" s="1"/>
  <c r="E114" i="96" s="1"/>
  <c r="G114" i="96" s="1"/>
  <c r="E76" i="87"/>
  <c r="G76" i="87" s="1"/>
  <c r="C76" i="88" s="1"/>
  <c r="E76" i="88" s="1"/>
  <c r="G76" i="88" s="1"/>
  <c r="C76" i="89" s="1"/>
  <c r="E76" i="89" s="1"/>
  <c r="G76" i="89" s="1"/>
  <c r="E76" i="90" s="1"/>
  <c r="G76" i="90" s="1"/>
  <c r="E76" i="91" s="1"/>
  <c r="G76" i="91" s="1"/>
  <c r="C76" i="92" s="1"/>
  <c r="E76" i="92" s="1"/>
  <c r="G76" i="92" s="1"/>
  <c r="E76" i="93" s="1"/>
  <c r="G76" i="93" s="1"/>
  <c r="C76" i="94" s="1"/>
  <c r="E76" i="94" s="1"/>
  <c r="G76" i="94" s="1"/>
  <c r="C76" i="95" s="1"/>
  <c r="E76" i="95" s="1"/>
  <c r="G76" i="95" s="1"/>
  <c r="C76" i="96" s="1"/>
  <c r="E76" i="96" s="1"/>
  <c r="G76" i="96" s="1"/>
  <c r="C76" i="87"/>
  <c r="C139" i="87"/>
  <c r="E139" i="87" s="1"/>
  <c r="G139" i="87" s="1"/>
  <c r="C139" i="88" s="1"/>
  <c r="E139" i="88" s="1"/>
  <c r="G139" i="88" s="1"/>
  <c r="C139" i="89" s="1"/>
  <c r="E139" i="89" s="1"/>
  <c r="G139" i="89" s="1"/>
  <c r="E139" i="90" s="1"/>
  <c r="G139" i="90" s="1"/>
  <c r="E139" i="91" s="1"/>
  <c r="G139" i="91" s="1"/>
  <c r="C139" i="92" s="1"/>
  <c r="E139" i="92" s="1"/>
  <c r="G139" i="92" s="1"/>
  <c r="E139" i="93" s="1"/>
  <c r="G139" i="93" s="1"/>
  <c r="C139" i="94" s="1"/>
  <c r="E139" i="94" s="1"/>
  <c r="G139" i="94" s="1"/>
  <c r="C139" i="95" s="1"/>
  <c r="E139" i="95" s="1"/>
  <c r="G139" i="95" s="1"/>
  <c r="C139" i="96" s="1"/>
  <c r="E139" i="96" s="1"/>
  <c r="G139" i="96" s="1"/>
  <c r="E58" i="87"/>
  <c r="G58" i="87" s="1"/>
  <c r="C58" i="88" s="1"/>
  <c r="E58" i="88" s="1"/>
  <c r="G58" i="88" s="1"/>
  <c r="C58" i="89" s="1"/>
  <c r="E58" i="89" s="1"/>
  <c r="G58" i="89" s="1"/>
  <c r="E58" i="90" s="1"/>
  <c r="G58" i="90" s="1"/>
  <c r="E58" i="91" s="1"/>
  <c r="G58" i="91" s="1"/>
  <c r="C58" i="92" s="1"/>
  <c r="E58" i="92" s="1"/>
  <c r="G58" i="92" s="1"/>
  <c r="E58" i="93" s="1"/>
  <c r="G58" i="93" s="1"/>
  <c r="C58" i="94" s="1"/>
  <c r="E58" i="94" s="1"/>
  <c r="G58" i="94" s="1"/>
  <c r="C58" i="95" s="1"/>
  <c r="E58" i="95" s="1"/>
  <c r="G58" i="95" s="1"/>
  <c r="C58" i="96" s="1"/>
  <c r="E58" i="96" s="1"/>
  <c r="G58" i="96" s="1"/>
  <c r="C58" i="87"/>
  <c r="C64" i="87"/>
  <c r="E64" i="87" s="1"/>
  <c r="G64" i="87" s="1"/>
  <c r="C64" i="88" s="1"/>
  <c r="E64" i="88" s="1"/>
  <c r="G64" i="88" s="1"/>
  <c r="C64" i="89" s="1"/>
  <c r="E64" i="89" s="1"/>
  <c r="G64" i="89" s="1"/>
  <c r="E64" i="90" s="1"/>
  <c r="G64" i="90" s="1"/>
  <c r="E64" i="91" s="1"/>
  <c r="G64" i="91" s="1"/>
  <c r="C64" i="92" s="1"/>
  <c r="E64" i="92" s="1"/>
  <c r="G64" i="92" s="1"/>
  <c r="E64" i="93" s="1"/>
  <c r="G64" i="93" s="1"/>
  <c r="C64" i="94" s="1"/>
  <c r="E64" i="94" s="1"/>
  <c r="G64" i="94" s="1"/>
  <c r="C64" i="95" s="1"/>
  <c r="E64" i="95" s="1"/>
  <c r="G64" i="95" s="1"/>
  <c r="C64" i="96" s="1"/>
  <c r="E64" i="96" s="1"/>
  <c r="G64" i="96" s="1"/>
  <c r="E126" i="87"/>
  <c r="G126" i="87" s="1"/>
  <c r="C126" i="88" s="1"/>
  <c r="E126" i="88" s="1"/>
  <c r="G126" i="88" s="1"/>
  <c r="C126" i="89" s="1"/>
  <c r="E126" i="89" s="1"/>
  <c r="G126" i="89" s="1"/>
  <c r="E126" i="90" s="1"/>
  <c r="G126" i="90" s="1"/>
  <c r="E126" i="91" s="1"/>
  <c r="G126" i="91" s="1"/>
  <c r="C126" i="92" s="1"/>
  <c r="E126" i="92" s="1"/>
  <c r="G126" i="92" s="1"/>
  <c r="E126" i="93" s="1"/>
  <c r="G126" i="93" s="1"/>
  <c r="C126" i="94" s="1"/>
  <c r="E126" i="94" s="1"/>
  <c r="G126" i="94" s="1"/>
  <c r="C126" i="95" s="1"/>
  <c r="E126" i="95" s="1"/>
  <c r="G126" i="95" s="1"/>
  <c r="C126" i="96" s="1"/>
  <c r="E126" i="96" s="1"/>
  <c r="G126" i="96" s="1"/>
  <c r="C126" i="87"/>
  <c r="C120" i="87"/>
  <c r="E120" i="87" s="1"/>
  <c r="G120" i="87" s="1"/>
  <c r="C120" i="88" s="1"/>
  <c r="E120" i="88" s="1"/>
  <c r="G120" i="88" s="1"/>
  <c r="C120" i="89" s="1"/>
  <c r="E120" i="89" s="1"/>
  <c r="G120" i="89" s="1"/>
  <c r="E120" i="90" s="1"/>
  <c r="G120" i="90" s="1"/>
  <c r="E120" i="91" s="1"/>
  <c r="G120" i="91" s="1"/>
  <c r="C120" i="92" s="1"/>
  <c r="E120" i="92" s="1"/>
  <c r="G120" i="92" s="1"/>
  <c r="E120" i="93" s="1"/>
  <c r="G120" i="93" s="1"/>
  <c r="C120" i="94" s="1"/>
  <c r="E120" i="94" s="1"/>
  <c r="G120" i="94" s="1"/>
  <c r="C120" i="95" s="1"/>
  <c r="E120" i="95" s="1"/>
  <c r="G120" i="95" s="1"/>
  <c r="C120" i="96" s="1"/>
  <c r="E120" i="96" s="1"/>
  <c r="G120" i="96" s="1"/>
  <c r="E188" i="87"/>
  <c r="G188" i="87" s="1"/>
  <c r="C188" i="88" s="1"/>
  <c r="E188" i="88" s="1"/>
  <c r="G188" i="88" s="1"/>
  <c r="C188" i="89" s="1"/>
  <c r="E188" i="89" s="1"/>
  <c r="G188" i="89" s="1"/>
  <c r="E188" i="90" s="1"/>
  <c r="G188" i="90" s="1"/>
  <c r="E188" i="91" s="1"/>
  <c r="G188" i="91" s="1"/>
  <c r="C188" i="92" s="1"/>
  <c r="E188" i="92" s="1"/>
  <c r="G188" i="92" s="1"/>
  <c r="E188" i="93" s="1"/>
  <c r="G188" i="93" s="1"/>
  <c r="C188" i="94" s="1"/>
  <c r="E188" i="94" s="1"/>
  <c r="G188" i="94" s="1"/>
  <c r="C188" i="95" s="1"/>
  <c r="E188" i="95" s="1"/>
  <c r="G188" i="95" s="1"/>
  <c r="C188" i="96" s="1"/>
  <c r="E188" i="96" s="1"/>
  <c r="G188" i="96" s="1"/>
  <c r="C188" i="87"/>
  <c r="C52" i="87"/>
  <c r="E52" i="87" s="1"/>
  <c r="G52" i="87" s="1"/>
  <c r="C52" i="88" s="1"/>
  <c r="E52" i="88" s="1"/>
  <c r="G52" i="88" s="1"/>
  <c r="C52" i="89" s="1"/>
  <c r="E52" i="89" s="1"/>
  <c r="G52" i="89" s="1"/>
  <c r="E52" i="90" s="1"/>
  <c r="G52" i="90" s="1"/>
  <c r="E52" i="91" s="1"/>
  <c r="G52" i="91" s="1"/>
  <c r="C52" i="92" s="1"/>
  <c r="E52" i="92" s="1"/>
  <c r="G52" i="92" s="1"/>
  <c r="E52" i="93" s="1"/>
  <c r="G52" i="93" s="1"/>
  <c r="C52" i="94" s="1"/>
  <c r="E52" i="94" s="1"/>
  <c r="G52" i="94" s="1"/>
  <c r="C52" i="95" s="1"/>
  <c r="E52" i="95" s="1"/>
  <c r="G52" i="95" s="1"/>
  <c r="C52" i="96" s="1"/>
  <c r="E52" i="96" s="1"/>
  <c r="G52" i="96" s="1"/>
  <c r="E111" i="87"/>
  <c r="G111" i="87" s="1"/>
  <c r="C111" i="88" s="1"/>
  <c r="E111" i="88" s="1"/>
  <c r="G111" i="88" s="1"/>
  <c r="C111" i="89" s="1"/>
  <c r="E111" i="89" s="1"/>
  <c r="G111" i="89" s="1"/>
  <c r="E111" i="90" s="1"/>
  <c r="G111" i="90" s="1"/>
  <c r="E111" i="91" s="1"/>
  <c r="G111" i="91" s="1"/>
  <c r="C111" i="92" s="1"/>
  <c r="E111" i="92" s="1"/>
  <c r="G111" i="92" s="1"/>
  <c r="E111" i="93" s="1"/>
  <c r="G111" i="93" s="1"/>
  <c r="C111" i="94" s="1"/>
  <c r="E111" i="94" s="1"/>
  <c r="G111" i="94" s="1"/>
  <c r="C111" i="95" s="1"/>
  <c r="E111" i="95" s="1"/>
  <c r="G111" i="95" s="1"/>
  <c r="C111" i="96" s="1"/>
  <c r="E111" i="96" s="1"/>
  <c r="G111" i="96" s="1"/>
  <c r="C111" i="87"/>
  <c r="C25" i="87"/>
  <c r="E25" i="87" s="1"/>
  <c r="G25" i="87" s="1"/>
  <c r="C25" i="88" s="1"/>
  <c r="E25" i="88" s="1"/>
  <c r="G25" i="88" s="1"/>
  <c r="C25" i="89" s="1"/>
  <c r="E25" i="89" s="1"/>
  <c r="G25" i="89" s="1"/>
  <c r="E25" i="90" s="1"/>
  <c r="G25" i="90" s="1"/>
  <c r="E25" i="91" s="1"/>
  <c r="G25" i="91" s="1"/>
  <c r="C25" i="92" s="1"/>
  <c r="E25" i="92" s="1"/>
  <c r="G25" i="92" s="1"/>
  <c r="E25" i="93" s="1"/>
  <c r="G25" i="93" s="1"/>
  <c r="C25" i="94" s="1"/>
  <c r="E25" i="94" s="1"/>
  <c r="G25" i="94" s="1"/>
  <c r="C25" i="95" s="1"/>
  <c r="E25" i="95" s="1"/>
  <c r="G25" i="95" s="1"/>
  <c r="C25" i="96" s="1"/>
  <c r="E25" i="96" s="1"/>
  <c r="G25" i="96" s="1"/>
  <c r="E93" i="87"/>
  <c r="G93" i="87" s="1"/>
  <c r="C93" i="88" s="1"/>
  <c r="E93" i="88" s="1"/>
  <c r="G93" i="88" s="1"/>
  <c r="C93" i="89" s="1"/>
  <c r="E93" i="89" s="1"/>
  <c r="G93" i="89" s="1"/>
  <c r="E93" i="90" s="1"/>
  <c r="G93" i="90" s="1"/>
  <c r="E93" i="91" s="1"/>
  <c r="G93" i="91" s="1"/>
  <c r="C93" i="92" s="1"/>
  <c r="E93" i="92" s="1"/>
  <c r="G93" i="92" s="1"/>
  <c r="E93" i="93" s="1"/>
  <c r="G93" i="93" s="1"/>
  <c r="C93" i="94" s="1"/>
  <c r="E93" i="94" s="1"/>
  <c r="G93" i="94" s="1"/>
  <c r="C93" i="95" s="1"/>
  <c r="E93" i="95" s="1"/>
  <c r="G93" i="95" s="1"/>
  <c r="C93" i="96" s="1"/>
  <c r="E93" i="96" s="1"/>
  <c r="G93" i="96" s="1"/>
  <c r="C93" i="87"/>
  <c r="C147" i="87"/>
  <c r="E147" i="87" s="1"/>
  <c r="G147" i="87" s="1"/>
  <c r="C147" i="88" s="1"/>
  <c r="E147" i="88" s="1"/>
  <c r="G147" i="88" s="1"/>
  <c r="C147" i="89" s="1"/>
  <c r="E147" i="89" s="1"/>
  <c r="G147" i="89" s="1"/>
  <c r="E147" i="90" s="1"/>
  <c r="G147" i="90" s="1"/>
  <c r="E147" i="91" s="1"/>
  <c r="G147" i="91" s="1"/>
  <c r="C147" i="92" s="1"/>
  <c r="E147" i="92" s="1"/>
  <c r="G147" i="92" s="1"/>
  <c r="E147" i="93" s="1"/>
  <c r="G147" i="93" s="1"/>
  <c r="C147" i="94" s="1"/>
  <c r="E147" i="94" s="1"/>
  <c r="G147" i="94" s="1"/>
  <c r="C147" i="95" s="1"/>
  <c r="E147" i="95" s="1"/>
  <c r="G147" i="95" s="1"/>
  <c r="C147" i="96" s="1"/>
  <c r="E147" i="96" s="1"/>
  <c r="G147" i="96" s="1"/>
  <c r="E15" i="87"/>
  <c r="G15" i="87" s="1"/>
  <c r="C15" i="88" s="1"/>
  <c r="E15" i="88" s="1"/>
  <c r="G15" i="88" s="1"/>
  <c r="C15" i="89" s="1"/>
  <c r="E15" i="89" s="1"/>
  <c r="G15" i="89" s="1"/>
  <c r="E15" i="90" s="1"/>
  <c r="G15" i="90" s="1"/>
  <c r="E15" i="91" s="1"/>
  <c r="G15" i="91" s="1"/>
  <c r="C15" i="92" s="1"/>
  <c r="E15" i="92" s="1"/>
  <c r="G15" i="92" s="1"/>
  <c r="E15" i="93" s="1"/>
  <c r="G15" i="93" s="1"/>
  <c r="C15" i="94" s="1"/>
  <c r="E15" i="94" s="1"/>
  <c r="G15" i="94" s="1"/>
  <c r="C15" i="95" s="1"/>
  <c r="E15" i="95" s="1"/>
  <c r="G15" i="95" s="1"/>
  <c r="C15" i="96" s="1"/>
  <c r="E15" i="96" s="1"/>
  <c r="G15" i="96" s="1"/>
  <c r="C15" i="87"/>
  <c r="C98" i="87"/>
  <c r="E98" i="87" s="1"/>
  <c r="G98" i="87" s="1"/>
  <c r="C98" i="88" s="1"/>
  <c r="E98" i="88" s="1"/>
  <c r="G98" i="88" s="1"/>
  <c r="C98" i="89" s="1"/>
  <c r="E98" i="89" s="1"/>
  <c r="G98" i="89" s="1"/>
  <c r="E98" i="90" s="1"/>
  <c r="G98" i="90" s="1"/>
  <c r="E98" i="91" s="1"/>
  <c r="G98" i="91" s="1"/>
  <c r="C98" i="92" s="1"/>
  <c r="E98" i="92" s="1"/>
  <c r="G98" i="92" s="1"/>
  <c r="E98" i="93" s="1"/>
  <c r="G98" i="93" s="1"/>
  <c r="C98" i="94" s="1"/>
  <c r="E98" i="94" s="1"/>
  <c r="G98" i="94" s="1"/>
  <c r="C98" i="95" s="1"/>
  <c r="E98" i="95" s="1"/>
  <c r="G98" i="95" s="1"/>
  <c r="C98" i="96" s="1"/>
  <c r="E98" i="96" s="1"/>
  <c r="G98" i="96" s="1"/>
  <c r="E170" i="87"/>
  <c r="G170" i="87" s="1"/>
  <c r="C170" i="88" s="1"/>
  <c r="E170" i="88" s="1"/>
  <c r="G170" i="88" s="1"/>
  <c r="C170" i="89" s="1"/>
  <c r="E170" i="89" s="1"/>
  <c r="G170" i="89" s="1"/>
  <c r="E170" i="90" s="1"/>
  <c r="G170" i="90" s="1"/>
  <c r="E170" i="91" s="1"/>
  <c r="G170" i="91" s="1"/>
  <c r="C170" i="92" s="1"/>
  <c r="E170" i="92" s="1"/>
  <c r="G170" i="92" s="1"/>
  <c r="E170" i="93" s="1"/>
  <c r="G170" i="93" s="1"/>
  <c r="C170" i="94" s="1"/>
  <c r="E170" i="94" s="1"/>
  <c r="G170" i="94" s="1"/>
  <c r="C170" i="95" s="1"/>
  <c r="E170" i="95" s="1"/>
  <c r="G170" i="95" s="1"/>
  <c r="C170" i="96" s="1"/>
  <c r="E170" i="96" s="1"/>
  <c r="G170" i="96" s="1"/>
  <c r="C170" i="87"/>
  <c r="C140" i="87"/>
  <c r="E140" i="87" s="1"/>
  <c r="G140" i="87" s="1"/>
  <c r="C140" i="88" s="1"/>
  <c r="E140" i="88" s="1"/>
  <c r="G140" i="88" s="1"/>
  <c r="C140" i="89" s="1"/>
  <c r="E140" i="89" s="1"/>
  <c r="G140" i="89" s="1"/>
  <c r="E140" i="90" s="1"/>
  <c r="G140" i="90" s="1"/>
  <c r="E140" i="91" s="1"/>
  <c r="G140" i="91" s="1"/>
  <c r="C140" i="92" s="1"/>
  <c r="E140" i="92" s="1"/>
  <c r="G140" i="92" s="1"/>
  <c r="E140" i="93" s="1"/>
  <c r="G140" i="93" s="1"/>
  <c r="C140" i="94" s="1"/>
  <c r="E140" i="94" s="1"/>
  <c r="G140" i="94" s="1"/>
  <c r="C140" i="95" s="1"/>
  <c r="E140" i="95" s="1"/>
  <c r="G140" i="95" s="1"/>
  <c r="C140" i="96" s="1"/>
  <c r="E140" i="96" s="1"/>
  <c r="G140" i="96" s="1"/>
  <c r="E85" i="87"/>
  <c r="G85" i="87" s="1"/>
  <c r="C85" i="88" s="1"/>
  <c r="E85" i="88" s="1"/>
  <c r="G85" i="88" s="1"/>
  <c r="C85" i="89" s="1"/>
  <c r="E85" i="89" s="1"/>
  <c r="G85" i="89" s="1"/>
  <c r="E85" i="90" s="1"/>
  <c r="G85" i="90" s="1"/>
  <c r="E85" i="91" s="1"/>
  <c r="G85" i="91" s="1"/>
  <c r="C85" i="92" s="1"/>
  <c r="E85" i="92" s="1"/>
  <c r="G85" i="92" s="1"/>
  <c r="E85" i="93" s="1"/>
  <c r="G85" i="93" s="1"/>
  <c r="C85" i="94" s="1"/>
  <c r="E85" i="94" s="1"/>
  <c r="G85" i="94" s="1"/>
  <c r="C85" i="95" s="1"/>
  <c r="E85" i="95" s="1"/>
  <c r="G85" i="95" s="1"/>
  <c r="C85" i="96" s="1"/>
  <c r="E85" i="96" s="1"/>
  <c r="G85" i="96" s="1"/>
  <c r="C85" i="87"/>
  <c r="C210" i="87"/>
  <c r="E210" i="87" s="1"/>
  <c r="G210" i="87" s="1"/>
  <c r="C210" i="88" s="1"/>
  <c r="E210" i="88" s="1"/>
  <c r="G210" i="88" s="1"/>
  <c r="C210" i="89" s="1"/>
  <c r="E210" i="89" s="1"/>
  <c r="G210" i="89" s="1"/>
  <c r="E210" i="90" s="1"/>
  <c r="G210" i="90" s="1"/>
  <c r="E210" i="91" s="1"/>
  <c r="G210" i="91" s="1"/>
  <c r="C210" i="92" s="1"/>
  <c r="E210" i="92" s="1"/>
  <c r="G210" i="92" s="1"/>
  <c r="E210" i="93" s="1"/>
  <c r="G210" i="93" s="1"/>
  <c r="C210" i="94" s="1"/>
  <c r="E210" i="94" s="1"/>
  <c r="G210" i="94" s="1"/>
  <c r="C210" i="95" s="1"/>
  <c r="E210" i="95" s="1"/>
  <c r="G210" i="95" s="1"/>
  <c r="C210" i="96" s="1"/>
  <c r="E210" i="96" s="1"/>
  <c r="G210" i="96" s="1"/>
  <c r="E179" i="87"/>
  <c r="G179" i="87" s="1"/>
  <c r="C179" i="88" s="1"/>
  <c r="E179" i="88" s="1"/>
  <c r="G179" i="88" s="1"/>
  <c r="C179" i="89" s="1"/>
  <c r="E179" i="89" s="1"/>
  <c r="G179" i="89" s="1"/>
  <c r="E179" i="90" s="1"/>
  <c r="G179" i="90" s="1"/>
  <c r="E179" i="91" s="1"/>
  <c r="G179" i="91" s="1"/>
  <c r="C179" i="92" s="1"/>
  <c r="E179" i="92" s="1"/>
  <c r="G179" i="92" s="1"/>
  <c r="E179" i="93" s="1"/>
  <c r="G179" i="93" s="1"/>
  <c r="C179" i="94" s="1"/>
  <c r="E179" i="94" s="1"/>
  <c r="G179" i="94" s="1"/>
  <c r="C179" i="95" s="1"/>
  <c r="E179" i="95" s="1"/>
  <c r="G179" i="95" s="1"/>
  <c r="C179" i="96" s="1"/>
  <c r="E179" i="96" s="1"/>
  <c r="G179" i="96" s="1"/>
  <c r="C179" i="87"/>
  <c r="C128" i="87"/>
  <c r="E128" i="87" s="1"/>
  <c r="G128" i="87" s="1"/>
  <c r="C128" i="88" s="1"/>
  <c r="E128" i="88" s="1"/>
  <c r="G128" i="88" s="1"/>
  <c r="C128" i="89" s="1"/>
  <c r="E128" i="89" s="1"/>
  <c r="G128" i="89" s="1"/>
  <c r="E128" i="90" s="1"/>
  <c r="G128" i="90" s="1"/>
  <c r="E128" i="91" s="1"/>
  <c r="G128" i="91" s="1"/>
  <c r="C128" i="92" s="1"/>
  <c r="E128" i="92" s="1"/>
  <c r="G128" i="92" s="1"/>
  <c r="E128" i="93" s="1"/>
  <c r="G128" i="93" s="1"/>
  <c r="C128" i="94" s="1"/>
  <c r="E128" i="94" s="1"/>
  <c r="G128" i="94" s="1"/>
  <c r="C128" i="95" s="1"/>
  <c r="E128" i="95" s="1"/>
  <c r="G128" i="95" s="1"/>
  <c r="C128" i="96" s="1"/>
  <c r="E128" i="96" s="1"/>
  <c r="G128" i="96" s="1"/>
  <c r="E117" i="87"/>
  <c r="G117" i="87" s="1"/>
  <c r="C117" i="88" s="1"/>
  <c r="E117" i="88" s="1"/>
  <c r="G117" i="88" s="1"/>
  <c r="C117" i="89" s="1"/>
  <c r="E117" i="89" s="1"/>
  <c r="G117" i="89" s="1"/>
  <c r="E117" i="90" s="1"/>
  <c r="G117" i="90" s="1"/>
  <c r="E117" i="91" s="1"/>
  <c r="G117" i="91" s="1"/>
  <c r="C117" i="92" s="1"/>
  <c r="E117" i="92" s="1"/>
  <c r="G117" i="92" s="1"/>
  <c r="E117" i="93" s="1"/>
  <c r="G117" i="93" s="1"/>
  <c r="C117" i="94" s="1"/>
  <c r="E117" i="94" s="1"/>
  <c r="G117" i="94" s="1"/>
  <c r="C117" i="95" s="1"/>
  <c r="E117" i="95" s="1"/>
  <c r="G117" i="95" s="1"/>
  <c r="C117" i="96" s="1"/>
  <c r="E117" i="96" s="1"/>
  <c r="G117" i="96" s="1"/>
  <c r="C117" i="87"/>
  <c r="C102" i="87"/>
  <c r="E102" i="87" s="1"/>
  <c r="G102" i="87" s="1"/>
  <c r="C102" i="88" s="1"/>
  <c r="E102" i="88" s="1"/>
  <c r="G102" i="88" s="1"/>
  <c r="C102" i="89" s="1"/>
  <c r="E102" i="89" s="1"/>
  <c r="G102" i="89" s="1"/>
  <c r="E102" i="90" s="1"/>
  <c r="G102" i="90" s="1"/>
  <c r="E102" i="91" s="1"/>
  <c r="G102" i="91" s="1"/>
  <c r="C102" i="92" s="1"/>
  <c r="E102" i="92" s="1"/>
  <c r="G102" i="92" s="1"/>
  <c r="E102" i="93" s="1"/>
  <c r="G102" i="93" s="1"/>
  <c r="C102" i="94" s="1"/>
  <c r="E102" i="94" s="1"/>
  <c r="G102" i="94" s="1"/>
  <c r="C102" i="95" s="1"/>
  <c r="E102" i="95" s="1"/>
  <c r="G102" i="95" s="1"/>
  <c r="C102" i="96" s="1"/>
  <c r="E102" i="96" s="1"/>
  <c r="G102" i="96" s="1"/>
  <c r="E89" i="87"/>
  <c r="G89" i="87" s="1"/>
  <c r="C89" i="88" s="1"/>
  <c r="E89" i="88" s="1"/>
  <c r="G89" i="88" s="1"/>
  <c r="C89" i="89" s="1"/>
  <c r="E89" i="89" s="1"/>
  <c r="G89" i="89" s="1"/>
  <c r="E89" i="90" s="1"/>
  <c r="G89" i="90" s="1"/>
  <c r="E89" i="91" s="1"/>
  <c r="G89" i="91" s="1"/>
  <c r="C89" i="92" s="1"/>
  <c r="E89" i="92" s="1"/>
  <c r="G89" i="92" s="1"/>
  <c r="E89" i="93" s="1"/>
  <c r="G89" i="93" s="1"/>
  <c r="C89" i="94" s="1"/>
  <c r="E89" i="94" s="1"/>
  <c r="G89" i="94" s="1"/>
  <c r="C89" i="95" s="1"/>
  <c r="E89" i="95" s="1"/>
  <c r="G89" i="95" s="1"/>
  <c r="C89" i="96" s="1"/>
  <c r="E89" i="96" s="1"/>
  <c r="G89" i="96" s="1"/>
  <c r="C89" i="87"/>
  <c r="C104" i="87"/>
  <c r="E104" i="87" s="1"/>
  <c r="G104" i="87" s="1"/>
  <c r="C104" i="88" s="1"/>
  <c r="E104" i="88" s="1"/>
  <c r="G104" i="88" s="1"/>
  <c r="C104" i="89" s="1"/>
  <c r="E104" i="89" s="1"/>
  <c r="G104" i="89" s="1"/>
  <c r="E104" i="90" s="1"/>
  <c r="G104" i="90" s="1"/>
  <c r="E104" i="91" s="1"/>
  <c r="G104" i="91" s="1"/>
  <c r="C104" i="92" s="1"/>
  <c r="E104" i="92" s="1"/>
  <c r="G104" i="92" s="1"/>
  <c r="E104" i="93" s="1"/>
  <c r="G104" i="93" s="1"/>
  <c r="C104" i="94" s="1"/>
  <c r="E104" i="94" s="1"/>
  <c r="G104" i="94" s="1"/>
  <c r="C104" i="95" s="1"/>
  <c r="E104" i="95" s="1"/>
  <c r="G104" i="95" s="1"/>
  <c r="C104" i="96" s="1"/>
  <c r="E104" i="96" s="1"/>
  <c r="G104" i="96" s="1"/>
  <c r="E143" i="87"/>
  <c r="G143" i="87" s="1"/>
  <c r="C143" i="88" s="1"/>
  <c r="E143" i="88" s="1"/>
  <c r="G143" i="88" s="1"/>
  <c r="C143" i="89" s="1"/>
  <c r="E143" i="89" s="1"/>
  <c r="G143" i="89" s="1"/>
  <c r="E143" i="90" s="1"/>
  <c r="G143" i="90" s="1"/>
  <c r="E143" i="91" s="1"/>
  <c r="G143" i="91" s="1"/>
  <c r="C143" i="92" s="1"/>
  <c r="E143" i="92" s="1"/>
  <c r="G143" i="92" s="1"/>
  <c r="E143" i="93" s="1"/>
  <c r="G143" i="93" s="1"/>
  <c r="C143" i="94" s="1"/>
  <c r="E143" i="94" s="1"/>
  <c r="G143" i="94" s="1"/>
  <c r="C143" i="95" s="1"/>
  <c r="E143" i="95" s="1"/>
  <c r="G143" i="95" s="1"/>
  <c r="C143" i="96" s="1"/>
  <c r="E143" i="96" s="1"/>
  <c r="G143" i="96" s="1"/>
  <c r="C143" i="87"/>
  <c r="C150" i="87"/>
  <c r="E150" i="87" s="1"/>
  <c r="G150" i="87" s="1"/>
  <c r="C150" i="88" s="1"/>
  <c r="E150" i="88" s="1"/>
  <c r="G150" i="88" s="1"/>
  <c r="C150" i="89" s="1"/>
  <c r="E150" i="89" s="1"/>
  <c r="G150" i="89" s="1"/>
  <c r="E150" i="90" s="1"/>
  <c r="G150" i="90" s="1"/>
  <c r="E150" i="91" s="1"/>
  <c r="G150" i="91" s="1"/>
  <c r="C150" i="92" s="1"/>
  <c r="E150" i="92" s="1"/>
  <c r="G150" i="92" s="1"/>
  <c r="E150" i="93" s="1"/>
  <c r="G150" i="93" s="1"/>
  <c r="C150" i="94" s="1"/>
  <c r="E150" i="94" s="1"/>
  <c r="G150" i="94" s="1"/>
  <c r="C150" i="95" s="1"/>
  <c r="E150" i="95" s="1"/>
  <c r="G150" i="95" s="1"/>
  <c r="C150" i="96" s="1"/>
  <c r="E150" i="96" s="1"/>
  <c r="G150" i="96" s="1"/>
  <c r="E37" i="87"/>
  <c r="G37" i="87" s="1"/>
  <c r="C37" i="88" s="1"/>
  <c r="E37" i="88" s="1"/>
  <c r="G37" i="88" s="1"/>
  <c r="C37" i="89" s="1"/>
  <c r="E37" i="89" s="1"/>
  <c r="G37" i="89" s="1"/>
  <c r="E37" i="90" s="1"/>
  <c r="G37" i="90" s="1"/>
  <c r="E37" i="91" s="1"/>
  <c r="G37" i="91" s="1"/>
  <c r="C37" i="92" s="1"/>
  <c r="E37" i="92" s="1"/>
  <c r="G37" i="92" s="1"/>
  <c r="E37" i="93" s="1"/>
  <c r="G37" i="93" s="1"/>
  <c r="C37" i="94" s="1"/>
  <c r="E37" i="94" s="1"/>
  <c r="G37" i="94" s="1"/>
  <c r="C37" i="95" s="1"/>
  <c r="E37" i="95" s="1"/>
  <c r="G37" i="95" s="1"/>
  <c r="C37" i="96" s="1"/>
  <c r="E37" i="96" s="1"/>
  <c r="G37" i="96" s="1"/>
  <c r="C37" i="87"/>
  <c r="C166" i="87"/>
  <c r="E166" i="87" s="1"/>
  <c r="G166" i="87" s="1"/>
  <c r="C166" i="88" s="1"/>
  <c r="E166" i="88" s="1"/>
  <c r="G166" i="88" s="1"/>
  <c r="C166" i="89" s="1"/>
  <c r="E166" i="89" s="1"/>
  <c r="G166" i="89" s="1"/>
  <c r="E166" i="90" s="1"/>
  <c r="G166" i="90" s="1"/>
  <c r="E166" i="91" s="1"/>
  <c r="G166" i="91" s="1"/>
  <c r="C166" i="92" s="1"/>
  <c r="E166" i="92" s="1"/>
  <c r="G166" i="92" s="1"/>
  <c r="E166" i="93" s="1"/>
  <c r="G166" i="93" s="1"/>
  <c r="C166" i="94" s="1"/>
  <c r="E166" i="94" s="1"/>
  <c r="G166" i="94" s="1"/>
  <c r="C166" i="95" s="1"/>
  <c r="E166" i="95" s="1"/>
  <c r="G166" i="95" s="1"/>
  <c r="C166" i="96" s="1"/>
  <c r="E166" i="96" s="1"/>
  <c r="G166" i="96" s="1"/>
  <c r="E116" i="87"/>
  <c r="G116" i="87" s="1"/>
  <c r="C116" i="88" s="1"/>
  <c r="E116" i="88" s="1"/>
  <c r="G116" i="88" s="1"/>
  <c r="C116" i="89" s="1"/>
  <c r="E116" i="89" s="1"/>
  <c r="G116" i="89" s="1"/>
  <c r="E116" i="90" s="1"/>
  <c r="G116" i="90" s="1"/>
  <c r="E116" i="91" s="1"/>
  <c r="G116" i="91" s="1"/>
  <c r="C116" i="92" s="1"/>
  <c r="E116" i="92" s="1"/>
  <c r="G116" i="92" s="1"/>
  <c r="E116" i="93" s="1"/>
  <c r="G116" i="93" s="1"/>
  <c r="C116" i="94" s="1"/>
  <c r="E116" i="94" s="1"/>
  <c r="G116" i="94" s="1"/>
  <c r="C116" i="95" s="1"/>
  <c r="E116" i="95" s="1"/>
  <c r="G116" i="95" s="1"/>
  <c r="C116" i="96" s="1"/>
  <c r="E116" i="96" s="1"/>
  <c r="G116" i="96" s="1"/>
  <c r="C116" i="87"/>
  <c r="C211" i="87"/>
  <c r="E211" i="87" s="1"/>
  <c r="G211" i="87" s="1"/>
  <c r="C211" i="88" s="1"/>
  <c r="E211" i="88" s="1"/>
  <c r="G211" i="88" s="1"/>
  <c r="C211" i="89" s="1"/>
  <c r="E211" i="89" s="1"/>
  <c r="G211" i="89" s="1"/>
  <c r="E211" i="90" s="1"/>
  <c r="G211" i="90" s="1"/>
  <c r="E211" i="91" s="1"/>
  <c r="G211" i="91" s="1"/>
  <c r="C211" i="92" s="1"/>
  <c r="E211" i="92" s="1"/>
  <c r="G211" i="92" s="1"/>
  <c r="E211" i="93" s="1"/>
  <c r="G211" i="93" s="1"/>
  <c r="C211" i="94" s="1"/>
  <c r="E211" i="94" s="1"/>
  <c r="G211" i="94" s="1"/>
  <c r="C211" i="95" s="1"/>
  <c r="E211" i="95" s="1"/>
  <c r="G211" i="95" s="1"/>
  <c r="C211" i="96" s="1"/>
  <c r="E211" i="96" s="1"/>
  <c r="G211" i="96" s="1"/>
  <c r="E91" i="87"/>
  <c r="G91" i="87" s="1"/>
  <c r="C91" i="88" s="1"/>
  <c r="E91" i="88" s="1"/>
  <c r="G91" i="88" s="1"/>
  <c r="C91" i="89" s="1"/>
  <c r="E91" i="89" s="1"/>
  <c r="G91" i="89" s="1"/>
  <c r="E91" i="90" s="1"/>
  <c r="G91" i="90" s="1"/>
  <c r="E91" i="91" s="1"/>
  <c r="G91" i="91" s="1"/>
  <c r="C91" i="92" s="1"/>
  <c r="E91" i="92" s="1"/>
  <c r="G91" i="92" s="1"/>
  <c r="E91" i="93" s="1"/>
  <c r="G91" i="93" s="1"/>
  <c r="C91" i="94" s="1"/>
  <c r="E91" i="94" s="1"/>
  <c r="G91" i="94" s="1"/>
  <c r="C91" i="95" s="1"/>
  <c r="E91" i="95" s="1"/>
  <c r="G91" i="95" s="1"/>
  <c r="C91" i="96" s="1"/>
  <c r="E91" i="96" s="1"/>
  <c r="G91" i="96" s="1"/>
  <c r="C91" i="87"/>
  <c r="C197" i="87"/>
  <c r="E197" i="87" s="1"/>
  <c r="G197" i="87" s="1"/>
  <c r="C197" i="88" s="1"/>
  <c r="E197" i="88" s="1"/>
  <c r="G197" i="88" s="1"/>
  <c r="C197" i="89" s="1"/>
  <c r="E197" i="89" s="1"/>
  <c r="G197" i="89" s="1"/>
  <c r="E197" i="90" s="1"/>
  <c r="G197" i="90" s="1"/>
  <c r="E197" i="91" s="1"/>
  <c r="G197" i="91" s="1"/>
  <c r="C197" i="92" s="1"/>
  <c r="E197" i="92" s="1"/>
  <c r="G197" i="92" s="1"/>
  <c r="E197" i="93" s="1"/>
  <c r="G197" i="93" s="1"/>
  <c r="C197" i="94" s="1"/>
  <c r="E197" i="94" s="1"/>
  <c r="G197" i="94" s="1"/>
  <c r="C197" i="95" s="1"/>
  <c r="E197" i="95" s="1"/>
  <c r="G197" i="95" s="1"/>
  <c r="C197" i="96" s="1"/>
  <c r="E197" i="96" s="1"/>
  <c r="G197" i="96" s="1"/>
  <c r="E171" i="87"/>
  <c r="G171" i="87" s="1"/>
  <c r="E171" i="88" s="1"/>
  <c r="G171" i="88" s="1"/>
  <c r="C171" i="89" s="1"/>
  <c r="E171" i="89" s="1"/>
  <c r="G171" i="89" s="1"/>
  <c r="E171" i="90" s="1"/>
  <c r="G171" i="90" s="1"/>
  <c r="E171" i="91" s="1"/>
  <c r="G171" i="91" s="1"/>
  <c r="C171" i="92" s="1"/>
  <c r="E171" i="92" s="1"/>
  <c r="G171" i="92" s="1"/>
  <c r="E171" i="93" s="1"/>
  <c r="G171" i="93" s="1"/>
  <c r="C171" i="94" s="1"/>
  <c r="E171" i="94" s="1"/>
  <c r="G171" i="94" s="1"/>
  <c r="C171" i="95" s="1"/>
  <c r="E171" i="95" s="1"/>
  <c r="G171" i="95" s="1"/>
  <c r="C171" i="96" s="1"/>
  <c r="E171" i="96" s="1"/>
  <c r="G171" i="96" s="1"/>
  <c r="C171" i="87"/>
  <c r="C174" i="87"/>
  <c r="E174" i="87" s="1"/>
  <c r="G174" i="87" s="1"/>
  <c r="C174" i="88" s="1"/>
  <c r="E174" i="88" s="1"/>
  <c r="G174" i="88" s="1"/>
  <c r="C174" i="89" s="1"/>
  <c r="E174" i="89" s="1"/>
  <c r="G174" i="89" s="1"/>
  <c r="E174" i="90" s="1"/>
  <c r="G174" i="90" s="1"/>
  <c r="E174" i="91" s="1"/>
  <c r="G174" i="91" s="1"/>
  <c r="C174" i="92" s="1"/>
  <c r="E174" i="92" s="1"/>
  <c r="G174" i="92" s="1"/>
  <c r="E174" i="93" s="1"/>
  <c r="G174" i="93" s="1"/>
  <c r="C174" i="94" s="1"/>
  <c r="E174" i="94" s="1"/>
  <c r="G174" i="94" s="1"/>
  <c r="C174" i="95" s="1"/>
  <c r="E174" i="95" s="1"/>
  <c r="G174" i="95" s="1"/>
  <c r="C174" i="96" s="1"/>
  <c r="E174" i="96" s="1"/>
  <c r="G174" i="96" s="1"/>
  <c r="E43" i="87"/>
  <c r="G43" i="87" s="1"/>
  <c r="C43" i="88" s="1"/>
  <c r="E43" i="88" s="1"/>
  <c r="G43" i="88" s="1"/>
  <c r="C43" i="89" s="1"/>
  <c r="E43" i="89" s="1"/>
  <c r="G43" i="89" s="1"/>
  <c r="E43" i="90" s="1"/>
  <c r="G43" i="90" s="1"/>
  <c r="E43" i="91" s="1"/>
  <c r="G43" i="91" s="1"/>
  <c r="C43" i="92" s="1"/>
  <c r="E43" i="92" s="1"/>
  <c r="G43" i="92" s="1"/>
  <c r="E43" i="93" s="1"/>
  <c r="G43" i="93" s="1"/>
  <c r="C43" i="94" s="1"/>
  <c r="E43" i="94" s="1"/>
  <c r="G43" i="94" s="1"/>
  <c r="C43" i="95" s="1"/>
  <c r="E43" i="95" s="1"/>
  <c r="G43" i="95" s="1"/>
  <c r="C43" i="96" s="1"/>
  <c r="E43" i="96" s="1"/>
  <c r="G43" i="96" s="1"/>
  <c r="C43" i="87"/>
  <c r="C61" i="87"/>
  <c r="E61" i="87" s="1"/>
  <c r="G61" i="87" s="1"/>
  <c r="C61" i="88" s="1"/>
  <c r="E61" i="88" s="1"/>
  <c r="G61" i="88" s="1"/>
  <c r="C61" i="89" s="1"/>
  <c r="E61" i="89" s="1"/>
  <c r="G61" i="89" s="1"/>
  <c r="E61" i="90" s="1"/>
  <c r="G61" i="90" s="1"/>
  <c r="E61" i="91" s="1"/>
  <c r="G61" i="91" s="1"/>
  <c r="C61" i="92" s="1"/>
  <c r="E61" i="92" s="1"/>
  <c r="G61" i="92" s="1"/>
  <c r="E61" i="93" s="1"/>
  <c r="G61" i="93" s="1"/>
  <c r="C61" i="94" s="1"/>
  <c r="E61" i="94" s="1"/>
  <c r="G61" i="94" s="1"/>
  <c r="C61" i="95" s="1"/>
  <c r="E61" i="95" s="1"/>
  <c r="G61" i="95" s="1"/>
  <c r="C61" i="96" s="1"/>
  <c r="E61" i="96" s="1"/>
  <c r="G61" i="96" s="1"/>
  <c r="E216" i="87"/>
  <c r="G216" i="87" s="1"/>
  <c r="C216" i="88" s="1"/>
  <c r="E216" i="88" s="1"/>
  <c r="G216" i="88" s="1"/>
  <c r="C216" i="89" s="1"/>
  <c r="E216" i="89" s="1"/>
  <c r="G216" i="89" s="1"/>
  <c r="E216" i="90" s="1"/>
  <c r="G216" i="90" s="1"/>
  <c r="E216" i="91" s="1"/>
  <c r="G216" i="91" s="1"/>
  <c r="C216" i="92" s="1"/>
  <c r="E216" i="92" s="1"/>
  <c r="G216" i="92" s="1"/>
  <c r="E216" i="93" s="1"/>
  <c r="G216" i="93" s="1"/>
  <c r="C216" i="94" s="1"/>
  <c r="E216" i="94" s="1"/>
  <c r="G216" i="94" s="1"/>
  <c r="C216" i="95" s="1"/>
  <c r="E216" i="95" s="1"/>
  <c r="G216" i="95" s="1"/>
  <c r="C216" i="96" s="1"/>
  <c r="E216" i="96" s="1"/>
  <c r="G216" i="96" s="1"/>
  <c r="C216" i="87"/>
  <c r="C72" i="87"/>
  <c r="E72" i="87" s="1"/>
  <c r="G72" i="87" s="1"/>
  <c r="C72" i="88" s="1"/>
  <c r="E72" i="88" s="1"/>
  <c r="G72" i="88" s="1"/>
  <c r="C72" i="89" s="1"/>
  <c r="E72" i="89" s="1"/>
  <c r="G72" i="89" s="1"/>
  <c r="E72" i="90" s="1"/>
  <c r="G72" i="90" s="1"/>
  <c r="E72" i="91" s="1"/>
  <c r="G72" i="91" s="1"/>
  <c r="C72" i="92" s="1"/>
  <c r="E72" i="92" s="1"/>
  <c r="G72" i="92" s="1"/>
  <c r="E72" i="93" s="1"/>
  <c r="G72" i="93" s="1"/>
  <c r="C72" i="94" s="1"/>
  <c r="E72" i="94" s="1"/>
  <c r="G72" i="94" s="1"/>
  <c r="C72" i="95" s="1"/>
  <c r="E72" i="95" s="1"/>
  <c r="G72" i="95" s="1"/>
  <c r="C72" i="96" s="1"/>
  <c r="E72" i="96" s="1"/>
  <c r="G72" i="96" s="1"/>
  <c r="E44" i="87"/>
  <c r="G44" i="87" s="1"/>
  <c r="C44" i="88" s="1"/>
  <c r="E44" i="88" s="1"/>
  <c r="G44" i="88" s="1"/>
  <c r="C44" i="89" s="1"/>
  <c r="E44" i="89" s="1"/>
  <c r="G44" i="89" s="1"/>
  <c r="E44" i="90" s="1"/>
  <c r="G44" i="90" s="1"/>
  <c r="E44" i="91" s="1"/>
  <c r="G44" i="91" s="1"/>
  <c r="C44" i="92" s="1"/>
  <c r="E44" i="92" s="1"/>
  <c r="G44" i="92" s="1"/>
  <c r="E44" i="93" s="1"/>
  <c r="G44" i="93" s="1"/>
  <c r="C44" i="94" s="1"/>
  <c r="E44" i="94" s="1"/>
  <c r="G44" i="94" s="1"/>
  <c r="C44" i="95" s="1"/>
  <c r="E44" i="95" s="1"/>
  <c r="G44" i="95" s="1"/>
  <c r="C44" i="96" s="1"/>
  <c r="E44" i="96" s="1"/>
  <c r="G44" i="96" s="1"/>
  <c r="C44" i="87"/>
  <c r="C206" i="87"/>
  <c r="E206" i="87" s="1"/>
  <c r="G206" i="87" s="1"/>
  <c r="C206" i="88" s="1"/>
  <c r="E206" i="88" s="1"/>
  <c r="G206" i="88" s="1"/>
  <c r="C206" i="89" s="1"/>
  <c r="E206" i="89" s="1"/>
  <c r="G206" i="89" s="1"/>
  <c r="E206" i="90" s="1"/>
  <c r="G206" i="90" s="1"/>
  <c r="E206" i="91" s="1"/>
  <c r="G206" i="91" s="1"/>
  <c r="C206" i="92" s="1"/>
  <c r="E206" i="92" s="1"/>
  <c r="G206" i="92" s="1"/>
  <c r="E206" i="93" s="1"/>
  <c r="G206" i="93" s="1"/>
  <c r="C206" i="94" s="1"/>
  <c r="E206" i="94" s="1"/>
  <c r="G206" i="94" s="1"/>
  <c r="C206" i="95" s="1"/>
  <c r="E206" i="95" s="1"/>
  <c r="G206" i="95" s="1"/>
  <c r="C206" i="96" s="1"/>
  <c r="E206" i="96" s="1"/>
  <c r="G206" i="96" s="1"/>
  <c r="E187" i="87"/>
  <c r="G187" i="87" s="1"/>
  <c r="C187" i="88" s="1"/>
  <c r="E187" i="88" s="1"/>
  <c r="G187" i="88" s="1"/>
  <c r="C187" i="89" s="1"/>
  <c r="E187" i="89" s="1"/>
  <c r="G187" i="89" s="1"/>
  <c r="E187" i="90" s="1"/>
  <c r="G187" i="90" s="1"/>
  <c r="E187" i="91" s="1"/>
  <c r="G187" i="91" s="1"/>
  <c r="C187" i="92" s="1"/>
  <c r="E187" i="92" s="1"/>
  <c r="G187" i="92" s="1"/>
  <c r="E187" i="93" s="1"/>
  <c r="G187" i="93" s="1"/>
  <c r="C187" i="94" s="1"/>
  <c r="E187" i="94" s="1"/>
  <c r="G187" i="94" s="1"/>
  <c r="C187" i="95" s="1"/>
  <c r="E187" i="95" s="1"/>
  <c r="G187" i="95" s="1"/>
  <c r="C187" i="96" s="1"/>
  <c r="E187" i="96" s="1"/>
  <c r="G187" i="96" s="1"/>
  <c r="C187" i="87"/>
  <c r="C164" i="87"/>
  <c r="E164" i="87" s="1"/>
  <c r="G164" i="87" s="1"/>
  <c r="C164" i="88" s="1"/>
  <c r="E164" i="88" s="1"/>
  <c r="G164" i="88" s="1"/>
  <c r="C164" i="89" s="1"/>
  <c r="E164" i="89" s="1"/>
  <c r="G164" i="89" s="1"/>
  <c r="E164" i="90" s="1"/>
  <c r="G164" i="90" s="1"/>
  <c r="E164" i="91" s="1"/>
  <c r="G164" i="91" s="1"/>
  <c r="C164" i="92" s="1"/>
  <c r="E164" i="92" s="1"/>
  <c r="G164" i="92" s="1"/>
  <c r="E164" i="93" s="1"/>
  <c r="G164" i="93" s="1"/>
  <c r="C164" i="94" s="1"/>
  <c r="E164" i="94" s="1"/>
  <c r="G164" i="94" s="1"/>
  <c r="C164" i="95" s="1"/>
  <c r="E164" i="95" s="1"/>
  <c r="G164" i="95" s="1"/>
  <c r="C164" i="96" s="1"/>
  <c r="E164" i="96" s="1"/>
  <c r="G164" i="96" s="1"/>
  <c r="E81" i="87"/>
  <c r="G81" i="87" s="1"/>
  <c r="C81" i="88" s="1"/>
  <c r="E81" i="88" s="1"/>
  <c r="G81" i="88" s="1"/>
  <c r="C81" i="89" s="1"/>
  <c r="E81" i="89" s="1"/>
  <c r="G81" i="89" s="1"/>
  <c r="E81" i="90" s="1"/>
  <c r="G81" i="90" s="1"/>
  <c r="E81" i="91" s="1"/>
  <c r="G81" i="91" s="1"/>
  <c r="C81" i="92" s="1"/>
  <c r="E81" i="92" s="1"/>
  <c r="G81" i="92" s="1"/>
  <c r="E81" i="93" s="1"/>
  <c r="G81" i="93" s="1"/>
  <c r="C81" i="94" s="1"/>
  <c r="E81" i="94" s="1"/>
  <c r="G81" i="94" s="1"/>
  <c r="C81" i="95" s="1"/>
  <c r="E81" i="95" s="1"/>
  <c r="G81" i="95" s="1"/>
  <c r="C81" i="96" s="1"/>
  <c r="E81" i="96" s="1"/>
  <c r="G81" i="96" s="1"/>
  <c r="C81" i="87"/>
  <c r="C177" i="87"/>
  <c r="E177" i="87" s="1"/>
  <c r="G177" i="87" s="1"/>
  <c r="C177" i="88" s="1"/>
  <c r="E177" i="88" s="1"/>
  <c r="G177" i="88" s="1"/>
  <c r="C177" i="89" s="1"/>
  <c r="E177" i="89" s="1"/>
  <c r="G177" i="89" s="1"/>
  <c r="E177" i="90" s="1"/>
  <c r="G177" i="90" s="1"/>
  <c r="E177" i="91" s="1"/>
  <c r="G177" i="91" s="1"/>
  <c r="C177" i="92" s="1"/>
  <c r="E177" i="92" s="1"/>
  <c r="G177" i="92" s="1"/>
  <c r="E177" i="93" s="1"/>
  <c r="G177" i="93" s="1"/>
  <c r="C177" i="94" s="1"/>
  <c r="E177" i="94" s="1"/>
  <c r="G177" i="94" s="1"/>
  <c r="C177" i="95" s="1"/>
  <c r="E177" i="95" s="1"/>
  <c r="G177" i="95" s="1"/>
  <c r="C177" i="96" s="1"/>
  <c r="E177" i="96" s="1"/>
  <c r="G177" i="96" s="1"/>
  <c r="E155" i="87"/>
  <c r="G155" i="87" s="1"/>
  <c r="C155" i="88" s="1"/>
  <c r="E155" i="88" s="1"/>
  <c r="G155" i="88" s="1"/>
  <c r="C155" i="89" s="1"/>
  <c r="E155" i="89" s="1"/>
  <c r="G155" i="89" s="1"/>
  <c r="E155" i="90" s="1"/>
  <c r="G155" i="90" s="1"/>
  <c r="E155" i="91" s="1"/>
  <c r="G155" i="91" s="1"/>
  <c r="C155" i="92" s="1"/>
  <c r="E155" i="92" s="1"/>
  <c r="G155" i="92" s="1"/>
  <c r="E155" i="93" s="1"/>
  <c r="G155" i="93" s="1"/>
  <c r="C155" i="94" s="1"/>
  <c r="E155" i="94" s="1"/>
  <c r="G155" i="94" s="1"/>
  <c r="C155" i="95" s="1"/>
  <c r="E155" i="95" s="1"/>
  <c r="G155" i="95" s="1"/>
  <c r="C155" i="96" s="1"/>
  <c r="E155" i="96" s="1"/>
  <c r="G155" i="96" s="1"/>
  <c r="C155" i="87"/>
  <c r="C208" i="87"/>
  <c r="E208" i="87" s="1"/>
  <c r="G208" i="87" s="1"/>
  <c r="C208" i="88" s="1"/>
  <c r="E208" i="88" s="1"/>
  <c r="G208" i="88" s="1"/>
  <c r="C208" i="89" s="1"/>
  <c r="E208" i="89" s="1"/>
  <c r="G208" i="89" s="1"/>
  <c r="E208" i="90" s="1"/>
  <c r="G208" i="90" s="1"/>
  <c r="E208" i="91" s="1"/>
  <c r="G208" i="91" s="1"/>
  <c r="C208" i="92" s="1"/>
  <c r="E208" i="92" s="1"/>
  <c r="G208" i="92" s="1"/>
  <c r="E208" i="93" s="1"/>
  <c r="G208" i="93" s="1"/>
  <c r="C208" i="94" s="1"/>
  <c r="E208" i="94" s="1"/>
  <c r="G208" i="94" s="1"/>
  <c r="C208" i="95" s="1"/>
  <c r="E208" i="95" s="1"/>
  <c r="G208" i="95" s="1"/>
  <c r="C208" i="96" s="1"/>
  <c r="E208" i="96" s="1"/>
  <c r="G208" i="96" s="1"/>
  <c r="E189" i="87"/>
  <c r="G189" i="87" s="1"/>
  <c r="C189" i="88" s="1"/>
  <c r="E189" i="88" s="1"/>
  <c r="G189" i="88" s="1"/>
  <c r="C189" i="89" s="1"/>
  <c r="E189" i="89" s="1"/>
  <c r="G189" i="89" s="1"/>
  <c r="E189" i="90" s="1"/>
  <c r="G189" i="90" s="1"/>
  <c r="E189" i="91" s="1"/>
  <c r="G189" i="91" s="1"/>
  <c r="C189" i="92" s="1"/>
  <c r="E189" i="92" s="1"/>
  <c r="G189" i="92" s="1"/>
  <c r="E189" i="93" s="1"/>
  <c r="G189" i="93" s="1"/>
  <c r="C189" i="94" s="1"/>
  <c r="E189" i="94" s="1"/>
  <c r="G189" i="94" s="1"/>
  <c r="C189" i="95" s="1"/>
  <c r="E189" i="95" s="1"/>
  <c r="G189" i="95" s="1"/>
  <c r="C189" i="96" s="1"/>
  <c r="E189" i="96" s="1"/>
  <c r="G189" i="96" s="1"/>
  <c r="C189" i="87"/>
  <c r="C28" i="87"/>
  <c r="E28" i="87" s="1"/>
  <c r="G28" i="87" s="1"/>
  <c r="C28" i="88" s="1"/>
  <c r="E28" i="88" s="1"/>
  <c r="G28" i="88" s="1"/>
  <c r="C28" i="89" s="1"/>
  <c r="E28" i="89" s="1"/>
  <c r="G28" i="89" s="1"/>
  <c r="E28" i="90" s="1"/>
  <c r="G28" i="90" s="1"/>
  <c r="E28" i="91" s="1"/>
  <c r="G28" i="91" s="1"/>
  <c r="C28" i="92" s="1"/>
  <c r="E28" i="92" s="1"/>
  <c r="G28" i="92" s="1"/>
  <c r="E28" i="93" s="1"/>
  <c r="G28" i="93" s="1"/>
  <c r="C28" i="94" s="1"/>
  <c r="E28" i="94" s="1"/>
  <c r="G28" i="94" s="1"/>
  <c r="C28" i="95" s="1"/>
  <c r="E28" i="95" s="1"/>
  <c r="G28" i="95" s="1"/>
  <c r="C28" i="96" s="1"/>
  <c r="E28" i="96" s="1"/>
  <c r="G28" i="96" s="1"/>
  <c r="E33" i="87"/>
  <c r="G33" i="87" s="1"/>
  <c r="C33" i="88" s="1"/>
  <c r="E33" i="88" s="1"/>
  <c r="G33" i="88" s="1"/>
  <c r="C33" i="89" s="1"/>
  <c r="E33" i="89" s="1"/>
  <c r="G33" i="89" s="1"/>
  <c r="E33" i="90" s="1"/>
  <c r="G33" i="90" s="1"/>
  <c r="E33" i="91" s="1"/>
  <c r="G33" i="91" s="1"/>
  <c r="C33" i="92" s="1"/>
  <c r="E33" i="92" s="1"/>
  <c r="G33" i="92" s="1"/>
  <c r="E33" i="93" s="1"/>
  <c r="G33" i="93" s="1"/>
  <c r="C33" i="94" s="1"/>
  <c r="E33" i="94" s="1"/>
  <c r="G33" i="94" s="1"/>
  <c r="C33" i="95" s="1"/>
  <c r="E33" i="95" s="1"/>
  <c r="G33" i="95" s="1"/>
  <c r="C33" i="96" s="1"/>
  <c r="E33" i="96" s="1"/>
  <c r="G33" i="96" s="1"/>
  <c r="C33" i="87"/>
  <c r="C69" i="87"/>
  <c r="E69" i="87" s="1"/>
  <c r="G69" i="87" s="1"/>
  <c r="C69" i="88" s="1"/>
  <c r="E69" i="88" s="1"/>
  <c r="G69" i="88" s="1"/>
  <c r="C69" i="89" s="1"/>
  <c r="E69" i="89" s="1"/>
  <c r="G69" i="89" s="1"/>
  <c r="E69" i="90" s="1"/>
  <c r="G69" i="90" s="1"/>
  <c r="E69" i="91" s="1"/>
  <c r="G69" i="91" s="1"/>
  <c r="C69" i="92" s="1"/>
  <c r="E69" i="92" s="1"/>
  <c r="G69" i="92" s="1"/>
  <c r="E69" i="93" s="1"/>
  <c r="G69" i="93" s="1"/>
  <c r="C69" i="94" s="1"/>
  <c r="E69" i="94" s="1"/>
  <c r="G69" i="94" s="1"/>
  <c r="C69" i="95" s="1"/>
  <c r="E69" i="95" s="1"/>
  <c r="G69" i="95" s="1"/>
  <c r="C69" i="96" s="1"/>
  <c r="E69" i="96" s="1"/>
  <c r="G69" i="96" s="1"/>
  <c r="E183" i="87"/>
  <c r="G183" i="87" s="1"/>
  <c r="C183" i="88" s="1"/>
  <c r="E183" i="88" s="1"/>
  <c r="G183" i="88" s="1"/>
  <c r="C183" i="89" s="1"/>
  <c r="E183" i="89" s="1"/>
  <c r="G183" i="89" s="1"/>
  <c r="E183" i="90" s="1"/>
  <c r="G183" i="90" s="1"/>
  <c r="E183" i="91" s="1"/>
  <c r="G183" i="91" s="1"/>
  <c r="C183" i="92" s="1"/>
  <c r="E183" i="92" s="1"/>
  <c r="G183" i="92" s="1"/>
  <c r="E183" i="93" s="1"/>
  <c r="G183" i="93" s="1"/>
  <c r="C183" i="94" s="1"/>
  <c r="E183" i="94" s="1"/>
  <c r="G183" i="94" s="1"/>
  <c r="C183" i="95" s="1"/>
  <c r="E183" i="95" s="1"/>
  <c r="G183" i="95" s="1"/>
  <c r="C183" i="96" s="1"/>
  <c r="E183" i="96" s="1"/>
  <c r="G183" i="96" s="1"/>
  <c r="C183" i="87"/>
  <c r="C142" i="87"/>
  <c r="E142" i="87" s="1"/>
  <c r="G142" i="87" s="1"/>
  <c r="C142" i="88" s="1"/>
  <c r="E142" i="88" s="1"/>
  <c r="G142" i="88" s="1"/>
  <c r="C142" i="89" s="1"/>
  <c r="E142" i="89" s="1"/>
  <c r="G142" i="89" s="1"/>
  <c r="E142" i="90" s="1"/>
  <c r="G142" i="90" s="1"/>
  <c r="E142" i="91" s="1"/>
  <c r="G142" i="91" s="1"/>
  <c r="C142" i="92" s="1"/>
  <c r="E142" i="92" s="1"/>
  <c r="G142" i="92" s="1"/>
  <c r="E142" i="93" s="1"/>
  <c r="G142" i="93" s="1"/>
  <c r="C142" i="94" s="1"/>
  <c r="E142" i="94" s="1"/>
  <c r="G142" i="94" s="1"/>
  <c r="C142" i="95" s="1"/>
  <c r="E142" i="95" s="1"/>
  <c r="G142" i="95" s="1"/>
  <c r="C142" i="96" s="1"/>
  <c r="E142" i="96" s="1"/>
  <c r="G142" i="96" s="1"/>
  <c r="E17" i="87"/>
  <c r="G17" i="87" s="1"/>
  <c r="C17" i="88" s="1"/>
  <c r="E17" i="88" s="1"/>
  <c r="G17" i="88" s="1"/>
  <c r="C17" i="89" s="1"/>
  <c r="E17" i="89" s="1"/>
  <c r="G17" i="89" s="1"/>
  <c r="E17" i="90" s="1"/>
  <c r="G17" i="90" s="1"/>
  <c r="E17" i="91" s="1"/>
  <c r="G17" i="91" s="1"/>
  <c r="C17" i="92" s="1"/>
  <c r="E17" i="92" s="1"/>
  <c r="G17" i="92" s="1"/>
  <c r="E17" i="93" s="1"/>
  <c r="G17" i="93" s="1"/>
  <c r="C17" i="94" s="1"/>
  <c r="E17" i="94" s="1"/>
  <c r="G17" i="94" s="1"/>
  <c r="C17" i="95" s="1"/>
  <c r="E17" i="95" s="1"/>
  <c r="G17" i="95" s="1"/>
  <c r="C17" i="96" s="1"/>
  <c r="E17" i="96" s="1"/>
  <c r="G17" i="96" s="1"/>
  <c r="C17" i="87"/>
  <c r="C78" i="87"/>
  <c r="E78" i="87" s="1"/>
  <c r="G78" i="87" s="1"/>
  <c r="C78" i="88" s="1"/>
  <c r="E78" i="88" s="1"/>
  <c r="G78" i="88" s="1"/>
  <c r="C78" i="89" s="1"/>
  <c r="E78" i="89" s="1"/>
  <c r="G78" i="89" s="1"/>
  <c r="E78" i="90" s="1"/>
  <c r="G78" i="90" s="1"/>
  <c r="E78" i="91" s="1"/>
  <c r="G78" i="91" s="1"/>
  <c r="C78" i="92" s="1"/>
  <c r="E78" i="92" s="1"/>
  <c r="G78" i="92" s="1"/>
  <c r="E78" i="93" s="1"/>
  <c r="G78" i="93" s="1"/>
  <c r="C78" i="94" s="1"/>
  <c r="E78" i="94" s="1"/>
  <c r="G78" i="94" s="1"/>
  <c r="C78" i="95" s="1"/>
  <c r="E78" i="95" s="1"/>
  <c r="G78" i="95" s="1"/>
  <c r="C78" i="96" s="1"/>
  <c r="E78" i="96" s="1"/>
  <c r="G78" i="96" s="1"/>
  <c r="E107" i="87"/>
  <c r="G107" i="87" s="1"/>
  <c r="C107" i="88" s="1"/>
  <c r="E107" i="88" s="1"/>
  <c r="G107" i="88" s="1"/>
  <c r="C107" i="89" s="1"/>
  <c r="E107" i="89" s="1"/>
  <c r="G107" i="89" s="1"/>
  <c r="E107" i="90" s="1"/>
  <c r="G107" i="90" s="1"/>
  <c r="E107" i="91" s="1"/>
  <c r="G107" i="91" s="1"/>
  <c r="C107" i="92" s="1"/>
  <c r="E107" i="92" s="1"/>
  <c r="G107" i="92" s="1"/>
  <c r="E107" i="93" s="1"/>
  <c r="G107" i="93" s="1"/>
  <c r="C107" i="94" s="1"/>
  <c r="E107" i="94" s="1"/>
  <c r="G107" i="94" s="1"/>
  <c r="C107" i="95" s="1"/>
  <c r="E107" i="95" s="1"/>
  <c r="G107" i="95" s="1"/>
  <c r="C107" i="96" s="1"/>
  <c r="E107" i="96" s="1"/>
  <c r="G107" i="96" s="1"/>
  <c r="C107" i="87"/>
  <c r="C181" i="87"/>
  <c r="E181" i="87" s="1"/>
  <c r="G181" i="87" s="1"/>
  <c r="C181" i="88" s="1"/>
  <c r="E181" i="88" s="1"/>
  <c r="G181" i="88" s="1"/>
  <c r="C181" i="89" s="1"/>
  <c r="E181" i="89" s="1"/>
  <c r="G181" i="89" s="1"/>
  <c r="E181" i="90" s="1"/>
  <c r="G181" i="90" s="1"/>
  <c r="E181" i="91" s="1"/>
  <c r="G181" i="91" s="1"/>
  <c r="C181" i="92" s="1"/>
  <c r="E181" i="92" s="1"/>
  <c r="G181" i="92" s="1"/>
  <c r="E181" i="93" s="1"/>
  <c r="G181" i="93" s="1"/>
  <c r="C181" i="94" s="1"/>
  <c r="E181" i="94" s="1"/>
  <c r="G181" i="94" s="1"/>
  <c r="C181" i="95" s="1"/>
  <c r="E181" i="95" s="1"/>
  <c r="G181" i="95" s="1"/>
  <c r="C181" i="96" s="1"/>
  <c r="E181" i="96" s="1"/>
  <c r="G181" i="96" s="1"/>
  <c r="E180" i="87"/>
  <c r="G180" i="87" s="1"/>
  <c r="C180" i="88" s="1"/>
  <c r="E180" i="88" s="1"/>
  <c r="G180" i="88" s="1"/>
  <c r="C180" i="89" s="1"/>
  <c r="E180" i="89" s="1"/>
  <c r="G180" i="89" s="1"/>
  <c r="E180" i="90" s="1"/>
  <c r="G180" i="90" s="1"/>
  <c r="E180" i="91" s="1"/>
  <c r="G180" i="91" s="1"/>
  <c r="C180" i="92" s="1"/>
  <c r="E180" i="92" s="1"/>
  <c r="G180" i="92" s="1"/>
  <c r="E180" i="93" s="1"/>
  <c r="G180" i="93" s="1"/>
  <c r="C180" i="94" s="1"/>
  <c r="E180" i="94" s="1"/>
  <c r="G180" i="94" s="1"/>
  <c r="C180" i="95" s="1"/>
  <c r="E180" i="95" s="1"/>
  <c r="G180" i="95" s="1"/>
  <c r="C180" i="96" s="1"/>
  <c r="E180" i="96" s="1"/>
  <c r="G180" i="96" s="1"/>
  <c r="C180" i="87"/>
  <c r="C108" i="87"/>
  <c r="E108" i="87" s="1"/>
  <c r="G108" i="87" s="1"/>
  <c r="C108" i="88" s="1"/>
  <c r="E108" i="88" s="1"/>
  <c r="G108" i="88" s="1"/>
  <c r="C108" i="89" s="1"/>
  <c r="E108" i="89" s="1"/>
  <c r="G108" i="89" s="1"/>
  <c r="E108" i="90" s="1"/>
  <c r="G108" i="90" s="1"/>
  <c r="E108" i="91" s="1"/>
  <c r="G108" i="91" s="1"/>
  <c r="C108" i="92" s="1"/>
  <c r="E108" i="92" s="1"/>
  <c r="G108" i="92" s="1"/>
  <c r="E108" i="93" s="1"/>
  <c r="G108" i="93" s="1"/>
  <c r="C108" i="94" s="1"/>
  <c r="E108" i="94" s="1"/>
  <c r="G108" i="94" s="1"/>
  <c r="C108" i="95" s="1"/>
  <c r="E108" i="95" s="1"/>
  <c r="G108" i="95" s="1"/>
  <c r="C108" i="96" s="1"/>
  <c r="E108" i="96" s="1"/>
  <c r="G108" i="96" s="1"/>
  <c r="E144" i="87"/>
  <c r="G144" i="87" s="1"/>
  <c r="C144" i="88" s="1"/>
  <c r="E144" i="88" s="1"/>
  <c r="G144" i="88" s="1"/>
  <c r="C144" i="89" s="1"/>
  <c r="E144" i="89" s="1"/>
  <c r="G144" i="89" s="1"/>
  <c r="E144" i="90" s="1"/>
  <c r="G144" i="90" s="1"/>
  <c r="E144" i="91" s="1"/>
  <c r="G144" i="91" s="1"/>
  <c r="C144" i="92" s="1"/>
  <c r="E144" i="92" s="1"/>
  <c r="G144" i="92" s="1"/>
  <c r="E144" i="93" s="1"/>
  <c r="G144" i="93" s="1"/>
  <c r="C144" i="94" s="1"/>
  <c r="E144" i="94" s="1"/>
  <c r="G144" i="94" s="1"/>
  <c r="C144" i="95" s="1"/>
  <c r="E144" i="95" s="1"/>
  <c r="G144" i="95" s="1"/>
  <c r="C144" i="96" s="1"/>
  <c r="E144" i="96" s="1"/>
  <c r="G144" i="96" s="1"/>
  <c r="C144" i="87"/>
  <c r="C100" i="87"/>
  <c r="E100" i="87" s="1"/>
  <c r="G100" i="87" s="1"/>
  <c r="C100" i="88" s="1"/>
  <c r="E100" i="88" s="1"/>
  <c r="G100" i="88" s="1"/>
  <c r="C100" i="89" s="1"/>
  <c r="E100" i="89" s="1"/>
  <c r="G100" i="89" s="1"/>
  <c r="E100" i="90" s="1"/>
  <c r="G100" i="90" s="1"/>
  <c r="E100" i="91" s="1"/>
  <c r="G100" i="91" s="1"/>
  <c r="C100" i="92" s="1"/>
  <c r="E100" i="92" s="1"/>
  <c r="G100" i="92" s="1"/>
  <c r="E100" i="93" s="1"/>
  <c r="G100" i="93" s="1"/>
  <c r="C100" i="94" s="1"/>
  <c r="E100" i="94" s="1"/>
  <c r="G100" i="94" s="1"/>
  <c r="C100" i="95" s="1"/>
  <c r="E100" i="95" s="1"/>
  <c r="G100" i="95" s="1"/>
  <c r="C100" i="96" s="1"/>
  <c r="E100" i="96" s="1"/>
  <c r="G100" i="96" s="1"/>
  <c r="C49" i="87"/>
  <c r="E49" i="87" s="1"/>
  <c r="G49" i="87" s="1"/>
  <c r="C49" i="88" s="1"/>
  <c r="E49" i="88" s="1"/>
  <c r="G49" i="88" s="1"/>
  <c r="C49" i="89" s="1"/>
  <c r="E49" i="89" s="1"/>
  <c r="G49" i="89" s="1"/>
  <c r="E49" i="90" s="1"/>
  <c r="G49" i="90" s="1"/>
  <c r="E49" i="91" s="1"/>
  <c r="G49" i="91" s="1"/>
  <c r="C49" i="92" s="1"/>
  <c r="E49" i="92" s="1"/>
  <c r="G49" i="92" s="1"/>
  <c r="E49" i="93" s="1"/>
  <c r="G49" i="93" s="1"/>
  <c r="C49" i="94" s="1"/>
  <c r="E49" i="94" s="1"/>
  <c r="G49" i="94" s="1"/>
  <c r="C49" i="95" s="1"/>
  <c r="E49" i="95" s="1"/>
  <c r="G49" i="95" s="1"/>
  <c r="C49" i="96" s="1"/>
  <c r="E49" i="96" s="1"/>
  <c r="G49" i="96" s="1"/>
  <c r="C57" i="87"/>
  <c r="E57" i="87" s="1"/>
  <c r="G57" i="87" s="1"/>
  <c r="C57" i="88" s="1"/>
  <c r="E57" i="88" s="1"/>
  <c r="G57" i="88" s="1"/>
  <c r="C57" i="89" s="1"/>
  <c r="E57" i="89" s="1"/>
  <c r="G57" i="89" s="1"/>
  <c r="E57" i="90" s="1"/>
  <c r="G57" i="90" s="1"/>
  <c r="E57" i="91" s="1"/>
  <c r="G57" i="91" s="1"/>
  <c r="C57" i="92" s="1"/>
  <c r="E57" i="92" s="1"/>
  <c r="G57" i="92" s="1"/>
  <c r="E57" i="93" s="1"/>
  <c r="G57" i="93" s="1"/>
  <c r="C57" i="94" s="1"/>
  <c r="E57" i="94" s="1"/>
  <c r="G57" i="94" s="1"/>
  <c r="C57" i="95" s="1"/>
  <c r="E57" i="95" s="1"/>
  <c r="G57" i="95" s="1"/>
  <c r="C57" i="96" s="1"/>
  <c r="E57" i="96" s="1"/>
  <c r="G57" i="96" s="1"/>
  <c r="E60" i="87"/>
  <c r="G60" i="87" s="1"/>
  <c r="C60" i="88" s="1"/>
  <c r="E60" i="88" s="1"/>
  <c r="G60" i="88" s="1"/>
  <c r="C60" i="89" s="1"/>
  <c r="E60" i="89" s="1"/>
  <c r="G60" i="89" s="1"/>
  <c r="E60" i="90" s="1"/>
  <c r="G60" i="90" s="1"/>
  <c r="E60" i="91" s="1"/>
  <c r="G60" i="91" s="1"/>
  <c r="C60" i="92" s="1"/>
  <c r="E60" i="92" s="1"/>
  <c r="G60" i="92" s="1"/>
  <c r="E60" i="93" s="1"/>
  <c r="G60" i="93" s="1"/>
  <c r="C60" i="94" s="1"/>
  <c r="E60" i="94" s="1"/>
  <c r="G60" i="94" s="1"/>
  <c r="C60" i="95" s="1"/>
  <c r="E60" i="95" s="1"/>
  <c r="G60" i="95" s="1"/>
  <c r="C60" i="96" s="1"/>
  <c r="E60" i="96" s="1"/>
  <c r="G60" i="96" s="1"/>
  <c r="C60" i="87"/>
  <c r="C151" i="87"/>
  <c r="E151" i="87" s="1"/>
  <c r="G151" i="87" s="1"/>
  <c r="C151" i="88" s="1"/>
  <c r="E151" i="88" s="1"/>
  <c r="G151" i="88" s="1"/>
  <c r="C151" i="89" s="1"/>
  <c r="E151" i="89" s="1"/>
  <c r="G151" i="89" s="1"/>
  <c r="E151" i="90" s="1"/>
  <c r="G151" i="90" s="1"/>
  <c r="E151" i="91" s="1"/>
  <c r="G151" i="91" s="1"/>
  <c r="C151" i="92" s="1"/>
  <c r="E151" i="92" s="1"/>
  <c r="G151" i="92" s="1"/>
  <c r="E151" i="93" s="1"/>
  <c r="G151" i="93" s="1"/>
  <c r="C151" i="94" s="1"/>
  <c r="E151" i="94" s="1"/>
  <c r="G151" i="94" s="1"/>
  <c r="C151" i="95" s="1"/>
  <c r="E151" i="95" s="1"/>
  <c r="G151" i="95" s="1"/>
  <c r="C151" i="96" s="1"/>
  <c r="E151" i="96" s="1"/>
  <c r="G151" i="96" s="1"/>
  <c r="E21" i="87"/>
  <c r="G21" i="87" s="1"/>
  <c r="C21" i="88" s="1"/>
  <c r="E21" i="88" s="1"/>
  <c r="G21" i="88" s="1"/>
  <c r="C21" i="89" s="1"/>
  <c r="E21" i="89" s="1"/>
  <c r="G21" i="89" s="1"/>
  <c r="E21" i="90" s="1"/>
  <c r="G21" i="90" s="1"/>
  <c r="E21" i="91" s="1"/>
  <c r="G21" i="91" s="1"/>
  <c r="C21" i="92" s="1"/>
  <c r="E21" i="92" s="1"/>
  <c r="G21" i="92" s="1"/>
  <c r="E21" i="93" s="1"/>
  <c r="G21" i="93" s="1"/>
  <c r="C21" i="94" s="1"/>
  <c r="E21" i="94" s="1"/>
  <c r="G21" i="94" s="1"/>
  <c r="C21" i="95" s="1"/>
  <c r="E21" i="95" s="1"/>
  <c r="G21" i="95" s="1"/>
  <c r="C21" i="96" s="1"/>
  <c r="E21" i="96" s="1"/>
  <c r="G21" i="96" s="1"/>
  <c r="C21" i="87"/>
  <c r="C135" i="87"/>
  <c r="E135" i="87" s="1"/>
  <c r="G135" i="87" s="1"/>
  <c r="C135" i="88" s="1"/>
  <c r="E135" i="88" s="1"/>
  <c r="G135" i="88" s="1"/>
  <c r="C135" i="89" s="1"/>
  <c r="E135" i="89" s="1"/>
  <c r="G135" i="89" s="1"/>
  <c r="E135" i="90" s="1"/>
  <c r="G135" i="90" s="1"/>
  <c r="E135" i="91" s="1"/>
  <c r="G135" i="91" s="1"/>
  <c r="C135" i="92" s="1"/>
  <c r="E135" i="92" s="1"/>
  <c r="G135" i="92" s="1"/>
  <c r="E135" i="93" s="1"/>
  <c r="G135" i="93" s="1"/>
  <c r="C135" i="94" s="1"/>
  <c r="E135" i="94" s="1"/>
  <c r="G135" i="94" s="1"/>
  <c r="C135" i="95" s="1"/>
  <c r="E135" i="95" s="1"/>
  <c r="G135" i="95" s="1"/>
  <c r="C135" i="96" s="1"/>
  <c r="E135" i="96" s="1"/>
  <c r="G135" i="96" s="1"/>
  <c r="E53" i="87"/>
  <c r="G53" i="87" s="1"/>
  <c r="C53" i="88" s="1"/>
  <c r="E53" i="88" s="1"/>
  <c r="G53" i="88" s="1"/>
  <c r="C53" i="89" s="1"/>
  <c r="E53" i="89" s="1"/>
  <c r="G53" i="89" s="1"/>
  <c r="E53" i="90" s="1"/>
  <c r="G53" i="90" s="1"/>
  <c r="E53" i="91" s="1"/>
  <c r="G53" i="91" s="1"/>
  <c r="C53" i="92" s="1"/>
  <c r="E53" i="92" s="1"/>
  <c r="G53" i="92" s="1"/>
  <c r="E53" i="93" s="1"/>
  <c r="G53" i="93" s="1"/>
  <c r="C53" i="94" s="1"/>
  <c r="E53" i="94" s="1"/>
  <c r="G53" i="94" s="1"/>
  <c r="C53" i="95" s="1"/>
  <c r="E53" i="95" s="1"/>
  <c r="G53" i="95" s="1"/>
  <c r="C53" i="96" s="1"/>
  <c r="E53" i="96" s="1"/>
  <c r="G53" i="96" s="1"/>
  <c r="C53" i="87"/>
  <c r="C109" i="87"/>
  <c r="E109" i="87" s="1"/>
  <c r="G109" i="87" s="1"/>
  <c r="C109" i="88" s="1"/>
  <c r="E109" i="88" s="1"/>
  <c r="G109" i="88" s="1"/>
  <c r="C109" i="89" s="1"/>
  <c r="E109" i="89" s="1"/>
  <c r="G109" i="89" s="1"/>
  <c r="E109" i="90" s="1"/>
  <c r="G109" i="90" s="1"/>
  <c r="E109" i="91" s="1"/>
  <c r="G109" i="91" s="1"/>
  <c r="C109" i="92" s="1"/>
  <c r="E109" i="92" s="1"/>
  <c r="G109" i="92" s="1"/>
  <c r="E109" i="93" s="1"/>
  <c r="G109" i="93" s="1"/>
  <c r="C109" i="94" s="1"/>
  <c r="E109" i="94" s="1"/>
  <c r="G109" i="94" s="1"/>
  <c r="C109" i="95" s="1"/>
  <c r="E109" i="95" s="1"/>
  <c r="G109" i="95" s="1"/>
  <c r="C109" i="96" s="1"/>
  <c r="E109" i="96" s="1"/>
  <c r="G109" i="96" s="1"/>
  <c r="E182" i="87"/>
  <c r="G182" i="87" s="1"/>
  <c r="C182" i="88" s="1"/>
  <c r="E182" i="88" s="1"/>
  <c r="G182" i="88" s="1"/>
  <c r="C182" i="89" s="1"/>
  <c r="E182" i="89" s="1"/>
  <c r="G182" i="89" s="1"/>
  <c r="E182" i="90" s="1"/>
  <c r="G182" i="90" s="1"/>
  <c r="E182" i="91" s="1"/>
  <c r="G182" i="91" s="1"/>
  <c r="C182" i="92" s="1"/>
  <c r="E182" i="92" s="1"/>
  <c r="G182" i="92" s="1"/>
  <c r="E182" i="93" s="1"/>
  <c r="G182" i="93" s="1"/>
  <c r="C182" i="94" s="1"/>
  <c r="E182" i="94" s="1"/>
  <c r="G182" i="94" s="1"/>
  <c r="C182" i="95" s="1"/>
  <c r="E182" i="95" s="1"/>
  <c r="G182" i="95" s="1"/>
  <c r="C182" i="96" s="1"/>
  <c r="E182" i="96" s="1"/>
  <c r="G182" i="96" s="1"/>
  <c r="C182" i="87"/>
  <c r="C41" i="87"/>
  <c r="E41" i="87" s="1"/>
  <c r="G41" i="87" s="1"/>
  <c r="C41" i="88" s="1"/>
  <c r="E41" i="88" s="1"/>
  <c r="G41" i="88" s="1"/>
  <c r="C41" i="89" s="1"/>
  <c r="E41" i="89" s="1"/>
  <c r="G41" i="89" s="1"/>
  <c r="E41" i="90" s="1"/>
  <c r="G41" i="90" s="1"/>
  <c r="E41" i="91" s="1"/>
  <c r="G41" i="91" s="1"/>
  <c r="C41" i="92" s="1"/>
  <c r="E41" i="92" s="1"/>
  <c r="G41" i="92" s="1"/>
  <c r="E41" i="93" s="1"/>
  <c r="G41" i="93" s="1"/>
  <c r="C41" i="94" s="1"/>
  <c r="E41" i="94" s="1"/>
  <c r="G41" i="94" s="1"/>
  <c r="C41" i="95" s="1"/>
  <c r="E41" i="95" s="1"/>
  <c r="G41" i="95" s="1"/>
  <c r="C41" i="96" s="1"/>
  <c r="E41" i="96" s="1"/>
  <c r="G41" i="96" s="1"/>
  <c r="E63" i="87"/>
  <c r="G63" i="87" s="1"/>
  <c r="C63" i="88" s="1"/>
  <c r="E63" i="88" s="1"/>
  <c r="G63" i="88" s="1"/>
  <c r="C63" i="89" s="1"/>
  <c r="E63" i="89" s="1"/>
  <c r="G63" i="89" s="1"/>
  <c r="E63" i="90" s="1"/>
  <c r="G63" i="90" s="1"/>
  <c r="E63" i="91" s="1"/>
  <c r="G63" i="91" s="1"/>
  <c r="C63" i="92" s="1"/>
  <c r="E63" i="92" s="1"/>
  <c r="G63" i="92" s="1"/>
  <c r="E63" i="93" s="1"/>
  <c r="G63" i="93" s="1"/>
  <c r="C63" i="94" s="1"/>
  <c r="E63" i="94" s="1"/>
  <c r="G63" i="94" s="1"/>
  <c r="C63" i="95" s="1"/>
  <c r="E63" i="95" s="1"/>
  <c r="G63" i="95" s="1"/>
  <c r="C63" i="96" s="1"/>
  <c r="E63" i="96" s="1"/>
  <c r="G63" i="96" s="1"/>
  <c r="C63" i="87"/>
  <c r="C6" i="85"/>
  <c r="E6" i="85" s="1"/>
  <c r="G6" i="85" s="1"/>
  <c r="E200" i="87"/>
  <c r="G200" i="87" s="1"/>
  <c r="C200" i="88" s="1"/>
  <c r="E200" i="88" s="1"/>
  <c r="G200" i="88" s="1"/>
  <c r="C200" i="89" s="1"/>
  <c r="E200" i="89" s="1"/>
  <c r="G200" i="89" s="1"/>
  <c r="E200" i="90" s="1"/>
  <c r="G200" i="90" s="1"/>
  <c r="E200" i="91" s="1"/>
  <c r="G200" i="91" s="1"/>
  <c r="C200" i="92" s="1"/>
  <c r="E200" i="92" s="1"/>
  <c r="G200" i="92" s="1"/>
  <c r="E200" i="93" s="1"/>
  <c r="G200" i="93" s="1"/>
  <c r="C200" i="94" s="1"/>
  <c r="E200" i="94" s="1"/>
  <c r="G200" i="94" s="1"/>
  <c r="C200" i="95" s="1"/>
  <c r="E200" i="95" s="1"/>
  <c r="G200" i="95" s="1"/>
  <c r="C200" i="96" s="1"/>
  <c r="E200" i="96" s="1"/>
  <c r="G200" i="96" s="1"/>
  <c r="C200" i="87"/>
  <c r="C18" i="87"/>
  <c r="E18" i="87" s="1"/>
  <c r="G18" i="87" s="1"/>
  <c r="C18" i="88" s="1"/>
  <c r="E18" i="88" s="1"/>
  <c r="G18" i="88" s="1"/>
  <c r="C18" i="89" s="1"/>
  <c r="E18" i="89" s="1"/>
  <c r="G18" i="89" s="1"/>
  <c r="E18" i="90" s="1"/>
  <c r="G18" i="90" s="1"/>
  <c r="E18" i="91" s="1"/>
  <c r="G18" i="91" s="1"/>
  <c r="C18" i="92" s="1"/>
  <c r="E18" i="92" s="1"/>
  <c r="G18" i="92" s="1"/>
  <c r="E18" i="93" s="1"/>
  <c r="G18" i="93" s="1"/>
  <c r="C18" i="94" s="1"/>
  <c r="E18" i="94" s="1"/>
  <c r="G18" i="94" s="1"/>
  <c r="C18" i="95" s="1"/>
  <c r="E18" i="95" s="1"/>
  <c r="G18" i="95" s="1"/>
  <c r="C18" i="96" s="1"/>
  <c r="E18" i="96" s="1"/>
  <c r="G18" i="96" s="1"/>
  <c r="E97" i="87"/>
  <c r="G97" i="87" s="1"/>
  <c r="C97" i="88" s="1"/>
  <c r="E97" i="88" s="1"/>
  <c r="G97" i="88" s="1"/>
  <c r="C97" i="89" s="1"/>
  <c r="E97" i="89" s="1"/>
  <c r="G97" i="89" s="1"/>
  <c r="E97" i="90" s="1"/>
  <c r="G97" i="90" s="1"/>
  <c r="E97" i="91" s="1"/>
  <c r="G97" i="91" s="1"/>
  <c r="C97" i="92" s="1"/>
  <c r="E97" i="92" s="1"/>
  <c r="G97" i="92" s="1"/>
  <c r="E97" i="93" s="1"/>
  <c r="G97" i="93" s="1"/>
  <c r="C97" i="94" s="1"/>
  <c r="E97" i="94" s="1"/>
  <c r="G97" i="94" s="1"/>
  <c r="C97" i="95" s="1"/>
  <c r="E97" i="95" s="1"/>
  <c r="G97" i="95" s="1"/>
  <c r="C97" i="96" s="1"/>
  <c r="E97" i="96" s="1"/>
  <c r="G97" i="96" s="1"/>
  <c r="C97" i="87"/>
  <c r="C215" i="87"/>
  <c r="E215" i="87" s="1"/>
  <c r="G215" i="87" s="1"/>
  <c r="C215" i="88" s="1"/>
  <c r="E215" i="88" s="1"/>
  <c r="G215" i="88" s="1"/>
  <c r="C215" i="89" s="1"/>
  <c r="E215" i="89" s="1"/>
  <c r="G215" i="89" s="1"/>
  <c r="E215" i="90" s="1"/>
  <c r="G215" i="90" s="1"/>
  <c r="E215" i="91" s="1"/>
  <c r="G215" i="91" s="1"/>
  <c r="C215" i="92" s="1"/>
  <c r="E215" i="92" s="1"/>
  <c r="G215" i="92" s="1"/>
  <c r="E215" i="93" s="1"/>
  <c r="G215" i="93" s="1"/>
  <c r="C215" i="94" s="1"/>
  <c r="E215" i="94" s="1"/>
  <c r="G215" i="94" s="1"/>
  <c r="C215" i="95" s="1"/>
  <c r="E215" i="95" s="1"/>
  <c r="G215" i="95" s="1"/>
  <c r="C215" i="96" s="1"/>
  <c r="E215" i="96" s="1"/>
  <c r="G215" i="96" s="1"/>
  <c r="E136" i="87"/>
  <c r="G136" i="87" s="1"/>
  <c r="C136" i="88" s="1"/>
  <c r="E136" i="88" s="1"/>
  <c r="G136" i="88" s="1"/>
  <c r="C136" i="89" s="1"/>
  <c r="E136" i="89" s="1"/>
  <c r="G136" i="89" s="1"/>
  <c r="E136" i="90" s="1"/>
  <c r="G136" i="90" s="1"/>
  <c r="E136" i="91" s="1"/>
  <c r="G136" i="91" s="1"/>
  <c r="C136" i="92" s="1"/>
  <c r="E136" i="92" s="1"/>
  <c r="G136" i="92" s="1"/>
  <c r="E136" i="93" s="1"/>
  <c r="G136" i="93" s="1"/>
  <c r="C136" i="94" s="1"/>
  <c r="E136" i="94" s="1"/>
  <c r="G136" i="94" s="1"/>
  <c r="C136" i="95" s="1"/>
  <c r="E136" i="95" s="1"/>
  <c r="G136" i="95" s="1"/>
  <c r="C136" i="96" s="1"/>
  <c r="E136" i="96" s="1"/>
  <c r="G136" i="96" s="1"/>
  <c r="C136" i="87"/>
  <c r="C79" i="87"/>
  <c r="E79" i="87" s="1"/>
  <c r="G79" i="87" s="1"/>
  <c r="C79" i="88" s="1"/>
  <c r="E79" i="88" s="1"/>
  <c r="G79" i="88" s="1"/>
  <c r="C79" i="89" s="1"/>
  <c r="E79" i="89" s="1"/>
  <c r="G79" i="89" s="1"/>
  <c r="E79" i="90" s="1"/>
  <c r="G79" i="90" s="1"/>
  <c r="E79" i="91" s="1"/>
  <c r="G79" i="91" s="1"/>
  <c r="C79" i="92" s="1"/>
  <c r="E79" i="92" s="1"/>
  <c r="G79" i="92" s="1"/>
  <c r="E79" i="93" s="1"/>
  <c r="G79" i="93" s="1"/>
  <c r="C79" i="94" s="1"/>
  <c r="E79" i="94" s="1"/>
  <c r="G79" i="94" s="1"/>
  <c r="C79" i="95" s="1"/>
  <c r="E79" i="95" s="1"/>
  <c r="G79" i="95" s="1"/>
  <c r="C79" i="96" s="1"/>
  <c r="E79" i="96" s="1"/>
  <c r="G79" i="96" s="1"/>
  <c r="E94" i="87"/>
  <c r="G94" i="87" s="1"/>
  <c r="C94" i="88" s="1"/>
  <c r="E94" i="88" s="1"/>
  <c r="G94" i="88" s="1"/>
  <c r="C94" i="89" s="1"/>
  <c r="E94" i="89" s="1"/>
  <c r="G94" i="89" s="1"/>
  <c r="E94" i="90" s="1"/>
  <c r="G94" i="90" s="1"/>
  <c r="E94" i="91" s="1"/>
  <c r="G94" i="91" s="1"/>
  <c r="C94" i="92" s="1"/>
  <c r="E94" i="92" s="1"/>
  <c r="G94" i="92" s="1"/>
  <c r="E94" i="93" s="1"/>
  <c r="G94" i="93" s="1"/>
  <c r="C94" i="94" s="1"/>
  <c r="E94" i="94" s="1"/>
  <c r="G94" i="94" s="1"/>
  <c r="C94" i="95" s="1"/>
  <c r="E94" i="95" s="1"/>
  <c r="G94" i="95" s="1"/>
  <c r="C94" i="96" s="1"/>
  <c r="E94" i="96" s="1"/>
  <c r="G94" i="96" s="1"/>
  <c r="C94" i="87"/>
  <c r="C113" i="87"/>
  <c r="E113" i="87" s="1"/>
  <c r="G113" i="87" s="1"/>
  <c r="C113" i="88" s="1"/>
  <c r="E113" i="88" s="1"/>
  <c r="G113" i="88" s="1"/>
  <c r="C113" i="89" s="1"/>
  <c r="E113" i="89" s="1"/>
  <c r="G113" i="89" s="1"/>
  <c r="E113" i="90" s="1"/>
  <c r="G113" i="90" s="1"/>
  <c r="E113" i="91" s="1"/>
  <c r="G113" i="91" s="1"/>
  <c r="C113" i="92" s="1"/>
  <c r="E113" i="92" s="1"/>
  <c r="G113" i="92" s="1"/>
  <c r="E113" i="93" s="1"/>
  <c r="G113" i="93" s="1"/>
  <c r="C113" i="94" s="1"/>
  <c r="E113" i="94" s="1"/>
  <c r="G113" i="94" s="1"/>
  <c r="C113" i="95" s="1"/>
  <c r="E113" i="95" s="1"/>
  <c r="G113" i="95" s="1"/>
  <c r="C113" i="96" s="1"/>
  <c r="E113" i="96" s="1"/>
  <c r="G113" i="96" s="1"/>
  <c r="E185" i="87"/>
  <c r="G185" i="87" s="1"/>
  <c r="C185" i="88" s="1"/>
  <c r="E185" i="88" s="1"/>
  <c r="G185" i="88" s="1"/>
  <c r="C185" i="89" s="1"/>
  <c r="E185" i="89" s="1"/>
  <c r="G185" i="89" s="1"/>
  <c r="E185" i="90" s="1"/>
  <c r="G185" i="90" s="1"/>
  <c r="E185" i="91" s="1"/>
  <c r="G185" i="91" s="1"/>
  <c r="C185" i="92" s="1"/>
  <c r="E185" i="92" s="1"/>
  <c r="G185" i="92" s="1"/>
  <c r="E185" i="93" s="1"/>
  <c r="G185" i="93" s="1"/>
  <c r="C185" i="94" s="1"/>
  <c r="E185" i="94" s="1"/>
  <c r="G185" i="94" s="1"/>
  <c r="C185" i="95" s="1"/>
  <c r="E185" i="95" s="1"/>
  <c r="G185" i="95" s="1"/>
  <c r="C185" i="96" s="1"/>
  <c r="E185" i="96" s="1"/>
  <c r="G185" i="96" s="1"/>
  <c r="C185" i="87"/>
  <c r="C145" i="87"/>
  <c r="E145" i="87" s="1"/>
  <c r="G145" i="87" s="1"/>
  <c r="C145" i="88" s="1"/>
  <c r="E145" i="88" s="1"/>
  <c r="G145" i="88" s="1"/>
  <c r="C145" i="89" s="1"/>
  <c r="E145" i="89" s="1"/>
  <c r="G145" i="89" s="1"/>
  <c r="E145" i="90" s="1"/>
  <c r="G145" i="90" s="1"/>
  <c r="E145" i="91" s="1"/>
  <c r="G145" i="91" s="1"/>
  <c r="C145" i="92" s="1"/>
  <c r="E145" i="92" s="1"/>
  <c r="G145" i="92" s="1"/>
  <c r="E145" i="93" s="1"/>
  <c r="G145" i="93" s="1"/>
  <c r="C145" i="94" s="1"/>
  <c r="E145" i="94" s="1"/>
  <c r="G145" i="94" s="1"/>
  <c r="C145" i="95" s="1"/>
  <c r="E145" i="95" s="1"/>
  <c r="G145" i="95" s="1"/>
  <c r="C145" i="96" s="1"/>
  <c r="E145" i="96" s="1"/>
  <c r="G145" i="96" s="1"/>
  <c r="E51" i="87"/>
  <c r="G51" i="87" s="1"/>
  <c r="C51" i="88" s="1"/>
  <c r="E51" i="88" s="1"/>
  <c r="G51" i="88" s="1"/>
  <c r="C51" i="89" s="1"/>
  <c r="E51" i="89" s="1"/>
  <c r="G51" i="89" s="1"/>
  <c r="E51" i="90" s="1"/>
  <c r="G51" i="90" s="1"/>
  <c r="E51" i="91" s="1"/>
  <c r="G51" i="91" s="1"/>
  <c r="C51" i="92" s="1"/>
  <c r="E51" i="92" s="1"/>
  <c r="G51" i="92" s="1"/>
  <c r="E51" i="93" s="1"/>
  <c r="G51" i="93" s="1"/>
  <c r="C51" i="94" s="1"/>
  <c r="E51" i="94" s="1"/>
  <c r="G51" i="94" s="1"/>
  <c r="C51" i="95" s="1"/>
  <c r="E51" i="95" s="1"/>
  <c r="G51" i="95" s="1"/>
  <c r="C51" i="96" s="1"/>
  <c r="E51" i="96" s="1"/>
  <c r="G51" i="96" s="1"/>
  <c r="C51" i="87"/>
  <c r="C213" i="87"/>
  <c r="E213" i="87" s="1"/>
  <c r="G213" i="87" s="1"/>
  <c r="C213" i="88" s="1"/>
  <c r="E213" i="88" s="1"/>
  <c r="G213" i="88" s="1"/>
  <c r="C213" i="89" s="1"/>
  <c r="E213" i="89" s="1"/>
  <c r="G213" i="89" s="1"/>
  <c r="E213" i="90" s="1"/>
  <c r="G213" i="90" s="1"/>
  <c r="E213" i="91" s="1"/>
  <c r="G213" i="91" s="1"/>
  <c r="C213" i="92" s="1"/>
  <c r="E213" i="92" s="1"/>
  <c r="G213" i="92" s="1"/>
  <c r="E213" i="93" s="1"/>
  <c r="G213" i="93" s="1"/>
  <c r="C213" i="94" s="1"/>
  <c r="E213" i="94" s="1"/>
  <c r="G213" i="94" s="1"/>
  <c r="C213" i="95" s="1"/>
  <c r="E213" i="95" s="1"/>
  <c r="G213" i="95" s="1"/>
  <c r="C213" i="96" s="1"/>
  <c r="E213" i="96" s="1"/>
  <c r="G213" i="96" s="1"/>
  <c r="E214" i="87"/>
  <c r="G214" i="87" s="1"/>
  <c r="C214" i="88" s="1"/>
  <c r="E214" i="88" s="1"/>
  <c r="G214" i="88" s="1"/>
  <c r="C214" i="89" s="1"/>
  <c r="E214" i="89" s="1"/>
  <c r="G214" i="89" s="1"/>
  <c r="E214" i="90" s="1"/>
  <c r="G214" i="90" s="1"/>
  <c r="E214" i="91" s="1"/>
  <c r="G214" i="91" s="1"/>
  <c r="C214" i="92" s="1"/>
  <c r="E214" i="92" s="1"/>
  <c r="G214" i="92" s="1"/>
  <c r="E214" i="93" s="1"/>
  <c r="G214" i="93" s="1"/>
  <c r="C214" i="94" s="1"/>
  <c r="E214" i="94" s="1"/>
  <c r="G214" i="94" s="1"/>
  <c r="C214" i="95" s="1"/>
  <c r="E214" i="95" s="1"/>
  <c r="G214" i="95" s="1"/>
  <c r="C214" i="96" s="1"/>
  <c r="E214" i="96" s="1"/>
  <c r="G214" i="96" s="1"/>
  <c r="C214" i="87"/>
  <c r="C159" i="87"/>
  <c r="E159" i="87" s="1"/>
  <c r="G159" i="87" s="1"/>
  <c r="C159" i="88" s="1"/>
  <c r="E159" i="88" s="1"/>
  <c r="G159" i="88" s="1"/>
  <c r="C159" i="89" s="1"/>
  <c r="E159" i="89" s="1"/>
  <c r="G159" i="89" s="1"/>
  <c r="E159" i="90" s="1"/>
  <c r="G159" i="90" s="1"/>
  <c r="E159" i="91" s="1"/>
  <c r="G159" i="91" s="1"/>
  <c r="C159" i="92" s="1"/>
  <c r="E159" i="92" s="1"/>
  <c r="G159" i="92" s="1"/>
  <c r="E159" i="93" s="1"/>
  <c r="G159" i="93" s="1"/>
  <c r="C159" i="94" s="1"/>
  <c r="E159" i="94" s="1"/>
  <c r="G159" i="94" s="1"/>
  <c r="C159" i="95" s="1"/>
  <c r="E159" i="95" s="1"/>
  <c r="G159" i="95" s="1"/>
  <c r="C159" i="96" s="1"/>
  <c r="E159" i="96" s="1"/>
  <c r="G159" i="96" s="1"/>
  <c r="E163" i="87"/>
  <c r="G163" i="87" s="1"/>
  <c r="C163" i="88" s="1"/>
  <c r="E163" i="88" s="1"/>
  <c r="G163" i="88" s="1"/>
  <c r="C163" i="89" s="1"/>
  <c r="E163" i="89" s="1"/>
  <c r="G163" i="89" s="1"/>
  <c r="E163" i="90" s="1"/>
  <c r="G163" i="90" s="1"/>
  <c r="E163" i="91" s="1"/>
  <c r="G163" i="91" s="1"/>
  <c r="C163" i="92" s="1"/>
  <c r="E163" i="92" s="1"/>
  <c r="G163" i="92" s="1"/>
  <c r="E163" i="93" s="1"/>
  <c r="G163" i="93" s="1"/>
  <c r="C163" i="94" s="1"/>
  <c r="E163" i="94" s="1"/>
  <c r="G163" i="94" s="1"/>
  <c r="C163" i="95" s="1"/>
  <c r="E163" i="95" s="1"/>
  <c r="G163" i="95" s="1"/>
  <c r="C163" i="96" s="1"/>
  <c r="E163" i="96" s="1"/>
  <c r="G163" i="96" s="1"/>
  <c r="C163" i="87"/>
  <c r="C212" i="87"/>
  <c r="E212" i="87" s="1"/>
  <c r="G212" i="87" s="1"/>
  <c r="C212" i="88" s="1"/>
  <c r="E212" i="88" s="1"/>
  <c r="G212" i="88" s="1"/>
  <c r="C212" i="89" s="1"/>
  <c r="E212" i="89" s="1"/>
  <c r="G212" i="89" s="1"/>
  <c r="E212" i="90" s="1"/>
  <c r="G212" i="90" s="1"/>
  <c r="E212" i="91" s="1"/>
  <c r="G212" i="91" s="1"/>
  <c r="C212" i="92" s="1"/>
  <c r="E212" i="92" s="1"/>
  <c r="G212" i="92" s="1"/>
  <c r="E212" i="93" s="1"/>
  <c r="G212" i="93" s="1"/>
  <c r="C212" i="94" s="1"/>
  <c r="E212" i="94" s="1"/>
  <c r="G212" i="94" s="1"/>
  <c r="C212" i="95" s="1"/>
  <c r="E212" i="95" s="1"/>
  <c r="G212" i="95" s="1"/>
  <c r="C212" i="96" s="1"/>
  <c r="E212" i="96" s="1"/>
  <c r="G212" i="96" s="1"/>
  <c r="E202" i="87"/>
  <c r="G202" i="87" s="1"/>
  <c r="C202" i="88" s="1"/>
  <c r="E202" i="88" s="1"/>
  <c r="G202" i="88" s="1"/>
  <c r="C202" i="89" s="1"/>
  <c r="E202" i="89" s="1"/>
  <c r="G202" i="89" s="1"/>
  <c r="E202" i="90" s="1"/>
  <c r="G202" i="90" s="1"/>
  <c r="E202" i="91" s="1"/>
  <c r="G202" i="91" s="1"/>
  <c r="C202" i="92" s="1"/>
  <c r="E202" i="92" s="1"/>
  <c r="G202" i="92" s="1"/>
  <c r="E202" i="93" s="1"/>
  <c r="G202" i="93" s="1"/>
  <c r="C202" i="94" s="1"/>
  <c r="E202" i="94" s="1"/>
  <c r="G202" i="94" s="1"/>
  <c r="C202" i="95" s="1"/>
  <c r="E202" i="95" s="1"/>
  <c r="G202" i="95" s="1"/>
  <c r="C202" i="96" s="1"/>
  <c r="E202" i="96" s="1"/>
  <c r="G202" i="96" s="1"/>
  <c r="C202" i="87"/>
  <c r="C178" i="87"/>
  <c r="E178" i="87" s="1"/>
  <c r="G178" i="87" s="1"/>
  <c r="C178" i="88" s="1"/>
  <c r="E178" i="88" s="1"/>
  <c r="G178" i="88" s="1"/>
  <c r="C178" i="89" s="1"/>
  <c r="E178" i="89" s="1"/>
  <c r="G178" i="89" s="1"/>
  <c r="E178" i="90" s="1"/>
  <c r="G178" i="90" s="1"/>
  <c r="E178" i="91" s="1"/>
  <c r="G178" i="91" s="1"/>
  <c r="C178" i="92" s="1"/>
  <c r="E178" i="92" s="1"/>
  <c r="G178" i="92" s="1"/>
  <c r="E178" i="93" s="1"/>
  <c r="G178" i="93" s="1"/>
  <c r="C178" i="94" s="1"/>
  <c r="E178" i="94" s="1"/>
  <c r="G178" i="94" s="1"/>
  <c r="C178" i="95" s="1"/>
  <c r="E178" i="95" s="1"/>
  <c r="G178" i="95" s="1"/>
  <c r="C178" i="96" s="1"/>
  <c r="E178" i="96" s="1"/>
  <c r="G178" i="96" s="1"/>
  <c r="E146" i="87"/>
  <c r="G146" i="87" s="1"/>
  <c r="C146" i="88" s="1"/>
  <c r="E146" i="88" s="1"/>
  <c r="G146" i="88" s="1"/>
  <c r="C146" i="89" s="1"/>
  <c r="E146" i="89" s="1"/>
  <c r="G146" i="89" s="1"/>
  <c r="E146" i="90" s="1"/>
  <c r="G146" i="90" s="1"/>
  <c r="E146" i="91" s="1"/>
  <c r="G146" i="91" s="1"/>
  <c r="C146" i="92" s="1"/>
  <c r="E146" i="92" s="1"/>
  <c r="G146" i="92" s="1"/>
  <c r="E146" i="93" s="1"/>
  <c r="G146" i="93" s="1"/>
  <c r="C146" i="94" s="1"/>
  <c r="E146" i="94" s="1"/>
  <c r="G146" i="94" s="1"/>
  <c r="C146" i="95" s="1"/>
  <c r="E146" i="95" s="1"/>
  <c r="G146" i="95" s="1"/>
  <c r="C146" i="96" s="1"/>
  <c r="E146" i="96" s="1"/>
  <c r="G146" i="96" s="1"/>
  <c r="C146" i="87"/>
  <c r="C156" i="87"/>
  <c r="E156" i="87" s="1"/>
  <c r="G156" i="87" s="1"/>
  <c r="C156" i="88" s="1"/>
  <c r="E156" i="88" s="1"/>
  <c r="G156" i="88" s="1"/>
  <c r="C156" i="89" s="1"/>
  <c r="E156" i="89" s="1"/>
  <c r="G156" i="89" s="1"/>
  <c r="E156" i="90" s="1"/>
  <c r="G156" i="90" s="1"/>
  <c r="E156" i="91" s="1"/>
  <c r="G156" i="91" s="1"/>
  <c r="C156" i="92" s="1"/>
  <c r="E156" i="92" s="1"/>
  <c r="G156" i="92" s="1"/>
  <c r="E156" i="93" s="1"/>
  <c r="G156" i="93" s="1"/>
  <c r="C156" i="94" s="1"/>
  <c r="E156" i="94" s="1"/>
  <c r="G156" i="94" s="1"/>
  <c r="C156" i="95" s="1"/>
  <c r="E156" i="95" s="1"/>
  <c r="G156" i="95" s="1"/>
  <c r="C156" i="96" s="1"/>
  <c r="E156" i="96" s="1"/>
  <c r="G156" i="96" s="1"/>
  <c r="E105" i="87"/>
  <c r="G105" i="87" s="1"/>
  <c r="C105" i="88" s="1"/>
  <c r="E105" i="88" s="1"/>
  <c r="G105" i="88" s="1"/>
  <c r="C105" i="89" s="1"/>
  <c r="E105" i="89" s="1"/>
  <c r="G105" i="89" s="1"/>
  <c r="E105" i="90" s="1"/>
  <c r="G105" i="90" s="1"/>
  <c r="E105" i="91" s="1"/>
  <c r="G105" i="91" s="1"/>
  <c r="C105" i="92" s="1"/>
  <c r="E105" i="92" s="1"/>
  <c r="G105" i="92" s="1"/>
  <c r="E105" i="93" s="1"/>
  <c r="G105" i="93" s="1"/>
  <c r="C105" i="94" s="1"/>
  <c r="E105" i="94" s="1"/>
  <c r="G105" i="94" s="1"/>
  <c r="C105" i="95" s="1"/>
  <c r="E105" i="95" s="1"/>
  <c r="G105" i="95" s="1"/>
  <c r="C105" i="96" s="1"/>
  <c r="E105" i="96" s="1"/>
  <c r="G105" i="96" s="1"/>
  <c r="C105" i="87"/>
  <c r="C199" i="87"/>
  <c r="E199" i="87" s="1"/>
  <c r="G199" i="87" s="1"/>
  <c r="C199" i="88" s="1"/>
  <c r="E199" i="88" s="1"/>
  <c r="G199" i="88" s="1"/>
  <c r="C199" i="89" s="1"/>
  <c r="E199" i="89" s="1"/>
  <c r="G199" i="89" s="1"/>
  <c r="E199" i="90" s="1"/>
  <c r="G199" i="90" s="1"/>
  <c r="E199" i="91" s="1"/>
  <c r="G199" i="91" s="1"/>
  <c r="C199" i="92" s="1"/>
  <c r="E199" i="92" s="1"/>
  <c r="G199" i="92" s="1"/>
  <c r="E199" i="93" s="1"/>
  <c r="G199" i="93" s="1"/>
  <c r="C199" i="94" s="1"/>
  <c r="E199" i="94" s="1"/>
  <c r="G199" i="94" s="1"/>
  <c r="C199" i="95" s="1"/>
  <c r="E199" i="95" s="1"/>
  <c r="G199" i="95" s="1"/>
  <c r="C199" i="96" s="1"/>
  <c r="E199" i="96" s="1"/>
  <c r="G199" i="96" s="1"/>
  <c r="E45" i="87"/>
  <c r="G45" i="87" s="1"/>
  <c r="C45" i="88" s="1"/>
  <c r="E45" i="88" s="1"/>
  <c r="G45" i="88" s="1"/>
  <c r="C45" i="89" s="1"/>
  <c r="E45" i="89" s="1"/>
  <c r="G45" i="89" s="1"/>
  <c r="E45" i="90" s="1"/>
  <c r="G45" i="90" s="1"/>
  <c r="E45" i="91" s="1"/>
  <c r="G45" i="91" s="1"/>
  <c r="C45" i="92" s="1"/>
  <c r="E45" i="92" s="1"/>
  <c r="G45" i="92" s="1"/>
  <c r="E45" i="93" s="1"/>
  <c r="G45" i="93" s="1"/>
  <c r="C45" i="94" s="1"/>
  <c r="E45" i="94" s="1"/>
  <c r="G45" i="94" s="1"/>
  <c r="C45" i="95" s="1"/>
  <c r="E45" i="95" s="1"/>
  <c r="G45" i="95" s="1"/>
  <c r="C45" i="96" s="1"/>
  <c r="E45" i="96" s="1"/>
  <c r="G45" i="96" s="1"/>
  <c r="C45" i="87"/>
  <c r="C121" i="87"/>
  <c r="E121" i="87" s="1"/>
  <c r="G121" i="87" s="1"/>
  <c r="C121" i="88" s="1"/>
  <c r="E121" i="88" s="1"/>
  <c r="G121" i="88" s="1"/>
  <c r="C121" i="89" s="1"/>
  <c r="E121" i="89" s="1"/>
  <c r="G121" i="89" s="1"/>
  <c r="E121" i="90" s="1"/>
  <c r="G121" i="90" s="1"/>
  <c r="E121" i="91" s="1"/>
  <c r="G121" i="91" s="1"/>
  <c r="C121" i="92" s="1"/>
  <c r="E121" i="92" s="1"/>
  <c r="G121" i="92" s="1"/>
  <c r="E121" i="93" s="1"/>
  <c r="G121" i="93" s="1"/>
  <c r="C121" i="94" s="1"/>
  <c r="E121" i="94" s="1"/>
  <c r="G121" i="94" s="1"/>
  <c r="C121" i="95" s="1"/>
  <c r="E121" i="95" s="1"/>
  <c r="G121" i="95" s="1"/>
  <c r="C121" i="96" s="1"/>
  <c r="E121" i="96" s="1"/>
  <c r="G121" i="96" s="1"/>
  <c r="E123" i="87"/>
  <c r="G123" i="87" s="1"/>
  <c r="C123" i="88" s="1"/>
  <c r="E123" i="88" s="1"/>
  <c r="G123" i="88" s="1"/>
  <c r="C123" i="89" s="1"/>
  <c r="E123" i="89" s="1"/>
  <c r="G123" i="89" s="1"/>
  <c r="E123" i="90" s="1"/>
  <c r="G123" i="90" s="1"/>
  <c r="E123" i="91" s="1"/>
  <c r="G123" i="91" s="1"/>
  <c r="C123" i="92" s="1"/>
  <c r="E123" i="92" s="1"/>
  <c r="G123" i="92" s="1"/>
  <c r="E123" i="93" s="1"/>
  <c r="G123" i="93" s="1"/>
  <c r="C123" i="94" s="1"/>
  <c r="E123" i="94" s="1"/>
  <c r="G123" i="94" s="1"/>
  <c r="C123" i="95" s="1"/>
  <c r="E123" i="95" s="1"/>
  <c r="G123" i="95" s="1"/>
  <c r="C123" i="96" s="1"/>
  <c r="E123" i="96" s="1"/>
  <c r="G123" i="96" s="1"/>
  <c r="C123" i="87"/>
  <c r="C19" i="87"/>
  <c r="E19" i="87" s="1"/>
  <c r="G19" i="87" s="1"/>
  <c r="C19" i="88" s="1"/>
  <c r="E19" i="88" s="1"/>
  <c r="G19" i="88" s="1"/>
  <c r="C19" i="89" s="1"/>
  <c r="E19" i="89" s="1"/>
  <c r="G19" i="89" s="1"/>
  <c r="E19" i="90" s="1"/>
  <c r="G19" i="90" s="1"/>
  <c r="E19" i="91" s="1"/>
  <c r="G19" i="91" s="1"/>
  <c r="C19" i="92" s="1"/>
  <c r="E19" i="92" s="1"/>
  <c r="G19" i="92" s="1"/>
  <c r="E19" i="93" s="1"/>
  <c r="G19" i="93" s="1"/>
  <c r="C19" i="94" s="1"/>
  <c r="E19" i="94" s="1"/>
  <c r="G19" i="94" s="1"/>
  <c r="C19" i="95" s="1"/>
  <c r="E19" i="95" s="1"/>
  <c r="G19" i="95" s="1"/>
  <c r="C19" i="96" s="1"/>
  <c r="E19" i="96" s="1"/>
  <c r="G19" i="96" s="1"/>
  <c r="E193" i="87"/>
  <c r="G193" i="87" s="1"/>
  <c r="C193" i="88" s="1"/>
  <c r="E193" i="88" s="1"/>
  <c r="G193" i="88" s="1"/>
  <c r="C193" i="89" s="1"/>
  <c r="E193" i="89" s="1"/>
  <c r="G193" i="89" s="1"/>
  <c r="E193" i="90" s="1"/>
  <c r="G193" i="90" s="1"/>
  <c r="E193" i="91" s="1"/>
  <c r="G193" i="91" s="1"/>
  <c r="C193" i="92" s="1"/>
  <c r="E193" i="92" s="1"/>
  <c r="G193" i="92" s="1"/>
  <c r="E193" i="93" s="1"/>
  <c r="G193" i="93" s="1"/>
  <c r="C193" i="94" s="1"/>
  <c r="E193" i="94" s="1"/>
  <c r="G193" i="94" s="1"/>
  <c r="C193" i="95" s="1"/>
  <c r="E193" i="95" s="1"/>
  <c r="G193" i="95" s="1"/>
  <c r="C193" i="96" s="1"/>
  <c r="E193" i="96" s="1"/>
  <c r="G193" i="96" s="1"/>
  <c r="C193" i="87"/>
  <c r="C84" i="87"/>
  <c r="E84" i="87" s="1"/>
  <c r="G84" i="87" s="1"/>
  <c r="C84" i="88" s="1"/>
  <c r="E84" i="88" s="1"/>
  <c r="G84" i="88" s="1"/>
  <c r="C84" i="89" s="1"/>
  <c r="E84" i="89" s="1"/>
  <c r="G84" i="89" s="1"/>
  <c r="E84" i="90" s="1"/>
  <c r="G84" i="90" s="1"/>
  <c r="E84" i="91" s="1"/>
  <c r="G84" i="91" s="1"/>
  <c r="C84" i="92" s="1"/>
  <c r="E84" i="92" s="1"/>
  <c r="G84" i="92" s="1"/>
  <c r="E84" i="93" s="1"/>
  <c r="G84" i="93" s="1"/>
  <c r="C84" i="94" s="1"/>
  <c r="E84" i="94" s="1"/>
  <c r="G84" i="94" s="1"/>
  <c r="C84" i="95" s="1"/>
  <c r="E84" i="95" s="1"/>
  <c r="G84" i="95" s="1"/>
  <c r="C84" i="96" s="1"/>
  <c r="E84" i="96" s="1"/>
  <c r="G84" i="96" s="1"/>
  <c r="E162" i="87"/>
  <c r="G162" i="87" s="1"/>
  <c r="C162" i="88" s="1"/>
  <c r="E162" i="88" s="1"/>
  <c r="G162" i="88" s="1"/>
  <c r="C162" i="89" s="1"/>
  <c r="E162" i="89" s="1"/>
  <c r="G162" i="89" s="1"/>
  <c r="E162" i="90" s="1"/>
  <c r="G162" i="90" s="1"/>
  <c r="E162" i="91" s="1"/>
  <c r="G162" i="91" s="1"/>
  <c r="C162" i="92" s="1"/>
  <c r="E162" i="92" s="1"/>
  <c r="G162" i="92" s="1"/>
  <c r="E162" i="93" s="1"/>
  <c r="G162" i="93" s="1"/>
  <c r="C162" i="94" s="1"/>
  <c r="E162" i="94" s="1"/>
  <c r="G162" i="94" s="1"/>
  <c r="C162" i="95" s="1"/>
  <c r="E162" i="95" s="1"/>
  <c r="G162" i="95" s="1"/>
  <c r="C162" i="96" s="1"/>
  <c r="E162" i="96" s="1"/>
  <c r="G162" i="96" s="1"/>
  <c r="C162" i="87"/>
  <c r="C165" i="87"/>
  <c r="E165" i="87" s="1"/>
  <c r="G165" i="87" s="1"/>
  <c r="C165" i="88" s="1"/>
  <c r="E165" i="88" s="1"/>
  <c r="G165" i="88" s="1"/>
  <c r="C165" i="89" s="1"/>
  <c r="E165" i="89" s="1"/>
  <c r="G165" i="89" s="1"/>
  <c r="E165" i="90" s="1"/>
  <c r="G165" i="90" s="1"/>
  <c r="E165" i="91" s="1"/>
  <c r="G165" i="91" s="1"/>
  <c r="C165" i="92" s="1"/>
  <c r="E165" i="92" s="1"/>
  <c r="G165" i="92" s="1"/>
  <c r="E165" i="93" s="1"/>
  <c r="G165" i="93" s="1"/>
  <c r="C165" i="94" s="1"/>
  <c r="E165" i="94" s="1"/>
  <c r="G165" i="94" s="1"/>
  <c r="C165" i="95" s="1"/>
  <c r="E165" i="95" s="1"/>
  <c r="G165" i="95" s="1"/>
  <c r="C165" i="96" s="1"/>
  <c r="E165" i="96" s="1"/>
  <c r="G165" i="96" s="1"/>
  <c r="E209" i="87"/>
  <c r="G209" i="87" s="1"/>
  <c r="C209" i="88" s="1"/>
  <c r="E209" i="88" s="1"/>
  <c r="G209" i="88" s="1"/>
  <c r="C209" i="89" s="1"/>
  <c r="E209" i="89" s="1"/>
  <c r="G209" i="89" s="1"/>
  <c r="E209" i="90" s="1"/>
  <c r="G209" i="90" s="1"/>
  <c r="E209" i="91" s="1"/>
  <c r="G209" i="91" s="1"/>
  <c r="C209" i="92" s="1"/>
  <c r="E209" i="92" s="1"/>
  <c r="G209" i="92" s="1"/>
  <c r="E209" i="93" s="1"/>
  <c r="G209" i="93" s="1"/>
  <c r="C209" i="94" s="1"/>
  <c r="E209" i="94" s="1"/>
  <c r="G209" i="94" s="1"/>
  <c r="C209" i="95" s="1"/>
  <c r="E209" i="95" s="1"/>
  <c r="G209" i="95" s="1"/>
  <c r="C209" i="96" s="1"/>
  <c r="E209" i="96" s="1"/>
  <c r="G209" i="96" s="1"/>
  <c r="C209" i="87"/>
  <c r="C173" i="87"/>
  <c r="E173" i="87" s="1"/>
  <c r="G173" i="87" s="1"/>
  <c r="C173" i="88" s="1"/>
  <c r="E173" i="88" s="1"/>
  <c r="G173" i="88" s="1"/>
  <c r="C173" i="89" s="1"/>
  <c r="E173" i="89" s="1"/>
  <c r="G173" i="89" s="1"/>
  <c r="E173" i="90" s="1"/>
  <c r="G173" i="90" s="1"/>
  <c r="E173" i="91" s="1"/>
  <c r="G173" i="91" s="1"/>
  <c r="C173" i="92" s="1"/>
  <c r="E173" i="92" s="1"/>
  <c r="G173" i="92" s="1"/>
  <c r="E173" i="93" s="1"/>
  <c r="G173" i="93" s="1"/>
  <c r="C173" i="94" s="1"/>
  <c r="E173" i="94" s="1"/>
  <c r="G173" i="94" s="1"/>
  <c r="C173" i="95" s="1"/>
  <c r="E173" i="95" s="1"/>
  <c r="G173" i="95" s="1"/>
  <c r="C173" i="96" s="1"/>
  <c r="E173" i="96" s="1"/>
  <c r="G173" i="96" s="1"/>
  <c r="E133" i="87"/>
  <c r="G133" i="87" s="1"/>
  <c r="C133" i="88" s="1"/>
  <c r="E133" i="88" s="1"/>
  <c r="G133" i="88" s="1"/>
  <c r="C133" i="89" s="1"/>
  <c r="E133" i="89" s="1"/>
  <c r="G133" i="89" s="1"/>
  <c r="E133" i="90" s="1"/>
  <c r="G133" i="90" s="1"/>
  <c r="E133" i="91" s="1"/>
  <c r="G133" i="91" s="1"/>
  <c r="C133" i="92" s="1"/>
  <c r="E133" i="92" s="1"/>
  <c r="G133" i="92" s="1"/>
  <c r="E133" i="93" s="1"/>
  <c r="G133" i="93" s="1"/>
  <c r="C133" i="94" s="1"/>
  <c r="E133" i="94" s="1"/>
  <c r="G133" i="94" s="1"/>
  <c r="C133" i="95" s="1"/>
  <c r="E133" i="95" s="1"/>
  <c r="G133" i="95" s="1"/>
  <c r="C133" i="96" s="1"/>
  <c r="E133" i="96" s="1"/>
  <c r="G133" i="96" s="1"/>
  <c r="C133" i="87"/>
  <c r="C130" i="87"/>
  <c r="E130" i="87" s="1"/>
  <c r="G130" i="87" s="1"/>
  <c r="C130" i="88" s="1"/>
  <c r="E130" i="88" s="1"/>
  <c r="G130" i="88" s="1"/>
  <c r="C130" i="89" s="1"/>
  <c r="E130" i="89" s="1"/>
  <c r="G130" i="89" s="1"/>
  <c r="E130" i="90" s="1"/>
  <c r="G130" i="90" s="1"/>
  <c r="E130" i="91" s="1"/>
  <c r="G130" i="91" s="1"/>
  <c r="C130" i="92" s="1"/>
  <c r="E130" i="92" s="1"/>
  <c r="G130" i="92" s="1"/>
  <c r="E130" i="93" s="1"/>
  <c r="G130" i="93" s="1"/>
  <c r="C130" i="94" s="1"/>
  <c r="E130" i="94" s="1"/>
  <c r="G130" i="94" s="1"/>
  <c r="C130" i="95" s="1"/>
  <c r="E130" i="95" s="1"/>
  <c r="G130" i="95" s="1"/>
  <c r="C130" i="96" s="1"/>
  <c r="E130" i="96" s="1"/>
  <c r="G130" i="96" s="1"/>
  <c r="E110" i="87"/>
  <c r="G110" i="87" s="1"/>
  <c r="C110" i="88" s="1"/>
  <c r="E110" i="88" s="1"/>
  <c r="G110" i="88" s="1"/>
  <c r="C110" i="89" s="1"/>
  <c r="E110" i="89" s="1"/>
  <c r="G110" i="89" s="1"/>
  <c r="E110" i="90" s="1"/>
  <c r="G110" i="90" s="1"/>
  <c r="E110" i="91" s="1"/>
  <c r="G110" i="91" s="1"/>
  <c r="C110" i="92" s="1"/>
  <c r="E110" i="92" s="1"/>
  <c r="G110" i="92" s="1"/>
  <c r="E110" i="93" s="1"/>
  <c r="G110" i="93" s="1"/>
  <c r="C110" i="94" s="1"/>
  <c r="E110" i="94" s="1"/>
  <c r="G110" i="94" s="1"/>
  <c r="C110" i="95" s="1"/>
  <c r="E110" i="95" s="1"/>
  <c r="G110" i="95" s="1"/>
  <c r="C110" i="96" s="1"/>
  <c r="E110" i="96" s="1"/>
  <c r="G110" i="96" s="1"/>
  <c r="C110" i="87"/>
  <c r="C194" i="87"/>
  <c r="E194" i="87" s="1"/>
  <c r="G194" i="87" s="1"/>
  <c r="C194" i="88" s="1"/>
  <c r="E194" i="88" s="1"/>
  <c r="G194" i="88" s="1"/>
  <c r="C194" i="89" s="1"/>
  <c r="E194" i="89" s="1"/>
  <c r="G194" i="89" s="1"/>
  <c r="E194" i="90" s="1"/>
  <c r="G194" i="90" s="1"/>
  <c r="E194" i="91" s="1"/>
  <c r="G194" i="91" s="1"/>
  <c r="C194" i="92" s="1"/>
  <c r="E194" i="92" s="1"/>
  <c r="G194" i="92" s="1"/>
  <c r="E194" i="93" s="1"/>
  <c r="G194" i="93" s="1"/>
  <c r="C194" i="94" s="1"/>
  <c r="E194" i="94" s="1"/>
  <c r="G194" i="94" s="1"/>
  <c r="C194" i="95" s="1"/>
  <c r="E194" i="95" s="1"/>
  <c r="G194" i="95" s="1"/>
  <c r="C194" i="96" s="1"/>
  <c r="E194" i="96" s="1"/>
  <c r="G194" i="96" s="1"/>
  <c r="E106" i="87"/>
  <c r="G106" i="87" s="1"/>
  <c r="C106" i="88" s="1"/>
  <c r="E106" i="88" s="1"/>
  <c r="G106" i="88" s="1"/>
  <c r="C106" i="89" s="1"/>
  <c r="E106" i="89" s="1"/>
  <c r="G106" i="89" s="1"/>
  <c r="E106" i="90" s="1"/>
  <c r="G106" i="90" s="1"/>
  <c r="E106" i="91" s="1"/>
  <c r="G106" i="91" s="1"/>
  <c r="C106" i="92" s="1"/>
  <c r="E106" i="92" s="1"/>
  <c r="G106" i="92" s="1"/>
  <c r="E106" i="93" s="1"/>
  <c r="G106" i="93" s="1"/>
  <c r="C106" i="94" s="1"/>
  <c r="E106" i="94" s="1"/>
  <c r="G106" i="94" s="1"/>
  <c r="C106" i="95" s="1"/>
  <c r="E106" i="95" s="1"/>
  <c r="G106" i="95" s="1"/>
  <c r="C106" i="96" s="1"/>
  <c r="E106" i="96" s="1"/>
  <c r="G106" i="96" s="1"/>
  <c r="C106" i="87"/>
  <c r="C141" i="87"/>
  <c r="E141" i="87" s="1"/>
  <c r="G141" i="87" s="1"/>
  <c r="C141" i="88" s="1"/>
  <c r="E141" i="88" s="1"/>
  <c r="G141" i="88" s="1"/>
  <c r="C141" i="89" s="1"/>
  <c r="E141" i="89" s="1"/>
  <c r="G141" i="89" s="1"/>
  <c r="E141" i="90" s="1"/>
  <c r="G141" i="90" s="1"/>
  <c r="E141" i="91" s="1"/>
  <c r="G141" i="91" s="1"/>
  <c r="C141" i="92" s="1"/>
  <c r="E141" i="92" s="1"/>
  <c r="G141" i="92" s="1"/>
  <c r="E141" i="93" s="1"/>
  <c r="G141" i="93" s="1"/>
  <c r="C141" i="94" s="1"/>
  <c r="E141" i="94" s="1"/>
  <c r="G141" i="94" s="1"/>
  <c r="C141" i="95" s="1"/>
  <c r="E141" i="95" s="1"/>
  <c r="G141" i="95" s="1"/>
  <c r="C141" i="96" s="1"/>
  <c r="E141" i="96" s="1"/>
  <c r="G141" i="96" s="1"/>
  <c r="E153" i="87"/>
  <c r="G153" i="87" s="1"/>
  <c r="C153" i="88" s="1"/>
  <c r="E153" i="88" s="1"/>
  <c r="G153" i="88" s="1"/>
  <c r="C153" i="89" s="1"/>
  <c r="E153" i="89" s="1"/>
  <c r="G153" i="89" s="1"/>
  <c r="E153" i="90" s="1"/>
  <c r="G153" i="90" s="1"/>
  <c r="E153" i="91" s="1"/>
  <c r="G153" i="91" s="1"/>
  <c r="C153" i="92" s="1"/>
  <c r="E153" i="92" s="1"/>
  <c r="G153" i="92" s="1"/>
  <c r="E153" i="93" s="1"/>
  <c r="G153" i="93" s="1"/>
  <c r="C153" i="94" s="1"/>
  <c r="E153" i="94" s="1"/>
  <c r="G153" i="94" s="1"/>
  <c r="C153" i="95" s="1"/>
  <c r="E153" i="95" s="1"/>
  <c r="G153" i="95" s="1"/>
  <c r="C153" i="96" s="1"/>
  <c r="E153" i="96" s="1"/>
  <c r="G153" i="96" s="1"/>
  <c r="C153" i="87"/>
  <c r="C65" i="87"/>
  <c r="E65" i="87" s="1"/>
  <c r="G65" i="87" s="1"/>
  <c r="C65" i="88" s="1"/>
  <c r="E65" i="88" s="1"/>
  <c r="G65" i="88" s="1"/>
  <c r="C65" i="89" s="1"/>
  <c r="E65" i="89" s="1"/>
  <c r="G65" i="89" s="1"/>
  <c r="E65" i="90" s="1"/>
  <c r="G65" i="90" s="1"/>
  <c r="E65" i="91" s="1"/>
  <c r="G65" i="91" s="1"/>
  <c r="C65" i="92" s="1"/>
  <c r="E65" i="92" s="1"/>
  <c r="G65" i="92" s="1"/>
  <c r="E65" i="93" s="1"/>
  <c r="G65" i="93" s="1"/>
  <c r="C65" i="94" s="1"/>
  <c r="E65" i="94" s="1"/>
  <c r="G65" i="94" s="1"/>
  <c r="C65" i="95" s="1"/>
  <c r="E65" i="95" s="1"/>
  <c r="G65" i="95" s="1"/>
  <c r="C65" i="96" s="1"/>
  <c r="E65" i="96" s="1"/>
  <c r="G65" i="96" s="1"/>
  <c r="E158" i="87"/>
  <c r="G158" i="87" s="1"/>
  <c r="C158" i="88" s="1"/>
  <c r="E158" i="88" s="1"/>
  <c r="G158" i="88" s="1"/>
  <c r="C158" i="89" s="1"/>
  <c r="E158" i="89" s="1"/>
  <c r="G158" i="89" s="1"/>
  <c r="E158" i="90" s="1"/>
  <c r="G158" i="90" s="1"/>
  <c r="E158" i="91" s="1"/>
  <c r="G158" i="91" s="1"/>
  <c r="C158" i="92" s="1"/>
  <c r="E158" i="92" s="1"/>
  <c r="G158" i="92" s="1"/>
  <c r="E158" i="93" s="1"/>
  <c r="G158" i="93" s="1"/>
  <c r="C158" i="94" s="1"/>
  <c r="E158" i="94" s="1"/>
  <c r="G158" i="94" s="1"/>
  <c r="C158" i="95" s="1"/>
  <c r="E158" i="95" s="1"/>
  <c r="G158" i="95" s="1"/>
  <c r="C158" i="96" s="1"/>
  <c r="E158" i="96" s="1"/>
  <c r="G158" i="96" s="1"/>
  <c r="C158" i="87"/>
  <c r="C198" i="87"/>
  <c r="E198" i="87" s="1"/>
  <c r="G198" i="87" s="1"/>
  <c r="C198" i="88" s="1"/>
  <c r="E198" i="88" s="1"/>
  <c r="G198" i="88" s="1"/>
  <c r="C198" i="89" s="1"/>
  <c r="E198" i="89" s="1"/>
  <c r="G198" i="89" s="1"/>
  <c r="E198" i="90" s="1"/>
  <c r="G198" i="90" s="1"/>
  <c r="E198" i="91" s="1"/>
  <c r="G198" i="91" s="1"/>
  <c r="C198" i="92" s="1"/>
  <c r="E198" i="92" s="1"/>
  <c r="G198" i="92" s="1"/>
  <c r="E198" i="93" s="1"/>
  <c r="G198" i="93" s="1"/>
  <c r="C198" i="94" s="1"/>
  <c r="E198" i="94" s="1"/>
  <c r="G198" i="94" s="1"/>
  <c r="C198" i="95" s="1"/>
  <c r="E198" i="95" s="1"/>
  <c r="G198" i="95" s="1"/>
  <c r="C198" i="96" s="1"/>
  <c r="E198" i="96" s="1"/>
  <c r="G198" i="96" s="1"/>
  <c r="E50" i="87"/>
  <c r="G50" i="87" s="1"/>
  <c r="C50" i="88" s="1"/>
  <c r="E50" i="88" s="1"/>
  <c r="G50" i="88" s="1"/>
  <c r="C50" i="89" s="1"/>
  <c r="E50" i="89" s="1"/>
  <c r="G50" i="89" s="1"/>
  <c r="E50" i="90" s="1"/>
  <c r="G50" i="90" s="1"/>
  <c r="E50" i="91" s="1"/>
  <c r="G50" i="91" s="1"/>
  <c r="C50" i="92" s="1"/>
  <c r="E50" i="92" s="1"/>
  <c r="G50" i="92" s="1"/>
  <c r="E50" i="93" s="1"/>
  <c r="G50" i="93" s="1"/>
  <c r="C50" i="94" s="1"/>
  <c r="E50" i="94" s="1"/>
  <c r="G50" i="94" s="1"/>
  <c r="C50" i="95" s="1"/>
  <c r="E50" i="95" s="1"/>
  <c r="G50" i="95" s="1"/>
  <c r="C50" i="96" s="1"/>
  <c r="E50" i="96" s="1"/>
  <c r="G50" i="96" s="1"/>
  <c r="C50" i="87"/>
  <c r="C90" i="87"/>
  <c r="E90" i="87" s="1"/>
  <c r="G90" i="87" s="1"/>
  <c r="C90" i="88" s="1"/>
  <c r="E90" i="88" s="1"/>
  <c r="G90" i="88" s="1"/>
  <c r="C90" i="89" s="1"/>
  <c r="E90" i="89" s="1"/>
  <c r="G90" i="89" s="1"/>
  <c r="E90" i="90" s="1"/>
  <c r="G90" i="90" s="1"/>
  <c r="E90" i="91" s="1"/>
  <c r="G90" i="91" s="1"/>
  <c r="C90" i="92" s="1"/>
  <c r="E90" i="92" s="1"/>
  <c r="G90" i="92" s="1"/>
  <c r="E90" i="93" s="1"/>
  <c r="G90" i="93" s="1"/>
  <c r="C90" i="94" s="1"/>
  <c r="E90" i="94" s="1"/>
  <c r="G90" i="94" s="1"/>
  <c r="C90" i="95" s="1"/>
  <c r="E90" i="95" s="1"/>
  <c r="G90" i="95" s="1"/>
  <c r="C90" i="96" s="1"/>
  <c r="E90" i="96" s="1"/>
  <c r="G90" i="96" s="1"/>
  <c r="E149" i="87"/>
  <c r="G149" i="87" s="1"/>
  <c r="C149" i="88" s="1"/>
  <c r="E149" i="88" s="1"/>
  <c r="G149" i="88" s="1"/>
  <c r="C149" i="89" s="1"/>
  <c r="E149" i="89" s="1"/>
  <c r="G149" i="89" s="1"/>
  <c r="E149" i="90" s="1"/>
  <c r="G149" i="90" s="1"/>
  <c r="E149" i="91" s="1"/>
  <c r="G149" i="91" s="1"/>
  <c r="C149" i="92" s="1"/>
  <c r="E149" i="92" s="1"/>
  <c r="G149" i="92" s="1"/>
  <c r="E149" i="93" s="1"/>
  <c r="G149" i="93" s="1"/>
  <c r="C149" i="94" s="1"/>
  <c r="E149" i="94" s="1"/>
  <c r="G149" i="94" s="1"/>
  <c r="C149" i="95" s="1"/>
  <c r="E149" i="95" s="1"/>
  <c r="G149" i="95" s="1"/>
  <c r="C149" i="96" s="1"/>
  <c r="E149" i="96" s="1"/>
  <c r="G149" i="96" s="1"/>
  <c r="C149" i="87"/>
  <c r="C36" i="87"/>
  <c r="E36" i="87" s="1"/>
  <c r="G36" i="87" s="1"/>
  <c r="C36" i="88" s="1"/>
  <c r="E36" i="88" s="1"/>
  <c r="G36" i="88" s="1"/>
  <c r="C36" i="89" s="1"/>
  <c r="E36" i="89" s="1"/>
  <c r="G36" i="89" s="1"/>
  <c r="E36" i="90" s="1"/>
  <c r="G36" i="90" s="1"/>
  <c r="E36" i="91" s="1"/>
  <c r="G36" i="91" s="1"/>
  <c r="C36" i="92" s="1"/>
  <c r="E36" i="92" s="1"/>
  <c r="G36" i="92" s="1"/>
  <c r="E36" i="93" s="1"/>
  <c r="G36" i="93" s="1"/>
  <c r="C36" i="94" s="1"/>
  <c r="E36" i="94" s="1"/>
  <c r="G36" i="94" s="1"/>
  <c r="C36" i="95" s="1"/>
  <c r="E36" i="95" s="1"/>
  <c r="G36" i="95" s="1"/>
  <c r="C36" i="96" s="1"/>
  <c r="E36" i="96" s="1"/>
  <c r="G36" i="96" s="1"/>
  <c r="E101" i="87"/>
  <c r="G101" i="87" s="1"/>
  <c r="C101" i="88" s="1"/>
  <c r="E101" i="88" s="1"/>
  <c r="G101" i="88" s="1"/>
  <c r="C101" i="89" s="1"/>
  <c r="E101" i="89" s="1"/>
  <c r="G101" i="89" s="1"/>
  <c r="E101" i="90" s="1"/>
  <c r="G101" i="90" s="1"/>
  <c r="E101" i="91" s="1"/>
  <c r="G101" i="91" s="1"/>
  <c r="C101" i="92" s="1"/>
  <c r="E101" i="92" s="1"/>
  <c r="G101" i="92" s="1"/>
  <c r="E101" i="93" s="1"/>
  <c r="G101" i="93" s="1"/>
  <c r="C101" i="94" s="1"/>
  <c r="E101" i="94" s="1"/>
  <c r="G101" i="94" s="1"/>
  <c r="C101" i="95" s="1"/>
  <c r="E101" i="95" s="1"/>
  <c r="G101" i="95" s="1"/>
  <c r="C101" i="96" s="1"/>
  <c r="E101" i="96" s="1"/>
  <c r="G101" i="96" s="1"/>
  <c r="C101" i="87"/>
  <c r="C167" i="87"/>
  <c r="E167" i="87" s="1"/>
  <c r="G167" i="87" s="1"/>
  <c r="C167" i="88" s="1"/>
  <c r="E167" i="88" s="1"/>
  <c r="G167" i="88" s="1"/>
  <c r="C167" i="89" s="1"/>
  <c r="E167" i="89" s="1"/>
  <c r="G167" i="89" s="1"/>
  <c r="E167" i="90" s="1"/>
  <c r="G167" i="90" s="1"/>
  <c r="E167" i="91" s="1"/>
  <c r="G167" i="91" s="1"/>
  <c r="C167" i="92" s="1"/>
  <c r="E167" i="92" s="1"/>
  <c r="G167" i="92" s="1"/>
  <c r="E167" i="93" s="1"/>
  <c r="G167" i="93" s="1"/>
  <c r="C167" i="94" s="1"/>
  <c r="E167" i="94" s="1"/>
  <c r="G167" i="94" s="1"/>
  <c r="C167" i="95" s="1"/>
  <c r="E167" i="95" s="1"/>
  <c r="G167" i="95" s="1"/>
  <c r="C167" i="96" s="1"/>
  <c r="E167" i="96" s="1"/>
  <c r="G167" i="96" s="1"/>
  <c r="E154" i="87"/>
  <c r="G154" i="87" s="1"/>
  <c r="C154" i="88" s="1"/>
  <c r="E154" i="88" s="1"/>
  <c r="G154" i="88" s="1"/>
  <c r="C154" i="89" s="1"/>
  <c r="E154" i="89" s="1"/>
  <c r="G154" i="89" s="1"/>
  <c r="E154" i="90" s="1"/>
  <c r="G154" i="90" s="1"/>
  <c r="E154" i="91" s="1"/>
  <c r="G154" i="91" s="1"/>
  <c r="C154" i="92" s="1"/>
  <c r="E154" i="92" s="1"/>
  <c r="G154" i="92" s="1"/>
  <c r="E154" i="93" s="1"/>
  <c r="G154" i="93" s="1"/>
  <c r="C154" i="94" s="1"/>
  <c r="E154" i="94" s="1"/>
  <c r="G154" i="94" s="1"/>
  <c r="C154" i="95" s="1"/>
  <c r="E154" i="95" s="1"/>
  <c r="G154" i="95" s="1"/>
  <c r="C154" i="96" s="1"/>
  <c r="E154" i="96" s="1"/>
  <c r="G154" i="96" s="1"/>
  <c r="C154" i="87"/>
  <c r="C59" i="87"/>
  <c r="E59" i="87" s="1"/>
  <c r="G59" i="87" s="1"/>
  <c r="C59" i="88" s="1"/>
  <c r="E59" i="88" s="1"/>
  <c r="G59" i="88" s="1"/>
  <c r="C59" i="89" s="1"/>
  <c r="E59" i="89" s="1"/>
  <c r="G59" i="89" s="1"/>
  <c r="E59" i="90" s="1"/>
  <c r="G59" i="90" s="1"/>
  <c r="E59" i="91" s="1"/>
  <c r="G59" i="91" s="1"/>
  <c r="C59" i="92" s="1"/>
  <c r="E59" i="92" s="1"/>
  <c r="G59" i="92" s="1"/>
  <c r="E59" i="93" s="1"/>
  <c r="G59" i="93" s="1"/>
  <c r="C59" i="94" s="1"/>
  <c r="E59" i="94" s="1"/>
  <c r="G59" i="94" s="1"/>
  <c r="C59" i="95" s="1"/>
  <c r="E59" i="95" s="1"/>
  <c r="G59" i="95" s="1"/>
  <c r="C59" i="96" s="1"/>
  <c r="E59" i="96" s="1"/>
  <c r="G59" i="96" s="1"/>
  <c r="E157" i="87"/>
  <c r="G157" i="87" s="1"/>
  <c r="C157" i="88" s="1"/>
  <c r="E157" i="88" s="1"/>
  <c r="G157" i="88" s="1"/>
  <c r="C157" i="89" s="1"/>
  <c r="E157" i="89" s="1"/>
  <c r="G157" i="89" s="1"/>
  <c r="E157" i="90" s="1"/>
  <c r="G157" i="90" s="1"/>
  <c r="E157" i="91" s="1"/>
  <c r="G157" i="91" s="1"/>
  <c r="C157" i="92" s="1"/>
  <c r="E157" i="92" s="1"/>
  <c r="G157" i="92" s="1"/>
  <c r="E157" i="93" s="1"/>
  <c r="G157" i="93" s="1"/>
  <c r="C157" i="94" s="1"/>
  <c r="E157" i="94" s="1"/>
  <c r="G157" i="94" s="1"/>
  <c r="C157" i="95" s="1"/>
  <c r="E157" i="95" s="1"/>
  <c r="G157" i="95" s="1"/>
  <c r="C157" i="96" s="1"/>
  <c r="E157" i="96" s="1"/>
  <c r="G157" i="96" s="1"/>
  <c r="C157" i="87"/>
  <c r="C27" i="87"/>
  <c r="E27" i="87" s="1"/>
  <c r="G27" i="87" s="1"/>
  <c r="C27" i="88" s="1"/>
  <c r="E27" i="88" s="1"/>
  <c r="G27" i="88" s="1"/>
  <c r="C27" i="89" s="1"/>
  <c r="E27" i="89" s="1"/>
  <c r="G27" i="89" s="1"/>
  <c r="E27" i="90" s="1"/>
  <c r="G27" i="90" s="1"/>
  <c r="E27" i="91" s="1"/>
  <c r="G27" i="91" s="1"/>
  <c r="C27" i="92" s="1"/>
  <c r="E27" i="92" s="1"/>
  <c r="G27" i="92" s="1"/>
  <c r="E27" i="93" s="1"/>
  <c r="G27" i="93" s="1"/>
  <c r="C27" i="94" s="1"/>
  <c r="E27" i="94" s="1"/>
  <c r="G27" i="94" s="1"/>
  <c r="C27" i="95" s="1"/>
  <c r="E27" i="95" s="1"/>
  <c r="G27" i="95" s="1"/>
  <c r="C27" i="96" s="1"/>
  <c r="E27" i="96" s="1"/>
  <c r="G27" i="96" s="1"/>
  <c r="E20" i="87"/>
  <c r="G20" i="87" s="1"/>
  <c r="C20" i="88" s="1"/>
  <c r="E20" i="88" s="1"/>
  <c r="G20" i="88" s="1"/>
  <c r="C20" i="89" s="1"/>
  <c r="E20" i="89" s="1"/>
  <c r="G20" i="89" s="1"/>
  <c r="E20" i="90" s="1"/>
  <c r="G20" i="90" s="1"/>
  <c r="E20" i="91" s="1"/>
  <c r="G20" i="91" s="1"/>
  <c r="C20" i="92" s="1"/>
  <c r="E20" i="92" s="1"/>
  <c r="G20" i="92" s="1"/>
  <c r="E20" i="93" s="1"/>
  <c r="G20" i="93" s="1"/>
  <c r="C20" i="94" s="1"/>
  <c r="E20" i="94" s="1"/>
  <c r="G20" i="94" s="1"/>
  <c r="C20" i="95" s="1"/>
  <c r="E20" i="95" s="1"/>
  <c r="G20" i="95" s="1"/>
  <c r="C20" i="96" s="1"/>
  <c r="E20" i="96" s="1"/>
  <c r="G20" i="96" s="1"/>
  <c r="C20" i="87"/>
  <c r="C131" i="87"/>
  <c r="E131" i="87" s="1"/>
  <c r="G131" i="87" s="1"/>
  <c r="C131" i="88" s="1"/>
  <c r="E131" i="88" s="1"/>
  <c r="G131" i="88" s="1"/>
  <c r="C131" i="89" s="1"/>
  <c r="E131" i="89" s="1"/>
  <c r="G131" i="89" s="1"/>
  <c r="E131" i="90" s="1"/>
  <c r="G131" i="90" s="1"/>
  <c r="E131" i="91" s="1"/>
  <c r="G131" i="91" s="1"/>
  <c r="C131" i="92" s="1"/>
  <c r="E131" i="92" s="1"/>
  <c r="G131" i="92" s="1"/>
  <c r="E131" i="93" s="1"/>
  <c r="G131" i="93" s="1"/>
  <c r="C131" i="94" s="1"/>
  <c r="E131" i="94" s="1"/>
  <c r="G131" i="94" s="1"/>
  <c r="C131" i="95" s="1"/>
  <c r="E131" i="95" s="1"/>
  <c r="G131" i="95" s="1"/>
  <c r="C131" i="96" s="1"/>
  <c r="E131" i="96" s="1"/>
  <c r="G131" i="96" s="1"/>
  <c r="E68" i="87"/>
  <c r="G68" i="87" s="1"/>
  <c r="C68" i="88" s="1"/>
  <c r="E68" i="88" s="1"/>
  <c r="G68" i="88" s="1"/>
  <c r="C68" i="89" s="1"/>
  <c r="E68" i="89" s="1"/>
  <c r="G68" i="89" s="1"/>
  <c r="E68" i="90" s="1"/>
  <c r="G68" i="90" s="1"/>
  <c r="E68" i="91" s="1"/>
  <c r="G68" i="91" s="1"/>
  <c r="C68" i="92" s="1"/>
  <c r="E68" i="92" s="1"/>
  <c r="G68" i="92" s="1"/>
  <c r="E68" i="93" s="1"/>
  <c r="G68" i="93" s="1"/>
  <c r="C68" i="94" s="1"/>
  <c r="E68" i="94" s="1"/>
  <c r="G68" i="94" s="1"/>
  <c r="C68" i="95" s="1"/>
  <c r="E68" i="95" s="1"/>
  <c r="G68" i="95" s="1"/>
  <c r="C68" i="96" s="1"/>
  <c r="E68" i="96" s="1"/>
  <c r="G68" i="96" s="1"/>
  <c r="C68" i="87"/>
  <c r="C137" i="87"/>
  <c r="E137" i="87" s="1"/>
  <c r="G137" i="87" s="1"/>
  <c r="C137" i="88" s="1"/>
  <c r="E137" i="88" s="1"/>
  <c r="G137" i="88" s="1"/>
  <c r="C137" i="89" s="1"/>
  <c r="E137" i="89" s="1"/>
  <c r="G137" i="89" s="1"/>
  <c r="E137" i="90" s="1"/>
  <c r="G137" i="90" s="1"/>
  <c r="E137" i="91" s="1"/>
  <c r="G137" i="91" s="1"/>
  <c r="C137" i="92" s="1"/>
  <c r="E137" i="92" s="1"/>
  <c r="G137" i="92" s="1"/>
  <c r="E137" i="93" s="1"/>
  <c r="G137" i="93" s="1"/>
  <c r="C137" i="94" s="1"/>
  <c r="E137" i="94" s="1"/>
  <c r="G137" i="94" s="1"/>
  <c r="C137" i="95" s="1"/>
  <c r="E137" i="95" s="1"/>
  <c r="G137" i="95" s="1"/>
  <c r="C137" i="96" s="1"/>
  <c r="E137" i="96" s="1"/>
  <c r="G137" i="96" s="1"/>
  <c r="E87" i="87"/>
  <c r="G87" i="87" s="1"/>
  <c r="C87" i="88" s="1"/>
  <c r="E87" i="88" s="1"/>
  <c r="G87" i="88" s="1"/>
  <c r="C87" i="89" s="1"/>
  <c r="E87" i="89" s="1"/>
  <c r="G87" i="89" s="1"/>
  <c r="E87" i="90" s="1"/>
  <c r="G87" i="90" s="1"/>
  <c r="E87" i="91" s="1"/>
  <c r="G87" i="91" s="1"/>
  <c r="C87" i="92" s="1"/>
  <c r="E87" i="92" s="1"/>
  <c r="G87" i="92" s="1"/>
  <c r="E87" i="93" s="1"/>
  <c r="G87" i="93" s="1"/>
  <c r="C87" i="94" s="1"/>
  <c r="E87" i="94" s="1"/>
  <c r="G87" i="94" s="1"/>
  <c r="C87" i="95" s="1"/>
  <c r="E87" i="95" s="1"/>
  <c r="G87" i="95" s="1"/>
  <c r="C87" i="96" s="1"/>
  <c r="E87" i="96" s="1"/>
  <c r="G87" i="96" s="1"/>
  <c r="C87" i="87"/>
  <c r="C148" i="87"/>
  <c r="E148" i="87" s="1"/>
  <c r="G148" i="87" s="1"/>
  <c r="C148" i="88" s="1"/>
  <c r="E148" i="88" s="1"/>
  <c r="G148" i="88" s="1"/>
  <c r="C148" i="89" s="1"/>
  <c r="E148" i="89" s="1"/>
  <c r="G148" i="89" s="1"/>
  <c r="E148" i="90" s="1"/>
  <c r="G148" i="90" s="1"/>
  <c r="E148" i="91" s="1"/>
  <c r="G148" i="91" s="1"/>
  <c r="C148" i="92" s="1"/>
  <c r="E148" i="92" s="1"/>
  <c r="G148" i="92" s="1"/>
  <c r="E148" i="93" s="1"/>
  <c r="G148" i="93" s="1"/>
  <c r="C148" i="94" s="1"/>
  <c r="E148" i="94" s="1"/>
  <c r="G148" i="94" s="1"/>
  <c r="C148" i="95" s="1"/>
  <c r="E148" i="95" s="1"/>
  <c r="G148" i="95" s="1"/>
  <c r="C148" i="96" s="1"/>
  <c r="E148" i="96" s="1"/>
  <c r="G148" i="96" s="1"/>
  <c r="E203" i="87"/>
  <c r="G203" i="87" s="1"/>
  <c r="C203" i="88" s="1"/>
  <c r="E203" i="88" s="1"/>
  <c r="G203" i="88" s="1"/>
  <c r="C203" i="89" s="1"/>
  <c r="E203" i="89" s="1"/>
  <c r="G203" i="89" s="1"/>
  <c r="E203" i="90" s="1"/>
  <c r="G203" i="90" s="1"/>
  <c r="E203" i="91" s="1"/>
  <c r="G203" i="91" s="1"/>
  <c r="C203" i="92" s="1"/>
  <c r="E203" i="92" s="1"/>
  <c r="G203" i="92" s="1"/>
  <c r="E203" i="93" s="1"/>
  <c r="G203" i="93" s="1"/>
  <c r="C203" i="94" s="1"/>
  <c r="E203" i="94" s="1"/>
  <c r="G203" i="94" s="1"/>
  <c r="C203" i="95" s="1"/>
  <c r="E203" i="95" s="1"/>
  <c r="G203" i="95" s="1"/>
  <c r="C203" i="96" s="1"/>
  <c r="E203" i="96" s="1"/>
  <c r="G203" i="96" s="1"/>
  <c r="C203" i="87"/>
  <c r="C190" i="87"/>
  <c r="E190" i="87" s="1"/>
  <c r="G190" i="87" s="1"/>
  <c r="C190" i="88" s="1"/>
  <c r="E190" i="88" s="1"/>
  <c r="G190" i="88" s="1"/>
  <c r="C190" i="89" s="1"/>
  <c r="E190" i="89" s="1"/>
  <c r="G190" i="89" s="1"/>
  <c r="E190" i="90" s="1"/>
  <c r="G190" i="90" s="1"/>
  <c r="E190" i="91" s="1"/>
  <c r="G190" i="91" s="1"/>
  <c r="C190" i="92" s="1"/>
  <c r="E190" i="92" s="1"/>
  <c r="G190" i="92" s="1"/>
  <c r="E190" i="93" s="1"/>
  <c r="G190" i="93" s="1"/>
  <c r="C190" i="94" s="1"/>
  <c r="E190" i="94" s="1"/>
  <c r="G190" i="94" s="1"/>
  <c r="C190" i="95" s="1"/>
  <c r="E190" i="95" s="1"/>
  <c r="G190" i="95" s="1"/>
  <c r="C190" i="96" s="1"/>
  <c r="E190" i="96" s="1"/>
  <c r="G190" i="96" s="1"/>
  <c r="E119" i="87"/>
  <c r="G119" i="87" s="1"/>
  <c r="C119" i="88" s="1"/>
  <c r="E119" i="88" s="1"/>
  <c r="G119" i="88" s="1"/>
  <c r="C119" i="89" s="1"/>
  <c r="E119" i="89" s="1"/>
  <c r="G119" i="89" s="1"/>
  <c r="E119" i="90" s="1"/>
  <c r="G119" i="90" s="1"/>
  <c r="E119" i="91" s="1"/>
  <c r="G119" i="91" s="1"/>
  <c r="C119" i="92" s="1"/>
  <c r="E119" i="92" s="1"/>
  <c r="G119" i="92" s="1"/>
  <c r="E119" i="93" s="1"/>
  <c r="G119" i="93" s="1"/>
  <c r="C119" i="94" s="1"/>
  <c r="E119" i="94" s="1"/>
  <c r="G119" i="94" s="1"/>
  <c r="C119" i="95" s="1"/>
  <c r="E119" i="95" s="1"/>
  <c r="G119" i="95" s="1"/>
  <c r="C119" i="96" s="1"/>
  <c r="E119" i="96" s="1"/>
  <c r="G119" i="96" s="1"/>
  <c r="C119" i="87"/>
  <c r="C186" i="87"/>
  <c r="E186" i="87" s="1"/>
  <c r="G186" i="87" s="1"/>
  <c r="C186" i="88" s="1"/>
  <c r="E186" i="88" s="1"/>
  <c r="G186" i="88" s="1"/>
  <c r="C186" i="89" s="1"/>
  <c r="E186" i="89" s="1"/>
  <c r="G186" i="89" s="1"/>
  <c r="E186" i="90" s="1"/>
  <c r="G186" i="90" s="1"/>
  <c r="E186" i="91" s="1"/>
  <c r="G186" i="91" s="1"/>
  <c r="C186" i="92" s="1"/>
  <c r="E186" i="92" s="1"/>
  <c r="G186" i="92" s="1"/>
  <c r="E186" i="93" s="1"/>
  <c r="G186" i="93" s="1"/>
  <c r="C186" i="94" s="1"/>
  <c r="E186" i="94" s="1"/>
  <c r="G186" i="94" s="1"/>
  <c r="C186" i="95" s="1"/>
  <c r="E186" i="95" s="1"/>
  <c r="G186" i="95" s="1"/>
  <c r="C186" i="96" s="1"/>
  <c r="E186" i="96" s="1"/>
  <c r="G186" i="96" s="1"/>
  <c r="E195" i="87"/>
  <c r="G195" i="87" s="1"/>
  <c r="C195" i="88" s="1"/>
  <c r="E195" i="88" s="1"/>
  <c r="G195" i="88" s="1"/>
  <c r="C195" i="89" s="1"/>
  <c r="E195" i="89" s="1"/>
  <c r="G195" i="89" s="1"/>
  <c r="E195" i="90" s="1"/>
  <c r="G195" i="90" s="1"/>
  <c r="E195" i="91" s="1"/>
  <c r="G195" i="91" s="1"/>
  <c r="C195" i="92" s="1"/>
  <c r="E195" i="92" s="1"/>
  <c r="G195" i="92" s="1"/>
  <c r="E195" i="93" s="1"/>
  <c r="G195" i="93" s="1"/>
  <c r="C195" i="94" s="1"/>
  <c r="E195" i="94" s="1"/>
  <c r="G195" i="94" s="1"/>
  <c r="C195" i="95" s="1"/>
  <c r="E195" i="95" s="1"/>
  <c r="G195" i="95" s="1"/>
  <c r="C195" i="96" s="1"/>
  <c r="E195" i="96" s="1"/>
  <c r="G195" i="96" s="1"/>
  <c r="C195" i="87"/>
  <c r="C73" i="87"/>
  <c r="E73" i="87" s="1"/>
  <c r="G73" i="87" s="1"/>
  <c r="C73" i="88" s="1"/>
  <c r="E73" i="88" s="1"/>
  <c r="G73" i="88" s="1"/>
  <c r="C73" i="89" s="1"/>
  <c r="E73" i="89" s="1"/>
  <c r="G73" i="89" s="1"/>
  <c r="E73" i="90" s="1"/>
  <c r="G73" i="90" s="1"/>
  <c r="E73" i="91" s="1"/>
  <c r="G73" i="91" s="1"/>
  <c r="C73" i="92" s="1"/>
  <c r="E73" i="92" s="1"/>
  <c r="G73" i="92" s="1"/>
  <c r="E73" i="93" s="1"/>
  <c r="G73" i="93" s="1"/>
  <c r="C73" i="94" s="1"/>
  <c r="E73" i="94" s="1"/>
  <c r="G73" i="94" s="1"/>
  <c r="C73" i="95" s="1"/>
  <c r="E73" i="95" s="1"/>
  <c r="G73" i="95" s="1"/>
  <c r="C73" i="96" s="1"/>
  <c r="E73" i="96" s="1"/>
  <c r="G73" i="96" s="1"/>
  <c r="E217" i="87"/>
  <c r="G217" i="87" s="1"/>
  <c r="C217" i="88" s="1"/>
  <c r="E217" i="88" s="1"/>
  <c r="G217" i="88" s="1"/>
  <c r="C217" i="89" s="1"/>
  <c r="E217" i="89" s="1"/>
  <c r="G217" i="89" s="1"/>
  <c r="E217" i="90" s="1"/>
  <c r="G217" i="90" s="1"/>
  <c r="E217" i="91" s="1"/>
  <c r="G217" i="91" s="1"/>
  <c r="C217" i="92" s="1"/>
  <c r="E217" i="92" s="1"/>
  <c r="G217" i="92" s="1"/>
  <c r="E217" i="93" s="1"/>
  <c r="G217" i="93" s="1"/>
  <c r="C217" i="94" s="1"/>
  <c r="E217" i="94" s="1"/>
  <c r="G217" i="94" s="1"/>
  <c r="C217" i="95" s="1"/>
  <c r="E217" i="95" s="1"/>
  <c r="G217" i="95" s="1"/>
  <c r="C217" i="96" s="1"/>
  <c r="E217" i="96" s="1"/>
  <c r="G217" i="96" s="1"/>
  <c r="C217" i="87"/>
  <c r="C132" i="87"/>
  <c r="E132" i="87" s="1"/>
  <c r="G132" i="87" s="1"/>
  <c r="C132" i="88" s="1"/>
  <c r="E132" i="88" s="1"/>
  <c r="G132" i="88" s="1"/>
  <c r="C132" i="89" s="1"/>
  <c r="E132" i="89" s="1"/>
  <c r="G132" i="89" s="1"/>
  <c r="E132" i="90" s="1"/>
  <c r="G132" i="90" s="1"/>
  <c r="E132" i="91" s="1"/>
  <c r="G132" i="91" s="1"/>
  <c r="C132" i="92" s="1"/>
  <c r="E132" i="92" s="1"/>
  <c r="G132" i="92" s="1"/>
  <c r="E132" i="93" s="1"/>
  <c r="G132" i="93" s="1"/>
  <c r="C132" i="94" s="1"/>
  <c r="E132" i="94" s="1"/>
  <c r="G132" i="94" s="1"/>
  <c r="C132" i="95" s="1"/>
  <c r="E132" i="95" s="1"/>
  <c r="G132" i="95" s="1"/>
  <c r="C132" i="96" s="1"/>
  <c r="E132" i="96" s="1"/>
  <c r="G132" i="96" s="1"/>
  <c r="E8" i="83"/>
  <c r="G8" i="83" s="1"/>
  <c r="C8" i="83"/>
  <c r="C77" i="87"/>
  <c r="E77" i="87" s="1"/>
  <c r="G77" i="87" s="1"/>
  <c r="C77" i="88" s="1"/>
  <c r="E77" i="88" s="1"/>
  <c r="G77" i="88" s="1"/>
  <c r="C77" i="89" s="1"/>
  <c r="E77" i="89" s="1"/>
  <c r="G77" i="89" s="1"/>
  <c r="E77" i="90" s="1"/>
  <c r="G77" i="90" s="1"/>
  <c r="E77" i="91" s="1"/>
  <c r="G77" i="91" s="1"/>
  <c r="C77" i="92" s="1"/>
  <c r="E77" i="92" s="1"/>
  <c r="G77" i="92" s="1"/>
  <c r="E77" i="93" s="1"/>
  <c r="G77" i="93" s="1"/>
  <c r="C77" i="94" s="1"/>
  <c r="E77" i="94" s="1"/>
  <c r="G77" i="94" s="1"/>
  <c r="C77" i="95" s="1"/>
  <c r="E77" i="95" s="1"/>
  <c r="G77" i="95" s="1"/>
  <c r="C77" i="96" s="1"/>
  <c r="E77" i="96" s="1"/>
  <c r="G77" i="96" s="1"/>
  <c r="E12" i="83"/>
  <c r="G12" i="83" s="1"/>
  <c r="C12" i="83"/>
  <c r="C13" i="83"/>
  <c r="E13" i="83" s="1"/>
  <c r="G13" i="83" s="1"/>
  <c r="E92" i="87"/>
  <c r="G92" i="87" s="1"/>
  <c r="C92" i="88" s="1"/>
  <c r="E92" i="88" s="1"/>
  <c r="G92" i="88" s="1"/>
  <c r="C92" i="89" s="1"/>
  <c r="E92" i="89" s="1"/>
  <c r="G92" i="89" s="1"/>
  <c r="E92" i="90" s="1"/>
  <c r="G92" i="90" s="1"/>
  <c r="E92" i="91" s="1"/>
  <c r="G92" i="91" s="1"/>
  <c r="C92" i="92" s="1"/>
  <c r="E92" i="92" s="1"/>
  <c r="G92" i="92" s="1"/>
  <c r="E92" i="93" s="1"/>
  <c r="G92" i="93" s="1"/>
  <c r="C92" i="94" s="1"/>
  <c r="E92" i="94" s="1"/>
  <c r="G92" i="94" s="1"/>
  <c r="C92" i="95" s="1"/>
  <c r="E92" i="95" s="1"/>
  <c r="G92" i="95" s="1"/>
  <c r="C92" i="96" s="1"/>
  <c r="E92" i="96" s="1"/>
  <c r="G92" i="96" s="1"/>
  <c r="C92" i="87"/>
  <c r="C124" i="87"/>
  <c r="E124" i="87" s="1"/>
  <c r="G124" i="87" s="1"/>
  <c r="C124" i="88" s="1"/>
  <c r="E124" i="88" s="1"/>
  <c r="G124" i="88" s="1"/>
  <c r="C124" i="89" s="1"/>
  <c r="E124" i="89" s="1"/>
  <c r="G124" i="89" s="1"/>
  <c r="E124" i="90" s="1"/>
  <c r="G124" i="90" s="1"/>
  <c r="E124" i="91" s="1"/>
  <c r="G124" i="91" s="1"/>
  <c r="C124" i="92" s="1"/>
  <c r="E124" i="92" s="1"/>
  <c r="G124" i="92" s="1"/>
  <c r="E124" i="93" s="1"/>
  <c r="G124" i="93" s="1"/>
  <c r="C124" i="94" s="1"/>
  <c r="E124" i="94" s="1"/>
  <c r="G124" i="94" s="1"/>
  <c r="C124" i="95" s="1"/>
  <c r="E124" i="95" s="1"/>
  <c r="G124" i="95" s="1"/>
  <c r="C124" i="96" s="1"/>
  <c r="E124" i="96" s="1"/>
  <c r="G124" i="96" s="1"/>
  <c r="E184" i="87"/>
  <c r="G184" i="87" s="1"/>
  <c r="C184" i="88" s="1"/>
  <c r="E184" i="88" s="1"/>
  <c r="G184" i="88" s="1"/>
  <c r="C184" i="89" s="1"/>
  <c r="E184" i="89" s="1"/>
  <c r="G184" i="89" s="1"/>
  <c r="E184" i="90" s="1"/>
  <c r="G184" i="90" s="1"/>
  <c r="E184" i="91" s="1"/>
  <c r="G184" i="91" s="1"/>
  <c r="C184" i="92" s="1"/>
  <c r="E184" i="92" s="1"/>
  <c r="G184" i="92" s="1"/>
  <c r="E184" i="93" s="1"/>
  <c r="G184" i="93" s="1"/>
  <c r="C184" i="94" s="1"/>
  <c r="E184" i="94" s="1"/>
  <c r="G184" i="94" s="1"/>
  <c r="C184" i="95" s="1"/>
  <c r="E184" i="95" s="1"/>
  <c r="G184" i="95" s="1"/>
  <c r="C184" i="96" s="1"/>
  <c r="E184" i="96" s="1"/>
  <c r="G184" i="96" s="1"/>
  <c r="C184" i="87"/>
  <c r="C205" i="87"/>
  <c r="E205" i="87" s="1"/>
  <c r="G205" i="87" s="1"/>
  <c r="C205" i="88" s="1"/>
  <c r="E205" i="88" s="1"/>
  <c r="G205" i="88" s="1"/>
  <c r="C205" i="89" s="1"/>
  <c r="E205" i="89" s="1"/>
  <c r="G205" i="89" s="1"/>
  <c r="E205" i="90" s="1"/>
  <c r="G205" i="90" s="1"/>
  <c r="E205" i="91" s="1"/>
  <c r="G205" i="91" s="1"/>
  <c r="C205" i="92" s="1"/>
  <c r="E205" i="92" s="1"/>
  <c r="G205" i="92" s="1"/>
  <c r="E205" i="93" s="1"/>
  <c r="G205" i="93" s="1"/>
  <c r="C205" i="94" s="1"/>
  <c r="E205" i="94" s="1"/>
  <c r="G205" i="94" s="1"/>
  <c r="C205" i="95" s="1"/>
  <c r="E205" i="95" s="1"/>
  <c r="G205" i="95" s="1"/>
  <c r="C205" i="96" s="1"/>
  <c r="E205" i="96" s="1"/>
  <c r="G205" i="96" s="1"/>
  <c r="E125" i="87"/>
  <c r="G125" i="87" s="1"/>
  <c r="C125" i="88" s="1"/>
  <c r="E125" i="88" s="1"/>
  <c r="G125" i="88" s="1"/>
  <c r="C125" i="89" s="1"/>
  <c r="E125" i="89" s="1"/>
  <c r="G125" i="89" s="1"/>
  <c r="E125" i="90" s="1"/>
  <c r="G125" i="90" s="1"/>
  <c r="E125" i="91" s="1"/>
  <c r="G125" i="91" s="1"/>
  <c r="C125" i="92" s="1"/>
  <c r="E125" i="92" s="1"/>
  <c r="G125" i="92" s="1"/>
  <c r="E125" i="93" s="1"/>
  <c r="G125" i="93" s="1"/>
  <c r="C125" i="94" s="1"/>
  <c r="E125" i="94" s="1"/>
  <c r="G125" i="94" s="1"/>
  <c r="C125" i="95" s="1"/>
  <c r="E125" i="95" s="1"/>
  <c r="G125" i="95" s="1"/>
  <c r="C125" i="96" s="1"/>
  <c r="E125" i="96" s="1"/>
  <c r="G125" i="96" s="1"/>
  <c r="C125" i="87"/>
  <c r="C54" i="87"/>
  <c r="E54" i="87" s="1"/>
  <c r="G54" i="87" s="1"/>
  <c r="C54" i="88" s="1"/>
  <c r="E54" i="88" s="1"/>
  <c r="G54" i="88" s="1"/>
  <c r="C54" i="89" s="1"/>
  <c r="E54" i="89" s="1"/>
  <c r="G54" i="89" s="1"/>
  <c r="E54" i="90" s="1"/>
  <c r="G54" i="90" s="1"/>
  <c r="E54" i="91" s="1"/>
  <c r="G54" i="91" s="1"/>
  <c r="C54" i="92" s="1"/>
  <c r="E54" i="92" s="1"/>
  <c r="G54" i="92" s="1"/>
  <c r="E54" i="93" s="1"/>
  <c r="G54" i="93" s="1"/>
  <c r="C54" i="94" s="1"/>
  <c r="E54" i="94" s="1"/>
  <c r="G54" i="94" s="1"/>
  <c r="C54" i="95" s="1"/>
  <c r="E54" i="95" s="1"/>
  <c r="G54" i="95" s="1"/>
  <c r="C54" i="96" s="1"/>
  <c r="E54" i="96" s="1"/>
  <c r="G54" i="96" s="1"/>
  <c r="E118" i="87"/>
  <c r="G118" i="87" s="1"/>
  <c r="C118" i="88" s="1"/>
  <c r="E118" i="88" s="1"/>
  <c r="G118" i="88" s="1"/>
  <c r="C118" i="89" s="1"/>
  <c r="E118" i="89" s="1"/>
  <c r="G118" i="89" s="1"/>
  <c r="E118" i="90" s="1"/>
  <c r="G118" i="90" s="1"/>
  <c r="E118" i="91" s="1"/>
  <c r="G118" i="91" s="1"/>
  <c r="C118" i="92" s="1"/>
  <c r="E118" i="92" s="1"/>
  <c r="G118" i="92" s="1"/>
  <c r="E118" i="93" s="1"/>
  <c r="G118" i="93" s="1"/>
  <c r="C118" i="94" s="1"/>
  <c r="E118" i="94" s="1"/>
  <c r="G118" i="94" s="1"/>
  <c r="C118" i="95" s="1"/>
  <c r="E118" i="95" s="1"/>
  <c r="G118" i="95" s="1"/>
  <c r="C118" i="96" s="1"/>
  <c r="E118" i="96" s="1"/>
  <c r="G118" i="96" s="1"/>
  <c r="C118" i="87"/>
  <c r="C99" i="87"/>
  <c r="E99" i="87" s="1"/>
  <c r="G99" i="87" s="1"/>
  <c r="C99" i="88" s="1"/>
  <c r="E99" i="88" s="1"/>
  <c r="G99" i="88" s="1"/>
  <c r="C99" i="89" s="1"/>
  <c r="E99" i="89" s="1"/>
  <c r="G99" i="89" s="1"/>
  <c r="E99" i="90" s="1"/>
  <c r="G99" i="90" s="1"/>
  <c r="E99" i="91" s="1"/>
  <c r="G99" i="91" s="1"/>
  <c r="C99" i="92" s="1"/>
  <c r="E99" i="92" s="1"/>
  <c r="G99" i="92" s="1"/>
  <c r="E99" i="93" s="1"/>
  <c r="G99" i="93" s="1"/>
  <c r="C99" i="94" s="1"/>
  <c r="E99" i="94" s="1"/>
  <c r="G99" i="94" s="1"/>
  <c r="C99" i="95" s="1"/>
  <c r="E99" i="95" s="1"/>
  <c r="G99" i="95" s="1"/>
  <c r="C99" i="96" s="1"/>
  <c r="E99" i="96" s="1"/>
  <c r="G99" i="96" s="1"/>
  <c r="E16" i="87"/>
  <c r="G16" i="87" s="1"/>
  <c r="C16" i="88" s="1"/>
  <c r="E16" i="88" s="1"/>
  <c r="G16" i="88" s="1"/>
  <c r="C16" i="89" s="1"/>
  <c r="E16" i="89" s="1"/>
  <c r="G16" i="89" s="1"/>
  <c r="E16" i="90" s="1"/>
  <c r="G16" i="90" s="1"/>
  <c r="E16" i="91" s="1"/>
  <c r="G16" i="91" s="1"/>
  <c r="C16" i="92" s="1"/>
  <c r="E16" i="92" s="1"/>
  <c r="G16" i="92" s="1"/>
  <c r="E16" i="93" s="1"/>
  <c r="G16" i="93" s="1"/>
  <c r="C16" i="94" s="1"/>
  <c r="E16" i="94" s="1"/>
  <c r="G16" i="94" s="1"/>
  <c r="C16" i="95" s="1"/>
  <c r="E16" i="95" s="1"/>
  <c r="G16" i="95" s="1"/>
  <c r="C16" i="96" s="1"/>
  <c r="E16" i="96" s="1"/>
  <c r="G16" i="96" s="1"/>
  <c r="C16" i="87"/>
  <c r="C103" i="87"/>
  <c r="E103" i="87" s="1"/>
  <c r="G103" i="87" s="1"/>
  <c r="C103" i="88" s="1"/>
  <c r="E103" i="88" s="1"/>
  <c r="G103" i="88" s="1"/>
  <c r="C103" i="89" s="1"/>
  <c r="E103" i="89" s="1"/>
  <c r="G103" i="89" s="1"/>
  <c r="E103" i="90" s="1"/>
  <c r="G103" i="90" s="1"/>
  <c r="E103" i="91" s="1"/>
  <c r="G103" i="91" s="1"/>
  <c r="C103" i="92" s="1"/>
  <c r="E103" i="92" s="1"/>
  <c r="G103" i="92" s="1"/>
  <c r="E103" i="93" s="1"/>
  <c r="G103" i="93" s="1"/>
  <c r="C103" i="94" s="1"/>
  <c r="E103" i="94" s="1"/>
  <c r="G103" i="94" s="1"/>
  <c r="C103" i="95" s="1"/>
  <c r="E103" i="95" s="1"/>
  <c r="G103" i="95" s="1"/>
  <c r="C103" i="96" s="1"/>
  <c r="E103" i="96" s="1"/>
  <c r="G103" i="96" s="1"/>
  <c r="E161" i="87"/>
  <c r="G161" i="87" s="1"/>
  <c r="C161" i="88" s="1"/>
  <c r="E161" i="88" s="1"/>
  <c r="G161" i="88" s="1"/>
  <c r="C161" i="89" s="1"/>
  <c r="E161" i="89" s="1"/>
  <c r="G161" i="89" s="1"/>
  <c r="E161" i="90" s="1"/>
  <c r="G161" i="90" s="1"/>
  <c r="E161" i="91" s="1"/>
  <c r="G161" i="91" s="1"/>
  <c r="C161" i="92" s="1"/>
  <c r="E161" i="92" s="1"/>
  <c r="G161" i="92" s="1"/>
  <c r="E161" i="93" s="1"/>
  <c r="G161" i="93" s="1"/>
  <c r="C161" i="94" s="1"/>
  <c r="E161" i="94" s="1"/>
  <c r="G161" i="94" s="1"/>
  <c r="C161" i="95" s="1"/>
  <c r="E161" i="95" s="1"/>
  <c r="G161" i="95" s="1"/>
  <c r="C161" i="96" s="1"/>
  <c r="E161" i="96" s="1"/>
  <c r="G161" i="96" s="1"/>
  <c r="C161" i="87"/>
  <c r="C112" i="87"/>
  <c r="E112" i="87" s="1"/>
  <c r="G112" i="87" s="1"/>
  <c r="C112" i="88" s="1"/>
  <c r="E112" i="88" s="1"/>
  <c r="G112" i="88" s="1"/>
  <c r="C112" i="89" s="1"/>
  <c r="E112" i="89" s="1"/>
  <c r="G112" i="89" s="1"/>
  <c r="E112" i="90" s="1"/>
  <c r="G112" i="90" s="1"/>
  <c r="E112" i="91" s="1"/>
  <c r="G112" i="91" s="1"/>
  <c r="C112" i="92" s="1"/>
  <c r="E112" i="92" s="1"/>
  <c r="G112" i="92" s="1"/>
  <c r="E112" i="93" s="1"/>
  <c r="G112" i="93" s="1"/>
  <c r="C112" i="94" s="1"/>
  <c r="E112" i="94" s="1"/>
  <c r="G112" i="94" s="1"/>
  <c r="C112" i="95" s="1"/>
  <c r="E112" i="95" s="1"/>
  <c r="G112" i="95" s="1"/>
  <c r="C112" i="96" s="1"/>
  <c r="E112" i="96" s="1"/>
  <c r="G112" i="96" s="1"/>
  <c r="E134" i="87"/>
  <c r="G134" i="87" s="1"/>
  <c r="C134" i="88" s="1"/>
  <c r="E134" i="88" s="1"/>
  <c r="G134" i="88" s="1"/>
  <c r="C134" i="89" s="1"/>
  <c r="E134" i="89" s="1"/>
  <c r="G134" i="89" s="1"/>
  <c r="E134" i="90" s="1"/>
  <c r="G134" i="90" s="1"/>
  <c r="E134" i="91" s="1"/>
  <c r="G134" i="91" s="1"/>
  <c r="C134" i="92" s="1"/>
  <c r="E134" i="92" s="1"/>
  <c r="G134" i="92" s="1"/>
  <c r="E134" i="93" s="1"/>
  <c r="G134" i="93" s="1"/>
  <c r="C134" i="94" s="1"/>
  <c r="E134" i="94" s="1"/>
  <c r="G134" i="94" s="1"/>
  <c r="C134" i="95" s="1"/>
  <c r="E134" i="95" s="1"/>
  <c r="G134" i="95" s="1"/>
  <c r="C134" i="96" s="1"/>
  <c r="E134" i="96" s="1"/>
  <c r="G134" i="96" s="1"/>
  <c r="C134" i="87"/>
  <c r="C196" i="87"/>
  <c r="E196" i="87" s="1"/>
  <c r="G196" i="87" s="1"/>
  <c r="C196" i="88" s="1"/>
  <c r="E196" i="88" s="1"/>
  <c r="G196" i="88" s="1"/>
  <c r="C196" i="89" s="1"/>
  <c r="E196" i="89" s="1"/>
  <c r="G196" i="89" s="1"/>
  <c r="E196" i="90" s="1"/>
  <c r="G196" i="90" s="1"/>
  <c r="E196" i="91" s="1"/>
  <c r="G196" i="91" s="1"/>
  <c r="C196" i="92" s="1"/>
  <c r="E196" i="92" s="1"/>
  <c r="G196" i="92" s="1"/>
  <c r="E196" i="93" s="1"/>
  <c r="G196" i="93" s="1"/>
  <c r="C196" i="94" s="1"/>
  <c r="E196" i="94" s="1"/>
  <c r="G196" i="94" s="1"/>
  <c r="C196" i="95" s="1"/>
  <c r="E196" i="95" s="1"/>
  <c r="G196" i="95" s="1"/>
  <c r="C196" i="96" s="1"/>
  <c r="E196" i="96" s="1"/>
  <c r="G196" i="96" s="1"/>
  <c r="E115" i="87"/>
  <c r="G115" i="87" s="1"/>
  <c r="C115" i="88" s="1"/>
  <c r="E115" i="88" s="1"/>
  <c r="G115" i="88" s="1"/>
  <c r="C115" i="89" s="1"/>
  <c r="E115" i="89" s="1"/>
  <c r="G115" i="89" s="1"/>
  <c r="E115" i="90" s="1"/>
  <c r="G115" i="90" s="1"/>
  <c r="E115" i="91" s="1"/>
  <c r="G115" i="91" s="1"/>
  <c r="C115" i="92" s="1"/>
  <c r="E115" i="92" s="1"/>
  <c r="G115" i="92" s="1"/>
  <c r="E115" i="93" s="1"/>
  <c r="G115" i="93" s="1"/>
  <c r="C115" i="94" s="1"/>
  <c r="E115" i="94" s="1"/>
  <c r="G115" i="94" s="1"/>
  <c r="C115" i="95" s="1"/>
  <c r="E115" i="95" s="1"/>
  <c r="G115" i="95" s="1"/>
  <c r="C115" i="96" s="1"/>
  <c r="E115" i="96" s="1"/>
  <c r="G115" i="96" s="1"/>
  <c r="C115" i="87"/>
  <c r="C67" i="87"/>
  <c r="E67" i="87" s="1"/>
  <c r="G67" i="87" s="1"/>
  <c r="C67" i="88" s="1"/>
  <c r="E67" i="88" s="1"/>
  <c r="G67" i="88" s="1"/>
  <c r="C67" i="89" s="1"/>
  <c r="E67" i="89" s="1"/>
  <c r="G67" i="89" s="1"/>
  <c r="E67" i="90" s="1"/>
  <c r="G67" i="90" s="1"/>
  <c r="E67" i="91" s="1"/>
  <c r="G67" i="91" s="1"/>
  <c r="C67" i="92" s="1"/>
  <c r="E67" i="92" s="1"/>
  <c r="G67" i="92" s="1"/>
  <c r="E67" i="93" s="1"/>
  <c r="G67" i="93" s="1"/>
  <c r="C67" i="94" s="1"/>
  <c r="E67" i="94" s="1"/>
  <c r="G67" i="94" s="1"/>
  <c r="C67" i="95" s="1"/>
  <c r="E67" i="95" s="1"/>
  <c r="G67" i="95" s="1"/>
  <c r="C67" i="96" s="1"/>
  <c r="E67" i="96" s="1"/>
  <c r="G67" i="96" s="1"/>
  <c r="E172" i="87"/>
  <c r="G172" i="87" s="1"/>
  <c r="C172" i="88" s="1"/>
  <c r="E172" i="88" s="1"/>
  <c r="G172" i="88" s="1"/>
  <c r="C172" i="89" s="1"/>
  <c r="E172" i="89" s="1"/>
  <c r="G172" i="89" s="1"/>
  <c r="E172" i="90" s="1"/>
  <c r="G172" i="90" s="1"/>
  <c r="E172" i="91" s="1"/>
  <c r="G172" i="91" s="1"/>
  <c r="C172" i="92" s="1"/>
  <c r="E172" i="92" s="1"/>
  <c r="G172" i="92" s="1"/>
  <c r="E172" i="93" s="1"/>
  <c r="G172" i="93" s="1"/>
  <c r="C172" i="94" s="1"/>
  <c r="E172" i="94" s="1"/>
  <c r="G172" i="94" s="1"/>
  <c r="C172" i="95" s="1"/>
  <c r="E172" i="95" s="1"/>
  <c r="G172" i="95" s="1"/>
  <c r="C172" i="96" s="1"/>
  <c r="E172" i="96" s="1"/>
  <c r="G172" i="96" s="1"/>
  <c r="C172" i="87"/>
  <c r="C32" i="87"/>
  <c r="E32" i="87" s="1"/>
  <c r="G32" i="87" s="1"/>
  <c r="C32" i="88" s="1"/>
  <c r="E32" i="88" s="1"/>
  <c r="G32" i="88" s="1"/>
  <c r="C32" i="89" s="1"/>
  <c r="E32" i="89" s="1"/>
  <c r="G32" i="89" s="1"/>
  <c r="E32" i="90" s="1"/>
  <c r="G32" i="90" s="1"/>
  <c r="E32" i="91" s="1"/>
  <c r="G32" i="91" s="1"/>
  <c r="C32" i="92" s="1"/>
  <c r="E32" i="92" s="1"/>
  <c r="G32" i="92" s="1"/>
  <c r="E32" i="93" s="1"/>
  <c r="G32" i="93" s="1"/>
  <c r="C32" i="94" s="1"/>
  <c r="E32" i="94" s="1"/>
  <c r="G32" i="94" s="1"/>
  <c r="C32" i="95" s="1"/>
  <c r="E32" i="95" s="1"/>
  <c r="G32" i="95" s="1"/>
  <c r="C32" i="96" s="1"/>
  <c r="E32" i="96" s="1"/>
  <c r="G32" i="96" s="1"/>
  <c r="E207" i="87"/>
  <c r="G207" i="87" s="1"/>
  <c r="C207" i="88" s="1"/>
  <c r="E207" i="88" s="1"/>
  <c r="G207" i="88" s="1"/>
  <c r="C207" i="89" s="1"/>
  <c r="E207" i="89" s="1"/>
  <c r="G207" i="89" s="1"/>
  <c r="E207" i="90" s="1"/>
  <c r="G207" i="90" s="1"/>
  <c r="E207" i="91" s="1"/>
  <c r="G207" i="91" s="1"/>
  <c r="C207" i="92" s="1"/>
  <c r="E207" i="92" s="1"/>
  <c r="G207" i="92" s="1"/>
  <c r="E207" i="93" s="1"/>
  <c r="G207" i="93" s="1"/>
  <c r="C207" i="94" s="1"/>
  <c r="E207" i="94" s="1"/>
  <c r="G207" i="94" s="1"/>
  <c r="C207" i="95" s="1"/>
  <c r="E207" i="95" s="1"/>
  <c r="G207" i="95" s="1"/>
  <c r="C207" i="96" s="1"/>
  <c r="E207" i="96" s="1"/>
  <c r="G207" i="96" s="1"/>
  <c r="C207" i="87"/>
  <c r="C26" i="87"/>
  <c r="E26" i="87" s="1"/>
  <c r="G26" i="87" s="1"/>
  <c r="C26" i="88" s="1"/>
  <c r="E26" i="88" s="1"/>
  <c r="G26" i="88" s="1"/>
  <c r="C26" i="89" s="1"/>
  <c r="E26" i="89" s="1"/>
  <c r="G26" i="89" s="1"/>
  <c r="E26" i="90" s="1"/>
  <c r="G26" i="90" s="1"/>
  <c r="E26" i="91" s="1"/>
  <c r="G26" i="91" s="1"/>
  <c r="C26" i="92" s="1"/>
  <c r="E26" i="92" s="1"/>
  <c r="G26" i="92" s="1"/>
  <c r="E26" i="93" s="1"/>
  <c r="G26" i="93" s="1"/>
  <c r="C26" i="94" s="1"/>
  <c r="E26" i="94" s="1"/>
  <c r="G26" i="94" s="1"/>
  <c r="C26" i="95" s="1"/>
  <c r="E26" i="95" s="1"/>
  <c r="G26" i="95" s="1"/>
  <c r="C26" i="96" s="1"/>
  <c r="E26" i="96" s="1"/>
  <c r="G26" i="96" s="1"/>
  <c r="C168" i="87"/>
  <c r="E168" i="87" s="1"/>
  <c r="G168" i="87" s="1"/>
  <c r="C168" i="88" s="1"/>
  <c r="E168" i="88" s="1"/>
  <c r="G168" i="88" s="1"/>
  <c r="C168" i="89" s="1"/>
  <c r="E168" i="89" s="1"/>
  <c r="G168" i="89" s="1"/>
  <c r="E168" i="90" s="1"/>
  <c r="G168" i="90" s="1"/>
  <c r="E168" i="91" s="1"/>
  <c r="G168" i="91" s="1"/>
  <c r="C168" i="92" s="1"/>
  <c r="E168" i="92" s="1"/>
  <c r="G168" i="92" s="1"/>
  <c r="E168" i="93" s="1"/>
  <c r="G168" i="93" s="1"/>
  <c r="C168" i="94" s="1"/>
  <c r="E168" i="94" s="1"/>
  <c r="G168" i="94" s="1"/>
  <c r="C168" i="95" s="1"/>
  <c r="E168" i="95" s="1"/>
  <c r="G168" i="95" s="1"/>
  <c r="C168" i="96" s="1"/>
  <c r="E168" i="96" s="1"/>
  <c r="G168" i="96" s="1"/>
  <c r="C14" i="83"/>
  <c r="E14" i="83" s="1"/>
  <c r="G14" i="83" s="1"/>
  <c r="E11" i="83"/>
  <c r="G11" i="83" s="1"/>
  <c r="C11" i="83"/>
  <c r="C10" i="83"/>
  <c r="E10" i="83" s="1"/>
  <c r="G10" i="83" s="1"/>
  <c r="E9" i="83"/>
  <c r="G9" i="83" s="1"/>
  <c r="C9" i="83"/>
  <c r="C7" i="83"/>
  <c r="E7" i="83" s="1"/>
  <c r="G7" i="83" s="1"/>
  <c r="E129" i="87"/>
  <c r="G129" i="87" s="1"/>
  <c r="C129" i="88" s="1"/>
  <c r="E129" i="88" s="1"/>
  <c r="G129" i="88" s="1"/>
  <c r="C129" i="89" s="1"/>
  <c r="E129" i="89" s="1"/>
  <c r="G129" i="89" s="1"/>
  <c r="E129" i="90" s="1"/>
  <c r="G129" i="90" s="1"/>
  <c r="E129" i="91" s="1"/>
  <c r="G129" i="91" s="1"/>
  <c r="C129" i="92" s="1"/>
  <c r="E129" i="92" s="1"/>
  <c r="G129" i="92" s="1"/>
  <c r="E129" i="93" s="1"/>
  <c r="G129" i="93" s="1"/>
  <c r="C129" i="94" s="1"/>
  <c r="E129" i="94" s="1"/>
  <c r="G129" i="94" s="1"/>
  <c r="C129" i="95" s="1"/>
  <c r="E129" i="95" s="1"/>
  <c r="G129" i="95" s="1"/>
  <c r="C129" i="96" s="1"/>
  <c r="E129" i="96" s="1"/>
  <c r="G129" i="96" s="1"/>
  <c r="C129" i="87"/>
  <c r="C127" i="87"/>
  <c r="E127" i="87" s="1"/>
  <c r="G127" i="87" s="1"/>
  <c r="C127" i="88" s="1"/>
  <c r="E127" i="88" s="1"/>
  <c r="G127" i="88" s="1"/>
  <c r="C127" i="89" s="1"/>
  <c r="E127" i="89" s="1"/>
  <c r="G127" i="89" s="1"/>
  <c r="E127" i="90" s="1"/>
  <c r="G127" i="90" s="1"/>
  <c r="E127" i="91" s="1"/>
  <c r="G127" i="91" s="1"/>
  <c r="C127" i="92" s="1"/>
  <c r="E127" i="92" s="1"/>
  <c r="G127" i="92" s="1"/>
  <c r="E127" i="93" s="1"/>
  <c r="G127" i="93" s="1"/>
  <c r="C127" i="94" s="1"/>
  <c r="E127" i="94" s="1"/>
  <c r="G127" i="94" s="1"/>
  <c r="C127" i="95" s="1"/>
  <c r="E127" i="95" s="1"/>
  <c r="G127" i="95" s="1"/>
  <c r="C127" i="96" s="1"/>
  <c r="E127" i="96" s="1"/>
  <c r="G127" i="96" s="1"/>
  <c r="E86" i="87"/>
  <c r="G86" i="87" s="1"/>
  <c r="C86" i="88" s="1"/>
  <c r="E86" i="88" s="1"/>
  <c r="G86" i="88" s="1"/>
  <c r="C86" i="89" s="1"/>
  <c r="E86" i="89" s="1"/>
  <c r="G86" i="89" s="1"/>
  <c r="E86" i="90" s="1"/>
  <c r="G86" i="90" s="1"/>
  <c r="E86" i="91" s="1"/>
  <c r="G86" i="91" s="1"/>
  <c r="C86" i="92" s="1"/>
  <c r="E86" i="92" s="1"/>
  <c r="G86" i="92" s="1"/>
  <c r="E86" i="93" s="1"/>
  <c r="G86" i="93" s="1"/>
  <c r="C86" i="94" s="1"/>
  <c r="E86" i="94" s="1"/>
  <c r="G86" i="94" s="1"/>
  <c r="C86" i="95" s="1"/>
  <c r="E86" i="95" s="1"/>
  <c r="G86" i="95" s="1"/>
  <c r="C86" i="96" s="1"/>
  <c r="E86" i="96" s="1"/>
  <c r="G86" i="96" s="1"/>
  <c r="C86" i="87"/>
  <c r="C31" i="87"/>
  <c r="E31" i="87" s="1"/>
  <c r="G31" i="87" s="1"/>
  <c r="C31" i="88" s="1"/>
  <c r="E31" i="88" s="1"/>
  <c r="G31" i="88" s="1"/>
  <c r="C31" i="89" s="1"/>
  <c r="E31" i="89" s="1"/>
  <c r="G31" i="89" s="1"/>
  <c r="E31" i="90" s="1"/>
  <c r="G31" i="90" s="1"/>
  <c r="E31" i="91" s="1"/>
  <c r="G31" i="91" s="1"/>
  <c r="C31" i="92" s="1"/>
  <c r="E31" i="92" s="1"/>
  <c r="G31" i="92" s="1"/>
  <c r="E31" i="93" s="1"/>
  <c r="G31" i="93" s="1"/>
  <c r="C31" i="94" s="1"/>
  <c r="E31" i="94" s="1"/>
  <c r="G31" i="94" s="1"/>
  <c r="C31" i="95" s="1"/>
  <c r="E31" i="95" s="1"/>
  <c r="G31" i="95" s="1"/>
  <c r="C31" i="96" s="1"/>
  <c r="E31" i="96" s="1"/>
  <c r="G31" i="96" s="1"/>
  <c r="E175" i="87"/>
  <c r="G175" i="87" s="1"/>
  <c r="C175" i="88" s="1"/>
  <c r="E175" i="88" s="1"/>
  <c r="G175" i="88" s="1"/>
  <c r="C175" i="89" s="1"/>
  <c r="E175" i="89" s="1"/>
  <c r="G175" i="89" s="1"/>
  <c r="E175" i="90" s="1"/>
  <c r="G175" i="90" s="1"/>
  <c r="E175" i="91" s="1"/>
  <c r="G175" i="91" s="1"/>
  <c r="C175" i="92" s="1"/>
  <c r="E175" i="92" s="1"/>
  <c r="G175" i="92" s="1"/>
  <c r="E175" i="93" s="1"/>
  <c r="G175" i="93" s="1"/>
  <c r="C175" i="94" s="1"/>
  <c r="E175" i="94" s="1"/>
  <c r="G175" i="94" s="1"/>
  <c r="C175" i="95" s="1"/>
  <c r="E175" i="95" s="1"/>
  <c r="G175" i="95" s="1"/>
  <c r="C175" i="96" s="1"/>
  <c r="E175" i="96" s="1"/>
  <c r="G175" i="96" s="1"/>
  <c r="C175" i="87"/>
  <c r="C96" i="87"/>
  <c r="E96" i="87" s="1"/>
  <c r="G96" i="87" s="1"/>
  <c r="C96" i="88" s="1"/>
  <c r="E96" i="88" s="1"/>
  <c r="G96" i="88" s="1"/>
  <c r="C96" i="89" s="1"/>
  <c r="E96" i="89" s="1"/>
  <c r="G96" i="89" s="1"/>
  <c r="E96" i="90" s="1"/>
  <c r="G96" i="90" s="1"/>
  <c r="E96" i="91" s="1"/>
  <c r="G96" i="91" s="1"/>
  <c r="C96" i="92" s="1"/>
  <c r="E96" i="92" s="1"/>
  <c r="G96" i="92" s="1"/>
  <c r="E96" i="93" s="1"/>
  <c r="G96" i="93" s="1"/>
  <c r="C96" i="94" s="1"/>
  <c r="E96" i="94" s="1"/>
  <c r="G96" i="94" s="1"/>
  <c r="C96" i="95" s="1"/>
  <c r="E96" i="95" s="1"/>
  <c r="G96" i="95" s="1"/>
  <c r="C96" i="96" s="1"/>
  <c r="E96" i="96" s="1"/>
  <c r="G96" i="96" s="1"/>
  <c r="E95" i="87"/>
  <c r="G95" i="87" s="1"/>
  <c r="C95" i="88" s="1"/>
  <c r="E95" i="88" s="1"/>
  <c r="G95" i="88" s="1"/>
  <c r="C95" i="89" s="1"/>
  <c r="E95" i="89" s="1"/>
  <c r="G95" i="89" s="1"/>
  <c r="E95" i="90" s="1"/>
  <c r="G95" i="90" s="1"/>
  <c r="E95" i="91" s="1"/>
  <c r="G95" i="91" s="1"/>
  <c r="C95" i="92" s="1"/>
  <c r="E95" i="92" s="1"/>
  <c r="G95" i="92" s="1"/>
  <c r="E95" i="93" s="1"/>
  <c r="G95" i="93" s="1"/>
  <c r="C95" i="94" s="1"/>
  <c r="E95" i="94" s="1"/>
  <c r="G95" i="94" s="1"/>
  <c r="C95" i="95" s="1"/>
  <c r="E95" i="95" s="1"/>
  <c r="G95" i="95" s="1"/>
  <c r="C95" i="96" s="1"/>
  <c r="E95" i="96" s="1"/>
  <c r="G95" i="96" s="1"/>
  <c r="C95" i="87"/>
  <c r="C176" i="87"/>
  <c r="E176" i="87" s="1"/>
  <c r="G176" i="87" s="1"/>
  <c r="C176" i="88" s="1"/>
  <c r="E176" i="88" s="1"/>
  <c r="G176" i="88" s="1"/>
  <c r="C176" i="89" s="1"/>
  <c r="E176" i="89" s="1"/>
  <c r="G176" i="89" s="1"/>
  <c r="E176" i="90" s="1"/>
  <c r="G176" i="90" s="1"/>
  <c r="E176" i="91" s="1"/>
  <c r="G176" i="91" s="1"/>
  <c r="C176" i="92" s="1"/>
  <c r="E176" i="92" s="1"/>
  <c r="G176" i="92" s="1"/>
  <c r="E176" i="93" s="1"/>
  <c r="G176" i="93" s="1"/>
  <c r="C176" i="94" s="1"/>
  <c r="E176" i="94" s="1"/>
  <c r="G176" i="94" s="1"/>
  <c r="C176" i="95" s="1"/>
  <c r="E176" i="95" s="1"/>
  <c r="G176" i="95" s="1"/>
  <c r="C176" i="96" s="1"/>
  <c r="E176" i="96" s="1"/>
  <c r="G176" i="96" s="1"/>
  <c r="E24" i="87"/>
  <c r="G24" i="87" s="1"/>
  <c r="C24" i="88" s="1"/>
  <c r="E24" i="88" s="1"/>
  <c r="G24" i="88" s="1"/>
  <c r="C24" i="89" s="1"/>
  <c r="E24" i="89" s="1"/>
  <c r="G24" i="89" s="1"/>
  <c r="E24" i="90" s="1"/>
  <c r="G24" i="90" s="1"/>
  <c r="E24" i="91" s="1"/>
  <c r="G24" i="91" s="1"/>
  <c r="C24" i="92" s="1"/>
  <c r="E24" i="92" s="1"/>
  <c r="G24" i="92" s="1"/>
  <c r="E24" i="93" s="1"/>
  <c r="G24" i="93" s="1"/>
  <c r="C24" i="94" s="1"/>
  <c r="E24" i="94" s="1"/>
  <c r="G24" i="94" s="1"/>
  <c r="C24" i="95" s="1"/>
  <c r="E24" i="95" s="1"/>
  <c r="G24" i="95" s="1"/>
  <c r="C24" i="96" s="1"/>
  <c r="E24" i="96" s="1"/>
  <c r="G24" i="96" s="1"/>
  <c r="C24" i="87"/>
  <c r="C30" i="87"/>
  <c r="E30" i="87" s="1"/>
  <c r="G30" i="87" s="1"/>
  <c r="C30" i="88" s="1"/>
  <c r="E30" i="88" s="1"/>
  <c r="G30" i="88" s="1"/>
  <c r="C30" i="89" s="1"/>
  <c r="E30" i="89" s="1"/>
  <c r="G30" i="89" s="1"/>
  <c r="E30" i="90" s="1"/>
  <c r="G30" i="90" s="1"/>
  <c r="E30" i="91" s="1"/>
  <c r="G30" i="91" s="1"/>
  <c r="C30" i="92" s="1"/>
  <c r="E30" i="92" s="1"/>
  <c r="G30" i="92" s="1"/>
  <c r="E30" i="93" s="1"/>
  <c r="G30" i="93" s="1"/>
  <c r="C30" i="94" s="1"/>
  <c r="E30" i="94" s="1"/>
  <c r="G30" i="94" s="1"/>
  <c r="C30" i="95" s="1"/>
  <c r="E30" i="95" s="1"/>
  <c r="G30" i="95" s="1"/>
  <c r="C30" i="96" s="1"/>
  <c r="E30" i="96" s="1"/>
  <c r="G30" i="96" s="1"/>
  <c r="E191" i="87"/>
  <c r="G191" i="87" s="1"/>
  <c r="C191" i="88" s="1"/>
  <c r="E191" i="88" s="1"/>
  <c r="G191" i="88" s="1"/>
  <c r="C191" i="89" s="1"/>
  <c r="E191" i="89" s="1"/>
  <c r="G191" i="89" s="1"/>
  <c r="E191" i="90" s="1"/>
  <c r="G191" i="90" s="1"/>
  <c r="E191" i="91" s="1"/>
  <c r="G191" i="91" s="1"/>
  <c r="C191" i="92" s="1"/>
  <c r="E191" i="92" s="1"/>
  <c r="G191" i="92" s="1"/>
  <c r="E191" i="93" s="1"/>
  <c r="G191" i="93" s="1"/>
  <c r="C191" i="94" s="1"/>
  <c r="E191" i="94" s="1"/>
  <c r="G191" i="94" s="1"/>
  <c r="C191" i="95" s="1"/>
  <c r="E191" i="95" s="1"/>
  <c r="G191" i="95" s="1"/>
  <c r="C191" i="96" s="1"/>
  <c r="E191" i="96" s="1"/>
  <c r="G191" i="96" s="1"/>
  <c r="C191" i="87"/>
  <c r="U15" i="8"/>
  <c r="U17" i="8"/>
  <c r="U31" i="8"/>
  <c r="U25" i="8"/>
  <c r="U23" i="8"/>
  <c r="E14" i="84" l="1"/>
  <c r="G14" i="84" s="1"/>
  <c r="C14" i="84"/>
  <c r="C10" i="84"/>
  <c r="E10" i="84" s="1"/>
  <c r="G10" i="84" s="1"/>
  <c r="C13" i="84"/>
  <c r="E13" i="84" s="1"/>
  <c r="G13" i="84" s="1"/>
  <c r="C7" i="84"/>
  <c r="E7" i="84" s="1"/>
  <c r="G7" i="84" s="1"/>
  <c r="E6" i="86"/>
  <c r="G6" i="86" s="1"/>
  <c r="C6" i="86"/>
  <c r="C11" i="84"/>
  <c r="E11" i="84" s="1"/>
  <c r="G11" i="84" s="1"/>
  <c r="C8" i="84"/>
  <c r="E8" i="84" s="1"/>
  <c r="G8" i="84" s="1"/>
  <c r="C12" i="84"/>
  <c r="E12" i="84" s="1"/>
  <c r="G12" i="84" s="1"/>
  <c r="E9" i="84"/>
  <c r="G9" i="84" s="1"/>
  <c r="C9" i="84"/>
  <c r="U33" i="8"/>
  <c r="K257" i="8"/>
  <c r="J258" i="8"/>
  <c r="F257" i="8"/>
  <c r="F259" i="8"/>
  <c r="U12" i="8"/>
  <c r="U20" i="8"/>
  <c r="U28" i="8"/>
  <c r="U18" i="8"/>
  <c r="U26" i="8"/>
  <c r="U34" i="8"/>
  <c r="U22" i="8"/>
  <c r="U30" i="8"/>
  <c r="U11" i="8"/>
  <c r="U19" i="8"/>
  <c r="U27" i="8"/>
  <c r="U24" i="8"/>
  <c r="U32" i="8"/>
  <c r="U13" i="8"/>
  <c r="U21" i="8"/>
  <c r="U29" i="8"/>
  <c r="E11" i="85" l="1"/>
  <c r="G11" i="85" s="1"/>
  <c r="C11" i="85"/>
  <c r="C8" i="85"/>
  <c r="E8" i="85" s="1"/>
  <c r="G8" i="85" s="1"/>
  <c r="E7" i="85"/>
  <c r="G7" i="85" s="1"/>
  <c r="C7" i="85"/>
  <c r="C13" i="85"/>
  <c r="E13" i="85" s="1"/>
  <c r="G13" i="85" s="1"/>
  <c r="E10" i="85"/>
  <c r="G10" i="85" s="1"/>
  <c r="C10" i="85"/>
  <c r="C12" i="85"/>
  <c r="E12" i="85" s="1"/>
  <c r="G12" i="85" s="1"/>
  <c r="E6" i="87"/>
  <c r="G6" i="87" s="1"/>
  <c r="C6" i="88" s="1"/>
  <c r="E6" i="88" s="1"/>
  <c r="G6" i="88" s="1"/>
  <c r="C6" i="89" s="1"/>
  <c r="E6" i="89" s="1"/>
  <c r="G6" i="89" s="1"/>
  <c r="E6" i="90" s="1"/>
  <c r="G6" i="90" s="1"/>
  <c r="E6" i="91" s="1"/>
  <c r="G6" i="91" s="1"/>
  <c r="C6" i="92" s="1"/>
  <c r="E6" i="92" s="1"/>
  <c r="G6" i="92" s="1"/>
  <c r="E6" i="93" s="1"/>
  <c r="G6" i="93" s="1"/>
  <c r="C6" i="94" s="1"/>
  <c r="E6" i="94" s="1"/>
  <c r="G6" i="94" s="1"/>
  <c r="C6" i="95" s="1"/>
  <c r="E6" i="95" s="1"/>
  <c r="G6" i="95" s="1"/>
  <c r="C6" i="96" s="1"/>
  <c r="E6" i="96" s="1"/>
  <c r="G6" i="96" s="1"/>
  <c r="C6" i="87"/>
  <c r="C14" i="85"/>
  <c r="E14" i="85" s="1"/>
  <c r="G14" i="85" s="1"/>
  <c r="E9" i="85"/>
  <c r="G9" i="85" s="1"/>
  <c r="C9" i="85"/>
  <c r="U10" i="8"/>
  <c r="U9" i="8"/>
  <c r="U7" i="8"/>
  <c r="U8" i="8"/>
  <c r="U6" i="8"/>
  <c r="K259" i="8"/>
  <c r="D258" i="8" s="1"/>
  <c r="B259" i="8" s="1"/>
  <c r="F260" i="8"/>
  <c r="C12" i="86" l="1"/>
  <c r="E12" i="86" s="1"/>
  <c r="G12" i="86" s="1"/>
  <c r="C13" i="86"/>
  <c r="E13" i="86" s="1"/>
  <c r="G13" i="86" s="1"/>
  <c r="C14" i="86"/>
  <c r="E14" i="86" s="1"/>
  <c r="G14" i="86" s="1"/>
  <c r="C8" i="86"/>
  <c r="E8" i="86" s="1"/>
  <c r="G8" i="86" s="1"/>
  <c r="C9" i="86"/>
  <c r="E9" i="86" s="1"/>
  <c r="G9" i="86" s="1"/>
  <c r="C10" i="86"/>
  <c r="E10" i="86" s="1"/>
  <c r="G10" i="86" s="1"/>
  <c r="C11" i="86"/>
  <c r="E11" i="86" s="1"/>
  <c r="G11" i="86" s="1"/>
  <c r="C7" i="86"/>
  <c r="E7" i="86" s="1"/>
  <c r="G7" i="86" s="1"/>
  <c r="J259" i="8"/>
  <c r="D257" i="8"/>
  <c r="D260" i="8" s="1"/>
  <c r="D262" i="8" s="1"/>
  <c r="M36" i="8"/>
  <c r="J260" i="8"/>
  <c r="C8" i="87" l="1"/>
  <c r="E8" i="87" s="1"/>
  <c r="G8" i="87" s="1"/>
  <c r="C8" i="88" s="1"/>
  <c r="E8" i="88" s="1"/>
  <c r="G8" i="88" s="1"/>
  <c r="C8" i="89" s="1"/>
  <c r="E8" i="89" s="1"/>
  <c r="G8" i="89" s="1"/>
  <c r="E8" i="90" s="1"/>
  <c r="G8" i="90" s="1"/>
  <c r="E8" i="91" s="1"/>
  <c r="G8" i="91" s="1"/>
  <c r="C8" i="92" s="1"/>
  <c r="E8" i="92" s="1"/>
  <c r="G8" i="92" s="1"/>
  <c r="E8" i="93" s="1"/>
  <c r="G8" i="93" s="1"/>
  <c r="C8" i="94" s="1"/>
  <c r="E8" i="94" s="1"/>
  <c r="G8" i="94" s="1"/>
  <c r="C8" i="95" s="1"/>
  <c r="E8" i="95" s="1"/>
  <c r="G8" i="95" s="1"/>
  <c r="C8" i="96" s="1"/>
  <c r="E8" i="96" s="1"/>
  <c r="G8" i="96" s="1"/>
  <c r="C11" i="87"/>
  <c r="E11" i="87" s="1"/>
  <c r="G11" i="87" s="1"/>
  <c r="C11" i="88" s="1"/>
  <c r="E11" i="88" s="1"/>
  <c r="G11" i="88" s="1"/>
  <c r="C11" i="89" s="1"/>
  <c r="E11" i="89" s="1"/>
  <c r="G11" i="89" s="1"/>
  <c r="E11" i="90" s="1"/>
  <c r="G11" i="90" s="1"/>
  <c r="E11" i="91" s="1"/>
  <c r="G11" i="91" s="1"/>
  <c r="C11" i="92" s="1"/>
  <c r="E11" i="92" s="1"/>
  <c r="G11" i="92" s="1"/>
  <c r="E11" i="93" s="1"/>
  <c r="G11" i="93" s="1"/>
  <c r="C11" i="94" s="1"/>
  <c r="E11" i="94" s="1"/>
  <c r="G11" i="94" s="1"/>
  <c r="C11" i="95" s="1"/>
  <c r="E11" i="95" s="1"/>
  <c r="G11" i="95" s="1"/>
  <c r="C11" i="96" s="1"/>
  <c r="E11" i="96" s="1"/>
  <c r="G11" i="96" s="1"/>
  <c r="C10" i="87"/>
  <c r="E10" i="87" s="1"/>
  <c r="G10" i="87" s="1"/>
  <c r="C10" i="88" s="1"/>
  <c r="E10" i="88" s="1"/>
  <c r="G10" i="88" s="1"/>
  <c r="C10" i="89" s="1"/>
  <c r="E10" i="89" s="1"/>
  <c r="G10" i="89" s="1"/>
  <c r="E10" i="90" s="1"/>
  <c r="G10" i="90" s="1"/>
  <c r="E10" i="91" s="1"/>
  <c r="G10" i="91" s="1"/>
  <c r="C10" i="92" s="1"/>
  <c r="E10" i="92" s="1"/>
  <c r="G10" i="92" s="1"/>
  <c r="E10" i="93" s="1"/>
  <c r="G10" i="93" s="1"/>
  <c r="C10" i="94" s="1"/>
  <c r="E10" i="94" s="1"/>
  <c r="G10" i="94" s="1"/>
  <c r="C10" i="95" s="1"/>
  <c r="E10" i="95" s="1"/>
  <c r="G10" i="95" s="1"/>
  <c r="C10" i="96" s="1"/>
  <c r="E10" i="96" s="1"/>
  <c r="G10" i="96" s="1"/>
  <c r="C9" i="87"/>
  <c r="E9" i="87" s="1"/>
  <c r="G9" i="87" s="1"/>
  <c r="C9" i="88" s="1"/>
  <c r="E9" i="88" s="1"/>
  <c r="G9" i="88" s="1"/>
  <c r="C9" i="89" s="1"/>
  <c r="E9" i="89" s="1"/>
  <c r="G9" i="89" s="1"/>
  <c r="E9" i="90" s="1"/>
  <c r="G9" i="90" s="1"/>
  <c r="E9" i="91" s="1"/>
  <c r="G9" i="91" s="1"/>
  <c r="C9" i="92" s="1"/>
  <c r="E9" i="92" s="1"/>
  <c r="G9" i="92" s="1"/>
  <c r="E9" i="93" s="1"/>
  <c r="G9" i="93" s="1"/>
  <c r="C9" i="94" s="1"/>
  <c r="E9" i="94" s="1"/>
  <c r="G9" i="94" s="1"/>
  <c r="C9" i="95" s="1"/>
  <c r="E9" i="95" s="1"/>
  <c r="G9" i="95" s="1"/>
  <c r="C9" i="96" s="1"/>
  <c r="E9" i="96" s="1"/>
  <c r="G9" i="96" s="1"/>
  <c r="C14" i="87"/>
  <c r="E14" i="87" s="1"/>
  <c r="G14" i="87" s="1"/>
  <c r="C14" i="88" s="1"/>
  <c r="E14" i="88" s="1"/>
  <c r="G14" i="88" s="1"/>
  <c r="C14" i="89" s="1"/>
  <c r="E14" i="89" s="1"/>
  <c r="G14" i="89" s="1"/>
  <c r="E14" i="90" s="1"/>
  <c r="G14" i="90" s="1"/>
  <c r="E14" i="91" s="1"/>
  <c r="G14" i="91" s="1"/>
  <c r="C14" i="92" s="1"/>
  <c r="E14" i="92" s="1"/>
  <c r="G14" i="92" s="1"/>
  <c r="E14" i="93" s="1"/>
  <c r="G14" i="93" s="1"/>
  <c r="C14" i="94" s="1"/>
  <c r="E14" i="94" s="1"/>
  <c r="G14" i="94" s="1"/>
  <c r="C14" i="95" s="1"/>
  <c r="E14" i="95" s="1"/>
  <c r="G14" i="95" s="1"/>
  <c r="C14" i="96" s="1"/>
  <c r="E14" i="96" s="1"/>
  <c r="G14" i="96" s="1"/>
  <c r="C7" i="87"/>
  <c r="E7" i="87" s="1"/>
  <c r="G7" i="87" s="1"/>
  <c r="C7" i="88" s="1"/>
  <c r="E7" i="88" s="1"/>
  <c r="G7" i="88" s="1"/>
  <c r="C7" i="89" s="1"/>
  <c r="E7" i="89" s="1"/>
  <c r="G7" i="89" s="1"/>
  <c r="E7" i="90" s="1"/>
  <c r="G7" i="90" s="1"/>
  <c r="E7" i="91" s="1"/>
  <c r="G7" i="91" s="1"/>
  <c r="C7" i="92" s="1"/>
  <c r="E7" i="92" s="1"/>
  <c r="G7" i="92" s="1"/>
  <c r="E7" i="93" s="1"/>
  <c r="G7" i="93" s="1"/>
  <c r="C7" i="94" s="1"/>
  <c r="E7" i="94" s="1"/>
  <c r="G7" i="94" s="1"/>
  <c r="C7" i="95" s="1"/>
  <c r="E7" i="95" s="1"/>
  <c r="G7" i="95" s="1"/>
  <c r="C7" i="96" s="1"/>
  <c r="E7" i="96" s="1"/>
  <c r="G7" i="96" s="1"/>
  <c r="C13" i="87"/>
  <c r="E13" i="87" s="1"/>
  <c r="G13" i="87" s="1"/>
  <c r="C13" i="88" s="1"/>
  <c r="E13" i="88" s="1"/>
  <c r="G13" i="88" s="1"/>
  <c r="C13" i="89" s="1"/>
  <c r="E13" i="89" s="1"/>
  <c r="G13" i="89" s="1"/>
  <c r="E13" i="90" s="1"/>
  <c r="G13" i="90" s="1"/>
  <c r="E13" i="91" s="1"/>
  <c r="G13" i="91" s="1"/>
  <c r="C13" i="92" s="1"/>
  <c r="E13" i="92" s="1"/>
  <c r="G13" i="92" s="1"/>
  <c r="E13" i="93" s="1"/>
  <c r="G13" i="93" s="1"/>
  <c r="C13" i="94" s="1"/>
  <c r="E13" i="94" s="1"/>
  <c r="G13" i="94" s="1"/>
  <c r="C13" i="95" s="1"/>
  <c r="E13" i="95" s="1"/>
  <c r="G13" i="95" s="1"/>
  <c r="C13" i="96" s="1"/>
  <c r="E13" i="96" s="1"/>
  <c r="G13" i="96" s="1"/>
  <c r="C12" i="87"/>
  <c r="E12" i="87" s="1"/>
  <c r="G12" i="87" s="1"/>
  <c r="C12" i="88" s="1"/>
  <c r="E12" i="88" s="1"/>
  <c r="G12" i="88" s="1"/>
  <c r="C12" i="89" s="1"/>
  <c r="E12" i="89" s="1"/>
  <c r="G12" i="89" s="1"/>
  <c r="E12" i="90" s="1"/>
  <c r="G12" i="90" s="1"/>
  <c r="E12" i="91" s="1"/>
  <c r="G12" i="91" s="1"/>
  <c r="C12" i="92" s="1"/>
  <c r="E12" i="92" s="1"/>
  <c r="G12" i="92" s="1"/>
  <c r="E12" i="93" s="1"/>
  <c r="G12" i="93" s="1"/>
  <c r="C12" i="94" s="1"/>
  <c r="E12" i="94" s="1"/>
  <c r="G12" i="94" s="1"/>
  <c r="C12" i="95" s="1"/>
  <c r="E12" i="95" s="1"/>
  <c r="G12" i="95" s="1"/>
  <c r="C12" i="96" s="1"/>
  <c r="E12" i="96" s="1"/>
  <c r="G12" i="96" s="1"/>
  <c r="B257" i="8"/>
  <c r="B260" i="8" s="1"/>
  <c r="J261" i="8"/>
  <c r="U5" i="8" l="1"/>
  <c r="C5" i="64" l="1"/>
  <c r="E5" i="64" s="1"/>
  <c r="G5" i="64" s="1"/>
  <c r="C31" i="64" l="1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C186" i="64" l="1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C87" i="64" l="1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C115" i="64" l="1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5" i="72" l="1"/>
  <c r="G5" i="72" s="1"/>
  <c r="C5" i="73" l="1"/>
  <c r="E5" i="73" s="1"/>
  <c r="G5" i="73" s="1"/>
  <c r="C5" i="74" s="1"/>
  <c r="E5" i="74" s="1"/>
  <c r="G5" i="74" s="1"/>
  <c r="C5" i="75" l="1"/>
  <c r="E5" i="75" s="1"/>
  <c r="G5" i="75" s="1"/>
  <c r="U16" i="8"/>
  <c r="U36" i="8" s="1"/>
  <c r="T36" i="8"/>
  <c r="J262" i="8" s="1"/>
  <c r="J264" i="8" s="1"/>
  <c r="C5" i="76" l="1"/>
  <c r="E5" i="76" s="1"/>
  <c r="G5" i="76" s="1"/>
  <c r="C5" i="77" s="1"/>
  <c r="E5" i="77" s="1"/>
  <c r="G5" i="77" s="1"/>
  <c r="C5" i="78" s="1"/>
  <c r="E5" i="78" s="1"/>
  <c r="G5" i="78" s="1"/>
  <c r="C5" i="79" s="1"/>
  <c r="E5" i="79" s="1"/>
  <c r="G5" i="79" s="1"/>
  <c r="C5" i="80" l="1"/>
  <c r="E5" i="80" s="1"/>
  <c r="G5" i="80" s="1"/>
  <c r="C5" i="81" s="1"/>
  <c r="E5" i="81" s="1"/>
  <c r="G5" i="81" s="1"/>
  <c r="C5" i="82" s="1"/>
  <c r="E5" i="82" s="1"/>
  <c r="G5" i="82" s="1"/>
  <c r="E5" i="83" s="1"/>
  <c r="G5" i="83" s="1"/>
  <c r="E5" i="84" s="1"/>
  <c r="G5" i="84" s="1"/>
  <c r="C5" i="85" l="1"/>
  <c r="E5" i="85" s="1"/>
  <c r="G5" i="85" s="1"/>
  <c r="C5" i="86" l="1"/>
  <c r="E5" i="86" s="1"/>
  <c r="G5" i="86" s="1"/>
  <c r="E5" i="87" s="1"/>
  <c r="G5" i="87" s="1"/>
  <c r="C5" i="88" s="1"/>
  <c r="E5" i="88" s="1"/>
  <c r="G5" i="88" s="1"/>
  <c r="C5" i="89" s="1"/>
  <c r="E5" i="89" s="1"/>
  <c r="G5" i="89" s="1"/>
  <c r="E5" i="90" s="1"/>
  <c r="G5" i="90" s="1"/>
  <c r="E5" i="91" s="1"/>
  <c r="G5" i="91" s="1"/>
  <c r="C5" i="92" s="1"/>
  <c r="E5" i="92" s="1"/>
  <c r="G5" i="92" s="1"/>
  <c r="E5" i="93" s="1"/>
  <c r="G5" i="93" s="1"/>
  <c r="C5" i="94" s="1"/>
  <c r="E5" i="94" s="1"/>
  <c r="G5" i="94" s="1"/>
  <c r="C5" i="95" s="1"/>
  <c r="E5" i="95" s="1"/>
  <c r="G5" i="95" s="1"/>
  <c r="C5" i="96" s="1"/>
  <c r="E5" i="96" s="1"/>
  <c r="G5" i="96" s="1"/>
</calcChain>
</file>

<file path=xl/sharedStrings.xml><?xml version="1.0" encoding="utf-8"?>
<sst xmlns="http://schemas.openxmlformats.org/spreadsheetml/2006/main" count="18460" uniqueCount="330">
  <si>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</si>
  <si>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</si>
  <si>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</si>
  <si>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</si>
  <si>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</si>
  <si>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</si>
  <si>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</si>
  <si>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</si>
  <si>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</si>
  <si>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</si>
  <si>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</si>
  <si>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</si>
  <si>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</si>
  <si>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</si>
  <si>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</si>
  <si>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</si>
  <si>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</si>
  <si>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</si>
  <si>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</si>
  <si>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</si>
  <si>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</si>
  <si>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</si>
  <si>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</si>
  <si>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</si>
  <si>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</si>
  <si>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</si>
  <si>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</si>
  <si>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</si>
  <si>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</si>
  <si>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</si>
  <si>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</si>
  <si>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</si>
  <si>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</si>
  <si>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</si>
  <si>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</si>
  <si>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</si>
  <si>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</si>
  <si>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</si>
  <si>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</si>
  <si>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</si>
  <si>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</si>
  <si>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</si>
  <si>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</si>
  <si>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</si>
  <si>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</si>
  <si>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</si>
  <si>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</si>
  <si>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</si>
  <si>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</si>
  <si>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</si>
  <si>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</si>
  <si>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</si>
  <si>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</si>
  <si>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</si>
  <si>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</si>
  <si>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</si>
  <si>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</si>
  <si>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</si>
  <si>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</si>
  <si>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</si>
  <si>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</si>
  <si>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</si>
  <si>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</si>
  <si>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</si>
  <si>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</si>
  <si>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</si>
  <si>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</si>
  <si>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</si>
  <si>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</si>
  <si>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</si>
  <si>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</si>
  <si>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</si>
  <si>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</si>
  <si>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</si>
  <si>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</si>
  <si>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</si>
  <si>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</si>
  <si>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</si>
  <si>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</si>
  <si>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</si>
  <si>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</si>
  <si>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</si>
  <si>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</si>
  <si>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</si>
  <si>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</si>
  <si>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</si>
  <si>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</si>
  <si>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</si>
  <si>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</si>
  <si>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</si>
  <si>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</si>
  <si>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</si>
  <si>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</si>
  <si>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</si>
  <si>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</si>
  <si>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</si>
  <si>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</si>
  <si>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</si>
  <si>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</si>
  <si>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</si>
  <si>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</si>
  <si>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</si>
  <si>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</si>
  <si>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</si>
  <si>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</si>
  <si>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</si>
  <si>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</si>
  <si>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</si>
  <si>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</si>
  <si>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</si>
  <si>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</si>
  <si>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</si>
  <si>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</si>
  <si>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</si>
  <si>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</si>
  <si>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</si>
  <si>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</si>
  <si>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</si>
  <si>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</si>
  <si>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</si>
  <si>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</si>
  <si>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</si>
  <si>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</si>
  <si>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</si>
  <si>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</si>
  <si>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</si>
  <si>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</si>
  <si>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</si>
  <si>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</si>
  <si>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</si>
  <si>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</si>
  <si>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</si>
  <si>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</si>
  <si>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</si>
  <si>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</si>
  <si>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</si>
  <si>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</si>
  <si>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</si>
  <si>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</si>
  <si>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</si>
  <si>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</si>
  <si>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</si>
  <si>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</si>
  <si>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</si>
  <si>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</si>
  <si>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</si>
  <si>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</si>
  <si>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</si>
  <si>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</si>
  <si>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</si>
  <si>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</si>
  <si>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</si>
  <si>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</si>
  <si>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</si>
  <si>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</si>
  <si>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</si>
  <si>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</si>
  <si>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</si>
  <si>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</si>
  <si>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</si>
  <si>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</si>
  <si>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</si>
  <si>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</si>
  <si>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</si>
  <si>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</si>
  <si>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</si>
  <si>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</si>
  <si>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</si>
  <si>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</si>
  <si>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</si>
  <si>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</si>
  <si>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</si>
  <si>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</si>
  <si>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</si>
  <si>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</si>
  <si>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</si>
  <si>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</si>
  <si>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</si>
  <si>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</si>
  <si>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</si>
  <si>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</si>
  <si>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</si>
  <si>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</si>
  <si>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</si>
  <si>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</si>
  <si>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</si>
  <si>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</si>
  <si>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</si>
  <si>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</si>
  <si>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</si>
  <si>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</si>
  <si>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</si>
  <si>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</si>
  <si>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</si>
  <si>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</si>
  <si>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</si>
  <si>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</si>
  <si>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</si>
  <si>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</si>
  <si>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</si>
  <si>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</si>
  <si>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</si>
  <si>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</si>
  <si>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</si>
  <si>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</si>
  <si>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</si>
  <si>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</si>
  <si>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</si>
  <si>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</si>
  <si>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</si>
  <si>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</si>
  <si>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</si>
  <si>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</si>
  <si>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</si>
  <si>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</si>
  <si>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</si>
  <si>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</si>
  <si>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</si>
  <si>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</si>
  <si>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</si>
  <si>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</si>
  <si>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</si>
  <si>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</si>
  <si>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</si>
  <si>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</si>
  <si>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</si>
  <si>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</si>
  <si>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</si>
  <si>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</si>
  <si>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</si>
  <si>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</si>
  <si>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</si>
  <si>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</si>
  <si>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</si>
  <si>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</si>
  <si>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</si>
  <si>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</si>
  <si>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</si>
  <si>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</si>
  <si>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</si>
  <si>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</si>
  <si>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</si>
  <si>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</si>
  <si>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</si>
  <si>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</si>
  <si>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</si>
  <si>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</si>
  <si>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บูธ ธรรมศาลา วันที่ 1-31 ก.ค. 67</t>
  </si>
  <si>
    <t>เค้กวันเกิด 1/2 ปอนด์</t>
  </si>
  <si>
    <t>โบว์กระเช้า</t>
  </si>
  <si>
    <t xml:space="preserve">น้ำผลไม้ </t>
  </si>
  <si>
    <t xml:space="preserve">พายสับปะรด 1 ชิ้น </t>
  </si>
  <si>
    <t xml:space="preserve">เปี๊ยะลาวาไข่เค็ม 1 ชิ้น </t>
  </si>
  <si>
    <t>ขนมปุยฝ้าย</t>
  </si>
  <si>
    <t>คัพเค้กครีมมะพร้าวเนยสด 4 ชิ้น</t>
  </si>
  <si>
    <t>ลาวา (ล) ใบเตย</t>
  </si>
  <si>
    <t>เค้กวุ้นฝอยทอง</t>
  </si>
  <si>
    <t>ขนมปังไก่หยองชิ้น</t>
  </si>
  <si>
    <t>ขนมปังลูกเกดฝอยทอง</t>
  </si>
  <si>
    <t>ขนมปังสตอเบอรี่</t>
  </si>
  <si>
    <t>ขนมปังบลูเบอรี่</t>
  </si>
  <si>
    <t>ขนมปังฝอยทอง</t>
  </si>
  <si>
    <t xml:space="preserve">ขนมปังลูกเกด </t>
  </si>
  <si>
    <t>ชิฟฟ่อน รสกาแฟ 4 ชิ้น</t>
  </si>
  <si>
    <t>ชิฟฟ่อน 8 ชิ้น ห่อรวมรส</t>
  </si>
  <si>
    <t>ชิฟฟ่อนมะลิ 8 ชิ้น</t>
  </si>
  <si>
    <t>ชิฟฟ่อน 8 ชิ้น รวมรส กลาง</t>
  </si>
  <si>
    <t>ชิฟฟ่อน 8 ชิ้น ห่อมะพร้าว</t>
  </si>
  <si>
    <t>เค้กโอริโอ้ 1 ปอนด์</t>
  </si>
  <si>
    <t>เค้กช็อคโกแล็ต 1 ปอนด์</t>
  </si>
  <si>
    <t>เค้กสตรอว์เบอร์รี่ 1 ปอนด์</t>
  </si>
  <si>
    <t>เบาหวิว (ล) ใหม่ ตาลหอม</t>
  </si>
  <si>
    <t>ลาวา (ล) ฝอยทอง</t>
  </si>
  <si>
    <t>ครัฟฟินรูบี้ช็อกโกแลตสตรอเบอร์รี่</t>
  </si>
  <si>
    <t>ฝอยทองกรอบ</t>
  </si>
  <si>
    <t>ชุดเซ็ทสงกรานต์</t>
  </si>
  <si>
    <t>สรุป บูธ ธรรมศาลา  วันที่ 1-31 ก.ค. 67</t>
  </si>
  <si>
    <t>ลาวา ทูโทน (ล)</t>
  </si>
  <si>
    <t>ลาวา ทูโทน (ญ)</t>
  </si>
  <si>
    <t>ขนมเปี๊ยะ 450 กรัม ถั่ว</t>
  </si>
  <si>
    <t>ขนมเปี๊ยะ 450 กรัม เผือก</t>
  </si>
  <si>
    <t>ขนมเปี๊ยะ 450 กรัม ฟัก</t>
  </si>
  <si>
    <t>ขนมเปี๊ยะ 450 กรัม งาดำ</t>
  </si>
  <si>
    <t>ขนมปังพิซซ่าโบโลน่า</t>
  </si>
  <si>
    <t>ขนมปังแฮมข้าวโพด</t>
  </si>
  <si>
    <t>เบาหวิว (ล) ใหม่ เผือกมะพร้าวอ่อน</t>
  </si>
  <si>
    <t>เบาหวิว (ล) ใหม่ มะพร้าวน้ำหอม</t>
  </si>
  <si>
    <t>แถม 1</t>
  </si>
  <si>
    <t>โปรจับคู่</t>
  </si>
  <si>
    <t>ลด 50 %</t>
  </si>
  <si>
    <t>ซื้อถ่าน</t>
  </si>
  <si>
    <t>แถม</t>
  </si>
  <si>
    <t>สรุปค่าใช้จ่าย บูธ ........................ วันที่ .........................</t>
  </si>
  <si>
    <t xml:space="preserve">วันที่ </t>
  </si>
  <si>
    <t>รายการค่าใช้จ่าย</t>
  </si>
  <si>
    <t>ยอดค่าใช้จ่าย</t>
  </si>
  <si>
    <t>เจลแอลกฮอล์</t>
  </si>
  <si>
    <t>ยอดรวมค่าใช้จ่าย</t>
  </si>
  <si>
    <t>บาท</t>
  </si>
  <si>
    <t>สรุปส่วนลดสินค้า บูธ ........................ วันที่ .........................</t>
  </si>
  <si>
    <t>รายการสินค้า</t>
  </si>
  <si>
    <t>ยอดส่วนลด</t>
  </si>
  <si>
    <t>ยอดรวมส่วนลด</t>
  </si>
  <si>
    <t>สรุปรายการคืนสินค้า บูธ ........................ วันที่ .........................</t>
  </si>
  <si>
    <t>จำนวนคืนสินค้า</t>
  </si>
  <si>
    <t>ยอดรวมคืนสินค้า</t>
  </si>
  <si>
    <t>หมดอายุ</t>
  </si>
  <si>
    <t>ลด 25 %</t>
  </si>
  <si>
    <t>ลด 75 %</t>
  </si>
  <si>
    <t>หมดอายุ ลด 50 %</t>
  </si>
  <si>
    <t>โปร</t>
  </si>
  <si>
    <t>ลด 30 %</t>
  </si>
  <si>
    <t xml:space="preserve">หมายเหตุ : </t>
  </si>
  <si>
    <t>เครปเค้กคิทแคทรับเข้ามาวันไหน</t>
  </si>
  <si>
    <t>เครปเค้กคิทแคท</t>
  </si>
  <si>
    <t>สลิปลูกค้าโอนหน้าร้าน 495 พนักงานบูธคิดได้ 490 ทำให้ยอดเกิน 5 บาท</t>
  </si>
  <si>
    <t>ธรรมศาลา</t>
  </si>
  <si>
    <t>ลด 5 %</t>
  </si>
  <si>
    <t>ลด 10 %</t>
  </si>
  <si>
    <t>ลด 15 %</t>
  </si>
  <si>
    <t>ลด 20 %</t>
  </si>
  <si>
    <t>ลด 40 %</t>
  </si>
  <si>
    <t>คืน / เสีย</t>
  </si>
  <si>
    <t>โปรโมชั่น</t>
  </si>
  <si>
    <t>เนื่องจากวันที่ 9 มียอดขาย 100 บาท ให้โอนรวมกับวันที่ 10 จะได้ไม่เสียค่าโอนเงินเยอะ</t>
  </si>
  <si>
    <t>ลดราคา</t>
  </si>
  <si>
    <t>ขนมปังแลบลิ้น</t>
  </si>
  <si>
    <t>ข้าวเกรียบว่าว (กระปุก)</t>
  </si>
  <si>
    <t>แก้โอน พุฒิสรรค</t>
  </si>
  <si>
    <t>ชิฟฟ่อน สอดไส้ (ล) 3 ชิ้น เนยมะพร้าว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</si>
</sst>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20"/>
      <color theme="1"/>
      <name val="Angsana New"/>
      <family val="1"/>
    </font>
    <font>
      <b/>
      <sz val="16"/>
      <color theme="1"/>
      <name val="Angsana New"/>
      <family val="1"/>
    </font>
    <font>
      <b/>
      <sz val="18"/>
      <color theme="1"/>
      <name val="Angsana New"/>
      <family val="1"/>
    </font>
    <font>
      <b/>
      <sz val="17"/>
      <color indexed="8"/>
      <name val="AngsanaUPC"/>
      <family val="1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3" fillId="0" borderId="0" xfId="0" applyFont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43" fontId="6" fillId="0" borderId="0" xfId="0" applyNumberFormat="1" applyFont="1" applyAlignment="1">
      <alignment horizontal="center"/>
    </xf>
    <xf numFmtId="0" fontId="14" fillId="12" borderId="1" xfId="0" applyFont="1" applyFill="1" applyBorder="1"/>
    <xf numFmtId="43" fontId="6" fillId="15" borderId="1" xfId="0" applyNumberFormat="1" applyFont="1" applyFill="1" applyBorder="1"/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3" borderId="1" xfId="1" applyFont="1" applyFill="1" applyBorder="1"/>
    <xf numFmtId="43" fontId="2" fillId="3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43" fontId="17" fillId="0" borderId="0" xfId="1" applyFont="1" applyAlignment="1">
      <alignment horizontal="center"/>
    </xf>
    <xf numFmtId="0" fontId="18" fillId="18" borderId="1" xfId="0" applyFont="1" applyFill="1" applyBorder="1" applyAlignment="1">
      <alignment horizontal="center"/>
    </xf>
    <xf numFmtId="43" fontId="18" fillId="18" borderId="1" xfId="1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14" fontId="17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43" fontId="17" fillId="0" borderId="1" xfId="1" applyFont="1" applyBorder="1" applyAlignment="1">
      <alignment horizontal="center"/>
    </xf>
    <xf numFmtId="0" fontId="17" fillId="0" borderId="0" xfId="0" applyFont="1" applyAlignment="1">
      <alignment horizontal="right"/>
    </xf>
    <xf numFmtId="43" fontId="18" fillId="0" borderId="27" xfId="1" applyFont="1" applyBorder="1" applyAlignment="1">
      <alignment horizontal="center"/>
    </xf>
    <xf numFmtId="0" fontId="17" fillId="0" borderId="0" xfId="0" applyFont="1" applyAlignment="1">
      <alignment horizontal="left"/>
    </xf>
    <xf numFmtId="0" fontId="18" fillId="0" borderId="1" xfId="0" applyFont="1" applyBorder="1" applyAlignment="1">
      <alignment horizontal="center"/>
    </xf>
    <xf numFmtId="43" fontId="18" fillId="0" borderId="1" xfId="1" applyFont="1" applyFill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43" fontId="2" fillId="2" borderId="0" xfId="0" applyNumberFormat="1" applyFont="1" applyFill="1"/>
    <xf numFmtId="0" fontId="19" fillId="0" borderId="0" xfId="0" applyFont="1"/>
    <xf numFmtId="0" fontId="3" fillId="0" borderId="21" xfId="0" applyFont="1" applyBorder="1"/>
    <xf numFmtId="0" fontId="6" fillId="0" borderId="0" xfId="0" applyFont="1" applyAlignment="1">
      <alignment horizontal="left"/>
    </xf>
    <xf numFmtId="0" fontId="6" fillId="8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17" borderId="1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5" fillId="17" borderId="1" xfId="0" applyFont="1" applyFill="1" applyBorder="1" applyAlignment="1">
      <alignment horizontal="center"/>
    </xf>
    <xf numFmtId="43" fontId="9" fillId="7" borderId="0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5" fillId="17" borderId="15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3"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42FC5-B243-4918-B42C-A198C1C5E0C2}">
  <sheetPr>
    <tabColor rgb="FF5F5F5F"/>
  </sheetPr>
  <dimension ref="A1:D15"/>
  <sheetViews>
    <sheetView workbookViewId="0">
      <selection activeCell="L6" sqref="L6"/>
    </sheetView>
  </sheetViews>
  <sheetFormatPr defaultColWidth="9.125" defaultRowHeight="23.25" x14ac:dyDescent="0.5"/>
  <cols>
    <col min="1" max="1" width="9.125" style="90"/>
    <col min="2" max="2" width="16.25" style="90" bestFit="1" customWidth="1"/>
    <col min="3" max="3" width="13.375" style="91" bestFit="1" customWidth="1"/>
    <col min="4" max="4" width="27.375" style="90" customWidth="1"/>
    <col min="5" max="16384" width="9.125" style="90"/>
  </cols>
  <sheetData>
    <row r="1" spans="1:4" ht="29.25" x14ac:dyDescent="0.6">
      <c r="A1" s="89" t="s">
        <v>292</v>
      </c>
    </row>
    <row r="2" spans="1:4" s="94" customFormat="1" ht="26.25" x14ac:dyDescent="0.55000000000000004">
      <c r="A2" s="92" t="s">
        <v>293</v>
      </c>
      <c r="B2" s="92" t="s">
        <v>294</v>
      </c>
      <c r="C2" s="93" t="s">
        <v>295</v>
      </c>
      <c r="D2" s="92" t="s">
        <v>9</v>
      </c>
    </row>
    <row r="3" spans="1:4" x14ac:dyDescent="0.5">
      <c r="A3" s="95">
        <v>243801</v>
      </c>
      <c r="B3" s="96" t="s">
        <v>296</v>
      </c>
      <c r="C3" s="97">
        <v>46</v>
      </c>
      <c r="D3" s="96"/>
    </row>
    <row r="4" spans="1:4" x14ac:dyDescent="0.5">
      <c r="A4" s="96"/>
      <c r="B4" s="96"/>
      <c r="C4" s="97"/>
      <c r="D4" s="96"/>
    </row>
    <row r="5" spans="1:4" x14ac:dyDescent="0.5">
      <c r="A5" s="96"/>
      <c r="B5" s="96"/>
      <c r="C5" s="97"/>
      <c r="D5" s="96"/>
    </row>
    <row r="6" spans="1:4" x14ac:dyDescent="0.5">
      <c r="A6" s="96"/>
      <c r="B6" s="96"/>
      <c r="C6" s="97"/>
      <c r="D6" s="96"/>
    </row>
    <row r="7" spans="1:4" x14ac:dyDescent="0.5">
      <c r="A7" s="96"/>
      <c r="B7" s="96"/>
      <c r="C7" s="97"/>
      <c r="D7" s="96"/>
    </row>
    <row r="8" spans="1:4" x14ac:dyDescent="0.5">
      <c r="A8" s="96"/>
      <c r="B8" s="96"/>
      <c r="C8" s="97"/>
      <c r="D8" s="96"/>
    </row>
    <row r="9" spans="1:4" x14ac:dyDescent="0.5">
      <c r="A9" s="96"/>
      <c r="B9" s="96"/>
      <c r="C9" s="97"/>
      <c r="D9" s="96"/>
    </row>
    <row r="10" spans="1:4" x14ac:dyDescent="0.5">
      <c r="A10" s="96"/>
      <c r="B10" s="96"/>
      <c r="C10" s="97"/>
      <c r="D10" s="96"/>
    </row>
    <row r="11" spans="1:4" x14ac:dyDescent="0.5">
      <c r="A11" s="96"/>
      <c r="B11" s="96"/>
      <c r="C11" s="97"/>
      <c r="D11" s="96"/>
    </row>
    <row r="12" spans="1:4" x14ac:dyDescent="0.5">
      <c r="A12" s="96"/>
      <c r="B12" s="96"/>
      <c r="C12" s="97"/>
      <c r="D12" s="96"/>
    </row>
    <row r="13" spans="1:4" x14ac:dyDescent="0.5">
      <c r="A13" s="96"/>
      <c r="B13" s="96"/>
      <c r="C13" s="97"/>
      <c r="D13" s="96"/>
    </row>
    <row r="14" spans="1:4" ht="27" thickBot="1" x14ac:dyDescent="0.6">
      <c r="B14" s="98" t="s">
        <v>297</v>
      </c>
      <c r="C14" s="99">
        <f>SUM(C3:C13)</f>
        <v>46</v>
      </c>
      <c r="D14" s="100" t="s">
        <v>298</v>
      </c>
    </row>
    <row r="15" spans="1:4" ht="24" thickTop="1" x14ac:dyDescent="0.5"/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F7ACF-7436-4DBF-B54F-12F5A6D22E57}">
  <sheetPr>
    <tabColor rgb="FF5F5F5F"/>
  </sheetPr>
  <dimension ref="A1:E26"/>
  <sheetViews>
    <sheetView workbookViewId="0">
      <pane xSplit="2" ySplit="2" topLeftCell="C18" activePane="bottomRight" state="frozen"/>
      <selection activeCell="L6" sqref="L6"/>
      <selection pane="topRight" activeCell="L6" sqref="L6"/>
      <selection pane="bottomLeft" activeCell="L6" sqref="L6"/>
      <selection pane="bottomRight" activeCell="L6" sqref="L6"/>
    </sheetView>
  </sheetViews>
  <sheetFormatPr defaultColWidth="9.125" defaultRowHeight="23.25" x14ac:dyDescent="0.5"/>
  <cols>
    <col min="1" max="1" width="9.125" style="90"/>
    <col min="2" max="2" width="16.25" style="90" bestFit="1" customWidth="1"/>
    <col min="3" max="3" width="13.375" style="91" bestFit="1" customWidth="1"/>
    <col min="4" max="4" width="13.375" style="91" customWidth="1"/>
    <col min="5" max="5" width="27.375" style="90" customWidth="1"/>
    <col min="6" max="16384" width="9.125" style="90"/>
  </cols>
  <sheetData>
    <row r="1" spans="1:5" ht="29.25" x14ac:dyDescent="0.6">
      <c r="A1" s="89" t="s">
        <v>299</v>
      </c>
    </row>
    <row r="2" spans="1:5" s="94" customFormat="1" ht="26.25" x14ac:dyDescent="0.55000000000000004">
      <c r="A2" s="92" t="s">
        <v>293</v>
      </c>
      <c r="B2" s="92" t="s">
        <v>300</v>
      </c>
      <c r="C2" s="93" t="s">
        <v>12</v>
      </c>
      <c r="D2" s="93" t="s">
        <v>301</v>
      </c>
      <c r="E2" s="92" t="s">
        <v>9</v>
      </c>
    </row>
    <row r="3" spans="1:5" s="94" customFormat="1" ht="26.25" x14ac:dyDescent="0.55000000000000004">
      <c r="A3" s="101"/>
      <c r="B3" s="101"/>
      <c r="C3" s="102"/>
      <c r="D3" s="102"/>
      <c r="E3" s="101"/>
    </row>
    <row r="4" spans="1:5" s="94" customFormat="1" ht="26.25" x14ac:dyDescent="0.55000000000000004">
      <c r="A4" s="101"/>
      <c r="B4" s="101"/>
      <c r="C4" s="102"/>
      <c r="D4" s="102"/>
      <c r="E4" s="101"/>
    </row>
    <row r="5" spans="1:5" s="94" customFormat="1" ht="26.25" x14ac:dyDescent="0.55000000000000004">
      <c r="A5" s="101"/>
      <c r="B5" s="101"/>
      <c r="C5" s="102"/>
      <c r="D5" s="102"/>
      <c r="E5" s="101"/>
    </row>
    <row r="6" spans="1:5" s="94" customFormat="1" ht="26.25" x14ac:dyDescent="0.55000000000000004">
      <c r="A6" s="101"/>
      <c r="B6" s="101"/>
      <c r="C6" s="102"/>
      <c r="D6" s="102"/>
      <c r="E6" s="101"/>
    </row>
    <row r="7" spans="1:5" s="94" customFormat="1" ht="26.25" x14ac:dyDescent="0.55000000000000004">
      <c r="A7" s="101"/>
      <c r="B7" s="101"/>
      <c r="C7" s="102"/>
      <c r="D7" s="102"/>
      <c r="E7" s="101"/>
    </row>
    <row r="8" spans="1:5" s="94" customFormat="1" ht="26.25" x14ac:dyDescent="0.55000000000000004">
      <c r="A8" s="101"/>
      <c r="B8" s="101"/>
      <c r="C8" s="102"/>
      <c r="D8" s="102"/>
      <c r="E8" s="101"/>
    </row>
    <row r="9" spans="1:5" s="94" customFormat="1" ht="26.25" x14ac:dyDescent="0.55000000000000004">
      <c r="A9" s="101"/>
      <c r="B9" s="101"/>
      <c r="C9" s="102"/>
      <c r="D9" s="102"/>
      <c r="E9" s="101"/>
    </row>
    <row r="10" spans="1:5" s="94" customFormat="1" ht="26.25" x14ac:dyDescent="0.55000000000000004">
      <c r="A10" s="101"/>
      <c r="B10" s="101"/>
      <c r="C10" s="102"/>
      <c r="D10" s="102"/>
      <c r="E10" s="101"/>
    </row>
    <row r="11" spans="1:5" s="94" customFormat="1" ht="26.25" x14ac:dyDescent="0.55000000000000004">
      <c r="A11" s="101"/>
      <c r="B11" s="101"/>
      <c r="C11" s="102"/>
      <c r="D11" s="102"/>
      <c r="E11" s="101"/>
    </row>
    <row r="12" spans="1:5" s="94" customFormat="1" ht="26.25" x14ac:dyDescent="0.55000000000000004">
      <c r="A12" s="101"/>
      <c r="B12" s="101"/>
      <c r="C12" s="102"/>
      <c r="D12" s="102"/>
      <c r="E12" s="101"/>
    </row>
    <row r="13" spans="1:5" s="94" customFormat="1" ht="26.25" x14ac:dyDescent="0.55000000000000004">
      <c r="A13" s="101"/>
      <c r="B13" s="101"/>
      <c r="C13" s="102"/>
      <c r="D13" s="102"/>
      <c r="E13" s="101"/>
    </row>
    <row r="14" spans="1:5" x14ac:dyDescent="0.5">
      <c r="A14" s="95"/>
      <c r="B14" s="96"/>
      <c r="C14" s="97"/>
      <c r="D14" s="97"/>
      <c r="E14" s="96"/>
    </row>
    <row r="15" spans="1:5" x14ac:dyDescent="0.5">
      <c r="A15" s="96"/>
      <c r="B15" s="96"/>
      <c r="C15" s="97"/>
      <c r="D15" s="97"/>
      <c r="E15" s="96"/>
    </row>
    <row r="16" spans="1:5" x14ac:dyDescent="0.5">
      <c r="A16" s="96"/>
      <c r="B16" s="96"/>
      <c r="C16" s="97"/>
      <c r="D16" s="97"/>
      <c r="E16" s="96"/>
    </row>
    <row r="17" spans="1:5" x14ac:dyDescent="0.5">
      <c r="A17" s="96"/>
      <c r="B17" s="96"/>
      <c r="C17" s="97"/>
      <c r="D17" s="97"/>
      <c r="E17" s="96"/>
    </row>
    <row r="18" spans="1:5" x14ac:dyDescent="0.5">
      <c r="A18" s="96"/>
      <c r="B18" s="96"/>
      <c r="C18" s="97"/>
      <c r="D18" s="97"/>
      <c r="E18" s="96"/>
    </row>
    <row r="19" spans="1:5" x14ac:dyDescent="0.5">
      <c r="A19" s="96"/>
      <c r="B19" s="96"/>
      <c r="C19" s="97"/>
      <c r="D19" s="97"/>
      <c r="E19" s="96"/>
    </row>
    <row r="20" spans="1:5" x14ac:dyDescent="0.5">
      <c r="A20" s="96"/>
      <c r="B20" s="96"/>
      <c r="C20" s="97"/>
      <c r="D20" s="97"/>
      <c r="E20" s="96"/>
    </row>
    <row r="21" spans="1:5" x14ac:dyDescent="0.5">
      <c r="A21" s="96"/>
      <c r="B21" s="96"/>
      <c r="C21" s="97"/>
      <c r="D21" s="97"/>
      <c r="E21" s="96"/>
    </row>
    <row r="22" spans="1:5" x14ac:dyDescent="0.5">
      <c r="A22" s="96"/>
      <c r="B22" s="96"/>
      <c r="C22" s="97"/>
      <c r="D22" s="97"/>
      <c r="E22" s="96"/>
    </row>
    <row r="23" spans="1:5" x14ac:dyDescent="0.5">
      <c r="A23" s="96"/>
      <c r="B23" s="96"/>
      <c r="C23" s="97"/>
      <c r="D23" s="97"/>
      <c r="E23" s="96"/>
    </row>
    <row r="24" spans="1:5" x14ac:dyDescent="0.5">
      <c r="A24" s="96"/>
      <c r="B24" s="96"/>
      <c r="C24" s="97"/>
      <c r="D24" s="97"/>
      <c r="E24" s="96"/>
    </row>
    <row r="25" spans="1:5" ht="27" thickBot="1" x14ac:dyDescent="0.6">
      <c r="B25" s="98" t="s">
        <v>302</v>
      </c>
      <c r="C25" s="99">
        <f>SUM(C14:C24)</f>
        <v>0</v>
      </c>
      <c r="D25" s="99">
        <f>SUM(D14:D24)</f>
        <v>0</v>
      </c>
      <c r="E25" s="100" t="s">
        <v>298</v>
      </c>
    </row>
    <row r="26" spans="1:5" ht="24" thickTop="1" x14ac:dyDescent="0.5"/>
  </sheetData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05BA1-58DD-4991-B841-4B0FA40AAB7D}">
  <sheetPr>
    <tabColor rgb="FF5F5F5F"/>
  </sheetPr>
  <dimension ref="A1:E26"/>
  <sheetViews>
    <sheetView workbookViewId="0">
      <pane xSplit="3" ySplit="2" topLeftCell="D15" activePane="bottomRight" state="frozen"/>
      <selection activeCell="L6" sqref="L6"/>
      <selection pane="topRight" activeCell="L6" sqref="L6"/>
      <selection pane="bottomLeft" activeCell="L6" sqref="L6"/>
      <selection pane="bottomRight" activeCell="L6" sqref="L6"/>
    </sheetView>
  </sheetViews>
  <sheetFormatPr defaultColWidth="9.125" defaultRowHeight="23.25" x14ac:dyDescent="0.5"/>
  <cols>
    <col min="1" max="1" width="9.125" style="90"/>
    <col min="2" max="2" width="16.25" style="90" bestFit="1" customWidth="1"/>
    <col min="3" max="3" width="17.875" style="91" bestFit="1" customWidth="1"/>
    <col min="4" max="4" width="17.875" style="91" customWidth="1"/>
    <col min="5" max="5" width="27.375" style="90" customWidth="1"/>
    <col min="6" max="16384" width="9.125" style="90"/>
  </cols>
  <sheetData>
    <row r="1" spans="1:5" ht="29.25" x14ac:dyDescent="0.6">
      <c r="A1" s="89" t="s">
        <v>303</v>
      </c>
    </row>
    <row r="2" spans="1:5" s="94" customFormat="1" ht="26.25" x14ac:dyDescent="0.55000000000000004">
      <c r="A2" s="92" t="s">
        <v>293</v>
      </c>
      <c r="B2" s="92" t="s">
        <v>300</v>
      </c>
      <c r="C2" s="93" t="s">
        <v>304</v>
      </c>
      <c r="D2" s="93" t="s">
        <v>215</v>
      </c>
      <c r="E2" s="92" t="s">
        <v>9</v>
      </c>
    </row>
    <row r="3" spans="1:5" s="94" customFormat="1" ht="26.25" x14ac:dyDescent="0.55000000000000004">
      <c r="A3" s="101"/>
      <c r="B3" s="101"/>
      <c r="C3" s="102"/>
      <c r="D3" s="102"/>
      <c r="E3" s="101"/>
    </row>
    <row r="4" spans="1:5" s="94" customFormat="1" ht="26.25" x14ac:dyDescent="0.55000000000000004">
      <c r="A4" s="101"/>
      <c r="B4" s="101"/>
      <c r="C4" s="102"/>
      <c r="D4" s="102"/>
      <c r="E4" s="101"/>
    </row>
    <row r="5" spans="1:5" s="94" customFormat="1" ht="26.25" x14ac:dyDescent="0.55000000000000004">
      <c r="A5" s="101"/>
      <c r="B5" s="101"/>
      <c r="C5" s="102"/>
      <c r="D5" s="102"/>
      <c r="E5" s="101"/>
    </row>
    <row r="6" spans="1:5" s="94" customFormat="1" ht="26.25" x14ac:dyDescent="0.55000000000000004">
      <c r="A6" s="101"/>
      <c r="B6" s="101"/>
      <c r="C6" s="102"/>
      <c r="D6" s="102"/>
      <c r="E6" s="101"/>
    </row>
    <row r="7" spans="1:5" s="94" customFormat="1" ht="26.25" x14ac:dyDescent="0.55000000000000004">
      <c r="A7" s="101"/>
      <c r="B7" s="101"/>
      <c r="C7" s="102"/>
      <c r="D7" s="102"/>
      <c r="E7" s="101"/>
    </row>
    <row r="8" spans="1:5" s="94" customFormat="1" ht="26.25" x14ac:dyDescent="0.55000000000000004">
      <c r="A8" s="101"/>
      <c r="B8" s="101"/>
      <c r="C8" s="102"/>
      <c r="D8" s="102"/>
      <c r="E8" s="101"/>
    </row>
    <row r="9" spans="1:5" s="94" customFormat="1" ht="26.25" x14ac:dyDescent="0.55000000000000004">
      <c r="A9" s="101"/>
      <c r="B9" s="101"/>
      <c r="C9" s="102"/>
      <c r="D9" s="102"/>
      <c r="E9" s="101"/>
    </row>
    <row r="10" spans="1:5" s="94" customFormat="1" ht="26.25" x14ac:dyDescent="0.55000000000000004">
      <c r="A10" s="101"/>
      <c r="B10" s="101"/>
      <c r="C10" s="102"/>
      <c r="D10" s="102"/>
      <c r="E10" s="101"/>
    </row>
    <row r="11" spans="1:5" s="94" customFormat="1" ht="26.25" x14ac:dyDescent="0.55000000000000004">
      <c r="A11" s="101"/>
      <c r="B11" s="101"/>
      <c r="C11" s="102"/>
      <c r="D11" s="102"/>
      <c r="E11" s="101"/>
    </row>
    <row r="12" spans="1:5" s="94" customFormat="1" ht="26.25" x14ac:dyDescent="0.55000000000000004">
      <c r="A12" s="101"/>
      <c r="B12" s="101"/>
      <c r="C12" s="102"/>
      <c r="D12" s="102"/>
      <c r="E12" s="101"/>
    </row>
    <row r="13" spans="1:5" s="94" customFormat="1" ht="26.25" x14ac:dyDescent="0.55000000000000004">
      <c r="A13" s="101"/>
      <c r="B13" s="101"/>
      <c r="C13" s="102"/>
      <c r="D13" s="102"/>
      <c r="E13" s="101"/>
    </row>
    <row r="14" spans="1:5" x14ac:dyDescent="0.5">
      <c r="A14" s="95"/>
      <c r="B14" s="96"/>
      <c r="C14" s="97"/>
      <c r="D14" s="97"/>
      <c r="E14" s="96"/>
    </row>
    <row r="15" spans="1:5" x14ac:dyDescent="0.5">
      <c r="A15" s="96"/>
      <c r="B15" s="96"/>
      <c r="C15" s="97"/>
      <c r="D15" s="97"/>
      <c r="E15" s="96"/>
    </row>
    <row r="16" spans="1:5" x14ac:dyDescent="0.5">
      <c r="A16" s="96"/>
      <c r="B16" s="96"/>
      <c r="C16" s="97"/>
      <c r="D16" s="97"/>
      <c r="E16" s="96"/>
    </row>
    <row r="17" spans="1:5" x14ac:dyDescent="0.5">
      <c r="A17" s="96"/>
      <c r="B17" s="96"/>
      <c r="C17" s="97"/>
      <c r="D17" s="97"/>
      <c r="E17" s="96"/>
    </row>
    <row r="18" spans="1:5" x14ac:dyDescent="0.5">
      <c r="A18" s="96"/>
      <c r="B18" s="96"/>
      <c r="C18" s="97"/>
      <c r="D18" s="97"/>
      <c r="E18" s="96"/>
    </row>
    <row r="19" spans="1:5" x14ac:dyDescent="0.5">
      <c r="A19" s="96"/>
      <c r="B19" s="96"/>
      <c r="C19" s="97"/>
      <c r="D19" s="97"/>
      <c r="E19" s="96"/>
    </row>
    <row r="20" spans="1:5" x14ac:dyDescent="0.5">
      <c r="A20" s="96"/>
      <c r="B20" s="96"/>
      <c r="C20" s="97"/>
      <c r="D20" s="97"/>
      <c r="E20" s="96"/>
    </row>
    <row r="21" spans="1:5" x14ac:dyDescent="0.5">
      <c r="A21" s="96"/>
      <c r="B21" s="96"/>
      <c r="C21" s="97"/>
      <c r="D21" s="97"/>
      <c r="E21" s="96"/>
    </row>
    <row r="22" spans="1:5" x14ac:dyDescent="0.5">
      <c r="A22" s="96"/>
      <c r="B22" s="96"/>
      <c r="C22" s="97"/>
      <c r="D22" s="97"/>
      <c r="E22" s="96"/>
    </row>
    <row r="23" spans="1:5" x14ac:dyDescent="0.5">
      <c r="A23" s="96"/>
      <c r="B23" s="96"/>
      <c r="C23" s="97"/>
      <c r="D23" s="97"/>
      <c r="E23" s="96"/>
    </row>
    <row r="24" spans="1:5" x14ac:dyDescent="0.5">
      <c r="A24" s="96"/>
      <c r="B24" s="96"/>
      <c r="C24" s="97"/>
      <c r="D24" s="97"/>
      <c r="E24" s="96"/>
    </row>
    <row r="25" spans="1:5" ht="27" thickBot="1" x14ac:dyDescent="0.6">
      <c r="B25" s="98" t="s">
        <v>305</v>
      </c>
      <c r="C25" s="99">
        <f>SUM(C14:C24)</f>
        <v>0</v>
      </c>
      <c r="D25" s="99">
        <f>SUM(D14:D24)</f>
        <v>0</v>
      </c>
      <c r="E25" s="100" t="s">
        <v>298</v>
      </c>
    </row>
    <row r="26" spans="1:5" ht="24" thickTop="1" x14ac:dyDescent="0.5"/>
  </sheetData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>
    <tabColor rgb="FFFF0000"/>
    <pageSetUpPr fitToPage="1"/>
  </sheetPr>
  <dimension ref="A1:V266"/>
  <sheetViews>
    <sheetView tabSelected="1" zoomScale="85" zoomScaleNormal="85" workbookViewId="0">
      <pane xSplit="7" ySplit="4" topLeftCell="K48" activePane="bottomRight" state="frozen"/>
      <selection activeCell="B20" sqref="B20"/>
      <selection pane="topRight" activeCell="B20" sqref="B20"/>
      <selection pane="bottomLeft" activeCell="B20" sqref="B20"/>
      <selection pane="bottomRight" activeCell="P37" sqref="P37:U41"/>
    </sheetView>
  </sheetViews>
  <sheetFormatPr defaultColWidth="9" defaultRowHeight="25.5" x14ac:dyDescent="0.55000000000000004"/>
  <cols>
    <col min="1" max="1" width="16.625" style="2" bestFit="1" customWidth="1"/>
    <col min="2" max="2" width="39.75" style="2" bestFit="1" customWidth="1"/>
    <col min="3" max="3" width="22.25" style="2" bestFit="1" customWidth="1"/>
    <col min="4" max="4" width="12.75" style="2" bestFit="1" customWidth="1"/>
    <col min="5" max="5" width="11.75" style="2" bestFit="1" customWidth="1"/>
    <col min="6" max="6" width="8.75" style="2" bestFit="1" customWidth="1"/>
    <col min="7" max="7" width="8" style="2" bestFit="1" customWidth="1"/>
    <col min="8" max="8" width="8.75" style="2" bestFit="1" customWidth="1"/>
    <col min="9" max="9" width="4.375" style="5" bestFit="1" customWidth="1"/>
    <col min="10" max="10" width="11.75" style="2" bestFit="1" customWidth="1"/>
    <col min="11" max="11" width="16.125" style="2" customWidth="1"/>
    <col min="12" max="12" width="5.125" style="2" bestFit="1" customWidth="1"/>
    <col min="13" max="13" width="11.625" style="1" bestFit="1" customWidth="1"/>
    <col min="14" max="14" width="10.375" style="1" bestFit="1" customWidth="1"/>
    <col min="15" max="15" width="12.625" style="1" customWidth="1"/>
    <col min="16" max="16" width="9.875" style="1" customWidth="1"/>
    <col min="17" max="19" width="11.875" style="1" customWidth="1"/>
    <col min="20" max="20" width="14.75" style="1" customWidth="1"/>
    <col min="21" max="21" width="16.25" style="2" bestFit="1" customWidth="1"/>
    <col min="22" max="16384" width="9" style="2"/>
  </cols>
  <sheetData>
    <row r="1" spans="1:22" x14ac:dyDescent="0.55000000000000004">
      <c r="A1" s="1"/>
    </row>
    <row r="2" spans="1:22" s="3" customFormat="1" ht="29.25" x14ac:dyDescent="0.6">
      <c r="A2" s="110" t="s">
        <v>276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06" t="s">
        <v>316</v>
      </c>
      <c r="M2" s="106"/>
      <c r="N2" s="42">
        <v>262</v>
      </c>
      <c r="O2" s="42">
        <v>260</v>
      </c>
      <c r="P2" s="42">
        <v>258</v>
      </c>
      <c r="Q2" s="42">
        <v>261</v>
      </c>
      <c r="R2" s="42">
        <v>259</v>
      </c>
      <c r="S2" s="42"/>
      <c r="T2" s="42">
        <v>264</v>
      </c>
    </row>
    <row r="3" spans="1:22" s="5" customFormat="1" x14ac:dyDescent="0.55000000000000004">
      <c r="A3" s="108" t="s">
        <v>1</v>
      </c>
      <c r="B3" s="108" t="s">
        <v>2</v>
      </c>
      <c r="C3" s="108" t="s">
        <v>3</v>
      </c>
      <c r="D3" s="108" t="s">
        <v>4</v>
      </c>
      <c r="E3" s="108" t="s">
        <v>5</v>
      </c>
      <c r="F3" s="78" t="s">
        <v>6</v>
      </c>
      <c r="G3" s="108" t="s">
        <v>7</v>
      </c>
      <c r="H3" s="111" t="s">
        <v>8</v>
      </c>
      <c r="I3" s="111"/>
      <c r="J3" s="111"/>
      <c r="K3" s="108" t="s">
        <v>9</v>
      </c>
      <c r="L3" s="109" t="s">
        <v>214</v>
      </c>
      <c r="M3" s="109" t="s">
        <v>215</v>
      </c>
      <c r="N3" s="109" t="s">
        <v>10</v>
      </c>
      <c r="O3" s="109" t="s">
        <v>216</v>
      </c>
      <c r="P3" s="109" t="s">
        <v>217</v>
      </c>
      <c r="Q3" s="112" t="s">
        <v>218</v>
      </c>
      <c r="R3" s="112" t="s">
        <v>219</v>
      </c>
      <c r="S3" s="112" t="s">
        <v>220</v>
      </c>
      <c r="T3" s="109" t="s">
        <v>221</v>
      </c>
      <c r="U3" s="114" t="s">
        <v>222</v>
      </c>
    </row>
    <row r="4" spans="1:22" s="5" customFormat="1" x14ac:dyDescent="0.55000000000000004">
      <c r="A4" s="108"/>
      <c r="B4" s="108"/>
      <c r="C4" s="108"/>
      <c r="D4" s="108"/>
      <c r="E4" s="108"/>
      <c r="F4" s="78" t="s">
        <v>11</v>
      </c>
      <c r="G4" s="108"/>
      <c r="H4" s="78" t="s">
        <v>12</v>
      </c>
      <c r="I4" s="43" t="s">
        <v>13</v>
      </c>
      <c r="J4" s="78" t="s">
        <v>14</v>
      </c>
      <c r="K4" s="108"/>
      <c r="L4" s="109"/>
      <c r="M4" s="109"/>
      <c r="N4" s="109"/>
      <c r="O4" s="109"/>
      <c r="P4" s="109"/>
      <c r="Q4" s="113"/>
      <c r="R4" s="113"/>
      <c r="S4" s="113"/>
      <c r="T4" s="109"/>
      <c r="U4" s="115"/>
    </row>
    <row r="5" spans="1:22" x14ac:dyDescent="0.55000000000000004">
      <c r="A5" s="10">
        <v>1</v>
      </c>
      <c r="B5" s="19" t="s">
        <v>15</v>
      </c>
      <c r="C5" s="47">
        <v>10</v>
      </c>
      <c r="D5" s="45">
        <f>+'1'!D5+'2'!D5+'3'!D5+'4'!D5+'5'!D5+'6'!D5+'7'!D5+'8'!D5+'9'!D5+'10'!D5+'11'!D5+'12'!D5+'13'!D5+'14'!D5+'15'!D5+'16'!D5+'17'!D5+'18'!D5+'19'!D5+'20'!D5+'21'!D5+'22'!D5+'23'!D5+'24'!D5+'25'!D5+'26'!D5+'27'!D5+'28'!D5+'29'!D5+'30'!D5+'31.'!D5</f>
        <v>92</v>
      </c>
      <c r="E5" s="44">
        <f t="shared" ref="E5:E68" si="0">+C5+D5</f>
        <v>102</v>
      </c>
      <c r="F5" s="45">
        <f>+'1'!F5+'2'!F5+'3'!F5+'4'!F5+'5'!F5+'6'!F5+'7'!F5+'8'!F5+'9'!F5+'10'!F5+'11'!F5+'12'!F5+'13'!F5+'14'!F5+'15'!F5+'16'!F5+'17'!F5+'18'!F5+'19'!F5+'20'!F5+'21'!F5+'22'!F5+'23'!F5+'24'!F5+'25'!F5+'26'!F5+'27'!F5+'28'!F5+'29'!F5+'30'!F5+'31.'!F5</f>
        <v>0</v>
      </c>
      <c r="G5" s="44">
        <f>C5+D5-F5-H5</f>
        <v>0</v>
      </c>
      <c r="H5" s="45">
        <f>+'1'!H5+'2'!H5+'3'!H5+'4'!H5+'5'!H5+'6'!H5+'7'!H5+'8'!H5+'9'!H5+'10'!H5+'11'!H5+'12'!H5+'13'!H5+'14'!H5+'15'!H5+'16'!H5+'17'!H5+'18'!H5+'19'!H5+'20'!H5+'21'!H5+'22'!H5+'23'!H5+'24'!H5+'25'!H5+'26'!H5+'27'!H5+'28'!H5+'29'!H5+'30'!H5+'31.'!H5</f>
        <v>102</v>
      </c>
      <c r="I5" s="20">
        <v>50</v>
      </c>
      <c r="J5" s="45">
        <f>+'1'!J5+'2'!J5+'3'!J5+'4'!J5+'5'!J5+'6'!J5+'7'!J5+'8'!J5+'9'!J5+'10'!J5+'11'!J5+'12'!J5+'13'!J5+'14'!J5+'15'!J5+'16'!J5+'17'!J5+'18'!J5+'19'!J5+'20'!J5+'21'!J5+'22'!J5+'23'!J5+'24'!J5+'25'!J5+'26'!J5+'27'!J5+'28'!J5+'29'!J5+'30'!J5+'31.'!J5</f>
        <v>5100</v>
      </c>
      <c r="K5" s="19"/>
      <c r="L5" s="46">
        <v>1</v>
      </c>
      <c r="M5" s="47">
        <f>+'1'!K257</f>
        <v>2030</v>
      </c>
      <c r="N5" s="47">
        <f>+'1'!K262</f>
        <v>260</v>
      </c>
      <c r="O5" s="47">
        <f>+'1'!K260</f>
        <v>0</v>
      </c>
      <c r="P5" s="84">
        <f>+'1'!K258</f>
        <v>15</v>
      </c>
      <c r="Q5" s="47">
        <f>+'1'!K261</f>
        <v>69</v>
      </c>
      <c r="R5" s="47">
        <f>+'1'!K259</f>
        <v>250</v>
      </c>
      <c r="S5" s="47">
        <f>+M5-N5-O5-P5-Q5-R5</f>
        <v>1436</v>
      </c>
      <c r="T5" s="47">
        <f>+'1'!K264</f>
        <v>1456</v>
      </c>
      <c r="U5" s="48">
        <f>+T5-S5</f>
        <v>20</v>
      </c>
      <c r="V5" s="5"/>
    </row>
    <row r="6" spans="1:22" x14ac:dyDescent="0.55000000000000004">
      <c r="A6" s="10">
        <v>2</v>
      </c>
      <c r="B6" s="19" t="s">
        <v>17</v>
      </c>
      <c r="C6" s="47">
        <v>5</v>
      </c>
      <c r="D6" s="45">
        <f>+'1'!D6+'2'!D6+'3'!D6+'4'!D6+'5'!D6+'6'!D6+'7'!D6+'8'!D6+'9'!D6+'10'!D6+'11'!D6+'12'!D6+'13'!D6+'14'!D6+'15'!D6+'16'!D6+'17'!D6+'18'!D6+'19'!D6+'20'!D6+'21'!D6+'22'!D6+'23'!D6+'24'!D6+'25'!D6+'26'!D6+'27'!D6+'28'!D6+'29'!D6+'30'!D6+'31.'!D6</f>
        <v>110</v>
      </c>
      <c r="E6" s="44">
        <f t="shared" si="0"/>
        <v>115</v>
      </c>
      <c r="F6" s="45">
        <f>+'1'!F6+'2'!F6+'3'!F6+'4'!F6+'5'!F6+'6'!F6+'7'!F6+'8'!F6+'9'!F6+'10'!F6+'11'!F6+'12'!F6+'13'!F6+'14'!F6+'15'!F6+'16'!F6+'17'!F6+'18'!F6+'19'!F6+'20'!F6+'21'!F6+'22'!F6+'23'!F6+'24'!F6+'25'!F6+'26'!F6+'27'!F6+'28'!F6+'29'!F6+'30'!F6+'31.'!F6</f>
        <v>10</v>
      </c>
      <c r="G6" s="44">
        <f t="shared" ref="G6:G68" si="1">C6+D6-F6-H6</f>
        <v>0</v>
      </c>
      <c r="H6" s="45">
        <f>+'1'!H6+'2'!H6+'3'!H6+'4'!H6+'5'!H6+'6'!H6+'7'!H6+'8'!H6+'9'!H6+'10'!H6+'11'!H6+'12'!H6+'13'!H6+'14'!H6+'15'!H6+'16'!H6+'17'!H6+'18'!H6+'19'!H6+'20'!H6+'21'!H6+'22'!H6+'23'!H6+'24'!H6+'25'!H6+'26'!H6+'27'!H6+'28'!H6+'29'!H6+'30'!H6+'31.'!H6</f>
        <v>105</v>
      </c>
      <c r="I6" s="20">
        <v>100</v>
      </c>
      <c r="J6" s="45">
        <f>+'1'!J6+'2'!J6+'3'!J6+'4'!J6+'5'!J6+'6'!J6+'7'!J6+'8'!J6+'9'!J6+'10'!J6+'11'!J6+'12'!J6+'13'!J6+'14'!J6+'15'!J6+'16'!J6+'17'!J6+'18'!J6+'19'!J6+'20'!J6+'21'!J6+'22'!J6+'23'!J6+'24'!J6+'25'!J6+'26'!J6+'27'!J6+'28'!J6+'29'!J6+'30'!J6+'31.'!J6</f>
        <v>10500</v>
      </c>
      <c r="K6" s="19"/>
      <c r="L6" s="46">
        <v>2</v>
      </c>
      <c r="M6" s="47">
        <f>+'2'!K257</f>
        <v>965</v>
      </c>
      <c r="N6" s="47">
        <f>+'2'!K262</f>
        <v>50</v>
      </c>
      <c r="O6" s="47">
        <f>+'2'!K260</f>
        <v>0</v>
      </c>
      <c r="P6" s="84">
        <f>+'2'!K258</f>
        <v>15</v>
      </c>
      <c r="Q6" s="47">
        <f>+'2'!K261</f>
        <v>0</v>
      </c>
      <c r="R6" s="47">
        <f>+'2'!K259</f>
        <v>315</v>
      </c>
      <c r="S6" s="47">
        <f t="shared" ref="S6:S35" si="2">+M6-N6-O6-P6-Q6-R6</f>
        <v>585</v>
      </c>
      <c r="T6" s="47">
        <f>+'2'!K264</f>
        <v>585</v>
      </c>
      <c r="U6" s="48">
        <f t="shared" ref="U6:U35" si="3">+T6-S6</f>
        <v>0</v>
      </c>
      <c r="V6" s="5"/>
    </row>
    <row r="7" spans="1:22" x14ac:dyDescent="0.55000000000000004">
      <c r="A7" s="10">
        <v>3</v>
      </c>
      <c r="B7" s="19" t="s">
        <v>18</v>
      </c>
      <c r="C7" s="47">
        <f>+ยกมา!C15</f>
        <v>0</v>
      </c>
      <c r="D7" s="45">
        <f>+'1'!D7+'2'!D7+'3'!D7+'4'!D7+'5'!D7+'6'!D7+'7'!D7+'8'!D7+'9'!D7+'10'!D7+'11'!D7+'12'!D7+'13'!D7+'14'!D7+'15'!D7+'16'!D7+'17'!D7+'18'!D7+'19'!D7+'20'!D7+'21'!D7+'22'!D7+'23'!D7+'24'!D7+'25'!D7+'26'!D7+'27'!D7+'28'!D7+'29'!D7+'30'!D7+'31.'!D7</f>
        <v>0</v>
      </c>
      <c r="E7" s="44">
        <f t="shared" si="0"/>
        <v>0</v>
      </c>
      <c r="F7" s="45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4">
        <f t="shared" si="1"/>
        <v>0</v>
      </c>
      <c r="H7" s="45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20">
        <v>50</v>
      </c>
      <c r="J7" s="45">
        <f>+'1'!J7+'2'!J7+'3'!J7+'4'!J7+'5'!J7+'6'!J7+'7'!J7+'8'!J7+'9'!J7+'10'!J7+'11'!J7+'12'!J7+'13'!J7+'14'!J7+'15'!J7+'16'!J7+'17'!J7+'18'!J7+'19'!J7+'20'!J7+'21'!J7+'22'!J7+'23'!J7+'24'!J7+'25'!J7+'26'!J7+'27'!J7+'28'!J7+'29'!J7+'30'!J7+'31.'!J7</f>
        <v>0</v>
      </c>
      <c r="K7" s="19"/>
      <c r="L7" s="46">
        <v>3</v>
      </c>
      <c r="M7" s="47">
        <f>+'3'!K257</f>
        <v>2480</v>
      </c>
      <c r="N7" s="47">
        <f>+'3'!K262</f>
        <v>150</v>
      </c>
      <c r="O7" s="47">
        <f>+'3'!K260</f>
        <v>0</v>
      </c>
      <c r="P7" s="84">
        <f>+'3'!K258</f>
        <v>15</v>
      </c>
      <c r="Q7" s="47">
        <f>+'3'!K261</f>
        <v>0</v>
      </c>
      <c r="R7" s="47">
        <f>+'3'!K259</f>
        <v>550</v>
      </c>
      <c r="S7" s="47">
        <f t="shared" si="2"/>
        <v>1765</v>
      </c>
      <c r="T7" s="47">
        <f>+'3'!K264</f>
        <v>1765</v>
      </c>
      <c r="U7" s="48">
        <f>+T7-S7</f>
        <v>0</v>
      </c>
      <c r="V7" s="5"/>
    </row>
    <row r="8" spans="1:22" x14ac:dyDescent="0.55000000000000004">
      <c r="A8" s="10">
        <v>4</v>
      </c>
      <c r="B8" s="19" t="s">
        <v>19</v>
      </c>
      <c r="C8" s="47">
        <f>+ยกมา!C16</f>
        <v>0</v>
      </c>
      <c r="D8" s="45">
        <f>+'1'!D8+'2'!D8+'3'!D8+'4'!D8+'5'!D8+'6'!D8+'7'!D8+'8'!D8+'9'!D8+'10'!D8+'11'!D8+'12'!D8+'13'!D8+'14'!D8+'15'!D8+'16'!D8+'17'!D8+'18'!D8+'19'!D8+'20'!D8+'21'!D8+'22'!D8+'23'!D8+'24'!D8+'25'!D8+'26'!D8+'27'!D8+'28'!D8+'29'!D8+'30'!D8+'31.'!D8</f>
        <v>0</v>
      </c>
      <c r="E8" s="44">
        <f t="shared" si="0"/>
        <v>0</v>
      </c>
      <c r="F8" s="45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4">
        <f t="shared" si="1"/>
        <v>0</v>
      </c>
      <c r="H8" s="45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20">
        <v>100</v>
      </c>
      <c r="J8" s="45">
        <f>+'1'!J8+'2'!J8+'3'!J8+'4'!J8+'5'!J8+'6'!J8+'7'!J8+'8'!J8+'9'!J8+'10'!J8+'11'!J8+'12'!J8+'13'!J8+'14'!J8+'15'!J8+'16'!J8+'17'!J8+'18'!J8+'19'!J8+'20'!J8+'21'!J8+'22'!J8+'23'!J8+'24'!J8+'25'!J8+'26'!J8+'27'!J8+'28'!J8+'29'!J8+'30'!J8+'31.'!J8</f>
        <v>0</v>
      </c>
      <c r="K8" s="19"/>
      <c r="L8" s="46">
        <v>4</v>
      </c>
      <c r="M8" s="47">
        <f>+'4'!K257</f>
        <v>2120</v>
      </c>
      <c r="N8" s="47">
        <f>+'4'!K262</f>
        <v>50</v>
      </c>
      <c r="O8" s="47">
        <f>+'4'!K260</f>
        <v>0</v>
      </c>
      <c r="P8" s="84">
        <f>+'4'!K258</f>
        <v>15</v>
      </c>
      <c r="Q8" s="47">
        <f>+'4'!K261</f>
        <v>0</v>
      </c>
      <c r="R8" s="47">
        <f>+'4'!K259</f>
        <v>1270</v>
      </c>
      <c r="S8" s="47">
        <f>+M8-N8-O8-P8-Q8-R8</f>
        <v>785</v>
      </c>
      <c r="T8" s="47">
        <f>+'4'!K264</f>
        <v>785</v>
      </c>
      <c r="U8" s="48">
        <f t="shared" si="3"/>
        <v>0</v>
      </c>
      <c r="V8" s="5"/>
    </row>
    <row r="9" spans="1:22" x14ac:dyDescent="0.55000000000000004">
      <c r="A9" s="10">
        <v>5</v>
      </c>
      <c r="B9" s="19" t="s">
        <v>20</v>
      </c>
      <c r="C9" s="47">
        <f>+ยกมา!C17</f>
        <v>0</v>
      </c>
      <c r="D9" s="45">
        <f>+'1'!D9+'2'!D9+'3'!D9+'4'!D9+'5'!D9+'6'!D9+'7'!D9+'8'!D9+'9'!D9+'10'!D9+'11'!D9+'12'!D9+'13'!D9+'14'!D9+'15'!D9+'16'!D9+'17'!D9+'18'!D9+'19'!D9+'20'!D9+'21'!D9+'22'!D9+'23'!D9+'24'!D9+'25'!D9+'26'!D9+'27'!D9+'28'!D9+'29'!D9+'30'!D9+'31.'!D9</f>
        <v>0</v>
      </c>
      <c r="E9" s="44">
        <f t="shared" si="0"/>
        <v>0</v>
      </c>
      <c r="F9" s="45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4">
        <f t="shared" si="1"/>
        <v>0</v>
      </c>
      <c r="H9" s="45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20">
        <v>12</v>
      </c>
      <c r="J9" s="45">
        <f>+'1'!J9+'2'!J9+'3'!J9+'4'!J9+'5'!J9+'6'!J9+'7'!J9+'8'!J9+'9'!J9+'10'!J9+'11'!J9+'12'!J9+'13'!J9+'14'!J9+'15'!J9+'16'!J9+'17'!J9+'18'!J9+'19'!J9+'20'!J9+'21'!J9+'22'!J9+'23'!J9+'24'!J9+'25'!J9+'26'!J9+'27'!J9+'28'!J9+'29'!J9+'30'!J9+'31.'!J9</f>
        <v>0</v>
      </c>
      <c r="K9" s="19"/>
      <c r="L9" s="46">
        <v>5</v>
      </c>
      <c r="M9" s="47">
        <f>+'5'!K257</f>
        <v>3705</v>
      </c>
      <c r="N9" s="47">
        <f>+'5'!K262</f>
        <v>860</v>
      </c>
      <c r="O9" s="47">
        <f>+'5'!K260</f>
        <v>0</v>
      </c>
      <c r="P9" s="84">
        <f>+'5'!K258</f>
        <v>15</v>
      </c>
      <c r="Q9" s="47">
        <f>+'5'!K261</f>
        <v>0</v>
      </c>
      <c r="R9" s="47">
        <f>+'5'!K259</f>
        <v>810</v>
      </c>
      <c r="S9" s="47">
        <f t="shared" si="2"/>
        <v>2020</v>
      </c>
      <c r="T9" s="47">
        <f>+'5'!K264</f>
        <v>2090</v>
      </c>
      <c r="U9" s="48">
        <f t="shared" si="3"/>
        <v>70</v>
      </c>
      <c r="V9" s="5"/>
    </row>
    <row r="10" spans="1:22" x14ac:dyDescent="0.55000000000000004">
      <c r="A10" s="10">
        <v>6</v>
      </c>
      <c r="B10" s="19" t="s">
        <v>21</v>
      </c>
      <c r="C10" s="47">
        <f>+ยกมา!C18</f>
        <v>0</v>
      </c>
      <c r="D10" s="45">
        <f>+'1'!D10+'2'!D10+'3'!D10+'4'!D10+'5'!D10+'6'!D10+'7'!D10+'8'!D10+'9'!D10+'10'!D10+'11'!D10+'12'!D10+'13'!D10+'14'!D10+'15'!D10+'16'!D10+'17'!D10+'18'!D10+'19'!D10+'20'!D10+'21'!D10+'22'!D10+'23'!D10+'24'!D10+'25'!D10+'26'!D10+'27'!D10+'28'!D10+'29'!D10+'30'!D10+'31.'!D10</f>
        <v>0</v>
      </c>
      <c r="E10" s="44">
        <f t="shared" si="0"/>
        <v>0</v>
      </c>
      <c r="F10" s="45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4">
        <f t="shared" si="1"/>
        <v>0</v>
      </c>
      <c r="H10" s="45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20">
        <v>15</v>
      </c>
      <c r="J10" s="45">
        <f>+'1'!J10+'2'!J10+'3'!J10+'4'!J10+'5'!J10+'6'!J10+'7'!J10+'8'!J10+'9'!J10+'10'!J10+'11'!J10+'12'!J10+'13'!J10+'14'!J10+'15'!J10+'16'!J10+'17'!J10+'18'!J10+'19'!J10+'20'!J10+'21'!J10+'22'!J10+'23'!J10+'24'!J10+'25'!J10+'26'!J10+'27'!J10+'28'!J10+'29'!J10+'30'!J10+'31.'!J10</f>
        <v>0</v>
      </c>
      <c r="K10" s="19"/>
      <c r="L10" s="46">
        <v>6</v>
      </c>
      <c r="M10" s="47">
        <f>+'6'!K257</f>
        <v>2535</v>
      </c>
      <c r="N10" s="47">
        <f>+'6'!K262</f>
        <v>325</v>
      </c>
      <c r="O10" s="47">
        <f>+'6'!K260</f>
        <v>0</v>
      </c>
      <c r="P10" s="84">
        <f>+'6'!K258</f>
        <v>15</v>
      </c>
      <c r="Q10" s="47">
        <f>+'6'!K261</f>
        <v>0</v>
      </c>
      <c r="R10" s="47">
        <f>+'6'!K259</f>
        <v>495</v>
      </c>
      <c r="S10" s="47">
        <f t="shared" si="2"/>
        <v>1700</v>
      </c>
      <c r="T10" s="47">
        <f>+'6'!K264</f>
        <v>1705</v>
      </c>
      <c r="U10" s="48">
        <f t="shared" si="3"/>
        <v>5</v>
      </c>
      <c r="V10" s="5"/>
    </row>
    <row r="11" spans="1:22" x14ac:dyDescent="0.55000000000000004">
      <c r="A11" s="10">
        <v>7</v>
      </c>
      <c r="B11" s="19" t="s">
        <v>22</v>
      </c>
      <c r="C11" s="47">
        <f>+ยกมา!C19</f>
        <v>0</v>
      </c>
      <c r="D11" s="45">
        <f>+'1'!D11+'2'!D11+'3'!D11+'4'!D11+'5'!D11+'6'!D11+'7'!D11+'8'!D11+'9'!D11+'10'!D11+'11'!D11+'12'!D11+'13'!D11+'14'!D11+'15'!D11+'16'!D11+'17'!D11+'18'!D11+'19'!D11+'20'!D11+'21'!D11+'22'!D11+'23'!D11+'24'!D11+'25'!D11+'26'!D11+'27'!D11+'28'!D11+'29'!D11+'30'!D11+'31.'!D11</f>
        <v>0</v>
      </c>
      <c r="E11" s="44">
        <f t="shared" si="0"/>
        <v>0</v>
      </c>
      <c r="F11" s="45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0</v>
      </c>
      <c r="G11" s="44">
        <f t="shared" si="1"/>
        <v>0</v>
      </c>
      <c r="H11" s="45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20">
        <v>40</v>
      </c>
      <c r="J11" s="45">
        <f>+'1'!J11+'2'!J11+'3'!J11+'4'!J11+'5'!J11+'6'!J11+'7'!J11+'8'!J11+'9'!J11+'10'!J11+'11'!J11+'12'!J11+'13'!J11+'14'!J11+'15'!J11+'16'!J11+'17'!J11+'18'!J11+'19'!J11+'20'!J11+'21'!J11+'22'!J11+'23'!J11+'24'!J11+'25'!J11+'26'!J11+'27'!J11+'28'!J11+'29'!J11+'30'!J11+'31.'!J11</f>
        <v>0</v>
      </c>
      <c r="K11" s="19"/>
      <c r="L11" s="46">
        <v>7</v>
      </c>
      <c r="M11" s="47">
        <f>+'7'!K257</f>
        <v>5250</v>
      </c>
      <c r="N11" s="47">
        <f>+'7'!K262</f>
        <v>500</v>
      </c>
      <c r="O11" s="47">
        <f>+'7'!K260</f>
        <v>0</v>
      </c>
      <c r="P11" s="84">
        <f>+'7'!K258</f>
        <v>15</v>
      </c>
      <c r="Q11" s="47">
        <f>+'7'!K261</f>
        <v>0</v>
      </c>
      <c r="R11" s="47">
        <f>+'7'!K259</f>
        <v>650</v>
      </c>
      <c r="S11" s="47">
        <f t="shared" si="2"/>
        <v>4085</v>
      </c>
      <c r="T11" s="47">
        <f>+'7'!K264</f>
        <v>4085</v>
      </c>
      <c r="U11" s="48">
        <f t="shared" si="3"/>
        <v>0</v>
      </c>
      <c r="V11" s="5"/>
    </row>
    <row r="12" spans="1:22" x14ac:dyDescent="0.55000000000000004">
      <c r="A12" s="10">
        <v>8</v>
      </c>
      <c r="B12" s="19" t="s">
        <v>23</v>
      </c>
      <c r="C12" s="47">
        <f>+ยกมา!C20</f>
        <v>0</v>
      </c>
      <c r="D12" s="45">
        <f>+'1'!D12+'2'!D12+'3'!D12+'4'!D12+'5'!D12+'6'!D12+'7'!D12+'8'!D12+'9'!D12+'10'!D12+'11'!D12+'12'!D12+'13'!D12+'14'!D12+'15'!D12+'16'!D12+'17'!D12+'18'!D12+'19'!D12+'20'!D12+'21'!D12+'22'!D12+'23'!D12+'24'!D12+'25'!D12+'26'!D12+'27'!D12+'28'!D12+'29'!D12+'30'!D12+'31.'!D12</f>
        <v>26</v>
      </c>
      <c r="E12" s="44">
        <f t="shared" si="0"/>
        <v>26</v>
      </c>
      <c r="F12" s="45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4">
        <f t="shared" si="1"/>
        <v>3</v>
      </c>
      <c r="H12" s="45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23</v>
      </c>
      <c r="I12" s="20">
        <v>50</v>
      </c>
      <c r="J12" s="45">
        <f>+'1'!J12+'2'!J12+'3'!J12+'4'!J12+'5'!J12+'6'!J12+'7'!J12+'8'!J12+'9'!J12+'10'!J12+'11'!J12+'12'!J12+'13'!J12+'14'!J12+'15'!J12+'16'!J12+'17'!J12+'18'!J12+'19'!J12+'20'!J12+'21'!J12+'22'!J12+'23'!J12+'24'!J12+'25'!J12+'26'!J12+'27'!J12+'28'!J12+'29'!J12+'30'!J12+'31.'!J12</f>
        <v>1150</v>
      </c>
      <c r="K12" s="19"/>
      <c r="L12" s="46">
        <v>8</v>
      </c>
      <c r="M12" s="47">
        <f>+'8'!K257</f>
        <v>4175</v>
      </c>
      <c r="N12" s="47">
        <f>+'8'!K262</f>
        <v>390</v>
      </c>
      <c r="O12" s="47">
        <f>+'8'!K260</f>
        <v>0</v>
      </c>
      <c r="P12" s="84">
        <f>+'8'!K258</f>
        <v>15</v>
      </c>
      <c r="Q12" s="47">
        <f>+'8'!K261</f>
        <v>0</v>
      </c>
      <c r="R12" s="47">
        <f>+'8'!K259</f>
        <v>1550</v>
      </c>
      <c r="S12" s="47">
        <f t="shared" si="2"/>
        <v>2220</v>
      </c>
      <c r="T12" s="47">
        <f>+'8'!K264</f>
        <v>2220</v>
      </c>
      <c r="U12" s="48">
        <f t="shared" si="3"/>
        <v>0</v>
      </c>
      <c r="V12" s="5"/>
    </row>
    <row r="13" spans="1:22" x14ac:dyDescent="0.55000000000000004">
      <c r="A13" s="10">
        <v>9</v>
      </c>
      <c r="B13" s="19" t="s">
        <v>24</v>
      </c>
      <c r="C13" s="47">
        <f>+ยกมา!C21</f>
        <v>0</v>
      </c>
      <c r="D13" s="45">
        <f>+'1'!D13+'2'!D13+'3'!D13+'4'!D13+'5'!D13+'6'!D13+'7'!D13+'8'!D13+'9'!D13+'10'!D13+'11'!D13+'12'!D13+'13'!D13+'14'!D13+'15'!D13+'16'!D13+'17'!D13+'18'!D13+'19'!D13+'20'!D13+'21'!D13+'22'!D13+'23'!D13+'24'!D13+'25'!D13+'26'!D13+'27'!D13+'28'!D13+'29'!D13+'30'!D13+'31.'!D13</f>
        <v>0</v>
      </c>
      <c r="E13" s="44">
        <f t="shared" si="0"/>
        <v>0</v>
      </c>
      <c r="F13" s="45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4">
        <f t="shared" si="1"/>
        <v>0</v>
      </c>
      <c r="H13" s="45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20">
        <v>55</v>
      </c>
      <c r="J13" s="45">
        <f>+'1'!J13+'2'!J13+'3'!J13+'4'!J13+'5'!J13+'6'!J13+'7'!J13+'8'!J13+'9'!J13+'10'!J13+'11'!J13+'12'!J13+'13'!J13+'14'!J13+'15'!J13+'16'!J13+'17'!J13+'18'!J13+'19'!J13+'20'!J13+'21'!J13+'22'!J13+'23'!J13+'24'!J13+'25'!J13+'26'!J13+'27'!J13+'28'!J13+'29'!J13+'30'!J13+'31.'!J13</f>
        <v>0</v>
      </c>
      <c r="K13" s="19"/>
      <c r="L13" s="46">
        <v>9</v>
      </c>
      <c r="M13" s="47">
        <f>+'9'!K257</f>
        <v>100</v>
      </c>
      <c r="N13" s="47">
        <f>+'9'!K262</f>
        <v>0</v>
      </c>
      <c r="O13" s="47">
        <f>+'9'!K260</f>
        <v>0</v>
      </c>
      <c r="P13" s="84">
        <f>+'9'!K258</f>
        <v>0</v>
      </c>
      <c r="Q13" s="47">
        <f>+'9'!K261</f>
        <v>0</v>
      </c>
      <c r="R13" s="47">
        <f>+'9'!K259</f>
        <v>0</v>
      </c>
      <c r="S13" s="47">
        <f>+M13-N13-O13-P13-Q13-R13</f>
        <v>100</v>
      </c>
      <c r="T13" s="47">
        <f>+'9'!K264</f>
        <v>0</v>
      </c>
      <c r="U13" s="48">
        <f t="shared" si="3"/>
        <v>-100</v>
      </c>
      <c r="V13" s="107" t="s">
        <v>324</v>
      </c>
    </row>
    <row r="14" spans="1:22" x14ac:dyDescent="0.55000000000000004">
      <c r="A14" s="10">
        <v>10</v>
      </c>
      <c r="B14" s="19" t="s">
        <v>25</v>
      </c>
      <c r="C14" s="47">
        <f>+ยกมา!C22</f>
        <v>1</v>
      </c>
      <c r="D14" s="45">
        <f>+'1'!D14+'2'!D14+'3'!D14+'4'!D14+'5'!D14+'6'!D14+'7'!D14+'8'!D14+'9'!D14+'10'!D14+'11'!D14+'12'!D14+'13'!D14+'14'!D14+'15'!D14+'16'!D14+'17'!D14+'18'!D14+'19'!D14+'20'!D14+'21'!D14+'22'!D14+'23'!D14+'24'!D14+'25'!D14+'26'!D14+'27'!D14+'28'!D14+'29'!D14+'30'!D14+'31.'!D14</f>
        <v>25</v>
      </c>
      <c r="E14" s="44">
        <f t="shared" si="0"/>
        <v>26</v>
      </c>
      <c r="F14" s="45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1</v>
      </c>
      <c r="G14" s="44">
        <f t="shared" si="1"/>
        <v>2</v>
      </c>
      <c r="H14" s="45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23</v>
      </c>
      <c r="I14" s="20">
        <v>65</v>
      </c>
      <c r="J14" s="45">
        <f>+'1'!J14+'2'!J14+'3'!J14+'4'!J14+'5'!J14+'6'!J14+'7'!J14+'8'!J14+'9'!J14+'10'!J14+'11'!J14+'12'!J14+'13'!J14+'14'!J14+'15'!J14+'16'!J14+'17'!J14+'18'!J14+'19'!J14+'20'!J14+'21'!J14+'22'!J14+'23'!J14+'24'!J14+'25'!J14+'26'!J14+'27'!J14+'28'!J14+'29'!J14+'30'!J14+'31.'!J14</f>
        <v>1495</v>
      </c>
      <c r="K14" s="19"/>
      <c r="L14" s="46">
        <v>10</v>
      </c>
      <c r="M14" s="47">
        <f>+'10'!K257</f>
        <v>1305</v>
      </c>
      <c r="N14" s="47">
        <f>+'10'!K262</f>
        <v>0</v>
      </c>
      <c r="O14" s="47">
        <f>+'10'!K260</f>
        <v>0</v>
      </c>
      <c r="P14" s="84">
        <f>+'10'!K258</f>
        <v>15</v>
      </c>
      <c r="Q14" s="47">
        <f>+'10'!K261</f>
        <v>0</v>
      </c>
      <c r="R14" s="47">
        <f>+'10'!K259</f>
        <v>530</v>
      </c>
      <c r="S14" s="47">
        <f>+M14-N14-O14-P14-Q14-R14</f>
        <v>760</v>
      </c>
      <c r="T14" s="47">
        <f>+'10'!K264</f>
        <v>860</v>
      </c>
      <c r="U14" s="48">
        <f>+T14-S14</f>
        <v>100</v>
      </c>
      <c r="V14" s="5"/>
    </row>
    <row r="15" spans="1:22" x14ac:dyDescent="0.55000000000000004">
      <c r="A15" s="10">
        <v>11</v>
      </c>
      <c r="B15" s="19" t="s">
        <v>26</v>
      </c>
      <c r="C15" s="47">
        <f>+ยกมา!C23</f>
        <v>5</v>
      </c>
      <c r="D15" s="45">
        <f>+'1'!D15+'2'!D15+'3'!D15+'4'!D15+'5'!D15+'6'!D15+'7'!D15+'8'!D15+'9'!D15+'10'!D15+'11'!D15+'12'!D15+'13'!D15+'14'!D15+'15'!D15+'16'!D15+'17'!D15+'18'!D15+'19'!D15+'20'!D15+'21'!D15+'22'!D15+'23'!D15+'24'!D15+'25'!D15+'26'!D15+'27'!D15+'28'!D15+'29'!D15+'30'!D15+'31.'!D15</f>
        <v>0</v>
      </c>
      <c r="E15" s="44">
        <f t="shared" si="0"/>
        <v>5</v>
      </c>
      <c r="F15" s="45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4">
        <f t="shared" si="1"/>
        <v>5</v>
      </c>
      <c r="H15" s="45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20">
        <v>50</v>
      </c>
      <c r="J15" s="45">
        <f>+'1'!J15+'2'!J15+'3'!J15+'4'!J15+'5'!J15+'6'!J15+'7'!J15+'8'!J15+'9'!J15+'10'!J15+'11'!J15+'12'!J15+'13'!J15+'14'!J15+'15'!J15+'16'!J15+'17'!J15+'18'!J15+'19'!J15+'20'!J15+'21'!J15+'22'!J15+'23'!J15+'24'!J15+'25'!J15+'26'!J15+'27'!J15+'28'!J15+'29'!J15+'30'!J15+'31.'!J15</f>
        <v>0</v>
      </c>
      <c r="K15" s="19"/>
      <c r="L15" s="46">
        <v>11</v>
      </c>
      <c r="M15" s="47">
        <f>+'11'!K257</f>
        <v>2795</v>
      </c>
      <c r="N15" s="47">
        <f>+'11'!K262</f>
        <v>450</v>
      </c>
      <c r="O15" s="47">
        <f>+'11'!K260</f>
        <v>0</v>
      </c>
      <c r="P15" s="84">
        <f>+'11'!K258</f>
        <v>15</v>
      </c>
      <c r="Q15" s="47">
        <f>+'11'!K261</f>
        <v>0</v>
      </c>
      <c r="R15" s="47">
        <f>+'11'!K259</f>
        <v>1150</v>
      </c>
      <c r="S15" s="47">
        <f>+M15-N15-O15-P15-Q15-R15</f>
        <v>1180</v>
      </c>
      <c r="T15" s="47">
        <f>+'11'!K264</f>
        <v>1180</v>
      </c>
      <c r="U15" s="48">
        <f t="shared" si="3"/>
        <v>0</v>
      </c>
      <c r="V15" s="5"/>
    </row>
    <row r="16" spans="1:22" x14ac:dyDescent="0.55000000000000004">
      <c r="A16" s="10">
        <v>12</v>
      </c>
      <c r="B16" s="19" t="s">
        <v>27</v>
      </c>
      <c r="C16" s="47">
        <f>+ยกมา!C24</f>
        <v>10</v>
      </c>
      <c r="D16" s="45">
        <f>+'1'!D16+'2'!D16+'3'!D16+'4'!D16+'5'!D16+'6'!D16+'7'!D16+'8'!D16+'9'!D16+'10'!D16+'11'!D16+'12'!D16+'13'!D16+'14'!D16+'15'!D16+'16'!D16+'17'!D16+'18'!D16+'19'!D16+'20'!D16+'21'!D16+'22'!D16+'23'!D16+'24'!D16+'25'!D16+'26'!D16+'27'!D16+'28'!D16+'29'!D16+'30'!D16+'31.'!D16</f>
        <v>0</v>
      </c>
      <c r="E16" s="44">
        <f t="shared" si="0"/>
        <v>10</v>
      </c>
      <c r="F16" s="45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4">
        <f t="shared" si="1"/>
        <v>10</v>
      </c>
      <c r="H16" s="45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20">
        <v>50</v>
      </c>
      <c r="J16" s="45">
        <f>+'1'!J16+'2'!J16+'3'!J16+'4'!J16+'5'!J16+'6'!J16+'7'!J16+'8'!J16+'9'!J16+'10'!J16+'11'!J16+'12'!J16+'13'!J16+'14'!J16+'15'!J16+'16'!J16+'17'!J16+'18'!J16+'19'!J16+'20'!J16+'21'!J16+'22'!J16+'23'!J16+'24'!J16+'25'!J16+'26'!J16+'27'!J16+'28'!J16+'29'!J16+'30'!J16+'31.'!J16</f>
        <v>0</v>
      </c>
      <c r="K16" s="19"/>
      <c r="L16" s="46">
        <v>12</v>
      </c>
      <c r="M16" s="47">
        <f>+'12'!K257</f>
        <v>1715</v>
      </c>
      <c r="N16" s="47">
        <f>+'12'!K262</f>
        <v>50</v>
      </c>
      <c r="O16" s="47">
        <f>+'12'!K260</f>
        <v>0</v>
      </c>
      <c r="P16" s="84">
        <f>+'12'!K258</f>
        <v>15</v>
      </c>
      <c r="Q16" s="47">
        <f>+'12'!K261</f>
        <v>0</v>
      </c>
      <c r="R16" s="47">
        <f>+'12'!K259</f>
        <v>700</v>
      </c>
      <c r="S16" s="47">
        <f t="shared" si="2"/>
        <v>950</v>
      </c>
      <c r="T16" s="47">
        <f>+'12'!K264</f>
        <v>950</v>
      </c>
      <c r="U16" s="48">
        <f t="shared" si="3"/>
        <v>0</v>
      </c>
      <c r="V16" s="5"/>
    </row>
    <row r="17" spans="1:22" x14ac:dyDescent="0.55000000000000004">
      <c r="A17" s="10">
        <v>13</v>
      </c>
      <c r="B17" s="19" t="s">
        <v>28</v>
      </c>
      <c r="C17" s="47">
        <f>+ยกมา!C25</f>
        <v>0</v>
      </c>
      <c r="D17" s="45">
        <f>+'1'!D17+'2'!D17+'3'!D17+'4'!D17+'5'!D17+'6'!D17+'7'!D17+'8'!D17+'9'!D17+'10'!D17+'11'!D17+'12'!D17+'13'!D17+'14'!D17+'15'!D17+'16'!D17+'17'!D17+'18'!D17+'19'!D17+'20'!D17+'21'!D17+'22'!D17+'23'!D17+'24'!D17+'25'!D17+'26'!D17+'27'!D17+'28'!D17+'29'!D17+'30'!D17+'31.'!D17</f>
        <v>10</v>
      </c>
      <c r="E17" s="44">
        <f t="shared" si="0"/>
        <v>10</v>
      </c>
      <c r="F17" s="45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4">
        <f t="shared" si="1"/>
        <v>1</v>
      </c>
      <c r="H17" s="45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9</v>
      </c>
      <c r="I17" s="20">
        <v>50</v>
      </c>
      <c r="J17" s="45">
        <f>+'1'!J17+'2'!J17+'3'!J17+'4'!J17+'5'!J17+'6'!J17+'7'!J17+'8'!J17+'9'!J17+'10'!J17+'11'!J17+'12'!J17+'13'!J17+'14'!J17+'15'!J17+'16'!J17+'17'!J17+'18'!J17+'19'!J17+'20'!J17+'21'!J17+'22'!J17+'23'!J17+'24'!J17+'25'!J17+'26'!J17+'27'!J17+'28'!J17+'29'!J17+'30'!J17+'31.'!J17</f>
        <v>450</v>
      </c>
      <c r="K17" s="19"/>
      <c r="L17" s="46">
        <v>13</v>
      </c>
      <c r="M17" s="47">
        <f>+'13'!K257</f>
        <v>4260</v>
      </c>
      <c r="N17" s="47">
        <f>+'13'!K262</f>
        <v>150</v>
      </c>
      <c r="O17" s="47">
        <f>+'13'!K260</f>
        <v>0</v>
      </c>
      <c r="P17" s="84">
        <f>+'13'!K258</f>
        <v>15</v>
      </c>
      <c r="Q17" s="47">
        <f>+'13'!K261</f>
        <v>0</v>
      </c>
      <c r="R17" s="47">
        <f>+'13'!K259</f>
        <v>1790</v>
      </c>
      <c r="S17" s="47">
        <f t="shared" si="2"/>
        <v>2305</v>
      </c>
      <c r="T17" s="47">
        <f>+'13'!K264</f>
        <v>2305</v>
      </c>
      <c r="U17" s="48">
        <f t="shared" si="3"/>
        <v>0</v>
      </c>
      <c r="V17" s="5"/>
    </row>
    <row r="18" spans="1:22" x14ac:dyDescent="0.55000000000000004">
      <c r="A18" s="10">
        <v>14</v>
      </c>
      <c r="B18" s="19" t="s">
        <v>29</v>
      </c>
      <c r="C18" s="47">
        <f>+ยกมา!C26</f>
        <v>4</v>
      </c>
      <c r="D18" s="45">
        <f>+'1'!D18+'2'!D18+'3'!D18+'4'!D18+'5'!D18+'6'!D18+'7'!D18+'8'!D18+'9'!D18+'10'!D18+'11'!D18+'12'!D18+'13'!D18+'14'!D18+'15'!D18+'16'!D18+'17'!D18+'18'!D18+'19'!D18+'20'!D18+'21'!D18+'22'!D18+'23'!D18+'24'!D18+'25'!D18+'26'!D18+'27'!D18+'28'!D18+'29'!D18+'30'!D18+'31.'!D18</f>
        <v>0</v>
      </c>
      <c r="E18" s="44">
        <f t="shared" si="0"/>
        <v>4</v>
      </c>
      <c r="F18" s="45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0</v>
      </c>
      <c r="G18" s="44">
        <f t="shared" si="1"/>
        <v>4</v>
      </c>
      <c r="H18" s="45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20">
        <v>50</v>
      </c>
      <c r="J18" s="45">
        <f>+'1'!J18+'2'!J18+'3'!J18+'4'!J18+'5'!J18+'6'!J18+'7'!J18+'8'!J18+'9'!J18+'10'!J18+'11'!J18+'12'!J18+'13'!J18+'14'!J18+'15'!J18+'16'!J18+'17'!J18+'18'!J18+'19'!J18+'20'!J18+'21'!J18+'22'!J18+'23'!J18+'24'!J18+'25'!J18+'26'!J18+'27'!J18+'28'!J18+'29'!J18+'30'!J18+'31.'!J18</f>
        <v>0</v>
      </c>
      <c r="K18" s="19"/>
      <c r="L18" s="46">
        <v>14</v>
      </c>
      <c r="M18" s="47">
        <f>+'14'!K257</f>
        <v>4950</v>
      </c>
      <c r="N18" s="47">
        <f>+'14'!K262</f>
        <v>100</v>
      </c>
      <c r="O18" s="47">
        <f>+'14'!K260</f>
        <v>0</v>
      </c>
      <c r="P18" s="84">
        <f>+'14'!K258</f>
        <v>15</v>
      </c>
      <c r="Q18" s="47">
        <f>+'14'!K261</f>
        <v>0</v>
      </c>
      <c r="R18" s="47">
        <f>+'14'!K259</f>
        <v>2205</v>
      </c>
      <c r="S18" s="47">
        <f t="shared" si="2"/>
        <v>2630</v>
      </c>
      <c r="T18" s="47">
        <f>+'14'!K264</f>
        <v>2630</v>
      </c>
      <c r="U18" s="48">
        <f t="shared" si="3"/>
        <v>0</v>
      </c>
      <c r="V18" s="5"/>
    </row>
    <row r="19" spans="1:22" x14ac:dyDescent="0.55000000000000004">
      <c r="A19" s="10">
        <v>15</v>
      </c>
      <c r="B19" s="19" t="s">
        <v>329</v>
      </c>
      <c r="C19" s="47">
        <f>+ยกมา!C27</f>
        <v>0</v>
      </c>
      <c r="D19" s="45">
        <f>+'1'!D19+'2'!D19+'3'!D19+'4'!D19+'5'!D19+'6'!D19+'7'!D19+'8'!D19+'9'!D19+'10'!D19+'11'!D19+'12'!D19+'13'!D19+'14'!D19+'15'!D19+'16'!D19+'17'!D19+'18'!D19+'19'!D19+'20'!D19+'21'!D19+'22'!D19+'23'!D19+'24'!D19+'25'!D19+'26'!D19+'27'!D19+'28'!D19+'29'!D19+'30'!D19+'31.'!D19</f>
        <v>15</v>
      </c>
      <c r="E19" s="44">
        <f t="shared" si="0"/>
        <v>15</v>
      </c>
      <c r="F19" s="45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4">
        <f t="shared" si="1"/>
        <v>7</v>
      </c>
      <c r="H19" s="45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8</v>
      </c>
      <c r="I19" s="20">
        <v>50</v>
      </c>
      <c r="J19" s="45">
        <f>+'1'!J19+'2'!J19+'3'!J19+'4'!J19+'5'!J19+'6'!J19+'7'!J19+'8'!J19+'9'!J19+'10'!J19+'11'!J19+'12'!J19+'13'!J19+'14'!J19+'15'!J19+'16'!J19+'17'!J19+'18'!J19+'19'!J19+'20'!J19+'21'!J19+'22'!J19+'23'!J19+'24'!J19+'25'!J19+'26'!J19+'27'!J19+'28'!J19+'29'!J19+'30'!J19+'31.'!J19</f>
        <v>400</v>
      </c>
      <c r="K19" s="19"/>
      <c r="L19" s="46">
        <v>15</v>
      </c>
      <c r="M19" s="47">
        <f>+'15'!K257</f>
        <v>1955</v>
      </c>
      <c r="N19" s="47">
        <f>+'15'!K262</f>
        <v>220</v>
      </c>
      <c r="O19" s="47">
        <f>+'15'!K260</f>
        <v>0</v>
      </c>
      <c r="P19" s="84">
        <f>+'15'!K258</f>
        <v>15</v>
      </c>
      <c r="Q19" s="47">
        <f>+'15'!K261</f>
        <v>0</v>
      </c>
      <c r="R19" s="47">
        <f>+'15'!K259</f>
        <v>570</v>
      </c>
      <c r="S19" s="47">
        <f t="shared" si="2"/>
        <v>1150</v>
      </c>
      <c r="T19" s="47">
        <f>+'15'!K264</f>
        <v>1150</v>
      </c>
      <c r="U19" s="48">
        <f t="shared" si="3"/>
        <v>0</v>
      </c>
      <c r="V19" s="5"/>
    </row>
    <row r="20" spans="1:22" x14ac:dyDescent="0.55000000000000004">
      <c r="A20" s="10">
        <v>16</v>
      </c>
      <c r="B20" s="19" t="s">
        <v>31</v>
      </c>
      <c r="C20" s="47">
        <f>+ยกมา!C28</f>
        <v>0</v>
      </c>
      <c r="D20" s="45">
        <f>+'1'!D20+'2'!D20+'3'!D20+'4'!D20+'5'!D20+'6'!D20+'7'!D20+'8'!D20+'9'!D20+'10'!D20+'11'!D20+'12'!D20+'13'!D20+'14'!D20+'15'!D20+'16'!D20+'17'!D20+'18'!D20+'19'!D20+'20'!D20+'21'!D20+'22'!D20+'23'!D20+'24'!D20+'25'!D20+'26'!D20+'27'!D20+'28'!D20+'29'!D20+'30'!D20+'31.'!D20</f>
        <v>0</v>
      </c>
      <c r="E20" s="44">
        <f t="shared" si="0"/>
        <v>0</v>
      </c>
      <c r="F20" s="45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0</v>
      </c>
      <c r="G20" s="44">
        <f t="shared" si="1"/>
        <v>0</v>
      </c>
      <c r="H20" s="45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20">
        <v>50</v>
      </c>
      <c r="J20" s="45">
        <f>+'1'!J20+'2'!J20+'3'!J20+'4'!J20+'5'!J20+'6'!J20+'7'!J20+'8'!J20+'9'!J20+'10'!J20+'11'!J20+'12'!J20+'13'!J20+'14'!J20+'15'!J20+'16'!J20+'17'!J20+'18'!J20+'19'!J20+'20'!J20+'21'!J20+'22'!J20+'23'!J20+'24'!J20+'25'!J20+'26'!J20+'27'!J20+'28'!J20+'29'!J20+'30'!J20+'31.'!J20</f>
        <v>0</v>
      </c>
      <c r="K20" s="19"/>
      <c r="L20" s="46">
        <v>16</v>
      </c>
      <c r="M20" s="47">
        <f>+'16'!K257</f>
        <v>735</v>
      </c>
      <c r="N20" s="47">
        <f>+'16'!K262</f>
        <v>0</v>
      </c>
      <c r="O20" s="47">
        <f>+'16'!K260</f>
        <v>0</v>
      </c>
      <c r="P20" s="84">
        <f>+'16'!K258</f>
        <v>15</v>
      </c>
      <c r="Q20" s="47">
        <f>+'16'!K261</f>
        <v>0</v>
      </c>
      <c r="R20" s="47">
        <f>+'16'!K259</f>
        <v>485</v>
      </c>
      <c r="S20" s="47">
        <f t="shared" si="2"/>
        <v>235</v>
      </c>
      <c r="T20" s="47">
        <f>+'16'!K264</f>
        <v>235</v>
      </c>
      <c r="U20" s="48">
        <f t="shared" si="3"/>
        <v>0</v>
      </c>
      <c r="V20" s="5"/>
    </row>
    <row r="21" spans="1:22" x14ac:dyDescent="0.55000000000000004">
      <c r="A21" s="10">
        <v>17</v>
      </c>
      <c r="B21" s="19" t="s">
        <v>32</v>
      </c>
      <c r="C21" s="47">
        <f>+ยกมา!C29</f>
        <v>17</v>
      </c>
      <c r="D21" s="45">
        <f>+'1'!D21+'2'!D21+'3'!D21+'4'!D21+'5'!D21+'6'!D21+'7'!D21+'8'!D21+'9'!D21+'10'!D21+'11'!D21+'12'!D21+'13'!D21+'14'!D21+'15'!D21+'16'!D21+'17'!D21+'18'!D21+'19'!D21+'20'!D21+'21'!D21+'22'!D21+'23'!D21+'24'!D21+'25'!D21+'26'!D21+'27'!D21+'28'!D21+'29'!D21+'30'!D21+'31.'!D21</f>
        <v>0</v>
      </c>
      <c r="E21" s="44">
        <f t="shared" si="0"/>
        <v>17</v>
      </c>
      <c r="F21" s="45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4">
        <f t="shared" si="1"/>
        <v>17</v>
      </c>
      <c r="H21" s="45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20">
        <v>50</v>
      </c>
      <c r="J21" s="45">
        <f>+'1'!J21+'2'!J21+'3'!J21+'4'!J21+'5'!J21+'6'!J21+'7'!J21+'8'!J21+'9'!J21+'10'!J21+'11'!J21+'12'!J21+'13'!J21+'14'!J21+'15'!J21+'16'!J21+'17'!J21+'18'!J21+'19'!J21+'20'!J21+'21'!J21+'22'!J21+'23'!J21+'24'!J21+'25'!J21+'26'!J21+'27'!J21+'28'!J21+'29'!J21+'30'!J21+'31.'!J21</f>
        <v>0</v>
      </c>
      <c r="K21" s="19"/>
      <c r="L21" s="46">
        <v>17</v>
      </c>
      <c r="M21" s="47">
        <f>+'17'!K257</f>
        <v>2115</v>
      </c>
      <c r="N21" s="47">
        <f>+'17'!K262</f>
        <v>140</v>
      </c>
      <c r="O21" s="47">
        <f>+'17'!K260</f>
        <v>0</v>
      </c>
      <c r="P21" s="84">
        <f>+'17'!K258</f>
        <v>15</v>
      </c>
      <c r="Q21" s="47">
        <f>+'17'!K261</f>
        <v>0</v>
      </c>
      <c r="R21" s="47">
        <f>+'17'!K259</f>
        <v>440</v>
      </c>
      <c r="S21" s="47">
        <f>+M21-N21-O21-P21-Q21-R21</f>
        <v>1520</v>
      </c>
      <c r="T21" s="47">
        <f>+'17'!K264</f>
        <v>1520</v>
      </c>
      <c r="U21" s="48">
        <f t="shared" si="3"/>
        <v>0</v>
      </c>
      <c r="V21" s="5"/>
    </row>
    <row r="22" spans="1:22" x14ac:dyDescent="0.55000000000000004">
      <c r="A22" s="10">
        <v>18</v>
      </c>
      <c r="B22" s="19" t="s">
        <v>33</v>
      </c>
      <c r="C22" s="47">
        <f>+ยกมา!C30</f>
        <v>0</v>
      </c>
      <c r="D22" s="45">
        <f>+'1'!D22+'2'!D22+'3'!D22+'4'!D22+'5'!D22+'6'!D22+'7'!D22+'8'!D22+'9'!D22+'10'!D22+'11'!D22+'12'!D22+'13'!D22+'14'!D22+'15'!D22+'16'!D22+'17'!D22+'18'!D22+'19'!D22+'20'!D22+'21'!D22+'22'!D22+'23'!D22+'24'!D22+'25'!D22+'26'!D22+'27'!D22+'28'!D22+'29'!D22+'30'!D22+'31.'!D22</f>
        <v>41</v>
      </c>
      <c r="E22" s="44">
        <f t="shared" si="0"/>
        <v>41</v>
      </c>
      <c r="F22" s="45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0</v>
      </c>
      <c r="G22" s="44">
        <f t="shared" si="1"/>
        <v>3</v>
      </c>
      <c r="H22" s="45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38</v>
      </c>
      <c r="I22" s="20">
        <v>85</v>
      </c>
      <c r="J22" s="45">
        <f>+'1'!J22+'2'!J22+'3'!J22+'4'!J22+'5'!J22+'6'!J22+'7'!J22+'8'!J22+'9'!J22+'10'!J22+'11'!J22+'12'!J22+'13'!J22+'14'!J22+'15'!J22+'16'!J22+'17'!J22+'18'!J22+'19'!J22+'20'!J22+'21'!J22+'22'!J22+'23'!J22+'24'!J22+'25'!J22+'26'!J22+'27'!J22+'28'!J22+'29'!J22+'30'!J22+'31.'!J22</f>
        <v>3230</v>
      </c>
      <c r="K22" s="19"/>
      <c r="L22" s="46">
        <v>18</v>
      </c>
      <c r="M22" s="47">
        <f>+'18'!K257</f>
        <v>1360</v>
      </c>
      <c r="N22" s="47">
        <f>+'18'!K262</f>
        <v>50</v>
      </c>
      <c r="O22" s="47">
        <f>+'18'!K260</f>
        <v>0</v>
      </c>
      <c r="P22" s="84">
        <f>+'18'!K258</f>
        <v>15</v>
      </c>
      <c r="Q22" s="47">
        <f>+'18'!K261</f>
        <v>0</v>
      </c>
      <c r="R22" s="47">
        <f>+'18'!K259</f>
        <v>960</v>
      </c>
      <c r="S22" s="47">
        <f t="shared" si="2"/>
        <v>335</v>
      </c>
      <c r="T22" s="47">
        <f>+'18'!K264</f>
        <v>335</v>
      </c>
      <c r="U22" s="48">
        <f t="shared" si="3"/>
        <v>0</v>
      </c>
      <c r="V22" s="5"/>
    </row>
    <row r="23" spans="1:22" x14ac:dyDescent="0.55000000000000004">
      <c r="A23" s="10">
        <v>19</v>
      </c>
      <c r="B23" s="19" t="s">
        <v>34</v>
      </c>
      <c r="C23" s="47">
        <f>+ยกมา!C31</f>
        <v>0</v>
      </c>
      <c r="D23" s="45">
        <f>+'1'!D23+'2'!D23+'3'!D23+'4'!D23+'5'!D23+'6'!D23+'7'!D23+'8'!D23+'9'!D23+'10'!D23+'11'!D23+'12'!D23+'13'!D23+'14'!D23+'15'!D23+'16'!D23+'17'!D23+'18'!D23+'19'!D23+'20'!D23+'21'!D23+'22'!D23+'23'!D23+'24'!D23+'25'!D23+'26'!D23+'27'!D23+'28'!D23+'29'!D23+'30'!D23+'31.'!D23</f>
        <v>94</v>
      </c>
      <c r="E23" s="44">
        <f t="shared" si="0"/>
        <v>94</v>
      </c>
      <c r="F23" s="45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2</v>
      </c>
      <c r="G23" s="44">
        <f t="shared" si="1"/>
        <v>9</v>
      </c>
      <c r="H23" s="45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83</v>
      </c>
      <c r="I23" s="20">
        <v>100</v>
      </c>
      <c r="J23" s="45">
        <f>+'1'!J23+'2'!J23+'3'!J23+'4'!J23+'5'!J23+'6'!J23+'7'!J23+'8'!J23+'9'!J23+'10'!J23+'11'!J23+'12'!J23+'13'!J23+'14'!J23+'15'!J23+'16'!J23+'17'!J23+'18'!J23+'19'!J23+'20'!J23+'21'!J23+'22'!J23+'23'!J23+'24'!J23+'25'!J23+'26'!J23+'27'!J23+'28'!J23+'29'!J23+'30'!J23+'31.'!J23</f>
        <v>8300</v>
      </c>
      <c r="K23" s="19"/>
      <c r="L23" s="46">
        <v>19</v>
      </c>
      <c r="M23" s="47">
        <f>+'19'!K257</f>
        <v>2650</v>
      </c>
      <c r="N23" s="47">
        <f>+'19'!K262</f>
        <v>130</v>
      </c>
      <c r="O23" s="47">
        <f>+'19'!K260</f>
        <v>0</v>
      </c>
      <c r="P23" s="84">
        <f>+'19'!K258</f>
        <v>15</v>
      </c>
      <c r="Q23" s="47">
        <f>+'19'!K261</f>
        <v>0</v>
      </c>
      <c r="R23" s="47">
        <f>+'19'!K259</f>
        <v>1185</v>
      </c>
      <c r="S23" s="47">
        <f t="shared" si="2"/>
        <v>1320</v>
      </c>
      <c r="T23" s="47">
        <f>+'19'!K264</f>
        <v>1320</v>
      </c>
      <c r="U23" s="48">
        <f t="shared" si="3"/>
        <v>0</v>
      </c>
      <c r="V23" s="5"/>
    </row>
    <row r="24" spans="1:22" x14ac:dyDescent="0.55000000000000004">
      <c r="A24" s="10">
        <v>20</v>
      </c>
      <c r="B24" s="19" t="s">
        <v>35</v>
      </c>
      <c r="C24" s="47">
        <v>8</v>
      </c>
      <c r="D24" s="45">
        <f>+'1'!D24+'2'!D24+'3'!D24+'4'!D24+'5'!D24+'6'!D24+'7'!D24+'8'!D24+'9'!D24+'10'!D24+'11'!D24+'12'!D24+'13'!D24+'14'!D24+'15'!D24+'16'!D24+'17'!D24+'18'!D24+'19'!D24+'20'!D24+'21'!D24+'22'!D24+'23'!D24+'24'!D24+'25'!D24+'26'!D24+'27'!D24+'28'!D24+'29'!D24+'30'!D24+'31.'!D24</f>
        <v>30</v>
      </c>
      <c r="E24" s="44">
        <f t="shared" si="0"/>
        <v>38</v>
      </c>
      <c r="F24" s="45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1</v>
      </c>
      <c r="G24" s="44">
        <f t="shared" si="1"/>
        <v>0</v>
      </c>
      <c r="H24" s="45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37</v>
      </c>
      <c r="I24" s="20">
        <v>100</v>
      </c>
      <c r="J24" s="45">
        <f>+'1'!J24+'2'!J24+'3'!J24+'4'!J24+'5'!J24+'6'!J24+'7'!J24+'8'!J24+'9'!J24+'10'!J24+'11'!J24+'12'!J24+'13'!J24+'14'!J24+'15'!J24+'16'!J24+'17'!J24+'18'!J24+'19'!J24+'20'!J24+'21'!J24+'22'!J24+'23'!J24+'24'!J24+'25'!J24+'26'!J24+'27'!J24+'28'!J24+'29'!J24+'30'!J24+'31.'!J24</f>
        <v>3700</v>
      </c>
      <c r="K24" s="19"/>
      <c r="L24" s="46">
        <v>20</v>
      </c>
      <c r="M24" s="47">
        <f>+'20'!K257</f>
        <v>2750</v>
      </c>
      <c r="N24" s="47">
        <f>+'20'!K262</f>
        <v>50</v>
      </c>
      <c r="O24" s="47">
        <f>+'20'!K260</f>
        <v>0</v>
      </c>
      <c r="P24" s="84">
        <f>+'20'!K258</f>
        <v>15</v>
      </c>
      <c r="Q24" s="47">
        <f>+'20'!K261</f>
        <v>0</v>
      </c>
      <c r="R24" s="47">
        <f>+'20'!K259</f>
        <v>500</v>
      </c>
      <c r="S24" s="47">
        <f t="shared" si="2"/>
        <v>2185</v>
      </c>
      <c r="T24" s="47">
        <f>+'20'!K264</f>
        <v>2185</v>
      </c>
      <c r="U24" s="48">
        <f t="shared" si="3"/>
        <v>0</v>
      </c>
      <c r="V24" s="5"/>
    </row>
    <row r="25" spans="1:22" x14ac:dyDescent="0.55000000000000004">
      <c r="A25" s="10">
        <v>21</v>
      </c>
      <c r="B25" s="19" t="s">
        <v>36</v>
      </c>
      <c r="C25" s="47">
        <f>+ยกมา!C33</f>
        <v>1</v>
      </c>
      <c r="D25" s="45">
        <f>+'1'!D25+'2'!D25+'3'!D25+'4'!D25+'5'!D25+'6'!D25+'7'!D25+'8'!D25+'9'!D25+'10'!D25+'11'!D25+'12'!D25+'13'!D25+'14'!D25+'15'!D25+'16'!D25+'17'!D25+'18'!D25+'19'!D25+'20'!D25+'21'!D25+'22'!D25+'23'!D25+'24'!D25+'25'!D25+'26'!D25+'27'!D25+'28'!D25+'29'!D25+'30'!D25+'31.'!D25</f>
        <v>5</v>
      </c>
      <c r="E25" s="44">
        <f t="shared" si="0"/>
        <v>6</v>
      </c>
      <c r="F25" s="45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4">
        <f t="shared" si="1"/>
        <v>1</v>
      </c>
      <c r="H25" s="45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5</v>
      </c>
      <c r="I25" s="20">
        <v>100</v>
      </c>
      <c r="J25" s="45">
        <f>+'1'!J25+'2'!J25+'3'!J25+'4'!J25+'5'!J25+'6'!J25+'7'!J25+'8'!J25+'9'!J25+'10'!J25+'11'!J25+'12'!J25+'13'!J25+'14'!J25+'15'!J25+'16'!J25+'17'!J25+'18'!J25+'19'!J25+'20'!J25+'21'!J25+'22'!J25+'23'!J25+'24'!J25+'25'!J25+'26'!J25+'27'!J25+'28'!J25+'29'!J25+'30'!J25+'31.'!J25</f>
        <v>500</v>
      </c>
      <c r="K25" s="19"/>
      <c r="L25" s="46">
        <v>21</v>
      </c>
      <c r="M25" s="47">
        <f>+'21'!K257</f>
        <v>3860</v>
      </c>
      <c r="N25" s="47">
        <f>+'21'!K262</f>
        <v>310</v>
      </c>
      <c r="O25" s="47">
        <f>+'21'!K260</f>
        <v>0</v>
      </c>
      <c r="P25" s="84">
        <f>+'21'!K258</f>
        <v>15</v>
      </c>
      <c r="Q25" s="47">
        <f>+'21'!K261</f>
        <v>0</v>
      </c>
      <c r="R25" s="47">
        <f>+'21'!K259</f>
        <v>960</v>
      </c>
      <c r="S25" s="47">
        <f t="shared" si="2"/>
        <v>2575</v>
      </c>
      <c r="T25" s="47">
        <f>+'21'!K264</f>
        <v>2575</v>
      </c>
      <c r="U25" s="48">
        <f t="shared" si="3"/>
        <v>0</v>
      </c>
      <c r="V25" s="5"/>
    </row>
    <row r="26" spans="1:22" x14ac:dyDescent="0.55000000000000004">
      <c r="A26" s="10">
        <v>22</v>
      </c>
      <c r="B26" s="19" t="s">
        <v>37</v>
      </c>
      <c r="C26" s="47">
        <f>+ยกมา!C34</f>
        <v>3</v>
      </c>
      <c r="D26" s="45">
        <f>+'1'!D26+'2'!D26+'3'!D26+'4'!D26+'5'!D26+'6'!D26+'7'!D26+'8'!D26+'9'!D26+'10'!D26+'11'!D26+'12'!D26+'13'!D26+'14'!D26+'15'!D26+'16'!D26+'17'!D26+'18'!D26+'19'!D26+'20'!D26+'21'!D26+'22'!D26+'23'!D26+'24'!D26+'25'!D26+'26'!D26+'27'!D26+'28'!D26+'29'!D26+'30'!D26+'31.'!D26</f>
        <v>6</v>
      </c>
      <c r="E26" s="44">
        <f t="shared" si="0"/>
        <v>9</v>
      </c>
      <c r="F26" s="45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1</v>
      </c>
      <c r="G26" s="44">
        <f t="shared" si="1"/>
        <v>1</v>
      </c>
      <c r="H26" s="45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7</v>
      </c>
      <c r="I26" s="20">
        <v>100</v>
      </c>
      <c r="J26" s="45">
        <f>+'1'!J26+'2'!J26+'3'!J26+'4'!J26+'5'!J26+'6'!J26+'7'!J26+'8'!J26+'9'!J26+'10'!J26+'11'!J26+'12'!J26+'13'!J26+'14'!J26+'15'!J26+'16'!J26+'17'!J26+'18'!J26+'19'!J26+'20'!J26+'21'!J26+'22'!J26+'23'!J26+'24'!J26+'25'!J26+'26'!J26+'27'!J26+'28'!J26+'29'!J26+'30'!J26+'31.'!J26</f>
        <v>700</v>
      </c>
      <c r="K26" s="19"/>
      <c r="L26" s="46">
        <v>22</v>
      </c>
      <c r="M26" s="47">
        <f>+'22'!K257</f>
        <v>3110</v>
      </c>
      <c r="N26" s="47">
        <f>+'22'!K262</f>
        <v>0</v>
      </c>
      <c r="O26" s="47">
        <f>+'22'!K260</f>
        <v>0</v>
      </c>
      <c r="P26" s="84">
        <f>+'22'!K258</f>
        <v>15</v>
      </c>
      <c r="Q26" s="47">
        <f>+'22'!K261</f>
        <v>0</v>
      </c>
      <c r="R26" s="47">
        <f>+'22'!K259</f>
        <v>1385</v>
      </c>
      <c r="S26" s="47">
        <f t="shared" si="2"/>
        <v>1710</v>
      </c>
      <c r="T26" s="47">
        <f>+'22'!K264</f>
        <v>1710</v>
      </c>
      <c r="U26" s="48">
        <f t="shared" si="3"/>
        <v>0</v>
      </c>
      <c r="V26" s="5"/>
    </row>
    <row r="27" spans="1:22" x14ac:dyDescent="0.55000000000000004">
      <c r="A27" s="10">
        <v>23</v>
      </c>
      <c r="B27" s="19" t="s">
        <v>38</v>
      </c>
      <c r="C27" s="47">
        <f>+ยกมา!C35</f>
        <v>0</v>
      </c>
      <c r="D27" s="45">
        <f>+'1'!D27+'2'!D27+'3'!D27+'4'!D27+'5'!D27+'6'!D27+'7'!D27+'8'!D27+'9'!D27+'10'!D27+'11'!D27+'12'!D27+'13'!D27+'14'!D27+'15'!D27+'16'!D27+'17'!D27+'18'!D27+'19'!D27+'20'!D27+'21'!D27+'22'!D27+'23'!D27+'24'!D27+'25'!D27+'26'!D27+'27'!D27+'28'!D27+'29'!D27+'30'!D27+'31.'!D27</f>
        <v>0</v>
      </c>
      <c r="E27" s="44">
        <f t="shared" si="0"/>
        <v>0</v>
      </c>
      <c r="F27" s="45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4">
        <f t="shared" si="1"/>
        <v>0</v>
      </c>
      <c r="H27" s="45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20">
        <v>100</v>
      </c>
      <c r="J27" s="45">
        <f>+'1'!J27+'2'!J27+'3'!J27+'4'!J27+'5'!J27+'6'!J27+'7'!J27+'8'!J27+'9'!J27+'10'!J27+'11'!J27+'12'!J27+'13'!J27+'14'!J27+'15'!J27+'16'!J27+'17'!J27+'18'!J27+'19'!J27+'20'!J27+'21'!J27+'22'!J27+'23'!J27+'24'!J27+'25'!J27+'26'!J27+'27'!J27+'28'!J27+'29'!J27+'30'!J27+'31.'!J27</f>
        <v>0</v>
      </c>
      <c r="K27" s="19"/>
      <c r="L27" s="46">
        <v>23</v>
      </c>
      <c r="M27" s="47">
        <f>+'23'!K257</f>
        <v>1600</v>
      </c>
      <c r="N27" s="47">
        <f>+'23'!K262</f>
        <v>170</v>
      </c>
      <c r="O27" s="47">
        <f>+'23'!K260</f>
        <v>0</v>
      </c>
      <c r="P27" s="84">
        <f>+'23'!K258</f>
        <v>15</v>
      </c>
      <c r="Q27" s="47">
        <f>+'23'!K261</f>
        <v>0</v>
      </c>
      <c r="R27" s="47">
        <f>+'23'!K259</f>
        <v>820</v>
      </c>
      <c r="S27" s="47">
        <f>+M27-N27-O27-P27-Q27-R27</f>
        <v>595</v>
      </c>
      <c r="T27" s="47">
        <f>+'23'!K264</f>
        <v>595</v>
      </c>
      <c r="U27" s="48">
        <f t="shared" si="3"/>
        <v>0</v>
      </c>
      <c r="V27" s="5"/>
    </row>
    <row r="28" spans="1:22" x14ac:dyDescent="0.55000000000000004">
      <c r="A28" s="10">
        <v>24</v>
      </c>
      <c r="B28" s="19" t="s">
        <v>39</v>
      </c>
      <c r="C28" s="47">
        <f>+ยกมา!C36</f>
        <v>0</v>
      </c>
      <c r="D28" s="45">
        <f>+'1'!D28+'2'!D28+'3'!D28+'4'!D28+'5'!D28+'6'!D28+'7'!D28+'8'!D28+'9'!D28+'10'!D28+'11'!D28+'12'!D28+'13'!D28+'14'!D28+'15'!D28+'16'!D28+'17'!D28+'18'!D28+'19'!D28+'20'!D28+'21'!D28+'22'!D28+'23'!D28+'24'!D28+'25'!D28+'26'!D28+'27'!D28+'28'!D28+'29'!D28+'30'!D28+'31.'!D28</f>
        <v>0</v>
      </c>
      <c r="E28" s="44">
        <f t="shared" si="0"/>
        <v>0</v>
      </c>
      <c r="F28" s="45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0</v>
      </c>
      <c r="G28" s="44">
        <f t="shared" si="1"/>
        <v>0</v>
      </c>
      <c r="H28" s="45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20">
        <v>100</v>
      </c>
      <c r="J28" s="45">
        <f>+'1'!J28+'2'!J28+'3'!J28+'4'!J28+'5'!J28+'6'!J28+'7'!J28+'8'!J28+'9'!J28+'10'!J28+'11'!J28+'12'!J28+'13'!J28+'14'!J28+'15'!J28+'16'!J28+'17'!J28+'18'!J28+'19'!J28+'20'!J28+'21'!J28+'22'!J28+'23'!J28+'24'!J28+'25'!J28+'26'!J28+'27'!J28+'28'!J28+'29'!J28+'30'!J28+'31.'!J28</f>
        <v>0</v>
      </c>
      <c r="K28" s="19"/>
      <c r="L28" s="46">
        <v>24</v>
      </c>
      <c r="M28" s="47">
        <f>+'24'!K257</f>
        <v>1750</v>
      </c>
      <c r="N28" s="47">
        <f>+'24'!K262</f>
        <v>325</v>
      </c>
      <c r="O28" s="47">
        <f>+'24'!K260</f>
        <v>0</v>
      </c>
      <c r="P28" s="84">
        <f>+'24'!K258</f>
        <v>15</v>
      </c>
      <c r="Q28" s="47">
        <f>+'24'!K261</f>
        <v>0</v>
      </c>
      <c r="R28" s="47">
        <f>+'24'!K259</f>
        <v>130</v>
      </c>
      <c r="S28" s="47">
        <f t="shared" si="2"/>
        <v>1280</v>
      </c>
      <c r="T28" s="47">
        <f>+'24'!K264</f>
        <v>1280</v>
      </c>
      <c r="U28" s="48">
        <f t="shared" si="3"/>
        <v>0</v>
      </c>
      <c r="V28" s="5"/>
    </row>
    <row r="29" spans="1:22" x14ac:dyDescent="0.55000000000000004">
      <c r="A29" s="10">
        <v>25</v>
      </c>
      <c r="B29" s="19" t="s">
        <v>40</v>
      </c>
      <c r="C29" s="47">
        <f>+ยกมา!C37</f>
        <v>18</v>
      </c>
      <c r="D29" s="45">
        <f>+'1'!D29+'2'!D29+'3'!D29+'4'!D29+'5'!D29+'6'!D29+'7'!D29+'8'!D29+'9'!D29+'10'!D29+'11'!D29+'12'!D29+'13'!D29+'14'!D29+'15'!D29+'16'!D29+'17'!D29+'18'!D29+'19'!D29+'20'!D29+'21'!D29+'22'!D29+'23'!D29+'24'!D29+'25'!D29+'26'!D29+'27'!D29+'28'!D29+'29'!D29+'30'!D29+'31.'!D29</f>
        <v>25</v>
      </c>
      <c r="E29" s="44">
        <f t="shared" si="0"/>
        <v>43</v>
      </c>
      <c r="F29" s="45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6</v>
      </c>
      <c r="G29" s="44">
        <f t="shared" si="1"/>
        <v>4</v>
      </c>
      <c r="H29" s="45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33</v>
      </c>
      <c r="I29" s="20">
        <v>100</v>
      </c>
      <c r="J29" s="45">
        <f>+'1'!J29+'2'!J29+'3'!J29+'4'!J29+'5'!J29+'6'!J29+'7'!J29+'8'!J29+'9'!J29+'10'!J29+'11'!J29+'12'!J29+'13'!J29+'14'!J29+'15'!J29+'16'!J29+'17'!J29+'18'!J29+'19'!J29+'20'!J29+'21'!J29+'22'!J29+'23'!J29+'24'!J29+'25'!J29+'26'!J29+'27'!J29+'28'!J29+'29'!J29+'30'!J29+'31.'!J29</f>
        <v>3300</v>
      </c>
      <c r="K29" s="19"/>
      <c r="L29" s="46">
        <v>25</v>
      </c>
      <c r="M29" s="47">
        <f>+'25'!K257</f>
        <v>3055</v>
      </c>
      <c r="N29" s="47">
        <f>+'25'!K262</f>
        <v>475</v>
      </c>
      <c r="O29" s="47">
        <f>+'25'!K260</f>
        <v>0</v>
      </c>
      <c r="P29" s="84">
        <f>+'25'!K258</f>
        <v>15</v>
      </c>
      <c r="Q29" s="47">
        <f>+'25'!K261</f>
        <v>0</v>
      </c>
      <c r="R29" s="47">
        <f>+'25'!K259</f>
        <v>465</v>
      </c>
      <c r="S29" s="47">
        <f t="shared" si="2"/>
        <v>2100</v>
      </c>
      <c r="T29" s="47">
        <f>+'25'!K264</f>
        <v>2100</v>
      </c>
      <c r="U29" s="48">
        <f t="shared" si="3"/>
        <v>0</v>
      </c>
      <c r="V29" s="5"/>
    </row>
    <row r="30" spans="1:22" x14ac:dyDescent="0.55000000000000004">
      <c r="A30" s="10">
        <v>26</v>
      </c>
      <c r="B30" s="19" t="s">
        <v>41</v>
      </c>
      <c r="C30" s="47">
        <f>+ยกมา!C38</f>
        <v>6</v>
      </c>
      <c r="D30" s="45">
        <f>+'1'!D30+'2'!D30+'3'!D30+'4'!D30+'5'!D30+'6'!D30+'7'!D30+'8'!D30+'9'!D30+'10'!D30+'11'!D30+'12'!D30+'13'!D30+'14'!D30+'15'!D30+'16'!D30+'17'!D30+'18'!D30+'19'!D30+'20'!D30+'21'!D30+'22'!D30+'23'!D30+'24'!D30+'25'!D30+'26'!D30+'27'!D30+'28'!D30+'29'!D30+'30'!D30+'31.'!D30</f>
        <v>0</v>
      </c>
      <c r="E30" s="44">
        <f t="shared" si="0"/>
        <v>6</v>
      </c>
      <c r="F30" s="45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4">
        <f t="shared" si="1"/>
        <v>6</v>
      </c>
      <c r="H30" s="45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20">
        <v>100</v>
      </c>
      <c r="J30" s="45">
        <f>+'1'!J30+'2'!J30+'3'!J30+'4'!J30+'5'!J30+'6'!J30+'7'!J30+'8'!J30+'9'!J30+'10'!J30+'11'!J30+'12'!J30+'13'!J30+'14'!J30+'15'!J30+'16'!J30+'17'!J30+'18'!J30+'19'!J30+'20'!J30+'21'!J30+'22'!J30+'23'!J30+'24'!J30+'25'!J30+'26'!J30+'27'!J30+'28'!J30+'29'!J30+'30'!J30+'31.'!J30</f>
        <v>0</v>
      </c>
      <c r="K30" s="19"/>
      <c r="L30" s="46">
        <v>26</v>
      </c>
      <c r="M30" s="47">
        <f>+'26'!K257</f>
        <v>3165</v>
      </c>
      <c r="N30" s="47">
        <f>+'26'!K262</f>
        <v>220</v>
      </c>
      <c r="O30" s="47">
        <f>+'26'!K260</f>
        <v>0</v>
      </c>
      <c r="P30" s="84">
        <f>+'26'!K258</f>
        <v>15</v>
      </c>
      <c r="Q30" s="47">
        <f>+'26'!K261</f>
        <v>0</v>
      </c>
      <c r="R30" s="47">
        <f>+'26'!K259</f>
        <v>1030</v>
      </c>
      <c r="S30" s="47">
        <f t="shared" si="2"/>
        <v>1900</v>
      </c>
      <c r="T30" s="47">
        <f>+'26'!K264</f>
        <v>1900</v>
      </c>
      <c r="U30" s="48">
        <f t="shared" si="3"/>
        <v>0</v>
      </c>
      <c r="V30" s="5"/>
    </row>
    <row r="31" spans="1:22" x14ac:dyDescent="0.55000000000000004">
      <c r="A31" s="10">
        <v>27</v>
      </c>
      <c r="B31" s="19" t="s">
        <v>42</v>
      </c>
      <c r="C31" s="47">
        <f>+ยกมา!C39</f>
        <v>9</v>
      </c>
      <c r="D31" s="45">
        <f>+'1'!D31+'2'!D31+'3'!D31+'4'!D31+'5'!D31+'6'!D31+'7'!D31+'8'!D31+'9'!D31+'10'!D31+'11'!D31+'12'!D31+'13'!D31+'14'!D31+'15'!D31+'16'!D31+'17'!D31+'18'!D31+'19'!D31+'20'!D31+'21'!D31+'22'!D31+'23'!D31+'24'!D31+'25'!D31+'26'!D31+'27'!D31+'28'!D31+'29'!D31+'30'!D31+'31.'!D31</f>
        <v>8</v>
      </c>
      <c r="E31" s="44">
        <f t="shared" si="0"/>
        <v>17</v>
      </c>
      <c r="F31" s="45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1</v>
      </c>
      <c r="G31" s="44">
        <f t="shared" si="1"/>
        <v>14</v>
      </c>
      <c r="H31" s="45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2</v>
      </c>
      <c r="I31" s="20">
        <v>100</v>
      </c>
      <c r="J31" s="45">
        <f>+'1'!J31+'2'!J31+'3'!J31+'4'!J31+'5'!J31+'6'!J31+'7'!J31+'8'!J31+'9'!J31+'10'!J31+'11'!J31+'12'!J31+'13'!J31+'14'!J31+'15'!J31+'16'!J31+'17'!J31+'18'!J31+'19'!J31+'20'!J31+'21'!J31+'22'!J31+'23'!J31+'24'!J31+'25'!J31+'26'!J31+'27'!J31+'28'!J31+'29'!J31+'30'!J31+'31.'!J31</f>
        <v>200</v>
      </c>
      <c r="K31" s="19"/>
      <c r="L31" s="46">
        <v>27</v>
      </c>
      <c r="M31" s="47">
        <f>+'27'!K257</f>
        <v>3600</v>
      </c>
      <c r="N31" s="47">
        <f>+'27'!K262</f>
        <v>100</v>
      </c>
      <c r="O31" s="47">
        <f>+'27'!K260</f>
        <v>0</v>
      </c>
      <c r="P31" s="84">
        <f>+'27'!K258</f>
        <v>15</v>
      </c>
      <c r="Q31" s="47">
        <f>+'27'!K261</f>
        <v>0</v>
      </c>
      <c r="R31" s="47">
        <f>+'27'!K259</f>
        <v>1165</v>
      </c>
      <c r="S31" s="47">
        <f t="shared" si="2"/>
        <v>2320</v>
      </c>
      <c r="T31" s="47">
        <f>+'27'!K264</f>
        <v>2320</v>
      </c>
      <c r="U31" s="48">
        <f t="shared" si="3"/>
        <v>0</v>
      </c>
      <c r="V31" s="5"/>
    </row>
    <row r="32" spans="1:22" x14ac:dyDescent="0.55000000000000004">
      <c r="A32" s="10">
        <v>28</v>
      </c>
      <c r="B32" s="19" t="s">
        <v>43</v>
      </c>
      <c r="C32" s="47">
        <f>+ยกมา!C40</f>
        <v>9</v>
      </c>
      <c r="D32" s="45">
        <f>+'1'!D32+'2'!D32+'3'!D32+'4'!D32+'5'!D32+'6'!D32+'7'!D32+'8'!D32+'9'!D32+'10'!D32+'11'!D32+'12'!D32+'13'!D32+'14'!D32+'15'!D32+'16'!D32+'17'!D32+'18'!D32+'19'!D32+'20'!D32+'21'!D32+'22'!D32+'23'!D32+'24'!D32+'25'!D32+'26'!D32+'27'!D32+'28'!D32+'29'!D32+'30'!D32+'31.'!D32</f>
        <v>0</v>
      </c>
      <c r="E32" s="44">
        <f t="shared" si="0"/>
        <v>9</v>
      </c>
      <c r="F32" s="45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0</v>
      </c>
      <c r="G32" s="44">
        <f t="shared" si="1"/>
        <v>9</v>
      </c>
      <c r="H32" s="45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20">
        <v>130</v>
      </c>
      <c r="J32" s="45">
        <f>+'1'!J32+'2'!J32+'3'!J32+'4'!J32+'5'!J32+'6'!J32+'7'!J32+'8'!J32+'9'!J32+'10'!J32+'11'!J32+'12'!J32+'13'!J32+'14'!J32+'15'!J32+'16'!J32+'17'!J32+'18'!J32+'19'!J32+'20'!J32+'21'!J32+'22'!J32+'23'!J32+'24'!J32+'25'!J32+'26'!J32+'27'!J32+'28'!J32+'29'!J32+'30'!J32+'31.'!J32</f>
        <v>0</v>
      </c>
      <c r="K32" s="19"/>
      <c r="L32" s="46">
        <v>28</v>
      </c>
      <c r="M32" s="47">
        <f>+'28'!K257</f>
        <v>5365</v>
      </c>
      <c r="N32" s="47">
        <f>+'28'!K262</f>
        <v>320</v>
      </c>
      <c r="O32" s="47">
        <f>+'28'!K260</f>
        <v>0</v>
      </c>
      <c r="P32" s="84">
        <f>+'28'!K258</f>
        <v>15</v>
      </c>
      <c r="Q32" s="47">
        <f>+'28'!K261</f>
        <v>0</v>
      </c>
      <c r="R32" s="47">
        <f>+'28'!K259</f>
        <v>1590</v>
      </c>
      <c r="S32" s="47">
        <f t="shared" si="2"/>
        <v>3440</v>
      </c>
      <c r="T32" s="47">
        <f>+'28'!K264</f>
        <v>3440</v>
      </c>
      <c r="U32" s="48">
        <f t="shared" si="3"/>
        <v>0</v>
      </c>
      <c r="V32" s="5"/>
    </row>
    <row r="33" spans="1:22" x14ac:dyDescent="0.55000000000000004">
      <c r="A33" s="10">
        <v>29</v>
      </c>
      <c r="B33" s="19" t="s">
        <v>44</v>
      </c>
      <c r="C33" s="47">
        <f>+ยกมา!C41</f>
        <v>0</v>
      </c>
      <c r="D33" s="45">
        <f>+'1'!D33+'2'!D33+'3'!D33+'4'!D33+'5'!D33+'6'!D33+'7'!D33+'8'!D33+'9'!D33+'10'!D33+'11'!D33+'12'!D33+'13'!D33+'14'!D33+'15'!D33+'16'!D33+'17'!D33+'18'!D33+'19'!D33+'20'!D33+'21'!D33+'22'!D33+'23'!D33+'24'!D33+'25'!D33+'26'!D33+'27'!D33+'28'!D33+'29'!D33+'30'!D33+'31.'!D33</f>
        <v>25</v>
      </c>
      <c r="E33" s="44">
        <f t="shared" si="0"/>
        <v>25</v>
      </c>
      <c r="F33" s="45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3</v>
      </c>
      <c r="G33" s="44">
        <f t="shared" si="1"/>
        <v>0</v>
      </c>
      <c r="H33" s="45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22</v>
      </c>
      <c r="I33" s="20">
        <v>130</v>
      </c>
      <c r="J33" s="45">
        <f>+'1'!J33+'2'!J33+'3'!J33+'4'!J33+'5'!J33+'6'!J33+'7'!J33+'8'!J33+'9'!J33+'10'!J33+'11'!J33+'12'!J33+'13'!J33+'14'!J33+'15'!J33+'16'!J33+'17'!J33+'18'!J33+'19'!J33+'20'!J33+'21'!J33+'22'!J33+'23'!J33+'24'!J33+'25'!J33+'26'!J33+'27'!J33+'28'!J33+'29'!J33+'30'!J33+'31.'!J33</f>
        <v>2860</v>
      </c>
      <c r="K33" s="19"/>
      <c r="L33" s="46">
        <v>29</v>
      </c>
      <c r="M33" s="47">
        <f>+'29'!K257</f>
        <v>6415</v>
      </c>
      <c r="N33" s="47">
        <f>+'29'!K262</f>
        <v>200</v>
      </c>
      <c r="O33" s="47">
        <f>+'29'!K260</f>
        <v>0</v>
      </c>
      <c r="P33" s="84">
        <f>+'29'!K258</f>
        <v>15</v>
      </c>
      <c r="Q33" s="47">
        <f>+'29'!K261</f>
        <v>0</v>
      </c>
      <c r="R33" s="47">
        <f>+'29'!K259</f>
        <v>2500</v>
      </c>
      <c r="S33" s="47">
        <f t="shared" si="2"/>
        <v>3700</v>
      </c>
      <c r="T33" s="47">
        <f>+'29'!K264</f>
        <v>3700</v>
      </c>
      <c r="U33" s="48">
        <f t="shared" si="3"/>
        <v>0</v>
      </c>
      <c r="V33" s="5"/>
    </row>
    <row r="34" spans="1:22" x14ac:dyDescent="0.55000000000000004">
      <c r="A34" s="10">
        <v>30</v>
      </c>
      <c r="B34" s="19" t="s">
        <v>45</v>
      </c>
      <c r="C34" s="47">
        <f>+ยกมา!C42</f>
        <v>0</v>
      </c>
      <c r="D34" s="45">
        <f>+'1'!D34+'2'!D34+'3'!D34+'4'!D34+'5'!D34+'6'!D34+'7'!D34+'8'!D34+'9'!D34+'10'!D34+'11'!D34+'12'!D34+'13'!D34+'14'!D34+'15'!D34+'16'!D34+'17'!D34+'18'!D34+'19'!D34+'20'!D34+'21'!D34+'22'!D34+'23'!D34+'24'!D34+'25'!D34+'26'!D34+'27'!D34+'28'!D34+'29'!D34+'30'!D34+'31.'!D34</f>
        <v>35</v>
      </c>
      <c r="E34" s="44">
        <f t="shared" si="0"/>
        <v>35</v>
      </c>
      <c r="F34" s="45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4</v>
      </c>
      <c r="G34" s="44">
        <f t="shared" si="1"/>
        <v>1</v>
      </c>
      <c r="H34" s="45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30</v>
      </c>
      <c r="I34" s="20">
        <v>130</v>
      </c>
      <c r="J34" s="45">
        <f>+'1'!J34+'2'!J34+'3'!J34+'4'!J34+'5'!J34+'6'!J34+'7'!J34+'8'!J34+'9'!J34+'10'!J34+'11'!J34+'12'!J34+'13'!J34+'14'!J34+'15'!J34+'16'!J34+'17'!J34+'18'!J34+'19'!J34+'20'!J34+'21'!J34+'22'!J34+'23'!J34+'24'!J34+'25'!J34+'26'!J34+'27'!J34+'28'!J34+'29'!J34+'30'!J34+'31.'!J34</f>
        <v>3900</v>
      </c>
      <c r="K34" s="19"/>
      <c r="L34" s="46">
        <v>30</v>
      </c>
      <c r="M34" s="47">
        <f>+'30'!K257</f>
        <v>3090</v>
      </c>
      <c r="N34" s="47">
        <f>+'30'!K262</f>
        <v>150</v>
      </c>
      <c r="O34" s="47">
        <f>+'30'!K260</f>
        <v>0</v>
      </c>
      <c r="P34" s="84">
        <f>+'30'!K258</f>
        <v>15</v>
      </c>
      <c r="Q34" s="47">
        <f>+'30'!K261</f>
        <v>0</v>
      </c>
      <c r="R34" s="47">
        <f>+'30'!K259</f>
        <v>2255</v>
      </c>
      <c r="S34" s="47">
        <f t="shared" si="2"/>
        <v>670</v>
      </c>
      <c r="T34" s="47">
        <f>+'30'!K264</f>
        <v>670</v>
      </c>
      <c r="U34" s="48">
        <f t="shared" si="3"/>
        <v>0</v>
      </c>
      <c r="V34" s="5"/>
    </row>
    <row r="35" spans="1:22" x14ac:dyDescent="0.55000000000000004">
      <c r="A35" s="10">
        <v>31</v>
      </c>
      <c r="B35" s="19" t="s">
        <v>46</v>
      </c>
      <c r="C35" s="47">
        <f>+ยกมา!C43</f>
        <v>0</v>
      </c>
      <c r="D35" s="45">
        <f>+'1'!D35+'2'!D35+'3'!D35+'4'!D35+'5'!D35+'6'!D35+'7'!D35+'8'!D35+'9'!D35+'10'!D35+'11'!D35+'12'!D35+'13'!D35+'14'!D35+'15'!D35+'16'!D35+'17'!D35+'18'!D35+'19'!D35+'20'!D35+'21'!D35+'22'!D35+'23'!D35+'24'!D35+'25'!D35+'26'!D35+'27'!D35+'28'!D35+'29'!D35+'30'!D35+'31.'!D35</f>
        <v>5</v>
      </c>
      <c r="E35" s="44">
        <f t="shared" si="0"/>
        <v>5</v>
      </c>
      <c r="F35" s="45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4">
        <f t="shared" si="1"/>
        <v>0</v>
      </c>
      <c r="H35" s="45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5</v>
      </c>
      <c r="I35" s="20">
        <v>130</v>
      </c>
      <c r="J35" s="45">
        <f>+'1'!J35+'2'!J35+'3'!J35+'4'!J35+'5'!J35+'6'!J35+'7'!J35+'8'!J35+'9'!J35+'10'!J35+'11'!J35+'12'!J35+'13'!J35+'14'!J35+'15'!J35+'16'!J35+'17'!J35+'18'!J35+'19'!J35+'20'!J35+'21'!J35+'22'!J35+'23'!J35+'24'!J35+'25'!J35+'26'!J35+'27'!J35+'28'!J35+'29'!J35+'30'!J35+'31.'!J35</f>
        <v>650</v>
      </c>
      <c r="K35" s="19"/>
      <c r="L35" s="46">
        <v>31</v>
      </c>
      <c r="M35" s="47">
        <f>+'31.'!K257</f>
        <v>2260</v>
      </c>
      <c r="N35" s="47">
        <f>+'31.'!K262</f>
        <v>275</v>
      </c>
      <c r="O35" s="47">
        <f>+'31.'!K260</f>
        <v>0</v>
      </c>
      <c r="P35" s="84">
        <f>+'31.'!K258</f>
        <v>15</v>
      </c>
      <c r="Q35" s="47">
        <f>+'31.'!K261</f>
        <v>0</v>
      </c>
      <c r="R35" s="47">
        <f>+'31.'!K259</f>
        <v>300</v>
      </c>
      <c r="S35" s="47">
        <f>+M35-N35-O35-P35-Q35-R35</f>
        <v>1670</v>
      </c>
      <c r="T35" s="47">
        <f>+'31.'!K264</f>
        <v>1670</v>
      </c>
      <c r="U35" s="48">
        <f>+T35-S35</f>
        <v>0</v>
      </c>
      <c r="V35" s="5"/>
    </row>
    <row r="36" spans="1:22" x14ac:dyDescent="0.55000000000000004">
      <c r="A36" s="10">
        <v>32</v>
      </c>
      <c r="B36" s="19" t="s">
        <v>47</v>
      </c>
      <c r="C36" s="47">
        <f>+ยกมา!C44</f>
        <v>0</v>
      </c>
      <c r="D36" s="45">
        <f>+'1'!D36+'2'!D36+'3'!D36+'4'!D36+'5'!D36+'6'!D36+'7'!D36+'8'!D36+'9'!D36+'10'!D36+'11'!D36+'12'!D36+'13'!D36+'14'!D36+'15'!D36+'16'!D36+'17'!D36+'18'!D36+'19'!D36+'20'!D36+'21'!D36+'22'!D36+'23'!D36+'24'!D36+'25'!D36+'26'!D36+'27'!D36+'28'!D36+'29'!D36+'30'!D36+'31.'!D36</f>
        <v>0</v>
      </c>
      <c r="E36" s="44">
        <f t="shared" si="0"/>
        <v>0</v>
      </c>
      <c r="F36" s="45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4">
        <f t="shared" si="1"/>
        <v>0</v>
      </c>
      <c r="H36" s="45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20">
        <v>100</v>
      </c>
      <c r="J36" s="45">
        <f>+'1'!J36+'2'!J36+'3'!J36+'4'!J36+'5'!J36+'6'!J36+'7'!J36+'8'!J36+'9'!J36+'10'!J36+'11'!J36+'12'!J36+'13'!J36+'14'!J36+'15'!J36+'16'!J36+'17'!J36+'18'!J36+'19'!J36+'20'!J36+'21'!J36+'22'!J36+'23'!J36+'24'!J36+'25'!J36+'26'!J36+'27'!J36+'28'!J36+'29'!J36+'30'!J36+'31.'!J36</f>
        <v>0</v>
      </c>
      <c r="K36" s="19"/>
      <c r="L36" s="49" t="s">
        <v>5</v>
      </c>
      <c r="M36" s="50">
        <f>SUM(M5:M35)</f>
        <v>87220</v>
      </c>
      <c r="N36" s="50">
        <f t="shared" ref="N36:U36" si="4">SUM(N5:N35)</f>
        <v>6470</v>
      </c>
      <c r="O36" s="50">
        <f t="shared" si="4"/>
        <v>0</v>
      </c>
      <c r="P36" s="50">
        <f t="shared" si="4"/>
        <v>450</v>
      </c>
      <c r="Q36" s="50">
        <f t="shared" si="4"/>
        <v>69</v>
      </c>
      <c r="R36" s="50">
        <f t="shared" si="4"/>
        <v>29005</v>
      </c>
      <c r="S36" s="50">
        <f t="shared" si="4"/>
        <v>51226</v>
      </c>
      <c r="T36" s="50">
        <f t="shared" si="4"/>
        <v>51321</v>
      </c>
      <c r="U36" s="50">
        <f t="shared" si="4"/>
        <v>95</v>
      </c>
    </row>
    <row r="37" spans="1:22" x14ac:dyDescent="0.55000000000000004">
      <c r="A37" s="10">
        <v>33</v>
      </c>
      <c r="B37" s="19" t="s">
        <v>48</v>
      </c>
      <c r="C37" s="47">
        <f>+ยกมา!C45</f>
        <v>0</v>
      </c>
      <c r="D37" s="45">
        <f>+'1'!D37+'2'!D37+'3'!D37+'4'!D37+'5'!D37+'6'!D37+'7'!D37+'8'!D37+'9'!D37+'10'!D37+'11'!D37+'12'!D37+'13'!D37+'14'!D37+'15'!D37+'16'!D37+'17'!D37+'18'!D37+'19'!D37+'20'!D37+'21'!D37+'22'!D37+'23'!D37+'24'!D37+'25'!D37+'26'!D37+'27'!D37+'28'!D37+'29'!D37+'30'!D37+'31.'!D37</f>
        <v>53</v>
      </c>
      <c r="E37" s="44">
        <f t="shared" si="0"/>
        <v>53</v>
      </c>
      <c r="F37" s="45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2</v>
      </c>
      <c r="G37" s="44">
        <f t="shared" si="1"/>
        <v>-6</v>
      </c>
      <c r="H37" s="45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57</v>
      </c>
      <c r="I37" s="20">
        <v>100</v>
      </c>
      <c r="J37" s="45">
        <f>+'1'!J37+'2'!J37+'3'!J37+'4'!J37+'5'!J37+'6'!J37+'7'!J37+'8'!J37+'9'!J37+'10'!J37+'11'!J37+'12'!J37+'13'!J37+'14'!J37+'15'!J37+'16'!J37+'17'!J37+'18'!J37+'19'!J37+'20'!J37+'21'!J37+'22'!J37+'23'!J37+'24'!J37+'25'!J37+'26'!J37+'27'!J37+'28'!J37+'29'!J37+'30'!J37+'31.'!J37</f>
        <v>5700</v>
      </c>
      <c r="K37" s="19"/>
      <c r="M37" s="1" t="s">
        <v>328</v>
      </c>
      <c r="P37" s="51"/>
      <c r="S37" s="51"/>
      <c r="U37" s="5"/>
    </row>
    <row r="38" spans="1:22" x14ac:dyDescent="0.55000000000000004">
      <c r="A38" s="10">
        <v>34</v>
      </c>
      <c r="B38" s="19" t="s">
        <v>49</v>
      </c>
      <c r="C38" s="47">
        <f>+ยกมา!C46</f>
        <v>0</v>
      </c>
      <c r="D38" s="45">
        <f>+'1'!D38+'2'!D38+'3'!D38+'4'!D38+'5'!D38+'6'!D38+'7'!D38+'8'!D38+'9'!D38+'10'!D38+'11'!D38+'12'!D38+'13'!D38+'14'!D38+'15'!D38+'16'!D38+'17'!D38+'18'!D38+'19'!D38+'20'!D38+'21'!D38+'22'!D38+'23'!D38+'24'!D38+'25'!D38+'26'!D38+'27'!D38+'28'!D38+'29'!D38+'30'!D38+'31.'!D38</f>
        <v>33</v>
      </c>
      <c r="E38" s="44">
        <f t="shared" si="0"/>
        <v>33</v>
      </c>
      <c r="F38" s="45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4">
        <f t="shared" si="1"/>
        <v>-5</v>
      </c>
      <c r="H38" s="45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38</v>
      </c>
      <c r="I38" s="20">
        <v>50</v>
      </c>
      <c r="J38" s="45">
        <f>+'1'!J38+'2'!J38+'3'!J38+'4'!J38+'5'!J38+'6'!J38+'7'!J38+'8'!J38+'9'!J38+'10'!J38+'11'!J38+'12'!J38+'13'!J38+'14'!J38+'15'!J38+'16'!J38+'17'!J38+'18'!J38+'19'!J38+'20'!J38+'21'!J38+'22'!J38+'23'!J38+'24'!J38+'25'!J38+'26'!J38+'27'!J38+'28'!J38+'29'!J38+'30'!J38+'31.'!J38</f>
        <v>1900</v>
      </c>
      <c r="K38" s="19"/>
      <c r="M38" s="52"/>
      <c r="N38" s="51"/>
      <c r="U38" s="5"/>
    </row>
    <row r="39" spans="1:22" x14ac:dyDescent="0.55000000000000004">
      <c r="A39" s="10">
        <v>35</v>
      </c>
      <c r="B39" s="19" t="s">
        <v>50</v>
      </c>
      <c r="C39" s="47">
        <f>+ยกมา!C47</f>
        <v>0</v>
      </c>
      <c r="D39" s="45">
        <f>+'1'!D39+'2'!D39+'3'!D39+'4'!D39+'5'!D39+'6'!D39+'7'!D39+'8'!D39+'9'!D39+'10'!D39+'11'!D39+'12'!D39+'13'!D39+'14'!D39+'15'!D39+'16'!D39+'17'!D39+'18'!D39+'19'!D39+'20'!D39+'21'!D39+'22'!D39+'23'!D39+'24'!D39+'25'!D39+'26'!D39+'27'!D39+'28'!D39+'29'!D39+'30'!D39+'31.'!D39</f>
        <v>33</v>
      </c>
      <c r="E39" s="44">
        <f t="shared" si="0"/>
        <v>33</v>
      </c>
      <c r="F39" s="45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4</v>
      </c>
      <c r="G39" s="44">
        <f t="shared" si="1"/>
        <v>-4</v>
      </c>
      <c r="H39" s="45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33</v>
      </c>
      <c r="I39" s="20">
        <v>50</v>
      </c>
      <c r="J39" s="45">
        <f>+'1'!J39+'2'!J39+'3'!J39+'4'!J39+'5'!J39+'6'!J39+'7'!J39+'8'!J39+'9'!J39+'10'!J39+'11'!J39+'12'!J39+'13'!J39+'14'!J39+'15'!J39+'16'!J39+'17'!J39+'18'!J39+'19'!J39+'20'!J39+'21'!J39+'22'!J39+'23'!J39+'24'!J39+'25'!J39+'26'!J39+'27'!J39+'28'!J39+'29'!J39+'30'!J39+'31.'!J39</f>
        <v>1650</v>
      </c>
      <c r="K39" s="19"/>
      <c r="M39" s="53"/>
      <c r="O39" s="51"/>
      <c r="U39" s="5"/>
    </row>
    <row r="40" spans="1:22" x14ac:dyDescent="0.55000000000000004">
      <c r="A40" s="10">
        <v>36</v>
      </c>
      <c r="B40" s="19" t="s">
        <v>51</v>
      </c>
      <c r="C40" s="47">
        <f>+ยกมา!C48</f>
        <v>0</v>
      </c>
      <c r="D40" s="45">
        <f>+'1'!D40+'2'!D40+'3'!D40+'4'!D40+'5'!D40+'6'!D40+'7'!D40+'8'!D40+'9'!D40+'10'!D40+'11'!D40+'12'!D40+'13'!D40+'14'!D40+'15'!D40+'16'!D40+'17'!D40+'18'!D40+'19'!D40+'20'!D40+'21'!D40+'22'!D40+'23'!D40+'24'!D40+'25'!D40+'26'!D40+'27'!D40+'28'!D40+'29'!D40+'30'!D40+'31.'!D40</f>
        <v>33</v>
      </c>
      <c r="E40" s="44">
        <f t="shared" si="0"/>
        <v>33</v>
      </c>
      <c r="F40" s="45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7</v>
      </c>
      <c r="G40" s="44">
        <f t="shared" si="1"/>
        <v>0</v>
      </c>
      <c r="H40" s="45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26</v>
      </c>
      <c r="I40" s="20">
        <v>50</v>
      </c>
      <c r="J40" s="45">
        <f>+'1'!J40+'2'!J40+'3'!J40+'4'!J40+'5'!J40+'6'!J40+'7'!J40+'8'!J40+'9'!J40+'10'!J40+'11'!J40+'12'!J40+'13'!J40+'14'!J40+'15'!J40+'16'!J40+'17'!J40+'18'!J40+'19'!J40+'20'!J40+'21'!J40+'22'!J40+'23'!J40+'24'!J40+'25'!J40+'26'!J40+'27'!J40+'28'!J40+'29'!J40+'30'!J40+'31.'!J40</f>
        <v>1300</v>
      </c>
      <c r="K40" s="19"/>
      <c r="M40" s="53"/>
      <c r="U40" s="5"/>
    </row>
    <row r="41" spans="1:22" x14ac:dyDescent="0.55000000000000004">
      <c r="A41" s="10">
        <v>37</v>
      </c>
      <c r="B41" s="19" t="s">
        <v>52</v>
      </c>
      <c r="C41" s="47">
        <f>+ยกมา!C49</f>
        <v>0</v>
      </c>
      <c r="D41" s="45">
        <f>+'1'!D41+'2'!D41+'3'!D41+'4'!D41+'5'!D41+'6'!D41+'7'!D41+'8'!D41+'9'!D41+'10'!D41+'11'!D41+'12'!D41+'13'!D41+'14'!D41+'15'!D41+'16'!D41+'17'!D41+'18'!D41+'19'!D41+'20'!D41+'21'!D41+'22'!D41+'23'!D41+'24'!D41+'25'!D41+'26'!D41+'27'!D41+'28'!D41+'29'!D41+'30'!D41+'31.'!D41</f>
        <v>0</v>
      </c>
      <c r="E41" s="44">
        <f t="shared" si="0"/>
        <v>0</v>
      </c>
      <c r="F41" s="45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4">
        <f t="shared" si="1"/>
        <v>0</v>
      </c>
      <c r="H41" s="45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20">
        <v>50</v>
      </c>
      <c r="J41" s="45">
        <f>+'1'!J41+'2'!J41+'3'!J41+'4'!J41+'5'!J41+'6'!J41+'7'!J41+'8'!J41+'9'!J41+'10'!J41+'11'!J41+'12'!J41+'13'!J41+'14'!J41+'15'!J41+'16'!J41+'17'!J41+'18'!J41+'19'!J41+'20'!J41+'21'!J41+'22'!J41+'23'!J41+'24'!J41+'25'!J41+'26'!J41+'27'!J41+'28'!J41+'29'!J41+'30'!J41+'31.'!J41</f>
        <v>0</v>
      </c>
      <c r="K41" s="19"/>
      <c r="M41" s="53"/>
      <c r="U41" s="5"/>
    </row>
    <row r="42" spans="1:22" x14ac:dyDescent="0.55000000000000004">
      <c r="A42" s="10">
        <v>38</v>
      </c>
      <c r="B42" s="19" t="s">
        <v>285</v>
      </c>
      <c r="C42" s="47">
        <f>+ยกมา!C50</f>
        <v>1</v>
      </c>
      <c r="D42" s="45">
        <f>+'1'!D42+'2'!D42+'3'!D42+'4'!D42+'5'!D42+'6'!D42+'7'!D42+'8'!D42+'9'!D42+'10'!D42+'11'!D42+'12'!D42+'13'!D42+'14'!D42+'15'!D42+'16'!D42+'17'!D42+'18'!D42+'19'!D42+'20'!D42+'21'!D42+'22'!D42+'23'!D42+'24'!D42+'25'!D42+'26'!D42+'27'!D42+'28'!D42+'29'!D42+'30'!D42+'31.'!D42</f>
        <v>11</v>
      </c>
      <c r="E42" s="44">
        <f t="shared" si="0"/>
        <v>12</v>
      </c>
      <c r="F42" s="45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4">
        <f t="shared" si="1"/>
        <v>1</v>
      </c>
      <c r="H42" s="45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11</v>
      </c>
      <c r="I42" s="20">
        <v>50</v>
      </c>
      <c r="J42" s="45">
        <f>+'1'!J42+'2'!J42+'3'!J42+'4'!J42+'5'!J42+'6'!J42+'7'!J42+'8'!J42+'9'!J42+'10'!J42+'11'!J42+'12'!J42+'13'!J42+'14'!J42+'15'!J42+'16'!J42+'17'!J42+'18'!J42+'19'!J42+'20'!J42+'21'!J42+'22'!J42+'23'!J42+'24'!J42+'25'!J42+'26'!J42+'27'!J42+'28'!J42+'29'!J42+'30'!J42+'31.'!J42</f>
        <v>550</v>
      </c>
      <c r="K42" s="19"/>
      <c r="M42" s="53"/>
      <c r="U42" s="5"/>
    </row>
    <row r="43" spans="1:22" x14ac:dyDescent="0.55000000000000004">
      <c r="A43" s="10">
        <v>39</v>
      </c>
      <c r="B43" s="19" t="s">
        <v>54</v>
      </c>
      <c r="C43" s="47">
        <f>+ยกมา!C51</f>
        <v>2</v>
      </c>
      <c r="D43" s="45">
        <f>+'1'!D43+'2'!D43+'3'!D43+'4'!D43+'5'!D43+'6'!D43+'7'!D43+'8'!D43+'9'!D43+'10'!D43+'11'!D43+'12'!D43+'13'!D43+'14'!D43+'15'!D43+'16'!D43+'17'!D43+'18'!D43+'19'!D43+'20'!D43+'21'!D43+'22'!D43+'23'!D43+'24'!D43+'25'!D43+'26'!D43+'27'!D43+'28'!D43+'29'!D43+'30'!D43+'31.'!D43</f>
        <v>4</v>
      </c>
      <c r="E43" s="44">
        <f t="shared" si="0"/>
        <v>6</v>
      </c>
      <c r="F43" s="45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4">
        <f t="shared" si="1"/>
        <v>2</v>
      </c>
      <c r="H43" s="45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4</v>
      </c>
      <c r="I43" s="20">
        <v>50</v>
      </c>
      <c r="J43" s="45">
        <f>+'1'!J43+'2'!J43+'3'!J43+'4'!J43+'5'!J43+'6'!J43+'7'!J43+'8'!J43+'9'!J43+'10'!J43+'11'!J43+'12'!J43+'13'!J43+'14'!J43+'15'!J43+'16'!J43+'17'!J43+'18'!J43+'19'!J43+'20'!J43+'21'!J43+'22'!J43+'23'!J43+'24'!J43+'25'!J43+'26'!J43+'27'!J43+'28'!J43+'29'!J43+'30'!J43+'31.'!J43</f>
        <v>200</v>
      </c>
      <c r="K43" s="19"/>
      <c r="M43" s="53"/>
      <c r="U43" s="5"/>
    </row>
    <row r="44" spans="1:22" x14ac:dyDescent="0.55000000000000004">
      <c r="A44" s="10">
        <v>40</v>
      </c>
      <c r="B44" s="19" t="s">
        <v>55</v>
      </c>
      <c r="C44" s="47">
        <f>+ยกมา!C52</f>
        <v>3</v>
      </c>
      <c r="D44" s="45">
        <f>+'1'!D44+'2'!D44+'3'!D44+'4'!D44+'5'!D44+'6'!D44+'7'!D44+'8'!D44+'9'!D44+'10'!D44+'11'!D44+'12'!D44+'13'!D44+'14'!D44+'15'!D44+'16'!D44+'17'!D44+'18'!D44+'19'!D44+'20'!D44+'21'!D44+'22'!D44+'23'!D44+'24'!D44+'25'!D44+'26'!D44+'27'!D44+'28'!D44+'29'!D44+'30'!D44+'31.'!D44</f>
        <v>2</v>
      </c>
      <c r="E44" s="44">
        <f t="shared" si="0"/>
        <v>5</v>
      </c>
      <c r="F44" s="45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4">
        <f t="shared" si="1"/>
        <v>3</v>
      </c>
      <c r="H44" s="45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2</v>
      </c>
      <c r="I44" s="20">
        <v>50</v>
      </c>
      <c r="J44" s="45">
        <f>+'1'!J44+'2'!J44+'3'!J44+'4'!J44+'5'!J44+'6'!J44+'7'!J44+'8'!J44+'9'!J44+'10'!J44+'11'!J44+'12'!J44+'13'!J44+'14'!J44+'15'!J44+'16'!J44+'17'!J44+'18'!J44+'19'!J44+'20'!J44+'21'!J44+'22'!J44+'23'!J44+'24'!J44+'25'!J44+'26'!J44+'27'!J44+'28'!J44+'29'!J44+'30'!J44+'31.'!J44</f>
        <v>100</v>
      </c>
      <c r="K44" s="19"/>
      <c r="M44" s="53"/>
      <c r="U44" s="5"/>
    </row>
    <row r="45" spans="1:22" x14ac:dyDescent="0.55000000000000004">
      <c r="A45" s="10">
        <v>41</v>
      </c>
      <c r="B45" s="19" t="s">
        <v>56</v>
      </c>
      <c r="C45" s="47">
        <f>+ยกมา!C53</f>
        <v>0</v>
      </c>
      <c r="D45" s="45">
        <f>+'1'!D45+'2'!D45+'3'!D45+'4'!D45+'5'!D45+'6'!D45+'7'!D45+'8'!D45+'9'!D45+'10'!D45+'11'!D45+'12'!D45+'13'!D45+'14'!D45+'15'!D45+'16'!D45+'17'!D45+'18'!D45+'19'!D45+'20'!D45+'21'!D45+'22'!D45+'23'!D45+'24'!D45+'25'!D45+'26'!D45+'27'!D45+'28'!D45+'29'!D45+'30'!D45+'31.'!D45</f>
        <v>0</v>
      </c>
      <c r="E45" s="44">
        <f t="shared" si="0"/>
        <v>0</v>
      </c>
      <c r="F45" s="45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4">
        <f t="shared" si="1"/>
        <v>0</v>
      </c>
      <c r="H45" s="45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20">
        <v>50</v>
      </c>
      <c r="J45" s="45">
        <f>+'1'!J45+'2'!J45+'3'!J45+'4'!J45+'5'!J45+'6'!J45+'7'!J45+'8'!J45+'9'!J45+'10'!J45+'11'!J45+'12'!J45+'13'!J45+'14'!J45+'15'!J45+'16'!J45+'17'!J45+'18'!J45+'19'!J45+'20'!J45+'21'!J45+'22'!J45+'23'!J45+'24'!J45+'25'!J45+'26'!J45+'27'!J45+'28'!J45+'29'!J45+'30'!J45+'31.'!J45</f>
        <v>0</v>
      </c>
      <c r="K45" s="19"/>
      <c r="M45" s="53"/>
      <c r="O45" s="51"/>
      <c r="U45" s="5"/>
    </row>
    <row r="46" spans="1:22" x14ac:dyDescent="0.55000000000000004">
      <c r="A46" s="10">
        <v>42</v>
      </c>
      <c r="B46" s="19" t="s">
        <v>286</v>
      </c>
      <c r="C46" s="47">
        <f>+ยกมา!C54</f>
        <v>0</v>
      </c>
      <c r="D46" s="45">
        <f>+'1'!D46+'2'!D46+'3'!D46+'4'!D46+'5'!D46+'6'!D46+'7'!D46+'8'!D46+'9'!D46+'10'!D46+'11'!D46+'12'!D46+'13'!D46+'14'!D46+'15'!D46+'16'!D46+'17'!D46+'18'!D46+'19'!D46+'20'!D46+'21'!D46+'22'!D46+'23'!D46+'24'!D46+'25'!D46+'26'!D46+'27'!D46+'28'!D46+'29'!D46+'30'!D46+'31.'!D46</f>
        <v>12</v>
      </c>
      <c r="E46" s="44">
        <f t="shared" si="0"/>
        <v>12</v>
      </c>
      <c r="F46" s="45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0</v>
      </c>
      <c r="G46" s="44">
        <f t="shared" si="1"/>
        <v>0</v>
      </c>
      <c r="H46" s="45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12</v>
      </c>
      <c r="I46" s="20">
        <v>50</v>
      </c>
      <c r="J46" s="45">
        <f>+'1'!J46+'2'!J46+'3'!J46+'4'!J46+'5'!J46+'6'!J46+'7'!J46+'8'!J46+'9'!J46+'10'!J46+'11'!J46+'12'!J46+'13'!J46+'14'!J46+'15'!J46+'16'!J46+'17'!J46+'18'!J46+'19'!J46+'20'!J46+'21'!J46+'22'!J46+'23'!J46+'24'!J46+'25'!J46+'26'!J46+'27'!J46+'28'!J46+'29'!J46+'30'!J46+'31.'!J46</f>
        <v>600</v>
      </c>
      <c r="K46" s="19"/>
      <c r="M46" s="53"/>
      <c r="U46" s="5"/>
    </row>
    <row r="47" spans="1:22" x14ac:dyDescent="0.55000000000000004">
      <c r="A47" s="10">
        <v>43</v>
      </c>
      <c r="B47" s="19" t="s">
        <v>58</v>
      </c>
      <c r="C47" s="47">
        <f>+ยกมา!C55</f>
        <v>0</v>
      </c>
      <c r="D47" s="45">
        <f>+'1'!D47+'2'!D47+'3'!D47+'4'!D47+'5'!D47+'6'!D47+'7'!D47+'8'!D47+'9'!D47+'10'!D47+'11'!D47+'12'!D47+'13'!D47+'14'!D47+'15'!D47+'16'!D47+'17'!D47+'18'!D47+'19'!D47+'20'!D47+'21'!D47+'22'!D47+'23'!D47+'24'!D47+'25'!D47+'26'!D47+'27'!D47+'28'!D47+'29'!D47+'30'!D47+'31.'!D47</f>
        <v>11</v>
      </c>
      <c r="E47" s="44">
        <f t="shared" si="0"/>
        <v>11</v>
      </c>
      <c r="F47" s="45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0</v>
      </c>
      <c r="G47" s="44">
        <f t="shared" si="1"/>
        <v>0</v>
      </c>
      <c r="H47" s="45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11</v>
      </c>
      <c r="I47" s="20">
        <v>50</v>
      </c>
      <c r="J47" s="45">
        <f>+'1'!J47+'2'!J47+'3'!J47+'4'!J47+'5'!J47+'6'!J47+'7'!J47+'8'!J47+'9'!J47+'10'!J47+'11'!J47+'12'!J47+'13'!J47+'14'!J47+'15'!J47+'16'!J47+'17'!J47+'18'!J47+'19'!J47+'20'!J47+'21'!J47+'22'!J47+'23'!J47+'24'!J47+'25'!J47+'26'!J47+'27'!J47+'28'!J47+'29'!J47+'30'!J47+'31.'!J47</f>
        <v>550</v>
      </c>
      <c r="K47" s="19"/>
      <c r="M47" s="53"/>
      <c r="U47" s="5"/>
    </row>
    <row r="48" spans="1:22" x14ac:dyDescent="0.55000000000000004">
      <c r="A48" s="10">
        <v>44</v>
      </c>
      <c r="B48" s="19" t="s">
        <v>59</v>
      </c>
      <c r="C48" s="47">
        <f>+ยกมา!C56</f>
        <v>1</v>
      </c>
      <c r="D48" s="45">
        <f>+'1'!D48+'2'!D48+'3'!D48+'4'!D48+'5'!D48+'6'!D48+'7'!D48+'8'!D48+'9'!D48+'10'!D48+'11'!D48+'12'!D48+'13'!D48+'14'!D48+'15'!D48+'16'!D48+'17'!D48+'18'!D48+'19'!D48+'20'!D48+'21'!D48+'22'!D48+'23'!D48+'24'!D48+'25'!D48+'26'!D48+'27'!D48+'28'!D48+'29'!D48+'30'!D48+'31.'!D48</f>
        <v>6</v>
      </c>
      <c r="E48" s="44">
        <f t="shared" si="0"/>
        <v>7</v>
      </c>
      <c r="F48" s="45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0</v>
      </c>
      <c r="G48" s="44">
        <f t="shared" si="1"/>
        <v>2</v>
      </c>
      <c r="H48" s="45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5</v>
      </c>
      <c r="I48" s="20">
        <v>50</v>
      </c>
      <c r="J48" s="45">
        <f>+'1'!J48+'2'!J48+'3'!J48+'4'!J48+'5'!J48+'6'!J48+'7'!J48+'8'!J48+'9'!J48+'10'!J48+'11'!J48+'12'!J48+'13'!J48+'14'!J48+'15'!J48+'16'!J48+'17'!J48+'18'!J48+'19'!J48+'20'!J48+'21'!J48+'22'!J48+'23'!J48+'24'!J48+'25'!J48+'26'!J48+'27'!J48+'28'!J48+'29'!J48+'30'!J48+'31.'!J48</f>
        <v>250</v>
      </c>
      <c r="K48" s="19"/>
      <c r="M48" s="53"/>
      <c r="U48" s="5"/>
    </row>
    <row r="49" spans="1:21" x14ac:dyDescent="0.55000000000000004">
      <c r="A49" s="10">
        <v>45</v>
      </c>
      <c r="B49" s="19" t="s">
        <v>60</v>
      </c>
      <c r="C49" s="47">
        <f>+ยกมา!C57</f>
        <v>4</v>
      </c>
      <c r="D49" s="45">
        <f>+'1'!D49+'2'!D49+'3'!D49+'4'!D49+'5'!D49+'6'!D49+'7'!D49+'8'!D49+'9'!D49+'10'!D49+'11'!D49+'12'!D49+'13'!D49+'14'!D49+'15'!D49+'16'!D49+'17'!D49+'18'!D49+'19'!D49+'20'!D49+'21'!D49+'22'!D49+'23'!D49+'24'!D49+'25'!D49+'26'!D49+'27'!D49+'28'!D49+'29'!D49+'30'!D49+'31.'!D49</f>
        <v>8</v>
      </c>
      <c r="E49" s="44">
        <f t="shared" si="0"/>
        <v>12</v>
      </c>
      <c r="F49" s="45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0</v>
      </c>
      <c r="G49" s="44">
        <f t="shared" si="1"/>
        <v>5</v>
      </c>
      <c r="H49" s="45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7</v>
      </c>
      <c r="I49" s="20">
        <v>50</v>
      </c>
      <c r="J49" s="45">
        <f>+'1'!J49+'2'!J49+'3'!J49+'4'!J49+'5'!J49+'6'!J49+'7'!J49+'8'!J49+'9'!J49+'10'!J49+'11'!J49+'12'!J49+'13'!J49+'14'!J49+'15'!J49+'16'!J49+'17'!J49+'18'!J49+'19'!J49+'20'!J49+'21'!J49+'22'!J49+'23'!J49+'24'!J49+'25'!J49+'26'!J49+'27'!J49+'28'!J49+'29'!J49+'30'!J49+'31.'!J49</f>
        <v>350</v>
      </c>
      <c r="K49" s="19"/>
      <c r="M49" s="53"/>
      <c r="U49" s="5"/>
    </row>
    <row r="50" spans="1:21" x14ac:dyDescent="0.55000000000000004">
      <c r="A50" s="10">
        <v>46</v>
      </c>
      <c r="B50" s="19" t="s">
        <v>61</v>
      </c>
      <c r="C50" s="47">
        <v>1</v>
      </c>
      <c r="D50" s="45">
        <f>+'1'!D50+'2'!D50+'3'!D50+'4'!D50+'5'!D50+'6'!D50+'7'!D50+'8'!D50+'9'!D50+'10'!D50+'11'!D50+'12'!D50+'13'!D50+'14'!D50+'15'!D50+'16'!D50+'17'!D50+'18'!D50+'19'!D50+'20'!D50+'21'!D50+'22'!D50+'23'!D50+'24'!D50+'25'!D50+'26'!D50+'27'!D50+'28'!D50+'29'!D50+'30'!D50+'31.'!D50</f>
        <v>8</v>
      </c>
      <c r="E50" s="44">
        <f t="shared" si="0"/>
        <v>9</v>
      </c>
      <c r="F50" s="45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1</v>
      </c>
      <c r="G50" s="44">
        <f t="shared" si="1"/>
        <v>0</v>
      </c>
      <c r="H50" s="45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8</v>
      </c>
      <c r="I50" s="20">
        <v>120</v>
      </c>
      <c r="J50" s="45">
        <f>+'1'!J50+'2'!J50+'3'!J50+'4'!J50+'5'!J50+'6'!J50+'7'!J50+'8'!J50+'9'!J50+'10'!J50+'11'!J50+'12'!J50+'13'!J50+'14'!J50+'15'!J50+'16'!J50+'17'!J50+'18'!J50+'19'!J50+'20'!J50+'21'!J50+'22'!J50+'23'!J50+'24'!J50+'25'!J50+'26'!J50+'27'!J50+'28'!J50+'29'!J50+'30'!J50+'31.'!J50</f>
        <v>960</v>
      </c>
      <c r="K50" s="19"/>
      <c r="M50" s="53"/>
      <c r="U50" s="5"/>
    </row>
    <row r="51" spans="1:21" x14ac:dyDescent="0.55000000000000004">
      <c r="A51" s="10">
        <v>47</v>
      </c>
      <c r="B51" s="19" t="s">
        <v>62</v>
      </c>
      <c r="C51" s="47">
        <f>+ยกมา!C59</f>
        <v>0</v>
      </c>
      <c r="D51" s="45">
        <f>+'1'!D51+'2'!D51+'3'!D51+'4'!D51+'5'!D51+'6'!D51+'7'!D51+'8'!D51+'9'!D51+'10'!D51+'11'!D51+'12'!D51+'13'!D51+'14'!D51+'15'!D51+'16'!D51+'17'!D51+'18'!D51+'19'!D51+'20'!D51+'21'!D51+'22'!D51+'23'!D51+'24'!D51+'25'!D51+'26'!D51+'27'!D51+'28'!D51+'29'!D51+'30'!D51+'31.'!D51</f>
        <v>5</v>
      </c>
      <c r="E51" s="44">
        <f t="shared" si="0"/>
        <v>5</v>
      </c>
      <c r="F51" s="45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1</v>
      </c>
      <c r="G51" s="44">
        <f t="shared" si="1"/>
        <v>0</v>
      </c>
      <c r="H51" s="45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4</v>
      </c>
      <c r="I51" s="20">
        <v>120</v>
      </c>
      <c r="J51" s="45">
        <f>+'1'!J51+'2'!J51+'3'!J51+'4'!J51+'5'!J51+'6'!J51+'7'!J51+'8'!J51+'9'!J51+'10'!J51+'11'!J51+'12'!J51+'13'!J51+'14'!J51+'15'!J51+'16'!J51+'17'!J51+'18'!J51+'19'!J51+'20'!J51+'21'!J51+'22'!J51+'23'!J51+'24'!J51+'25'!J51+'26'!J51+'27'!J51+'28'!J51+'29'!J51+'30'!J51+'31.'!J51</f>
        <v>480</v>
      </c>
      <c r="K51" s="19"/>
      <c r="M51" s="53"/>
      <c r="U51" s="5"/>
    </row>
    <row r="52" spans="1:21" x14ac:dyDescent="0.55000000000000004">
      <c r="A52" s="10">
        <v>48</v>
      </c>
      <c r="B52" s="19" t="s">
        <v>63</v>
      </c>
      <c r="C52" s="47">
        <v>3</v>
      </c>
      <c r="D52" s="45">
        <f>+'1'!D52+'2'!D52+'3'!D52+'4'!D52+'5'!D52+'6'!D52+'7'!D52+'8'!D52+'9'!D52+'10'!D52+'11'!D52+'12'!D52+'13'!D52+'14'!D52+'15'!D52+'16'!D52+'17'!D52+'18'!D52+'19'!D52+'20'!D52+'21'!D52+'22'!D52+'23'!D52+'24'!D52+'25'!D52+'26'!D52+'27'!D52+'28'!D52+'29'!D52+'30'!D52+'31.'!D52</f>
        <v>0</v>
      </c>
      <c r="E52" s="44">
        <f t="shared" si="0"/>
        <v>3</v>
      </c>
      <c r="F52" s="45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3</v>
      </c>
      <c r="G52" s="44">
        <f t="shared" si="1"/>
        <v>0</v>
      </c>
      <c r="H52" s="45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20">
        <v>120</v>
      </c>
      <c r="J52" s="45">
        <f>+'1'!J52+'2'!J52+'3'!J52+'4'!J52+'5'!J52+'6'!J52+'7'!J52+'8'!J52+'9'!J52+'10'!J52+'11'!J52+'12'!J52+'13'!J52+'14'!J52+'15'!J52+'16'!J52+'17'!J52+'18'!J52+'19'!J52+'20'!J52+'21'!J52+'22'!J52+'23'!J52+'24'!J52+'25'!J52+'26'!J52+'27'!J52+'28'!J52+'29'!J52+'30'!J52+'31.'!J52</f>
        <v>0</v>
      </c>
      <c r="K52" s="19"/>
      <c r="M52" s="53"/>
      <c r="U52" s="5"/>
    </row>
    <row r="53" spans="1:21" x14ac:dyDescent="0.55000000000000004">
      <c r="A53" s="10">
        <v>49</v>
      </c>
      <c r="B53" s="19" t="s">
        <v>64</v>
      </c>
      <c r="C53" s="47">
        <f>+ยกมา!C61</f>
        <v>0</v>
      </c>
      <c r="D53" s="45">
        <f>+'1'!D53+'2'!D53+'3'!D53+'4'!D53+'5'!D53+'6'!D53+'7'!D53+'8'!D53+'9'!D53+'10'!D53+'11'!D53+'12'!D53+'13'!D53+'14'!D53+'15'!D53+'16'!D53+'17'!D53+'18'!D53+'19'!D53+'20'!D53+'21'!D53+'22'!D53+'23'!D53+'24'!D53+'25'!D53+'26'!D53+'27'!D53+'28'!D53+'29'!D53+'30'!D53+'31.'!D53</f>
        <v>0</v>
      </c>
      <c r="E53" s="44">
        <f t="shared" si="0"/>
        <v>0</v>
      </c>
      <c r="F53" s="45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0</v>
      </c>
      <c r="G53" s="44">
        <f t="shared" si="1"/>
        <v>0</v>
      </c>
      <c r="H53" s="45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20">
        <v>120</v>
      </c>
      <c r="J53" s="45">
        <f>+'1'!J53+'2'!J53+'3'!J53+'4'!J53+'5'!J53+'6'!J53+'7'!J53+'8'!J53+'9'!J53+'10'!J53+'11'!J53+'12'!J53+'13'!J53+'14'!J53+'15'!J53+'16'!J53+'17'!J53+'18'!J53+'19'!J53+'20'!J53+'21'!J53+'22'!J53+'23'!J53+'24'!J53+'25'!J53+'26'!J53+'27'!J53+'28'!J53+'29'!J53+'30'!J53+'31.'!J53</f>
        <v>0</v>
      </c>
      <c r="K53" s="19"/>
      <c r="M53" s="53"/>
      <c r="U53" s="5"/>
    </row>
    <row r="54" spans="1:21" x14ac:dyDescent="0.55000000000000004">
      <c r="A54" s="10">
        <v>50</v>
      </c>
      <c r="B54" s="19" t="s">
        <v>65</v>
      </c>
      <c r="C54" s="47">
        <f>+ยกมา!C62</f>
        <v>0</v>
      </c>
      <c r="D54" s="45">
        <f>+'1'!D54+'2'!D54+'3'!D54+'4'!D54+'5'!D54+'6'!D54+'7'!D54+'8'!D54+'9'!D54+'10'!D54+'11'!D54+'12'!D54+'13'!D54+'14'!D54+'15'!D54+'16'!D54+'17'!D54+'18'!D54+'19'!D54+'20'!D54+'21'!D54+'22'!D54+'23'!D54+'24'!D54+'25'!D54+'26'!D54+'27'!D54+'28'!D54+'29'!D54+'30'!D54+'31.'!D54</f>
        <v>0</v>
      </c>
      <c r="E54" s="44">
        <f t="shared" si="0"/>
        <v>0</v>
      </c>
      <c r="F54" s="45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4">
        <f t="shared" si="1"/>
        <v>0</v>
      </c>
      <c r="H54" s="45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20">
        <v>120</v>
      </c>
      <c r="J54" s="45">
        <f>+'1'!J54+'2'!J54+'3'!J54+'4'!J54+'5'!J54+'6'!J54+'7'!J54+'8'!J54+'9'!J54+'10'!J54+'11'!J54+'12'!J54+'13'!J54+'14'!J54+'15'!J54+'16'!J54+'17'!J54+'18'!J54+'19'!J54+'20'!J54+'21'!J54+'22'!J54+'23'!J54+'24'!J54+'25'!J54+'26'!J54+'27'!J54+'28'!J54+'29'!J54+'30'!J54+'31.'!J54</f>
        <v>0</v>
      </c>
      <c r="K54" s="19"/>
      <c r="M54" s="53"/>
      <c r="U54" s="5"/>
    </row>
    <row r="55" spans="1:21" x14ac:dyDescent="0.55000000000000004">
      <c r="A55" s="10">
        <v>51</v>
      </c>
      <c r="B55" s="19" t="s">
        <v>66</v>
      </c>
      <c r="C55" s="47">
        <v>1</v>
      </c>
      <c r="D55" s="45">
        <f>+'1'!D55+'2'!D55+'3'!D55+'4'!D55+'5'!D55+'6'!D55+'7'!D55+'8'!D55+'9'!D55+'10'!D55+'11'!D55+'12'!D55+'13'!D55+'14'!D55+'15'!D55+'16'!D55+'17'!D55+'18'!D55+'19'!D55+'20'!D55+'21'!D55+'22'!D55+'23'!D55+'24'!D55+'25'!D55+'26'!D55+'27'!D55+'28'!D55+'29'!D55+'30'!D55+'31.'!D55</f>
        <v>7</v>
      </c>
      <c r="E55" s="44">
        <f t="shared" si="0"/>
        <v>8</v>
      </c>
      <c r="F55" s="45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2</v>
      </c>
      <c r="G55" s="44">
        <f t="shared" si="1"/>
        <v>0</v>
      </c>
      <c r="H55" s="45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6</v>
      </c>
      <c r="I55" s="20">
        <v>120</v>
      </c>
      <c r="J55" s="45">
        <f>+'1'!J55+'2'!J55+'3'!J55+'4'!J55+'5'!J55+'6'!J55+'7'!J55+'8'!J55+'9'!J55+'10'!J55+'11'!J55+'12'!J55+'13'!J55+'14'!J55+'15'!J55+'16'!J55+'17'!J55+'18'!J55+'19'!J55+'20'!J55+'21'!J55+'22'!J55+'23'!J55+'24'!J55+'25'!J55+'26'!J55+'27'!J55+'28'!J55+'29'!J55+'30'!J55+'31.'!J55</f>
        <v>720</v>
      </c>
      <c r="K55" s="19"/>
      <c r="M55" s="53"/>
      <c r="U55" s="5"/>
    </row>
    <row r="56" spans="1:21" x14ac:dyDescent="0.55000000000000004">
      <c r="A56" s="10">
        <v>52</v>
      </c>
      <c r="B56" s="19" t="s">
        <v>67</v>
      </c>
      <c r="C56" s="47">
        <f>+ยกมา!C64</f>
        <v>0</v>
      </c>
      <c r="D56" s="45">
        <f>+'1'!D56+'2'!D56+'3'!D56+'4'!D56+'5'!D56+'6'!D56+'7'!D56+'8'!D56+'9'!D56+'10'!D56+'11'!D56+'12'!D56+'13'!D56+'14'!D56+'15'!D56+'16'!D56+'17'!D56+'18'!D56+'19'!D56+'20'!D56+'21'!D56+'22'!D56+'23'!D56+'24'!D56+'25'!D56+'26'!D56+'27'!D56+'28'!D56+'29'!D56+'30'!D56+'31.'!D56</f>
        <v>2</v>
      </c>
      <c r="E56" s="44">
        <f t="shared" si="0"/>
        <v>2</v>
      </c>
      <c r="F56" s="45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4">
        <f t="shared" si="1"/>
        <v>1</v>
      </c>
      <c r="H56" s="45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1</v>
      </c>
      <c r="I56" s="20">
        <v>120</v>
      </c>
      <c r="J56" s="45">
        <f>+'1'!J56+'2'!J56+'3'!J56+'4'!J56+'5'!J56+'6'!J56+'7'!J56+'8'!J56+'9'!J56+'10'!J56+'11'!J56+'12'!J56+'13'!J56+'14'!J56+'15'!J56+'16'!J56+'17'!J56+'18'!J56+'19'!J56+'20'!J56+'21'!J56+'22'!J56+'23'!J56+'24'!J56+'25'!J56+'26'!J56+'27'!J56+'28'!J56+'29'!J56+'30'!J56+'31.'!J56</f>
        <v>120</v>
      </c>
      <c r="K56" s="19"/>
      <c r="M56" s="53"/>
      <c r="U56" s="5"/>
    </row>
    <row r="57" spans="1:21" x14ac:dyDescent="0.55000000000000004">
      <c r="A57" s="10">
        <v>53</v>
      </c>
      <c r="B57" s="19" t="s">
        <v>68</v>
      </c>
      <c r="C57" s="47">
        <v>4</v>
      </c>
      <c r="D57" s="45">
        <f>+'1'!D57+'2'!D57+'3'!D57+'4'!D57+'5'!D57+'6'!D57+'7'!D57+'8'!D57+'9'!D57+'10'!D57+'11'!D57+'12'!D57+'13'!D57+'14'!D57+'15'!D57+'16'!D57+'17'!D57+'18'!D57+'19'!D57+'20'!D57+'21'!D57+'22'!D57+'23'!D57+'24'!D57+'25'!D57+'26'!D57+'27'!D57+'28'!D57+'29'!D57+'30'!D57+'31.'!D57</f>
        <v>2</v>
      </c>
      <c r="E57" s="44">
        <f t="shared" si="0"/>
        <v>6</v>
      </c>
      <c r="F57" s="45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4</v>
      </c>
      <c r="G57" s="44">
        <f t="shared" si="1"/>
        <v>0</v>
      </c>
      <c r="H57" s="45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2</v>
      </c>
      <c r="I57" s="20">
        <v>120</v>
      </c>
      <c r="J57" s="45">
        <f>+'1'!J57+'2'!J57+'3'!J57+'4'!J57+'5'!J57+'6'!J57+'7'!J57+'8'!J57+'9'!J57+'10'!J57+'11'!J57+'12'!J57+'13'!J57+'14'!J57+'15'!J57+'16'!J57+'17'!J57+'18'!J57+'19'!J57+'20'!J57+'21'!J57+'22'!J57+'23'!J57+'24'!J57+'25'!J57+'26'!J57+'27'!J57+'28'!J57+'29'!J57+'30'!J57+'31.'!J57</f>
        <v>240</v>
      </c>
      <c r="K57" s="19"/>
      <c r="M57" s="53"/>
      <c r="U57" s="5"/>
    </row>
    <row r="58" spans="1:21" x14ac:dyDescent="0.55000000000000004">
      <c r="A58" s="10">
        <v>54</v>
      </c>
      <c r="B58" s="19" t="s">
        <v>69</v>
      </c>
      <c r="C58" s="47">
        <f>+ยกมา!C66</f>
        <v>9</v>
      </c>
      <c r="D58" s="45">
        <f>+'1'!D58+'2'!D58+'3'!D58+'4'!D58+'5'!D58+'6'!D58+'7'!D58+'8'!D58+'9'!D58+'10'!D58+'11'!D58+'12'!D58+'13'!D58+'14'!D58+'15'!D58+'16'!D58+'17'!D58+'18'!D58+'19'!D58+'20'!D58+'21'!D58+'22'!D58+'23'!D58+'24'!D58+'25'!D58+'26'!D58+'27'!D58+'28'!D58+'29'!D58+'30'!D58+'31.'!D58</f>
        <v>0</v>
      </c>
      <c r="E58" s="44">
        <f t="shared" si="0"/>
        <v>9</v>
      </c>
      <c r="F58" s="45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4">
        <f t="shared" si="1"/>
        <v>9</v>
      </c>
      <c r="H58" s="45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20">
        <v>120</v>
      </c>
      <c r="J58" s="45">
        <f>+'1'!J58+'2'!J58+'3'!J58+'4'!J58+'5'!J58+'6'!J58+'7'!J58+'8'!J58+'9'!J58+'10'!J58+'11'!J58+'12'!J58+'13'!J58+'14'!J58+'15'!J58+'16'!J58+'17'!J58+'18'!J58+'19'!J58+'20'!J58+'21'!J58+'22'!J58+'23'!J58+'24'!J58+'25'!J58+'26'!J58+'27'!J58+'28'!J58+'29'!J58+'30'!J58+'31.'!J58</f>
        <v>0</v>
      </c>
      <c r="K58" s="19"/>
      <c r="M58" s="53"/>
      <c r="U58" s="5"/>
    </row>
    <row r="59" spans="1:21" x14ac:dyDescent="0.55000000000000004">
      <c r="A59" s="10">
        <v>55</v>
      </c>
      <c r="B59" s="19" t="s">
        <v>70</v>
      </c>
      <c r="C59" s="47">
        <f>+ยกมา!C67</f>
        <v>3</v>
      </c>
      <c r="D59" s="45">
        <f>+'1'!D59+'2'!D59+'3'!D59+'4'!D59+'5'!D59+'6'!D59+'7'!D59+'8'!D59+'9'!D59+'10'!D59+'11'!D59+'12'!D59+'13'!D59+'14'!D59+'15'!D59+'16'!D59+'17'!D59+'18'!D59+'19'!D59+'20'!D59+'21'!D59+'22'!D59+'23'!D59+'24'!D59+'25'!D59+'26'!D59+'27'!D59+'28'!D59+'29'!D59+'30'!D59+'31.'!D59</f>
        <v>0</v>
      </c>
      <c r="E59" s="44">
        <f t="shared" si="0"/>
        <v>3</v>
      </c>
      <c r="F59" s="45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4">
        <f t="shared" si="1"/>
        <v>3</v>
      </c>
      <c r="H59" s="45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20">
        <v>70</v>
      </c>
      <c r="J59" s="45">
        <f>+'1'!J59+'2'!J59+'3'!J59+'4'!J59+'5'!J59+'6'!J59+'7'!J59+'8'!J59+'9'!J59+'10'!J59+'11'!J59+'12'!J59+'13'!J59+'14'!J59+'15'!J59+'16'!J59+'17'!J59+'18'!J59+'19'!J59+'20'!J59+'21'!J59+'22'!J59+'23'!J59+'24'!J59+'25'!J59+'26'!J59+'27'!J59+'28'!J59+'29'!J59+'30'!J59+'31.'!J59</f>
        <v>0</v>
      </c>
      <c r="K59" s="19"/>
      <c r="M59" s="53"/>
      <c r="U59" s="5"/>
    </row>
    <row r="60" spans="1:21" x14ac:dyDescent="0.55000000000000004">
      <c r="A60" s="10">
        <v>56</v>
      </c>
      <c r="B60" s="19" t="s">
        <v>71</v>
      </c>
      <c r="C60" s="47">
        <f>+ยกมา!C68</f>
        <v>0</v>
      </c>
      <c r="D60" s="45">
        <f>+'1'!D60+'2'!D60+'3'!D60+'4'!D60+'5'!D60+'6'!D60+'7'!D60+'8'!D60+'9'!D60+'10'!D60+'11'!D60+'12'!D60+'13'!D60+'14'!D60+'15'!D60+'16'!D60+'17'!D60+'18'!D60+'19'!D60+'20'!D60+'21'!D60+'22'!D60+'23'!D60+'24'!D60+'25'!D60+'26'!D60+'27'!D60+'28'!D60+'29'!D60+'30'!D60+'31.'!D60</f>
        <v>0</v>
      </c>
      <c r="E60" s="44">
        <f t="shared" si="0"/>
        <v>0</v>
      </c>
      <c r="F60" s="45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4">
        <f t="shared" si="1"/>
        <v>0</v>
      </c>
      <c r="H60" s="45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20">
        <v>80</v>
      </c>
      <c r="J60" s="45">
        <f>+'1'!J60+'2'!J60+'3'!J60+'4'!J60+'5'!J60+'6'!J60+'7'!J60+'8'!J60+'9'!J60+'10'!J60+'11'!J60+'12'!J60+'13'!J60+'14'!J60+'15'!J60+'16'!J60+'17'!J60+'18'!J60+'19'!J60+'20'!J60+'21'!J60+'22'!J60+'23'!J60+'24'!J60+'25'!J60+'26'!J60+'27'!J60+'28'!J60+'29'!J60+'30'!J60+'31.'!J60</f>
        <v>0</v>
      </c>
      <c r="K60" s="19"/>
      <c r="M60" s="53"/>
      <c r="U60" s="5"/>
    </row>
    <row r="61" spans="1:21" x14ac:dyDescent="0.55000000000000004">
      <c r="A61" s="10">
        <v>57</v>
      </c>
      <c r="B61" s="19" t="s">
        <v>72</v>
      </c>
      <c r="C61" s="47">
        <f>+ยกมา!C69</f>
        <v>0</v>
      </c>
      <c r="D61" s="45">
        <f>+'1'!D61+'2'!D61+'3'!D61+'4'!D61+'5'!D61+'6'!D61+'7'!D61+'8'!D61+'9'!D61+'10'!D61+'11'!D61+'12'!D61+'13'!D61+'14'!D61+'15'!D61+'16'!D61+'17'!D61+'18'!D61+'19'!D61+'20'!D61+'21'!D61+'22'!D61+'23'!D61+'24'!D61+'25'!D61+'26'!D61+'27'!D61+'28'!D61+'29'!D61+'30'!D61+'31.'!D61</f>
        <v>2</v>
      </c>
      <c r="E61" s="44">
        <f t="shared" si="0"/>
        <v>2</v>
      </c>
      <c r="F61" s="45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4">
        <f t="shared" si="1"/>
        <v>1</v>
      </c>
      <c r="H61" s="45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1</v>
      </c>
      <c r="I61" s="20">
        <v>50</v>
      </c>
      <c r="J61" s="45">
        <f>+'1'!J61+'2'!J61+'3'!J61+'4'!J61+'5'!J61+'6'!J61+'7'!J61+'8'!J61+'9'!J61+'10'!J61+'11'!J61+'12'!J61+'13'!J61+'14'!J61+'15'!J61+'16'!J61+'17'!J61+'18'!J61+'19'!J61+'20'!J61+'21'!J61+'22'!J61+'23'!J61+'24'!J61+'25'!J61+'26'!J61+'27'!J61+'28'!J61+'29'!J61+'30'!J61+'31.'!J61</f>
        <v>50</v>
      </c>
      <c r="K61" s="19"/>
      <c r="M61" s="53"/>
      <c r="U61" s="5"/>
    </row>
    <row r="62" spans="1:21" x14ac:dyDescent="0.55000000000000004">
      <c r="A62" s="10">
        <v>58</v>
      </c>
      <c r="B62" s="19" t="s">
        <v>73</v>
      </c>
      <c r="C62" s="47">
        <f>+ยกมา!C70</f>
        <v>7</v>
      </c>
      <c r="D62" s="45">
        <f>+'1'!D62+'2'!D62+'3'!D62+'4'!D62+'5'!D62+'6'!D62+'7'!D62+'8'!D62+'9'!D62+'10'!D62+'11'!D62+'12'!D62+'13'!D62+'14'!D62+'15'!D62+'16'!D62+'17'!D62+'18'!D62+'19'!D62+'20'!D62+'21'!D62+'22'!D62+'23'!D62+'24'!D62+'25'!D62+'26'!D62+'27'!D62+'28'!D62+'29'!D62+'30'!D62+'31.'!D62</f>
        <v>20</v>
      </c>
      <c r="E62" s="44">
        <f t="shared" si="0"/>
        <v>27</v>
      </c>
      <c r="F62" s="45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1</v>
      </c>
      <c r="G62" s="44">
        <f t="shared" si="1"/>
        <v>14</v>
      </c>
      <c r="H62" s="45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12</v>
      </c>
      <c r="I62" s="20">
        <v>50</v>
      </c>
      <c r="J62" s="45">
        <f>+'1'!J62+'2'!J62+'3'!J62+'4'!J62+'5'!J62+'6'!J62+'7'!J62+'8'!J62+'9'!J62+'10'!J62+'11'!J62+'12'!J62+'13'!J62+'14'!J62+'15'!J62+'16'!J62+'17'!J62+'18'!J62+'19'!J62+'20'!J62+'21'!J62+'22'!J62+'23'!J62+'24'!J62+'25'!J62+'26'!J62+'27'!J62+'28'!J62+'29'!J62+'30'!J62+'31.'!J62</f>
        <v>600</v>
      </c>
      <c r="K62" s="19"/>
      <c r="M62" s="53"/>
      <c r="U62" s="5"/>
    </row>
    <row r="63" spans="1:21" x14ac:dyDescent="0.55000000000000004">
      <c r="A63" s="10">
        <v>59</v>
      </c>
      <c r="B63" s="19" t="s">
        <v>74</v>
      </c>
      <c r="C63" s="47">
        <f>+ยกมา!C71</f>
        <v>3</v>
      </c>
      <c r="D63" s="45">
        <f>+'1'!D63+'2'!D63+'3'!D63+'4'!D63+'5'!D63+'6'!D63+'7'!D63+'8'!D63+'9'!D63+'10'!D63+'11'!D63+'12'!D63+'13'!D63+'14'!D63+'15'!D63+'16'!D63+'17'!D63+'18'!D63+'19'!D63+'20'!D63+'21'!D63+'22'!D63+'23'!D63+'24'!D63+'25'!D63+'26'!D63+'27'!D63+'28'!D63+'29'!D63+'30'!D63+'31.'!D63</f>
        <v>0</v>
      </c>
      <c r="E63" s="44">
        <f t="shared" si="0"/>
        <v>3</v>
      </c>
      <c r="F63" s="45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4">
        <f t="shared" si="1"/>
        <v>3</v>
      </c>
      <c r="H63" s="45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20">
        <v>50</v>
      </c>
      <c r="J63" s="45">
        <f>+'1'!J63+'2'!J63+'3'!J63+'4'!J63+'5'!J63+'6'!J63+'7'!J63+'8'!J63+'9'!J63+'10'!J63+'11'!J63+'12'!J63+'13'!J63+'14'!J63+'15'!J63+'16'!J63+'17'!J63+'18'!J63+'19'!J63+'20'!J63+'21'!J63+'22'!J63+'23'!J63+'24'!J63+'25'!J63+'26'!J63+'27'!J63+'28'!J63+'29'!J63+'30'!J63+'31.'!J63</f>
        <v>0</v>
      </c>
      <c r="K63" s="19"/>
      <c r="M63" s="53"/>
      <c r="U63" s="5"/>
    </row>
    <row r="64" spans="1:21" x14ac:dyDescent="0.55000000000000004">
      <c r="A64" s="10">
        <v>60</v>
      </c>
      <c r="B64" s="19" t="s">
        <v>75</v>
      </c>
      <c r="C64" s="47">
        <f>+ยกมา!C72</f>
        <v>0</v>
      </c>
      <c r="D64" s="45">
        <f>+'1'!D64+'2'!D64+'3'!D64+'4'!D64+'5'!D64+'6'!D64+'7'!D64+'8'!D64+'9'!D64+'10'!D64+'11'!D64+'12'!D64+'13'!D64+'14'!D64+'15'!D64+'16'!D64+'17'!D64+'18'!D64+'19'!D64+'20'!D64+'21'!D64+'22'!D64+'23'!D64+'24'!D64+'25'!D64+'26'!D64+'27'!D64+'28'!D64+'29'!D64+'30'!D64+'31.'!D64</f>
        <v>0</v>
      </c>
      <c r="E64" s="44">
        <f t="shared" si="0"/>
        <v>0</v>
      </c>
      <c r="F64" s="45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4">
        <f t="shared" si="1"/>
        <v>0</v>
      </c>
      <c r="H64" s="45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20">
        <v>30</v>
      </c>
      <c r="J64" s="45">
        <f>+'1'!J64+'2'!J64+'3'!J64+'4'!J64+'5'!J64+'6'!J64+'7'!J64+'8'!J64+'9'!J64+'10'!J64+'11'!J64+'12'!J64+'13'!J64+'14'!J64+'15'!J64+'16'!J64+'17'!J64+'18'!J64+'19'!J64+'20'!J64+'21'!J64+'22'!J64+'23'!J64+'24'!J64+'25'!J64+'26'!J64+'27'!J64+'28'!J64+'29'!J64+'30'!J64+'31.'!J64</f>
        <v>0</v>
      </c>
      <c r="K64" s="19"/>
      <c r="M64" s="53"/>
      <c r="U64" s="5"/>
    </row>
    <row r="65" spans="1:21" x14ac:dyDescent="0.55000000000000004">
      <c r="A65" s="10">
        <v>61</v>
      </c>
      <c r="B65" s="19" t="s">
        <v>76</v>
      </c>
      <c r="C65" s="47">
        <f>+ยกมา!C73</f>
        <v>0</v>
      </c>
      <c r="D65" s="45">
        <f>+'1'!D65+'2'!D65+'3'!D65+'4'!D65+'5'!D65+'6'!D65+'7'!D65+'8'!D65+'9'!D65+'10'!D65+'11'!D65+'12'!D65+'13'!D65+'14'!D65+'15'!D65+'16'!D65+'17'!D65+'18'!D65+'19'!D65+'20'!D65+'21'!D65+'22'!D65+'23'!D65+'24'!D65+'25'!D65+'26'!D65+'27'!D65+'28'!D65+'29'!D65+'30'!D65+'31.'!D65</f>
        <v>0</v>
      </c>
      <c r="E65" s="44">
        <f t="shared" si="0"/>
        <v>0</v>
      </c>
      <c r="F65" s="45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4">
        <f t="shared" si="1"/>
        <v>0</v>
      </c>
      <c r="H65" s="45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20">
        <v>30</v>
      </c>
      <c r="J65" s="45">
        <f>+'1'!J65+'2'!J65+'3'!J65+'4'!J65+'5'!J65+'6'!J65+'7'!J65+'8'!J65+'9'!J65+'10'!J65+'11'!J65+'12'!J65+'13'!J65+'14'!J65+'15'!J65+'16'!J65+'17'!J65+'18'!J65+'19'!J65+'20'!J65+'21'!J65+'22'!J65+'23'!J65+'24'!J65+'25'!J65+'26'!J65+'27'!J65+'28'!J65+'29'!J65+'30'!J65+'31.'!J65</f>
        <v>0</v>
      </c>
      <c r="K65" s="19"/>
      <c r="M65" s="53"/>
      <c r="U65" s="5"/>
    </row>
    <row r="66" spans="1:21" x14ac:dyDescent="0.55000000000000004">
      <c r="A66" s="10">
        <v>62</v>
      </c>
      <c r="B66" s="19" t="s">
        <v>77</v>
      </c>
      <c r="C66" s="47">
        <v>12</v>
      </c>
      <c r="D66" s="45">
        <f>+'1'!D66+'2'!D66+'3'!D66+'4'!D66+'5'!D66+'6'!D66+'7'!D66+'8'!D66+'9'!D66+'10'!D66+'11'!D66+'12'!D66+'13'!D66+'14'!D66+'15'!D66+'16'!D66+'17'!D66+'18'!D66+'19'!D66+'20'!D66+'21'!D66+'22'!D66+'23'!D66+'24'!D66+'25'!D66+'26'!D66+'27'!D66+'28'!D66+'29'!D66+'30'!D66+'31.'!D66</f>
        <v>17</v>
      </c>
      <c r="E66" s="44">
        <f t="shared" si="0"/>
        <v>29</v>
      </c>
      <c r="F66" s="45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4">
        <f t="shared" si="1"/>
        <v>0</v>
      </c>
      <c r="H66" s="45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29</v>
      </c>
      <c r="I66" s="20">
        <v>50</v>
      </c>
      <c r="J66" s="45">
        <f>+'1'!J66+'2'!J66+'3'!J66+'4'!J66+'5'!J66+'6'!J66+'7'!J66+'8'!J66+'9'!J66+'10'!J66+'11'!J66+'12'!J66+'13'!J66+'14'!J66+'15'!J66+'16'!J66+'17'!J66+'18'!J66+'19'!J66+'20'!J66+'21'!J66+'22'!J66+'23'!J66+'24'!J66+'25'!J66+'26'!J66+'27'!J66+'28'!J66+'29'!J66+'30'!J66+'31.'!J66</f>
        <v>1450</v>
      </c>
      <c r="K66" s="19"/>
      <c r="M66" s="53"/>
      <c r="U66" s="5"/>
    </row>
    <row r="67" spans="1:21" x14ac:dyDescent="0.55000000000000004">
      <c r="A67" s="10">
        <v>63</v>
      </c>
      <c r="B67" s="19" t="s">
        <v>78</v>
      </c>
      <c r="C67" s="47">
        <f>+ยกมา!C75</f>
        <v>0</v>
      </c>
      <c r="D67" s="45">
        <f>+'1'!D67+'2'!D67+'3'!D67+'4'!D67+'5'!D67+'6'!D67+'7'!D67+'8'!D67+'9'!D67+'10'!D67+'11'!D67+'12'!D67+'13'!D67+'14'!D67+'15'!D67+'16'!D67+'17'!D67+'18'!D67+'19'!D67+'20'!D67+'21'!D67+'22'!D67+'23'!D67+'24'!D67+'25'!D67+'26'!D67+'27'!D67+'28'!D67+'29'!D67+'30'!D67+'31.'!D67</f>
        <v>33</v>
      </c>
      <c r="E67" s="44">
        <f t="shared" si="0"/>
        <v>33</v>
      </c>
      <c r="F67" s="45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4">
        <f t="shared" si="1"/>
        <v>7</v>
      </c>
      <c r="H67" s="45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26</v>
      </c>
      <c r="I67" s="20">
        <v>50</v>
      </c>
      <c r="J67" s="45">
        <f>+'1'!J67+'2'!J67+'3'!J67+'4'!J67+'5'!J67+'6'!J67+'7'!J67+'8'!J67+'9'!J67+'10'!J67+'11'!J67+'12'!J67+'13'!J67+'14'!J67+'15'!J67+'16'!J67+'17'!J67+'18'!J67+'19'!J67+'20'!J67+'21'!J67+'22'!J67+'23'!J67+'24'!J67+'25'!J67+'26'!J67+'27'!J67+'28'!J67+'29'!J67+'30'!J67+'31.'!J67</f>
        <v>1300</v>
      </c>
      <c r="K67" s="19"/>
      <c r="M67" s="53"/>
      <c r="U67" s="5"/>
    </row>
    <row r="68" spans="1:21" x14ac:dyDescent="0.55000000000000004">
      <c r="A68" s="10">
        <v>64</v>
      </c>
      <c r="B68" s="19" t="s">
        <v>79</v>
      </c>
      <c r="C68" s="47">
        <f>+ยกมา!C76</f>
        <v>0</v>
      </c>
      <c r="D68" s="45">
        <f>+'1'!D68+'2'!D68+'3'!D68+'4'!D68+'5'!D68+'6'!D68+'7'!D68+'8'!D68+'9'!D68+'10'!D68+'11'!D68+'12'!D68+'13'!D68+'14'!D68+'15'!D68+'16'!D68+'17'!D68+'18'!D68+'19'!D68+'20'!D68+'21'!D68+'22'!D68+'23'!D68+'24'!D68+'25'!D68+'26'!D68+'27'!D68+'28'!D68+'29'!D68+'30'!D68+'31.'!D68</f>
        <v>0</v>
      </c>
      <c r="E68" s="44">
        <f t="shared" si="0"/>
        <v>0</v>
      </c>
      <c r="F68" s="45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4">
        <f t="shared" si="1"/>
        <v>0</v>
      </c>
      <c r="H68" s="45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20">
        <v>35</v>
      </c>
      <c r="J68" s="45">
        <f>+'1'!J68+'2'!J68+'3'!J68+'4'!J68+'5'!J68+'6'!J68+'7'!J68+'8'!J68+'9'!J68+'10'!J68+'11'!J68+'12'!J68+'13'!J68+'14'!J68+'15'!J68+'16'!J68+'17'!J68+'18'!J68+'19'!J68+'20'!J68+'21'!J68+'22'!J68+'23'!J68+'24'!J68+'25'!J68+'26'!J68+'27'!J68+'28'!J68+'29'!J68+'30'!J68+'31.'!J68</f>
        <v>0</v>
      </c>
      <c r="K68" s="19"/>
      <c r="M68" s="53"/>
      <c r="U68" s="5"/>
    </row>
    <row r="69" spans="1:21" x14ac:dyDescent="0.55000000000000004">
      <c r="A69" s="10">
        <v>65</v>
      </c>
      <c r="B69" s="19" t="s">
        <v>80</v>
      </c>
      <c r="C69" s="47">
        <f>+ยกมา!C78</f>
        <v>1</v>
      </c>
      <c r="D69" s="45">
        <f>+'1'!D69+'2'!D69+'3'!D69+'4'!D69+'5'!D69+'6'!D69+'7'!D69+'8'!D69+'9'!D69+'10'!D69+'11'!D69+'12'!D69+'13'!D69+'14'!D69+'15'!D69+'16'!D69+'17'!D69+'18'!D69+'19'!D69+'20'!D69+'21'!D69+'22'!D69+'23'!D69+'24'!D69+'25'!D69+'26'!D69+'27'!D69+'28'!D69+'29'!D69+'30'!D69+'31.'!D69</f>
        <v>0</v>
      </c>
      <c r="E69" s="44">
        <f t="shared" ref="E69:E133" si="5">+C69+D69</f>
        <v>1</v>
      </c>
      <c r="F69" s="45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4">
        <f t="shared" ref="G69:G133" si="6">C69+D69-F69-H69</f>
        <v>1</v>
      </c>
      <c r="H69" s="45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20">
        <v>25</v>
      </c>
      <c r="J69" s="45">
        <f>+'1'!J69+'2'!J69+'3'!J69+'4'!J69+'5'!J69+'6'!J69+'7'!J69+'8'!J69+'9'!J69+'10'!J69+'11'!J69+'12'!J69+'13'!J69+'14'!J69+'15'!J69+'16'!J69+'17'!J69+'18'!J69+'19'!J69+'20'!J69+'21'!J69+'22'!J69+'23'!J69+'24'!J69+'25'!J69+'26'!J69+'27'!J69+'28'!J69+'29'!J69+'30'!J69+'31.'!J69</f>
        <v>0</v>
      </c>
      <c r="K69" s="19"/>
      <c r="M69" s="53"/>
      <c r="U69" s="5"/>
    </row>
    <row r="70" spans="1:21" x14ac:dyDescent="0.55000000000000004">
      <c r="A70" s="10">
        <v>66</v>
      </c>
      <c r="B70" s="19" t="s">
        <v>81</v>
      </c>
      <c r="C70" s="47">
        <v>1</v>
      </c>
      <c r="D70" s="45">
        <f>+'1'!D70+'2'!D70+'3'!D70+'4'!D70+'5'!D70+'6'!D70+'7'!D70+'8'!D70+'9'!D70+'10'!D70+'11'!D70+'12'!D70+'13'!D70+'14'!D70+'15'!D70+'16'!D70+'17'!D70+'18'!D70+'19'!D70+'20'!D70+'21'!D70+'22'!D70+'23'!D70+'24'!D70+'25'!D70+'26'!D70+'27'!D70+'28'!D70+'29'!D70+'30'!D70+'31.'!D70</f>
        <v>30</v>
      </c>
      <c r="E70" s="44">
        <f t="shared" si="5"/>
        <v>31</v>
      </c>
      <c r="F70" s="45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5</v>
      </c>
      <c r="G70" s="44">
        <f t="shared" si="6"/>
        <v>0</v>
      </c>
      <c r="H70" s="45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26</v>
      </c>
      <c r="I70" s="20">
        <v>50</v>
      </c>
      <c r="J70" s="45">
        <f>+'1'!J70+'2'!J70+'3'!J70+'4'!J70+'5'!J70+'6'!J70+'7'!J70+'8'!J70+'9'!J70+'10'!J70+'11'!J70+'12'!J70+'13'!J70+'14'!J70+'15'!J70+'16'!J70+'17'!J70+'18'!J70+'19'!J70+'20'!J70+'21'!J70+'22'!J70+'23'!J70+'24'!J70+'25'!J70+'26'!J70+'27'!J70+'28'!J70+'29'!J70+'30'!J70+'31.'!J70</f>
        <v>1300</v>
      </c>
      <c r="K70" s="19"/>
      <c r="M70" s="53"/>
      <c r="U70" s="5"/>
    </row>
    <row r="71" spans="1:21" x14ac:dyDescent="0.55000000000000004">
      <c r="A71" s="10">
        <v>67</v>
      </c>
      <c r="B71" s="19" t="s">
        <v>82</v>
      </c>
      <c r="C71" s="47">
        <v>1</v>
      </c>
      <c r="D71" s="45">
        <f>+'1'!D71+'2'!D71+'3'!D71+'4'!D71+'5'!D71+'6'!D71+'7'!D71+'8'!D71+'9'!D71+'10'!D71+'11'!D71+'12'!D71+'13'!D71+'14'!D71+'15'!D71+'16'!D71+'17'!D71+'18'!D71+'19'!D71+'20'!D71+'21'!D71+'22'!D71+'23'!D71+'24'!D71+'25'!D71+'26'!D71+'27'!D71+'28'!D71+'29'!D71+'30'!D71+'31.'!D71</f>
        <v>25</v>
      </c>
      <c r="E71" s="44">
        <f t="shared" si="5"/>
        <v>26</v>
      </c>
      <c r="F71" s="45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3</v>
      </c>
      <c r="G71" s="44">
        <f t="shared" si="6"/>
        <v>0</v>
      </c>
      <c r="H71" s="45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23</v>
      </c>
      <c r="I71" s="20">
        <v>60</v>
      </c>
      <c r="J71" s="45">
        <f>+'1'!J71+'2'!J71+'3'!J71+'4'!J71+'5'!J71+'6'!J71+'7'!J71+'8'!J71+'9'!J71+'10'!J71+'11'!J71+'12'!J71+'13'!J71+'14'!J71+'15'!J71+'16'!J71+'17'!J71+'18'!J71+'19'!J71+'20'!J71+'21'!J71+'22'!J71+'23'!J71+'24'!J71+'25'!J71+'26'!J71+'27'!J71+'28'!J71+'29'!J71+'30'!J71+'31.'!J71</f>
        <v>1380</v>
      </c>
      <c r="K71" s="19"/>
      <c r="M71" s="53"/>
      <c r="U71" s="5"/>
    </row>
    <row r="72" spans="1:21" x14ac:dyDescent="0.55000000000000004">
      <c r="A72" s="10">
        <v>68</v>
      </c>
      <c r="B72" s="19" t="s">
        <v>83</v>
      </c>
      <c r="C72" s="47">
        <f>+ยกมา!C81</f>
        <v>0</v>
      </c>
      <c r="D72" s="45">
        <f>+'1'!D72+'2'!D72+'3'!D72+'4'!D72+'5'!D72+'6'!D72+'7'!D72+'8'!D72+'9'!D72+'10'!D72+'11'!D72+'12'!D72+'13'!D72+'14'!D72+'15'!D72+'16'!D72+'17'!D72+'18'!D72+'19'!D72+'20'!D72+'21'!D72+'22'!D72+'23'!D72+'24'!D72+'25'!D72+'26'!D72+'27'!D72+'28'!D72+'29'!D72+'30'!D72+'31.'!D72</f>
        <v>0</v>
      </c>
      <c r="E72" s="44">
        <f t="shared" si="5"/>
        <v>0</v>
      </c>
      <c r="F72" s="45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4">
        <f t="shared" si="6"/>
        <v>0</v>
      </c>
      <c r="H72" s="45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20">
        <v>50</v>
      </c>
      <c r="J72" s="45">
        <f>+'1'!J72+'2'!J72+'3'!J72+'4'!J72+'5'!J72+'6'!J72+'7'!J72+'8'!J72+'9'!J72+'10'!J72+'11'!J72+'12'!J72+'13'!J72+'14'!J72+'15'!J72+'16'!J72+'17'!J72+'18'!J72+'19'!J72+'20'!J72+'21'!J72+'22'!J72+'23'!J72+'24'!J72+'25'!J72+'26'!J72+'27'!J72+'28'!J72+'29'!J72+'30'!J72+'31.'!J72</f>
        <v>0</v>
      </c>
      <c r="K72" s="19"/>
      <c r="M72" s="53"/>
      <c r="U72" s="5"/>
    </row>
    <row r="73" spans="1:21" x14ac:dyDescent="0.55000000000000004">
      <c r="A73" s="10">
        <v>69</v>
      </c>
      <c r="B73" s="19" t="s">
        <v>84</v>
      </c>
      <c r="C73" s="47">
        <f>+ยกมา!C82</f>
        <v>2</v>
      </c>
      <c r="D73" s="45">
        <f>+'1'!D73+'2'!D73+'3'!D73+'4'!D73+'5'!D73+'6'!D73+'7'!D73+'8'!D73+'9'!D73+'10'!D73+'11'!D73+'12'!D73+'13'!D73+'14'!D73+'15'!D73+'16'!D73+'17'!D73+'18'!D73+'19'!D73+'20'!D73+'21'!D73+'22'!D73+'23'!D73+'24'!D73+'25'!D73+'26'!D73+'27'!D73+'28'!D73+'29'!D73+'30'!D73+'31.'!D73</f>
        <v>0</v>
      </c>
      <c r="E73" s="44">
        <f t="shared" si="5"/>
        <v>2</v>
      </c>
      <c r="F73" s="45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4">
        <f t="shared" si="6"/>
        <v>2</v>
      </c>
      <c r="H73" s="45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20">
        <v>60</v>
      </c>
      <c r="J73" s="45">
        <f>+'1'!J73+'2'!J73+'3'!J73+'4'!J73+'5'!J73+'6'!J73+'7'!J73+'8'!J73+'9'!J73+'10'!J73+'11'!J73+'12'!J73+'13'!J73+'14'!J73+'15'!J73+'16'!J73+'17'!J73+'18'!J73+'19'!J73+'20'!J73+'21'!J73+'22'!J73+'23'!J73+'24'!J73+'25'!J73+'26'!J73+'27'!J73+'28'!J73+'29'!J73+'30'!J73+'31.'!J73</f>
        <v>0</v>
      </c>
      <c r="K73" s="19"/>
      <c r="M73" s="53"/>
      <c r="U73" s="5"/>
    </row>
    <row r="74" spans="1:21" x14ac:dyDescent="0.55000000000000004">
      <c r="A74" s="10">
        <v>70</v>
      </c>
      <c r="B74" s="19" t="s">
        <v>85</v>
      </c>
      <c r="C74" s="47">
        <f>+ยกมา!C83</f>
        <v>0</v>
      </c>
      <c r="D74" s="45">
        <f>+'1'!D74+'2'!D74+'3'!D74+'4'!D74+'5'!D74+'6'!D74+'7'!D74+'8'!D74+'9'!D74+'10'!D74+'11'!D74+'12'!D74+'13'!D74+'14'!D74+'15'!D74+'16'!D74+'17'!D74+'18'!D74+'19'!D74+'20'!D74+'21'!D74+'22'!D74+'23'!D74+'24'!D74+'25'!D74+'26'!D74+'27'!D74+'28'!D74+'29'!D74+'30'!D74+'31.'!D74</f>
        <v>20</v>
      </c>
      <c r="E74" s="44">
        <f t="shared" si="5"/>
        <v>20</v>
      </c>
      <c r="F74" s="45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4" s="44">
        <f t="shared" si="6"/>
        <v>0</v>
      </c>
      <c r="H74" s="45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20</v>
      </c>
      <c r="I74" s="20">
        <v>120</v>
      </c>
      <c r="J74" s="45">
        <f>+'1'!J74+'2'!J74+'3'!J74+'4'!J74+'5'!J74+'6'!J74+'7'!J74+'8'!J74+'9'!J74+'10'!J74+'11'!J74+'12'!J74+'13'!J74+'14'!J74+'15'!J74+'16'!J74+'17'!J74+'18'!J74+'19'!J74+'20'!J74+'21'!J74+'22'!J74+'23'!J74+'24'!J74+'25'!J74+'26'!J74+'27'!J74+'28'!J74+'29'!J74+'30'!J74+'31.'!J74</f>
        <v>2400</v>
      </c>
      <c r="K74" s="19"/>
      <c r="M74" s="53"/>
      <c r="U74" s="5"/>
    </row>
    <row r="75" spans="1:21" x14ac:dyDescent="0.55000000000000004">
      <c r="A75" s="10">
        <v>71</v>
      </c>
      <c r="B75" s="19" t="s">
        <v>86</v>
      </c>
      <c r="C75" s="47">
        <f>+ยกมา!C84</f>
        <v>0</v>
      </c>
      <c r="D75" s="45">
        <f>+'1'!D75+'2'!D75+'3'!D75+'4'!D75+'5'!D75+'6'!D75+'7'!D75+'8'!D75+'9'!D75+'10'!D75+'11'!D75+'12'!D75+'13'!D75+'14'!D75+'15'!D75+'16'!D75+'17'!D75+'18'!D75+'19'!D75+'20'!D75+'21'!D75+'22'!D75+'23'!D75+'24'!D75+'25'!D75+'26'!D75+'27'!D75+'28'!D75+'29'!D75+'30'!D75+'31.'!D75</f>
        <v>0</v>
      </c>
      <c r="E75" s="44">
        <f t="shared" si="5"/>
        <v>0</v>
      </c>
      <c r="F75" s="45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4">
        <f t="shared" si="6"/>
        <v>0</v>
      </c>
      <c r="H75" s="45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20">
        <v>60</v>
      </c>
      <c r="J75" s="45">
        <f>+'1'!J75+'2'!J75+'3'!J75+'4'!J75+'5'!J75+'6'!J75+'7'!J75+'8'!J75+'9'!J75+'10'!J75+'11'!J75+'12'!J75+'13'!J75+'14'!J75+'15'!J75+'16'!J75+'17'!J75+'18'!J75+'19'!J75+'20'!J75+'21'!J75+'22'!J75+'23'!J75+'24'!J75+'25'!J75+'26'!J75+'27'!J75+'28'!J75+'29'!J75+'30'!J75+'31.'!J75</f>
        <v>0</v>
      </c>
      <c r="K75" s="19"/>
      <c r="M75" s="53"/>
      <c r="U75" s="5"/>
    </row>
    <row r="76" spans="1:21" x14ac:dyDescent="0.55000000000000004">
      <c r="A76" s="10">
        <v>72</v>
      </c>
      <c r="B76" s="19" t="s">
        <v>87</v>
      </c>
      <c r="C76" s="47">
        <f>+ยกมา!C85</f>
        <v>0</v>
      </c>
      <c r="D76" s="45">
        <f>+'1'!D76+'2'!D76+'3'!D76+'4'!D76+'5'!D76+'6'!D76+'7'!D76+'8'!D76+'9'!D76+'10'!D76+'11'!D76+'12'!D76+'13'!D76+'14'!D76+'15'!D76+'16'!D76+'17'!D76+'18'!D76+'19'!D76+'20'!D76+'21'!D76+'22'!D76+'23'!D76+'24'!D76+'25'!D76+'26'!D76+'27'!D76+'28'!D76+'29'!D76+'30'!D76+'31.'!D76</f>
        <v>0</v>
      </c>
      <c r="E76" s="44">
        <f t="shared" si="5"/>
        <v>0</v>
      </c>
      <c r="F76" s="45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4">
        <f t="shared" si="6"/>
        <v>0</v>
      </c>
      <c r="H76" s="45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20">
        <v>120</v>
      </c>
      <c r="J76" s="45">
        <f>+'1'!J76+'2'!J76+'3'!J76+'4'!J76+'5'!J76+'6'!J76+'7'!J76+'8'!J76+'9'!J76+'10'!J76+'11'!J76+'12'!J76+'13'!J76+'14'!J76+'15'!J76+'16'!J76+'17'!J76+'18'!J76+'19'!J76+'20'!J76+'21'!J76+'22'!J76+'23'!J76+'24'!J76+'25'!J76+'26'!J76+'27'!J76+'28'!J76+'29'!J76+'30'!J76+'31.'!J76</f>
        <v>0</v>
      </c>
      <c r="K76" s="19"/>
      <c r="M76" s="53"/>
      <c r="U76" s="5"/>
    </row>
    <row r="77" spans="1:21" x14ac:dyDescent="0.55000000000000004">
      <c r="A77" s="10">
        <v>73</v>
      </c>
      <c r="B77" s="19" t="s">
        <v>272</v>
      </c>
      <c r="C77" s="47">
        <v>2</v>
      </c>
      <c r="D77" s="45">
        <f>+'1'!D77+'2'!D77+'3'!D77+'4'!D77+'5'!D77+'6'!D77+'7'!D77+'8'!D77+'9'!D77+'10'!D77+'11'!D77+'12'!D77+'13'!D77+'14'!D77+'15'!D77+'16'!D77+'17'!D77+'18'!D77+'19'!D77+'20'!D77+'21'!D77+'22'!D77+'23'!D77+'24'!D77+'25'!D77+'26'!D77+'27'!D77+'28'!D77+'29'!D77+'30'!D77+'31.'!D77</f>
        <v>16</v>
      </c>
      <c r="E77" s="44">
        <f>+C77+D77</f>
        <v>18</v>
      </c>
      <c r="F77" s="45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1</v>
      </c>
      <c r="G77" s="44">
        <f>C77+D77-F77-H77</f>
        <v>0</v>
      </c>
      <c r="H77" s="45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17</v>
      </c>
      <c r="I77" s="20">
        <v>50</v>
      </c>
      <c r="J77" s="45">
        <f>+'1'!J77+'2'!J77+'3'!J77+'4'!J77+'5'!J77+'6'!J77+'7'!J77+'8'!J77+'9'!J77+'10'!J77+'11'!J77+'12'!J77+'13'!J77+'14'!J77+'15'!J77+'16'!J77+'17'!J77+'18'!J77+'19'!J77+'20'!J77+'21'!J77+'22'!J77+'23'!J77+'24'!J77+'25'!J77+'26'!J77+'27'!J77+'28'!J77+'29'!J77+'30'!J77+'31.'!J77</f>
        <v>850</v>
      </c>
      <c r="K77" s="19"/>
      <c r="M77" s="53"/>
      <c r="U77" s="5"/>
    </row>
    <row r="78" spans="1:21" x14ac:dyDescent="0.55000000000000004">
      <c r="A78" s="10">
        <v>74</v>
      </c>
      <c r="B78" s="19" t="s">
        <v>277</v>
      </c>
      <c r="C78" s="47">
        <f>+ยกมา!C86</f>
        <v>2</v>
      </c>
      <c r="D78" s="45">
        <f>+'1'!D78+'2'!D78+'3'!D78+'4'!D78+'5'!D78+'6'!D78+'7'!D78+'8'!D78+'9'!D78+'10'!D78+'11'!D78+'12'!D78+'13'!D78+'14'!D78+'15'!D78+'16'!D78+'17'!D78+'18'!D78+'19'!D78+'20'!D78+'21'!D78+'22'!D78+'23'!D78+'24'!D78+'25'!D78+'26'!D78+'27'!D78+'28'!D78+'29'!D78+'30'!D78+'31.'!D78</f>
        <v>17</v>
      </c>
      <c r="E78" s="44">
        <f t="shared" si="5"/>
        <v>19</v>
      </c>
      <c r="F78" s="45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4">
        <f t="shared" si="6"/>
        <v>1</v>
      </c>
      <c r="H78" s="45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18</v>
      </c>
      <c r="I78" s="20">
        <v>50</v>
      </c>
      <c r="J78" s="45">
        <f>+'1'!J78+'2'!J78+'3'!J78+'4'!J78+'5'!J78+'6'!J78+'7'!J78+'8'!J78+'9'!J78+'10'!J78+'11'!J78+'12'!J78+'13'!J78+'14'!J78+'15'!J78+'16'!J78+'17'!J78+'18'!J78+'19'!J78+'20'!J78+'21'!J78+'22'!J78+'23'!J78+'24'!J78+'25'!J78+'26'!J78+'27'!J78+'28'!J78+'29'!J78+'30'!J78+'31.'!J78</f>
        <v>900</v>
      </c>
      <c r="K78" s="19"/>
      <c r="M78" s="53"/>
      <c r="U78" s="5"/>
    </row>
    <row r="79" spans="1:21" x14ac:dyDescent="0.55000000000000004">
      <c r="A79" s="10">
        <v>75</v>
      </c>
      <c r="B79" s="19" t="s">
        <v>278</v>
      </c>
      <c r="C79" s="47">
        <f>+ยกมา!C87</f>
        <v>2</v>
      </c>
      <c r="D79" s="45">
        <f>+'1'!D79+'2'!D79+'3'!D79+'4'!D79+'5'!D79+'6'!D79+'7'!D79+'8'!D79+'9'!D79+'10'!D79+'11'!D79+'12'!D79+'13'!D79+'14'!D79+'15'!D79+'16'!D79+'17'!D79+'18'!D79+'19'!D79+'20'!D79+'21'!D79+'22'!D79+'23'!D79+'24'!D79+'25'!D79+'26'!D79+'27'!D79+'28'!D79+'29'!D79+'30'!D79+'31.'!D79</f>
        <v>0</v>
      </c>
      <c r="E79" s="44">
        <f t="shared" si="5"/>
        <v>2</v>
      </c>
      <c r="F79" s="45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4">
        <f t="shared" si="6"/>
        <v>2</v>
      </c>
      <c r="H79" s="45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20">
        <v>120</v>
      </c>
      <c r="J79" s="45">
        <f>+'1'!J79+'2'!J79+'3'!J79+'4'!J79+'5'!J79+'6'!J79+'7'!J79+'8'!J79+'9'!J79+'10'!J79+'11'!J79+'12'!J79+'13'!J79+'14'!J79+'15'!J79+'16'!J79+'17'!J79+'18'!J79+'19'!J79+'20'!J79+'21'!J79+'22'!J79+'23'!J79+'24'!J79+'25'!J79+'26'!J79+'27'!J79+'28'!J79+'29'!J79+'30'!J79+'31.'!J79</f>
        <v>0</v>
      </c>
      <c r="K79" s="19"/>
      <c r="M79" s="53"/>
      <c r="T79" s="5"/>
    </row>
    <row r="80" spans="1:21" x14ac:dyDescent="0.55000000000000004">
      <c r="A80" s="10">
        <v>76</v>
      </c>
      <c r="B80" s="19" t="s">
        <v>90</v>
      </c>
      <c r="C80" s="47">
        <f>+ยกมา!C88</f>
        <v>7</v>
      </c>
      <c r="D80" s="45">
        <f>+'1'!D80+'2'!D80+'3'!D80+'4'!D80+'5'!D80+'6'!D80+'7'!D80+'8'!D80+'9'!D80+'10'!D80+'11'!D80+'12'!D80+'13'!D80+'14'!D80+'15'!D80+'16'!D80+'17'!D80+'18'!D80+'19'!D80+'20'!D80+'21'!D80+'22'!D80+'23'!D80+'24'!D80+'25'!D80+'26'!D80+'27'!D80+'28'!D80+'29'!D80+'30'!D80+'31.'!D80</f>
        <v>35</v>
      </c>
      <c r="E80" s="44">
        <f t="shared" si="5"/>
        <v>42</v>
      </c>
      <c r="F80" s="45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4">
        <f t="shared" si="6"/>
        <v>11</v>
      </c>
      <c r="H80" s="45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31</v>
      </c>
      <c r="I80" s="20">
        <v>50</v>
      </c>
      <c r="J80" s="45">
        <f>+'1'!J80+'2'!J80+'3'!J80+'4'!J80+'5'!J80+'6'!J80+'7'!J80+'8'!J80+'9'!J80+'10'!J80+'11'!J80+'12'!J80+'13'!J80+'14'!J80+'15'!J80+'16'!J80+'17'!J80+'18'!J80+'19'!J80+'20'!J80+'21'!J80+'22'!J80+'23'!J80+'24'!J80+'25'!J80+'26'!J80+'27'!J80+'28'!J80+'29'!J80+'30'!J80+'31.'!J80</f>
        <v>1550</v>
      </c>
      <c r="K80" s="19"/>
      <c r="M80" s="53"/>
      <c r="T80" s="5"/>
    </row>
    <row r="81" spans="1:21" x14ac:dyDescent="0.55000000000000004">
      <c r="A81" s="10">
        <v>77</v>
      </c>
      <c r="B81" s="19" t="s">
        <v>91</v>
      </c>
      <c r="C81" s="47">
        <f>+ยกมา!C89</f>
        <v>3</v>
      </c>
      <c r="D81" s="45">
        <f>+'1'!D81+'2'!D81+'3'!D81+'4'!D81+'5'!D81+'6'!D81+'7'!D81+'8'!D81+'9'!D81+'10'!D81+'11'!D81+'12'!D81+'13'!D81+'14'!D81+'15'!D81+'16'!D81+'17'!D81+'18'!D81+'19'!D81+'20'!D81+'21'!D81+'22'!D81+'23'!D81+'24'!D81+'25'!D81+'26'!D81+'27'!D81+'28'!D81+'29'!D81+'30'!D81+'31.'!D81</f>
        <v>0</v>
      </c>
      <c r="E81" s="44">
        <f t="shared" si="5"/>
        <v>3</v>
      </c>
      <c r="F81" s="45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4">
        <f t="shared" si="6"/>
        <v>3</v>
      </c>
      <c r="H81" s="45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20">
        <v>50</v>
      </c>
      <c r="J81" s="45">
        <f>+'1'!J81+'2'!J81+'3'!J81+'4'!J81+'5'!J81+'6'!J81+'7'!J81+'8'!J81+'9'!J81+'10'!J81+'11'!J81+'12'!J81+'13'!J81+'14'!J81+'15'!J81+'16'!J81+'17'!J81+'18'!J81+'19'!J81+'20'!J81+'21'!J81+'22'!J81+'23'!J81+'24'!J81+'25'!J81+'26'!J81+'27'!J81+'28'!J81+'29'!J81+'30'!J81+'31.'!J81</f>
        <v>0</v>
      </c>
      <c r="K81" s="19"/>
      <c r="M81" s="53"/>
      <c r="T81" s="5"/>
    </row>
    <row r="82" spans="1:21" x14ac:dyDescent="0.55000000000000004">
      <c r="A82" s="10">
        <v>78</v>
      </c>
      <c r="B82" s="19" t="s">
        <v>92</v>
      </c>
      <c r="C82" s="47">
        <f>+ยกมา!C90</f>
        <v>10</v>
      </c>
      <c r="D82" s="45">
        <f>+'1'!D82+'2'!D82+'3'!D82+'4'!D82+'5'!D82+'6'!D82+'7'!D82+'8'!D82+'9'!D82+'10'!D82+'11'!D82+'12'!D82+'13'!D82+'14'!D82+'15'!D82+'16'!D82+'17'!D82+'18'!D82+'19'!D82+'20'!D82+'21'!D82+'22'!D82+'23'!D82+'24'!D82+'25'!D82+'26'!D82+'27'!D82+'28'!D82+'29'!D82+'30'!D82+'31.'!D82</f>
        <v>12</v>
      </c>
      <c r="E82" s="44">
        <f t="shared" si="5"/>
        <v>22</v>
      </c>
      <c r="F82" s="45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4</v>
      </c>
      <c r="G82" s="44">
        <f t="shared" si="6"/>
        <v>10</v>
      </c>
      <c r="H82" s="45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8</v>
      </c>
      <c r="I82" s="20">
        <v>55</v>
      </c>
      <c r="J82" s="45">
        <f>+'1'!J82+'2'!J82+'3'!J82+'4'!J82+'5'!J82+'6'!J82+'7'!J82+'8'!J82+'9'!J82+'10'!J82+'11'!J82+'12'!J82+'13'!J82+'14'!J82+'15'!J82+'16'!J82+'17'!J82+'18'!J82+'19'!J82+'20'!J82+'21'!J82+'22'!J82+'23'!J82+'24'!J82+'25'!J82+'26'!J82+'27'!J82+'28'!J82+'29'!J82+'30'!J82+'31.'!J82</f>
        <v>440</v>
      </c>
      <c r="K82" s="19"/>
      <c r="M82" s="53"/>
      <c r="T82" s="5"/>
    </row>
    <row r="83" spans="1:21" x14ac:dyDescent="0.55000000000000004">
      <c r="A83" s="10">
        <v>79</v>
      </c>
      <c r="B83" s="19" t="s">
        <v>93</v>
      </c>
      <c r="C83" s="47">
        <f>+ยกมา!C91</f>
        <v>0</v>
      </c>
      <c r="D83" s="45">
        <f>+'1'!D83+'2'!D83+'3'!D83+'4'!D83+'5'!D83+'6'!D83+'7'!D83+'8'!D83+'9'!D83+'10'!D83+'11'!D83+'12'!D83+'13'!D83+'14'!D83+'15'!D83+'16'!D83+'17'!D83+'18'!D83+'19'!D83+'20'!D83+'21'!D83+'22'!D83+'23'!D83+'24'!D83+'25'!D83+'26'!D83+'27'!D83+'28'!D83+'29'!D83+'30'!D83+'31.'!D83</f>
        <v>12</v>
      </c>
      <c r="E83" s="44">
        <f t="shared" si="5"/>
        <v>12</v>
      </c>
      <c r="F83" s="45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3</v>
      </c>
      <c r="G83" s="44">
        <f t="shared" si="6"/>
        <v>1</v>
      </c>
      <c r="H83" s="45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8</v>
      </c>
      <c r="I83" s="20">
        <v>55</v>
      </c>
      <c r="J83" s="45">
        <f>+'1'!J83+'2'!J83+'3'!J83+'4'!J83+'5'!J83+'6'!J83+'7'!J83+'8'!J83+'9'!J83+'10'!J83+'11'!J83+'12'!J83+'13'!J83+'14'!J83+'15'!J83+'16'!J83+'17'!J83+'18'!J83+'19'!J83+'20'!J83+'21'!J83+'22'!J83+'23'!J83+'24'!J83+'25'!J83+'26'!J83+'27'!J83+'28'!J83+'29'!J83+'30'!J83+'31.'!J83</f>
        <v>440</v>
      </c>
      <c r="K83" s="19"/>
      <c r="M83" s="53"/>
      <c r="U83" s="5"/>
    </row>
    <row r="84" spans="1:21" x14ac:dyDescent="0.55000000000000004">
      <c r="A84" s="10">
        <v>80</v>
      </c>
      <c r="B84" s="19" t="s">
        <v>94</v>
      </c>
      <c r="C84" s="47">
        <f>+ยกมา!C92</f>
        <v>0</v>
      </c>
      <c r="D84" s="45">
        <f>+'1'!D84+'2'!D84+'3'!D84+'4'!D84+'5'!D84+'6'!D84+'7'!D84+'8'!D84+'9'!D84+'10'!D84+'11'!D84+'12'!D84+'13'!D84+'14'!D84+'15'!D84+'16'!D84+'17'!D84+'18'!D84+'19'!D84+'20'!D84+'21'!D84+'22'!D84+'23'!D84+'24'!D84+'25'!D84+'26'!D84+'27'!D84+'28'!D84+'29'!D84+'30'!D84+'31.'!D84</f>
        <v>0</v>
      </c>
      <c r="E84" s="44">
        <f t="shared" si="5"/>
        <v>0</v>
      </c>
      <c r="F84" s="45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4">
        <f t="shared" si="6"/>
        <v>0</v>
      </c>
      <c r="H84" s="45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20">
        <v>55</v>
      </c>
      <c r="J84" s="45">
        <f>+'1'!J84+'2'!J84+'3'!J84+'4'!J84+'5'!J84+'6'!J84+'7'!J84+'8'!J84+'9'!J84+'10'!J84+'11'!J84+'12'!J84+'13'!J84+'14'!J84+'15'!J84+'16'!J84+'17'!J84+'18'!J84+'19'!J84+'20'!J84+'21'!J84+'22'!J84+'23'!J84+'24'!J84+'25'!J84+'26'!J84+'27'!J84+'28'!J84+'29'!J84+'30'!J84+'31.'!J84</f>
        <v>0</v>
      </c>
      <c r="K84" s="19"/>
      <c r="M84" s="53"/>
      <c r="U84" s="5"/>
    </row>
    <row r="85" spans="1:21" x14ac:dyDescent="0.55000000000000004">
      <c r="A85" s="10">
        <v>81</v>
      </c>
      <c r="B85" s="19" t="s">
        <v>95</v>
      </c>
      <c r="C85" s="47">
        <f>+ยกมา!C93</f>
        <v>0</v>
      </c>
      <c r="D85" s="45">
        <f>+'1'!D85+'2'!D85+'3'!D85+'4'!D85+'5'!D85+'6'!D85+'7'!D85+'8'!D85+'9'!D85+'10'!D85+'11'!D85+'12'!D85+'13'!D85+'14'!D85+'15'!D85+'16'!D85+'17'!D85+'18'!D85+'19'!D85+'20'!D85+'21'!D85+'22'!D85+'23'!D85+'24'!D85+'25'!D85+'26'!D85+'27'!D85+'28'!D85+'29'!D85+'30'!D85+'31.'!D85</f>
        <v>0</v>
      </c>
      <c r="E85" s="44">
        <f t="shared" si="5"/>
        <v>0</v>
      </c>
      <c r="F85" s="45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4">
        <f t="shared" si="6"/>
        <v>0</v>
      </c>
      <c r="H85" s="45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20">
        <v>55</v>
      </c>
      <c r="J85" s="45">
        <f>+'1'!J85+'2'!J85+'3'!J85+'4'!J85+'5'!J85+'6'!J85+'7'!J85+'8'!J85+'9'!J85+'10'!J85+'11'!J85+'12'!J85+'13'!J85+'14'!J85+'15'!J85+'16'!J85+'17'!J85+'18'!J85+'19'!J85+'20'!J85+'21'!J85+'22'!J85+'23'!J85+'24'!J85+'25'!J85+'26'!J85+'27'!J85+'28'!J85+'29'!J85+'30'!J85+'31.'!J85</f>
        <v>0</v>
      </c>
      <c r="K85" s="19"/>
      <c r="M85" s="53"/>
      <c r="U85" s="5"/>
    </row>
    <row r="86" spans="1:21" x14ac:dyDescent="0.55000000000000004">
      <c r="A86" s="10">
        <v>82</v>
      </c>
      <c r="B86" s="19" t="s">
        <v>96</v>
      </c>
      <c r="C86" s="47">
        <f>+ยกมา!C94</f>
        <v>0</v>
      </c>
      <c r="D86" s="45">
        <f>+'1'!D86+'2'!D86+'3'!D86+'4'!D86+'5'!D86+'6'!D86+'7'!D86+'8'!D86+'9'!D86+'10'!D86+'11'!D86+'12'!D86+'13'!D86+'14'!D86+'15'!D86+'16'!D86+'17'!D86+'18'!D86+'19'!D86+'20'!D86+'21'!D86+'22'!D86+'23'!D86+'24'!D86+'25'!D86+'26'!D86+'27'!D86+'28'!D86+'29'!D86+'30'!D86+'31.'!D86</f>
        <v>15</v>
      </c>
      <c r="E86" s="44">
        <f t="shared" si="5"/>
        <v>15</v>
      </c>
      <c r="F86" s="45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4">
        <f t="shared" si="6"/>
        <v>0</v>
      </c>
      <c r="H86" s="45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15</v>
      </c>
      <c r="I86" s="20">
        <v>100</v>
      </c>
      <c r="J86" s="45">
        <f>+'1'!J86+'2'!J86+'3'!J86+'4'!J86+'5'!J86+'6'!J86+'7'!J86+'8'!J86+'9'!J86+'10'!J86+'11'!J86+'12'!J86+'13'!J86+'14'!J86+'15'!J86+'16'!J86+'17'!J86+'18'!J86+'19'!J86+'20'!J86+'21'!J86+'22'!J86+'23'!J86+'24'!J86+'25'!J86+'26'!J86+'27'!J86+'28'!J86+'29'!J86+'30'!J86+'31.'!J86</f>
        <v>1500</v>
      </c>
      <c r="K86" s="19"/>
      <c r="M86" s="53"/>
      <c r="U86" s="5"/>
    </row>
    <row r="87" spans="1:21" x14ac:dyDescent="0.55000000000000004">
      <c r="A87" s="10">
        <v>83</v>
      </c>
      <c r="B87" s="19" t="s">
        <v>97</v>
      </c>
      <c r="C87" s="47">
        <v>1</v>
      </c>
      <c r="D87" s="45">
        <f>+'1'!D87+'2'!D87+'3'!D87+'4'!D87+'5'!D87+'6'!D87+'7'!D87+'8'!D87+'9'!D87+'10'!D87+'11'!D87+'12'!D87+'13'!D87+'14'!D87+'15'!D87+'16'!D87+'17'!D87+'18'!D87+'19'!D87+'20'!D87+'21'!D87+'22'!D87+'23'!D87+'24'!D87+'25'!D87+'26'!D87+'27'!D87+'28'!D87+'29'!D87+'30'!D87+'31.'!D87</f>
        <v>20</v>
      </c>
      <c r="E87" s="44">
        <f t="shared" si="5"/>
        <v>21</v>
      </c>
      <c r="F87" s="45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4">
        <f t="shared" si="6"/>
        <v>0</v>
      </c>
      <c r="H87" s="45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21</v>
      </c>
      <c r="I87" s="20">
        <v>55</v>
      </c>
      <c r="J87" s="45">
        <f>+'1'!J87+'2'!J87+'3'!J87+'4'!J87+'5'!J87+'6'!J87+'7'!J87+'8'!J87+'9'!J87+'10'!J87+'11'!J87+'12'!J87+'13'!J87+'14'!J87+'15'!J87+'16'!J87+'17'!J87+'18'!J87+'19'!J87+'20'!J87+'21'!J87+'22'!J87+'23'!J87+'24'!J87+'25'!J87+'26'!J87+'27'!J87+'28'!J87+'29'!J87+'30'!J87+'31.'!J87</f>
        <v>1155</v>
      </c>
      <c r="K87" s="19"/>
      <c r="M87" s="53"/>
      <c r="U87" s="5"/>
    </row>
    <row r="88" spans="1:21" x14ac:dyDescent="0.55000000000000004">
      <c r="A88" s="10">
        <v>84</v>
      </c>
      <c r="B88" s="19" t="s">
        <v>98</v>
      </c>
      <c r="C88" s="47">
        <v>3</v>
      </c>
      <c r="D88" s="45">
        <f>+'1'!D88+'2'!D88+'3'!D88+'4'!D88+'5'!D88+'6'!D88+'7'!D88+'8'!D88+'9'!D88+'10'!D88+'11'!D88+'12'!D88+'13'!D88+'14'!D88+'15'!D88+'16'!D88+'17'!D88+'18'!D88+'19'!D88+'20'!D88+'21'!D88+'22'!D88+'23'!D88+'24'!D88+'25'!D88+'26'!D88+'27'!D88+'28'!D88+'29'!D88+'30'!D88+'31.'!D88</f>
        <v>10</v>
      </c>
      <c r="E88" s="44">
        <f t="shared" si="5"/>
        <v>13</v>
      </c>
      <c r="F88" s="45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4">
        <f t="shared" si="6"/>
        <v>0</v>
      </c>
      <c r="H88" s="45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13</v>
      </c>
      <c r="I88" s="20">
        <v>60</v>
      </c>
      <c r="J88" s="45">
        <f>+'1'!J88+'2'!J88+'3'!J88+'4'!J88+'5'!J88+'6'!J88+'7'!J88+'8'!J88+'9'!J88+'10'!J88+'11'!J88+'12'!J88+'13'!J88+'14'!J88+'15'!J88+'16'!J88+'17'!J88+'18'!J88+'19'!J88+'20'!J88+'21'!J88+'22'!J88+'23'!J88+'24'!J88+'25'!J88+'26'!J88+'27'!J88+'28'!J88+'29'!J88+'30'!J88+'31.'!J88</f>
        <v>780</v>
      </c>
      <c r="K88" s="19"/>
      <c r="M88" s="53"/>
      <c r="U88" s="5"/>
    </row>
    <row r="89" spans="1:21" x14ac:dyDescent="0.55000000000000004">
      <c r="A89" s="10">
        <v>85</v>
      </c>
      <c r="B89" s="19" t="s">
        <v>99</v>
      </c>
      <c r="C89" s="47">
        <v>3</v>
      </c>
      <c r="D89" s="45">
        <f>+'1'!D89+'2'!D89+'3'!D89+'4'!D89+'5'!D89+'6'!D89+'7'!D89+'8'!D89+'9'!D89+'10'!D89+'11'!D89+'12'!D89+'13'!D89+'14'!D89+'15'!D89+'16'!D89+'17'!D89+'18'!D89+'19'!D89+'20'!D89+'21'!D89+'22'!D89+'23'!D89+'24'!D89+'25'!D89+'26'!D89+'27'!D89+'28'!D89+'29'!D89+'30'!D89+'31.'!D89</f>
        <v>17</v>
      </c>
      <c r="E89" s="44">
        <f t="shared" si="5"/>
        <v>20</v>
      </c>
      <c r="F89" s="45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4">
        <f t="shared" si="6"/>
        <v>0</v>
      </c>
      <c r="H89" s="45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20</v>
      </c>
      <c r="I89" s="20">
        <v>100</v>
      </c>
      <c r="J89" s="45">
        <f>+'1'!J89+'2'!J89+'3'!J89+'4'!J89+'5'!J89+'6'!J89+'7'!J89+'8'!J89+'9'!J89+'10'!J89+'11'!J89+'12'!J89+'13'!J89+'14'!J89+'15'!J89+'16'!J89+'17'!J89+'18'!J89+'19'!J89+'20'!J89+'21'!J89+'22'!J89+'23'!J89+'24'!J89+'25'!J89+'26'!J89+'27'!J89+'28'!J89+'29'!J89+'30'!J89+'31.'!J89</f>
        <v>2000</v>
      </c>
      <c r="K89" s="19"/>
      <c r="M89" s="53"/>
      <c r="U89" s="5"/>
    </row>
    <row r="90" spans="1:21" x14ac:dyDescent="0.55000000000000004">
      <c r="A90" s="10">
        <v>86</v>
      </c>
      <c r="B90" s="19" t="s">
        <v>100</v>
      </c>
      <c r="C90" s="47">
        <v>7</v>
      </c>
      <c r="D90" s="45">
        <f>+'1'!D90+'2'!D90+'3'!D90+'4'!D90+'5'!D90+'6'!D90+'7'!D90+'8'!D90+'9'!D90+'10'!D90+'11'!D90+'12'!D90+'13'!D90+'14'!D90+'15'!D90+'16'!D90+'17'!D90+'18'!D90+'19'!D90+'20'!D90+'21'!D90+'22'!D90+'23'!D90+'24'!D90+'25'!D90+'26'!D90+'27'!D90+'28'!D90+'29'!D90+'30'!D90+'31.'!D90</f>
        <v>0</v>
      </c>
      <c r="E90" s="44">
        <f t="shared" si="5"/>
        <v>7</v>
      </c>
      <c r="F90" s="45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4</v>
      </c>
      <c r="G90" s="44">
        <f t="shared" si="6"/>
        <v>0</v>
      </c>
      <c r="H90" s="45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3</v>
      </c>
      <c r="I90" s="20">
        <v>55</v>
      </c>
      <c r="J90" s="45">
        <f>+'1'!J90+'2'!J90+'3'!J90+'4'!J90+'5'!J90+'6'!J90+'7'!J90+'8'!J90+'9'!J90+'10'!J90+'11'!J90+'12'!J90+'13'!J90+'14'!J90+'15'!J90+'16'!J90+'17'!J90+'18'!J90+'19'!J90+'20'!J90+'21'!J90+'22'!J90+'23'!J90+'24'!J90+'25'!J90+'26'!J90+'27'!J90+'28'!J90+'29'!J90+'30'!J90+'31.'!J90</f>
        <v>165</v>
      </c>
      <c r="K90" s="19"/>
      <c r="M90" s="53"/>
      <c r="U90" s="5"/>
    </row>
    <row r="91" spans="1:21" x14ac:dyDescent="0.55000000000000004">
      <c r="A91" s="10">
        <v>87</v>
      </c>
      <c r="B91" s="19" t="s">
        <v>101</v>
      </c>
      <c r="C91" s="47">
        <f>+ยกมา!C99</f>
        <v>0</v>
      </c>
      <c r="D91" s="45">
        <f>+'1'!D91+'2'!D91+'3'!D91+'4'!D91+'5'!D91+'6'!D91+'7'!D91+'8'!D91+'9'!D91+'10'!D91+'11'!D91+'12'!D91+'13'!D91+'14'!D91+'15'!D91+'16'!D91+'17'!D91+'18'!D91+'19'!D91+'20'!D91+'21'!D91+'22'!D91+'23'!D91+'24'!D91+'25'!D91+'26'!D91+'27'!D91+'28'!D91+'29'!D91+'30'!D91+'31.'!D91</f>
        <v>0</v>
      </c>
      <c r="E91" s="44">
        <f t="shared" si="5"/>
        <v>0</v>
      </c>
      <c r="F91" s="45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4">
        <f t="shared" si="6"/>
        <v>0</v>
      </c>
      <c r="H91" s="45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20">
        <v>50</v>
      </c>
      <c r="J91" s="45">
        <f>+'1'!J91+'2'!J91+'3'!J91+'4'!J91+'5'!J91+'6'!J91+'7'!J91+'8'!J91+'9'!J91+'10'!J91+'11'!J91+'12'!J91+'13'!J91+'14'!J91+'15'!J91+'16'!J91+'17'!J91+'18'!J91+'19'!J91+'20'!J91+'21'!J91+'22'!J91+'23'!J91+'24'!J91+'25'!J91+'26'!J91+'27'!J91+'28'!J91+'29'!J91+'30'!J91+'31.'!J91</f>
        <v>0</v>
      </c>
      <c r="K91" s="19"/>
      <c r="M91" s="53"/>
      <c r="U91" s="5"/>
    </row>
    <row r="92" spans="1:21" x14ac:dyDescent="0.55000000000000004">
      <c r="A92" s="10">
        <v>88</v>
      </c>
      <c r="B92" s="19" t="s">
        <v>102</v>
      </c>
      <c r="C92" s="47">
        <f>+ยกมา!C100</f>
        <v>0</v>
      </c>
      <c r="D92" s="45">
        <f>+'1'!D92+'2'!D92+'3'!D92+'4'!D92+'5'!D92+'6'!D92+'7'!D92+'8'!D92+'9'!D92+'10'!D92+'11'!D92+'12'!D92+'13'!D92+'14'!D92+'15'!D92+'16'!D92+'17'!D92+'18'!D92+'19'!D92+'20'!D92+'21'!D92+'22'!D92+'23'!D92+'24'!D92+'25'!D92+'26'!D92+'27'!D92+'28'!D92+'29'!D92+'30'!D92+'31.'!D92</f>
        <v>0</v>
      </c>
      <c r="E92" s="44">
        <f t="shared" si="5"/>
        <v>0</v>
      </c>
      <c r="F92" s="45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4">
        <f t="shared" si="6"/>
        <v>0</v>
      </c>
      <c r="H92" s="45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20">
        <v>50</v>
      </c>
      <c r="J92" s="45">
        <f>+'1'!J92+'2'!J92+'3'!J92+'4'!J92+'5'!J92+'6'!J92+'7'!J92+'8'!J92+'9'!J92+'10'!J92+'11'!J92+'12'!J92+'13'!J92+'14'!J92+'15'!J92+'16'!J92+'17'!J92+'18'!J92+'19'!J92+'20'!J92+'21'!J92+'22'!J92+'23'!J92+'24'!J92+'25'!J92+'26'!J92+'27'!J92+'28'!J92+'29'!J92+'30'!J92+'31.'!J92</f>
        <v>0</v>
      </c>
      <c r="K92" s="19"/>
      <c r="M92" s="53"/>
      <c r="U92" s="5"/>
    </row>
    <row r="93" spans="1:21" x14ac:dyDescent="0.55000000000000004">
      <c r="A93" s="10">
        <v>89</v>
      </c>
      <c r="B93" s="19" t="s">
        <v>248</v>
      </c>
      <c r="C93" s="47">
        <f>+ยกมา!C101</f>
        <v>0</v>
      </c>
      <c r="D93" s="45">
        <f>+'1'!D93+'2'!D93+'3'!D93+'4'!D93+'5'!D93+'6'!D93+'7'!D93+'8'!D93+'9'!D93+'10'!D93+'11'!D93+'12'!D93+'13'!D93+'14'!D93+'15'!D93+'16'!D93+'17'!D93+'18'!D93+'19'!D93+'20'!D93+'21'!D93+'22'!D93+'23'!D93+'24'!D93+'25'!D93+'26'!D93+'27'!D93+'28'!D93+'29'!D93+'30'!D93+'31.'!D93</f>
        <v>0</v>
      </c>
      <c r="E93" s="44">
        <f t="shared" si="5"/>
        <v>0</v>
      </c>
      <c r="F93" s="45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4">
        <f t="shared" si="6"/>
        <v>0</v>
      </c>
      <c r="H93" s="45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20">
        <v>120</v>
      </c>
      <c r="J93" s="45">
        <f>+'1'!J93+'2'!J93+'3'!J93+'4'!J93+'5'!J93+'6'!J93+'7'!J93+'8'!J93+'9'!J93+'10'!J93+'11'!J93+'12'!J93+'13'!J93+'14'!J93+'15'!J93+'16'!J93+'17'!J93+'18'!J93+'19'!J93+'20'!J93+'21'!J93+'22'!J93+'23'!J93+'24'!J93+'25'!J93+'26'!J93+'27'!J93+'28'!J93+'29'!J93+'30'!J93+'31.'!J93</f>
        <v>0</v>
      </c>
      <c r="K93" s="19"/>
      <c r="M93" s="53"/>
      <c r="U93" s="5"/>
    </row>
    <row r="94" spans="1:21" x14ac:dyDescent="0.55000000000000004">
      <c r="A94" s="10">
        <v>90</v>
      </c>
      <c r="B94" s="19" t="s">
        <v>104</v>
      </c>
      <c r="C94" s="47">
        <f>+ยกมา!C102</f>
        <v>0</v>
      </c>
      <c r="D94" s="45">
        <f>+'1'!D94+'2'!D94+'3'!D94+'4'!D94+'5'!D94+'6'!D94+'7'!D94+'8'!D94+'9'!D94+'10'!D94+'11'!D94+'12'!D94+'13'!D94+'14'!D94+'15'!D94+'16'!D94+'17'!D94+'18'!D94+'19'!D94+'20'!D94+'21'!D94+'22'!D94+'23'!D94+'24'!D94+'25'!D94+'26'!D94+'27'!D94+'28'!D94+'29'!D94+'30'!D94+'31.'!D94</f>
        <v>0</v>
      </c>
      <c r="E94" s="44">
        <f t="shared" si="5"/>
        <v>0</v>
      </c>
      <c r="F94" s="45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4">
        <f t="shared" si="6"/>
        <v>0</v>
      </c>
      <c r="H94" s="45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20">
        <v>250</v>
      </c>
      <c r="J94" s="45">
        <f>+'1'!J94+'2'!J94+'3'!J94+'4'!J94+'5'!J94+'6'!J94+'7'!J94+'8'!J94+'9'!J94+'10'!J94+'11'!J94+'12'!J94+'13'!J94+'14'!J94+'15'!J94+'16'!J94+'17'!J94+'18'!J94+'19'!J94+'20'!J94+'21'!J94+'22'!J94+'23'!J94+'24'!J94+'25'!J94+'26'!J94+'27'!J94+'28'!J94+'29'!J94+'30'!J94+'31.'!J94</f>
        <v>0</v>
      </c>
      <c r="K94" s="19"/>
      <c r="M94" s="53"/>
      <c r="U94" s="5"/>
    </row>
    <row r="95" spans="1:21" x14ac:dyDescent="0.55000000000000004">
      <c r="A95" s="10">
        <v>91</v>
      </c>
      <c r="B95" s="19" t="s">
        <v>105</v>
      </c>
      <c r="C95" s="47">
        <f>+ยกมา!C103</f>
        <v>0</v>
      </c>
      <c r="D95" s="45">
        <f>+'1'!D95+'2'!D95+'3'!D95+'4'!D95+'5'!D95+'6'!D95+'7'!D95+'8'!D95+'9'!D95+'10'!D95+'11'!D95+'12'!D95+'13'!D95+'14'!D95+'15'!D95+'16'!D95+'17'!D95+'18'!D95+'19'!D95+'20'!D95+'21'!D95+'22'!D95+'23'!D95+'24'!D95+'25'!D95+'26'!D95+'27'!D95+'28'!D95+'29'!D95+'30'!D95+'31.'!D95</f>
        <v>0</v>
      </c>
      <c r="E95" s="44">
        <f t="shared" si="5"/>
        <v>0</v>
      </c>
      <c r="F95" s="45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4">
        <f t="shared" si="6"/>
        <v>0</v>
      </c>
      <c r="H95" s="45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20">
        <v>120</v>
      </c>
      <c r="J95" s="45">
        <f>+'1'!J95+'2'!J95+'3'!J95+'4'!J95+'5'!J95+'6'!J95+'7'!J95+'8'!J95+'9'!J95+'10'!J95+'11'!J95+'12'!J95+'13'!J95+'14'!J95+'15'!J95+'16'!J95+'17'!J95+'18'!J95+'19'!J95+'20'!J95+'21'!J95+'22'!J95+'23'!J95+'24'!J95+'25'!J95+'26'!J95+'27'!J95+'28'!J95+'29'!J95+'30'!J95+'31.'!J95</f>
        <v>0</v>
      </c>
      <c r="K95" s="19"/>
      <c r="M95" s="53"/>
      <c r="U95" s="5"/>
    </row>
    <row r="96" spans="1:21" x14ac:dyDescent="0.55000000000000004">
      <c r="A96" s="10">
        <v>92</v>
      </c>
      <c r="B96" s="19" t="s">
        <v>106</v>
      </c>
      <c r="C96" s="47">
        <f>+ยกมา!C104</f>
        <v>0</v>
      </c>
      <c r="D96" s="45">
        <f>+'1'!D96+'2'!D96+'3'!D96+'4'!D96+'5'!D96+'6'!D96+'7'!D96+'8'!D96+'9'!D96+'10'!D96+'11'!D96+'12'!D96+'13'!D96+'14'!D96+'15'!D96+'16'!D96+'17'!D96+'18'!D96+'19'!D96+'20'!D96+'21'!D96+'22'!D96+'23'!D96+'24'!D96+'25'!D96+'26'!D96+'27'!D96+'28'!D96+'29'!D96+'30'!D96+'31.'!D96</f>
        <v>0</v>
      </c>
      <c r="E96" s="44">
        <f t="shared" si="5"/>
        <v>0</v>
      </c>
      <c r="F96" s="45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4">
        <f t="shared" si="6"/>
        <v>0</v>
      </c>
      <c r="H96" s="45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20">
        <v>120</v>
      </c>
      <c r="J96" s="45">
        <f>+'1'!J96+'2'!J96+'3'!J96+'4'!J96+'5'!J96+'6'!J96+'7'!J96+'8'!J96+'9'!J96+'10'!J96+'11'!J96+'12'!J96+'13'!J96+'14'!J96+'15'!J96+'16'!J96+'17'!J96+'18'!J96+'19'!J96+'20'!J96+'21'!J96+'22'!J96+'23'!J96+'24'!J96+'25'!J96+'26'!J96+'27'!J96+'28'!J96+'29'!J96+'30'!J96+'31.'!J96</f>
        <v>0</v>
      </c>
      <c r="K96" s="19"/>
      <c r="M96" s="53"/>
      <c r="U96" s="5"/>
    </row>
    <row r="97" spans="1:21" x14ac:dyDescent="0.55000000000000004">
      <c r="A97" s="10">
        <v>93</v>
      </c>
      <c r="B97" s="19" t="s">
        <v>107</v>
      </c>
      <c r="C97" s="47">
        <f>+ยกมา!C105</f>
        <v>0</v>
      </c>
      <c r="D97" s="45">
        <f>+'1'!D97+'2'!D97+'3'!D97+'4'!D97+'5'!D97+'6'!D97+'7'!D97+'8'!D97+'9'!D97+'10'!D97+'11'!D97+'12'!D97+'13'!D97+'14'!D97+'15'!D97+'16'!D97+'17'!D97+'18'!D97+'19'!D97+'20'!D97+'21'!D97+'22'!D97+'23'!D97+'24'!D97+'25'!D97+'26'!D97+'27'!D97+'28'!D97+'29'!D97+'30'!D97+'31.'!D97</f>
        <v>0</v>
      </c>
      <c r="E97" s="44">
        <f t="shared" si="5"/>
        <v>0</v>
      </c>
      <c r="F97" s="45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4">
        <f t="shared" si="6"/>
        <v>0</v>
      </c>
      <c r="H97" s="45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20">
        <v>120</v>
      </c>
      <c r="J97" s="45">
        <f>+'1'!J97+'2'!J97+'3'!J97+'4'!J97+'5'!J97+'6'!J97+'7'!J97+'8'!J97+'9'!J97+'10'!J97+'11'!J97+'12'!J97+'13'!J97+'14'!J97+'15'!J97+'16'!J97+'17'!J97+'18'!J97+'19'!J97+'20'!J97+'21'!J97+'22'!J97+'23'!J97+'24'!J97+'25'!J97+'26'!J97+'27'!J97+'28'!J97+'29'!J97+'30'!J97+'31.'!J97</f>
        <v>0</v>
      </c>
      <c r="K97" s="19"/>
      <c r="M97" s="53"/>
      <c r="U97" s="5"/>
    </row>
    <row r="98" spans="1:21" x14ac:dyDescent="0.55000000000000004">
      <c r="A98" s="10">
        <v>94</v>
      </c>
      <c r="B98" s="19" t="s">
        <v>103</v>
      </c>
      <c r="C98" s="47">
        <f>+ยกมา!C106</f>
        <v>0</v>
      </c>
      <c r="D98" s="45">
        <f>+'1'!D98+'2'!D98+'3'!D98+'4'!D98+'5'!D98+'6'!D98+'7'!D98+'8'!D98+'9'!D98+'10'!D98+'11'!D98+'12'!D98+'13'!D98+'14'!D98+'15'!D98+'16'!D98+'17'!D98+'18'!D98+'19'!D98+'20'!D98+'21'!D98+'22'!D98+'23'!D98+'24'!D98+'25'!D98+'26'!D98+'27'!D98+'28'!D98+'29'!D98+'30'!D98+'31.'!D98</f>
        <v>0</v>
      </c>
      <c r="E98" s="44">
        <f t="shared" si="5"/>
        <v>0</v>
      </c>
      <c r="F98" s="45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4">
        <f t="shared" si="6"/>
        <v>0</v>
      </c>
      <c r="H98" s="45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20">
        <v>120</v>
      </c>
      <c r="J98" s="45">
        <f>+'1'!J98+'2'!J98+'3'!J98+'4'!J98+'5'!J98+'6'!J98+'7'!J98+'8'!J98+'9'!J98+'10'!J98+'11'!J98+'12'!J98+'13'!J98+'14'!J98+'15'!J98+'16'!J98+'17'!J98+'18'!J98+'19'!J98+'20'!J98+'21'!J98+'22'!J98+'23'!J98+'24'!J98+'25'!J98+'26'!J98+'27'!J98+'28'!J98+'29'!J98+'30'!J98+'31.'!J98</f>
        <v>0</v>
      </c>
      <c r="K98" s="19"/>
      <c r="M98" s="53"/>
      <c r="U98" s="5"/>
    </row>
    <row r="99" spans="1:21" x14ac:dyDescent="0.55000000000000004">
      <c r="A99" s="10">
        <v>95</v>
      </c>
      <c r="B99" s="19" t="s">
        <v>109</v>
      </c>
      <c r="C99" s="47">
        <f>+ยกมา!C107</f>
        <v>0</v>
      </c>
      <c r="D99" s="45">
        <f>+'1'!D99+'2'!D99+'3'!D99+'4'!D99+'5'!D99+'6'!D99+'7'!D99+'8'!D99+'9'!D99+'10'!D99+'11'!D99+'12'!D99+'13'!D99+'14'!D99+'15'!D99+'16'!D99+'17'!D99+'18'!D99+'19'!D99+'20'!D99+'21'!D99+'22'!D99+'23'!D99+'24'!D99+'25'!D99+'26'!D99+'27'!D99+'28'!D99+'29'!D99+'30'!D99+'31.'!D99</f>
        <v>0</v>
      </c>
      <c r="E99" s="44">
        <f t="shared" si="5"/>
        <v>0</v>
      </c>
      <c r="F99" s="45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4">
        <f t="shared" si="6"/>
        <v>0</v>
      </c>
      <c r="H99" s="45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20">
        <v>50</v>
      </c>
      <c r="J99" s="45">
        <f>+'1'!J99+'2'!J99+'3'!J99+'4'!J99+'5'!J99+'6'!J99+'7'!J99+'8'!J99+'9'!J99+'10'!J99+'11'!J99+'12'!J99+'13'!J99+'14'!J99+'15'!J99+'16'!J99+'17'!J99+'18'!J99+'19'!J99+'20'!J99+'21'!J99+'22'!J99+'23'!J99+'24'!J99+'25'!J99+'26'!J99+'27'!J99+'28'!J99+'29'!J99+'30'!J99+'31.'!J99</f>
        <v>0</v>
      </c>
      <c r="K99" s="19"/>
      <c r="M99" s="53"/>
      <c r="U99" s="5"/>
    </row>
    <row r="100" spans="1:21" x14ac:dyDescent="0.55000000000000004">
      <c r="A100" s="10">
        <v>96</v>
      </c>
      <c r="B100" s="19" t="s">
        <v>110</v>
      </c>
      <c r="C100" s="47">
        <f>+ยกมา!C108</f>
        <v>0</v>
      </c>
      <c r="D100" s="45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.'!D100</f>
        <v>0</v>
      </c>
      <c r="E100" s="44">
        <f t="shared" si="5"/>
        <v>0</v>
      </c>
      <c r="F100" s="45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4">
        <f t="shared" si="6"/>
        <v>0</v>
      </c>
      <c r="H100" s="45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20">
        <v>50</v>
      </c>
      <c r="J100" s="45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.'!J100</f>
        <v>0</v>
      </c>
      <c r="K100" s="19"/>
      <c r="M100" s="53"/>
      <c r="U100" s="5"/>
    </row>
    <row r="101" spans="1:21" x14ac:dyDescent="0.55000000000000004">
      <c r="A101" s="10">
        <v>97</v>
      </c>
      <c r="B101" s="19" t="s">
        <v>111</v>
      </c>
      <c r="C101" s="47">
        <f>+ยกมา!C109</f>
        <v>0</v>
      </c>
      <c r="D101" s="45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.'!D101</f>
        <v>0</v>
      </c>
      <c r="E101" s="44">
        <f t="shared" si="5"/>
        <v>0</v>
      </c>
      <c r="F101" s="45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4">
        <f t="shared" si="6"/>
        <v>0</v>
      </c>
      <c r="H101" s="45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20">
        <v>60</v>
      </c>
      <c r="J101" s="45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.'!J101</f>
        <v>0</v>
      </c>
      <c r="K101" s="19"/>
      <c r="M101" s="53"/>
      <c r="U101" s="5"/>
    </row>
    <row r="102" spans="1:21" x14ac:dyDescent="0.55000000000000004">
      <c r="A102" s="10">
        <v>98</v>
      </c>
      <c r="B102" s="19" t="s">
        <v>112</v>
      </c>
      <c r="C102" s="47">
        <f>+ยกมา!C110</f>
        <v>0</v>
      </c>
      <c r="D102" s="45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.'!D102</f>
        <v>0</v>
      </c>
      <c r="E102" s="44">
        <f t="shared" si="5"/>
        <v>0</v>
      </c>
      <c r="F102" s="45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4">
        <f t="shared" si="6"/>
        <v>0</v>
      </c>
      <c r="H102" s="45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20">
        <v>55</v>
      </c>
      <c r="J102" s="45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.'!J102</f>
        <v>0</v>
      </c>
      <c r="K102" s="19"/>
      <c r="M102" s="53"/>
      <c r="U102" s="5"/>
    </row>
    <row r="103" spans="1:21" x14ac:dyDescent="0.55000000000000004">
      <c r="A103" s="10">
        <v>99</v>
      </c>
      <c r="B103" s="19" t="s">
        <v>113</v>
      </c>
      <c r="C103" s="47">
        <f>+ยกมา!C111</f>
        <v>0</v>
      </c>
      <c r="D103" s="45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.'!D103</f>
        <v>0</v>
      </c>
      <c r="E103" s="44">
        <f t="shared" si="5"/>
        <v>0</v>
      </c>
      <c r="F103" s="45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4">
        <f t="shared" si="6"/>
        <v>0</v>
      </c>
      <c r="H103" s="45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20">
        <v>50</v>
      </c>
      <c r="J103" s="45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.'!J103</f>
        <v>0</v>
      </c>
      <c r="K103" s="19"/>
      <c r="M103" s="53"/>
      <c r="U103" s="5"/>
    </row>
    <row r="104" spans="1:21" x14ac:dyDescent="0.55000000000000004">
      <c r="A104" s="10">
        <v>100</v>
      </c>
      <c r="B104" s="19" t="s">
        <v>114</v>
      </c>
      <c r="C104" s="47">
        <f>+ยกมา!C112</f>
        <v>0</v>
      </c>
      <c r="D104" s="45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.'!D104</f>
        <v>0</v>
      </c>
      <c r="E104" s="44">
        <f t="shared" si="5"/>
        <v>0</v>
      </c>
      <c r="F104" s="45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4">
        <f t="shared" si="6"/>
        <v>0</v>
      </c>
      <c r="H104" s="45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20">
        <v>100</v>
      </c>
      <c r="J104" s="45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.'!J104</f>
        <v>0</v>
      </c>
      <c r="K104" s="19"/>
      <c r="M104" s="53"/>
      <c r="U104" s="5"/>
    </row>
    <row r="105" spans="1:21" x14ac:dyDescent="0.55000000000000004">
      <c r="A105" s="10">
        <v>101</v>
      </c>
      <c r="B105" s="19" t="s">
        <v>115</v>
      </c>
      <c r="C105" s="47">
        <f>+ยกมา!C113</f>
        <v>0</v>
      </c>
      <c r="D105" s="45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.'!D105</f>
        <v>0</v>
      </c>
      <c r="E105" s="44">
        <f t="shared" si="5"/>
        <v>0</v>
      </c>
      <c r="F105" s="45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4">
        <f t="shared" si="6"/>
        <v>0</v>
      </c>
      <c r="H105" s="45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20">
        <v>100</v>
      </c>
      <c r="J105" s="45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.'!J105</f>
        <v>0</v>
      </c>
      <c r="K105" s="19"/>
      <c r="M105" s="53"/>
      <c r="U105" s="5"/>
    </row>
    <row r="106" spans="1:21" x14ac:dyDescent="0.55000000000000004">
      <c r="A106" s="10">
        <v>102</v>
      </c>
      <c r="B106" s="19" t="s">
        <v>116</v>
      </c>
      <c r="C106" s="47">
        <f>+ยกมา!C114</f>
        <v>0</v>
      </c>
      <c r="D106" s="45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.'!D106</f>
        <v>0</v>
      </c>
      <c r="E106" s="44">
        <f t="shared" si="5"/>
        <v>0</v>
      </c>
      <c r="F106" s="45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4">
        <f t="shared" si="6"/>
        <v>0</v>
      </c>
      <c r="H106" s="45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20">
        <v>30</v>
      </c>
      <c r="J106" s="45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.'!J106</f>
        <v>0</v>
      </c>
      <c r="K106" s="19"/>
      <c r="M106" s="53"/>
      <c r="U106" s="5"/>
    </row>
    <row r="107" spans="1:21" x14ac:dyDescent="0.55000000000000004">
      <c r="A107" s="10">
        <v>103</v>
      </c>
      <c r="B107" s="19" t="s">
        <v>117</v>
      </c>
      <c r="C107" s="47">
        <f>+ยกมา!C115</f>
        <v>0</v>
      </c>
      <c r="D107" s="45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.'!D107</f>
        <v>0</v>
      </c>
      <c r="E107" s="44">
        <f t="shared" si="5"/>
        <v>0</v>
      </c>
      <c r="F107" s="45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4">
        <f t="shared" si="6"/>
        <v>0</v>
      </c>
      <c r="H107" s="45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20">
        <v>20</v>
      </c>
      <c r="J107" s="45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.'!J107</f>
        <v>0</v>
      </c>
      <c r="K107" s="19"/>
      <c r="M107" s="53"/>
      <c r="U107" s="5"/>
    </row>
    <row r="108" spans="1:21" x14ac:dyDescent="0.55000000000000004">
      <c r="A108" s="10">
        <v>104</v>
      </c>
      <c r="B108" s="19" t="s">
        <v>118</v>
      </c>
      <c r="C108" s="47">
        <f>+ยกมา!C116</f>
        <v>0</v>
      </c>
      <c r="D108" s="45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.'!D108</f>
        <v>0</v>
      </c>
      <c r="E108" s="44">
        <f t="shared" si="5"/>
        <v>0</v>
      </c>
      <c r="F108" s="45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4">
        <f t="shared" si="6"/>
        <v>0</v>
      </c>
      <c r="H108" s="45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20">
        <v>100</v>
      </c>
      <c r="J108" s="45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.'!J108</f>
        <v>0</v>
      </c>
      <c r="K108" s="19"/>
      <c r="M108" s="53"/>
      <c r="U108" s="5"/>
    </row>
    <row r="109" spans="1:21" x14ac:dyDescent="0.55000000000000004">
      <c r="A109" s="10">
        <v>105</v>
      </c>
      <c r="B109" s="19" t="s">
        <v>120</v>
      </c>
      <c r="C109" s="47">
        <f>+ยกมา!C117</f>
        <v>0</v>
      </c>
      <c r="D109" s="45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.'!D109</f>
        <v>0</v>
      </c>
      <c r="E109" s="44">
        <f t="shared" si="5"/>
        <v>0</v>
      </c>
      <c r="F109" s="45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4">
        <f t="shared" si="6"/>
        <v>0</v>
      </c>
      <c r="H109" s="45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20">
        <v>80</v>
      </c>
      <c r="J109" s="45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.'!J109</f>
        <v>0</v>
      </c>
      <c r="K109" s="19"/>
      <c r="M109" s="53"/>
      <c r="U109" s="5"/>
    </row>
    <row r="110" spans="1:21" x14ac:dyDescent="0.55000000000000004">
      <c r="A110" s="10">
        <v>106</v>
      </c>
      <c r="B110" s="19" t="s">
        <v>121</v>
      </c>
      <c r="C110" s="47">
        <f>+ยกมา!C118</f>
        <v>0</v>
      </c>
      <c r="D110" s="45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.'!D110</f>
        <v>0</v>
      </c>
      <c r="E110" s="44">
        <f t="shared" si="5"/>
        <v>0</v>
      </c>
      <c r="F110" s="45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4">
        <f t="shared" si="6"/>
        <v>0</v>
      </c>
      <c r="H110" s="45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20">
        <v>60</v>
      </c>
      <c r="J110" s="45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.'!J110</f>
        <v>0</v>
      </c>
      <c r="K110" s="19"/>
      <c r="M110" s="53"/>
      <c r="U110" s="5"/>
    </row>
    <row r="111" spans="1:21" x14ac:dyDescent="0.55000000000000004">
      <c r="A111" s="10">
        <v>107</v>
      </c>
      <c r="B111" s="19" t="s">
        <v>122</v>
      </c>
      <c r="C111" s="47">
        <f>+ยกมา!C119</f>
        <v>0</v>
      </c>
      <c r="D111" s="45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.'!D111</f>
        <v>0</v>
      </c>
      <c r="E111" s="44">
        <f t="shared" si="5"/>
        <v>0</v>
      </c>
      <c r="F111" s="45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4">
        <f t="shared" si="6"/>
        <v>0</v>
      </c>
      <c r="H111" s="45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20">
        <v>35</v>
      </c>
      <c r="J111" s="45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.'!J111</f>
        <v>0</v>
      </c>
      <c r="K111" s="19"/>
      <c r="M111" s="53"/>
      <c r="U111" s="5"/>
    </row>
    <row r="112" spans="1:21" x14ac:dyDescent="0.55000000000000004">
      <c r="A112" s="10">
        <v>108</v>
      </c>
      <c r="B112" s="19" t="s">
        <v>123</v>
      </c>
      <c r="C112" s="47">
        <f>+ยกมา!C120</f>
        <v>0</v>
      </c>
      <c r="D112" s="45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.'!D112</f>
        <v>0</v>
      </c>
      <c r="E112" s="44">
        <f t="shared" si="5"/>
        <v>0</v>
      </c>
      <c r="F112" s="45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4">
        <f t="shared" si="6"/>
        <v>0</v>
      </c>
      <c r="H112" s="45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20">
        <v>35</v>
      </c>
      <c r="J112" s="45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.'!J112</f>
        <v>0</v>
      </c>
      <c r="K112" s="19"/>
      <c r="M112" s="53"/>
      <c r="U112" s="5"/>
    </row>
    <row r="113" spans="1:21" x14ac:dyDescent="0.55000000000000004">
      <c r="A113" s="10">
        <v>109</v>
      </c>
      <c r="B113" s="19" t="s">
        <v>124</v>
      </c>
      <c r="C113" s="47">
        <f>+ยกมา!C121</f>
        <v>0</v>
      </c>
      <c r="D113" s="45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.'!D113</f>
        <v>0</v>
      </c>
      <c r="E113" s="44">
        <f t="shared" si="5"/>
        <v>0</v>
      </c>
      <c r="F113" s="45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4">
        <f t="shared" si="6"/>
        <v>0</v>
      </c>
      <c r="H113" s="45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20">
        <v>35</v>
      </c>
      <c r="J113" s="45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.'!J113</f>
        <v>0</v>
      </c>
      <c r="K113" s="19"/>
      <c r="M113" s="53"/>
      <c r="U113" s="5"/>
    </row>
    <row r="114" spans="1:21" x14ac:dyDescent="0.55000000000000004">
      <c r="A114" s="10">
        <v>110</v>
      </c>
      <c r="B114" s="19" t="s">
        <v>125</v>
      </c>
      <c r="C114" s="47">
        <f>+ยกมา!C122</f>
        <v>0</v>
      </c>
      <c r="D114" s="45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.'!D114</f>
        <v>0</v>
      </c>
      <c r="E114" s="44">
        <f t="shared" si="5"/>
        <v>0</v>
      </c>
      <c r="F114" s="45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4">
        <f t="shared" si="6"/>
        <v>0</v>
      </c>
      <c r="H114" s="45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20">
        <v>35</v>
      </c>
      <c r="J114" s="45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.'!J114</f>
        <v>0</v>
      </c>
      <c r="K114" s="19"/>
      <c r="M114" s="53"/>
      <c r="U114" s="5"/>
    </row>
    <row r="115" spans="1:21" x14ac:dyDescent="0.55000000000000004">
      <c r="A115" s="10">
        <v>111</v>
      </c>
      <c r="B115" s="19" t="s">
        <v>126</v>
      </c>
      <c r="C115" s="47">
        <f>+ยกมา!C123</f>
        <v>0</v>
      </c>
      <c r="D115" s="45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.'!D115</f>
        <v>0</v>
      </c>
      <c r="E115" s="44">
        <f t="shared" si="5"/>
        <v>0</v>
      </c>
      <c r="F115" s="45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4">
        <f t="shared" si="6"/>
        <v>0</v>
      </c>
      <c r="H115" s="45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20">
        <v>35</v>
      </c>
      <c r="J115" s="45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.'!J115</f>
        <v>0</v>
      </c>
      <c r="K115" s="19"/>
      <c r="M115" s="53"/>
      <c r="U115" s="5"/>
    </row>
    <row r="116" spans="1:21" x14ac:dyDescent="0.55000000000000004">
      <c r="A116" s="10">
        <v>112</v>
      </c>
      <c r="B116" s="19" t="s">
        <v>127</v>
      </c>
      <c r="C116" s="47">
        <f>+ยกมา!C124</f>
        <v>0</v>
      </c>
      <c r="D116" s="45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.'!D116</f>
        <v>0</v>
      </c>
      <c r="E116" s="44">
        <f t="shared" si="5"/>
        <v>0</v>
      </c>
      <c r="F116" s="45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4">
        <f t="shared" si="6"/>
        <v>0</v>
      </c>
      <c r="H116" s="45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20">
        <v>30</v>
      </c>
      <c r="J116" s="45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.'!J116</f>
        <v>0</v>
      </c>
      <c r="K116" s="19"/>
      <c r="M116" s="53"/>
      <c r="U116" s="5"/>
    </row>
    <row r="117" spans="1:21" x14ac:dyDescent="0.55000000000000004">
      <c r="A117" s="10">
        <v>113</v>
      </c>
      <c r="B117" s="19" t="s">
        <v>128</v>
      </c>
      <c r="C117" s="47">
        <f>+ยกมา!C125</f>
        <v>0</v>
      </c>
      <c r="D117" s="45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.'!D117</f>
        <v>0</v>
      </c>
      <c r="E117" s="44">
        <f t="shared" si="5"/>
        <v>0</v>
      </c>
      <c r="F117" s="45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4">
        <f t="shared" si="6"/>
        <v>0</v>
      </c>
      <c r="H117" s="45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20">
        <v>30</v>
      </c>
      <c r="J117" s="45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.'!J117</f>
        <v>0</v>
      </c>
      <c r="K117" s="19"/>
      <c r="M117" s="53"/>
      <c r="U117" s="5"/>
    </row>
    <row r="118" spans="1:21" x14ac:dyDescent="0.55000000000000004">
      <c r="A118" s="10">
        <v>114</v>
      </c>
      <c r="B118" s="19" t="s">
        <v>129</v>
      </c>
      <c r="C118" s="47">
        <f>+ยกมา!C126</f>
        <v>0</v>
      </c>
      <c r="D118" s="45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.'!D118</f>
        <v>0</v>
      </c>
      <c r="E118" s="44">
        <f t="shared" si="5"/>
        <v>0</v>
      </c>
      <c r="F118" s="45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4">
        <f t="shared" si="6"/>
        <v>0</v>
      </c>
      <c r="H118" s="45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20">
        <v>30</v>
      </c>
      <c r="J118" s="45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.'!J118</f>
        <v>0</v>
      </c>
      <c r="K118" s="19"/>
      <c r="M118" s="53"/>
      <c r="U118" s="5"/>
    </row>
    <row r="119" spans="1:21" x14ac:dyDescent="0.55000000000000004">
      <c r="A119" s="10">
        <v>115</v>
      </c>
      <c r="B119" s="19" t="s">
        <v>130</v>
      </c>
      <c r="C119" s="47">
        <f>+ยกมา!C127</f>
        <v>0</v>
      </c>
      <c r="D119" s="45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.'!D119</f>
        <v>0</v>
      </c>
      <c r="E119" s="44">
        <f t="shared" si="5"/>
        <v>0</v>
      </c>
      <c r="F119" s="45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4">
        <f t="shared" si="6"/>
        <v>0</v>
      </c>
      <c r="H119" s="45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20">
        <v>30</v>
      </c>
      <c r="J119" s="45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.'!J119</f>
        <v>0</v>
      </c>
      <c r="K119" s="19"/>
      <c r="M119" s="53"/>
      <c r="U119" s="5"/>
    </row>
    <row r="120" spans="1:21" x14ac:dyDescent="0.55000000000000004">
      <c r="A120" s="10">
        <v>116</v>
      </c>
      <c r="B120" s="19" t="s">
        <v>131</v>
      </c>
      <c r="C120" s="47">
        <f>+ยกมา!C128</f>
        <v>93</v>
      </c>
      <c r="D120" s="45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.'!D120</f>
        <v>0</v>
      </c>
      <c r="E120" s="44">
        <f t="shared" si="5"/>
        <v>93</v>
      </c>
      <c r="F120" s="45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4">
        <f t="shared" si="6"/>
        <v>93</v>
      </c>
      <c r="H120" s="45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20">
        <v>30</v>
      </c>
      <c r="J120" s="45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.'!J120</f>
        <v>0</v>
      </c>
      <c r="K120" s="19"/>
      <c r="M120" s="53"/>
      <c r="U120" s="5"/>
    </row>
    <row r="121" spans="1:21" x14ac:dyDescent="0.55000000000000004">
      <c r="A121" s="10">
        <v>117</v>
      </c>
      <c r="B121" s="19" t="s">
        <v>132</v>
      </c>
      <c r="C121" s="47">
        <f>+ยกมา!C129</f>
        <v>0</v>
      </c>
      <c r="D121" s="45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.'!D121</f>
        <v>0</v>
      </c>
      <c r="E121" s="44">
        <f t="shared" si="5"/>
        <v>0</v>
      </c>
      <c r="F121" s="45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4">
        <f t="shared" si="6"/>
        <v>0</v>
      </c>
      <c r="H121" s="45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20">
        <v>30</v>
      </c>
      <c r="J121" s="45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.'!J121</f>
        <v>0</v>
      </c>
      <c r="K121" s="19"/>
      <c r="M121" s="53"/>
      <c r="U121" s="5"/>
    </row>
    <row r="122" spans="1:21" x14ac:dyDescent="0.55000000000000004">
      <c r="A122" s="10">
        <v>118</v>
      </c>
      <c r="B122" s="19" t="s">
        <v>133</v>
      </c>
      <c r="C122" s="47">
        <f>+ยกมา!C130</f>
        <v>0</v>
      </c>
      <c r="D122" s="45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.'!D122</f>
        <v>0</v>
      </c>
      <c r="E122" s="44">
        <f t="shared" si="5"/>
        <v>0</v>
      </c>
      <c r="F122" s="45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4">
        <f t="shared" si="6"/>
        <v>0</v>
      </c>
      <c r="H122" s="45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20">
        <v>40</v>
      </c>
      <c r="J122" s="45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.'!J122</f>
        <v>0</v>
      </c>
      <c r="K122" s="19"/>
      <c r="M122" s="53"/>
      <c r="U122" s="5"/>
    </row>
    <row r="123" spans="1:21" x14ac:dyDescent="0.55000000000000004">
      <c r="A123" s="10">
        <v>119</v>
      </c>
      <c r="B123" s="19" t="s">
        <v>134</v>
      </c>
      <c r="C123" s="47">
        <f>+ยกมา!C131</f>
        <v>0</v>
      </c>
      <c r="D123" s="45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.'!D123</f>
        <v>0</v>
      </c>
      <c r="E123" s="44">
        <f t="shared" si="5"/>
        <v>0</v>
      </c>
      <c r="F123" s="45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4">
        <f t="shared" si="6"/>
        <v>0</v>
      </c>
      <c r="H123" s="45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20">
        <v>35</v>
      </c>
      <c r="J123" s="45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.'!J123</f>
        <v>0</v>
      </c>
      <c r="K123" s="19"/>
      <c r="M123" s="53"/>
      <c r="U123" s="5"/>
    </row>
    <row r="124" spans="1:21" x14ac:dyDescent="0.55000000000000004">
      <c r="A124" s="10">
        <v>120</v>
      </c>
      <c r="B124" s="19" t="s">
        <v>135</v>
      </c>
      <c r="C124" s="47">
        <f>+ยกมา!C132</f>
        <v>0</v>
      </c>
      <c r="D124" s="45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.'!D124</f>
        <v>0</v>
      </c>
      <c r="E124" s="44">
        <f t="shared" si="5"/>
        <v>0</v>
      </c>
      <c r="F124" s="45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4">
        <f t="shared" si="6"/>
        <v>0</v>
      </c>
      <c r="H124" s="45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20">
        <v>40</v>
      </c>
      <c r="J124" s="45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.'!J124</f>
        <v>0</v>
      </c>
      <c r="K124" s="19"/>
      <c r="M124" s="53"/>
      <c r="U124" s="5"/>
    </row>
    <row r="125" spans="1:21" x14ac:dyDescent="0.55000000000000004">
      <c r="A125" s="10">
        <v>121</v>
      </c>
      <c r="B125" s="19" t="s">
        <v>136</v>
      </c>
      <c r="C125" s="47">
        <f>+ยกมา!C133</f>
        <v>0</v>
      </c>
      <c r="D125" s="45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.'!D125</f>
        <v>0</v>
      </c>
      <c r="E125" s="44">
        <f t="shared" si="5"/>
        <v>0</v>
      </c>
      <c r="F125" s="45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4">
        <f t="shared" si="6"/>
        <v>0</v>
      </c>
      <c r="H125" s="45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20">
        <v>40</v>
      </c>
      <c r="J125" s="45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.'!J125</f>
        <v>0</v>
      </c>
      <c r="K125" s="19"/>
      <c r="M125" s="53"/>
      <c r="U125" s="5"/>
    </row>
    <row r="126" spans="1:21" x14ac:dyDescent="0.55000000000000004">
      <c r="A126" s="10">
        <v>122</v>
      </c>
      <c r="B126" s="19" t="s">
        <v>137</v>
      </c>
      <c r="C126" s="47">
        <f>+ยกมา!C134</f>
        <v>0</v>
      </c>
      <c r="D126" s="45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.'!D126</f>
        <v>0</v>
      </c>
      <c r="E126" s="44">
        <f t="shared" si="5"/>
        <v>0</v>
      </c>
      <c r="F126" s="45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4">
        <f t="shared" si="6"/>
        <v>0</v>
      </c>
      <c r="H126" s="45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20">
        <v>30</v>
      </c>
      <c r="J126" s="45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.'!J126</f>
        <v>0</v>
      </c>
      <c r="K126" s="19"/>
      <c r="M126" s="53"/>
      <c r="U126" s="5"/>
    </row>
    <row r="127" spans="1:21" x14ac:dyDescent="0.55000000000000004">
      <c r="A127" s="10">
        <v>123</v>
      </c>
      <c r="B127" s="19" t="s">
        <v>138</v>
      </c>
      <c r="C127" s="47">
        <f>+ยกมา!C135</f>
        <v>0</v>
      </c>
      <c r="D127" s="45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.'!D127</f>
        <v>0</v>
      </c>
      <c r="E127" s="44">
        <f t="shared" si="5"/>
        <v>0</v>
      </c>
      <c r="F127" s="45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4">
        <f t="shared" si="6"/>
        <v>0</v>
      </c>
      <c r="H127" s="45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20">
        <v>40</v>
      </c>
      <c r="J127" s="45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.'!J127</f>
        <v>0</v>
      </c>
      <c r="K127" s="19"/>
      <c r="M127" s="53"/>
      <c r="U127" s="5"/>
    </row>
    <row r="128" spans="1:21" x14ac:dyDescent="0.55000000000000004">
      <c r="A128" s="10">
        <v>124</v>
      </c>
      <c r="B128" s="19" t="s">
        <v>139</v>
      </c>
      <c r="C128" s="47">
        <v>19</v>
      </c>
      <c r="D128" s="45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.'!D128</f>
        <v>0</v>
      </c>
      <c r="E128" s="44">
        <f t="shared" si="5"/>
        <v>19</v>
      </c>
      <c r="F128" s="45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4">
        <f t="shared" si="6"/>
        <v>0</v>
      </c>
      <c r="H128" s="45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19</v>
      </c>
      <c r="I128" s="20">
        <v>10</v>
      </c>
      <c r="J128" s="45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.'!J128</f>
        <v>190</v>
      </c>
      <c r="K128" s="19"/>
      <c r="M128" s="53"/>
      <c r="U128" s="5"/>
    </row>
    <row r="129" spans="1:21" x14ac:dyDescent="0.55000000000000004">
      <c r="A129" s="10">
        <v>125</v>
      </c>
      <c r="B129" s="19" t="s">
        <v>140</v>
      </c>
      <c r="C129" s="47">
        <f>+ยกมา!C137</f>
        <v>0</v>
      </c>
      <c r="D129" s="45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.'!D129</f>
        <v>0</v>
      </c>
      <c r="E129" s="44">
        <f t="shared" si="5"/>
        <v>0</v>
      </c>
      <c r="F129" s="45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4">
        <f t="shared" si="6"/>
        <v>0</v>
      </c>
      <c r="H129" s="45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20">
        <v>35</v>
      </c>
      <c r="J129" s="45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.'!J129</f>
        <v>0</v>
      </c>
      <c r="K129" s="19"/>
      <c r="M129" s="53"/>
      <c r="U129" s="5"/>
    </row>
    <row r="130" spans="1:21" x14ac:dyDescent="0.55000000000000004">
      <c r="A130" s="10">
        <v>126</v>
      </c>
      <c r="B130" s="19" t="s">
        <v>141</v>
      </c>
      <c r="C130" s="47">
        <f>+ยกมา!C138</f>
        <v>0</v>
      </c>
      <c r="D130" s="45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.'!D130</f>
        <v>0</v>
      </c>
      <c r="E130" s="44">
        <f t="shared" si="5"/>
        <v>0</v>
      </c>
      <c r="F130" s="45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4">
        <f t="shared" si="6"/>
        <v>0</v>
      </c>
      <c r="H130" s="45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20">
        <v>40</v>
      </c>
      <c r="J130" s="45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.'!J130</f>
        <v>0</v>
      </c>
      <c r="K130" s="19"/>
      <c r="M130" s="53"/>
      <c r="U130" s="5"/>
    </row>
    <row r="131" spans="1:21" x14ac:dyDescent="0.55000000000000004">
      <c r="A131" s="10">
        <v>127</v>
      </c>
      <c r="B131" s="19" t="s">
        <v>142</v>
      </c>
      <c r="C131" s="47">
        <f>+ยกมา!C139</f>
        <v>0</v>
      </c>
      <c r="D131" s="45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.'!D131</f>
        <v>0</v>
      </c>
      <c r="E131" s="44">
        <f t="shared" si="5"/>
        <v>0</v>
      </c>
      <c r="F131" s="45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4">
        <f t="shared" si="6"/>
        <v>0</v>
      </c>
      <c r="H131" s="45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20">
        <v>50</v>
      </c>
      <c r="J131" s="45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.'!J131</f>
        <v>0</v>
      </c>
      <c r="K131" s="19"/>
      <c r="M131" s="53"/>
      <c r="U131" s="5"/>
    </row>
    <row r="132" spans="1:21" x14ac:dyDescent="0.55000000000000004">
      <c r="A132" s="10">
        <v>128</v>
      </c>
      <c r="B132" s="19" t="s">
        <v>143</v>
      </c>
      <c r="C132" s="47">
        <f>+ยกมา!C140</f>
        <v>0</v>
      </c>
      <c r="D132" s="45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.'!D132</f>
        <v>0</v>
      </c>
      <c r="E132" s="44">
        <f t="shared" si="5"/>
        <v>0</v>
      </c>
      <c r="F132" s="45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4">
        <f t="shared" si="6"/>
        <v>0</v>
      </c>
      <c r="H132" s="45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20">
        <v>55</v>
      </c>
      <c r="J132" s="45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.'!J132</f>
        <v>0</v>
      </c>
      <c r="K132" s="19"/>
      <c r="M132" s="53"/>
      <c r="U132" s="5"/>
    </row>
    <row r="133" spans="1:21" x14ac:dyDescent="0.55000000000000004">
      <c r="A133" s="10">
        <v>129</v>
      </c>
      <c r="B133" s="19" t="s">
        <v>144</v>
      </c>
      <c r="C133" s="47">
        <f>+ยกมา!C141</f>
        <v>0</v>
      </c>
      <c r="D133" s="45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.'!D133</f>
        <v>0</v>
      </c>
      <c r="E133" s="44">
        <f t="shared" si="5"/>
        <v>0</v>
      </c>
      <c r="F133" s="45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4">
        <f t="shared" si="6"/>
        <v>0</v>
      </c>
      <c r="H133" s="45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20">
        <v>55</v>
      </c>
      <c r="J133" s="45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.'!J133</f>
        <v>0</v>
      </c>
      <c r="K133" s="19"/>
      <c r="M133" s="53"/>
      <c r="U133" s="5"/>
    </row>
    <row r="134" spans="1:21" x14ac:dyDescent="0.55000000000000004">
      <c r="A134" s="10">
        <v>130</v>
      </c>
      <c r="B134" s="19" t="s">
        <v>145</v>
      </c>
      <c r="C134" s="47">
        <f>+ยกมา!C142</f>
        <v>0</v>
      </c>
      <c r="D134" s="45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.'!D134</f>
        <v>0</v>
      </c>
      <c r="E134" s="44">
        <f t="shared" ref="E134:E197" si="7">+C134+D134</f>
        <v>0</v>
      </c>
      <c r="F134" s="45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4">
        <f t="shared" ref="G134:G197" si="8">C134+D134-F134-H134</f>
        <v>0</v>
      </c>
      <c r="H134" s="45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20">
        <v>45</v>
      </c>
      <c r="J134" s="45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.'!J134</f>
        <v>0</v>
      </c>
      <c r="K134" s="19"/>
      <c r="M134" s="53"/>
      <c r="U134" s="5"/>
    </row>
    <row r="135" spans="1:21" x14ac:dyDescent="0.55000000000000004">
      <c r="A135" s="10">
        <v>131</v>
      </c>
      <c r="B135" s="19" t="s">
        <v>146</v>
      </c>
      <c r="C135" s="47">
        <f>+ยกมา!C143</f>
        <v>0</v>
      </c>
      <c r="D135" s="45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.'!D135</f>
        <v>0</v>
      </c>
      <c r="E135" s="44">
        <f t="shared" si="7"/>
        <v>0</v>
      </c>
      <c r="F135" s="45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4">
        <f t="shared" si="8"/>
        <v>0</v>
      </c>
      <c r="H135" s="45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20">
        <v>45</v>
      </c>
      <c r="J135" s="45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.'!J135</f>
        <v>0</v>
      </c>
      <c r="K135" s="19"/>
      <c r="M135" s="53"/>
      <c r="U135" s="5"/>
    </row>
    <row r="136" spans="1:21" x14ac:dyDescent="0.55000000000000004">
      <c r="A136" s="10">
        <v>132</v>
      </c>
      <c r="B136" s="19" t="s">
        <v>147</v>
      </c>
      <c r="C136" s="47">
        <f>+ยกมา!C144</f>
        <v>0</v>
      </c>
      <c r="D136" s="45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.'!D136</f>
        <v>0</v>
      </c>
      <c r="E136" s="44">
        <f t="shared" si="7"/>
        <v>0</v>
      </c>
      <c r="F136" s="45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4">
        <f t="shared" si="8"/>
        <v>0</v>
      </c>
      <c r="H136" s="45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20">
        <v>55</v>
      </c>
      <c r="J136" s="45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.'!J136</f>
        <v>0</v>
      </c>
      <c r="K136" s="19"/>
      <c r="M136" s="53"/>
      <c r="U136" s="5"/>
    </row>
    <row r="137" spans="1:21" x14ac:dyDescent="0.55000000000000004">
      <c r="A137" s="10">
        <v>133</v>
      </c>
      <c r="B137" s="19" t="s">
        <v>148</v>
      </c>
      <c r="C137" s="47">
        <f>+ยกมา!C145</f>
        <v>0</v>
      </c>
      <c r="D137" s="45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.'!D137</f>
        <v>0</v>
      </c>
      <c r="E137" s="44">
        <f t="shared" si="7"/>
        <v>0</v>
      </c>
      <c r="F137" s="45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4">
        <f t="shared" si="8"/>
        <v>0</v>
      </c>
      <c r="H137" s="45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20">
        <v>45</v>
      </c>
      <c r="J137" s="45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.'!J137</f>
        <v>0</v>
      </c>
      <c r="K137" s="19"/>
      <c r="M137" s="53"/>
      <c r="U137" s="5"/>
    </row>
    <row r="138" spans="1:21" x14ac:dyDescent="0.55000000000000004">
      <c r="A138" s="10">
        <v>134</v>
      </c>
      <c r="B138" s="19" t="s">
        <v>149</v>
      </c>
      <c r="C138" s="47">
        <f>+ยกมา!C146</f>
        <v>0</v>
      </c>
      <c r="D138" s="45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.'!D138</f>
        <v>0</v>
      </c>
      <c r="E138" s="44">
        <f t="shared" si="7"/>
        <v>0</v>
      </c>
      <c r="F138" s="45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4">
        <f t="shared" si="8"/>
        <v>0</v>
      </c>
      <c r="H138" s="45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20">
        <v>45</v>
      </c>
      <c r="J138" s="45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.'!J138</f>
        <v>0</v>
      </c>
      <c r="K138" s="19"/>
      <c r="M138" s="53"/>
      <c r="U138" s="5"/>
    </row>
    <row r="139" spans="1:21" x14ac:dyDescent="0.55000000000000004">
      <c r="A139" s="10">
        <v>135</v>
      </c>
      <c r="B139" s="19" t="s">
        <v>150</v>
      </c>
      <c r="C139" s="47">
        <f>+ยกมา!C147</f>
        <v>0</v>
      </c>
      <c r="D139" s="45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.'!D139</f>
        <v>0</v>
      </c>
      <c r="E139" s="44">
        <f t="shared" si="7"/>
        <v>0</v>
      </c>
      <c r="F139" s="45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4">
        <f t="shared" si="8"/>
        <v>0</v>
      </c>
      <c r="H139" s="45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20">
        <v>45</v>
      </c>
      <c r="J139" s="45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.'!J139</f>
        <v>0</v>
      </c>
      <c r="K139" s="19"/>
      <c r="M139" s="53"/>
      <c r="U139" s="5"/>
    </row>
    <row r="140" spans="1:21" x14ac:dyDescent="0.55000000000000004">
      <c r="A140" s="10">
        <v>136</v>
      </c>
      <c r="B140" s="19" t="s">
        <v>151</v>
      </c>
      <c r="C140" s="47">
        <f>+ยกมา!C148</f>
        <v>0</v>
      </c>
      <c r="D140" s="45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.'!D140</f>
        <v>0</v>
      </c>
      <c r="E140" s="44">
        <f t="shared" si="7"/>
        <v>0</v>
      </c>
      <c r="F140" s="45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4">
        <f t="shared" si="8"/>
        <v>0</v>
      </c>
      <c r="H140" s="45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20">
        <v>45</v>
      </c>
      <c r="J140" s="45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.'!J140</f>
        <v>0</v>
      </c>
      <c r="K140" s="19"/>
      <c r="M140" s="53"/>
      <c r="U140" s="5"/>
    </row>
    <row r="141" spans="1:21" x14ac:dyDescent="0.55000000000000004">
      <c r="A141" s="10">
        <v>137</v>
      </c>
      <c r="B141" s="19" t="s">
        <v>152</v>
      </c>
      <c r="C141" s="47">
        <f>+ยกมา!C149</f>
        <v>0</v>
      </c>
      <c r="D141" s="45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.'!D141</f>
        <v>0</v>
      </c>
      <c r="E141" s="44">
        <f t="shared" si="7"/>
        <v>0</v>
      </c>
      <c r="F141" s="45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4">
        <f t="shared" si="8"/>
        <v>0</v>
      </c>
      <c r="H141" s="45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20">
        <v>45</v>
      </c>
      <c r="J141" s="45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.'!J141</f>
        <v>0</v>
      </c>
      <c r="K141" s="19"/>
      <c r="M141" s="53"/>
      <c r="U141" s="5"/>
    </row>
    <row r="142" spans="1:21" x14ac:dyDescent="0.55000000000000004">
      <c r="A142" s="10">
        <v>138</v>
      </c>
      <c r="B142" s="19" t="s">
        <v>153</v>
      </c>
      <c r="C142" s="47">
        <f>+ยกมา!C150</f>
        <v>0</v>
      </c>
      <c r="D142" s="45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.'!D142</f>
        <v>0</v>
      </c>
      <c r="E142" s="44">
        <f t="shared" si="7"/>
        <v>0</v>
      </c>
      <c r="F142" s="45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4">
        <f t="shared" si="8"/>
        <v>0</v>
      </c>
      <c r="H142" s="45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20">
        <v>45</v>
      </c>
      <c r="J142" s="45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.'!J142</f>
        <v>0</v>
      </c>
      <c r="K142" s="19"/>
      <c r="M142" s="53"/>
      <c r="U142" s="5"/>
    </row>
    <row r="143" spans="1:21" x14ac:dyDescent="0.55000000000000004">
      <c r="A143" s="10">
        <v>139</v>
      </c>
      <c r="B143" s="19" t="s">
        <v>154</v>
      </c>
      <c r="C143" s="47">
        <f>+ยกมา!C151</f>
        <v>0</v>
      </c>
      <c r="D143" s="45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.'!D143</f>
        <v>0</v>
      </c>
      <c r="E143" s="44">
        <f t="shared" si="7"/>
        <v>0</v>
      </c>
      <c r="F143" s="45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4">
        <f t="shared" si="8"/>
        <v>0</v>
      </c>
      <c r="H143" s="45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20">
        <v>120</v>
      </c>
      <c r="J143" s="45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.'!J143</f>
        <v>0</v>
      </c>
      <c r="K143" s="19"/>
      <c r="M143" s="53"/>
      <c r="U143" s="5"/>
    </row>
    <row r="144" spans="1:21" x14ac:dyDescent="0.55000000000000004">
      <c r="A144" s="10">
        <v>140</v>
      </c>
      <c r="B144" s="19" t="s">
        <v>155</v>
      </c>
      <c r="C144" s="47">
        <f>+ยกมา!C152</f>
        <v>1</v>
      </c>
      <c r="D144" s="45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.'!D144</f>
        <v>0</v>
      </c>
      <c r="E144" s="44">
        <f t="shared" si="7"/>
        <v>1</v>
      </c>
      <c r="F144" s="45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4">
        <f t="shared" si="8"/>
        <v>1</v>
      </c>
      <c r="H144" s="45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20">
        <v>120</v>
      </c>
      <c r="J144" s="45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.'!J144</f>
        <v>0</v>
      </c>
      <c r="K144" s="19"/>
      <c r="M144" s="53"/>
      <c r="U144" s="5"/>
    </row>
    <row r="145" spans="1:21" x14ac:dyDescent="0.55000000000000004">
      <c r="A145" s="10">
        <v>141</v>
      </c>
      <c r="B145" s="19" t="s">
        <v>156</v>
      </c>
      <c r="C145" s="47">
        <f>+ยกมา!C153</f>
        <v>2</v>
      </c>
      <c r="D145" s="45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.'!D145</f>
        <v>0</v>
      </c>
      <c r="E145" s="44">
        <f t="shared" si="7"/>
        <v>2</v>
      </c>
      <c r="F145" s="45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4">
        <f t="shared" si="8"/>
        <v>2</v>
      </c>
      <c r="H145" s="45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20">
        <v>120</v>
      </c>
      <c r="J145" s="45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.'!J145</f>
        <v>0</v>
      </c>
      <c r="K145" s="19"/>
      <c r="M145" s="53"/>
      <c r="U145" s="5"/>
    </row>
    <row r="146" spans="1:21" x14ac:dyDescent="0.55000000000000004">
      <c r="A146" s="10">
        <v>142</v>
      </c>
      <c r="B146" s="19" t="s">
        <v>157</v>
      </c>
      <c r="C146" s="47">
        <f>+ยกมา!C154</f>
        <v>0</v>
      </c>
      <c r="D146" s="45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.'!D146</f>
        <v>0</v>
      </c>
      <c r="E146" s="44">
        <f t="shared" si="7"/>
        <v>0</v>
      </c>
      <c r="F146" s="45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4">
        <f t="shared" si="8"/>
        <v>0</v>
      </c>
      <c r="H146" s="45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20">
        <v>120</v>
      </c>
      <c r="J146" s="45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.'!J146</f>
        <v>0</v>
      </c>
      <c r="K146" s="19"/>
      <c r="M146" s="53"/>
      <c r="U146" s="5"/>
    </row>
    <row r="147" spans="1:21" x14ac:dyDescent="0.55000000000000004">
      <c r="A147" s="10">
        <v>143</v>
      </c>
      <c r="B147" s="19" t="s">
        <v>158</v>
      </c>
      <c r="C147" s="47">
        <f>+ยกมา!C155</f>
        <v>0</v>
      </c>
      <c r="D147" s="45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.'!D147</f>
        <v>0</v>
      </c>
      <c r="E147" s="44">
        <f t="shared" si="7"/>
        <v>0</v>
      </c>
      <c r="F147" s="45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4">
        <f t="shared" si="8"/>
        <v>0</v>
      </c>
      <c r="H147" s="45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20">
        <v>185</v>
      </c>
      <c r="J147" s="45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.'!J147</f>
        <v>0</v>
      </c>
      <c r="K147" s="19"/>
      <c r="M147" s="53"/>
      <c r="U147" s="5"/>
    </row>
    <row r="148" spans="1:21" x14ac:dyDescent="0.55000000000000004">
      <c r="A148" s="10">
        <v>144</v>
      </c>
      <c r="B148" s="19" t="s">
        <v>159</v>
      </c>
      <c r="C148" s="47">
        <f>+ยกมา!C156</f>
        <v>0</v>
      </c>
      <c r="D148" s="45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.'!D148</f>
        <v>0</v>
      </c>
      <c r="E148" s="44">
        <f t="shared" si="7"/>
        <v>0</v>
      </c>
      <c r="F148" s="45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4">
        <f t="shared" si="8"/>
        <v>0</v>
      </c>
      <c r="H148" s="45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20">
        <v>185</v>
      </c>
      <c r="J148" s="45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.'!J148</f>
        <v>0</v>
      </c>
      <c r="K148" s="19"/>
      <c r="M148" s="53"/>
      <c r="U148" s="5"/>
    </row>
    <row r="149" spans="1:21" x14ac:dyDescent="0.55000000000000004">
      <c r="A149" s="10">
        <v>145</v>
      </c>
      <c r="B149" s="19" t="s">
        <v>160</v>
      </c>
      <c r="C149" s="47">
        <f>+ยกมา!C157</f>
        <v>0</v>
      </c>
      <c r="D149" s="45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.'!D149</f>
        <v>0</v>
      </c>
      <c r="E149" s="44">
        <f t="shared" si="7"/>
        <v>0</v>
      </c>
      <c r="F149" s="45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4">
        <f t="shared" si="8"/>
        <v>0</v>
      </c>
      <c r="H149" s="45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20">
        <v>185</v>
      </c>
      <c r="J149" s="45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.'!J149</f>
        <v>0</v>
      </c>
      <c r="K149" s="19"/>
      <c r="M149" s="53"/>
      <c r="U149" s="5"/>
    </row>
    <row r="150" spans="1:21" x14ac:dyDescent="0.55000000000000004">
      <c r="A150" s="10">
        <v>146</v>
      </c>
      <c r="B150" s="19" t="s">
        <v>161</v>
      </c>
      <c r="C150" s="47">
        <f>+ยกมา!C158</f>
        <v>0</v>
      </c>
      <c r="D150" s="45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.'!D150</f>
        <v>0</v>
      </c>
      <c r="E150" s="44">
        <f t="shared" si="7"/>
        <v>0</v>
      </c>
      <c r="F150" s="45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4">
        <f t="shared" si="8"/>
        <v>0</v>
      </c>
      <c r="H150" s="45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20">
        <v>185</v>
      </c>
      <c r="J150" s="45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.'!J150</f>
        <v>0</v>
      </c>
      <c r="K150" s="19"/>
      <c r="M150" s="53"/>
      <c r="U150" s="5"/>
    </row>
    <row r="151" spans="1:21" x14ac:dyDescent="0.55000000000000004">
      <c r="A151" s="10">
        <v>147</v>
      </c>
      <c r="B151" s="19" t="s">
        <v>279</v>
      </c>
      <c r="C151" s="47">
        <f>+ยกมา!C159</f>
        <v>0</v>
      </c>
      <c r="D151" s="45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.'!D151</f>
        <v>0</v>
      </c>
      <c r="E151" s="44">
        <f t="shared" si="7"/>
        <v>0</v>
      </c>
      <c r="F151" s="45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4">
        <f t="shared" si="8"/>
        <v>0</v>
      </c>
      <c r="H151" s="45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20">
        <v>150</v>
      </c>
      <c r="J151" s="45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.'!J151</f>
        <v>0</v>
      </c>
      <c r="K151" s="19"/>
      <c r="M151" s="53"/>
      <c r="U151" s="5"/>
    </row>
    <row r="152" spans="1:21" x14ac:dyDescent="0.55000000000000004">
      <c r="A152" s="10">
        <v>148</v>
      </c>
      <c r="B152" s="19" t="s">
        <v>280</v>
      </c>
      <c r="C152" s="47">
        <v>1</v>
      </c>
      <c r="D152" s="45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.'!D152</f>
        <v>0</v>
      </c>
      <c r="E152" s="44">
        <f t="shared" si="7"/>
        <v>1</v>
      </c>
      <c r="F152" s="45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1</v>
      </c>
      <c r="G152" s="44">
        <f t="shared" si="8"/>
        <v>0</v>
      </c>
      <c r="H152" s="45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20">
        <v>150</v>
      </c>
      <c r="J152" s="45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.'!J152</f>
        <v>0</v>
      </c>
      <c r="K152" s="19"/>
      <c r="M152" s="53"/>
      <c r="U152" s="5"/>
    </row>
    <row r="153" spans="1:21" x14ac:dyDescent="0.55000000000000004">
      <c r="A153" s="10">
        <v>149</v>
      </c>
      <c r="B153" s="19" t="s">
        <v>281</v>
      </c>
      <c r="C153" s="47">
        <v>2</v>
      </c>
      <c r="D153" s="45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.'!D153</f>
        <v>0</v>
      </c>
      <c r="E153" s="44">
        <f t="shared" si="7"/>
        <v>2</v>
      </c>
      <c r="F153" s="45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4">
        <f t="shared" si="8"/>
        <v>0</v>
      </c>
      <c r="H153" s="45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2</v>
      </c>
      <c r="I153" s="20">
        <v>150</v>
      </c>
      <c r="J153" s="45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.'!J153</f>
        <v>300</v>
      </c>
      <c r="K153" s="19"/>
      <c r="M153" s="53"/>
      <c r="U153" s="5"/>
    </row>
    <row r="154" spans="1:21" x14ac:dyDescent="0.55000000000000004">
      <c r="A154" s="10">
        <v>150</v>
      </c>
      <c r="B154" s="19" t="s">
        <v>282</v>
      </c>
      <c r="C154" s="47">
        <f>+ยกมา!C162</f>
        <v>0</v>
      </c>
      <c r="D154" s="45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.'!D154</f>
        <v>0</v>
      </c>
      <c r="E154" s="44">
        <f t="shared" si="7"/>
        <v>0</v>
      </c>
      <c r="F154" s="45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4">
        <f t="shared" si="8"/>
        <v>0</v>
      </c>
      <c r="H154" s="45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20">
        <v>150</v>
      </c>
      <c r="J154" s="45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.'!J154</f>
        <v>0</v>
      </c>
      <c r="K154" s="19"/>
      <c r="M154" s="53"/>
      <c r="U154" s="5"/>
    </row>
    <row r="155" spans="1:21" x14ac:dyDescent="0.55000000000000004">
      <c r="A155" s="10">
        <v>151</v>
      </c>
      <c r="B155" s="19" t="s">
        <v>166</v>
      </c>
      <c r="C155" s="47">
        <f>+ยกมา!C163</f>
        <v>0</v>
      </c>
      <c r="D155" s="45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.'!D155</f>
        <v>0</v>
      </c>
      <c r="E155" s="44">
        <f t="shared" si="7"/>
        <v>0</v>
      </c>
      <c r="F155" s="45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4">
        <f t="shared" si="8"/>
        <v>0</v>
      </c>
      <c r="H155" s="45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20">
        <v>185</v>
      </c>
      <c r="J155" s="45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.'!J155</f>
        <v>0</v>
      </c>
      <c r="K155" s="19"/>
      <c r="M155" s="53"/>
      <c r="U155" s="5"/>
    </row>
    <row r="156" spans="1:21" x14ac:dyDescent="0.55000000000000004">
      <c r="A156" s="10">
        <v>152</v>
      </c>
      <c r="B156" s="19" t="s">
        <v>167</v>
      </c>
      <c r="C156" s="47">
        <f>+ยกมา!C164</f>
        <v>0</v>
      </c>
      <c r="D156" s="45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.'!D156</f>
        <v>0</v>
      </c>
      <c r="E156" s="44">
        <f t="shared" si="7"/>
        <v>0</v>
      </c>
      <c r="F156" s="45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4">
        <f t="shared" si="8"/>
        <v>0</v>
      </c>
      <c r="H156" s="45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20">
        <v>185</v>
      </c>
      <c r="J156" s="45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.'!J156</f>
        <v>0</v>
      </c>
      <c r="K156" s="19"/>
      <c r="M156" s="53"/>
      <c r="U156" s="5"/>
    </row>
    <row r="157" spans="1:21" x14ac:dyDescent="0.55000000000000004">
      <c r="A157" s="10">
        <v>153</v>
      </c>
      <c r="B157" s="19" t="s">
        <v>168</v>
      </c>
      <c r="C157" s="47">
        <f>+ยกมา!C165</f>
        <v>0</v>
      </c>
      <c r="D157" s="45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.'!D157</f>
        <v>0</v>
      </c>
      <c r="E157" s="44">
        <f t="shared" si="7"/>
        <v>0</v>
      </c>
      <c r="F157" s="45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4">
        <f t="shared" si="8"/>
        <v>0</v>
      </c>
      <c r="H157" s="45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20">
        <v>185</v>
      </c>
      <c r="J157" s="45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.'!J157</f>
        <v>0</v>
      </c>
      <c r="K157" s="19"/>
      <c r="M157" s="53"/>
      <c r="U157" s="5"/>
    </row>
    <row r="158" spans="1:21" x14ac:dyDescent="0.55000000000000004">
      <c r="A158" s="10">
        <v>154</v>
      </c>
      <c r="B158" s="19" t="s">
        <v>169</v>
      </c>
      <c r="C158" s="47">
        <f>+ยกมา!C166</f>
        <v>0</v>
      </c>
      <c r="D158" s="45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.'!D158</f>
        <v>0</v>
      </c>
      <c r="E158" s="44">
        <f t="shared" si="7"/>
        <v>0</v>
      </c>
      <c r="F158" s="45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4">
        <f t="shared" si="8"/>
        <v>0</v>
      </c>
      <c r="H158" s="45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20">
        <v>185</v>
      </c>
      <c r="J158" s="45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.'!J158</f>
        <v>0</v>
      </c>
      <c r="K158" s="19"/>
      <c r="M158" s="53"/>
      <c r="U158" s="5"/>
    </row>
    <row r="159" spans="1:21" x14ac:dyDescent="0.55000000000000004">
      <c r="A159" s="10">
        <v>155</v>
      </c>
      <c r="B159" s="19" t="s">
        <v>170</v>
      </c>
      <c r="C159" s="47">
        <f>+ยกมา!C167</f>
        <v>0</v>
      </c>
      <c r="D159" s="45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.'!D159</f>
        <v>0</v>
      </c>
      <c r="E159" s="44">
        <f t="shared" si="7"/>
        <v>0</v>
      </c>
      <c r="F159" s="45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4">
        <f t="shared" si="8"/>
        <v>0</v>
      </c>
      <c r="H159" s="45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20">
        <v>135</v>
      </c>
      <c r="J159" s="45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.'!J159</f>
        <v>0</v>
      </c>
      <c r="K159" s="19"/>
      <c r="M159" s="53"/>
      <c r="U159" s="5"/>
    </row>
    <row r="160" spans="1:21" x14ac:dyDescent="0.55000000000000004">
      <c r="A160" s="10">
        <v>156</v>
      </c>
      <c r="B160" s="19" t="s">
        <v>171</v>
      </c>
      <c r="C160" s="47">
        <f>+ยกมา!C168</f>
        <v>7</v>
      </c>
      <c r="D160" s="45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.'!D160</f>
        <v>0</v>
      </c>
      <c r="E160" s="44">
        <f t="shared" si="7"/>
        <v>7</v>
      </c>
      <c r="F160" s="45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4">
        <f t="shared" si="8"/>
        <v>7</v>
      </c>
      <c r="H160" s="45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20">
        <v>90</v>
      </c>
      <c r="J160" s="45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.'!J160</f>
        <v>0</v>
      </c>
      <c r="K160" s="19"/>
      <c r="M160" s="53"/>
      <c r="U160" s="5"/>
    </row>
    <row r="161" spans="1:21" x14ac:dyDescent="0.55000000000000004">
      <c r="A161" s="10">
        <v>157</v>
      </c>
      <c r="B161" s="19" t="s">
        <v>172</v>
      </c>
      <c r="C161" s="47">
        <f>+ยกมา!C169</f>
        <v>26</v>
      </c>
      <c r="D161" s="45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.'!D161</f>
        <v>0</v>
      </c>
      <c r="E161" s="44">
        <f t="shared" si="7"/>
        <v>26</v>
      </c>
      <c r="F161" s="45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4">
        <f t="shared" si="8"/>
        <v>26</v>
      </c>
      <c r="H161" s="45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20">
        <v>90</v>
      </c>
      <c r="J161" s="45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.'!J161</f>
        <v>0</v>
      </c>
      <c r="K161" s="19"/>
      <c r="M161" s="53"/>
      <c r="U161" s="5"/>
    </row>
    <row r="162" spans="1:21" x14ac:dyDescent="0.55000000000000004">
      <c r="A162" s="10">
        <v>158</v>
      </c>
      <c r="B162" s="19" t="s">
        <v>173</v>
      </c>
      <c r="C162" s="47">
        <f>+ยกมา!C170</f>
        <v>0</v>
      </c>
      <c r="D162" s="45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.'!D162</f>
        <v>0</v>
      </c>
      <c r="E162" s="44">
        <f t="shared" si="7"/>
        <v>0</v>
      </c>
      <c r="F162" s="45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4">
        <f t="shared" si="8"/>
        <v>0</v>
      </c>
      <c r="H162" s="45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20">
        <v>90</v>
      </c>
      <c r="J162" s="45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.'!J162</f>
        <v>0</v>
      </c>
      <c r="K162" s="19"/>
      <c r="M162" s="53"/>
      <c r="U162" s="5"/>
    </row>
    <row r="163" spans="1:21" x14ac:dyDescent="0.55000000000000004">
      <c r="A163" s="10">
        <v>159</v>
      </c>
      <c r="B163" s="19" t="s">
        <v>174</v>
      </c>
      <c r="C163" s="47">
        <f>+ยกมา!C171</f>
        <v>0</v>
      </c>
      <c r="D163" s="45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.'!D163</f>
        <v>0</v>
      </c>
      <c r="E163" s="44">
        <f t="shared" si="7"/>
        <v>0</v>
      </c>
      <c r="F163" s="45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4">
        <f t="shared" si="8"/>
        <v>0</v>
      </c>
      <c r="H163" s="45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20">
        <v>90</v>
      </c>
      <c r="J163" s="45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.'!J163</f>
        <v>0</v>
      </c>
      <c r="K163" s="19"/>
      <c r="M163" s="53"/>
      <c r="U163" s="5"/>
    </row>
    <row r="164" spans="1:21" x14ac:dyDescent="0.55000000000000004">
      <c r="A164" s="10">
        <v>160</v>
      </c>
      <c r="B164" s="19" t="s">
        <v>175</v>
      </c>
      <c r="C164" s="47">
        <f>+ยกมา!C172</f>
        <v>0</v>
      </c>
      <c r="D164" s="45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.'!D164</f>
        <v>0</v>
      </c>
      <c r="E164" s="44">
        <f t="shared" si="7"/>
        <v>0</v>
      </c>
      <c r="F164" s="45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4">
        <f t="shared" si="8"/>
        <v>0</v>
      </c>
      <c r="H164" s="45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20">
        <v>25</v>
      </c>
      <c r="J164" s="45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.'!J164</f>
        <v>0</v>
      </c>
      <c r="K164" s="19"/>
      <c r="M164" s="53"/>
      <c r="U164" s="5"/>
    </row>
    <row r="165" spans="1:21" x14ac:dyDescent="0.55000000000000004">
      <c r="A165" s="10">
        <v>161</v>
      </c>
      <c r="B165" s="19" t="s">
        <v>176</v>
      </c>
      <c r="C165" s="47">
        <f>+ยกมา!C173</f>
        <v>0</v>
      </c>
      <c r="D165" s="45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.'!D165</f>
        <v>0</v>
      </c>
      <c r="E165" s="44">
        <f t="shared" si="7"/>
        <v>0</v>
      </c>
      <c r="F165" s="45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4">
        <f t="shared" si="8"/>
        <v>0</v>
      </c>
      <c r="H165" s="45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20">
        <v>50</v>
      </c>
      <c r="J165" s="45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.'!J165</f>
        <v>0</v>
      </c>
      <c r="K165" s="19"/>
      <c r="M165" s="53"/>
      <c r="U165" s="5"/>
    </row>
    <row r="166" spans="1:21" x14ac:dyDescent="0.55000000000000004">
      <c r="A166" s="10">
        <v>162</v>
      </c>
      <c r="B166" s="19" t="s">
        <v>177</v>
      </c>
      <c r="C166" s="47">
        <f>+ยกมา!C174</f>
        <v>0</v>
      </c>
      <c r="D166" s="45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.'!D166</f>
        <v>0</v>
      </c>
      <c r="E166" s="44">
        <f t="shared" si="7"/>
        <v>0</v>
      </c>
      <c r="F166" s="45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4">
        <f t="shared" si="8"/>
        <v>0</v>
      </c>
      <c r="H166" s="45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20">
        <v>50</v>
      </c>
      <c r="J166" s="45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.'!J166</f>
        <v>0</v>
      </c>
      <c r="K166" s="19"/>
      <c r="M166" s="53"/>
      <c r="U166" s="5"/>
    </row>
    <row r="167" spans="1:21" x14ac:dyDescent="0.55000000000000004">
      <c r="A167" s="10">
        <v>163</v>
      </c>
      <c r="B167" s="19" t="s">
        <v>178</v>
      </c>
      <c r="C167" s="47">
        <f>+ยกมา!C175</f>
        <v>0</v>
      </c>
      <c r="D167" s="45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.'!D167</f>
        <v>0</v>
      </c>
      <c r="E167" s="44">
        <f t="shared" si="7"/>
        <v>0</v>
      </c>
      <c r="F167" s="45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4">
        <f t="shared" si="8"/>
        <v>0</v>
      </c>
      <c r="H167" s="45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20">
        <v>50</v>
      </c>
      <c r="J167" s="45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.'!J167</f>
        <v>0</v>
      </c>
      <c r="K167" s="19"/>
      <c r="M167" s="53"/>
      <c r="U167" s="5"/>
    </row>
    <row r="168" spans="1:21" x14ac:dyDescent="0.55000000000000004">
      <c r="A168" s="10">
        <v>164</v>
      </c>
      <c r="B168" s="19" t="s">
        <v>179</v>
      </c>
      <c r="C168" s="47">
        <f>+ยกมา!C176</f>
        <v>0</v>
      </c>
      <c r="D168" s="45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.'!D168</f>
        <v>0</v>
      </c>
      <c r="E168" s="44">
        <f t="shared" si="7"/>
        <v>0</v>
      </c>
      <c r="F168" s="45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7</v>
      </c>
      <c r="G168" s="44">
        <f t="shared" si="8"/>
        <v>-7</v>
      </c>
      <c r="H168" s="45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20">
        <v>50</v>
      </c>
      <c r="J168" s="45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.'!J168</f>
        <v>0</v>
      </c>
      <c r="K168" s="19"/>
      <c r="M168" s="53"/>
      <c r="U168" s="5"/>
    </row>
    <row r="169" spans="1:21" x14ac:dyDescent="0.55000000000000004">
      <c r="A169" s="10">
        <v>165</v>
      </c>
      <c r="B169" s="19" t="s">
        <v>180</v>
      </c>
      <c r="C169" s="47">
        <f>+ยกมา!C177</f>
        <v>3</v>
      </c>
      <c r="D169" s="45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.'!D169</f>
        <v>25</v>
      </c>
      <c r="E169" s="44">
        <f t="shared" si="7"/>
        <v>28</v>
      </c>
      <c r="F169" s="45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4">
        <f t="shared" si="8"/>
        <v>12</v>
      </c>
      <c r="H169" s="45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16</v>
      </c>
      <c r="I169" s="20">
        <v>55</v>
      </c>
      <c r="J169" s="45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.'!J169</f>
        <v>880</v>
      </c>
      <c r="K169" s="19"/>
      <c r="M169" s="53"/>
      <c r="U169" s="5"/>
    </row>
    <row r="170" spans="1:21" x14ac:dyDescent="0.55000000000000004">
      <c r="A170" s="10">
        <v>166</v>
      </c>
      <c r="B170" s="19" t="s">
        <v>181</v>
      </c>
      <c r="C170" s="47">
        <f>+ยกมา!C178</f>
        <v>0</v>
      </c>
      <c r="D170" s="45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.'!D170</f>
        <v>0</v>
      </c>
      <c r="E170" s="44">
        <f t="shared" si="7"/>
        <v>0</v>
      </c>
      <c r="F170" s="45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4">
        <f t="shared" si="8"/>
        <v>0</v>
      </c>
      <c r="H170" s="45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20">
        <v>85</v>
      </c>
      <c r="J170" s="45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.'!J170</f>
        <v>0</v>
      </c>
      <c r="K170" s="19"/>
      <c r="M170" s="53"/>
      <c r="U170" s="5"/>
    </row>
    <row r="171" spans="1:21" x14ac:dyDescent="0.55000000000000004">
      <c r="A171" s="10">
        <v>167</v>
      </c>
      <c r="B171" s="19" t="s">
        <v>182</v>
      </c>
      <c r="C171" s="47">
        <f>+ยกมา!C179</f>
        <v>4</v>
      </c>
      <c r="D171" s="45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.'!D171</f>
        <v>12</v>
      </c>
      <c r="E171" s="44">
        <f t="shared" si="7"/>
        <v>16</v>
      </c>
      <c r="F171" s="45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4">
        <f t="shared" si="8"/>
        <v>5</v>
      </c>
      <c r="H171" s="45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11</v>
      </c>
      <c r="I171" s="20">
        <v>80</v>
      </c>
      <c r="J171" s="45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.'!J171</f>
        <v>880</v>
      </c>
      <c r="K171" s="19"/>
      <c r="M171" s="53"/>
      <c r="U171" s="5"/>
    </row>
    <row r="172" spans="1:21" x14ac:dyDescent="0.55000000000000004">
      <c r="A172" s="10">
        <v>168</v>
      </c>
      <c r="B172" s="19" t="s">
        <v>183</v>
      </c>
      <c r="C172" s="47">
        <f>+ยกมา!C180</f>
        <v>0</v>
      </c>
      <c r="D172" s="45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.'!D172</f>
        <v>0</v>
      </c>
      <c r="E172" s="44">
        <f t="shared" si="7"/>
        <v>0</v>
      </c>
      <c r="F172" s="45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4">
        <f t="shared" si="8"/>
        <v>0</v>
      </c>
      <c r="H172" s="45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20">
        <v>40</v>
      </c>
      <c r="J172" s="45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.'!J172</f>
        <v>0</v>
      </c>
      <c r="K172" s="19"/>
      <c r="M172" s="53"/>
      <c r="U172" s="5"/>
    </row>
    <row r="173" spans="1:21" x14ac:dyDescent="0.55000000000000004">
      <c r="A173" s="10">
        <v>169</v>
      </c>
      <c r="B173" s="19" t="s">
        <v>184</v>
      </c>
      <c r="C173" s="47">
        <f>+ยกมา!C181</f>
        <v>0</v>
      </c>
      <c r="D173" s="45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.'!D173</f>
        <v>0</v>
      </c>
      <c r="E173" s="44">
        <f t="shared" si="7"/>
        <v>0</v>
      </c>
      <c r="F173" s="45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4">
        <f t="shared" si="8"/>
        <v>0</v>
      </c>
      <c r="H173" s="45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20">
        <v>120</v>
      </c>
      <c r="J173" s="45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.'!J173</f>
        <v>0</v>
      </c>
      <c r="K173" s="19"/>
      <c r="M173" s="53"/>
      <c r="U173" s="5"/>
    </row>
    <row r="174" spans="1:21" x14ac:dyDescent="0.55000000000000004">
      <c r="A174" s="10">
        <v>170</v>
      </c>
      <c r="B174" s="19" t="s">
        <v>185</v>
      </c>
      <c r="C174" s="47">
        <f>+ยกมา!C182</f>
        <v>0</v>
      </c>
      <c r="D174" s="45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.'!D174</f>
        <v>0</v>
      </c>
      <c r="E174" s="44">
        <f t="shared" si="7"/>
        <v>0</v>
      </c>
      <c r="F174" s="45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4">
        <f t="shared" si="8"/>
        <v>0</v>
      </c>
      <c r="H174" s="45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20">
        <v>120</v>
      </c>
      <c r="J174" s="45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.'!J174</f>
        <v>0</v>
      </c>
      <c r="K174" s="19"/>
      <c r="M174" s="53"/>
      <c r="U174" s="5"/>
    </row>
    <row r="175" spans="1:21" x14ac:dyDescent="0.55000000000000004">
      <c r="A175" s="10">
        <v>171</v>
      </c>
      <c r="B175" s="19" t="s">
        <v>186</v>
      </c>
      <c r="C175" s="47">
        <f>+ยกมา!C183</f>
        <v>0</v>
      </c>
      <c r="D175" s="45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.'!D175</f>
        <v>0</v>
      </c>
      <c r="E175" s="44">
        <f t="shared" si="7"/>
        <v>0</v>
      </c>
      <c r="F175" s="45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4">
        <f t="shared" si="8"/>
        <v>0</v>
      </c>
      <c r="H175" s="45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20">
        <v>55</v>
      </c>
      <c r="J175" s="45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.'!J175</f>
        <v>0</v>
      </c>
      <c r="K175" s="19"/>
      <c r="M175" s="53"/>
      <c r="U175" s="5"/>
    </row>
    <row r="176" spans="1:21" x14ac:dyDescent="0.55000000000000004">
      <c r="A176" s="10">
        <v>172</v>
      </c>
      <c r="B176" s="19" t="s">
        <v>187</v>
      </c>
      <c r="C176" s="47">
        <f>+ยกมา!C184</f>
        <v>0</v>
      </c>
      <c r="D176" s="45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.'!D176</f>
        <v>0</v>
      </c>
      <c r="E176" s="44">
        <f t="shared" si="7"/>
        <v>0</v>
      </c>
      <c r="F176" s="45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4">
        <f t="shared" si="8"/>
        <v>0</v>
      </c>
      <c r="H176" s="45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20">
        <v>50</v>
      </c>
      <c r="J176" s="45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.'!J176</f>
        <v>0</v>
      </c>
      <c r="K176" s="19"/>
      <c r="M176" s="53"/>
      <c r="U176" s="5"/>
    </row>
    <row r="177" spans="1:21" x14ac:dyDescent="0.55000000000000004">
      <c r="A177" s="10">
        <v>173</v>
      </c>
      <c r="B177" s="19" t="s">
        <v>188</v>
      </c>
      <c r="C177" s="47">
        <f>+ยกมา!C185</f>
        <v>0</v>
      </c>
      <c r="D177" s="45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.'!D177</f>
        <v>15</v>
      </c>
      <c r="E177" s="44">
        <f t="shared" si="7"/>
        <v>15</v>
      </c>
      <c r="F177" s="45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4">
        <f t="shared" si="8"/>
        <v>-1</v>
      </c>
      <c r="H177" s="45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16</v>
      </c>
      <c r="I177" s="20">
        <v>50</v>
      </c>
      <c r="J177" s="45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.'!J177</f>
        <v>800</v>
      </c>
      <c r="K177" s="19"/>
      <c r="M177" s="53"/>
      <c r="U177" s="5"/>
    </row>
    <row r="178" spans="1:21" x14ac:dyDescent="0.55000000000000004">
      <c r="A178" s="10">
        <v>174</v>
      </c>
      <c r="B178" s="19" t="s">
        <v>189</v>
      </c>
      <c r="C178" s="47">
        <f>+ยกมา!C186</f>
        <v>0</v>
      </c>
      <c r="D178" s="45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.'!D178</f>
        <v>10</v>
      </c>
      <c r="E178" s="44">
        <f t="shared" si="7"/>
        <v>10</v>
      </c>
      <c r="F178" s="45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4">
        <f t="shared" si="8"/>
        <v>0</v>
      </c>
      <c r="H178" s="45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10</v>
      </c>
      <c r="I178" s="20">
        <v>120</v>
      </c>
      <c r="J178" s="45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.'!J178</f>
        <v>1200</v>
      </c>
      <c r="K178" s="19"/>
      <c r="M178" s="53"/>
      <c r="U178" s="5"/>
    </row>
    <row r="179" spans="1:21" x14ac:dyDescent="0.55000000000000004">
      <c r="A179" s="10">
        <v>175</v>
      </c>
      <c r="B179" s="19" t="s">
        <v>190</v>
      </c>
      <c r="C179" s="47">
        <f>+ยกมา!C187</f>
        <v>0</v>
      </c>
      <c r="D179" s="45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.'!D179</f>
        <v>10</v>
      </c>
      <c r="E179" s="44">
        <f t="shared" si="7"/>
        <v>10</v>
      </c>
      <c r="F179" s="45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4">
        <f t="shared" si="8"/>
        <v>-4</v>
      </c>
      <c r="H179" s="45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14</v>
      </c>
      <c r="I179" s="20">
        <v>120</v>
      </c>
      <c r="J179" s="45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.'!J179</f>
        <v>1680</v>
      </c>
      <c r="K179" s="19"/>
      <c r="M179" s="53"/>
      <c r="U179" s="5"/>
    </row>
    <row r="180" spans="1:21" x14ac:dyDescent="0.55000000000000004">
      <c r="A180" s="10">
        <v>176</v>
      </c>
      <c r="B180" s="19" t="s">
        <v>191</v>
      </c>
      <c r="C180" s="47">
        <f>+ยกมา!C188</f>
        <v>0</v>
      </c>
      <c r="D180" s="45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.'!D180</f>
        <v>0</v>
      </c>
      <c r="E180" s="44">
        <f t="shared" si="7"/>
        <v>0</v>
      </c>
      <c r="F180" s="45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4">
        <f t="shared" si="8"/>
        <v>0</v>
      </c>
      <c r="H180" s="45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20">
        <v>10</v>
      </c>
      <c r="J180" s="45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.'!J180</f>
        <v>0</v>
      </c>
      <c r="K180" s="19"/>
      <c r="M180" s="53"/>
      <c r="U180" s="5"/>
    </row>
    <row r="181" spans="1:21" x14ac:dyDescent="0.55000000000000004">
      <c r="A181" s="10">
        <v>177</v>
      </c>
      <c r="B181" s="19" t="s">
        <v>192</v>
      </c>
      <c r="C181" s="47">
        <f>+ยกมา!C189</f>
        <v>0</v>
      </c>
      <c r="D181" s="45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.'!D181</f>
        <v>0</v>
      </c>
      <c r="E181" s="44">
        <f t="shared" si="7"/>
        <v>0</v>
      </c>
      <c r="F181" s="45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4">
        <f t="shared" si="8"/>
        <v>0</v>
      </c>
      <c r="H181" s="45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20">
        <v>35</v>
      </c>
      <c r="J181" s="45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.'!J181</f>
        <v>0</v>
      </c>
      <c r="K181" s="19"/>
      <c r="M181" s="53"/>
      <c r="U181" s="5"/>
    </row>
    <row r="182" spans="1:21" x14ac:dyDescent="0.55000000000000004">
      <c r="A182" s="10">
        <v>178</v>
      </c>
      <c r="B182" s="19" t="s">
        <v>193</v>
      </c>
      <c r="C182" s="47">
        <f>+ยกมา!C190</f>
        <v>0</v>
      </c>
      <c r="D182" s="45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.'!D182</f>
        <v>0</v>
      </c>
      <c r="E182" s="44">
        <f t="shared" si="7"/>
        <v>0</v>
      </c>
      <c r="F182" s="45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4">
        <f t="shared" si="8"/>
        <v>0</v>
      </c>
      <c r="H182" s="45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20">
        <v>10</v>
      </c>
      <c r="J182" s="45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.'!J182</f>
        <v>0</v>
      </c>
      <c r="K182" s="19"/>
      <c r="M182" s="53"/>
      <c r="U182" s="5"/>
    </row>
    <row r="183" spans="1:21" x14ac:dyDescent="0.55000000000000004">
      <c r="A183" s="10">
        <v>179</v>
      </c>
      <c r="B183" s="19" t="s">
        <v>194</v>
      </c>
      <c r="C183" s="47">
        <f>+ยกมา!C191</f>
        <v>0</v>
      </c>
      <c r="D183" s="45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.'!D183</f>
        <v>0</v>
      </c>
      <c r="E183" s="44">
        <f t="shared" si="7"/>
        <v>0</v>
      </c>
      <c r="F183" s="45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4">
        <f t="shared" si="8"/>
        <v>0</v>
      </c>
      <c r="H183" s="45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20">
        <v>10</v>
      </c>
      <c r="J183" s="45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.'!J183</f>
        <v>0</v>
      </c>
      <c r="K183" s="19"/>
      <c r="M183" s="53"/>
      <c r="U183" s="5"/>
    </row>
    <row r="184" spans="1:21" x14ac:dyDescent="0.55000000000000004">
      <c r="A184" s="10">
        <v>180</v>
      </c>
      <c r="B184" s="19" t="s">
        <v>195</v>
      </c>
      <c r="C184" s="47">
        <f>+ยกมา!C192</f>
        <v>0</v>
      </c>
      <c r="D184" s="45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.'!D184</f>
        <v>0</v>
      </c>
      <c r="E184" s="44">
        <f t="shared" si="7"/>
        <v>0</v>
      </c>
      <c r="F184" s="45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4">
        <f t="shared" si="8"/>
        <v>0</v>
      </c>
      <c r="H184" s="45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20">
        <v>10</v>
      </c>
      <c r="J184" s="45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.'!J184</f>
        <v>0</v>
      </c>
      <c r="K184" s="19"/>
      <c r="M184" s="53"/>
      <c r="U184" s="5"/>
    </row>
    <row r="185" spans="1:21" x14ac:dyDescent="0.55000000000000004">
      <c r="A185" s="10">
        <v>181</v>
      </c>
      <c r="B185" s="19" t="s">
        <v>196</v>
      </c>
      <c r="C185" s="47">
        <f>+ยกมา!C193</f>
        <v>0</v>
      </c>
      <c r="D185" s="45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.'!D185</f>
        <v>0</v>
      </c>
      <c r="E185" s="44">
        <f t="shared" si="7"/>
        <v>0</v>
      </c>
      <c r="F185" s="45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4">
        <f t="shared" si="8"/>
        <v>0</v>
      </c>
      <c r="H185" s="45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20">
        <v>10</v>
      </c>
      <c r="J185" s="45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.'!J185</f>
        <v>0</v>
      </c>
      <c r="K185" s="19"/>
      <c r="M185" s="53"/>
      <c r="U185" s="5"/>
    </row>
    <row r="186" spans="1:21" x14ac:dyDescent="0.55000000000000004">
      <c r="A186" s="10">
        <v>182</v>
      </c>
      <c r="B186" s="19" t="s">
        <v>197</v>
      </c>
      <c r="C186" s="47">
        <f>+ยกมา!C194</f>
        <v>0</v>
      </c>
      <c r="D186" s="45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.'!D186</f>
        <v>0</v>
      </c>
      <c r="E186" s="44">
        <f t="shared" si="7"/>
        <v>0</v>
      </c>
      <c r="F186" s="45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4">
        <f t="shared" si="8"/>
        <v>0</v>
      </c>
      <c r="H186" s="45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20">
        <v>10</v>
      </c>
      <c r="J186" s="45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.'!J186</f>
        <v>0</v>
      </c>
      <c r="K186" s="19"/>
      <c r="M186" s="53"/>
      <c r="U186" s="5"/>
    </row>
    <row r="187" spans="1:21" x14ac:dyDescent="0.55000000000000004">
      <c r="A187" s="10">
        <v>183</v>
      </c>
      <c r="B187" s="19" t="s">
        <v>198</v>
      </c>
      <c r="C187" s="47">
        <f>+ยกมา!C195</f>
        <v>0</v>
      </c>
      <c r="D187" s="45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.'!D187</f>
        <v>0</v>
      </c>
      <c r="E187" s="44">
        <f t="shared" si="7"/>
        <v>0</v>
      </c>
      <c r="F187" s="45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4">
        <f t="shared" si="8"/>
        <v>0</v>
      </c>
      <c r="H187" s="45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20">
        <v>25</v>
      </c>
      <c r="J187" s="45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.'!J187</f>
        <v>0</v>
      </c>
      <c r="K187" s="19"/>
      <c r="M187" s="53"/>
      <c r="U187" s="5"/>
    </row>
    <row r="188" spans="1:21" x14ac:dyDescent="0.55000000000000004">
      <c r="A188" s="10">
        <v>184</v>
      </c>
      <c r="B188" s="19" t="s">
        <v>249</v>
      </c>
      <c r="C188" s="47">
        <f>+ยกมา!C196</f>
        <v>0</v>
      </c>
      <c r="D188" s="45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.'!D188</f>
        <v>0</v>
      </c>
      <c r="E188" s="44">
        <f t="shared" si="7"/>
        <v>0</v>
      </c>
      <c r="F188" s="45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4">
        <f t="shared" si="8"/>
        <v>0</v>
      </c>
      <c r="H188" s="45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20">
        <v>50</v>
      </c>
      <c r="J188" s="45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.'!J188</f>
        <v>0</v>
      </c>
      <c r="K188" s="19"/>
      <c r="M188" s="53"/>
      <c r="U188" s="5"/>
    </row>
    <row r="189" spans="1:21" x14ac:dyDescent="0.55000000000000004">
      <c r="A189" s="10">
        <v>185</v>
      </c>
      <c r="B189" s="19" t="s">
        <v>250</v>
      </c>
      <c r="C189" s="47">
        <f>+ยกมา!C197</f>
        <v>0</v>
      </c>
      <c r="D189" s="45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.'!D189</f>
        <v>0</v>
      </c>
      <c r="E189" s="44">
        <f t="shared" si="7"/>
        <v>0</v>
      </c>
      <c r="F189" s="45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4">
        <f t="shared" si="8"/>
        <v>0</v>
      </c>
      <c r="H189" s="45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20">
        <v>10</v>
      </c>
      <c r="J189" s="45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.'!J189</f>
        <v>0</v>
      </c>
      <c r="K189" s="19"/>
      <c r="M189" s="53"/>
      <c r="U189" s="5"/>
    </row>
    <row r="190" spans="1:21" x14ac:dyDescent="0.55000000000000004">
      <c r="A190" s="10">
        <v>186</v>
      </c>
      <c r="B190" s="19" t="s">
        <v>251</v>
      </c>
      <c r="C190" s="47">
        <f>+ยกมา!C198</f>
        <v>0</v>
      </c>
      <c r="D190" s="45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.'!D190</f>
        <v>0</v>
      </c>
      <c r="E190" s="44">
        <f t="shared" si="7"/>
        <v>0</v>
      </c>
      <c r="F190" s="45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4">
        <f t="shared" si="8"/>
        <v>0</v>
      </c>
      <c r="H190" s="45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20">
        <v>15</v>
      </c>
      <c r="J190" s="45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.'!J190</f>
        <v>0</v>
      </c>
      <c r="K190" s="19"/>
      <c r="M190" s="53"/>
      <c r="U190" s="5"/>
    </row>
    <row r="191" spans="1:21" x14ac:dyDescent="0.55000000000000004">
      <c r="A191" s="10">
        <v>187</v>
      </c>
      <c r="B191" s="19" t="s">
        <v>252</v>
      </c>
      <c r="C191" s="47">
        <f>+ยกมา!C199</f>
        <v>0</v>
      </c>
      <c r="D191" s="45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.'!D191</f>
        <v>0</v>
      </c>
      <c r="E191" s="44">
        <f t="shared" si="7"/>
        <v>0</v>
      </c>
      <c r="F191" s="45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4">
        <f t="shared" si="8"/>
        <v>0</v>
      </c>
      <c r="H191" s="45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20">
        <v>25</v>
      </c>
      <c r="J191" s="45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.'!J191</f>
        <v>0</v>
      </c>
      <c r="K191" s="19"/>
      <c r="M191" s="53"/>
      <c r="U191" s="5"/>
    </row>
    <row r="192" spans="1:21" x14ac:dyDescent="0.55000000000000004">
      <c r="A192" s="10">
        <v>188</v>
      </c>
      <c r="B192" s="19" t="s">
        <v>253</v>
      </c>
      <c r="C192" s="47">
        <f>+ยกมา!C200</f>
        <v>0</v>
      </c>
      <c r="D192" s="45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.'!D192</f>
        <v>0</v>
      </c>
      <c r="E192" s="44">
        <f t="shared" si="7"/>
        <v>0</v>
      </c>
      <c r="F192" s="45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4">
        <f t="shared" si="8"/>
        <v>0</v>
      </c>
      <c r="H192" s="45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20">
        <v>50</v>
      </c>
      <c r="J192" s="45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.'!J192</f>
        <v>0</v>
      </c>
      <c r="K192" s="19"/>
      <c r="M192" s="53"/>
      <c r="U192" s="5"/>
    </row>
    <row r="193" spans="1:21" x14ac:dyDescent="0.55000000000000004">
      <c r="A193" s="10">
        <v>189</v>
      </c>
      <c r="B193" s="19" t="s">
        <v>254</v>
      </c>
      <c r="C193" s="47">
        <f>+ยกมา!C201</f>
        <v>0</v>
      </c>
      <c r="D193" s="45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.'!D193</f>
        <v>0</v>
      </c>
      <c r="E193" s="44">
        <f t="shared" si="7"/>
        <v>0</v>
      </c>
      <c r="F193" s="45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4">
        <f t="shared" si="8"/>
        <v>0</v>
      </c>
      <c r="H193" s="45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20">
        <v>45</v>
      </c>
      <c r="J193" s="45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.'!J193</f>
        <v>0</v>
      </c>
      <c r="K193" s="19"/>
      <c r="M193" s="53"/>
      <c r="U193" s="5"/>
    </row>
    <row r="194" spans="1:21" x14ac:dyDescent="0.55000000000000004">
      <c r="A194" s="10">
        <v>190</v>
      </c>
      <c r="B194" s="19" t="s">
        <v>255</v>
      </c>
      <c r="C194" s="47">
        <f>+ยกมา!C202</f>
        <v>0</v>
      </c>
      <c r="D194" s="45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.'!D194</f>
        <v>0</v>
      </c>
      <c r="E194" s="44">
        <f t="shared" si="7"/>
        <v>0</v>
      </c>
      <c r="F194" s="45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4">
        <f t="shared" si="8"/>
        <v>0</v>
      </c>
      <c r="H194" s="45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20">
        <v>50</v>
      </c>
      <c r="J194" s="45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.'!J194</f>
        <v>0</v>
      </c>
      <c r="K194" s="19"/>
      <c r="M194" s="53"/>
      <c r="U194" s="5"/>
    </row>
    <row r="195" spans="1:21" x14ac:dyDescent="0.55000000000000004">
      <c r="A195" s="10">
        <v>191</v>
      </c>
      <c r="B195" s="19" t="s">
        <v>199</v>
      </c>
      <c r="C195" s="47">
        <f>+ยกมา!C203</f>
        <v>0</v>
      </c>
      <c r="D195" s="45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.'!D195</f>
        <v>0</v>
      </c>
      <c r="E195" s="44">
        <f t="shared" si="7"/>
        <v>0</v>
      </c>
      <c r="F195" s="45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4">
        <f t="shared" si="8"/>
        <v>0</v>
      </c>
      <c r="H195" s="45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20">
        <v>150</v>
      </c>
      <c r="J195" s="45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.'!J195</f>
        <v>0</v>
      </c>
      <c r="K195" s="19"/>
      <c r="M195" s="53"/>
      <c r="U195" s="5"/>
    </row>
    <row r="196" spans="1:21" x14ac:dyDescent="0.55000000000000004">
      <c r="A196" s="10">
        <v>192</v>
      </c>
      <c r="B196" s="19" t="s">
        <v>200</v>
      </c>
      <c r="C196" s="47">
        <f>+ยกมา!C204</f>
        <v>0</v>
      </c>
      <c r="D196" s="45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.'!D196</f>
        <v>0</v>
      </c>
      <c r="E196" s="44">
        <f t="shared" si="7"/>
        <v>0</v>
      </c>
      <c r="F196" s="45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4">
        <f t="shared" si="8"/>
        <v>0</v>
      </c>
      <c r="H196" s="45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20">
        <v>150</v>
      </c>
      <c r="J196" s="45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.'!J196</f>
        <v>0</v>
      </c>
      <c r="K196" s="19"/>
      <c r="M196" s="53"/>
      <c r="U196" s="5"/>
    </row>
    <row r="197" spans="1:21" x14ac:dyDescent="0.55000000000000004">
      <c r="A197" s="10">
        <v>193</v>
      </c>
      <c r="B197" s="19" t="s">
        <v>201</v>
      </c>
      <c r="C197" s="47">
        <f>+ยกมา!C205</f>
        <v>0</v>
      </c>
      <c r="D197" s="45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.'!D197</f>
        <v>0</v>
      </c>
      <c r="E197" s="44">
        <f t="shared" si="7"/>
        <v>0</v>
      </c>
      <c r="F197" s="45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4">
        <f t="shared" si="8"/>
        <v>0</v>
      </c>
      <c r="H197" s="45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20">
        <v>150</v>
      </c>
      <c r="J197" s="45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.'!J197</f>
        <v>0</v>
      </c>
      <c r="K197" s="19"/>
      <c r="M197" s="53"/>
      <c r="U197" s="5"/>
    </row>
    <row r="198" spans="1:21" x14ac:dyDescent="0.55000000000000004">
      <c r="A198" s="10">
        <v>194</v>
      </c>
      <c r="B198" s="19" t="s">
        <v>256</v>
      </c>
      <c r="C198" s="47">
        <f>+ยกมา!C206</f>
        <v>0</v>
      </c>
      <c r="D198" s="45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.'!D198</f>
        <v>0</v>
      </c>
      <c r="E198" s="44">
        <f t="shared" ref="E198:E235" si="9">+C198+D198</f>
        <v>0</v>
      </c>
      <c r="F198" s="45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4">
        <f t="shared" ref="G198:G235" si="10">C198+D198-F198-H198</f>
        <v>0</v>
      </c>
      <c r="H198" s="45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20">
        <v>55</v>
      </c>
      <c r="J198" s="45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.'!J198</f>
        <v>0</v>
      </c>
      <c r="K198" s="19"/>
      <c r="M198" s="53"/>
      <c r="U198" s="5"/>
    </row>
    <row r="199" spans="1:21" x14ac:dyDescent="0.55000000000000004">
      <c r="A199" s="10">
        <v>195</v>
      </c>
      <c r="B199" s="19" t="s">
        <v>257</v>
      </c>
      <c r="C199" s="47">
        <f>+ยกมา!C207</f>
        <v>0</v>
      </c>
      <c r="D199" s="45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.'!D199</f>
        <v>0</v>
      </c>
      <c r="E199" s="44">
        <f t="shared" si="9"/>
        <v>0</v>
      </c>
      <c r="F199" s="45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4">
        <f t="shared" si="10"/>
        <v>0</v>
      </c>
      <c r="H199" s="45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20">
        <v>30</v>
      </c>
      <c r="J199" s="45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.'!J199</f>
        <v>0</v>
      </c>
      <c r="K199" s="19"/>
      <c r="M199" s="53"/>
      <c r="U199" s="5"/>
    </row>
    <row r="200" spans="1:21" x14ac:dyDescent="0.55000000000000004">
      <c r="A200" s="10">
        <v>196</v>
      </c>
      <c r="B200" s="19" t="s">
        <v>258</v>
      </c>
      <c r="C200" s="47">
        <f>+ยกมา!C208</f>
        <v>0</v>
      </c>
      <c r="D200" s="45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.'!D200</f>
        <v>0</v>
      </c>
      <c r="E200" s="44">
        <f t="shared" si="9"/>
        <v>0</v>
      </c>
      <c r="F200" s="45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4">
        <f t="shared" si="10"/>
        <v>0</v>
      </c>
      <c r="H200" s="45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20">
        <v>30</v>
      </c>
      <c r="J200" s="45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.'!J200</f>
        <v>0</v>
      </c>
      <c r="K200" s="19"/>
      <c r="M200" s="53"/>
      <c r="U200" s="5"/>
    </row>
    <row r="201" spans="1:21" x14ac:dyDescent="0.55000000000000004">
      <c r="A201" s="10">
        <v>197</v>
      </c>
      <c r="B201" s="19" t="s">
        <v>259</v>
      </c>
      <c r="C201" s="47">
        <f>+ยกมา!C209</f>
        <v>0</v>
      </c>
      <c r="D201" s="45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.'!D201</f>
        <v>0</v>
      </c>
      <c r="E201" s="44">
        <f t="shared" si="9"/>
        <v>0</v>
      </c>
      <c r="F201" s="45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4">
        <f t="shared" si="10"/>
        <v>0</v>
      </c>
      <c r="H201" s="45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20">
        <v>30</v>
      </c>
      <c r="J201" s="45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.'!J201</f>
        <v>0</v>
      </c>
      <c r="K201" s="19"/>
      <c r="M201" s="53"/>
      <c r="U201" s="5"/>
    </row>
    <row r="202" spans="1:21" x14ac:dyDescent="0.55000000000000004">
      <c r="A202" s="10">
        <v>198</v>
      </c>
      <c r="B202" s="19" t="s">
        <v>260</v>
      </c>
      <c r="C202" s="47">
        <f>+ยกมา!C210</f>
        <v>0</v>
      </c>
      <c r="D202" s="45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.'!D202</f>
        <v>0</v>
      </c>
      <c r="E202" s="44">
        <f t="shared" si="9"/>
        <v>0</v>
      </c>
      <c r="F202" s="45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4">
        <f t="shared" si="10"/>
        <v>0</v>
      </c>
      <c r="H202" s="45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20">
        <v>30</v>
      </c>
      <c r="J202" s="45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.'!J202</f>
        <v>0</v>
      </c>
      <c r="K202" s="19"/>
      <c r="M202" s="53"/>
      <c r="U202" s="5"/>
    </row>
    <row r="203" spans="1:21" x14ac:dyDescent="0.55000000000000004">
      <c r="A203" s="10">
        <v>199</v>
      </c>
      <c r="B203" s="19" t="s">
        <v>261</v>
      </c>
      <c r="C203" s="47">
        <f>+ยกมา!C211</f>
        <v>0</v>
      </c>
      <c r="D203" s="45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.'!D203</f>
        <v>0</v>
      </c>
      <c r="E203" s="44">
        <f t="shared" si="9"/>
        <v>0</v>
      </c>
      <c r="F203" s="45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4">
        <f t="shared" si="10"/>
        <v>0</v>
      </c>
      <c r="H203" s="45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20">
        <v>30</v>
      </c>
      <c r="J203" s="45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.'!J203</f>
        <v>0</v>
      </c>
      <c r="K203" s="19"/>
      <c r="M203" s="53"/>
      <c r="U203" s="5"/>
    </row>
    <row r="204" spans="1:21" x14ac:dyDescent="0.55000000000000004">
      <c r="A204" s="10">
        <v>200</v>
      </c>
      <c r="B204" s="19" t="s">
        <v>262</v>
      </c>
      <c r="C204" s="47">
        <f>+ยกมา!C212</f>
        <v>0</v>
      </c>
      <c r="D204" s="45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.'!D204</f>
        <v>0</v>
      </c>
      <c r="E204" s="44">
        <f t="shared" si="9"/>
        <v>0</v>
      </c>
      <c r="F204" s="45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4">
        <f t="shared" si="10"/>
        <v>0</v>
      </c>
      <c r="H204" s="45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20">
        <v>30</v>
      </c>
      <c r="J204" s="45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.'!J204</f>
        <v>0</v>
      </c>
      <c r="K204" s="19"/>
      <c r="M204" s="53"/>
      <c r="U204" s="5"/>
    </row>
    <row r="205" spans="1:21" x14ac:dyDescent="0.55000000000000004">
      <c r="A205" s="10">
        <v>201</v>
      </c>
      <c r="B205" s="19" t="s">
        <v>263</v>
      </c>
      <c r="C205" s="47">
        <f>+ยกมา!C213</f>
        <v>0</v>
      </c>
      <c r="D205" s="45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.'!D205</f>
        <v>0</v>
      </c>
      <c r="E205" s="44">
        <f t="shared" si="9"/>
        <v>0</v>
      </c>
      <c r="F205" s="45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4">
        <f t="shared" si="10"/>
        <v>0</v>
      </c>
      <c r="H205" s="45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20">
        <v>50</v>
      </c>
      <c r="J205" s="45">
        <f>+'1'!J205+'2'!J205+'3'!J205+'4'!J205+'5'!J205+'6'!J205+'7'!J205+'8'!J205+'9'!J205+'10'!J205+'11'!J205+'12'!J205+'13'!J205+'14'!J205+'15'!J205+'16'!J205+'17'!J205+'18'!J205+'19'!J205+'20'!J205+'21'!J205+'22'!J205+'23'!J205+'24'!J205+'25'!J205+'26'!J205+'27'!J205+'28'!J205+'29'!J205+'30'!J205+'31.'!J205</f>
        <v>0</v>
      </c>
      <c r="K205" s="19"/>
      <c r="M205" s="53"/>
      <c r="U205" s="5"/>
    </row>
    <row r="206" spans="1:21" x14ac:dyDescent="0.55000000000000004">
      <c r="A206" s="10">
        <v>202</v>
      </c>
      <c r="B206" s="19" t="s">
        <v>264</v>
      </c>
      <c r="C206" s="47">
        <f>+ยกมา!C77</f>
        <v>2</v>
      </c>
      <c r="D206" s="45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.'!D206</f>
        <v>0</v>
      </c>
      <c r="E206" s="44">
        <f t="shared" si="9"/>
        <v>2</v>
      </c>
      <c r="F206" s="45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4">
        <f t="shared" si="10"/>
        <v>2</v>
      </c>
      <c r="H206" s="45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20">
        <v>100</v>
      </c>
      <c r="J206" s="45">
        <f>+'1'!J206+'2'!J206+'3'!J206+'4'!J206+'5'!J206+'6'!J206+'7'!J206+'8'!J206+'9'!J206+'10'!J206+'11'!J206+'12'!J206+'13'!J206+'14'!J206+'15'!J206+'16'!J206+'17'!J206+'18'!J206+'19'!J206+'20'!J206+'21'!J206+'22'!J206+'23'!J206+'24'!J206+'25'!J206+'26'!J206+'27'!J206+'28'!J206+'29'!J206+'30'!J206+'31.'!J206</f>
        <v>0</v>
      </c>
      <c r="K206" s="19"/>
      <c r="M206" s="53"/>
      <c r="U206" s="5"/>
    </row>
    <row r="207" spans="1:21" x14ac:dyDescent="0.55000000000000004">
      <c r="A207" s="10">
        <v>203</v>
      </c>
      <c r="B207" s="19" t="s">
        <v>265</v>
      </c>
      <c r="C207" s="47">
        <f>+ยกมา!C214</f>
        <v>0</v>
      </c>
      <c r="D207" s="45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.'!D207</f>
        <v>0</v>
      </c>
      <c r="E207" s="44">
        <f t="shared" si="9"/>
        <v>0</v>
      </c>
      <c r="F207" s="45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4">
        <f t="shared" si="10"/>
        <v>0</v>
      </c>
      <c r="H207" s="45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20">
        <v>100</v>
      </c>
      <c r="J207" s="45">
        <f>+'1'!J207+'2'!J207+'3'!J207+'4'!J207+'5'!J207+'6'!J207+'7'!J207+'8'!J207+'9'!J207+'10'!J207+'11'!J207+'12'!J207+'13'!J207+'14'!J207+'15'!J207+'16'!J207+'17'!J207+'18'!J207+'19'!J207+'20'!J207+'21'!J207+'22'!J207+'23'!J207+'24'!J207+'25'!J207+'26'!J207+'27'!J207+'28'!J207+'29'!J207+'30'!J207+'31.'!J207</f>
        <v>0</v>
      </c>
      <c r="K207" s="19"/>
      <c r="M207" s="53"/>
      <c r="U207" s="5"/>
    </row>
    <row r="208" spans="1:21" x14ac:dyDescent="0.55000000000000004">
      <c r="A208" s="10">
        <v>204</v>
      </c>
      <c r="B208" s="19" t="s">
        <v>266</v>
      </c>
      <c r="C208" s="47">
        <f>+ยกมา!C215</f>
        <v>0</v>
      </c>
      <c r="D208" s="45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.'!D208</f>
        <v>0</v>
      </c>
      <c r="E208" s="44">
        <f t="shared" si="9"/>
        <v>0</v>
      </c>
      <c r="F208" s="45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4">
        <f t="shared" si="10"/>
        <v>0</v>
      </c>
      <c r="H208" s="45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20">
        <v>100</v>
      </c>
      <c r="J208" s="45">
        <f>+'1'!J208+'2'!J208+'3'!J208+'4'!J208+'5'!J208+'6'!J208+'7'!J208+'8'!J208+'9'!J208+'10'!J208+'11'!J208+'12'!J208+'13'!J208+'14'!J208+'15'!J208+'16'!J208+'17'!J208+'18'!J208+'19'!J208+'20'!J208+'21'!J208+'22'!J208+'23'!J208+'24'!J208+'25'!J208+'26'!J208+'27'!J208+'28'!J208+'29'!J208+'30'!J208+'31.'!J208</f>
        <v>0</v>
      </c>
      <c r="K208" s="19"/>
      <c r="M208" s="53"/>
      <c r="U208" s="5"/>
    </row>
    <row r="209" spans="1:21" x14ac:dyDescent="0.55000000000000004">
      <c r="A209" s="10">
        <v>205</v>
      </c>
      <c r="B209" s="19" t="s">
        <v>267</v>
      </c>
      <c r="C209" s="47">
        <f>+ยกมา!C216</f>
        <v>0</v>
      </c>
      <c r="D209" s="45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.'!D209</f>
        <v>0</v>
      </c>
      <c r="E209" s="44">
        <f t="shared" si="9"/>
        <v>0</v>
      </c>
      <c r="F209" s="45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4">
        <f t="shared" si="10"/>
        <v>0</v>
      </c>
      <c r="H209" s="45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20">
        <v>100</v>
      </c>
      <c r="J209" s="45">
        <f>+'1'!J209+'2'!J209+'3'!J209+'4'!J209+'5'!J209+'6'!J209+'7'!J209+'8'!J209+'9'!J209+'10'!J209+'11'!J209+'12'!J209+'13'!J209+'14'!J209+'15'!J209+'16'!J209+'17'!J209+'18'!J209+'19'!J209+'20'!J209+'21'!J209+'22'!J209+'23'!J209+'24'!J209+'25'!J209+'26'!J209+'27'!J209+'28'!J209+'29'!J209+'30'!J209+'31.'!J209</f>
        <v>0</v>
      </c>
      <c r="K209" s="19"/>
      <c r="M209" s="53"/>
      <c r="U209" s="5"/>
    </row>
    <row r="210" spans="1:21" x14ac:dyDescent="0.55000000000000004">
      <c r="A210" s="10">
        <v>206</v>
      </c>
      <c r="B210" s="19" t="s">
        <v>268</v>
      </c>
      <c r="C210" s="47">
        <f>+ยกมา!C217</f>
        <v>0</v>
      </c>
      <c r="D210" s="45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.'!D210</f>
        <v>0</v>
      </c>
      <c r="E210" s="44">
        <f t="shared" si="9"/>
        <v>0</v>
      </c>
      <c r="F210" s="45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4">
        <f t="shared" si="10"/>
        <v>0</v>
      </c>
      <c r="H210" s="45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20">
        <v>250</v>
      </c>
      <c r="J210" s="45">
        <f>+'1'!J210+'2'!J210+'3'!J210+'4'!J210+'5'!J210+'6'!J210+'7'!J210+'8'!J210+'9'!J210+'10'!J210+'11'!J210+'12'!J210+'13'!J210+'14'!J210+'15'!J210+'16'!J210+'17'!J210+'18'!J210+'19'!J210+'20'!J210+'21'!J210+'22'!J210+'23'!J210+'24'!J210+'25'!J210+'26'!J210+'27'!J210+'28'!J210+'29'!J210+'30'!J210+'31.'!J210</f>
        <v>0</v>
      </c>
      <c r="K210" s="19"/>
      <c r="M210" s="53"/>
      <c r="U210" s="5"/>
    </row>
    <row r="211" spans="1:21" x14ac:dyDescent="0.55000000000000004">
      <c r="A211" s="10">
        <v>207</v>
      </c>
      <c r="B211" s="19" t="s">
        <v>269</v>
      </c>
      <c r="C211" s="47">
        <f>+ยกมา!C218</f>
        <v>1</v>
      </c>
      <c r="D211" s="45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.'!D211</f>
        <v>0</v>
      </c>
      <c r="E211" s="44">
        <f t="shared" si="9"/>
        <v>1</v>
      </c>
      <c r="F211" s="45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4">
        <f t="shared" si="10"/>
        <v>1</v>
      </c>
      <c r="H211" s="45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20">
        <v>250</v>
      </c>
      <c r="J211" s="45">
        <f>+'1'!J211+'2'!J211+'3'!J211+'4'!J211+'5'!J211+'6'!J211+'7'!J211+'8'!J211+'9'!J211+'10'!J211+'11'!J211+'12'!J211+'13'!J211+'14'!J211+'15'!J211+'16'!J211+'17'!J211+'18'!J211+'19'!J211+'20'!J211+'21'!J211+'22'!J211+'23'!J211+'24'!J211+'25'!J211+'26'!J211+'27'!J211+'28'!J211+'29'!J211+'30'!J211+'31.'!J211</f>
        <v>0</v>
      </c>
      <c r="K211" s="19"/>
      <c r="M211" s="53"/>
      <c r="U211" s="5"/>
    </row>
    <row r="212" spans="1:21" x14ac:dyDescent="0.55000000000000004">
      <c r="A212" s="10">
        <v>208</v>
      </c>
      <c r="B212" s="19" t="s">
        <v>270</v>
      </c>
      <c r="C212" s="47">
        <f>+ยกมา!C219</f>
        <v>1</v>
      </c>
      <c r="D212" s="45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.'!D212</f>
        <v>0</v>
      </c>
      <c r="E212" s="44">
        <f t="shared" si="9"/>
        <v>1</v>
      </c>
      <c r="F212" s="45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4">
        <f t="shared" si="10"/>
        <v>1</v>
      </c>
      <c r="H212" s="45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20">
        <v>250</v>
      </c>
      <c r="J212" s="45">
        <f>+'1'!J212+'2'!J212+'3'!J212+'4'!J212+'5'!J212+'6'!J212+'7'!J212+'8'!J212+'9'!J212+'10'!J212+'11'!J212+'12'!J212+'13'!J212+'14'!J212+'15'!J212+'16'!J212+'17'!J212+'18'!J212+'19'!J212+'20'!J212+'21'!J212+'22'!J212+'23'!J212+'24'!J212+'25'!J212+'26'!J212+'27'!J212+'28'!J212+'29'!J212+'30'!J212+'31.'!J212</f>
        <v>0</v>
      </c>
      <c r="K212" s="19"/>
      <c r="M212" s="53"/>
      <c r="U212" s="5"/>
    </row>
    <row r="213" spans="1:21" x14ac:dyDescent="0.55000000000000004">
      <c r="A213" s="10">
        <v>209</v>
      </c>
      <c r="B213" s="19" t="s">
        <v>271</v>
      </c>
      <c r="C213" s="47">
        <f>+ยกมา!C220</f>
        <v>0</v>
      </c>
      <c r="D213" s="45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.'!D213</f>
        <v>0</v>
      </c>
      <c r="E213" s="44">
        <f t="shared" si="9"/>
        <v>0</v>
      </c>
      <c r="F213" s="45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4">
        <f t="shared" si="10"/>
        <v>0</v>
      </c>
      <c r="H213" s="45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20">
        <v>50</v>
      </c>
      <c r="J213" s="45">
        <f>+'1'!J213+'2'!J213+'3'!J213+'4'!J213+'5'!J213+'6'!J213+'7'!J213+'8'!J213+'9'!J213+'10'!J213+'11'!J213+'12'!J213+'13'!J213+'14'!J213+'15'!J213+'16'!J213+'17'!J213+'18'!J213+'19'!J213+'20'!J213+'21'!J213+'22'!J213+'23'!J213+'24'!J213+'25'!J213+'26'!J213+'27'!J213+'28'!J213+'29'!J213+'30'!J213+'31.'!J213</f>
        <v>0</v>
      </c>
      <c r="K213" s="19"/>
      <c r="M213" s="53"/>
      <c r="U213" s="5"/>
    </row>
    <row r="214" spans="1:21" x14ac:dyDescent="0.55000000000000004">
      <c r="A214" s="10">
        <v>210</v>
      </c>
      <c r="B214" s="19" t="s">
        <v>273</v>
      </c>
      <c r="C214" s="47">
        <f>+ยกมา!C222</f>
        <v>0</v>
      </c>
      <c r="D214" s="45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.'!D214</f>
        <v>0</v>
      </c>
      <c r="E214" s="44">
        <f t="shared" si="9"/>
        <v>0</v>
      </c>
      <c r="F214" s="45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4">
        <f t="shared" si="10"/>
        <v>0</v>
      </c>
      <c r="H214" s="45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20">
        <v>50</v>
      </c>
      <c r="J214" s="45">
        <f>+'1'!J214+'2'!J214+'3'!J214+'4'!J214+'5'!J214+'6'!J214+'7'!J214+'8'!J214+'9'!J214+'10'!J214+'11'!J214+'12'!J214+'13'!J214+'14'!J214+'15'!J214+'16'!J214+'17'!J214+'18'!J214+'19'!J214+'20'!J214+'21'!J214+'22'!J214+'23'!J214+'24'!J214+'25'!J214+'26'!J214+'27'!J214+'28'!J214+'29'!J214+'30'!J214+'31.'!J214</f>
        <v>0</v>
      </c>
      <c r="K214" s="19"/>
      <c r="M214" s="53"/>
      <c r="U214" s="5"/>
    </row>
    <row r="215" spans="1:21" x14ac:dyDescent="0.55000000000000004">
      <c r="A215" s="10">
        <v>211</v>
      </c>
      <c r="B215" s="19" t="s">
        <v>274</v>
      </c>
      <c r="C215" s="47">
        <f>+ยกมา!C223</f>
        <v>0</v>
      </c>
      <c r="D215" s="45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.'!D215</f>
        <v>0</v>
      </c>
      <c r="E215" s="44">
        <f t="shared" si="9"/>
        <v>0</v>
      </c>
      <c r="F215" s="45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4">
        <f t="shared" si="10"/>
        <v>0</v>
      </c>
      <c r="H215" s="45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20">
        <v>50</v>
      </c>
      <c r="J215" s="45">
        <f>+'1'!J215+'2'!J215+'3'!J215+'4'!J215+'5'!J215+'6'!J215+'7'!J215+'8'!J215+'9'!J215+'10'!J215+'11'!J215+'12'!J215+'13'!J215+'14'!J215+'15'!J215+'16'!J215+'17'!J215+'18'!J215+'19'!J215+'20'!J215+'21'!J215+'22'!J215+'23'!J215+'24'!J215+'25'!J215+'26'!J215+'27'!J215+'28'!J215+'29'!J215+'30'!J215+'31.'!J215</f>
        <v>0</v>
      </c>
      <c r="K215" s="19"/>
      <c r="M215" s="53"/>
      <c r="U215" s="5"/>
    </row>
    <row r="216" spans="1:21" x14ac:dyDescent="0.55000000000000004">
      <c r="A216" s="10">
        <v>212</v>
      </c>
      <c r="B216" s="19" t="s">
        <v>242</v>
      </c>
      <c r="C216" s="47">
        <f>+ยกมา!C224</f>
        <v>0</v>
      </c>
      <c r="D216" s="45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.'!D216</f>
        <v>0</v>
      </c>
      <c r="E216" s="44">
        <f t="shared" si="9"/>
        <v>0</v>
      </c>
      <c r="F216" s="45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4">
        <f t="shared" si="10"/>
        <v>0</v>
      </c>
      <c r="H216" s="45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20">
        <v>35</v>
      </c>
      <c r="J216" s="45">
        <f>+'1'!J216+'2'!J216+'3'!J216+'4'!J216+'5'!J216+'6'!J216+'7'!J216+'8'!J216+'9'!J216+'10'!J216+'11'!J216+'12'!J216+'13'!J216+'14'!J216+'15'!J216+'16'!J216+'17'!J216+'18'!J216+'19'!J216+'20'!J216+'21'!J216+'22'!J216+'23'!J216+'24'!J216+'25'!J216+'26'!J216+'27'!J216+'28'!J216+'29'!J216+'30'!J216+'31.'!J216</f>
        <v>0</v>
      </c>
      <c r="K216" s="19"/>
      <c r="M216" s="53"/>
      <c r="U216" s="5"/>
    </row>
    <row r="217" spans="1:21" x14ac:dyDescent="0.55000000000000004">
      <c r="A217" s="10">
        <v>213</v>
      </c>
      <c r="B217" s="19" t="s">
        <v>275</v>
      </c>
      <c r="C217" s="47">
        <f>+ยกมา!C225</f>
        <v>0</v>
      </c>
      <c r="D217" s="45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.'!D217</f>
        <v>0</v>
      </c>
      <c r="E217" s="44">
        <f t="shared" si="9"/>
        <v>0</v>
      </c>
      <c r="F217" s="45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4">
        <f t="shared" si="10"/>
        <v>0</v>
      </c>
      <c r="H217" s="45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20">
        <v>199</v>
      </c>
      <c r="J217" s="45">
        <f>+'1'!J217+'2'!J217+'3'!J217+'4'!J217+'5'!J217+'6'!J217+'7'!J217+'8'!J217+'9'!J217+'10'!J217+'11'!J217+'12'!J217+'13'!J217+'14'!J217+'15'!J217+'16'!J217+'17'!J217+'18'!J217+'19'!J217+'20'!J217+'21'!J217+'22'!J217+'23'!J217+'24'!J217+'25'!J217+'26'!J217+'27'!J217+'28'!J217+'29'!J217+'30'!J217+'31.'!J217</f>
        <v>0</v>
      </c>
      <c r="K217" s="19"/>
      <c r="M217" s="53"/>
      <c r="U217" s="5"/>
    </row>
    <row r="218" spans="1:21" x14ac:dyDescent="0.55000000000000004">
      <c r="A218" s="10">
        <v>214</v>
      </c>
      <c r="B218" s="19" t="s">
        <v>283</v>
      </c>
      <c r="C218" s="47"/>
      <c r="D218" s="45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+'31.'!D218</f>
        <v>0</v>
      </c>
      <c r="E218" s="44">
        <f t="shared" si="9"/>
        <v>0</v>
      </c>
      <c r="F218" s="45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1</v>
      </c>
      <c r="G218" s="44">
        <f t="shared" si="10"/>
        <v>-1</v>
      </c>
      <c r="H218" s="45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20">
        <v>25</v>
      </c>
      <c r="J218" s="45">
        <f>+'1'!J218+'2'!J218+'3'!J218+'4'!J218+'5'!J218+'6'!J218+'7'!J218+'8'!J218+'9'!J218+'10'!J218+'11'!J218+'12'!J218+'13'!J218+'14'!J218+'15'!J218+'16'!J218+'17'!J218+'18'!J218+'19'!J218+'20'!J218+'21'!J218+'22'!J218+'23'!J218+'24'!J218+'25'!J218+'26'!J218+'27'!J218+'28'!J218+'29'!J218+'30'!J218+'31.'!J218</f>
        <v>0</v>
      </c>
      <c r="K218" s="19"/>
      <c r="M218" s="53"/>
      <c r="U218" s="5"/>
    </row>
    <row r="219" spans="1:21" x14ac:dyDescent="0.55000000000000004">
      <c r="A219" s="10">
        <v>215</v>
      </c>
      <c r="B219" s="19" t="s">
        <v>284</v>
      </c>
      <c r="C219" s="47"/>
      <c r="D219" s="45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+'31.'!D219</f>
        <v>0</v>
      </c>
      <c r="E219" s="44">
        <f t="shared" si="9"/>
        <v>0</v>
      </c>
      <c r="F219" s="45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1</v>
      </c>
      <c r="G219" s="44">
        <f t="shared" si="10"/>
        <v>-1</v>
      </c>
      <c r="H219" s="45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20">
        <v>25</v>
      </c>
      <c r="J219" s="45">
        <f>+'1'!J219+'2'!J219+'3'!J219+'4'!J219+'5'!J219+'6'!J219+'7'!J219+'8'!J219+'9'!J219+'10'!J219+'11'!J219+'12'!J219+'13'!J219+'14'!J219+'15'!J219+'16'!J219+'17'!J219+'18'!J219+'19'!J219+'20'!J219+'21'!J219+'22'!J219+'23'!J219+'24'!J219+'25'!J219+'26'!J219+'27'!J219+'28'!J219+'29'!J219+'30'!J219+'31.'!J219</f>
        <v>0</v>
      </c>
      <c r="K219" s="19"/>
      <c r="M219" s="53"/>
      <c r="U219" s="5"/>
    </row>
    <row r="220" spans="1:21" x14ac:dyDescent="0.55000000000000004">
      <c r="A220" s="10">
        <v>216</v>
      </c>
      <c r="B220" s="19" t="s">
        <v>314</v>
      </c>
      <c r="C220" s="47">
        <f>+ยกมา!C228</f>
        <v>0</v>
      </c>
      <c r="D220" s="45">
        <f>+'1'!D220+'2'!D220+'3'!D220+'4'!D220+'5'!D220+'6'!D220+'7'!D220+'8'!D220+'9'!D220+'10'!D220+'11'!D220+'12'!D220+'13'!D220+'14'!D220+'15'!D220+'16'!D220+'17'!D220+'18'!D220+'19'!D220+'20'!D220+'21'!D220+'22'!D220+'23'!D220+'24'!D220+'25'!D220+'26'!D220+'27'!D220+'28'!D220+'29'!D220+'30'!D220+'31.'!D220</f>
        <v>0</v>
      </c>
      <c r="E220" s="44">
        <f t="shared" si="9"/>
        <v>0</v>
      </c>
      <c r="F220" s="45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26</v>
      </c>
      <c r="G220" s="44">
        <f t="shared" si="10"/>
        <v>-29</v>
      </c>
      <c r="H220" s="45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3</v>
      </c>
      <c r="I220" s="20">
        <v>35</v>
      </c>
      <c r="J220" s="45">
        <f>+'1'!J220+'2'!J220+'3'!J220+'4'!J220+'5'!J220+'6'!J220+'7'!J220+'8'!J220+'9'!J220+'10'!J220+'11'!J220+'12'!J220+'13'!J220+'14'!J220+'15'!J220+'16'!J220+'17'!J220+'18'!J220+'19'!J220+'20'!J220+'21'!J220+'22'!J220+'23'!J220+'24'!J220+'25'!J220+'26'!J220+'27'!J220+'28'!J220+'29'!J220+'30'!J220+'31.'!J220</f>
        <v>105</v>
      </c>
      <c r="K220" s="19"/>
      <c r="M220" s="53"/>
      <c r="U220" s="5"/>
    </row>
    <row r="221" spans="1:21" x14ac:dyDescent="0.55000000000000004">
      <c r="A221" s="10">
        <v>217</v>
      </c>
      <c r="B221" s="19" t="s">
        <v>326</v>
      </c>
      <c r="C221" s="47">
        <f>+ยกมา!C229</f>
        <v>0</v>
      </c>
      <c r="D221" s="45">
        <f>+'1'!D221+'2'!D221+'3'!D221+'4'!D221+'5'!D221+'6'!D221+'7'!D221+'8'!D221+'9'!D221+'10'!D221+'11'!D221+'12'!D221+'13'!D221+'14'!D221+'15'!D221+'16'!D221+'17'!D221+'18'!D221+'19'!D221+'20'!D221+'21'!D221+'22'!D221+'23'!D221+'24'!D221+'25'!D221+'26'!D221+'27'!D221+'28'!D221+'29'!D221+'30'!D221+'31.'!D221</f>
        <v>5</v>
      </c>
      <c r="E221" s="44">
        <f t="shared" si="9"/>
        <v>5</v>
      </c>
      <c r="F221" s="45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4">
        <f t="shared" si="10"/>
        <v>1</v>
      </c>
      <c r="H221" s="45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4</v>
      </c>
      <c r="I221" s="20">
        <v>55</v>
      </c>
      <c r="J221" s="45">
        <f>+'1'!J221+'2'!J221+'3'!J221+'4'!J221+'5'!J221+'6'!J221+'7'!J221+'8'!J221+'9'!J221+'10'!J221+'11'!J221+'12'!J221+'13'!J221+'14'!J221+'15'!J221+'16'!J221+'17'!J221+'18'!J221+'19'!J221+'20'!J221+'21'!J221+'22'!J221+'23'!J221+'24'!J221+'25'!J221+'26'!J221+'27'!J221+'28'!J221+'29'!J221+'30'!J221+'31.'!J221</f>
        <v>220</v>
      </c>
      <c r="K221" s="19"/>
      <c r="M221" s="53"/>
      <c r="U221" s="5"/>
    </row>
    <row r="222" spans="1:21" x14ac:dyDescent="0.55000000000000004">
      <c r="A222" s="10">
        <v>218</v>
      </c>
      <c r="B222" s="19" t="s">
        <v>327</v>
      </c>
      <c r="C222" s="47">
        <f>+ยกมา!C230</f>
        <v>0</v>
      </c>
      <c r="D222" s="45">
        <f>+'1'!D222+'2'!D222+'3'!D222+'4'!D222+'5'!D222+'6'!D222+'7'!D222+'8'!D222+'9'!D222+'10'!D222+'11'!D222+'12'!D222+'13'!D222+'14'!D222+'15'!D222+'16'!D222+'17'!D222+'18'!D222+'19'!D222+'20'!D222+'21'!D222+'22'!D222+'23'!D222+'24'!D222+'25'!D222+'26'!D222+'27'!D222+'28'!D222+'29'!D222+'30'!D222+'31.'!D222</f>
        <v>15</v>
      </c>
      <c r="E222" s="44">
        <f t="shared" si="9"/>
        <v>15</v>
      </c>
      <c r="F222" s="45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4">
        <f t="shared" si="10"/>
        <v>0</v>
      </c>
      <c r="H222" s="45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15</v>
      </c>
      <c r="I222" s="20">
        <v>40</v>
      </c>
      <c r="J222" s="45">
        <f>+'1'!J222+'2'!J222+'3'!J222+'4'!J222+'5'!J222+'6'!J222+'7'!J222+'8'!J222+'9'!J222+'10'!J222+'11'!J222+'12'!J222+'13'!J222+'14'!J222+'15'!J222+'16'!J222+'17'!J222+'18'!J222+'19'!J222+'20'!J222+'21'!J222+'22'!J222+'23'!J222+'24'!J222+'25'!J222+'26'!J222+'27'!J222+'28'!J222+'29'!J222+'30'!J222+'31.'!J222</f>
        <v>600</v>
      </c>
      <c r="K222" s="19"/>
      <c r="M222" s="53"/>
      <c r="U222" s="5"/>
    </row>
    <row r="223" spans="1:21" x14ac:dyDescent="0.55000000000000004">
      <c r="A223" s="10">
        <v>219</v>
      </c>
      <c r="B223" s="19"/>
      <c r="C223" s="47">
        <f>+ยกมา!C231</f>
        <v>0</v>
      </c>
      <c r="D223" s="45">
        <f>+'1'!D223+'2'!D223+'3'!D223+'4'!D223+'5'!D223+'6'!D223+'7'!D223+'8'!D223+'9'!D223+'10'!D223+'11'!D223+'12'!D223+'13'!D223+'14'!D223+'15'!D223+'16'!D223+'17'!D223+'18'!D223+'19'!D223+'20'!D223+'21'!D223+'22'!D223+'23'!D223+'24'!D223+'25'!D223+'26'!D223+'27'!D223+'28'!D223+'29'!D223+'30'!D223+'31.'!D223</f>
        <v>0</v>
      </c>
      <c r="E223" s="44">
        <f t="shared" si="9"/>
        <v>0</v>
      </c>
      <c r="F223" s="45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4">
        <f t="shared" si="10"/>
        <v>0</v>
      </c>
      <c r="H223" s="45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20"/>
      <c r="J223" s="45">
        <f>+'1'!J223+'2'!J223+'3'!J223+'4'!J223+'5'!J223+'6'!J223+'7'!J223+'8'!J223+'9'!J223+'10'!J223+'11'!J223+'12'!J223+'13'!J223+'14'!J223+'15'!J223+'16'!J223+'17'!J223+'18'!J223+'19'!J223+'20'!J223+'21'!J223+'22'!J223+'23'!J223+'24'!J223+'25'!J223+'26'!J223+'27'!J223+'28'!J223+'29'!J223+'30'!J223+'31.'!J223</f>
        <v>0</v>
      </c>
      <c r="K223" s="19"/>
      <c r="M223" s="53"/>
      <c r="U223" s="5"/>
    </row>
    <row r="224" spans="1:21" x14ac:dyDescent="0.55000000000000004">
      <c r="A224" s="10">
        <v>220</v>
      </c>
      <c r="B224" s="19"/>
      <c r="C224" s="47">
        <f>+ยกมา!C232</f>
        <v>0</v>
      </c>
      <c r="D224" s="45">
        <f>+'1'!D224+'2'!D224+'3'!D224+'4'!D224+'5'!D224+'6'!D224+'7'!D224+'8'!D224+'9'!D224+'10'!D224+'11'!D224+'12'!D224+'13'!D224+'14'!D224+'15'!D224+'16'!D224+'17'!D224+'18'!D224+'19'!D224+'20'!D224+'21'!D224+'22'!D224+'23'!D224+'24'!D224+'25'!D224+'26'!D224+'27'!D224+'28'!D224+'29'!D224+'30'!D224+'31.'!D224</f>
        <v>0</v>
      </c>
      <c r="E224" s="44">
        <f t="shared" si="9"/>
        <v>0</v>
      </c>
      <c r="F224" s="45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4">
        <f t="shared" si="10"/>
        <v>0</v>
      </c>
      <c r="H224" s="45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20"/>
      <c r="J224" s="45">
        <f>+'1'!J224+'2'!J224+'3'!J224+'4'!J224+'5'!J224+'6'!J224+'7'!J224+'8'!J224+'9'!J224+'10'!J224+'11'!J224+'12'!J224+'13'!J224+'14'!J224+'15'!J224+'16'!J224+'17'!J224+'18'!J224+'19'!J224+'20'!J224+'21'!J224+'22'!J224+'23'!J224+'24'!J224+'25'!J224+'26'!J224+'27'!J224+'28'!J224+'29'!J224+'30'!J224+'31.'!J224</f>
        <v>0</v>
      </c>
      <c r="K224" s="19"/>
      <c r="M224" s="53"/>
      <c r="U224" s="5"/>
    </row>
    <row r="225" spans="1:21" x14ac:dyDescent="0.55000000000000004">
      <c r="A225" s="10">
        <v>221</v>
      </c>
      <c r="B225" s="19"/>
      <c r="C225" s="47">
        <f>+ยกมา!C233</f>
        <v>0</v>
      </c>
      <c r="D225" s="45">
        <f>+'1'!D225+'2'!D225+'3'!D225+'4'!D225+'5'!D225+'6'!D225+'7'!D225+'8'!D225+'9'!D225+'10'!D225+'11'!D225+'12'!D225+'13'!D225+'14'!D225+'15'!D225+'16'!D225+'17'!D225+'18'!D225+'19'!D225+'20'!D225+'21'!D225+'22'!D225+'23'!D225+'24'!D225+'25'!D225+'26'!D225+'27'!D225+'28'!D225+'29'!D225+'30'!D225+'31.'!D225</f>
        <v>0</v>
      </c>
      <c r="E225" s="44">
        <f t="shared" si="9"/>
        <v>0</v>
      </c>
      <c r="F225" s="45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4">
        <f t="shared" si="10"/>
        <v>0</v>
      </c>
      <c r="H225" s="45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20"/>
      <c r="J225" s="45">
        <f>+'1'!J225+'2'!J225+'3'!J225+'4'!J225+'5'!J225+'6'!J225+'7'!J225+'8'!J225+'9'!J225+'10'!J225+'11'!J225+'12'!J225+'13'!J225+'14'!J225+'15'!J225+'16'!J225+'17'!J225+'18'!J225+'19'!J225+'20'!J225+'21'!J225+'22'!J225+'23'!J225+'24'!J225+'25'!J225+'26'!J225+'27'!J225+'28'!J225+'29'!J225+'30'!J225+'31.'!J225</f>
        <v>0</v>
      </c>
      <c r="K225" s="19"/>
      <c r="M225" s="53"/>
      <c r="U225" s="5"/>
    </row>
    <row r="226" spans="1:21" x14ac:dyDescent="0.55000000000000004">
      <c r="A226" s="10">
        <v>222</v>
      </c>
      <c r="B226" s="19"/>
      <c r="C226" s="47">
        <f>+ยกมา!C234</f>
        <v>0</v>
      </c>
      <c r="D226" s="45">
        <f>+'1'!D226+'2'!D226+'3'!D226+'4'!D226+'5'!D226+'6'!D226+'7'!D226+'8'!D226+'9'!D226+'10'!D226+'11'!D226+'12'!D226+'13'!D226+'14'!D226+'15'!D226+'16'!D226+'17'!D226+'18'!D226+'19'!D226+'20'!D226+'21'!D226+'22'!D226+'23'!D226+'24'!D226+'25'!D226+'26'!D226+'27'!D226+'28'!D226+'29'!D226+'30'!D226+'31.'!D226</f>
        <v>0</v>
      </c>
      <c r="E226" s="44">
        <f t="shared" si="9"/>
        <v>0</v>
      </c>
      <c r="F226" s="45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4">
        <f t="shared" si="10"/>
        <v>0</v>
      </c>
      <c r="H226" s="45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20"/>
      <c r="J226" s="45">
        <f>+'1'!J226+'2'!J226+'3'!J226+'4'!J226+'5'!J226+'6'!J226+'7'!J226+'8'!J226+'9'!J226+'10'!J226+'11'!J226+'12'!J226+'13'!J226+'14'!J226+'15'!J226+'16'!J226+'17'!J226+'18'!J226+'19'!J226+'20'!J226+'21'!J226+'22'!J226+'23'!J226+'24'!J226+'25'!J226+'26'!J226+'27'!J226+'28'!J226+'29'!J226+'30'!J226+'31.'!J226</f>
        <v>0</v>
      </c>
      <c r="K226" s="19"/>
      <c r="M226" s="53"/>
      <c r="U226" s="5"/>
    </row>
    <row r="227" spans="1:21" x14ac:dyDescent="0.55000000000000004">
      <c r="A227" s="10">
        <v>223</v>
      </c>
      <c r="B227" s="19"/>
      <c r="C227" s="47">
        <f>+ยกมา!C235</f>
        <v>0</v>
      </c>
      <c r="D227" s="45">
        <f>+'1'!D227+'2'!D227+'3'!D227+'4'!D227+'5'!D227+'6'!D227+'7'!D227+'8'!D227+'9'!D227+'10'!D227+'11'!D227+'12'!D227+'13'!D227+'14'!D227+'15'!D227+'16'!D227+'17'!D227+'18'!D227+'19'!D227+'20'!D227+'21'!D227+'22'!D227+'23'!D227+'24'!D227+'25'!D227+'26'!D227+'27'!D227+'28'!D227+'29'!D227+'30'!D227+'31.'!D227</f>
        <v>0</v>
      </c>
      <c r="E227" s="44">
        <f t="shared" si="9"/>
        <v>0</v>
      </c>
      <c r="F227" s="45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4">
        <f t="shared" si="10"/>
        <v>0</v>
      </c>
      <c r="H227" s="45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20"/>
      <c r="J227" s="45">
        <f>+'1'!J227+'2'!J227+'3'!J227+'4'!J227+'5'!J227+'6'!J227+'7'!J227+'8'!J227+'9'!J227+'10'!J227+'11'!J227+'12'!J227+'13'!J227+'14'!J227+'15'!J227+'16'!J227+'17'!J227+'18'!J227+'19'!J227+'20'!J227+'21'!J227+'22'!J227+'23'!J227+'24'!J227+'25'!J227+'26'!J227+'27'!J227+'28'!J227+'29'!J227+'30'!J227+'31.'!J227</f>
        <v>0</v>
      </c>
      <c r="K227" s="19"/>
      <c r="M227" s="53"/>
      <c r="U227" s="5"/>
    </row>
    <row r="228" spans="1:21" x14ac:dyDescent="0.55000000000000004">
      <c r="A228" s="10">
        <v>224</v>
      </c>
      <c r="B228" s="19"/>
      <c r="C228" s="47">
        <f>+ยกมา!C236</f>
        <v>0</v>
      </c>
      <c r="D228" s="45">
        <f>+'1'!D228+'2'!D228+'3'!D228+'4'!D228+'5'!D228+'6'!D228+'7'!D228+'8'!D228+'9'!D228+'10'!D228+'11'!D228+'12'!D228+'13'!D228+'14'!D228+'15'!D228+'16'!D228+'17'!D228+'18'!D228+'19'!D228+'20'!D228+'21'!D228+'22'!D228+'23'!D228+'24'!D228+'25'!D228+'26'!D228+'27'!D228+'28'!D228+'29'!D228+'30'!D228+'31.'!D228</f>
        <v>0</v>
      </c>
      <c r="E228" s="44">
        <f t="shared" si="9"/>
        <v>0</v>
      </c>
      <c r="F228" s="45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4">
        <f t="shared" si="10"/>
        <v>0</v>
      </c>
      <c r="H228" s="45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20"/>
      <c r="J228" s="45">
        <f>+'1'!J228+'2'!J228+'3'!J228+'4'!J228+'5'!J228+'6'!J228+'7'!J228+'8'!J228+'9'!J228+'10'!J228+'11'!J228+'12'!J228+'13'!J228+'14'!J228+'15'!J228+'16'!J228+'17'!J228+'18'!J228+'19'!J228+'20'!J228+'21'!J228+'22'!J228+'23'!J228+'24'!J228+'25'!J228+'26'!J228+'27'!J228+'28'!J228+'29'!J228+'30'!J228+'31.'!J228</f>
        <v>0</v>
      </c>
      <c r="K228" s="19"/>
      <c r="M228" s="53"/>
      <c r="U228" s="5"/>
    </row>
    <row r="229" spans="1:21" x14ac:dyDescent="0.55000000000000004">
      <c r="A229" s="10">
        <v>225</v>
      </c>
      <c r="B229" s="19"/>
      <c r="C229" s="47">
        <f>+ยกมา!C237</f>
        <v>0</v>
      </c>
      <c r="D229" s="45">
        <f>+'1'!D229+'2'!D229+'3'!D229+'4'!D229+'5'!D229+'6'!D229+'7'!D229+'8'!D229+'9'!D229+'10'!D229+'11'!D229+'12'!D229+'13'!D229+'14'!D229+'15'!D229+'16'!D229+'17'!D229+'18'!D229+'19'!D229+'20'!D229+'21'!D229+'22'!D229+'23'!D229+'24'!D229+'25'!D229+'26'!D229+'27'!D229+'28'!D229+'29'!D229+'30'!D229+'31.'!D229</f>
        <v>0</v>
      </c>
      <c r="E229" s="44">
        <f t="shared" si="9"/>
        <v>0</v>
      </c>
      <c r="F229" s="45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4">
        <f t="shared" si="10"/>
        <v>0</v>
      </c>
      <c r="H229" s="45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20"/>
      <c r="J229" s="45">
        <f>+'1'!J229+'2'!J229+'3'!J229+'4'!J229+'5'!J229+'6'!J229+'7'!J229+'8'!J229+'9'!J229+'10'!J229+'11'!J229+'12'!J229+'13'!J229+'14'!J229+'15'!J229+'16'!J229+'17'!J229+'18'!J229+'19'!J229+'20'!J229+'21'!J229+'22'!J229+'23'!J229+'24'!J229+'25'!J229+'26'!J229+'27'!J229+'28'!J229+'29'!J229+'30'!J229+'31.'!J229</f>
        <v>0</v>
      </c>
      <c r="K229" s="19"/>
      <c r="M229" s="53"/>
      <c r="U229" s="5"/>
    </row>
    <row r="230" spans="1:21" x14ac:dyDescent="0.55000000000000004">
      <c r="A230" s="10">
        <v>226</v>
      </c>
      <c r="B230" s="19"/>
      <c r="C230" s="47">
        <f>+ยกมา!C238</f>
        <v>0</v>
      </c>
      <c r="D230" s="45">
        <f>+'1'!D230+'2'!D230+'3'!D230+'4'!D230+'5'!D230+'6'!D230+'7'!D230+'8'!D230+'9'!D230+'10'!D230+'11'!D230+'12'!D230+'13'!D230+'14'!D230+'15'!D230+'16'!D230+'17'!D230+'18'!D230+'19'!D230+'20'!D230+'21'!D230+'22'!D230+'23'!D230+'24'!D230+'25'!D230+'26'!D230+'27'!D230+'28'!D230+'29'!D230+'30'!D230+'31.'!D230</f>
        <v>0</v>
      </c>
      <c r="E230" s="44">
        <f t="shared" si="9"/>
        <v>0</v>
      </c>
      <c r="F230" s="45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4">
        <f t="shared" si="10"/>
        <v>0</v>
      </c>
      <c r="H230" s="45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20"/>
      <c r="J230" s="45">
        <f>+'1'!J230+'2'!J230+'3'!J230+'4'!J230+'5'!J230+'6'!J230+'7'!J230+'8'!J230+'9'!J230+'10'!J230+'11'!J230+'12'!J230+'13'!J230+'14'!J230+'15'!J230+'16'!J230+'17'!J230+'18'!J230+'19'!J230+'20'!J230+'21'!J230+'22'!J230+'23'!J230+'24'!J230+'25'!J230+'26'!J230+'27'!J230+'28'!J230+'29'!J230+'30'!J230+'31.'!J230</f>
        <v>0</v>
      </c>
      <c r="K230" s="19"/>
      <c r="M230" s="53"/>
      <c r="U230" s="5"/>
    </row>
    <row r="231" spans="1:21" x14ac:dyDescent="0.55000000000000004">
      <c r="A231" s="10">
        <v>227</v>
      </c>
      <c r="B231" s="19"/>
      <c r="C231" s="47">
        <f>+ยกมา!C239</f>
        <v>0</v>
      </c>
      <c r="D231" s="45">
        <f>+'1'!D231+'2'!D231+'3'!D231+'4'!D231+'5'!D231+'6'!D231+'7'!D231+'8'!D231+'9'!D231+'10'!D231+'11'!D231+'12'!D231+'13'!D231+'14'!D231+'15'!D231+'16'!D231+'17'!D231+'18'!D231+'19'!D231+'20'!D231+'21'!D231+'22'!D231+'23'!D231+'24'!D231+'25'!D231+'26'!D231+'27'!D231+'28'!D231+'29'!D231+'30'!D231+'31.'!D231</f>
        <v>0</v>
      </c>
      <c r="E231" s="44">
        <f t="shared" si="9"/>
        <v>0</v>
      </c>
      <c r="F231" s="45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4">
        <f t="shared" si="10"/>
        <v>0</v>
      </c>
      <c r="H231" s="45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20"/>
      <c r="J231" s="45">
        <f>+'1'!J231+'2'!J231+'3'!J231+'4'!J231+'5'!J231+'6'!J231+'7'!J231+'8'!J231+'9'!J231+'10'!J231+'11'!J231+'12'!J231+'13'!J231+'14'!J231+'15'!J231+'16'!J231+'17'!J231+'18'!J231+'19'!J231+'20'!J231+'21'!J231+'22'!J231+'23'!J231+'24'!J231+'25'!J231+'26'!J231+'27'!J231+'28'!J231+'29'!J231+'30'!J231+'31.'!J231</f>
        <v>0</v>
      </c>
      <c r="K231" s="19"/>
      <c r="M231" s="53"/>
      <c r="U231" s="5"/>
    </row>
    <row r="232" spans="1:21" x14ac:dyDescent="0.55000000000000004">
      <c r="A232" s="10">
        <v>228</v>
      </c>
      <c r="B232" s="19"/>
      <c r="C232" s="47">
        <f>+ยกมา!C240</f>
        <v>0</v>
      </c>
      <c r="D232" s="45">
        <f>+'1'!D232+'2'!D232+'3'!D232+'4'!D232+'5'!D232+'6'!D232+'7'!D232+'8'!D232+'9'!D232+'10'!D232+'11'!D232+'12'!D232+'13'!D232+'14'!D232+'15'!D232+'16'!D232+'17'!D232+'18'!D232+'19'!D232+'20'!D232+'21'!D232+'22'!D232+'23'!D232+'24'!D232+'25'!D232+'26'!D232+'27'!D232+'28'!D232+'29'!D232+'30'!D232+'31.'!D232</f>
        <v>0</v>
      </c>
      <c r="E232" s="44">
        <f t="shared" si="9"/>
        <v>0</v>
      </c>
      <c r="F232" s="45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4">
        <f t="shared" si="10"/>
        <v>0</v>
      </c>
      <c r="H232" s="45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20"/>
      <c r="J232" s="45">
        <f>+'1'!J232+'2'!J232+'3'!J232+'4'!J232+'5'!J232+'6'!J232+'7'!J232+'8'!J232+'9'!J232+'10'!J232+'11'!J232+'12'!J232+'13'!J232+'14'!J232+'15'!J232+'16'!J232+'17'!J232+'18'!J232+'19'!J232+'20'!J232+'21'!J232+'22'!J232+'23'!J232+'24'!J232+'25'!J232+'26'!J232+'27'!J232+'28'!J232+'29'!J232+'30'!J232+'31.'!J232</f>
        <v>0</v>
      </c>
      <c r="K232" s="19"/>
      <c r="M232" s="53"/>
      <c r="U232" s="5"/>
    </row>
    <row r="233" spans="1:21" x14ac:dyDescent="0.55000000000000004">
      <c r="A233" s="10">
        <v>229</v>
      </c>
      <c r="B233" s="19"/>
      <c r="C233" s="47">
        <f>+ยกมา!C241</f>
        <v>0</v>
      </c>
      <c r="D233" s="45">
        <f>+'1'!D233+'2'!D233+'3'!D233+'4'!D233+'5'!D233+'6'!D233+'7'!D233+'8'!D233+'9'!D233+'10'!D233+'11'!D233+'12'!D233+'13'!D233+'14'!D233+'15'!D233+'16'!D233+'17'!D233+'18'!D233+'19'!D233+'20'!D233+'21'!D233+'22'!D233+'23'!D233+'24'!D233+'25'!D233+'26'!D233+'27'!D233+'28'!D233+'29'!D233+'30'!D233+'31.'!D233</f>
        <v>0</v>
      </c>
      <c r="E233" s="44">
        <f t="shared" si="9"/>
        <v>0</v>
      </c>
      <c r="F233" s="45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4">
        <f t="shared" si="10"/>
        <v>0</v>
      </c>
      <c r="H233" s="45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20"/>
      <c r="J233" s="45">
        <f>+'1'!J233+'2'!J233+'3'!J233+'4'!J233+'5'!J233+'6'!J233+'7'!J233+'8'!J233+'9'!J233+'10'!J233+'11'!J233+'12'!J233+'13'!J233+'14'!J233+'15'!J233+'16'!J233+'17'!J233+'18'!J233+'19'!J233+'20'!J233+'21'!J233+'22'!J233+'23'!J233+'24'!J233+'25'!J233+'26'!J233+'27'!J233+'28'!J233+'29'!J233+'30'!J233+'31.'!J233</f>
        <v>0</v>
      </c>
      <c r="K233" s="19"/>
      <c r="M233" s="53"/>
      <c r="U233" s="5"/>
    </row>
    <row r="234" spans="1:21" x14ac:dyDescent="0.55000000000000004">
      <c r="A234" s="10">
        <v>230</v>
      </c>
      <c r="B234" s="19"/>
      <c r="C234" s="47">
        <f>+ยกมา!C242</f>
        <v>0</v>
      </c>
      <c r="D234" s="45">
        <f>+'1'!D234+'2'!D234+'3'!D234+'4'!D234+'5'!D234+'6'!D234+'7'!D234+'8'!D234+'9'!D234+'10'!D234+'11'!D234+'12'!D234+'13'!D234+'14'!D234+'15'!D234+'16'!D234+'17'!D234+'18'!D234+'19'!D234+'20'!D234+'21'!D234+'22'!D234+'23'!D234+'24'!D234+'25'!D234+'26'!D234+'27'!D234+'28'!D234+'29'!D234+'30'!D234+'31.'!D234</f>
        <v>0</v>
      </c>
      <c r="E234" s="44">
        <f t="shared" si="9"/>
        <v>0</v>
      </c>
      <c r="F234" s="45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4">
        <f t="shared" si="10"/>
        <v>0</v>
      </c>
      <c r="H234" s="45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20"/>
      <c r="J234" s="45">
        <f>+'1'!J234+'2'!J234+'3'!J234+'4'!J234+'5'!J234+'6'!J234+'7'!J234+'8'!J234+'9'!J234+'10'!J234+'11'!J234+'12'!J234+'13'!J234+'14'!J234+'15'!J234+'16'!J234+'17'!J234+'18'!J234+'19'!J234+'20'!J234+'21'!J234+'22'!J234+'23'!J234+'24'!J234+'25'!J234+'26'!J234+'27'!J234+'28'!J234+'29'!J234+'30'!J234+'31.'!J234</f>
        <v>0</v>
      </c>
      <c r="K234" s="19"/>
      <c r="M234" s="53"/>
      <c r="U234" s="5"/>
    </row>
    <row r="235" spans="1:21" x14ac:dyDescent="0.55000000000000004">
      <c r="A235" s="10">
        <v>231</v>
      </c>
      <c r="B235" s="19"/>
      <c r="C235" s="47">
        <f>+ยกมา!C243</f>
        <v>0</v>
      </c>
      <c r="D235" s="45">
        <f>+'1'!D235+'2'!D235+'3'!D235+'4'!D235+'5'!D235+'6'!D235+'7'!D235+'8'!D235+'9'!D235+'10'!D235+'11'!D235+'12'!D235+'13'!D235+'14'!D235+'15'!D235+'16'!D235+'17'!D235+'18'!D235+'19'!D235+'20'!D235+'21'!D235+'22'!D235+'23'!D235+'24'!D235+'25'!D235+'26'!D235+'27'!D235+'28'!D235+'29'!D235+'30'!D235+'31.'!D235</f>
        <v>0</v>
      </c>
      <c r="E235" s="44">
        <f t="shared" si="9"/>
        <v>0</v>
      </c>
      <c r="F235" s="45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4">
        <f t="shared" si="10"/>
        <v>0</v>
      </c>
      <c r="H235" s="45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20"/>
      <c r="J235" s="45">
        <f>+'1'!J235+'2'!J235+'3'!J235+'4'!J235+'5'!J235+'6'!J235+'7'!J235+'8'!J235+'9'!J235+'10'!J235+'11'!J235+'12'!J235+'13'!J235+'14'!J235+'15'!J235+'16'!J235+'17'!J235+'18'!J235+'19'!J235+'20'!J235+'21'!J235+'22'!J235+'23'!J235+'24'!J235+'25'!J235+'26'!J235+'27'!J235+'28'!J235+'29'!J235+'30'!J235+'31.'!J235</f>
        <v>0</v>
      </c>
      <c r="K235" s="19"/>
      <c r="M235" s="53"/>
      <c r="U235" s="5"/>
    </row>
    <row r="236" spans="1:21" x14ac:dyDescent="0.55000000000000004">
      <c r="A236" s="10">
        <v>232</v>
      </c>
      <c r="B236" s="19"/>
      <c r="C236" s="47">
        <f>+ยกมา!C244</f>
        <v>0</v>
      </c>
      <c r="D236" s="45">
        <f>+'1'!D236+'2'!D236+'3'!D236+'4'!D236+'5'!D236+'6'!D236+'7'!D236+'8'!D236+'9'!D236+'10'!D236+'11'!D236+'12'!D236+'13'!D236+'14'!D236+'15'!D236+'16'!D236+'17'!D236+'18'!D236+'19'!D236+'20'!D236+'21'!D236+'22'!D236+'23'!D236+'24'!D236+'25'!D236+'26'!D236+'27'!D236+'28'!D236+'29'!D236+'30'!D236+'31.'!D236</f>
        <v>0</v>
      </c>
      <c r="E236" s="44">
        <f t="shared" ref="E236:E237" si="11">+C236+D236</f>
        <v>0</v>
      </c>
      <c r="F236" s="45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4">
        <f t="shared" ref="G236:G237" si="12">C236+D236-F236-H236</f>
        <v>0</v>
      </c>
      <c r="H236" s="45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20"/>
      <c r="J236" s="45">
        <f>+'1'!J236+'2'!J236+'3'!J236+'4'!J236+'5'!J236+'6'!J236+'7'!J236+'8'!J236+'9'!J236+'10'!J236+'11'!J236+'12'!J236+'13'!J236+'14'!J236+'15'!J236+'16'!J236+'17'!J236+'18'!J236+'19'!J236+'20'!J236+'21'!J236+'22'!J236+'23'!J236+'24'!J236+'25'!J236+'26'!J236+'27'!J236+'28'!J236+'29'!J236+'30'!J236+'31.'!J236</f>
        <v>0</v>
      </c>
      <c r="K236" s="19"/>
      <c r="M236" s="53"/>
      <c r="U236" s="5"/>
    </row>
    <row r="237" spans="1:21" x14ac:dyDescent="0.55000000000000004">
      <c r="A237" s="10">
        <v>233</v>
      </c>
      <c r="B237" s="19"/>
      <c r="C237" s="47">
        <f>+ยกมา!C245</f>
        <v>0</v>
      </c>
      <c r="D237" s="45">
        <f>+'1'!D237+'2'!D237+'3'!D237+'4'!D237+'5'!D237+'6'!D237+'7'!D237+'8'!D237+'9'!D237+'10'!D237+'11'!D237+'12'!D237+'13'!D237+'14'!D237+'15'!D237+'16'!D237+'17'!D237+'18'!D237+'19'!D237+'20'!D237+'21'!D237+'22'!D237+'23'!D237+'24'!D237+'25'!D237+'26'!D237+'27'!D237+'28'!D237+'29'!D237+'30'!D237+'31.'!D237</f>
        <v>0</v>
      </c>
      <c r="E237" s="44">
        <f t="shared" si="11"/>
        <v>0</v>
      </c>
      <c r="F237" s="45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4">
        <f t="shared" si="12"/>
        <v>0</v>
      </c>
      <c r="H237" s="45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20"/>
      <c r="J237" s="45">
        <f>+'1'!J237+'2'!J237+'3'!J237+'4'!J237+'5'!J237+'6'!J237+'7'!J237+'8'!J237+'9'!J237+'10'!J237+'11'!J237+'12'!J237+'13'!J237+'14'!J237+'15'!J237+'16'!J237+'17'!J237+'18'!J237+'19'!J237+'20'!J237+'21'!J237+'22'!J237+'23'!J237+'24'!J237+'25'!J237+'26'!J237+'27'!J237+'28'!J237+'29'!J237+'30'!J237+'31.'!J237</f>
        <v>0</v>
      </c>
      <c r="K237" s="19"/>
      <c r="M237" s="53"/>
      <c r="U237" s="5"/>
    </row>
    <row r="238" spans="1:21" x14ac:dyDescent="0.55000000000000004">
      <c r="A238" s="10">
        <v>234</v>
      </c>
      <c r="B238" s="19"/>
      <c r="C238" s="47">
        <f>+ยกมา!C246</f>
        <v>0</v>
      </c>
      <c r="D238" s="45">
        <f>+'1'!D238+'2'!D238+'3'!D238+'4'!D238+'5'!D238+'6'!D238+'7'!D238+'8'!D238+'9'!D238+'10'!D238+'11'!D238+'12'!D238+'13'!D238+'14'!D238+'15'!D238+'16'!D238+'17'!D238+'18'!D238+'19'!D238+'20'!D238+'21'!D238+'22'!D238+'23'!D238+'24'!D238+'25'!D238+'26'!D238+'27'!D238+'28'!D238+'29'!D238+'30'!D238+'31.'!D238</f>
        <v>0</v>
      </c>
      <c r="E238" s="44">
        <f t="shared" ref="E238:E254" si="13">+C238+D238</f>
        <v>0</v>
      </c>
      <c r="F238" s="45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4">
        <f t="shared" ref="G238:G254" si="14">C238+D238-F238-H238</f>
        <v>0</v>
      </c>
      <c r="H238" s="45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20"/>
      <c r="J238" s="45">
        <f>+'1'!J238+'2'!J238+'3'!J238+'4'!J238+'5'!J238+'6'!J238+'7'!J238+'8'!J238+'9'!J238+'10'!J238+'11'!J238+'12'!J238+'13'!J238+'14'!J238+'15'!J238+'16'!J238+'17'!J238+'18'!J238+'19'!J238+'20'!J238+'21'!J238+'22'!J238+'23'!J238+'24'!J238+'25'!J238+'26'!J238+'27'!J238+'28'!J238+'29'!J238+'30'!J238+'31.'!J238</f>
        <v>0</v>
      </c>
      <c r="K238" s="19"/>
      <c r="M238" s="53"/>
      <c r="U238" s="5"/>
    </row>
    <row r="239" spans="1:21" x14ac:dyDescent="0.55000000000000004">
      <c r="A239" s="10">
        <v>235</v>
      </c>
      <c r="B239" s="19"/>
      <c r="C239" s="47">
        <f>+ยกมา!C247</f>
        <v>0</v>
      </c>
      <c r="D239" s="45">
        <f>+'1'!D239+'2'!D239+'3'!D239+'4'!D239+'5'!D239+'6'!D239+'7'!D239+'8'!D239+'9'!D239+'10'!D239+'11'!D239+'12'!D239+'13'!D239+'14'!D239+'15'!D239+'16'!D239+'17'!D239+'18'!D239+'19'!D239+'20'!D239+'21'!D239+'22'!D239+'23'!D239+'24'!D239+'25'!D239+'26'!D239+'27'!D239+'28'!D239+'29'!D239+'30'!D239+'31.'!D239</f>
        <v>0</v>
      </c>
      <c r="E239" s="44">
        <f t="shared" si="13"/>
        <v>0</v>
      </c>
      <c r="F239" s="45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4">
        <f t="shared" si="14"/>
        <v>0</v>
      </c>
      <c r="H239" s="45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20"/>
      <c r="J239" s="45">
        <f>+'1'!J239+'2'!J239+'3'!J239+'4'!J239+'5'!J239+'6'!J239+'7'!J239+'8'!J239+'9'!J239+'10'!J239+'11'!J239+'12'!J239+'13'!J239+'14'!J239+'15'!J239+'16'!J239+'17'!J239+'18'!J239+'19'!J239+'20'!J239+'21'!J239+'22'!J239+'23'!J239+'24'!J239+'25'!J239+'26'!J239+'27'!J239+'28'!J239+'29'!J239+'30'!J239+'31.'!J239</f>
        <v>0</v>
      </c>
      <c r="K239" s="19"/>
      <c r="M239" s="53"/>
      <c r="U239" s="5"/>
    </row>
    <row r="240" spans="1:21" x14ac:dyDescent="0.55000000000000004">
      <c r="A240" s="10">
        <v>236</v>
      </c>
      <c r="B240" s="19"/>
      <c r="C240" s="47">
        <f>+ยกมา!C248</f>
        <v>0</v>
      </c>
      <c r="D240" s="45">
        <f>+'1'!D240+'2'!D240+'3'!D240+'4'!D240+'5'!D240+'6'!D240+'7'!D240+'8'!D240+'9'!D240+'10'!D240+'11'!D240+'12'!D240+'13'!D240+'14'!D240+'15'!D240+'16'!D240+'17'!D240+'18'!D240+'19'!D240+'20'!D240+'21'!D240+'22'!D240+'23'!D240+'24'!D240+'25'!D240+'26'!D240+'27'!D240+'28'!D240+'29'!D240+'30'!D240+'31.'!D240</f>
        <v>0</v>
      </c>
      <c r="E240" s="44">
        <f t="shared" si="13"/>
        <v>0</v>
      </c>
      <c r="F240" s="45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4">
        <f t="shared" si="14"/>
        <v>0</v>
      </c>
      <c r="H240" s="45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20"/>
      <c r="J240" s="45">
        <f>+'1'!J240+'2'!J240+'3'!J240+'4'!J240+'5'!J240+'6'!J240+'7'!J240+'8'!J240+'9'!J240+'10'!J240+'11'!J240+'12'!J240+'13'!J240+'14'!J240+'15'!J240+'16'!J240+'17'!J240+'18'!J240+'19'!J240+'20'!J240+'21'!J240+'22'!J240+'23'!J240+'24'!J240+'25'!J240+'26'!J240+'27'!J240+'28'!J240+'29'!J240+'30'!J240+'31.'!J240</f>
        <v>0</v>
      </c>
      <c r="K240" s="19"/>
      <c r="M240" s="53"/>
      <c r="U240" s="5"/>
    </row>
    <row r="241" spans="1:22" x14ac:dyDescent="0.55000000000000004">
      <c r="A241" s="10">
        <v>237</v>
      </c>
      <c r="B241" s="19"/>
      <c r="C241" s="47">
        <f>+ยกมา!C249</f>
        <v>0</v>
      </c>
      <c r="D241" s="45">
        <f>+'1'!D241+'2'!D241+'3'!D241+'4'!D241+'5'!D241+'6'!D241+'7'!D241+'8'!D241+'9'!D241+'10'!D241+'11'!D241+'12'!D241+'13'!D241+'14'!D241+'15'!D241+'16'!D241+'17'!D241+'18'!D241+'19'!D241+'20'!D241+'21'!D241+'22'!D241+'23'!D241+'24'!D241+'25'!D241+'26'!D241+'27'!D241+'28'!D241+'29'!D241+'30'!D241+'31.'!D241</f>
        <v>0</v>
      </c>
      <c r="E241" s="44">
        <f t="shared" si="13"/>
        <v>0</v>
      </c>
      <c r="F241" s="45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4">
        <f t="shared" si="14"/>
        <v>0</v>
      </c>
      <c r="H241" s="45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20"/>
      <c r="J241" s="45">
        <f>+'1'!J241+'2'!J241+'3'!J241+'4'!J241+'5'!J241+'6'!J241+'7'!J241+'8'!J241+'9'!J241+'10'!J241+'11'!J241+'12'!J241+'13'!J241+'14'!J241+'15'!J241+'16'!J241+'17'!J241+'18'!J241+'19'!J241+'20'!J241+'21'!J241+'22'!J241+'23'!J241+'24'!J241+'25'!J241+'26'!J241+'27'!J241+'28'!J241+'29'!J241+'30'!J241+'31.'!J241</f>
        <v>0</v>
      </c>
      <c r="K241" s="19"/>
      <c r="M241" s="53"/>
      <c r="U241" s="5"/>
    </row>
    <row r="242" spans="1:22" x14ac:dyDescent="0.55000000000000004">
      <c r="A242" s="10">
        <v>238</v>
      </c>
      <c r="B242" s="19"/>
      <c r="C242" s="47">
        <f>+ยกมา!C250</f>
        <v>0</v>
      </c>
      <c r="D242" s="45">
        <f>+'1'!D242+'2'!D242+'3'!D242+'4'!D242+'5'!D242+'6'!D242+'7'!D242+'8'!D242+'9'!D242+'10'!D242+'11'!D242+'12'!D242+'13'!D242+'14'!D242+'15'!D242+'16'!D242+'17'!D242+'18'!D242+'19'!D242+'20'!D242+'21'!D242+'22'!D242+'23'!D242+'24'!D242+'25'!D242+'26'!D242+'27'!D242+'28'!D242+'29'!D242+'30'!D242+'31.'!D242</f>
        <v>0</v>
      </c>
      <c r="E242" s="44">
        <f t="shared" si="13"/>
        <v>0</v>
      </c>
      <c r="F242" s="45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4">
        <f t="shared" si="14"/>
        <v>0</v>
      </c>
      <c r="H242" s="45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20"/>
      <c r="J242" s="45">
        <f>+'1'!J242+'2'!J242+'3'!J242+'4'!J242+'5'!J242+'6'!J242+'7'!J242+'8'!J242+'9'!J242+'10'!J242+'11'!J242+'12'!J242+'13'!J242+'14'!J242+'15'!J242+'16'!J242+'17'!J242+'18'!J242+'19'!J242+'20'!J242+'21'!J242+'22'!J242+'23'!J242+'24'!J242+'25'!J242+'26'!J242+'27'!J242+'28'!J242+'29'!J242+'30'!J242+'31.'!J242</f>
        <v>0</v>
      </c>
      <c r="K242" s="19"/>
      <c r="M242" s="53"/>
      <c r="U242" s="5"/>
    </row>
    <row r="243" spans="1:22" x14ac:dyDescent="0.55000000000000004">
      <c r="A243" s="10">
        <v>239</v>
      </c>
      <c r="B243" s="19"/>
      <c r="C243" s="47">
        <f>+ยกมา!C251</f>
        <v>0</v>
      </c>
      <c r="D243" s="45">
        <f>+'1'!D243+'2'!D243+'3'!D243+'4'!D243+'5'!D243+'6'!D243+'7'!D243+'8'!D243+'9'!D243+'10'!D243+'11'!D243+'12'!D243+'13'!D243+'14'!D243+'15'!D243+'16'!D243+'17'!D243+'18'!D243+'19'!D243+'20'!D243+'21'!D243+'22'!D243+'23'!D243+'24'!D243+'25'!D243+'26'!D243+'27'!D243+'28'!D243+'29'!D243+'30'!D243+'31.'!D243</f>
        <v>0</v>
      </c>
      <c r="E243" s="44">
        <f t="shared" si="13"/>
        <v>0</v>
      </c>
      <c r="F243" s="45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4">
        <f t="shared" si="14"/>
        <v>0</v>
      </c>
      <c r="H243" s="45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20"/>
      <c r="J243" s="45">
        <f>+'1'!J243+'2'!J243+'3'!J243+'4'!J243+'5'!J243+'6'!J243+'7'!J243+'8'!J243+'9'!J243+'10'!J243+'11'!J243+'12'!J243+'13'!J243+'14'!J243+'15'!J243+'16'!J243+'17'!J243+'18'!J243+'19'!J243+'20'!J243+'21'!J243+'22'!J243+'23'!J243+'24'!J243+'25'!J243+'26'!J243+'27'!J243+'28'!J243+'29'!J243+'30'!J243+'31.'!J243</f>
        <v>0</v>
      </c>
      <c r="K243" s="19"/>
      <c r="M243" s="53"/>
      <c r="U243" s="5"/>
    </row>
    <row r="244" spans="1:22" x14ac:dyDescent="0.55000000000000004">
      <c r="A244" s="10">
        <v>240</v>
      </c>
      <c r="B244" s="19"/>
      <c r="C244" s="47">
        <f>+ยกมา!C252</f>
        <v>0</v>
      </c>
      <c r="D244" s="45">
        <f>+'1'!D244+'2'!D244+'3'!D244+'4'!D244+'5'!D244+'6'!D244+'7'!D244+'8'!D244+'9'!D244+'10'!D244+'11'!D244+'12'!D244+'13'!D244+'14'!D244+'15'!D244+'16'!D244+'17'!D244+'18'!D244+'19'!D244+'20'!D244+'21'!D244+'22'!D244+'23'!D244+'24'!D244+'25'!D244+'26'!D244+'27'!D244+'28'!D244+'29'!D244+'30'!D244+'31.'!D244</f>
        <v>0</v>
      </c>
      <c r="E244" s="44">
        <f t="shared" si="13"/>
        <v>0</v>
      </c>
      <c r="F244" s="45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4">
        <f t="shared" si="14"/>
        <v>0</v>
      </c>
      <c r="H244" s="45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20"/>
      <c r="J244" s="45">
        <f>+'1'!J244+'2'!J244+'3'!J244+'4'!J244+'5'!J244+'6'!J244+'7'!J244+'8'!J244+'9'!J244+'10'!J244+'11'!J244+'12'!J244+'13'!J244+'14'!J244+'15'!J244+'16'!J244+'17'!J244+'18'!J244+'19'!J244+'20'!J244+'21'!J244+'22'!J244+'23'!J244+'24'!J244+'25'!J244+'26'!J244+'27'!J244+'28'!J244+'29'!J244+'30'!J244+'31.'!J244</f>
        <v>0</v>
      </c>
      <c r="K244" s="19"/>
      <c r="M244" s="53"/>
      <c r="U244" s="5"/>
    </row>
    <row r="245" spans="1:22" x14ac:dyDescent="0.55000000000000004">
      <c r="A245" s="10">
        <v>241</v>
      </c>
      <c r="B245" s="19"/>
      <c r="C245" s="47">
        <f>+ยกมา!C253</f>
        <v>0</v>
      </c>
      <c r="D245" s="45">
        <f>+'1'!D245+'2'!D245+'3'!D245+'4'!D245+'5'!D245+'6'!D245+'7'!D245+'8'!D245+'9'!D245+'10'!D245+'11'!D245+'12'!D245+'13'!D245+'14'!D245+'15'!D245+'16'!D245+'17'!D245+'18'!D245+'19'!D245+'20'!D245+'21'!D245+'22'!D245+'23'!D245+'24'!D245+'25'!D245+'26'!D245+'27'!D245+'28'!D245+'29'!D245+'30'!D245+'31.'!D245</f>
        <v>0</v>
      </c>
      <c r="E245" s="44">
        <f t="shared" si="13"/>
        <v>0</v>
      </c>
      <c r="F245" s="45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4">
        <f t="shared" si="14"/>
        <v>0</v>
      </c>
      <c r="H245" s="45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20"/>
      <c r="J245" s="45">
        <f>+'1'!J245+'2'!J245+'3'!J245+'4'!J245+'5'!J245+'6'!J245+'7'!J245+'8'!J245+'9'!J245+'10'!J245+'11'!J245+'12'!J245+'13'!J245+'14'!J245+'15'!J245+'16'!J245+'17'!J245+'18'!J245+'19'!J245+'20'!J245+'21'!J245+'22'!J245+'23'!J245+'24'!J245+'25'!J245+'26'!J245+'27'!J245+'28'!J245+'29'!J245+'30'!J245+'31.'!J245</f>
        <v>0</v>
      </c>
      <c r="K245" s="19"/>
      <c r="M245" s="53"/>
      <c r="U245" s="5"/>
    </row>
    <row r="246" spans="1:22" x14ac:dyDescent="0.55000000000000004">
      <c r="A246" s="10">
        <v>242</v>
      </c>
      <c r="B246" s="19"/>
      <c r="C246" s="47">
        <f>+ยกมา!C254</f>
        <v>0</v>
      </c>
      <c r="D246" s="45">
        <f>+'1'!D246+'2'!D246+'3'!D246+'4'!D246+'5'!D246+'6'!D246+'7'!D246+'8'!D246+'9'!D246+'10'!D246+'11'!D246+'12'!D246+'13'!D246+'14'!D246+'15'!D246+'16'!D246+'17'!D246+'18'!D246+'19'!D246+'20'!D246+'21'!D246+'22'!D246+'23'!D246+'24'!D246+'25'!D246+'26'!D246+'27'!D246+'28'!D246+'29'!D246+'30'!D246+'31.'!D246</f>
        <v>0</v>
      </c>
      <c r="E246" s="44">
        <f t="shared" si="13"/>
        <v>0</v>
      </c>
      <c r="F246" s="45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4">
        <f t="shared" si="14"/>
        <v>0</v>
      </c>
      <c r="H246" s="45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20"/>
      <c r="J246" s="45">
        <f>+'1'!J246+'2'!J246+'3'!J246+'4'!J246+'5'!J246+'6'!J246+'7'!J246+'8'!J246+'9'!J246+'10'!J246+'11'!J246+'12'!J246+'13'!J246+'14'!J246+'15'!J246+'16'!J246+'17'!J246+'18'!J246+'19'!J246+'20'!J246+'21'!J246+'22'!J246+'23'!J246+'24'!J246+'25'!J246+'26'!J246+'27'!J246+'28'!J246+'29'!J246+'30'!J246+'31.'!J246</f>
        <v>0</v>
      </c>
      <c r="K246" s="19"/>
      <c r="M246" s="53"/>
      <c r="U246" s="5"/>
    </row>
    <row r="247" spans="1:22" x14ac:dyDescent="0.55000000000000004">
      <c r="A247" s="10">
        <v>243</v>
      </c>
      <c r="B247" s="19"/>
      <c r="C247" s="47">
        <f>+ยกมา!C255</f>
        <v>0</v>
      </c>
      <c r="D247" s="45">
        <f>+'1'!D247+'2'!D247+'3'!D247+'4'!D247+'5'!D247+'6'!D247+'7'!D247+'8'!D247+'9'!D247+'10'!D247+'11'!D247+'12'!D247+'13'!D247+'14'!D247+'15'!D247+'16'!D247+'17'!D247+'18'!D247+'19'!D247+'20'!D247+'21'!D247+'22'!D247+'23'!D247+'24'!D247+'25'!D247+'26'!D247+'27'!D247+'28'!D247+'29'!D247+'30'!D247+'31.'!D247</f>
        <v>0</v>
      </c>
      <c r="E247" s="44">
        <f t="shared" si="13"/>
        <v>0</v>
      </c>
      <c r="F247" s="45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4">
        <f t="shared" si="14"/>
        <v>0</v>
      </c>
      <c r="H247" s="45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20"/>
      <c r="J247" s="45">
        <f>+'1'!J247+'2'!J247+'3'!J247+'4'!J247+'5'!J247+'6'!J247+'7'!J247+'8'!J247+'9'!J247+'10'!J247+'11'!J247+'12'!J247+'13'!J247+'14'!J247+'15'!J247+'16'!J247+'17'!J247+'18'!J247+'19'!J247+'20'!J247+'21'!J247+'22'!J247+'23'!J247+'24'!J247+'25'!J247+'26'!J247+'27'!J247+'28'!J247+'29'!J247+'30'!J247+'31.'!J247</f>
        <v>0</v>
      </c>
      <c r="K247" s="19"/>
      <c r="M247" s="53"/>
      <c r="U247" s="5"/>
    </row>
    <row r="248" spans="1:22" x14ac:dyDescent="0.55000000000000004">
      <c r="A248" s="10">
        <v>244</v>
      </c>
      <c r="B248" s="19"/>
      <c r="C248" s="47">
        <f>+ยกมา!C256</f>
        <v>0</v>
      </c>
      <c r="D248" s="45">
        <f>+'1'!D248+'2'!D248+'3'!D248+'4'!D248+'5'!D248+'6'!D248+'7'!D248+'8'!D248+'9'!D248+'10'!D248+'11'!D248+'12'!D248+'13'!D248+'14'!D248+'15'!D248+'16'!D248+'17'!D248+'18'!D248+'19'!D248+'20'!D248+'21'!D248+'22'!D248+'23'!D248+'24'!D248+'25'!D248+'26'!D248+'27'!D248+'28'!D248+'29'!D248+'30'!D248+'31.'!D248</f>
        <v>0</v>
      </c>
      <c r="E248" s="44">
        <f t="shared" si="13"/>
        <v>0</v>
      </c>
      <c r="F248" s="45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4">
        <f t="shared" si="14"/>
        <v>0</v>
      </c>
      <c r="H248" s="45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20"/>
      <c r="J248" s="45">
        <f>+'1'!J248+'2'!J248+'3'!J248+'4'!J248+'5'!J248+'6'!J248+'7'!J248+'8'!J248+'9'!J248+'10'!J248+'11'!J248+'12'!J248+'13'!J248+'14'!J248+'15'!J248+'16'!J248+'17'!J248+'18'!J248+'19'!J248+'20'!J248+'21'!J248+'22'!J248+'23'!J248+'24'!J248+'25'!J248+'26'!J248+'27'!J248+'28'!J248+'29'!J248+'30'!J248+'31.'!J248</f>
        <v>0</v>
      </c>
      <c r="K248" s="19"/>
      <c r="M248" s="53"/>
      <c r="U248" s="5"/>
    </row>
    <row r="249" spans="1:22" x14ac:dyDescent="0.55000000000000004">
      <c r="A249" s="10">
        <v>245</v>
      </c>
      <c r="B249" s="19"/>
      <c r="C249" s="47">
        <f>+ยกมา!C257</f>
        <v>0</v>
      </c>
      <c r="D249" s="45">
        <f>+'1'!D249+'2'!D249+'3'!D249+'4'!D249+'5'!D249+'6'!D249+'7'!D249+'8'!D249+'9'!D249+'10'!D249+'11'!D249+'12'!D249+'13'!D249+'14'!D249+'15'!D249+'16'!D249+'17'!D249+'18'!D249+'19'!D249+'20'!D249+'21'!D249+'22'!D249+'23'!D249+'24'!D249+'25'!D249+'26'!D249+'27'!D249+'28'!D249+'29'!D249+'30'!D249+'31.'!D249</f>
        <v>0</v>
      </c>
      <c r="E249" s="44">
        <f t="shared" si="13"/>
        <v>0</v>
      </c>
      <c r="F249" s="45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4">
        <f t="shared" si="14"/>
        <v>0</v>
      </c>
      <c r="H249" s="45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20"/>
      <c r="J249" s="45">
        <f>+'1'!J249+'2'!J249+'3'!J249+'4'!J249+'5'!J249+'6'!J249+'7'!J249+'8'!J249+'9'!J249+'10'!J249+'11'!J249+'12'!J249+'13'!J249+'14'!J249+'15'!J249+'16'!J249+'17'!J249+'18'!J249+'19'!J249+'20'!J249+'21'!J249+'22'!J249+'23'!J249+'24'!J249+'25'!J249+'26'!J249+'27'!J249+'28'!J249+'29'!J249+'30'!J249+'31.'!J249</f>
        <v>0</v>
      </c>
      <c r="K249" s="19"/>
      <c r="M249" s="53"/>
      <c r="U249" s="5"/>
    </row>
    <row r="250" spans="1:22" x14ac:dyDescent="0.55000000000000004">
      <c r="A250" s="10">
        <v>246</v>
      </c>
      <c r="B250" s="19"/>
      <c r="C250" s="47">
        <f>+ยกมา!C258</f>
        <v>0</v>
      </c>
      <c r="D250" s="45">
        <f>+'1'!D250+'2'!D250+'3'!D250+'4'!D250+'5'!D250+'6'!D250+'7'!D250+'8'!D250+'9'!D250+'10'!D250+'11'!D250+'12'!D250+'13'!D250+'14'!D250+'15'!D250+'16'!D250+'17'!D250+'18'!D250+'19'!D250+'20'!D250+'21'!D250+'22'!D250+'23'!D250+'24'!D250+'25'!D250+'26'!D250+'27'!D250+'28'!D250+'29'!D250+'30'!D250+'31.'!D250</f>
        <v>0</v>
      </c>
      <c r="E250" s="44">
        <f t="shared" si="13"/>
        <v>0</v>
      </c>
      <c r="F250" s="45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4">
        <f t="shared" si="14"/>
        <v>0</v>
      </c>
      <c r="H250" s="45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20"/>
      <c r="J250" s="45">
        <f>+'1'!J250+'2'!J250+'3'!J250+'4'!J250+'5'!J250+'6'!J250+'7'!J250+'8'!J250+'9'!J250+'10'!J250+'11'!J250+'12'!J250+'13'!J250+'14'!J250+'15'!J250+'16'!J250+'17'!J250+'18'!J250+'19'!J250+'20'!J250+'21'!J250+'22'!J250+'23'!J250+'24'!J250+'25'!J250+'26'!J250+'27'!J250+'28'!J250+'29'!J250+'30'!J250+'31.'!J250</f>
        <v>0</v>
      </c>
      <c r="K250" s="19"/>
      <c r="M250" s="53"/>
      <c r="U250" s="5"/>
    </row>
    <row r="251" spans="1:22" x14ac:dyDescent="0.55000000000000004">
      <c r="A251" s="10">
        <v>247</v>
      </c>
      <c r="B251" s="19"/>
      <c r="C251" s="47">
        <f>+ยกมา!C259</f>
        <v>0</v>
      </c>
      <c r="D251" s="45">
        <f>+'1'!D251+'2'!D251+'3'!D251+'4'!D251+'5'!D251+'6'!D251+'7'!D251+'8'!D251+'9'!D251+'10'!D251+'11'!D251+'12'!D251+'13'!D251+'14'!D251+'15'!D251+'16'!D251+'17'!D251+'18'!D251+'19'!D251+'20'!D251+'21'!D251+'22'!D251+'23'!D251+'24'!D251+'25'!D251+'26'!D251+'27'!D251+'28'!D251+'29'!D251+'30'!D251+'31.'!D251</f>
        <v>0</v>
      </c>
      <c r="E251" s="44">
        <f t="shared" si="13"/>
        <v>0</v>
      </c>
      <c r="F251" s="45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4">
        <f t="shared" si="14"/>
        <v>0</v>
      </c>
      <c r="H251" s="45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20"/>
      <c r="J251" s="45">
        <f>+'1'!J251+'2'!J251+'3'!J251+'4'!J251+'5'!J251+'6'!J251+'7'!J251+'8'!J251+'9'!J251+'10'!J251+'11'!J251+'12'!J251+'13'!J251+'14'!J251+'15'!J251+'16'!J251+'17'!J251+'18'!J251+'19'!J251+'20'!J251+'21'!J251+'22'!J251+'23'!J251+'24'!J251+'25'!J251+'26'!J251+'27'!J251+'28'!J251+'29'!J251+'30'!J251+'31.'!J251</f>
        <v>0</v>
      </c>
      <c r="K251" s="19"/>
      <c r="M251" s="53"/>
      <c r="U251" s="5"/>
    </row>
    <row r="252" spans="1:22" x14ac:dyDescent="0.55000000000000004">
      <c r="A252" s="10">
        <v>248</v>
      </c>
      <c r="B252" s="19"/>
      <c r="C252" s="47">
        <f>+ยกมา!C260</f>
        <v>0</v>
      </c>
      <c r="D252" s="45">
        <f>+'1'!D252+'2'!D252+'3'!D252+'4'!D252+'5'!D252+'6'!D252+'7'!D252+'8'!D252+'9'!D252+'10'!D252+'11'!D252+'12'!D252+'13'!D252+'14'!D252+'15'!D252+'16'!D252+'17'!D252+'18'!D252+'19'!D252+'20'!D252+'21'!D252+'22'!D252+'23'!D252+'24'!D252+'25'!D252+'26'!D252+'27'!D252+'28'!D252+'29'!D252+'30'!D252+'31.'!D252</f>
        <v>0</v>
      </c>
      <c r="E252" s="44">
        <f t="shared" si="13"/>
        <v>0</v>
      </c>
      <c r="F252" s="45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4">
        <f t="shared" si="14"/>
        <v>0</v>
      </c>
      <c r="H252" s="45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20"/>
      <c r="J252" s="45">
        <f>+'1'!J252+'2'!J252+'3'!J252+'4'!J252+'5'!J252+'6'!J252+'7'!J252+'8'!J252+'9'!J252+'10'!J252+'11'!J252+'12'!J252+'13'!J252+'14'!J252+'15'!J252+'16'!J252+'17'!J252+'18'!J252+'19'!J252+'20'!J252+'21'!J252+'22'!J252+'23'!J252+'24'!J252+'25'!J252+'26'!J252+'27'!J252+'28'!J252+'29'!J252+'30'!J252+'31.'!J252</f>
        <v>0</v>
      </c>
      <c r="K252" s="19"/>
      <c r="M252" s="53"/>
      <c r="U252" s="5"/>
    </row>
    <row r="253" spans="1:22" x14ac:dyDescent="0.55000000000000004">
      <c r="A253" s="10">
        <v>249</v>
      </c>
      <c r="B253" s="19"/>
      <c r="C253" s="47">
        <f>+ยกมา!C261</f>
        <v>0</v>
      </c>
      <c r="D253" s="45">
        <f>+'1'!D253+'2'!D253+'3'!D253+'4'!D253+'5'!D253+'6'!D253+'7'!D253+'8'!D253+'9'!D253+'10'!D253+'11'!D253+'12'!D253+'13'!D253+'14'!D253+'15'!D253+'16'!D253+'17'!D253+'18'!D253+'19'!D253+'20'!D253+'21'!D253+'22'!D253+'23'!D253+'24'!D253+'25'!D253+'26'!D253+'27'!D253+'28'!D253+'29'!D253+'30'!D253+'31.'!D253</f>
        <v>0</v>
      </c>
      <c r="E253" s="44">
        <f t="shared" si="13"/>
        <v>0</v>
      </c>
      <c r="F253" s="45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4">
        <f t="shared" si="14"/>
        <v>0</v>
      </c>
      <c r="H253" s="45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20"/>
      <c r="J253" s="45">
        <f>+'1'!J253+'2'!J253+'3'!J253+'4'!J253+'5'!J253+'6'!J253+'7'!J253+'8'!J253+'9'!J253+'10'!J253+'11'!J253+'12'!J253+'13'!J253+'14'!J253+'15'!J253+'16'!J253+'17'!J253+'18'!J253+'19'!J253+'20'!J253+'21'!J253+'22'!J253+'23'!J253+'24'!J253+'25'!J253+'26'!J253+'27'!J253+'28'!J253+'29'!J253+'30'!J253+'31.'!J253</f>
        <v>0</v>
      </c>
      <c r="K253" s="19"/>
      <c r="M253" s="53"/>
      <c r="U253" s="5"/>
    </row>
    <row r="254" spans="1:22" ht="29.25" x14ac:dyDescent="0.6">
      <c r="A254" s="10">
        <v>250</v>
      </c>
      <c r="B254" s="19"/>
      <c r="C254" s="47">
        <f>+ยกมา!C262</f>
        <v>0</v>
      </c>
      <c r="D254" s="45">
        <f>+'1'!D254+'2'!D254+'3'!D254+'4'!D254+'5'!D254+'6'!D254+'7'!D254+'8'!D254+'9'!D254+'10'!D254+'11'!D254+'12'!D254+'13'!D254+'14'!D254+'15'!D254+'16'!D254+'17'!D254+'18'!D254+'19'!D254+'20'!D254+'21'!D254+'22'!D254+'23'!D254+'24'!D254+'25'!D254+'26'!D254+'27'!D254+'28'!D254+'29'!D254+'30'!D254+'31.'!D254</f>
        <v>0</v>
      </c>
      <c r="E254" s="44">
        <f t="shared" si="13"/>
        <v>0</v>
      </c>
      <c r="F254" s="45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4">
        <f t="shared" si="14"/>
        <v>0</v>
      </c>
      <c r="H254" s="45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20"/>
      <c r="J254" s="45">
        <f>+'1'!J254+'2'!J254+'3'!J254+'4'!J254+'5'!J254+'6'!J254+'7'!J254+'8'!J254+'9'!J254+'10'!J254+'11'!J254+'12'!J254+'13'!J254+'14'!J254+'15'!J254+'16'!J254+'17'!J254+'18'!J254+'19'!J254+'20'!J254+'21'!J254+'22'!J254+'23'!J254+'24'!J254+'25'!J254+'26'!J254+'27'!J254+'28'!J254+'29'!J254+'30'!J254+'31.'!J254</f>
        <v>0</v>
      </c>
      <c r="K254" s="19"/>
      <c r="M254" s="53"/>
      <c r="U254" s="5"/>
      <c r="V254" s="54"/>
    </row>
    <row r="255" spans="1:22" s="54" customFormat="1" ht="27.75" customHeight="1" x14ac:dyDescent="0.6">
      <c r="A255" s="116" t="s">
        <v>223</v>
      </c>
      <c r="B255" s="117"/>
      <c r="C255" s="117"/>
      <c r="D255" s="117"/>
      <c r="E255" s="117"/>
      <c r="F255" s="117"/>
      <c r="G255" s="117"/>
      <c r="H255" s="117"/>
      <c r="I255" s="117"/>
      <c r="J255" s="117"/>
      <c r="K255" s="118"/>
      <c r="M255" s="55"/>
      <c r="N255" s="55"/>
      <c r="O255" s="55"/>
      <c r="P255" s="56"/>
      <c r="Q255" s="56"/>
      <c r="R255" s="56"/>
      <c r="S255" s="56"/>
      <c r="T255" s="56"/>
      <c r="U255" s="5"/>
      <c r="V255" s="59"/>
    </row>
    <row r="256" spans="1:22" s="57" customFormat="1" ht="25.5" customHeight="1" x14ac:dyDescent="0.55000000000000004">
      <c r="A256" s="119" t="s">
        <v>224</v>
      </c>
      <c r="B256" s="120"/>
      <c r="C256" s="121" t="s">
        <v>240</v>
      </c>
      <c r="D256" s="122"/>
      <c r="E256" s="123" t="s">
        <v>225</v>
      </c>
      <c r="F256" s="124"/>
      <c r="G256" s="125" t="s">
        <v>226</v>
      </c>
      <c r="H256" s="125"/>
      <c r="I256" s="125"/>
      <c r="J256" s="60">
        <f>SUM(J5:J254)</f>
        <v>87220</v>
      </c>
      <c r="K256" s="61" t="s">
        <v>219</v>
      </c>
      <c r="M256" s="58"/>
      <c r="N256" s="58"/>
      <c r="O256" s="58"/>
      <c r="P256" s="58"/>
      <c r="Q256" s="58"/>
      <c r="R256" s="58"/>
      <c r="S256" s="58"/>
      <c r="T256" s="58"/>
      <c r="U256" s="5"/>
      <c r="V256" s="59"/>
    </row>
    <row r="257" spans="1:22" s="59" customFormat="1" ht="24.75" customHeight="1" x14ac:dyDescent="0.55000000000000004">
      <c r="A257" s="62" t="s">
        <v>227</v>
      </c>
      <c r="B257" s="63">
        <f>+J259</f>
        <v>87220</v>
      </c>
      <c r="C257" s="64" t="s">
        <v>228</v>
      </c>
      <c r="D257" s="65">
        <f>+J256</f>
        <v>87220</v>
      </c>
      <c r="E257" s="66" t="s">
        <v>217</v>
      </c>
      <c r="F257" s="67">
        <f>SUM(P36)</f>
        <v>450</v>
      </c>
      <c r="G257" s="133"/>
      <c r="H257" s="133"/>
      <c r="I257" s="133"/>
      <c r="J257" s="69"/>
      <c r="K257" s="69">
        <f>+R36</f>
        <v>29005</v>
      </c>
      <c r="M257" s="5"/>
      <c r="N257" s="5"/>
      <c r="O257" s="5"/>
      <c r="P257" s="5"/>
      <c r="Q257" s="5"/>
      <c r="R257" s="5"/>
      <c r="S257" s="5"/>
      <c r="T257" s="5"/>
      <c r="U257" s="5"/>
    </row>
    <row r="258" spans="1:22" s="59" customFormat="1" ht="24.75" customHeight="1" x14ac:dyDescent="0.55000000000000004">
      <c r="A258" s="62"/>
      <c r="B258" s="63"/>
      <c r="C258" s="64" t="s">
        <v>229</v>
      </c>
      <c r="D258" s="65">
        <f>K259</f>
        <v>6470</v>
      </c>
      <c r="E258" s="66"/>
      <c r="F258" s="70">
        <v>0</v>
      </c>
      <c r="G258" s="133" t="s">
        <v>230</v>
      </c>
      <c r="H258" s="133"/>
      <c r="I258" s="133"/>
      <c r="J258" s="69">
        <f>-O36</f>
        <v>0</v>
      </c>
      <c r="K258" s="69" t="s">
        <v>229</v>
      </c>
      <c r="M258" s="5"/>
      <c r="N258" s="5"/>
      <c r="O258" s="5"/>
      <c r="P258" s="5"/>
      <c r="Q258" s="5"/>
      <c r="R258" s="5"/>
      <c r="S258" s="5"/>
      <c r="T258" s="5"/>
      <c r="U258" s="5"/>
    </row>
    <row r="259" spans="1:22" s="59" customFormat="1" ht="24.75" customHeight="1" x14ac:dyDescent="0.55000000000000004">
      <c r="A259" s="72" t="s">
        <v>10</v>
      </c>
      <c r="B259" s="63">
        <f>+D258</f>
        <v>6470</v>
      </c>
      <c r="C259" s="64"/>
      <c r="D259" s="65"/>
      <c r="E259" s="66" t="s">
        <v>231</v>
      </c>
      <c r="F259" s="70">
        <f>+Q36</f>
        <v>69</v>
      </c>
      <c r="G259" s="134" t="s">
        <v>232</v>
      </c>
      <c r="H259" s="135"/>
      <c r="I259" s="136"/>
      <c r="J259" s="69">
        <f>+J256-J257</f>
        <v>87220</v>
      </c>
      <c r="K259" s="73">
        <f>+N36</f>
        <v>6470</v>
      </c>
      <c r="M259" s="71"/>
      <c r="N259" s="5"/>
      <c r="O259" s="5"/>
      <c r="P259" s="5"/>
      <c r="Q259" s="5"/>
      <c r="R259" s="5"/>
      <c r="S259" s="5"/>
      <c r="T259" s="5"/>
      <c r="U259" s="5"/>
    </row>
    <row r="260" spans="1:22" s="59" customFormat="1" ht="24.75" customHeight="1" thickBot="1" x14ac:dyDescent="0.6">
      <c r="A260" s="74" t="s">
        <v>233</v>
      </c>
      <c r="B260" s="63">
        <f>B257-B259</f>
        <v>80750</v>
      </c>
      <c r="C260" s="64" t="s">
        <v>233</v>
      </c>
      <c r="D260" s="65">
        <f>+D257-D258</f>
        <v>80750</v>
      </c>
      <c r="E260" s="66" t="s">
        <v>234</v>
      </c>
      <c r="F260" s="70">
        <f>SUM(F257:F259)</f>
        <v>519</v>
      </c>
      <c r="G260" s="133" t="s">
        <v>206</v>
      </c>
      <c r="H260" s="133"/>
      <c r="I260" s="133"/>
      <c r="J260" s="69">
        <f>F260</f>
        <v>519</v>
      </c>
      <c r="K260" s="68"/>
      <c r="M260" s="5"/>
      <c r="N260" s="5"/>
      <c r="O260" s="5"/>
      <c r="P260" s="5"/>
      <c r="Q260" s="5"/>
      <c r="R260" s="5"/>
      <c r="S260" s="5"/>
      <c r="T260" s="5"/>
      <c r="U260" s="5"/>
    </row>
    <row r="261" spans="1:22" s="59" customFormat="1" ht="24.75" customHeight="1" thickTop="1" x14ac:dyDescent="0.55000000000000004">
      <c r="A261" s="75"/>
      <c r="B261" s="75"/>
      <c r="C261" s="64" t="s">
        <v>235</v>
      </c>
      <c r="D261" s="65">
        <v>100000</v>
      </c>
      <c r="G261" s="126" t="s">
        <v>208</v>
      </c>
      <c r="H261" s="127"/>
      <c r="I261" s="128"/>
      <c r="J261" s="69">
        <f>J259-J260-K257-K259</f>
        <v>51226</v>
      </c>
      <c r="K261" s="68"/>
      <c r="M261" s="71"/>
      <c r="N261" s="71"/>
      <c r="O261" s="5"/>
      <c r="P261" s="5"/>
      <c r="Q261" s="5"/>
      <c r="R261" s="5"/>
      <c r="S261" s="5"/>
      <c r="T261" s="5"/>
    </row>
    <row r="262" spans="1:22" s="59" customFormat="1" ht="24.75" customHeight="1" x14ac:dyDescent="0.55000000000000004">
      <c r="A262" s="75"/>
      <c r="B262" s="75"/>
      <c r="C262" s="64" t="s">
        <v>236</v>
      </c>
      <c r="D262" s="65">
        <f>D260-D261</f>
        <v>-19250</v>
      </c>
      <c r="G262" s="126" t="s">
        <v>209</v>
      </c>
      <c r="H262" s="127"/>
      <c r="I262" s="128"/>
      <c r="J262" s="69">
        <f>+T36</f>
        <v>51321</v>
      </c>
      <c r="K262" s="68"/>
      <c r="M262" s="71"/>
      <c r="N262" s="5"/>
      <c r="O262" s="5"/>
      <c r="P262" s="5"/>
      <c r="Q262" s="5"/>
      <c r="R262" s="5"/>
      <c r="S262" s="5"/>
      <c r="T262" s="5"/>
      <c r="V262" s="2"/>
    </row>
    <row r="263" spans="1:22" s="59" customFormat="1" ht="24.75" customHeight="1" x14ac:dyDescent="0.55000000000000004">
      <c r="A263" s="75"/>
      <c r="B263" s="75"/>
      <c r="C263" s="64" t="s">
        <v>237</v>
      </c>
      <c r="D263" s="65">
        <v>0</v>
      </c>
      <c r="G263" s="126" t="s">
        <v>210</v>
      </c>
      <c r="H263" s="127"/>
      <c r="I263" s="128"/>
      <c r="J263" s="69">
        <v>0</v>
      </c>
      <c r="K263" s="68"/>
      <c r="M263" s="71"/>
      <c r="N263" s="5"/>
      <c r="O263" s="5"/>
      <c r="P263" s="5"/>
      <c r="Q263" s="5"/>
      <c r="R263" s="5"/>
      <c r="S263" s="5"/>
      <c r="T263" s="5"/>
      <c r="U263" s="2"/>
      <c r="V263" s="2"/>
    </row>
    <row r="264" spans="1:22" ht="24.75" customHeight="1" thickBot="1" x14ac:dyDescent="0.6">
      <c r="A264" s="75"/>
      <c r="B264" s="75"/>
      <c r="G264" s="129" t="s">
        <v>211</v>
      </c>
      <c r="H264" s="129"/>
      <c r="I264" s="129"/>
      <c r="J264" s="76">
        <f>+J262-J261</f>
        <v>95</v>
      </c>
      <c r="K264" s="83"/>
    </row>
    <row r="265" spans="1:22" ht="24.75" customHeight="1" thickBot="1" x14ac:dyDescent="0.6">
      <c r="F265" s="130" t="s">
        <v>238</v>
      </c>
      <c r="G265" s="131"/>
      <c r="H265" s="131"/>
      <c r="I265" s="131"/>
      <c r="J265" s="131"/>
      <c r="K265" s="132"/>
    </row>
    <row r="266" spans="1:22" x14ac:dyDescent="0.55000000000000004">
      <c r="D266" s="23"/>
    </row>
  </sheetData>
  <mergeCells count="33">
    <mergeCell ref="G263:I263"/>
    <mergeCell ref="G264:I264"/>
    <mergeCell ref="F265:K265"/>
    <mergeCell ref="G257:I257"/>
    <mergeCell ref="G258:I258"/>
    <mergeCell ref="G259:I259"/>
    <mergeCell ref="G260:I260"/>
    <mergeCell ref="G261:I261"/>
    <mergeCell ref="G262:I262"/>
    <mergeCell ref="S3:S4"/>
    <mergeCell ref="T3:T4"/>
    <mergeCell ref="U3:U4"/>
    <mergeCell ref="A255:K255"/>
    <mergeCell ref="A256:B256"/>
    <mergeCell ref="C256:D256"/>
    <mergeCell ref="E256:F256"/>
    <mergeCell ref="G256:I256"/>
    <mergeCell ref="M3:M4"/>
    <mergeCell ref="N3:N4"/>
    <mergeCell ref="O3:O4"/>
    <mergeCell ref="P3:P4"/>
    <mergeCell ref="Q3:Q4"/>
    <mergeCell ref="R3:R4"/>
    <mergeCell ref="A3:A4"/>
    <mergeCell ref="B3:B4"/>
    <mergeCell ref="K3:K4"/>
    <mergeCell ref="L3:L4"/>
    <mergeCell ref="A2:K2"/>
    <mergeCell ref="C3:C4"/>
    <mergeCell ref="D3:D4"/>
    <mergeCell ref="E3:E4"/>
    <mergeCell ref="G3:G4"/>
    <mergeCell ref="H3:J3"/>
  </mergeCells>
  <pageMargins left="0" right="0" top="0" bottom="0" header="0.31496062992125984" footer="0.31496062992125984"/>
  <pageSetup paperSize="9" scale="27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210FB-6A3B-47E1-9D38-2B3E9E28C262}">
  <sheetPr>
    <tabColor theme="5" tint="0.79998168889431442"/>
  </sheetPr>
  <dimension ref="A1:AB341"/>
  <sheetViews>
    <sheetView zoomScaleNormal="100" workbookViewId="0">
      <pane xSplit="7" ySplit="4" topLeftCell="H251" activePane="bottomRight" state="frozen"/>
      <selection activeCell="B20" sqref="B20"/>
      <selection pane="topRight" activeCell="B20" sqref="B20"/>
      <selection pane="bottomLeft" activeCell="B20" sqref="B20"/>
      <selection pane="bottomRight" activeCell="B20" sqref="B20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8" x14ac:dyDescent="0.5">
      <c r="A1" s="1"/>
      <c r="G1" s="2"/>
      <c r="I1" s="2"/>
    </row>
    <row r="2" spans="1:28" s="3" customFormat="1" ht="29.25" x14ac:dyDescent="0.6">
      <c r="A2" s="137" t="s">
        <v>247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8" s="5" customFormat="1" ht="26.25" x14ac:dyDescent="0.55000000000000004">
      <c r="A3" s="139" t="s">
        <v>1</v>
      </c>
      <c r="B3" s="151" t="s">
        <v>2</v>
      </c>
      <c r="C3" s="139" t="s">
        <v>3</v>
      </c>
      <c r="D3" s="139" t="s">
        <v>4</v>
      </c>
      <c r="E3" s="139" t="s">
        <v>5</v>
      </c>
      <c r="F3" s="85" t="s">
        <v>6</v>
      </c>
      <c r="G3" s="139" t="s">
        <v>7</v>
      </c>
      <c r="H3" s="142" t="s">
        <v>8</v>
      </c>
      <c r="I3" s="142"/>
      <c r="J3" s="142"/>
      <c r="K3" s="139" t="s">
        <v>9</v>
      </c>
      <c r="L3" s="144" t="s">
        <v>10</v>
      </c>
      <c r="O3" s="139" t="s">
        <v>1</v>
      </c>
      <c r="P3" s="139" t="s">
        <v>2</v>
      </c>
      <c r="Q3" s="139" t="s">
        <v>3</v>
      </c>
      <c r="R3" s="139" t="s">
        <v>4</v>
      </c>
      <c r="S3" s="139" t="s">
        <v>5</v>
      </c>
      <c r="T3" s="85" t="s">
        <v>6</v>
      </c>
      <c r="U3" s="139" t="s">
        <v>7</v>
      </c>
      <c r="V3" s="142" t="s">
        <v>8</v>
      </c>
      <c r="W3" s="142"/>
      <c r="X3" s="142"/>
      <c r="Y3" s="139" t="s">
        <v>9</v>
      </c>
      <c r="Z3" s="144" t="s">
        <v>10</v>
      </c>
    </row>
    <row r="4" spans="1:28" s="5" customFormat="1" ht="26.25" x14ac:dyDescent="0.55000000000000004">
      <c r="A4" s="139"/>
      <c r="B4" s="151"/>
      <c r="C4" s="139"/>
      <c r="D4" s="139"/>
      <c r="E4" s="139"/>
      <c r="F4" s="85" t="s">
        <v>11</v>
      </c>
      <c r="G4" s="139"/>
      <c r="H4" s="85" t="s">
        <v>12</v>
      </c>
      <c r="I4" s="86" t="s">
        <v>13</v>
      </c>
      <c r="J4" s="85" t="s">
        <v>14</v>
      </c>
      <c r="K4" s="139"/>
      <c r="L4" s="144"/>
      <c r="O4" s="139"/>
      <c r="P4" s="139"/>
      <c r="Q4" s="139"/>
      <c r="R4" s="139"/>
      <c r="S4" s="139"/>
      <c r="T4" s="85" t="s">
        <v>11</v>
      </c>
      <c r="U4" s="139"/>
      <c r="V4" s="85" t="s">
        <v>12</v>
      </c>
      <c r="W4" s="86" t="s">
        <v>13</v>
      </c>
      <c r="X4" s="85" t="s">
        <v>14</v>
      </c>
      <c r="Y4" s="139"/>
      <c r="Z4" s="144"/>
      <c r="AB4" s="5" t="s">
        <v>2</v>
      </c>
    </row>
    <row r="5" spans="1:28" ht="25.5" x14ac:dyDescent="0.55000000000000004">
      <c r="A5" s="10">
        <v>1</v>
      </c>
      <c r="B5" s="19" t="s">
        <v>15</v>
      </c>
      <c r="C5" s="79">
        <v>17</v>
      </c>
      <c r="D5" s="87">
        <v>0</v>
      </c>
      <c r="E5" s="47">
        <f t="shared" ref="E5:E14" si="0">C5+D5</f>
        <v>17</v>
      </c>
      <c r="F5" s="87">
        <v>0</v>
      </c>
      <c r="G5" s="47">
        <f>+E5-F5-H5</f>
        <v>17</v>
      </c>
      <c r="H5" s="88"/>
      <c r="I5" s="22">
        <v>50</v>
      </c>
      <c r="J5" s="8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7">
        <v>0</v>
      </c>
      <c r="S5" s="47">
        <f t="shared" ref="S5:S99" si="1">Q5+R5</f>
        <v>0</v>
      </c>
      <c r="T5" s="87">
        <v>0</v>
      </c>
      <c r="U5" s="47">
        <f t="shared" ref="U5:U99" si="2">S5-T5-V5</f>
        <v>0</v>
      </c>
      <c r="V5" s="88">
        <v>0</v>
      </c>
      <c r="W5" s="22"/>
      <c r="X5" s="44">
        <f t="shared" ref="X5:X102" si="3">V5*W5</f>
        <v>0</v>
      </c>
      <c r="Y5" s="17" t="s">
        <v>16</v>
      </c>
      <c r="Z5" s="18">
        <v>0</v>
      </c>
      <c r="AB5" s="2" t="s">
        <v>317</v>
      </c>
    </row>
    <row r="6" spans="1:28" ht="25.5" x14ac:dyDescent="0.55000000000000004">
      <c r="A6" s="10">
        <v>2</v>
      </c>
      <c r="B6" s="19" t="s">
        <v>17</v>
      </c>
      <c r="C6" s="79">
        <v>10</v>
      </c>
      <c r="D6" s="87">
        <v>0</v>
      </c>
      <c r="E6" s="47">
        <f t="shared" si="0"/>
        <v>10</v>
      </c>
      <c r="F6" s="87">
        <v>0</v>
      </c>
      <c r="G6" s="47">
        <f t="shared" ref="G6:G14" si="4">+E6-F6-H6</f>
        <v>10</v>
      </c>
      <c r="H6" s="88"/>
      <c r="I6" s="22">
        <v>100</v>
      </c>
      <c r="J6" s="82">
        <f t="shared" ref="J6:J14" si="5">+I6*H6</f>
        <v>0</v>
      </c>
      <c r="K6" s="17" t="s">
        <v>16</v>
      </c>
      <c r="L6" s="18">
        <v>0</v>
      </c>
      <c r="M6" s="23">
        <f t="shared" ref="M6:M14" si="6">SUM(J6-L6)</f>
        <v>0</v>
      </c>
      <c r="O6" s="10">
        <v>2</v>
      </c>
      <c r="P6" s="19"/>
      <c r="Q6" s="47">
        <v>0</v>
      </c>
      <c r="R6" s="87">
        <v>0</v>
      </c>
      <c r="S6" s="47">
        <f t="shared" si="1"/>
        <v>0</v>
      </c>
      <c r="T6" s="87">
        <v>0</v>
      </c>
      <c r="U6" s="47">
        <f t="shared" si="2"/>
        <v>0</v>
      </c>
      <c r="V6" s="88">
        <v>0</v>
      </c>
      <c r="W6" s="22"/>
      <c r="X6" s="44">
        <f t="shared" si="3"/>
        <v>0</v>
      </c>
      <c r="Y6" s="17" t="s">
        <v>16</v>
      </c>
      <c r="Z6" s="18">
        <v>0</v>
      </c>
      <c r="AB6" s="2" t="s">
        <v>318</v>
      </c>
    </row>
    <row r="7" spans="1:28" ht="25.5" x14ac:dyDescent="0.55000000000000004">
      <c r="A7" s="10">
        <v>3</v>
      </c>
      <c r="B7" s="19" t="s">
        <v>18</v>
      </c>
      <c r="C7" s="47">
        <v>0</v>
      </c>
      <c r="D7" s="87">
        <v>0</v>
      </c>
      <c r="E7" s="47">
        <f>C7+D7</f>
        <v>0</v>
      </c>
      <c r="F7" s="87">
        <v>0</v>
      </c>
      <c r="G7" s="47">
        <f t="shared" si="4"/>
        <v>0</v>
      </c>
      <c r="H7" s="88"/>
      <c r="I7" s="22">
        <v>50</v>
      </c>
      <c r="J7" s="8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7">
        <v>0</v>
      </c>
      <c r="S7" s="47">
        <f t="shared" si="1"/>
        <v>0</v>
      </c>
      <c r="T7" s="87">
        <v>0</v>
      </c>
      <c r="U7" s="47">
        <f t="shared" si="2"/>
        <v>0</v>
      </c>
      <c r="V7" s="88">
        <v>0</v>
      </c>
      <c r="W7" s="22"/>
      <c r="X7" s="44">
        <f t="shared" si="3"/>
        <v>0</v>
      </c>
      <c r="Y7" s="17" t="s">
        <v>16</v>
      </c>
      <c r="Z7" s="18">
        <v>0</v>
      </c>
      <c r="AB7" s="2" t="s">
        <v>319</v>
      </c>
    </row>
    <row r="8" spans="1:28" ht="25.5" x14ac:dyDescent="0.55000000000000004">
      <c r="A8" s="10">
        <v>4</v>
      </c>
      <c r="B8" s="19" t="s">
        <v>19</v>
      </c>
      <c r="C8" s="47">
        <v>0</v>
      </c>
      <c r="D8" s="87">
        <v>0</v>
      </c>
      <c r="E8" s="47">
        <f>C8+D8</f>
        <v>0</v>
      </c>
      <c r="F8" s="87">
        <v>0</v>
      </c>
      <c r="G8" s="47">
        <f t="shared" si="4"/>
        <v>0</v>
      </c>
      <c r="H8" s="88"/>
      <c r="I8" s="22">
        <v>100</v>
      </c>
      <c r="J8" s="8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7">
        <v>0</v>
      </c>
      <c r="S8" s="47">
        <f t="shared" si="1"/>
        <v>0</v>
      </c>
      <c r="T8" s="87">
        <v>0</v>
      </c>
      <c r="U8" s="47">
        <f t="shared" si="2"/>
        <v>0</v>
      </c>
      <c r="V8" s="88">
        <v>0</v>
      </c>
      <c r="W8" s="22"/>
      <c r="X8" s="44">
        <f t="shared" si="3"/>
        <v>0</v>
      </c>
      <c r="Y8" s="17" t="s">
        <v>16</v>
      </c>
      <c r="Z8" s="18">
        <v>0</v>
      </c>
      <c r="AB8" s="2" t="s">
        <v>320</v>
      </c>
    </row>
    <row r="9" spans="1:28" ht="25.5" x14ac:dyDescent="0.55000000000000004">
      <c r="A9" s="10">
        <v>5</v>
      </c>
      <c r="B9" s="19" t="s">
        <v>20</v>
      </c>
      <c r="C9" s="47">
        <v>0</v>
      </c>
      <c r="D9" s="87">
        <v>0</v>
      </c>
      <c r="E9" s="47">
        <f>C9+D9</f>
        <v>0</v>
      </c>
      <c r="F9" s="87">
        <v>0</v>
      </c>
      <c r="G9" s="47">
        <f t="shared" si="4"/>
        <v>0</v>
      </c>
      <c r="H9" s="88"/>
      <c r="I9" s="22">
        <v>12</v>
      </c>
      <c r="J9" s="8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7">
        <v>0</v>
      </c>
      <c r="S9" s="47">
        <f t="shared" si="1"/>
        <v>0</v>
      </c>
      <c r="T9" s="87">
        <v>0</v>
      </c>
      <c r="U9" s="47">
        <f t="shared" si="2"/>
        <v>0</v>
      </c>
      <c r="V9" s="88">
        <v>0</v>
      </c>
      <c r="W9" s="22"/>
      <c r="X9" s="44">
        <f t="shared" si="3"/>
        <v>0</v>
      </c>
      <c r="Y9" s="17" t="s">
        <v>16</v>
      </c>
      <c r="Z9" s="18">
        <v>0</v>
      </c>
      <c r="AB9" s="2" t="s">
        <v>307</v>
      </c>
    </row>
    <row r="10" spans="1:28" ht="25.5" x14ac:dyDescent="0.55000000000000004">
      <c r="A10" s="10">
        <v>6</v>
      </c>
      <c r="B10" s="19" t="s">
        <v>21</v>
      </c>
      <c r="C10" s="47">
        <v>0</v>
      </c>
      <c r="D10" s="87">
        <v>0</v>
      </c>
      <c r="E10" s="47">
        <f>C10+D10</f>
        <v>0</v>
      </c>
      <c r="F10" s="87">
        <v>0</v>
      </c>
      <c r="G10" s="47">
        <f t="shared" si="4"/>
        <v>0</v>
      </c>
      <c r="H10" s="88"/>
      <c r="I10" s="22">
        <v>15</v>
      </c>
      <c r="J10" s="8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7">
        <v>0</v>
      </c>
      <c r="S10" s="47">
        <f t="shared" si="1"/>
        <v>0</v>
      </c>
      <c r="T10" s="87">
        <v>0</v>
      </c>
      <c r="U10" s="47">
        <f t="shared" si="2"/>
        <v>0</v>
      </c>
      <c r="V10" s="88">
        <v>0</v>
      </c>
      <c r="W10" s="22"/>
      <c r="X10" s="44">
        <f t="shared" si="3"/>
        <v>0</v>
      </c>
      <c r="Y10" s="17" t="s">
        <v>16</v>
      </c>
      <c r="Z10" s="18">
        <v>0</v>
      </c>
      <c r="AB10" s="2" t="s">
        <v>311</v>
      </c>
    </row>
    <row r="11" spans="1:28" ht="25.5" x14ac:dyDescent="0.55000000000000004">
      <c r="A11" s="10">
        <v>7</v>
      </c>
      <c r="B11" s="19" t="s">
        <v>22</v>
      </c>
      <c r="C11" s="47">
        <v>0</v>
      </c>
      <c r="D11" s="87">
        <v>0</v>
      </c>
      <c r="E11" s="47">
        <f t="shared" si="0"/>
        <v>0</v>
      </c>
      <c r="F11" s="87">
        <v>0</v>
      </c>
      <c r="G11" s="47">
        <f t="shared" si="4"/>
        <v>0</v>
      </c>
      <c r="H11" s="88"/>
      <c r="I11" s="22">
        <v>40</v>
      </c>
      <c r="J11" s="8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7">
        <v>0</v>
      </c>
      <c r="S11" s="47">
        <f t="shared" si="1"/>
        <v>0</v>
      </c>
      <c r="T11" s="87">
        <v>0</v>
      </c>
      <c r="U11" s="47">
        <f t="shared" si="2"/>
        <v>0</v>
      </c>
      <c r="V11" s="88">
        <v>0</v>
      </c>
      <c r="W11" s="22"/>
      <c r="X11" s="44">
        <f t="shared" si="3"/>
        <v>0</v>
      </c>
      <c r="Y11" s="17" t="s">
        <v>16</v>
      </c>
      <c r="Z11" s="18">
        <v>0</v>
      </c>
      <c r="AB11" s="2" t="s">
        <v>321</v>
      </c>
    </row>
    <row r="12" spans="1:28" ht="25.5" x14ac:dyDescent="0.55000000000000004">
      <c r="A12" s="10">
        <v>8</v>
      </c>
      <c r="B12" s="19" t="s">
        <v>23</v>
      </c>
      <c r="C12" s="47">
        <v>0</v>
      </c>
      <c r="D12" s="87">
        <v>0</v>
      </c>
      <c r="E12" s="47">
        <f t="shared" si="0"/>
        <v>0</v>
      </c>
      <c r="F12" s="87">
        <v>0</v>
      </c>
      <c r="G12" s="47">
        <f t="shared" si="4"/>
        <v>0</v>
      </c>
      <c r="H12" s="88"/>
      <c r="I12" s="20">
        <v>50</v>
      </c>
      <c r="J12" s="8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7">
        <v>0</v>
      </c>
      <c r="S12" s="47">
        <f t="shared" si="1"/>
        <v>0</v>
      </c>
      <c r="T12" s="87">
        <v>0</v>
      </c>
      <c r="U12" s="47">
        <f t="shared" si="2"/>
        <v>0</v>
      </c>
      <c r="V12" s="88">
        <v>0</v>
      </c>
      <c r="W12" s="22"/>
      <c r="X12" s="44">
        <f t="shared" si="3"/>
        <v>0</v>
      </c>
      <c r="Y12" s="17" t="s">
        <v>16</v>
      </c>
      <c r="Z12" s="18">
        <v>0</v>
      </c>
      <c r="AB12" s="2" t="s">
        <v>289</v>
      </c>
    </row>
    <row r="13" spans="1:28" ht="25.5" x14ac:dyDescent="0.55000000000000004">
      <c r="A13" s="10">
        <v>9</v>
      </c>
      <c r="B13" s="19" t="s">
        <v>24</v>
      </c>
      <c r="C13" s="47">
        <v>0</v>
      </c>
      <c r="D13" s="87">
        <v>0</v>
      </c>
      <c r="E13" s="47">
        <f>C13+D13</f>
        <v>0</v>
      </c>
      <c r="F13" s="87">
        <v>0</v>
      </c>
      <c r="G13" s="47">
        <f t="shared" si="4"/>
        <v>0</v>
      </c>
      <c r="H13" s="88"/>
      <c r="I13" s="20">
        <v>55</v>
      </c>
      <c r="J13" s="8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7">
        <v>0</v>
      </c>
      <c r="S13" s="47">
        <f t="shared" si="1"/>
        <v>0</v>
      </c>
      <c r="T13" s="87">
        <v>0</v>
      </c>
      <c r="U13" s="47">
        <f t="shared" si="2"/>
        <v>0</v>
      </c>
      <c r="V13" s="88">
        <v>0</v>
      </c>
      <c r="W13" s="22"/>
      <c r="X13" s="44">
        <f t="shared" si="3"/>
        <v>0</v>
      </c>
      <c r="Y13" s="17" t="s">
        <v>16</v>
      </c>
      <c r="Z13" s="18">
        <v>0</v>
      </c>
      <c r="AB13" s="2" t="s">
        <v>322</v>
      </c>
    </row>
    <row r="14" spans="1:28" ht="25.5" x14ac:dyDescent="0.55000000000000004">
      <c r="A14" s="10">
        <v>10</v>
      </c>
      <c r="B14" s="19" t="s">
        <v>25</v>
      </c>
      <c r="C14" s="47">
        <v>0</v>
      </c>
      <c r="D14" s="87">
        <v>0</v>
      </c>
      <c r="E14" s="47">
        <f t="shared" si="0"/>
        <v>0</v>
      </c>
      <c r="F14" s="87">
        <v>0</v>
      </c>
      <c r="G14" s="47">
        <f t="shared" si="4"/>
        <v>0</v>
      </c>
      <c r="H14" s="88"/>
      <c r="I14" s="20">
        <v>65</v>
      </c>
      <c r="J14" s="8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7">
        <v>0</v>
      </c>
      <c r="S14" s="47">
        <f t="shared" si="1"/>
        <v>0</v>
      </c>
      <c r="T14" s="87">
        <v>0</v>
      </c>
      <c r="U14" s="47">
        <f t="shared" si="2"/>
        <v>0</v>
      </c>
      <c r="V14" s="88">
        <v>0</v>
      </c>
      <c r="W14" s="22"/>
      <c r="X14" s="44">
        <f t="shared" si="3"/>
        <v>0</v>
      </c>
      <c r="Y14" s="17" t="s">
        <v>16</v>
      </c>
      <c r="Z14" s="18">
        <v>0</v>
      </c>
      <c r="AB14" s="2" t="s">
        <v>306</v>
      </c>
    </row>
    <row r="15" spans="1:28" ht="25.5" x14ac:dyDescent="0.55000000000000004">
      <c r="A15" s="10">
        <v>11</v>
      </c>
      <c r="B15" s="19" t="s">
        <v>26</v>
      </c>
      <c r="C15" s="47">
        <v>0</v>
      </c>
      <c r="D15" s="87">
        <v>0</v>
      </c>
      <c r="E15" s="47">
        <f t="shared" ref="E15:E79" si="7">C15+D15</f>
        <v>0</v>
      </c>
      <c r="F15" s="87">
        <v>0</v>
      </c>
      <c r="G15" s="47">
        <f t="shared" ref="G15:G79" si="8">+E15-F15-H15</f>
        <v>0</v>
      </c>
      <c r="H15" s="88"/>
      <c r="I15" s="20">
        <v>50</v>
      </c>
      <c r="J15" s="82">
        <f t="shared" ref="J15:J79" si="9">+I15*H15</f>
        <v>0</v>
      </c>
      <c r="K15" s="17" t="s">
        <v>16</v>
      </c>
      <c r="L15" s="18">
        <v>0</v>
      </c>
      <c r="M15" s="23">
        <f t="shared" ref="M15:M79" si="10">SUM(J15-L15)</f>
        <v>0</v>
      </c>
      <c r="O15" s="10"/>
      <c r="P15" s="19"/>
      <c r="Q15" s="47">
        <v>0</v>
      </c>
      <c r="R15" s="87">
        <v>0</v>
      </c>
      <c r="S15" s="47">
        <f t="shared" ref="S15:S29" si="11">Q15+R15</f>
        <v>0</v>
      </c>
      <c r="T15" s="87">
        <v>0</v>
      </c>
      <c r="U15" s="47">
        <f t="shared" ref="U15:U29" si="12">S15-T15-V15</f>
        <v>0</v>
      </c>
      <c r="V15" s="88">
        <v>0</v>
      </c>
      <c r="W15" s="22"/>
      <c r="X15" s="44">
        <f t="shared" ref="X15:X29" si="13">V15*W15</f>
        <v>0</v>
      </c>
      <c r="Y15" s="17" t="s">
        <v>16</v>
      </c>
      <c r="Z15" s="18">
        <v>0</v>
      </c>
    </row>
    <row r="16" spans="1:28" ht="25.5" x14ac:dyDescent="0.55000000000000004">
      <c r="A16" s="10">
        <v>12</v>
      </c>
      <c r="B16" s="19" t="s">
        <v>27</v>
      </c>
      <c r="C16" s="47">
        <v>0</v>
      </c>
      <c r="D16" s="87">
        <v>0</v>
      </c>
      <c r="E16" s="47">
        <f t="shared" si="7"/>
        <v>0</v>
      </c>
      <c r="F16" s="87">
        <v>0</v>
      </c>
      <c r="G16" s="47">
        <f t="shared" si="8"/>
        <v>0</v>
      </c>
      <c r="H16" s="88"/>
      <c r="I16" s="20">
        <v>50</v>
      </c>
      <c r="J16" s="82">
        <f t="shared" si="9"/>
        <v>0</v>
      </c>
      <c r="K16" s="17" t="s">
        <v>16</v>
      </c>
      <c r="L16" s="18">
        <v>0</v>
      </c>
      <c r="M16" s="23">
        <f t="shared" si="10"/>
        <v>0</v>
      </c>
      <c r="O16" s="10"/>
      <c r="P16" s="19"/>
      <c r="Q16" s="47">
        <v>0</v>
      </c>
      <c r="R16" s="87">
        <v>0</v>
      </c>
      <c r="S16" s="47">
        <f t="shared" si="11"/>
        <v>0</v>
      </c>
      <c r="T16" s="87">
        <v>0</v>
      </c>
      <c r="U16" s="47">
        <f t="shared" si="12"/>
        <v>0</v>
      </c>
      <c r="V16" s="88">
        <v>0</v>
      </c>
      <c r="W16" s="22"/>
      <c r="X16" s="44">
        <f t="shared" si="1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47">
        <v>0</v>
      </c>
      <c r="D17" s="87">
        <v>0</v>
      </c>
      <c r="E17" s="47">
        <f t="shared" si="7"/>
        <v>0</v>
      </c>
      <c r="F17" s="87">
        <v>0</v>
      </c>
      <c r="G17" s="47">
        <f t="shared" si="8"/>
        <v>0</v>
      </c>
      <c r="H17" s="88"/>
      <c r="I17" s="20">
        <v>50</v>
      </c>
      <c r="J17" s="82">
        <f t="shared" si="9"/>
        <v>0</v>
      </c>
      <c r="K17" s="17" t="s">
        <v>16</v>
      </c>
      <c r="L17" s="18">
        <v>0</v>
      </c>
      <c r="M17" s="23">
        <f t="shared" si="10"/>
        <v>0</v>
      </c>
      <c r="O17" s="10"/>
      <c r="P17" s="19"/>
      <c r="Q17" s="47">
        <v>0</v>
      </c>
      <c r="R17" s="87">
        <v>0</v>
      </c>
      <c r="S17" s="47">
        <f t="shared" si="11"/>
        <v>0</v>
      </c>
      <c r="T17" s="87">
        <v>0</v>
      </c>
      <c r="U17" s="47">
        <f t="shared" si="12"/>
        <v>0</v>
      </c>
      <c r="V17" s="88">
        <v>0</v>
      </c>
      <c r="W17" s="22"/>
      <c r="X17" s="44">
        <f t="shared" si="1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47">
        <v>0</v>
      </c>
      <c r="D18" s="87">
        <v>0</v>
      </c>
      <c r="E18" s="47">
        <f t="shared" si="7"/>
        <v>0</v>
      </c>
      <c r="F18" s="87">
        <v>0</v>
      </c>
      <c r="G18" s="47">
        <f t="shared" si="8"/>
        <v>0</v>
      </c>
      <c r="H18" s="88"/>
      <c r="I18" s="20">
        <v>50</v>
      </c>
      <c r="J18" s="82">
        <f t="shared" si="9"/>
        <v>0</v>
      </c>
      <c r="K18" s="17" t="s">
        <v>16</v>
      </c>
      <c r="L18" s="18">
        <v>0</v>
      </c>
      <c r="M18" s="23">
        <f t="shared" si="10"/>
        <v>0</v>
      </c>
      <c r="O18" s="10"/>
      <c r="P18" s="19"/>
      <c r="Q18" s="47">
        <v>0</v>
      </c>
      <c r="R18" s="87">
        <v>0</v>
      </c>
      <c r="S18" s="47">
        <f t="shared" si="11"/>
        <v>0</v>
      </c>
      <c r="T18" s="87">
        <v>0</v>
      </c>
      <c r="U18" s="47">
        <f t="shared" si="12"/>
        <v>0</v>
      </c>
      <c r="V18" s="88">
        <v>0</v>
      </c>
      <c r="W18" s="22"/>
      <c r="X18" s="44">
        <f t="shared" si="1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329</v>
      </c>
      <c r="C19" s="47">
        <v>0</v>
      </c>
      <c r="D19" s="87">
        <v>0</v>
      </c>
      <c r="E19" s="47">
        <f t="shared" si="7"/>
        <v>0</v>
      </c>
      <c r="F19" s="87">
        <v>0</v>
      </c>
      <c r="G19" s="47">
        <f t="shared" si="8"/>
        <v>0</v>
      </c>
      <c r="H19" s="88"/>
      <c r="I19" s="20">
        <v>50</v>
      </c>
      <c r="J19" s="82">
        <f t="shared" si="9"/>
        <v>0</v>
      </c>
      <c r="K19" s="17" t="s">
        <v>16</v>
      </c>
      <c r="L19" s="18">
        <v>0</v>
      </c>
      <c r="M19" s="23">
        <f t="shared" si="10"/>
        <v>0</v>
      </c>
      <c r="O19" s="10"/>
      <c r="P19" s="19"/>
      <c r="Q19" s="47">
        <v>0</v>
      </c>
      <c r="R19" s="87">
        <v>0</v>
      </c>
      <c r="S19" s="47">
        <f t="shared" si="11"/>
        <v>0</v>
      </c>
      <c r="T19" s="87">
        <v>0</v>
      </c>
      <c r="U19" s="47">
        <f t="shared" si="12"/>
        <v>0</v>
      </c>
      <c r="V19" s="88">
        <v>0</v>
      </c>
      <c r="W19" s="22"/>
      <c r="X19" s="44">
        <f t="shared" si="1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47">
        <v>0</v>
      </c>
      <c r="D20" s="87">
        <v>0</v>
      </c>
      <c r="E20" s="47">
        <f t="shared" si="7"/>
        <v>0</v>
      </c>
      <c r="F20" s="87">
        <v>0</v>
      </c>
      <c r="G20" s="47">
        <f t="shared" si="8"/>
        <v>0</v>
      </c>
      <c r="H20" s="88"/>
      <c r="I20" s="20">
        <v>50</v>
      </c>
      <c r="J20" s="82">
        <f t="shared" si="9"/>
        <v>0</v>
      </c>
      <c r="K20" s="17" t="s">
        <v>16</v>
      </c>
      <c r="L20" s="18">
        <v>0</v>
      </c>
      <c r="M20" s="23">
        <f t="shared" si="10"/>
        <v>0</v>
      </c>
      <c r="O20" s="10"/>
      <c r="P20" s="19"/>
      <c r="Q20" s="47">
        <v>0</v>
      </c>
      <c r="R20" s="87">
        <v>0</v>
      </c>
      <c r="S20" s="47">
        <f t="shared" si="11"/>
        <v>0</v>
      </c>
      <c r="T20" s="87">
        <v>0</v>
      </c>
      <c r="U20" s="47">
        <f t="shared" si="12"/>
        <v>0</v>
      </c>
      <c r="V20" s="88">
        <v>0</v>
      </c>
      <c r="W20" s="22"/>
      <c r="X20" s="44">
        <f t="shared" si="1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47">
        <v>0</v>
      </c>
      <c r="D21" s="87">
        <v>0</v>
      </c>
      <c r="E21" s="47">
        <f t="shared" si="7"/>
        <v>0</v>
      </c>
      <c r="F21" s="87">
        <v>0</v>
      </c>
      <c r="G21" s="47">
        <f t="shared" si="8"/>
        <v>0</v>
      </c>
      <c r="H21" s="88"/>
      <c r="I21" s="20">
        <v>50</v>
      </c>
      <c r="J21" s="82">
        <f t="shared" si="9"/>
        <v>0</v>
      </c>
      <c r="K21" s="17" t="s">
        <v>16</v>
      </c>
      <c r="L21" s="18">
        <v>0</v>
      </c>
      <c r="M21" s="23">
        <f t="shared" si="10"/>
        <v>0</v>
      </c>
      <c r="O21" s="10"/>
      <c r="P21" s="19"/>
      <c r="Q21" s="47">
        <v>0</v>
      </c>
      <c r="R21" s="87">
        <v>0</v>
      </c>
      <c r="S21" s="47">
        <f t="shared" si="11"/>
        <v>0</v>
      </c>
      <c r="T21" s="87">
        <v>0</v>
      </c>
      <c r="U21" s="47">
        <f t="shared" si="12"/>
        <v>0</v>
      </c>
      <c r="V21" s="88">
        <v>0</v>
      </c>
      <c r="W21" s="22"/>
      <c r="X21" s="44">
        <f t="shared" si="1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v>1</v>
      </c>
      <c r="D22" s="87">
        <v>0</v>
      </c>
      <c r="E22" s="47">
        <f t="shared" si="7"/>
        <v>1</v>
      </c>
      <c r="F22" s="87">
        <v>0</v>
      </c>
      <c r="G22" s="47">
        <f t="shared" si="8"/>
        <v>1</v>
      </c>
      <c r="H22" s="88"/>
      <c r="I22" s="20">
        <v>85</v>
      </c>
      <c r="J22" s="82">
        <f t="shared" si="9"/>
        <v>0</v>
      </c>
      <c r="K22" s="17" t="s">
        <v>16</v>
      </c>
      <c r="L22" s="18">
        <v>0</v>
      </c>
      <c r="M22" s="23">
        <f t="shared" si="10"/>
        <v>0</v>
      </c>
      <c r="O22" s="10"/>
      <c r="P22" s="19"/>
      <c r="Q22" s="47">
        <v>0</v>
      </c>
      <c r="R22" s="87">
        <v>0</v>
      </c>
      <c r="S22" s="47">
        <f t="shared" si="11"/>
        <v>0</v>
      </c>
      <c r="T22" s="87">
        <v>0</v>
      </c>
      <c r="U22" s="47">
        <f t="shared" si="12"/>
        <v>0</v>
      </c>
      <c r="V22" s="88">
        <v>0</v>
      </c>
      <c r="W22" s="22"/>
      <c r="X22" s="44">
        <f t="shared" si="1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v>5</v>
      </c>
      <c r="D23" s="87">
        <v>0</v>
      </c>
      <c r="E23" s="47">
        <f t="shared" si="7"/>
        <v>5</v>
      </c>
      <c r="F23" s="87">
        <v>0</v>
      </c>
      <c r="G23" s="47">
        <f t="shared" si="8"/>
        <v>5</v>
      </c>
      <c r="H23" s="88"/>
      <c r="I23" s="20">
        <v>100</v>
      </c>
      <c r="J23" s="82">
        <f t="shared" si="9"/>
        <v>0</v>
      </c>
      <c r="K23" s="17" t="s">
        <v>16</v>
      </c>
      <c r="L23" s="18">
        <v>0</v>
      </c>
      <c r="M23" s="23">
        <f t="shared" si="10"/>
        <v>0</v>
      </c>
      <c r="O23" s="10"/>
      <c r="P23" s="19"/>
      <c r="Q23" s="47">
        <v>0</v>
      </c>
      <c r="R23" s="87">
        <v>0</v>
      </c>
      <c r="S23" s="47">
        <f t="shared" si="11"/>
        <v>0</v>
      </c>
      <c r="T23" s="87">
        <v>0</v>
      </c>
      <c r="U23" s="47">
        <f t="shared" si="12"/>
        <v>0</v>
      </c>
      <c r="V23" s="88">
        <v>0</v>
      </c>
      <c r="W23" s="22"/>
      <c r="X23" s="44">
        <f t="shared" si="1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v>10</v>
      </c>
      <c r="D24" s="87">
        <v>0</v>
      </c>
      <c r="E24" s="47">
        <f t="shared" si="7"/>
        <v>10</v>
      </c>
      <c r="F24" s="87">
        <v>0</v>
      </c>
      <c r="G24" s="47">
        <f t="shared" si="8"/>
        <v>10</v>
      </c>
      <c r="H24" s="88"/>
      <c r="I24" s="20">
        <v>100</v>
      </c>
      <c r="J24" s="82">
        <f t="shared" si="9"/>
        <v>0</v>
      </c>
      <c r="K24" s="17" t="s">
        <v>16</v>
      </c>
      <c r="L24" s="18">
        <v>0</v>
      </c>
      <c r="M24" s="23">
        <f t="shared" si="10"/>
        <v>0</v>
      </c>
      <c r="O24" s="10"/>
      <c r="P24" s="19"/>
      <c r="Q24" s="47">
        <v>0</v>
      </c>
      <c r="R24" s="87">
        <v>0</v>
      </c>
      <c r="S24" s="47">
        <f t="shared" si="11"/>
        <v>0</v>
      </c>
      <c r="T24" s="87">
        <v>0</v>
      </c>
      <c r="U24" s="47">
        <f t="shared" si="12"/>
        <v>0</v>
      </c>
      <c r="V24" s="88">
        <v>0</v>
      </c>
      <c r="W24" s="22"/>
      <c r="X24" s="44">
        <f t="shared" si="1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47">
        <v>0</v>
      </c>
      <c r="D25" s="87">
        <v>0</v>
      </c>
      <c r="E25" s="47">
        <f t="shared" si="7"/>
        <v>0</v>
      </c>
      <c r="F25" s="87">
        <v>0</v>
      </c>
      <c r="G25" s="47">
        <f t="shared" si="8"/>
        <v>0</v>
      </c>
      <c r="H25" s="88"/>
      <c r="I25" s="20">
        <v>100</v>
      </c>
      <c r="J25" s="82">
        <f t="shared" si="9"/>
        <v>0</v>
      </c>
      <c r="K25" s="17" t="s">
        <v>16</v>
      </c>
      <c r="L25" s="18">
        <v>0</v>
      </c>
      <c r="M25" s="23">
        <f t="shared" si="10"/>
        <v>0</v>
      </c>
      <c r="O25" s="10"/>
      <c r="P25" s="19"/>
      <c r="Q25" s="47">
        <v>0</v>
      </c>
      <c r="R25" s="87">
        <v>0</v>
      </c>
      <c r="S25" s="47">
        <f t="shared" si="11"/>
        <v>0</v>
      </c>
      <c r="T25" s="87">
        <v>0</v>
      </c>
      <c r="U25" s="47">
        <f t="shared" si="12"/>
        <v>0</v>
      </c>
      <c r="V25" s="88">
        <v>0</v>
      </c>
      <c r="W25" s="22"/>
      <c r="X25" s="44">
        <f t="shared" si="1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v>4</v>
      </c>
      <c r="D26" s="87">
        <v>0</v>
      </c>
      <c r="E26" s="47">
        <f t="shared" si="7"/>
        <v>4</v>
      </c>
      <c r="F26" s="87">
        <v>0</v>
      </c>
      <c r="G26" s="47">
        <f t="shared" si="8"/>
        <v>4</v>
      </c>
      <c r="H26" s="88"/>
      <c r="I26" s="20">
        <v>100</v>
      </c>
      <c r="J26" s="82">
        <f t="shared" si="9"/>
        <v>0</v>
      </c>
      <c r="K26" s="17" t="s">
        <v>16</v>
      </c>
      <c r="L26" s="18">
        <v>0</v>
      </c>
      <c r="M26" s="23">
        <f t="shared" si="10"/>
        <v>0</v>
      </c>
      <c r="O26" s="10"/>
      <c r="P26" s="19"/>
      <c r="Q26" s="47">
        <v>0</v>
      </c>
      <c r="R26" s="87">
        <v>0</v>
      </c>
      <c r="S26" s="47">
        <f t="shared" si="11"/>
        <v>0</v>
      </c>
      <c r="T26" s="87">
        <v>0</v>
      </c>
      <c r="U26" s="47">
        <f t="shared" si="12"/>
        <v>0</v>
      </c>
      <c r="V26" s="88">
        <v>0</v>
      </c>
      <c r="W26" s="22"/>
      <c r="X26" s="44">
        <f t="shared" si="1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47">
        <v>0</v>
      </c>
      <c r="D27" s="87">
        <v>0</v>
      </c>
      <c r="E27" s="47">
        <f t="shared" si="7"/>
        <v>0</v>
      </c>
      <c r="F27" s="87">
        <v>0</v>
      </c>
      <c r="G27" s="47">
        <f t="shared" si="8"/>
        <v>0</v>
      </c>
      <c r="H27" s="88"/>
      <c r="I27" s="20">
        <v>100</v>
      </c>
      <c r="J27" s="82">
        <f t="shared" si="9"/>
        <v>0</v>
      </c>
      <c r="K27" s="17" t="s">
        <v>16</v>
      </c>
      <c r="L27" s="18">
        <v>0</v>
      </c>
      <c r="M27" s="23">
        <f t="shared" si="10"/>
        <v>0</v>
      </c>
      <c r="O27" s="10"/>
      <c r="P27" s="19"/>
      <c r="Q27" s="47">
        <v>0</v>
      </c>
      <c r="R27" s="87">
        <v>0</v>
      </c>
      <c r="S27" s="47">
        <f t="shared" si="11"/>
        <v>0</v>
      </c>
      <c r="T27" s="87">
        <v>0</v>
      </c>
      <c r="U27" s="47">
        <f t="shared" si="12"/>
        <v>0</v>
      </c>
      <c r="V27" s="88">
        <v>0</v>
      </c>
      <c r="W27" s="22"/>
      <c r="X27" s="44">
        <f t="shared" si="1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47">
        <v>0</v>
      </c>
      <c r="D28" s="87">
        <v>0</v>
      </c>
      <c r="E28" s="47">
        <f t="shared" si="7"/>
        <v>0</v>
      </c>
      <c r="F28" s="87">
        <v>0</v>
      </c>
      <c r="G28" s="47">
        <f t="shared" si="8"/>
        <v>0</v>
      </c>
      <c r="H28" s="88"/>
      <c r="I28" s="20">
        <v>100</v>
      </c>
      <c r="J28" s="82">
        <f t="shared" si="9"/>
        <v>0</v>
      </c>
      <c r="K28" s="17" t="s">
        <v>16</v>
      </c>
      <c r="L28" s="18">
        <v>0</v>
      </c>
      <c r="M28" s="23">
        <f t="shared" si="10"/>
        <v>0</v>
      </c>
      <c r="O28" s="10"/>
      <c r="P28" s="19"/>
      <c r="Q28" s="47">
        <v>0</v>
      </c>
      <c r="R28" s="87">
        <v>0</v>
      </c>
      <c r="S28" s="47">
        <f t="shared" si="11"/>
        <v>0</v>
      </c>
      <c r="T28" s="87">
        <v>0</v>
      </c>
      <c r="U28" s="47">
        <f t="shared" si="12"/>
        <v>0</v>
      </c>
      <c r="V28" s="88">
        <v>0</v>
      </c>
      <c r="W28" s="22"/>
      <c r="X28" s="44">
        <f t="shared" si="1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v>17</v>
      </c>
      <c r="D29" s="87">
        <v>0</v>
      </c>
      <c r="E29" s="47">
        <f t="shared" si="7"/>
        <v>17</v>
      </c>
      <c r="F29" s="87">
        <v>0</v>
      </c>
      <c r="G29" s="47">
        <f t="shared" si="8"/>
        <v>17</v>
      </c>
      <c r="H29" s="88"/>
      <c r="I29" s="20">
        <v>100</v>
      </c>
      <c r="J29" s="82">
        <f t="shared" si="9"/>
        <v>0</v>
      </c>
      <c r="K29" s="17" t="s">
        <v>16</v>
      </c>
      <c r="L29" s="18">
        <v>0</v>
      </c>
      <c r="M29" s="23">
        <f t="shared" si="10"/>
        <v>0</v>
      </c>
      <c r="O29" s="10"/>
      <c r="P29" s="19"/>
      <c r="Q29" s="47">
        <v>0</v>
      </c>
      <c r="R29" s="87">
        <v>0</v>
      </c>
      <c r="S29" s="47">
        <f t="shared" si="11"/>
        <v>0</v>
      </c>
      <c r="T29" s="87">
        <v>0</v>
      </c>
      <c r="U29" s="47">
        <f t="shared" si="12"/>
        <v>0</v>
      </c>
      <c r="V29" s="88">
        <v>0</v>
      </c>
      <c r="W29" s="22"/>
      <c r="X29" s="44">
        <f t="shared" si="1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47">
        <v>0</v>
      </c>
      <c r="D30" s="87">
        <v>0</v>
      </c>
      <c r="E30" s="47">
        <f t="shared" si="7"/>
        <v>0</v>
      </c>
      <c r="F30" s="87">
        <v>0</v>
      </c>
      <c r="G30" s="47">
        <f t="shared" si="8"/>
        <v>0</v>
      </c>
      <c r="H30" s="88"/>
      <c r="I30" s="20">
        <v>100</v>
      </c>
      <c r="J30" s="82">
        <f t="shared" si="9"/>
        <v>0</v>
      </c>
      <c r="K30" s="17" t="s">
        <v>16</v>
      </c>
      <c r="L30" s="18">
        <v>0</v>
      </c>
      <c r="M30" s="23">
        <f t="shared" si="10"/>
        <v>0</v>
      </c>
      <c r="O30" s="10"/>
      <c r="P30" s="19"/>
      <c r="Q30" s="47"/>
      <c r="R30" s="80"/>
      <c r="S30" s="47"/>
      <c r="T30" s="80"/>
      <c r="U30" s="47"/>
      <c r="V30" s="81"/>
      <c r="W30" s="22"/>
      <c r="X30" s="44"/>
      <c r="Y30" s="17"/>
      <c r="Z30" s="18"/>
    </row>
    <row r="31" spans="1:26" ht="25.5" x14ac:dyDescent="0.55000000000000004">
      <c r="A31" s="10">
        <v>27</v>
      </c>
      <c r="B31" s="19" t="s">
        <v>42</v>
      </c>
      <c r="C31" s="47">
        <v>0</v>
      </c>
      <c r="D31" s="87">
        <v>0</v>
      </c>
      <c r="E31" s="47">
        <f t="shared" si="7"/>
        <v>0</v>
      </c>
      <c r="F31" s="87">
        <v>0</v>
      </c>
      <c r="G31" s="47">
        <f t="shared" si="8"/>
        <v>0</v>
      </c>
      <c r="H31" s="88"/>
      <c r="I31" s="20">
        <v>100</v>
      </c>
      <c r="J31" s="82">
        <f t="shared" si="9"/>
        <v>0</v>
      </c>
      <c r="K31" s="17" t="s">
        <v>16</v>
      </c>
      <c r="L31" s="18">
        <v>0</v>
      </c>
      <c r="M31" s="23">
        <f t="shared" si="10"/>
        <v>0</v>
      </c>
      <c r="O31" s="10"/>
      <c r="P31" s="19"/>
      <c r="Q31" s="47"/>
      <c r="R31" s="80"/>
      <c r="S31" s="47"/>
      <c r="T31" s="80"/>
      <c r="U31" s="47"/>
      <c r="V31" s="81"/>
      <c r="W31" s="22"/>
      <c r="X31" s="44"/>
      <c r="Y31" s="17"/>
      <c r="Z31" s="18"/>
    </row>
    <row r="32" spans="1:26" ht="25.5" x14ac:dyDescent="0.55000000000000004">
      <c r="A32" s="10">
        <v>28</v>
      </c>
      <c r="B32" s="19" t="s">
        <v>43</v>
      </c>
      <c r="C32" s="47">
        <v>0</v>
      </c>
      <c r="D32" s="87">
        <v>0</v>
      </c>
      <c r="E32" s="47">
        <f t="shared" si="7"/>
        <v>0</v>
      </c>
      <c r="F32" s="87">
        <v>0</v>
      </c>
      <c r="G32" s="47">
        <f t="shared" si="8"/>
        <v>0</v>
      </c>
      <c r="H32" s="88"/>
      <c r="I32" s="20">
        <v>130</v>
      </c>
      <c r="J32" s="82">
        <f t="shared" si="9"/>
        <v>0</v>
      </c>
      <c r="K32" s="17" t="s">
        <v>16</v>
      </c>
      <c r="L32" s="18">
        <v>0</v>
      </c>
      <c r="M32" s="23">
        <f t="shared" si="10"/>
        <v>0</v>
      </c>
      <c r="O32" s="10"/>
      <c r="P32" s="19"/>
      <c r="Q32" s="47"/>
      <c r="R32" s="80"/>
      <c r="S32" s="47"/>
      <c r="T32" s="80"/>
      <c r="U32" s="47"/>
      <c r="V32" s="81"/>
      <c r="W32" s="22"/>
      <c r="X32" s="44"/>
      <c r="Y32" s="17"/>
      <c r="Z32" s="18"/>
    </row>
    <row r="33" spans="1:26" ht="25.5" x14ac:dyDescent="0.55000000000000004">
      <c r="A33" s="10">
        <v>29</v>
      </c>
      <c r="B33" s="19" t="s">
        <v>44</v>
      </c>
      <c r="C33" s="79">
        <v>1</v>
      </c>
      <c r="D33" s="87">
        <v>0</v>
      </c>
      <c r="E33" s="47">
        <f t="shared" si="7"/>
        <v>1</v>
      </c>
      <c r="F33" s="87">
        <v>0</v>
      </c>
      <c r="G33" s="47">
        <f t="shared" si="8"/>
        <v>1</v>
      </c>
      <c r="H33" s="88"/>
      <c r="I33" s="20">
        <v>130</v>
      </c>
      <c r="J33" s="82">
        <f t="shared" si="9"/>
        <v>0</v>
      </c>
      <c r="K33" s="17" t="s">
        <v>16</v>
      </c>
      <c r="L33" s="18">
        <v>0</v>
      </c>
      <c r="M33" s="23">
        <f t="shared" si="10"/>
        <v>0</v>
      </c>
      <c r="O33" s="10"/>
      <c r="P33" s="19"/>
      <c r="Q33" s="47"/>
      <c r="R33" s="80"/>
      <c r="S33" s="47"/>
      <c r="T33" s="80"/>
      <c r="U33" s="47"/>
      <c r="V33" s="81"/>
      <c r="W33" s="22"/>
      <c r="X33" s="44"/>
      <c r="Y33" s="17"/>
      <c r="Z33" s="18"/>
    </row>
    <row r="34" spans="1:26" ht="25.5" x14ac:dyDescent="0.55000000000000004">
      <c r="A34" s="10">
        <v>30</v>
      </c>
      <c r="B34" s="19" t="s">
        <v>45</v>
      </c>
      <c r="C34" s="79">
        <v>3</v>
      </c>
      <c r="D34" s="87">
        <v>0</v>
      </c>
      <c r="E34" s="47">
        <f t="shared" si="7"/>
        <v>3</v>
      </c>
      <c r="F34" s="87">
        <v>0</v>
      </c>
      <c r="G34" s="47">
        <f t="shared" si="8"/>
        <v>3</v>
      </c>
      <c r="H34" s="88"/>
      <c r="I34" s="20">
        <v>130</v>
      </c>
      <c r="J34" s="82">
        <f t="shared" si="9"/>
        <v>0</v>
      </c>
      <c r="K34" s="17" t="s">
        <v>16</v>
      </c>
      <c r="L34" s="18">
        <v>0</v>
      </c>
      <c r="M34" s="23">
        <f t="shared" si="10"/>
        <v>0</v>
      </c>
      <c r="O34" s="10"/>
      <c r="P34" s="19"/>
      <c r="Q34" s="47"/>
      <c r="R34" s="80"/>
      <c r="S34" s="47"/>
      <c r="T34" s="80"/>
      <c r="U34" s="47"/>
      <c r="V34" s="81"/>
      <c r="W34" s="22"/>
      <c r="X34" s="44"/>
      <c r="Y34" s="17"/>
      <c r="Z34" s="18"/>
    </row>
    <row r="35" spans="1:26" ht="25.5" x14ac:dyDescent="0.55000000000000004">
      <c r="A35" s="10">
        <v>31</v>
      </c>
      <c r="B35" s="19" t="s">
        <v>46</v>
      </c>
      <c r="C35" s="47">
        <v>0</v>
      </c>
      <c r="D35" s="87">
        <v>0</v>
      </c>
      <c r="E35" s="47">
        <f t="shared" si="7"/>
        <v>0</v>
      </c>
      <c r="F35" s="87">
        <v>0</v>
      </c>
      <c r="G35" s="47">
        <f t="shared" si="8"/>
        <v>0</v>
      </c>
      <c r="H35" s="88"/>
      <c r="I35" s="20">
        <v>130</v>
      </c>
      <c r="J35" s="82">
        <f t="shared" si="9"/>
        <v>0</v>
      </c>
      <c r="K35" s="17" t="s">
        <v>16</v>
      </c>
      <c r="L35" s="18">
        <v>0</v>
      </c>
      <c r="M35" s="23">
        <f t="shared" si="10"/>
        <v>0</v>
      </c>
      <c r="O35" s="10"/>
      <c r="P35" s="19"/>
      <c r="Q35" s="47"/>
      <c r="R35" s="80"/>
      <c r="S35" s="47"/>
      <c r="T35" s="80"/>
      <c r="U35" s="47"/>
      <c r="V35" s="81"/>
      <c r="W35" s="22"/>
      <c r="X35" s="44"/>
      <c r="Y35" s="17"/>
      <c r="Z35" s="18"/>
    </row>
    <row r="36" spans="1:26" ht="25.5" x14ac:dyDescent="0.55000000000000004">
      <c r="A36" s="10">
        <v>32</v>
      </c>
      <c r="B36" s="19" t="s">
        <v>47</v>
      </c>
      <c r="C36" s="47">
        <v>0</v>
      </c>
      <c r="D36" s="87">
        <v>0</v>
      </c>
      <c r="E36" s="47">
        <f t="shared" si="7"/>
        <v>0</v>
      </c>
      <c r="F36" s="87">
        <v>0</v>
      </c>
      <c r="G36" s="47">
        <f t="shared" si="8"/>
        <v>0</v>
      </c>
      <c r="H36" s="88"/>
      <c r="I36" s="20">
        <v>100</v>
      </c>
      <c r="J36" s="82">
        <f t="shared" si="9"/>
        <v>0</v>
      </c>
      <c r="K36" s="17" t="s">
        <v>16</v>
      </c>
      <c r="L36" s="18">
        <v>0</v>
      </c>
      <c r="M36" s="23">
        <f t="shared" si="10"/>
        <v>0</v>
      </c>
      <c r="O36" s="10"/>
      <c r="P36" s="19"/>
      <c r="Q36" s="47"/>
      <c r="R36" s="80"/>
      <c r="S36" s="47"/>
      <c r="T36" s="80"/>
      <c r="U36" s="47"/>
      <c r="V36" s="81"/>
      <c r="W36" s="22"/>
      <c r="X36" s="44"/>
      <c r="Y36" s="17"/>
      <c r="Z36" s="18"/>
    </row>
    <row r="37" spans="1:26" ht="25.5" x14ac:dyDescent="0.55000000000000004">
      <c r="A37" s="10">
        <v>33</v>
      </c>
      <c r="B37" s="19" t="s">
        <v>48</v>
      </c>
      <c r="C37" s="79">
        <v>18</v>
      </c>
      <c r="D37" s="87">
        <v>0</v>
      </c>
      <c r="E37" s="47">
        <f t="shared" si="7"/>
        <v>18</v>
      </c>
      <c r="F37" s="87">
        <v>0</v>
      </c>
      <c r="G37" s="47">
        <f t="shared" si="8"/>
        <v>18</v>
      </c>
      <c r="H37" s="88"/>
      <c r="I37" s="20">
        <v>100</v>
      </c>
      <c r="J37" s="82">
        <f t="shared" si="9"/>
        <v>0</v>
      </c>
      <c r="K37" s="17" t="s">
        <v>16</v>
      </c>
      <c r="L37" s="18">
        <v>0</v>
      </c>
      <c r="M37" s="23">
        <f t="shared" si="10"/>
        <v>0</v>
      </c>
      <c r="O37" s="10"/>
      <c r="P37" s="19"/>
      <c r="Q37" s="47"/>
      <c r="R37" s="80"/>
      <c r="S37" s="47"/>
      <c r="T37" s="80"/>
      <c r="U37" s="47"/>
      <c r="V37" s="81"/>
      <c r="W37" s="22"/>
      <c r="X37" s="44"/>
      <c r="Y37" s="17"/>
      <c r="Z37" s="18"/>
    </row>
    <row r="38" spans="1:26" ht="25.5" x14ac:dyDescent="0.55000000000000004">
      <c r="A38" s="10">
        <v>34</v>
      </c>
      <c r="B38" s="19" t="s">
        <v>49</v>
      </c>
      <c r="C38" s="79">
        <v>6</v>
      </c>
      <c r="D38" s="87">
        <v>0</v>
      </c>
      <c r="E38" s="47">
        <f t="shared" si="7"/>
        <v>6</v>
      </c>
      <c r="F38" s="87">
        <v>0</v>
      </c>
      <c r="G38" s="47">
        <f t="shared" si="8"/>
        <v>6</v>
      </c>
      <c r="H38" s="88"/>
      <c r="I38" s="20">
        <v>50</v>
      </c>
      <c r="J38" s="82">
        <f t="shared" si="9"/>
        <v>0</v>
      </c>
      <c r="K38" s="17" t="s">
        <v>16</v>
      </c>
      <c r="L38" s="18">
        <v>0</v>
      </c>
      <c r="M38" s="23">
        <f t="shared" si="10"/>
        <v>0</v>
      </c>
      <c r="O38" s="10"/>
      <c r="P38" s="19"/>
      <c r="Q38" s="47"/>
      <c r="R38" s="80"/>
      <c r="S38" s="47"/>
      <c r="T38" s="80"/>
      <c r="U38" s="47"/>
      <c r="V38" s="81"/>
      <c r="W38" s="22"/>
      <c r="X38" s="44"/>
      <c r="Y38" s="17"/>
      <c r="Z38" s="18"/>
    </row>
    <row r="39" spans="1:26" ht="25.5" x14ac:dyDescent="0.55000000000000004">
      <c r="A39" s="10">
        <v>35</v>
      </c>
      <c r="B39" s="19" t="s">
        <v>50</v>
      </c>
      <c r="C39" s="79">
        <v>9</v>
      </c>
      <c r="D39" s="87">
        <v>0</v>
      </c>
      <c r="E39" s="47">
        <f t="shared" si="7"/>
        <v>9</v>
      </c>
      <c r="F39" s="87">
        <v>0</v>
      </c>
      <c r="G39" s="47">
        <f t="shared" si="8"/>
        <v>9</v>
      </c>
      <c r="H39" s="88"/>
      <c r="I39" s="20">
        <v>50</v>
      </c>
      <c r="J39" s="82">
        <f t="shared" si="9"/>
        <v>0</v>
      </c>
      <c r="K39" s="17" t="s">
        <v>16</v>
      </c>
      <c r="L39" s="18">
        <v>0</v>
      </c>
      <c r="M39" s="23">
        <f t="shared" si="10"/>
        <v>0</v>
      </c>
      <c r="O39" s="10"/>
      <c r="P39" s="19"/>
      <c r="Q39" s="47"/>
      <c r="R39" s="80"/>
      <c r="S39" s="47"/>
      <c r="T39" s="80"/>
      <c r="U39" s="47"/>
      <c r="V39" s="81"/>
      <c r="W39" s="22"/>
      <c r="X39" s="44"/>
      <c r="Y39" s="17"/>
      <c r="Z39" s="18"/>
    </row>
    <row r="40" spans="1:26" ht="25.5" x14ac:dyDescent="0.55000000000000004">
      <c r="A40" s="10">
        <v>36</v>
      </c>
      <c r="B40" s="19" t="s">
        <v>51</v>
      </c>
      <c r="C40" s="79">
        <v>9</v>
      </c>
      <c r="D40" s="87">
        <v>0</v>
      </c>
      <c r="E40" s="47">
        <f t="shared" si="7"/>
        <v>9</v>
      </c>
      <c r="F40" s="87">
        <v>0</v>
      </c>
      <c r="G40" s="47">
        <f t="shared" si="8"/>
        <v>9</v>
      </c>
      <c r="H40" s="88"/>
      <c r="I40" s="20">
        <v>50</v>
      </c>
      <c r="J40" s="82">
        <f t="shared" si="9"/>
        <v>0</v>
      </c>
      <c r="K40" s="17" t="s">
        <v>16</v>
      </c>
      <c r="L40" s="18">
        <v>0</v>
      </c>
      <c r="M40" s="23">
        <f t="shared" si="10"/>
        <v>0</v>
      </c>
      <c r="O40" s="10"/>
      <c r="P40" s="19"/>
      <c r="Q40" s="47"/>
      <c r="R40" s="80"/>
      <c r="S40" s="47"/>
      <c r="T40" s="80"/>
      <c r="U40" s="47"/>
      <c r="V40" s="81"/>
      <c r="W40" s="22"/>
      <c r="X40" s="44"/>
      <c r="Y40" s="17"/>
      <c r="Z40" s="18"/>
    </row>
    <row r="41" spans="1:26" ht="25.5" x14ac:dyDescent="0.55000000000000004">
      <c r="A41" s="10">
        <v>37</v>
      </c>
      <c r="B41" s="19" t="s">
        <v>52</v>
      </c>
      <c r="C41" s="47">
        <v>0</v>
      </c>
      <c r="D41" s="87">
        <v>0</v>
      </c>
      <c r="E41" s="47">
        <f t="shared" si="7"/>
        <v>0</v>
      </c>
      <c r="F41" s="87">
        <v>0</v>
      </c>
      <c r="G41" s="47">
        <f t="shared" si="8"/>
        <v>0</v>
      </c>
      <c r="H41" s="88"/>
      <c r="I41" s="20">
        <v>50</v>
      </c>
      <c r="J41" s="82">
        <f t="shared" si="9"/>
        <v>0</v>
      </c>
      <c r="K41" s="17" t="s">
        <v>16</v>
      </c>
      <c r="L41" s="18">
        <v>0</v>
      </c>
      <c r="M41" s="23">
        <f t="shared" si="10"/>
        <v>0</v>
      </c>
      <c r="O41" s="10"/>
      <c r="P41" s="19"/>
      <c r="Q41" s="47"/>
      <c r="R41" s="80"/>
      <c r="S41" s="47"/>
      <c r="T41" s="80"/>
      <c r="U41" s="47"/>
      <c r="V41" s="81"/>
      <c r="W41" s="22"/>
      <c r="X41" s="44"/>
      <c r="Y41" s="17"/>
      <c r="Z41" s="18"/>
    </row>
    <row r="42" spans="1:26" ht="25.5" x14ac:dyDescent="0.55000000000000004">
      <c r="A42" s="10">
        <v>38</v>
      </c>
      <c r="B42" s="19" t="s">
        <v>285</v>
      </c>
      <c r="C42" s="47">
        <v>0</v>
      </c>
      <c r="D42" s="87">
        <v>0</v>
      </c>
      <c r="E42" s="47">
        <f t="shared" si="7"/>
        <v>0</v>
      </c>
      <c r="F42" s="87">
        <v>0</v>
      </c>
      <c r="G42" s="47">
        <f t="shared" si="8"/>
        <v>0</v>
      </c>
      <c r="H42" s="88"/>
      <c r="I42" s="20">
        <v>50</v>
      </c>
      <c r="J42" s="82">
        <f t="shared" si="9"/>
        <v>0</v>
      </c>
      <c r="K42" s="17" t="s">
        <v>16</v>
      </c>
      <c r="L42" s="18">
        <v>0</v>
      </c>
      <c r="M42" s="23">
        <f t="shared" si="10"/>
        <v>0</v>
      </c>
      <c r="O42" s="10"/>
      <c r="P42" s="19"/>
      <c r="Q42" s="47"/>
      <c r="R42" s="80"/>
      <c r="S42" s="47"/>
      <c r="T42" s="80"/>
      <c r="U42" s="47"/>
      <c r="V42" s="81"/>
      <c r="W42" s="22"/>
      <c r="X42" s="44"/>
      <c r="Y42" s="17"/>
      <c r="Z42" s="18"/>
    </row>
    <row r="43" spans="1:26" ht="25.5" x14ac:dyDescent="0.55000000000000004">
      <c r="A43" s="10">
        <v>39</v>
      </c>
      <c r="B43" s="19" t="s">
        <v>54</v>
      </c>
      <c r="C43" s="47">
        <v>0</v>
      </c>
      <c r="D43" s="87">
        <v>0</v>
      </c>
      <c r="E43" s="47">
        <f t="shared" si="7"/>
        <v>0</v>
      </c>
      <c r="F43" s="87">
        <v>0</v>
      </c>
      <c r="G43" s="47">
        <f t="shared" si="8"/>
        <v>0</v>
      </c>
      <c r="H43" s="88"/>
      <c r="I43" s="20">
        <v>50</v>
      </c>
      <c r="J43" s="82">
        <f t="shared" si="9"/>
        <v>0</v>
      </c>
      <c r="K43" s="17" t="s">
        <v>16</v>
      </c>
      <c r="L43" s="18">
        <v>0</v>
      </c>
      <c r="M43" s="23">
        <f t="shared" si="10"/>
        <v>0</v>
      </c>
      <c r="O43" s="10"/>
      <c r="P43" s="19"/>
      <c r="Q43" s="47"/>
      <c r="R43" s="80"/>
      <c r="S43" s="47"/>
      <c r="T43" s="80"/>
      <c r="U43" s="47"/>
      <c r="V43" s="81"/>
      <c r="W43" s="22"/>
      <c r="X43" s="44"/>
      <c r="Y43" s="17"/>
      <c r="Z43" s="18"/>
    </row>
    <row r="44" spans="1:26" ht="25.5" x14ac:dyDescent="0.55000000000000004">
      <c r="A44" s="10">
        <v>40</v>
      </c>
      <c r="B44" s="19" t="s">
        <v>55</v>
      </c>
      <c r="C44" s="47">
        <v>0</v>
      </c>
      <c r="D44" s="87">
        <v>0</v>
      </c>
      <c r="E44" s="47">
        <f t="shared" si="7"/>
        <v>0</v>
      </c>
      <c r="F44" s="87">
        <v>0</v>
      </c>
      <c r="G44" s="47">
        <f t="shared" si="8"/>
        <v>0</v>
      </c>
      <c r="H44" s="88"/>
      <c r="I44" s="20">
        <v>50</v>
      </c>
      <c r="J44" s="82">
        <f t="shared" si="9"/>
        <v>0</v>
      </c>
      <c r="K44" s="17" t="s">
        <v>16</v>
      </c>
      <c r="L44" s="18">
        <v>0</v>
      </c>
      <c r="M44" s="23">
        <f t="shared" si="10"/>
        <v>0</v>
      </c>
      <c r="O44" s="10"/>
      <c r="P44" s="19"/>
      <c r="Q44" s="47"/>
      <c r="R44" s="80"/>
      <c r="S44" s="47"/>
      <c r="T44" s="80"/>
      <c r="U44" s="47"/>
      <c r="V44" s="81"/>
      <c r="W44" s="22"/>
      <c r="X44" s="44"/>
      <c r="Y44" s="17"/>
      <c r="Z44" s="18"/>
    </row>
    <row r="45" spans="1:26" ht="25.5" x14ac:dyDescent="0.55000000000000004">
      <c r="A45" s="10">
        <v>41</v>
      </c>
      <c r="B45" s="19" t="s">
        <v>56</v>
      </c>
      <c r="C45" s="47">
        <v>0</v>
      </c>
      <c r="D45" s="87">
        <v>0</v>
      </c>
      <c r="E45" s="47">
        <f t="shared" si="7"/>
        <v>0</v>
      </c>
      <c r="F45" s="87">
        <v>0</v>
      </c>
      <c r="G45" s="47">
        <f t="shared" si="8"/>
        <v>0</v>
      </c>
      <c r="H45" s="88"/>
      <c r="I45" s="20">
        <v>50</v>
      </c>
      <c r="J45" s="82">
        <f t="shared" si="9"/>
        <v>0</v>
      </c>
      <c r="K45" s="17" t="s">
        <v>16</v>
      </c>
      <c r="L45" s="18">
        <v>0</v>
      </c>
      <c r="M45" s="23">
        <f t="shared" si="10"/>
        <v>0</v>
      </c>
      <c r="O45" s="10">
        <v>11</v>
      </c>
      <c r="P45" s="19"/>
      <c r="Q45" s="47">
        <v>0</v>
      </c>
      <c r="R45" s="80">
        <v>0</v>
      </c>
      <c r="S45" s="47">
        <f t="shared" si="1"/>
        <v>0</v>
      </c>
      <c r="T45" s="80">
        <v>0</v>
      </c>
      <c r="U45" s="47">
        <f t="shared" si="2"/>
        <v>0</v>
      </c>
      <c r="V45" s="81">
        <v>0</v>
      </c>
      <c r="W45" s="22"/>
      <c r="X45" s="44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9" t="s">
        <v>286</v>
      </c>
      <c r="C46" s="47">
        <v>0</v>
      </c>
      <c r="D46" s="87">
        <v>0</v>
      </c>
      <c r="E46" s="47">
        <f t="shared" si="7"/>
        <v>0</v>
      </c>
      <c r="F46" s="87">
        <v>0</v>
      </c>
      <c r="G46" s="47">
        <f t="shared" si="8"/>
        <v>0</v>
      </c>
      <c r="H46" s="88"/>
      <c r="I46" s="20">
        <v>50</v>
      </c>
      <c r="J46" s="82">
        <f t="shared" si="9"/>
        <v>0</v>
      </c>
      <c r="K46" s="17" t="s">
        <v>16</v>
      </c>
      <c r="L46" s="18">
        <v>0</v>
      </c>
      <c r="M46" s="23">
        <f t="shared" si="10"/>
        <v>0</v>
      </c>
      <c r="O46" s="10">
        <v>12</v>
      </c>
      <c r="P46" s="19"/>
      <c r="Q46" s="47">
        <v>0</v>
      </c>
      <c r="R46" s="80">
        <v>0</v>
      </c>
      <c r="S46" s="47">
        <f t="shared" si="1"/>
        <v>0</v>
      </c>
      <c r="T46" s="80">
        <v>0</v>
      </c>
      <c r="U46" s="47">
        <f t="shared" si="2"/>
        <v>0</v>
      </c>
      <c r="V46" s="81">
        <v>0</v>
      </c>
      <c r="W46" s="22"/>
      <c r="X46" s="44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9" t="s">
        <v>58</v>
      </c>
      <c r="C47" s="47">
        <v>0</v>
      </c>
      <c r="D47" s="87">
        <v>0</v>
      </c>
      <c r="E47" s="47">
        <f t="shared" si="7"/>
        <v>0</v>
      </c>
      <c r="F47" s="87">
        <v>0</v>
      </c>
      <c r="G47" s="47">
        <f t="shared" si="8"/>
        <v>0</v>
      </c>
      <c r="H47" s="88"/>
      <c r="I47" s="20">
        <v>50</v>
      </c>
      <c r="J47" s="82">
        <f t="shared" si="9"/>
        <v>0</v>
      </c>
      <c r="K47" s="17" t="s">
        <v>16</v>
      </c>
      <c r="L47" s="18">
        <v>0</v>
      </c>
      <c r="M47" s="23">
        <f t="shared" si="10"/>
        <v>0</v>
      </c>
      <c r="O47" s="10">
        <v>13</v>
      </c>
      <c r="P47" s="19"/>
      <c r="Q47" s="47">
        <v>0</v>
      </c>
      <c r="R47" s="80">
        <v>0</v>
      </c>
      <c r="S47" s="47">
        <f t="shared" si="1"/>
        <v>0</v>
      </c>
      <c r="T47" s="80">
        <v>0</v>
      </c>
      <c r="U47" s="47">
        <f t="shared" si="2"/>
        <v>0</v>
      </c>
      <c r="V47" s="81">
        <v>0</v>
      </c>
      <c r="W47" s="22"/>
      <c r="X47" s="44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9" t="s">
        <v>59</v>
      </c>
      <c r="C48" s="47">
        <v>0</v>
      </c>
      <c r="D48" s="87">
        <v>0</v>
      </c>
      <c r="E48" s="47">
        <f t="shared" si="7"/>
        <v>0</v>
      </c>
      <c r="F48" s="87">
        <v>0</v>
      </c>
      <c r="G48" s="47">
        <f t="shared" si="8"/>
        <v>0</v>
      </c>
      <c r="H48" s="88"/>
      <c r="I48" s="20">
        <v>50</v>
      </c>
      <c r="J48" s="82">
        <f t="shared" si="9"/>
        <v>0</v>
      </c>
      <c r="K48" s="17" t="s">
        <v>16</v>
      </c>
      <c r="L48" s="18">
        <v>0</v>
      </c>
      <c r="M48" s="23">
        <f t="shared" si="10"/>
        <v>0</v>
      </c>
      <c r="O48" s="10">
        <v>14</v>
      </c>
      <c r="P48" s="19"/>
      <c r="Q48" s="47">
        <v>0</v>
      </c>
      <c r="R48" s="80">
        <v>0</v>
      </c>
      <c r="S48" s="47">
        <f t="shared" si="1"/>
        <v>0</v>
      </c>
      <c r="T48" s="80">
        <v>0</v>
      </c>
      <c r="U48" s="47">
        <f t="shared" si="2"/>
        <v>0</v>
      </c>
      <c r="V48" s="81">
        <v>0</v>
      </c>
      <c r="W48" s="22"/>
      <c r="X48" s="44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9" t="s">
        <v>60</v>
      </c>
      <c r="C49" s="47">
        <v>0</v>
      </c>
      <c r="D49" s="87">
        <v>0</v>
      </c>
      <c r="E49" s="47">
        <f t="shared" si="7"/>
        <v>0</v>
      </c>
      <c r="F49" s="87">
        <v>0</v>
      </c>
      <c r="G49" s="47">
        <f t="shared" si="8"/>
        <v>0</v>
      </c>
      <c r="H49" s="88"/>
      <c r="I49" s="20">
        <v>50</v>
      </c>
      <c r="J49" s="82">
        <f t="shared" si="9"/>
        <v>0</v>
      </c>
      <c r="K49" s="17" t="s">
        <v>16</v>
      </c>
      <c r="L49" s="18">
        <v>0</v>
      </c>
      <c r="M49" s="23">
        <f t="shared" si="10"/>
        <v>0</v>
      </c>
      <c r="O49" s="10">
        <v>15</v>
      </c>
      <c r="P49" s="19"/>
      <c r="Q49" s="47">
        <v>0</v>
      </c>
      <c r="R49" s="80">
        <v>0</v>
      </c>
      <c r="S49" s="47">
        <f t="shared" si="1"/>
        <v>0</v>
      </c>
      <c r="T49" s="80">
        <v>0</v>
      </c>
      <c r="U49" s="47">
        <f t="shared" si="2"/>
        <v>0</v>
      </c>
      <c r="V49" s="81">
        <v>0</v>
      </c>
      <c r="W49" s="22"/>
      <c r="X49" s="44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9" t="s">
        <v>61</v>
      </c>
      <c r="C50" s="79">
        <v>1</v>
      </c>
      <c r="D50" s="87">
        <v>0</v>
      </c>
      <c r="E50" s="47">
        <f t="shared" si="7"/>
        <v>1</v>
      </c>
      <c r="F50" s="87">
        <v>0</v>
      </c>
      <c r="G50" s="47">
        <f t="shared" si="8"/>
        <v>1</v>
      </c>
      <c r="H50" s="88"/>
      <c r="I50" s="20">
        <v>120</v>
      </c>
      <c r="J50" s="82">
        <f t="shared" si="9"/>
        <v>0</v>
      </c>
      <c r="K50" s="17" t="s">
        <v>16</v>
      </c>
      <c r="L50" s="18">
        <v>0</v>
      </c>
      <c r="M50" s="23">
        <f t="shared" si="10"/>
        <v>0</v>
      </c>
      <c r="O50" s="10">
        <v>16</v>
      </c>
      <c r="P50" s="19"/>
      <c r="Q50" s="47">
        <v>0</v>
      </c>
      <c r="R50" s="80">
        <v>0</v>
      </c>
      <c r="S50" s="47">
        <f t="shared" si="1"/>
        <v>0</v>
      </c>
      <c r="T50" s="80">
        <v>0</v>
      </c>
      <c r="U50" s="47">
        <f t="shared" si="2"/>
        <v>0</v>
      </c>
      <c r="V50" s="81">
        <v>0</v>
      </c>
      <c r="W50" s="22"/>
      <c r="X50" s="44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9" t="s">
        <v>62</v>
      </c>
      <c r="C51" s="79">
        <v>2</v>
      </c>
      <c r="D51" s="87">
        <v>0</v>
      </c>
      <c r="E51" s="47">
        <f t="shared" si="7"/>
        <v>2</v>
      </c>
      <c r="F51" s="87">
        <v>0</v>
      </c>
      <c r="G51" s="47">
        <f t="shared" si="8"/>
        <v>2</v>
      </c>
      <c r="H51" s="88"/>
      <c r="I51" s="20">
        <v>120</v>
      </c>
      <c r="J51" s="82">
        <f t="shared" si="9"/>
        <v>0</v>
      </c>
      <c r="K51" s="17" t="s">
        <v>16</v>
      </c>
      <c r="L51" s="18">
        <v>0</v>
      </c>
      <c r="M51" s="23">
        <f t="shared" si="10"/>
        <v>0</v>
      </c>
      <c r="O51" s="10">
        <v>17</v>
      </c>
      <c r="P51" s="19"/>
      <c r="Q51" s="47">
        <v>0</v>
      </c>
      <c r="R51" s="80">
        <v>0</v>
      </c>
      <c r="S51" s="47">
        <f t="shared" si="1"/>
        <v>0</v>
      </c>
      <c r="T51" s="80">
        <v>0</v>
      </c>
      <c r="U51" s="47">
        <f t="shared" si="2"/>
        <v>0</v>
      </c>
      <c r="V51" s="81">
        <v>0</v>
      </c>
      <c r="W51" s="22"/>
      <c r="X51" s="44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9" t="s">
        <v>63</v>
      </c>
      <c r="C52" s="79">
        <v>3</v>
      </c>
      <c r="D52" s="87">
        <v>0</v>
      </c>
      <c r="E52" s="47">
        <f t="shared" si="7"/>
        <v>3</v>
      </c>
      <c r="F52" s="87">
        <v>0</v>
      </c>
      <c r="G52" s="47">
        <f t="shared" si="8"/>
        <v>3</v>
      </c>
      <c r="H52" s="88"/>
      <c r="I52" s="20">
        <v>120</v>
      </c>
      <c r="J52" s="82">
        <f t="shared" si="9"/>
        <v>0</v>
      </c>
      <c r="K52" s="17" t="s">
        <v>16</v>
      </c>
      <c r="L52" s="18">
        <v>0</v>
      </c>
      <c r="M52" s="23">
        <f t="shared" si="10"/>
        <v>0</v>
      </c>
      <c r="O52" s="10">
        <v>18</v>
      </c>
      <c r="P52" s="19"/>
      <c r="Q52" s="47">
        <v>0</v>
      </c>
      <c r="R52" s="80">
        <v>0</v>
      </c>
      <c r="S52" s="47">
        <f t="shared" si="1"/>
        <v>0</v>
      </c>
      <c r="T52" s="80">
        <v>0</v>
      </c>
      <c r="U52" s="47">
        <f t="shared" si="2"/>
        <v>0</v>
      </c>
      <c r="V52" s="81">
        <v>0</v>
      </c>
      <c r="W52" s="20"/>
      <c r="X52" s="44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9" t="s">
        <v>64</v>
      </c>
      <c r="C53" s="47">
        <v>0</v>
      </c>
      <c r="D53" s="87">
        <v>0</v>
      </c>
      <c r="E53" s="47">
        <f t="shared" si="7"/>
        <v>0</v>
      </c>
      <c r="F53" s="87">
        <v>0</v>
      </c>
      <c r="G53" s="47">
        <f t="shared" si="8"/>
        <v>0</v>
      </c>
      <c r="H53" s="88"/>
      <c r="I53" s="20">
        <v>120</v>
      </c>
      <c r="J53" s="82">
        <f t="shared" si="9"/>
        <v>0</v>
      </c>
      <c r="K53" s="17" t="s">
        <v>16</v>
      </c>
      <c r="L53" s="18">
        <v>0</v>
      </c>
      <c r="M53" s="23">
        <f t="shared" si="10"/>
        <v>0</v>
      </c>
      <c r="O53" s="10">
        <v>19</v>
      </c>
      <c r="P53" s="19"/>
      <c r="Q53" s="47">
        <v>0</v>
      </c>
      <c r="R53" s="80">
        <v>0</v>
      </c>
      <c r="S53" s="47">
        <f t="shared" si="1"/>
        <v>0</v>
      </c>
      <c r="T53" s="80">
        <v>0</v>
      </c>
      <c r="U53" s="47">
        <f t="shared" si="2"/>
        <v>0</v>
      </c>
      <c r="V53" s="81">
        <v>0</v>
      </c>
      <c r="W53" s="22"/>
      <c r="X53" s="44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9" t="s">
        <v>65</v>
      </c>
      <c r="C54" s="47">
        <v>0</v>
      </c>
      <c r="D54" s="87">
        <v>0</v>
      </c>
      <c r="E54" s="47">
        <f t="shared" si="7"/>
        <v>0</v>
      </c>
      <c r="F54" s="87">
        <v>0</v>
      </c>
      <c r="G54" s="47">
        <f t="shared" si="8"/>
        <v>0</v>
      </c>
      <c r="H54" s="88"/>
      <c r="I54" s="20">
        <v>120</v>
      </c>
      <c r="J54" s="82">
        <f t="shared" si="9"/>
        <v>0</v>
      </c>
      <c r="K54" s="17" t="s">
        <v>16</v>
      </c>
      <c r="L54" s="18">
        <v>0</v>
      </c>
      <c r="M54" s="23">
        <f t="shared" si="10"/>
        <v>0</v>
      </c>
      <c r="O54" s="10">
        <v>20</v>
      </c>
      <c r="P54" s="19"/>
      <c r="Q54" s="47">
        <v>0</v>
      </c>
      <c r="R54" s="80">
        <v>0</v>
      </c>
      <c r="S54" s="47">
        <f t="shared" si="1"/>
        <v>0</v>
      </c>
      <c r="T54" s="80">
        <v>0</v>
      </c>
      <c r="U54" s="47">
        <f t="shared" si="2"/>
        <v>0</v>
      </c>
      <c r="V54" s="81">
        <v>0</v>
      </c>
      <c r="W54" s="20"/>
      <c r="X54" s="44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9" t="s">
        <v>66</v>
      </c>
      <c r="C55" s="47">
        <v>0</v>
      </c>
      <c r="D55" s="87">
        <v>0</v>
      </c>
      <c r="E55" s="47">
        <f t="shared" si="7"/>
        <v>0</v>
      </c>
      <c r="F55" s="87">
        <v>0</v>
      </c>
      <c r="G55" s="47">
        <f t="shared" si="8"/>
        <v>0</v>
      </c>
      <c r="H55" s="88"/>
      <c r="I55" s="20">
        <v>120</v>
      </c>
      <c r="J55" s="82">
        <f t="shared" si="9"/>
        <v>0</v>
      </c>
      <c r="K55" s="17" t="s">
        <v>16</v>
      </c>
      <c r="L55" s="18">
        <v>0</v>
      </c>
      <c r="M55" s="23">
        <f t="shared" si="10"/>
        <v>0</v>
      </c>
      <c r="O55" s="10">
        <v>21</v>
      </c>
      <c r="P55" s="19"/>
      <c r="Q55" s="47">
        <v>0</v>
      </c>
      <c r="R55" s="80">
        <v>0</v>
      </c>
      <c r="S55" s="47">
        <f t="shared" si="1"/>
        <v>0</v>
      </c>
      <c r="T55" s="80">
        <v>0</v>
      </c>
      <c r="U55" s="47">
        <f t="shared" si="2"/>
        <v>0</v>
      </c>
      <c r="V55" s="81">
        <v>0</v>
      </c>
      <c r="W55" s="22"/>
      <c r="X55" s="44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9" t="s">
        <v>67</v>
      </c>
      <c r="C56" s="79">
        <v>1</v>
      </c>
      <c r="D56" s="87">
        <v>0</v>
      </c>
      <c r="E56" s="47">
        <f t="shared" si="7"/>
        <v>1</v>
      </c>
      <c r="F56" s="87">
        <v>0</v>
      </c>
      <c r="G56" s="47">
        <f t="shared" si="8"/>
        <v>1</v>
      </c>
      <c r="H56" s="88"/>
      <c r="I56" s="20">
        <v>120</v>
      </c>
      <c r="J56" s="82">
        <f t="shared" si="9"/>
        <v>0</v>
      </c>
      <c r="K56" s="17" t="s">
        <v>16</v>
      </c>
      <c r="L56" s="18">
        <v>0</v>
      </c>
      <c r="M56" s="23">
        <f t="shared" si="10"/>
        <v>0</v>
      </c>
      <c r="O56" s="10">
        <v>22</v>
      </c>
      <c r="P56" s="19"/>
      <c r="Q56" s="47">
        <v>0</v>
      </c>
      <c r="R56" s="80">
        <v>0</v>
      </c>
      <c r="S56" s="47">
        <f t="shared" si="1"/>
        <v>0</v>
      </c>
      <c r="T56" s="80">
        <v>0</v>
      </c>
      <c r="U56" s="47">
        <f t="shared" si="2"/>
        <v>0</v>
      </c>
      <c r="V56" s="81">
        <v>0</v>
      </c>
      <c r="W56" s="20"/>
      <c r="X56" s="44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9" t="s">
        <v>68</v>
      </c>
      <c r="C57" s="79">
        <v>4</v>
      </c>
      <c r="D57" s="87">
        <v>0</v>
      </c>
      <c r="E57" s="47">
        <f t="shared" si="7"/>
        <v>4</v>
      </c>
      <c r="F57" s="87">
        <v>0</v>
      </c>
      <c r="G57" s="47">
        <f t="shared" si="8"/>
        <v>4</v>
      </c>
      <c r="H57" s="88"/>
      <c r="I57" s="20">
        <v>120</v>
      </c>
      <c r="J57" s="82">
        <f t="shared" si="9"/>
        <v>0</v>
      </c>
      <c r="K57" s="17" t="s">
        <v>16</v>
      </c>
      <c r="L57" s="18">
        <v>0</v>
      </c>
      <c r="M57" s="23">
        <f t="shared" si="10"/>
        <v>0</v>
      </c>
      <c r="O57" s="10">
        <v>23</v>
      </c>
      <c r="P57" s="19"/>
      <c r="Q57" s="47">
        <v>0</v>
      </c>
      <c r="R57" s="80">
        <v>0</v>
      </c>
      <c r="S57" s="47">
        <f t="shared" si="1"/>
        <v>0</v>
      </c>
      <c r="T57" s="80">
        <v>0</v>
      </c>
      <c r="U57" s="47">
        <f t="shared" si="2"/>
        <v>0</v>
      </c>
      <c r="V57" s="81">
        <v>0</v>
      </c>
      <c r="W57" s="22"/>
      <c r="X57" s="44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9" t="s">
        <v>69</v>
      </c>
      <c r="C58" s="47">
        <v>0</v>
      </c>
      <c r="D58" s="87">
        <v>0</v>
      </c>
      <c r="E58" s="47">
        <f t="shared" si="7"/>
        <v>0</v>
      </c>
      <c r="F58" s="87">
        <v>0</v>
      </c>
      <c r="G58" s="47">
        <f t="shared" si="8"/>
        <v>0</v>
      </c>
      <c r="H58" s="88"/>
      <c r="I58" s="20">
        <v>120</v>
      </c>
      <c r="J58" s="82">
        <f t="shared" si="9"/>
        <v>0</v>
      </c>
      <c r="K58" s="17" t="s">
        <v>16</v>
      </c>
      <c r="L58" s="18">
        <v>0</v>
      </c>
      <c r="M58" s="23">
        <f t="shared" si="10"/>
        <v>0</v>
      </c>
      <c r="O58" s="10">
        <v>24</v>
      </c>
      <c r="P58" s="19"/>
      <c r="Q58" s="47">
        <v>0</v>
      </c>
      <c r="R58" s="80">
        <v>0</v>
      </c>
      <c r="S58" s="47">
        <f t="shared" si="1"/>
        <v>0</v>
      </c>
      <c r="T58" s="80">
        <v>0</v>
      </c>
      <c r="U58" s="47">
        <f t="shared" si="2"/>
        <v>0</v>
      </c>
      <c r="V58" s="81">
        <v>0</v>
      </c>
      <c r="W58" s="22"/>
      <c r="X58" s="44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9" t="s">
        <v>70</v>
      </c>
      <c r="C59" s="47">
        <v>0</v>
      </c>
      <c r="D59" s="87">
        <v>0</v>
      </c>
      <c r="E59" s="47">
        <f t="shared" si="7"/>
        <v>0</v>
      </c>
      <c r="F59" s="87">
        <v>0</v>
      </c>
      <c r="G59" s="47">
        <f t="shared" si="8"/>
        <v>0</v>
      </c>
      <c r="H59" s="88"/>
      <c r="I59" s="20">
        <v>70</v>
      </c>
      <c r="J59" s="82">
        <f t="shared" si="9"/>
        <v>0</v>
      </c>
      <c r="K59" s="17" t="s">
        <v>16</v>
      </c>
      <c r="L59" s="18">
        <v>0</v>
      </c>
      <c r="M59" s="23">
        <f t="shared" si="10"/>
        <v>0</v>
      </c>
      <c r="O59" s="10">
        <v>25</v>
      </c>
      <c r="P59" s="19"/>
      <c r="Q59" s="47">
        <v>0</v>
      </c>
      <c r="R59" s="80">
        <v>0</v>
      </c>
      <c r="S59" s="47">
        <f>Q59+R59</f>
        <v>0</v>
      </c>
      <c r="T59" s="80">
        <v>0</v>
      </c>
      <c r="U59" s="47">
        <f>S59-T59-V59</f>
        <v>0</v>
      </c>
      <c r="V59" s="81">
        <v>0</v>
      </c>
      <c r="W59" s="20"/>
      <c r="X59" s="44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9" t="s">
        <v>71</v>
      </c>
      <c r="C60" s="47">
        <v>0</v>
      </c>
      <c r="D60" s="87">
        <v>0</v>
      </c>
      <c r="E60" s="47">
        <f t="shared" si="7"/>
        <v>0</v>
      </c>
      <c r="F60" s="87">
        <v>0</v>
      </c>
      <c r="G60" s="47">
        <f t="shared" si="8"/>
        <v>0</v>
      </c>
      <c r="H60" s="88"/>
      <c r="I60" s="20">
        <v>80</v>
      </c>
      <c r="J60" s="82">
        <f t="shared" si="9"/>
        <v>0</v>
      </c>
      <c r="K60" s="17" t="s">
        <v>16</v>
      </c>
      <c r="L60" s="18">
        <v>0</v>
      </c>
      <c r="M60" s="23">
        <f t="shared" si="10"/>
        <v>0</v>
      </c>
      <c r="O60" s="10">
        <v>26</v>
      </c>
      <c r="P60" s="19"/>
      <c r="Q60" s="47">
        <v>0</v>
      </c>
      <c r="R60" s="80">
        <v>0</v>
      </c>
      <c r="S60" s="47">
        <f t="shared" si="1"/>
        <v>0</v>
      </c>
      <c r="T60" s="80">
        <v>0</v>
      </c>
      <c r="U60" s="47">
        <f t="shared" si="2"/>
        <v>0</v>
      </c>
      <c r="V60" s="81">
        <v>0</v>
      </c>
      <c r="W60" s="20"/>
      <c r="X60" s="44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9" t="s">
        <v>72</v>
      </c>
      <c r="C61" s="47">
        <v>0</v>
      </c>
      <c r="D61" s="87">
        <v>0</v>
      </c>
      <c r="E61" s="47">
        <f t="shared" si="7"/>
        <v>0</v>
      </c>
      <c r="F61" s="87">
        <v>0</v>
      </c>
      <c r="G61" s="47">
        <f t="shared" si="8"/>
        <v>0</v>
      </c>
      <c r="H61" s="88"/>
      <c r="I61" s="20">
        <v>50</v>
      </c>
      <c r="J61" s="82">
        <f t="shared" si="9"/>
        <v>0</v>
      </c>
      <c r="K61" s="17" t="s">
        <v>16</v>
      </c>
      <c r="L61" s="18">
        <v>0</v>
      </c>
      <c r="M61" s="23">
        <f t="shared" si="10"/>
        <v>0</v>
      </c>
      <c r="O61" s="10">
        <v>27</v>
      </c>
      <c r="P61" s="19"/>
      <c r="Q61" s="47">
        <v>0</v>
      </c>
      <c r="R61" s="80">
        <v>0</v>
      </c>
      <c r="S61" s="47">
        <f t="shared" si="1"/>
        <v>0</v>
      </c>
      <c r="T61" s="80">
        <v>0</v>
      </c>
      <c r="U61" s="47">
        <f t="shared" si="2"/>
        <v>0</v>
      </c>
      <c r="V61" s="81">
        <v>0</v>
      </c>
      <c r="W61" s="22"/>
      <c r="X61" s="44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47">
        <v>0</v>
      </c>
      <c r="D62" s="87">
        <v>0</v>
      </c>
      <c r="E62" s="47">
        <f t="shared" si="7"/>
        <v>0</v>
      </c>
      <c r="F62" s="87">
        <v>0</v>
      </c>
      <c r="G62" s="47">
        <f t="shared" si="8"/>
        <v>0</v>
      </c>
      <c r="H62" s="88"/>
      <c r="I62" s="20">
        <v>50</v>
      </c>
      <c r="J62" s="82">
        <f t="shared" si="9"/>
        <v>0</v>
      </c>
      <c r="K62" s="17" t="s">
        <v>16</v>
      </c>
      <c r="L62" s="18">
        <v>0</v>
      </c>
      <c r="M62" s="23">
        <f t="shared" si="10"/>
        <v>0</v>
      </c>
      <c r="O62" s="10">
        <v>28</v>
      </c>
      <c r="P62" s="19"/>
      <c r="Q62" s="47">
        <v>0</v>
      </c>
      <c r="R62" s="80">
        <v>0</v>
      </c>
      <c r="S62" s="47">
        <f t="shared" si="1"/>
        <v>0</v>
      </c>
      <c r="T62" s="80">
        <v>0</v>
      </c>
      <c r="U62" s="47">
        <f t="shared" si="2"/>
        <v>0</v>
      </c>
      <c r="V62" s="81">
        <v>0</v>
      </c>
      <c r="W62" s="20"/>
      <c r="X62" s="44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47">
        <v>0</v>
      </c>
      <c r="D63" s="87">
        <v>0</v>
      </c>
      <c r="E63" s="47">
        <f t="shared" si="7"/>
        <v>0</v>
      </c>
      <c r="F63" s="87">
        <v>0</v>
      </c>
      <c r="G63" s="47">
        <f t="shared" si="8"/>
        <v>0</v>
      </c>
      <c r="H63" s="88"/>
      <c r="I63" s="20">
        <v>50</v>
      </c>
      <c r="J63" s="82">
        <f t="shared" si="9"/>
        <v>0</v>
      </c>
      <c r="K63" s="17" t="s">
        <v>16</v>
      </c>
      <c r="L63" s="18">
        <v>0</v>
      </c>
      <c r="M63" s="23">
        <f t="shared" si="10"/>
        <v>0</v>
      </c>
      <c r="O63" s="10">
        <v>29</v>
      </c>
      <c r="P63" s="19"/>
      <c r="Q63" s="47">
        <v>0</v>
      </c>
      <c r="R63" s="80">
        <v>0</v>
      </c>
      <c r="S63" s="47">
        <f t="shared" si="1"/>
        <v>0</v>
      </c>
      <c r="T63" s="80">
        <v>0</v>
      </c>
      <c r="U63" s="47">
        <f t="shared" si="2"/>
        <v>0</v>
      </c>
      <c r="V63" s="81">
        <v>0</v>
      </c>
      <c r="W63" s="22"/>
      <c r="X63" s="44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9" t="s">
        <v>75</v>
      </c>
      <c r="C64" s="47">
        <v>0</v>
      </c>
      <c r="D64" s="87">
        <v>0</v>
      </c>
      <c r="E64" s="47">
        <f t="shared" si="7"/>
        <v>0</v>
      </c>
      <c r="F64" s="87">
        <v>0</v>
      </c>
      <c r="G64" s="47">
        <f t="shared" si="8"/>
        <v>0</v>
      </c>
      <c r="H64" s="88"/>
      <c r="I64" s="20">
        <v>30</v>
      </c>
      <c r="J64" s="82">
        <f t="shared" si="9"/>
        <v>0</v>
      </c>
      <c r="K64" s="17" t="s">
        <v>16</v>
      </c>
      <c r="L64" s="18">
        <v>0</v>
      </c>
      <c r="M64" s="23">
        <f t="shared" si="10"/>
        <v>0</v>
      </c>
      <c r="O64" s="10">
        <v>30</v>
      </c>
      <c r="P64" s="19"/>
      <c r="Q64" s="47">
        <v>0</v>
      </c>
      <c r="R64" s="80">
        <v>0</v>
      </c>
      <c r="S64" s="47">
        <f t="shared" si="1"/>
        <v>0</v>
      </c>
      <c r="T64" s="80">
        <v>0</v>
      </c>
      <c r="U64" s="47">
        <f t="shared" si="2"/>
        <v>0</v>
      </c>
      <c r="V64" s="81">
        <v>0</v>
      </c>
      <c r="W64" s="22"/>
      <c r="X64" s="44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9" t="s">
        <v>76</v>
      </c>
      <c r="C65" s="47">
        <v>0</v>
      </c>
      <c r="D65" s="87">
        <v>0</v>
      </c>
      <c r="E65" s="47">
        <f t="shared" si="7"/>
        <v>0</v>
      </c>
      <c r="F65" s="87">
        <v>0</v>
      </c>
      <c r="G65" s="47">
        <f t="shared" si="8"/>
        <v>0</v>
      </c>
      <c r="H65" s="88"/>
      <c r="I65" s="20">
        <v>30</v>
      </c>
      <c r="J65" s="82">
        <f t="shared" si="9"/>
        <v>0</v>
      </c>
      <c r="K65" s="17" t="s">
        <v>16</v>
      </c>
      <c r="L65" s="18">
        <v>0</v>
      </c>
      <c r="M65" s="23">
        <f t="shared" si="10"/>
        <v>0</v>
      </c>
      <c r="O65" s="10">
        <v>31</v>
      </c>
      <c r="P65" s="19"/>
      <c r="Q65" s="47">
        <v>0</v>
      </c>
      <c r="R65" s="80">
        <v>0</v>
      </c>
      <c r="S65" s="47">
        <f t="shared" si="1"/>
        <v>0</v>
      </c>
      <c r="T65" s="80">
        <v>0</v>
      </c>
      <c r="U65" s="47">
        <f t="shared" si="2"/>
        <v>0</v>
      </c>
      <c r="V65" s="81">
        <v>0</v>
      </c>
      <c r="W65" s="22"/>
      <c r="X65" s="44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9" t="s">
        <v>77</v>
      </c>
      <c r="C66" s="79">
        <v>9</v>
      </c>
      <c r="D66" s="87">
        <v>0</v>
      </c>
      <c r="E66" s="47">
        <f t="shared" si="7"/>
        <v>9</v>
      </c>
      <c r="F66" s="87">
        <v>0</v>
      </c>
      <c r="G66" s="47">
        <f t="shared" si="8"/>
        <v>9</v>
      </c>
      <c r="H66" s="88"/>
      <c r="I66" s="20">
        <v>50</v>
      </c>
      <c r="J66" s="82">
        <f t="shared" si="9"/>
        <v>0</v>
      </c>
      <c r="K66" s="17" t="s">
        <v>16</v>
      </c>
      <c r="L66" s="18">
        <v>0</v>
      </c>
      <c r="M66" s="23">
        <f t="shared" si="10"/>
        <v>0</v>
      </c>
      <c r="O66" s="10">
        <v>32</v>
      </c>
      <c r="P66" s="19"/>
      <c r="Q66" s="47">
        <v>0</v>
      </c>
      <c r="R66" s="80">
        <v>0</v>
      </c>
      <c r="S66" s="47">
        <f t="shared" si="1"/>
        <v>0</v>
      </c>
      <c r="T66" s="80">
        <v>0</v>
      </c>
      <c r="U66" s="47">
        <f t="shared" si="2"/>
        <v>0</v>
      </c>
      <c r="V66" s="81">
        <v>0</v>
      </c>
      <c r="W66" s="22"/>
      <c r="X66" s="44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9" t="s">
        <v>78</v>
      </c>
      <c r="C67" s="79">
        <v>3</v>
      </c>
      <c r="D67" s="87">
        <v>0</v>
      </c>
      <c r="E67" s="47">
        <f t="shared" si="7"/>
        <v>3</v>
      </c>
      <c r="F67" s="87">
        <v>0</v>
      </c>
      <c r="G67" s="47">
        <f t="shared" si="8"/>
        <v>3</v>
      </c>
      <c r="H67" s="88"/>
      <c r="I67" s="20">
        <v>50</v>
      </c>
      <c r="J67" s="82">
        <f t="shared" si="9"/>
        <v>0</v>
      </c>
      <c r="K67" s="17" t="s">
        <v>16</v>
      </c>
      <c r="L67" s="18">
        <v>0</v>
      </c>
      <c r="M67" s="23">
        <f t="shared" si="10"/>
        <v>0</v>
      </c>
      <c r="O67" s="10">
        <v>33</v>
      </c>
      <c r="P67" s="19"/>
      <c r="Q67" s="47">
        <v>0</v>
      </c>
      <c r="R67" s="80">
        <v>0</v>
      </c>
      <c r="S67" s="47">
        <f t="shared" si="1"/>
        <v>0</v>
      </c>
      <c r="T67" s="80">
        <v>0</v>
      </c>
      <c r="U67" s="47">
        <f t="shared" si="2"/>
        <v>0</v>
      </c>
      <c r="V67" s="81">
        <v>0</v>
      </c>
      <c r="W67" s="22"/>
      <c r="X67" s="44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47">
        <v>0</v>
      </c>
      <c r="D68" s="87">
        <v>0</v>
      </c>
      <c r="E68" s="47">
        <f t="shared" si="7"/>
        <v>0</v>
      </c>
      <c r="F68" s="87">
        <v>0</v>
      </c>
      <c r="G68" s="47">
        <f t="shared" si="8"/>
        <v>0</v>
      </c>
      <c r="H68" s="88"/>
      <c r="I68" s="20">
        <v>35</v>
      </c>
      <c r="J68" s="82">
        <f t="shared" si="9"/>
        <v>0</v>
      </c>
      <c r="K68" s="17" t="s">
        <v>16</v>
      </c>
      <c r="L68" s="18">
        <v>0</v>
      </c>
      <c r="M68" s="23">
        <f t="shared" si="10"/>
        <v>0</v>
      </c>
      <c r="O68" s="10">
        <v>34</v>
      </c>
      <c r="P68" s="19"/>
      <c r="Q68" s="47">
        <v>0</v>
      </c>
      <c r="R68" s="80">
        <v>0</v>
      </c>
      <c r="S68" s="47">
        <f t="shared" si="1"/>
        <v>0</v>
      </c>
      <c r="T68" s="80">
        <v>0</v>
      </c>
      <c r="U68" s="47">
        <f t="shared" si="2"/>
        <v>0</v>
      </c>
      <c r="V68" s="81">
        <v>0</v>
      </c>
      <c r="W68" s="20"/>
      <c r="X68" s="44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47">
        <v>0</v>
      </c>
      <c r="D69" s="87">
        <v>0</v>
      </c>
      <c r="E69" s="47">
        <f t="shared" si="7"/>
        <v>0</v>
      </c>
      <c r="F69" s="87">
        <v>0</v>
      </c>
      <c r="G69" s="47">
        <f t="shared" si="8"/>
        <v>0</v>
      </c>
      <c r="H69" s="88"/>
      <c r="I69" s="20">
        <v>25</v>
      </c>
      <c r="J69" s="82">
        <f t="shared" si="9"/>
        <v>0</v>
      </c>
      <c r="K69" s="17" t="s">
        <v>16</v>
      </c>
      <c r="L69" s="18">
        <v>0</v>
      </c>
      <c r="M69" s="23">
        <f t="shared" si="10"/>
        <v>0</v>
      </c>
      <c r="O69" s="10">
        <v>35</v>
      </c>
      <c r="P69" s="19"/>
      <c r="Q69" s="47">
        <v>0</v>
      </c>
      <c r="R69" s="80">
        <v>0</v>
      </c>
      <c r="S69" s="47">
        <f t="shared" si="1"/>
        <v>0</v>
      </c>
      <c r="T69" s="80">
        <v>0</v>
      </c>
      <c r="U69" s="47">
        <f t="shared" si="2"/>
        <v>0</v>
      </c>
      <c r="V69" s="81">
        <v>0</v>
      </c>
      <c r="W69" s="22"/>
      <c r="X69" s="44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79">
        <v>7</v>
      </c>
      <c r="D70" s="87">
        <v>0</v>
      </c>
      <c r="E70" s="47">
        <f t="shared" si="7"/>
        <v>7</v>
      </c>
      <c r="F70" s="87">
        <v>0</v>
      </c>
      <c r="G70" s="47">
        <f t="shared" si="8"/>
        <v>7</v>
      </c>
      <c r="H70" s="88"/>
      <c r="I70" s="20">
        <v>50</v>
      </c>
      <c r="J70" s="82">
        <f t="shared" si="9"/>
        <v>0</v>
      </c>
      <c r="K70" s="17" t="s">
        <v>16</v>
      </c>
      <c r="L70" s="18">
        <v>0</v>
      </c>
      <c r="M70" s="23">
        <f t="shared" si="10"/>
        <v>0</v>
      </c>
      <c r="O70" s="10">
        <v>36</v>
      </c>
      <c r="P70" s="19"/>
      <c r="Q70" s="47">
        <v>0</v>
      </c>
      <c r="R70" s="80">
        <v>0</v>
      </c>
      <c r="S70" s="47">
        <f t="shared" si="1"/>
        <v>0</v>
      </c>
      <c r="T70" s="80">
        <v>0</v>
      </c>
      <c r="U70" s="47">
        <f t="shared" si="2"/>
        <v>0</v>
      </c>
      <c r="V70" s="81">
        <v>0</v>
      </c>
      <c r="W70" s="20"/>
      <c r="X70" s="44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79">
        <v>3</v>
      </c>
      <c r="D71" s="87">
        <v>0</v>
      </c>
      <c r="E71" s="47">
        <f t="shared" si="7"/>
        <v>3</v>
      </c>
      <c r="F71" s="87">
        <v>0</v>
      </c>
      <c r="G71" s="47">
        <f t="shared" si="8"/>
        <v>3</v>
      </c>
      <c r="H71" s="88"/>
      <c r="I71" s="20">
        <v>60</v>
      </c>
      <c r="J71" s="82">
        <f t="shared" si="9"/>
        <v>0</v>
      </c>
      <c r="K71" s="17" t="s">
        <v>16</v>
      </c>
      <c r="L71" s="18">
        <v>0</v>
      </c>
      <c r="M71" s="23">
        <f t="shared" si="10"/>
        <v>0</v>
      </c>
      <c r="O71" s="10">
        <v>37</v>
      </c>
      <c r="P71" s="19"/>
      <c r="Q71" s="47">
        <v>0</v>
      </c>
      <c r="R71" s="80">
        <v>0</v>
      </c>
      <c r="S71" s="47">
        <f t="shared" si="1"/>
        <v>0</v>
      </c>
      <c r="T71" s="80">
        <v>0</v>
      </c>
      <c r="U71" s="47">
        <f t="shared" si="2"/>
        <v>0</v>
      </c>
      <c r="V71" s="81">
        <v>0</v>
      </c>
      <c r="W71" s="22"/>
      <c r="X71" s="44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47">
        <v>0</v>
      </c>
      <c r="D72" s="87">
        <v>0</v>
      </c>
      <c r="E72" s="47">
        <f t="shared" si="7"/>
        <v>0</v>
      </c>
      <c r="F72" s="87">
        <v>0</v>
      </c>
      <c r="G72" s="47">
        <f t="shared" si="8"/>
        <v>0</v>
      </c>
      <c r="H72" s="88"/>
      <c r="I72" s="20">
        <v>50</v>
      </c>
      <c r="J72" s="82">
        <f t="shared" si="9"/>
        <v>0</v>
      </c>
      <c r="K72" s="17" t="s">
        <v>16</v>
      </c>
      <c r="L72" s="18">
        <v>0</v>
      </c>
      <c r="M72" s="23">
        <f t="shared" si="10"/>
        <v>0</v>
      </c>
      <c r="O72" s="10">
        <v>38</v>
      </c>
      <c r="P72" s="19"/>
      <c r="Q72" s="47">
        <v>0</v>
      </c>
      <c r="R72" s="80">
        <v>0</v>
      </c>
      <c r="S72" s="47">
        <f t="shared" si="1"/>
        <v>0</v>
      </c>
      <c r="T72" s="80">
        <v>0</v>
      </c>
      <c r="U72" s="47">
        <f t="shared" si="2"/>
        <v>0</v>
      </c>
      <c r="V72" s="81">
        <v>0</v>
      </c>
      <c r="W72" s="22"/>
      <c r="X72" s="44">
        <f t="shared" si="3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47">
        <v>0</v>
      </c>
      <c r="D73" s="87">
        <v>0</v>
      </c>
      <c r="E73" s="47">
        <f t="shared" si="7"/>
        <v>0</v>
      </c>
      <c r="F73" s="87">
        <v>0</v>
      </c>
      <c r="G73" s="47">
        <f t="shared" si="8"/>
        <v>0</v>
      </c>
      <c r="H73" s="88"/>
      <c r="I73" s="20">
        <v>60</v>
      </c>
      <c r="J73" s="82">
        <f t="shared" si="9"/>
        <v>0</v>
      </c>
      <c r="K73" s="17" t="s">
        <v>16</v>
      </c>
      <c r="L73" s="18">
        <v>0</v>
      </c>
      <c r="M73" s="23">
        <f t="shared" si="10"/>
        <v>0</v>
      </c>
      <c r="O73" s="10">
        <v>39</v>
      </c>
      <c r="P73" s="19"/>
      <c r="Q73" s="47">
        <v>0</v>
      </c>
      <c r="R73" s="80">
        <v>0</v>
      </c>
      <c r="S73" s="47">
        <f t="shared" si="1"/>
        <v>0</v>
      </c>
      <c r="T73" s="80">
        <v>0</v>
      </c>
      <c r="U73" s="47">
        <f t="shared" si="2"/>
        <v>0</v>
      </c>
      <c r="V73" s="81">
        <v>0</v>
      </c>
      <c r="W73" s="22"/>
      <c r="X73" s="44">
        <f t="shared" si="3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79">
        <v>1</v>
      </c>
      <c r="D74" s="87">
        <v>0</v>
      </c>
      <c r="E74" s="47">
        <f t="shared" si="7"/>
        <v>1</v>
      </c>
      <c r="F74" s="87">
        <v>0</v>
      </c>
      <c r="G74" s="47">
        <f t="shared" si="8"/>
        <v>1</v>
      </c>
      <c r="H74" s="88"/>
      <c r="I74" s="20">
        <v>120</v>
      </c>
      <c r="J74" s="82">
        <f t="shared" si="9"/>
        <v>0</v>
      </c>
      <c r="K74" s="17" t="s">
        <v>16</v>
      </c>
      <c r="L74" s="18">
        <v>0</v>
      </c>
      <c r="M74" s="23">
        <f t="shared" si="10"/>
        <v>0</v>
      </c>
      <c r="O74" s="10">
        <v>40</v>
      </c>
      <c r="P74" s="19"/>
      <c r="Q74" s="47">
        <v>0</v>
      </c>
      <c r="R74" s="80">
        <v>0</v>
      </c>
      <c r="S74" s="47">
        <f>Q74+R74</f>
        <v>0</v>
      </c>
      <c r="T74" s="80">
        <v>0</v>
      </c>
      <c r="U74" s="47">
        <f>S74-T74-V74</f>
        <v>0</v>
      </c>
      <c r="V74" s="81">
        <v>0</v>
      </c>
      <c r="W74" s="20"/>
      <c r="X74" s="44">
        <f t="shared" si="3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47">
        <v>0</v>
      </c>
      <c r="D75" s="87">
        <v>0</v>
      </c>
      <c r="E75" s="47">
        <f t="shared" si="7"/>
        <v>0</v>
      </c>
      <c r="F75" s="87">
        <v>0</v>
      </c>
      <c r="G75" s="47">
        <f t="shared" si="8"/>
        <v>0</v>
      </c>
      <c r="H75" s="88"/>
      <c r="I75" s="20">
        <v>60</v>
      </c>
      <c r="J75" s="82">
        <f t="shared" si="9"/>
        <v>0</v>
      </c>
      <c r="K75" s="17" t="s">
        <v>16</v>
      </c>
      <c r="L75" s="18">
        <v>0</v>
      </c>
      <c r="M75" s="23">
        <f t="shared" si="10"/>
        <v>0</v>
      </c>
      <c r="O75" s="10">
        <v>41</v>
      </c>
      <c r="P75" s="19"/>
      <c r="Q75" s="47">
        <v>0</v>
      </c>
      <c r="R75" s="80">
        <v>0</v>
      </c>
      <c r="S75" s="47">
        <f>Q75+R75</f>
        <v>0</v>
      </c>
      <c r="T75" s="80">
        <v>0</v>
      </c>
      <c r="U75" s="47">
        <f>S75-T75-V75</f>
        <v>0</v>
      </c>
      <c r="V75" s="81">
        <v>0</v>
      </c>
      <c r="W75" s="20"/>
      <c r="X75" s="44">
        <f t="shared" si="3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47">
        <v>0</v>
      </c>
      <c r="D76" s="87">
        <v>0</v>
      </c>
      <c r="E76" s="47">
        <f t="shared" si="7"/>
        <v>0</v>
      </c>
      <c r="F76" s="87">
        <v>0</v>
      </c>
      <c r="G76" s="47">
        <f t="shared" si="8"/>
        <v>0</v>
      </c>
      <c r="H76" s="88"/>
      <c r="I76" s="20">
        <v>120</v>
      </c>
      <c r="J76" s="82">
        <f t="shared" si="9"/>
        <v>0</v>
      </c>
      <c r="K76" s="17" t="s">
        <v>16</v>
      </c>
      <c r="L76" s="18">
        <v>0</v>
      </c>
      <c r="M76" s="23">
        <f t="shared" si="10"/>
        <v>0</v>
      </c>
      <c r="O76" s="10">
        <v>42</v>
      </c>
      <c r="P76" s="19"/>
      <c r="Q76" s="47">
        <v>0</v>
      </c>
      <c r="R76" s="80">
        <v>0</v>
      </c>
      <c r="S76" s="47">
        <f t="shared" si="1"/>
        <v>0</v>
      </c>
      <c r="T76" s="80">
        <v>0</v>
      </c>
      <c r="U76" s="47">
        <f t="shared" si="2"/>
        <v>0</v>
      </c>
      <c r="V76" s="81">
        <v>0</v>
      </c>
      <c r="W76" s="20"/>
      <c r="X76" s="44">
        <f t="shared" si="3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1" t="s">
        <v>272</v>
      </c>
      <c r="C77" s="47">
        <v>2</v>
      </c>
      <c r="D77" s="87">
        <v>0</v>
      </c>
      <c r="E77" s="47">
        <f>C77+D77</f>
        <v>2</v>
      </c>
      <c r="F77" s="87">
        <v>0</v>
      </c>
      <c r="G77" s="47">
        <f>+E77-F77-H77</f>
        <v>2</v>
      </c>
      <c r="H77" s="88"/>
      <c r="I77" s="20">
        <v>50</v>
      </c>
      <c r="J77" s="82">
        <f>+I77*H77</f>
        <v>0</v>
      </c>
      <c r="K77" s="17" t="s">
        <v>16</v>
      </c>
      <c r="L77" s="18">
        <v>0</v>
      </c>
      <c r="M77" s="23">
        <f>SUM(J77-L77)</f>
        <v>0</v>
      </c>
    </row>
    <row r="78" spans="1:26" ht="25.5" x14ac:dyDescent="0.55000000000000004">
      <c r="A78" s="10">
        <v>74</v>
      </c>
      <c r="B78" s="19" t="s">
        <v>277</v>
      </c>
      <c r="C78" s="79">
        <v>1</v>
      </c>
      <c r="D78" s="87">
        <v>0</v>
      </c>
      <c r="E78" s="47">
        <f t="shared" si="7"/>
        <v>1</v>
      </c>
      <c r="F78" s="87">
        <v>0</v>
      </c>
      <c r="G78" s="47">
        <f t="shared" si="8"/>
        <v>1</v>
      </c>
      <c r="H78" s="88"/>
      <c r="I78" s="20">
        <v>50</v>
      </c>
      <c r="J78" s="82">
        <f t="shared" si="9"/>
        <v>0</v>
      </c>
      <c r="K78" s="17" t="s">
        <v>16</v>
      </c>
      <c r="L78" s="18">
        <v>0</v>
      </c>
      <c r="M78" s="23">
        <f t="shared" si="10"/>
        <v>0</v>
      </c>
      <c r="O78" s="10">
        <v>43</v>
      </c>
      <c r="P78" s="19"/>
      <c r="Q78" s="47">
        <v>0</v>
      </c>
      <c r="R78" s="80">
        <v>0</v>
      </c>
      <c r="S78" s="47">
        <f t="shared" si="1"/>
        <v>0</v>
      </c>
      <c r="T78" s="80">
        <v>0</v>
      </c>
      <c r="U78" s="47">
        <f t="shared" si="2"/>
        <v>0</v>
      </c>
      <c r="V78" s="81">
        <v>0</v>
      </c>
      <c r="W78" s="20"/>
      <c r="X78" s="44">
        <f t="shared" si="3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278</v>
      </c>
      <c r="C79" s="47">
        <v>0</v>
      </c>
      <c r="D79" s="87">
        <v>0</v>
      </c>
      <c r="E79" s="47">
        <f t="shared" si="7"/>
        <v>0</v>
      </c>
      <c r="F79" s="87">
        <v>0</v>
      </c>
      <c r="G79" s="47">
        <f t="shared" si="8"/>
        <v>0</v>
      </c>
      <c r="H79" s="88"/>
      <c r="I79" s="20">
        <v>120</v>
      </c>
      <c r="J79" s="82">
        <f t="shared" si="9"/>
        <v>0</v>
      </c>
      <c r="K79" s="17" t="s">
        <v>16</v>
      </c>
      <c r="L79" s="18">
        <v>0</v>
      </c>
      <c r="M79" s="23">
        <f t="shared" si="10"/>
        <v>0</v>
      </c>
      <c r="O79" s="10">
        <v>44</v>
      </c>
      <c r="P79" s="19"/>
      <c r="Q79" s="47">
        <v>0</v>
      </c>
      <c r="R79" s="80">
        <v>0</v>
      </c>
      <c r="S79" s="47">
        <f t="shared" si="1"/>
        <v>0</v>
      </c>
      <c r="T79" s="80">
        <v>0</v>
      </c>
      <c r="U79" s="47">
        <f t="shared" si="2"/>
        <v>0</v>
      </c>
      <c r="V79" s="81">
        <v>0</v>
      </c>
      <c r="W79" s="22"/>
      <c r="X79" s="44">
        <f t="shared" si="3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47">
        <v>0</v>
      </c>
      <c r="D80" s="87">
        <v>0</v>
      </c>
      <c r="E80" s="47">
        <f t="shared" ref="E80:E143" si="14">C80+D80</f>
        <v>0</v>
      </c>
      <c r="F80" s="87">
        <v>0</v>
      </c>
      <c r="G80" s="47">
        <f t="shared" ref="G80:G143" si="15">+E80-F80-H80</f>
        <v>0</v>
      </c>
      <c r="H80" s="88"/>
      <c r="I80" s="20">
        <v>50</v>
      </c>
      <c r="J80" s="82">
        <f t="shared" ref="J80:J143" si="16">+I80*H80</f>
        <v>0</v>
      </c>
      <c r="K80" s="17" t="s">
        <v>16</v>
      </c>
      <c r="L80" s="18">
        <v>0</v>
      </c>
      <c r="M80" s="23">
        <f t="shared" ref="M80:M143" si="17">SUM(J80-L80)</f>
        <v>0</v>
      </c>
      <c r="O80" s="10">
        <v>45</v>
      </c>
      <c r="P80" s="19"/>
      <c r="Q80" s="47">
        <v>0</v>
      </c>
      <c r="R80" s="80">
        <v>0</v>
      </c>
      <c r="S80" s="47">
        <f t="shared" si="1"/>
        <v>0</v>
      </c>
      <c r="T80" s="80">
        <v>0</v>
      </c>
      <c r="U80" s="47">
        <f t="shared" si="2"/>
        <v>0</v>
      </c>
      <c r="V80" s="81">
        <v>0</v>
      </c>
      <c r="W80" s="22"/>
      <c r="X80" s="44">
        <f t="shared" si="3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47">
        <v>0</v>
      </c>
      <c r="D81" s="87">
        <v>0</v>
      </c>
      <c r="E81" s="47">
        <f t="shared" si="14"/>
        <v>0</v>
      </c>
      <c r="F81" s="87">
        <v>0</v>
      </c>
      <c r="G81" s="47">
        <f t="shared" si="15"/>
        <v>0</v>
      </c>
      <c r="H81" s="88"/>
      <c r="I81" s="20">
        <v>50</v>
      </c>
      <c r="J81" s="82">
        <f t="shared" si="16"/>
        <v>0</v>
      </c>
      <c r="K81" s="17" t="s">
        <v>16</v>
      </c>
      <c r="L81" s="18">
        <v>0</v>
      </c>
      <c r="M81" s="23">
        <f t="shared" si="17"/>
        <v>0</v>
      </c>
      <c r="O81" s="10">
        <v>46</v>
      </c>
      <c r="P81" s="19"/>
      <c r="Q81" s="47">
        <v>0</v>
      </c>
      <c r="R81" s="80">
        <v>0</v>
      </c>
      <c r="S81" s="47">
        <f t="shared" si="1"/>
        <v>0</v>
      </c>
      <c r="T81" s="80">
        <v>0</v>
      </c>
      <c r="U81" s="47">
        <f t="shared" si="2"/>
        <v>0</v>
      </c>
      <c r="V81" s="81">
        <v>0</v>
      </c>
      <c r="W81" s="22"/>
      <c r="X81" s="44">
        <f t="shared" si="3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79">
        <v>2</v>
      </c>
      <c r="D82" s="87">
        <v>0</v>
      </c>
      <c r="E82" s="47">
        <f t="shared" si="14"/>
        <v>2</v>
      </c>
      <c r="F82" s="87">
        <v>0</v>
      </c>
      <c r="G82" s="47">
        <f t="shared" si="15"/>
        <v>2</v>
      </c>
      <c r="H82" s="88"/>
      <c r="I82" s="20">
        <v>55</v>
      </c>
      <c r="J82" s="82">
        <f t="shared" si="16"/>
        <v>0</v>
      </c>
      <c r="K82" s="17" t="s">
        <v>16</v>
      </c>
      <c r="L82" s="18">
        <v>0</v>
      </c>
      <c r="M82" s="23">
        <f t="shared" si="17"/>
        <v>0</v>
      </c>
      <c r="O82" s="10">
        <v>47</v>
      </c>
      <c r="P82" s="19"/>
      <c r="Q82" s="47">
        <v>0</v>
      </c>
      <c r="R82" s="80">
        <v>0</v>
      </c>
      <c r="S82" s="47">
        <f t="shared" si="1"/>
        <v>0</v>
      </c>
      <c r="T82" s="80">
        <v>0</v>
      </c>
      <c r="U82" s="47">
        <f t="shared" si="2"/>
        <v>0</v>
      </c>
      <c r="V82" s="81">
        <v>0</v>
      </c>
      <c r="W82" s="22"/>
      <c r="X82" s="44">
        <f t="shared" si="3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47">
        <v>0</v>
      </c>
      <c r="D83" s="87">
        <v>0</v>
      </c>
      <c r="E83" s="47">
        <f t="shared" si="14"/>
        <v>0</v>
      </c>
      <c r="F83" s="87">
        <v>0</v>
      </c>
      <c r="G83" s="47">
        <f t="shared" si="15"/>
        <v>0</v>
      </c>
      <c r="H83" s="88"/>
      <c r="I83" s="20">
        <v>55</v>
      </c>
      <c r="J83" s="82">
        <f t="shared" si="16"/>
        <v>0</v>
      </c>
      <c r="K83" s="17" t="s">
        <v>16</v>
      </c>
      <c r="L83" s="18">
        <v>0</v>
      </c>
      <c r="M83" s="23">
        <f t="shared" si="17"/>
        <v>0</v>
      </c>
      <c r="O83" s="10">
        <v>48</v>
      </c>
      <c r="P83" s="19"/>
      <c r="Q83" s="47">
        <v>0</v>
      </c>
      <c r="R83" s="80">
        <v>0</v>
      </c>
      <c r="S83" s="47">
        <f t="shared" si="1"/>
        <v>0</v>
      </c>
      <c r="T83" s="80">
        <v>0</v>
      </c>
      <c r="U83" s="47">
        <f t="shared" si="2"/>
        <v>0</v>
      </c>
      <c r="V83" s="81">
        <v>0</v>
      </c>
      <c r="W83" s="22"/>
      <c r="X83" s="44">
        <f t="shared" si="3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47">
        <v>0</v>
      </c>
      <c r="D84" s="87">
        <v>0</v>
      </c>
      <c r="E84" s="47">
        <f t="shared" si="14"/>
        <v>0</v>
      </c>
      <c r="F84" s="87">
        <v>0</v>
      </c>
      <c r="G84" s="47">
        <f t="shared" si="15"/>
        <v>0</v>
      </c>
      <c r="H84" s="88"/>
      <c r="I84" s="20">
        <v>55</v>
      </c>
      <c r="J84" s="82">
        <f t="shared" si="16"/>
        <v>0</v>
      </c>
      <c r="K84" s="17" t="s">
        <v>16</v>
      </c>
      <c r="L84" s="18">
        <v>0</v>
      </c>
      <c r="M84" s="23">
        <f t="shared" si="17"/>
        <v>0</v>
      </c>
      <c r="O84" s="10">
        <v>49</v>
      </c>
      <c r="P84" s="19"/>
      <c r="Q84" s="47">
        <v>0</v>
      </c>
      <c r="R84" s="80">
        <v>0</v>
      </c>
      <c r="S84" s="47">
        <f t="shared" si="1"/>
        <v>0</v>
      </c>
      <c r="T84" s="80">
        <v>0</v>
      </c>
      <c r="U84" s="47">
        <f t="shared" si="2"/>
        <v>0</v>
      </c>
      <c r="V84" s="81">
        <v>0</v>
      </c>
      <c r="W84" s="22"/>
      <c r="X84" s="44">
        <f t="shared" si="3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47">
        <v>0</v>
      </c>
      <c r="D85" s="87">
        <v>0</v>
      </c>
      <c r="E85" s="47">
        <f t="shared" si="14"/>
        <v>0</v>
      </c>
      <c r="F85" s="87">
        <v>0</v>
      </c>
      <c r="G85" s="47">
        <f t="shared" si="15"/>
        <v>0</v>
      </c>
      <c r="H85" s="88"/>
      <c r="I85" s="20">
        <v>55</v>
      </c>
      <c r="J85" s="82">
        <f t="shared" si="16"/>
        <v>0</v>
      </c>
      <c r="K85" s="17" t="s">
        <v>16</v>
      </c>
      <c r="L85" s="18">
        <v>0</v>
      </c>
      <c r="M85" s="23">
        <f t="shared" si="17"/>
        <v>0</v>
      </c>
      <c r="O85" s="10">
        <v>50</v>
      </c>
      <c r="P85" s="19"/>
      <c r="Q85" s="47">
        <v>0</v>
      </c>
      <c r="R85" s="80">
        <v>0</v>
      </c>
      <c r="S85" s="47">
        <f t="shared" si="1"/>
        <v>0</v>
      </c>
      <c r="T85" s="80">
        <v>0</v>
      </c>
      <c r="U85" s="47">
        <f t="shared" si="2"/>
        <v>0</v>
      </c>
      <c r="V85" s="81">
        <v>0</v>
      </c>
      <c r="W85" s="22"/>
      <c r="X85" s="44">
        <f t="shared" si="3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79">
        <v>2</v>
      </c>
      <c r="D86" s="87">
        <v>0</v>
      </c>
      <c r="E86" s="47">
        <f t="shared" si="14"/>
        <v>2</v>
      </c>
      <c r="F86" s="87">
        <v>0</v>
      </c>
      <c r="G86" s="47">
        <f t="shared" si="15"/>
        <v>2</v>
      </c>
      <c r="H86" s="88"/>
      <c r="I86" s="20">
        <v>100</v>
      </c>
      <c r="J86" s="82">
        <f t="shared" si="16"/>
        <v>0</v>
      </c>
      <c r="K86" s="17" t="s">
        <v>16</v>
      </c>
      <c r="L86" s="18">
        <v>0</v>
      </c>
      <c r="M86" s="23">
        <f t="shared" si="17"/>
        <v>0</v>
      </c>
      <c r="O86" s="10">
        <v>51</v>
      </c>
      <c r="P86" s="19"/>
      <c r="Q86" s="47">
        <v>0</v>
      </c>
      <c r="R86" s="80">
        <v>0</v>
      </c>
      <c r="S86" s="47">
        <f t="shared" si="1"/>
        <v>0</v>
      </c>
      <c r="T86" s="80">
        <v>0</v>
      </c>
      <c r="U86" s="47">
        <f t="shared" si="2"/>
        <v>0</v>
      </c>
      <c r="V86" s="81">
        <v>0</v>
      </c>
      <c r="W86" s="20"/>
      <c r="X86" s="44">
        <f t="shared" si="3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79">
        <v>2</v>
      </c>
      <c r="D87" s="87">
        <v>0</v>
      </c>
      <c r="E87" s="47">
        <f t="shared" si="14"/>
        <v>2</v>
      </c>
      <c r="F87" s="87">
        <v>0</v>
      </c>
      <c r="G87" s="47">
        <f t="shared" si="15"/>
        <v>2</v>
      </c>
      <c r="H87" s="88"/>
      <c r="I87" s="20">
        <v>55</v>
      </c>
      <c r="J87" s="82">
        <f t="shared" si="16"/>
        <v>0</v>
      </c>
      <c r="K87" s="17" t="s">
        <v>16</v>
      </c>
      <c r="L87" s="18">
        <v>0</v>
      </c>
      <c r="M87" s="23">
        <f t="shared" si="17"/>
        <v>0</v>
      </c>
      <c r="O87" s="10">
        <v>52</v>
      </c>
      <c r="P87" s="19"/>
      <c r="Q87" s="47">
        <v>0</v>
      </c>
      <c r="R87" s="80">
        <v>0</v>
      </c>
      <c r="S87" s="47">
        <f t="shared" si="1"/>
        <v>0</v>
      </c>
      <c r="T87" s="80">
        <v>0</v>
      </c>
      <c r="U87" s="47">
        <f t="shared" si="2"/>
        <v>0</v>
      </c>
      <c r="V87" s="81">
        <v>0</v>
      </c>
      <c r="W87" s="20"/>
      <c r="X87" s="44">
        <f t="shared" si="3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79">
        <v>7</v>
      </c>
      <c r="D88" s="87">
        <v>0</v>
      </c>
      <c r="E88" s="47">
        <f t="shared" si="14"/>
        <v>7</v>
      </c>
      <c r="F88" s="87">
        <v>0</v>
      </c>
      <c r="G88" s="47">
        <f t="shared" si="15"/>
        <v>7</v>
      </c>
      <c r="H88" s="88"/>
      <c r="I88" s="20">
        <v>60</v>
      </c>
      <c r="J88" s="82">
        <f t="shared" si="16"/>
        <v>0</v>
      </c>
      <c r="K88" s="17" t="s">
        <v>16</v>
      </c>
      <c r="L88" s="18">
        <v>0</v>
      </c>
      <c r="M88" s="23">
        <f t="shared" si="17"/>
        <v>0</v>
      </c>
      <c r="O88" s="10">
        <v>53</v>
      </c>
      <c r="P88" s="19"/>
      <c r="Q88" s="47">
        <v>0</v>
      </c>
      <c r="R88" s="80">
        <v>0</v>
      </c>
      <c r="S88" s="47">
        <f t="shared" si="1"/>
        <v>0</v>
      </c>
      <c r="T88" s="80">
        <v>0</v>
      </c>
      <c r="U88" s="47">
        <f t="shared" si="2"/>
        <v>0</v>
      </c>
      <c r="V88" s="81">
        <v>0</v>
      </c>
      <c r="W88" s="20"/>
      <c r="X88" s="44">
        <f t="shared" si="3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79">
        <v>3</v>
      </c>
      <c r="D89" s="87">
        <v>0</v>
      </c>
      <c r="E89" s="47">
        <f t="shared" si="14"/>
        <v>3</v>
      </c>
      <c r="F89" s="87">
        <v>0</v>
      </c>
      <c r="G89" s="47">
        <f t="shared" si="15"/>
        <v>3</v>
      </c>
      <c r="H89" s="88"/>
      <c r="I89" s="20">
        <v>100</v>
      </c>
      <c r="J89" s="82">
        <f t="shared" si="16"/>
        <v>0</v>
      </c>
      <c r="K89" s="17" t="s">
        <v>16</v>
      </c>
      <c r="L89" s="18">
        <v>0</v>
      </c>
      <c r="M89" s="23">
        <f t="shared" si="17"/>
        <v>0</v>
      </c>
      <c r="O89" s="10">
        <v>54</v>
      </c>
      <c r="P89" s="19"/>
      <c r="Q89" s="47">
        <v>0</v>
      </c>
      <c r="R89" s="80">
        <v>0</v>
      </c>
      <c r="S89" s="47">
        <f t="shared" si="1"/>
        <v>0</v>
      </c>
      <c r="T89" s="80">
        <v>0</v>
      </c>
      <c r="U89" s="47">
        <f t="shared" si="2"/>
        <v>0</v>
      </c>
      <c r="V89" s="81">
        <v>0</v>
      </c>
      <c r="W89" s="20"/>
      <c r="X89" s="44">
        <f t="shared" si="3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79">
        <v>10</v>
      </c>
      <c r="D90" s="87">
        <v>0</v>
      </c>
      <c r="E90" s="47">
        <f t="shared" si="14"/>
        <v>10</v>
      </c>
      <c r="F90" s="87">
        <v>0</v>
      </c>
      <c r="G90" s="47">
        <f t="shared" si="15"/>
        <v>10</v>
      </c>
      <c r="H90" s="88"/>
      <c r="I90" s="20">
        <v>55</v>
      </c>
      <c r="J90" s="82">
        <f t="shared" si="16"/>
        <v>0</v>
      </c>
      <c r="K90" s="17" t="s">
        <v>16</v>
      </c>
      <c r="L90" s="18">
        <v>0</v>
      </c>
      <c r="M90" s="23">
        <f t="shared" si="17"/>
        <v>0</v>
      </c>
      <c r="O90" s="10">
        <v>55</v>
      </c>
      <c r="P90" s="19"/>
      <c r="Q90" s="47">
        <v>0</v>
      </c>
      <c r="R90" s="80">
        <v>0</v>
      </c>
      <c r="S90" s="47">
        <f t="shared" si="1"/>
        <v>0</v>
      </c>
      <c r="T90" s="80">
        <v>0</v>
      </c>
      <c r="U90" s="47">
        <f t="shared" si="2"/>
        <v>0</v>
      </c>
      <c r="V90" s="81">
        <v>0</v>
      </c>
      <c r="W90" s="20"/>
      <c r="X90" s="44">
        <f t="shared" si="3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47">
        <v>0</v>
      </c>
      <c r="D91" s="87">
        <v>0</v>
      </c>
      <c r="E91" s="47">
        <f t="shared" si="14"/>
        <v>0</v>
      </c>
      <c r="F91" s="87">
        <v>0</v>
      </c>
      <c r="G91" s="47">
        <f t="shared" si="15"/>
        <v>0</v>
      </c>
      <c r="H91" s="88"/>
      <c r="I91" s="20">
        <v>50</v>
      </c>
      <c r="J91" s="82">
        <f t="shared" si="16"/>
        <v>0</v>
      </c>
      <c r="K91" s="17" t="s">
        <v>16</v>
      </c>
      <c r="L91" s="18">
        <v>0</v>
      </c>
      <c r="M91" s="23">
        <f t="shared" si="17"/>
        <v>0</v>
      </c>
      <c r="O91" s="10">
        <v>56</v>
      </c>
      <c r="P91" s="19"/>
      <c r="Q91" s="47">
        <v>0</v>
      </c>
      <c r="R91" s="80">
        <v>0</v>
      </c>
      <c r="S91" s="47">
        <f t="shared" si="1"/>
        <v>0</v>
      </c>
      <c r="T91" s="80">
        <v>0</v>
      </c>
      <c r="U91" s="47">
        <f t="shared" si="2"/>
        <v>0</v>
      </c>
      <c r="V91" s="81">
        <v>0</v>
      </c>
      <c r="W91" s="20"/>
      <c r="X91" s="44">
        <f t="shared" si="3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47">
        <v>0</v>
      </c>
      <c r="D92" s="87">
        <v>0</v>
      </c>
      <c r="E92" s="47">
        <f t="shared" si="14"/>
        <v>0</v>
      </c>
      <c r="F92" s="87">
        <v>0</v>
      </c>
      <c r="G92" s="47">
        <f t="shared" si="15"/>
        <v>0</v>
      </c>
      <c r="H92" s="88"/>
      <c r="I92" s="20">
        <v>50</v>
      </c>
      <c r="J92" s="82">
        <f t="shared" si="16"/>
        <v>0</v>
      </c>
      <c r="K92" s="17" t="s">
        <v>16</v>
      </c>
      <c r="L92" s="18">
        <v>0</v>
      </c>
      <c r="M92" s="23">
        <f t="shared" si="17"/>
        <v>0</v>
      </c>
      <c r="O92" s="10">
        <v>57</v>
      </c>
      <c r="P92" s="19"/>
      <c r="Q92" s="47">
        <v>0</v>
      </c>
      <c r="R92" s="80">
        <v>0</v>
      </c>
      <c r="S92" s="47">
        <f t="shared" si="1"/>
        <v>0</v>
      </c>
      <c r="T92" s="80">
        <v>0</v>
      </c>
      <c r="U92" s="47">
        <f t="shared" si="2"/>
        <v>0</v>
      </c>
      <c r="V92" s="81">
        <v>0</v>
      </c>
      <c r="W92" s="20"/>
      <c r="X92" s="44">
        <f t="shared" si="3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248</v>
      </c>
      <c r="C93" s="47">
        <v>0</v>
      </c>
      <c r="D93" s="87">
        <v>0</v>
      </c>
      <c r="E93" s="47">
        <f t="shared" si="14"/>
        <v>0</v>
      </c>
      <c r="F93" s="87">
        <v>0</v>
      </c>
      <c r="G93" s="47">
        <f t="shared" si="15"/>
        <v>0</v>
      </c>
      <c r="H93" s="88"/>
      <c r="I93" s="20">
        <v>120</v>
      </c>
      <c r="J93" s="82">
        <f t="shared" si="16"/>
        <v>0</v>
      </c>
      <c r="K93" s="17" t="s">
        <v>16</v>
      </c>
      <c r="L93" s="18">
        <v>0</v>
      </c>
      <c r="M93" s="23">
        <f t="shared" si="17"/>
        <v>0</v>
      </c>
      <c r="O93" s="10">
        <v>58</v>
      </c>
      <c r="P93" s="19"/>
      <c r="Q93" s="47">
        <v>0</v>
      </c>
      <c r="R93" s="80">
        <v>0</v>
      </c>
      <c r="S93" s="47">
        <f t="shared" si="1"/>
        <v>0</v>
      </c>
      <c r="T93" s="80">
        <v>0</v>
      </c>
      <c r="U93" s="47">
        <f t="shared" si="2"/>
        <v>0</v>
      </c>
      <c r="V93" s="81">
        <v>0</v>
      </c>
      <c r="W93" s="20"/>
      <c r="X93" s="44">
        <f t="shared" si="3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47">
        <v>0</v>
      </c>
      <c r="D94" s="87">
        <v>0</v>
      </c>
      <c r="E94" s="47">
        <f t="shared" si="14"/>
        <v>0</v>
      </c>
      <c r="F94" s="87">
        <v>0</v>
      </c>
      <c r="G94" s="47">
        <f t="shared" si="15"/>
        <v>0</v>
      </c>
      <c r="H94" s="88"/>
      <c r="I94" s="20">
        <v>250</v>
      </c>
      <c r="J94" s="82">
        <f t="shared" si="16"/>
        <v>0</v>
      </c>
      <c r="K94" s="17" t="s">
        <v>16</v>
      </c>
      <c r="L94" s="18">
        <v>0</v>
      </c>
      <c r="M94" s="23">
        <f t="shared" si="17"/>
        <v>0</v>
      </c>
      <c r="O94" s="10">
        <v>59</v>
      </c>
      <c r="P94" s="19"/>
      <c r="Q94" s="47">
        <v>0</v>
      </c>
      <c r="R94" s="80">
        <v>0</v>
      </c>
      <c r="S94" s="47">
        <f t="shared" si="1"/>
        <v>0</v>
      </c>
      <c r="T94" s="80">
        <v>0</v>
      </c>
      <c r="U94" s="47">
        <f t="shared" si="2"/>
        <v>0</v>
      </c>
      <c r="V94" s="81">
        <v>0</v>
      </c>
      <c r="W94" s="20"/>
      <c r="X94" s="44">
        <f t="shared" si="3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47">
        <v>0</v>
      </c>
      <c r="D95" s="87">
        <v>0</v>
      </c>
      <c r="E95" s="47">
        <f t="shared" si="14"/>
        <v>0</v>
      </c>
      <c r="F95" s="87">
        <v>0</v>
      </c>
      <c r="G95" s="47">
        <f t="shared" si="15"/>
        <v>0</v>
      </c>
      <c r="H95" s="88"/>
      <c r="I95" s="20">
        <v>120</v>
      </c>
      <c r="J95" s="82">
        <f t="shared" si="16"/>
        <v>0</v>
      </c>
      <c r="K95" s="17" t="s">
        <v>16</v>
      </c>
      <c r="L95" s="18">
        <v>0</v>
      </c>
      <c r="M95" s="23">
        <f t="shared" si="17"/>
        <v>0</v>
      </c>
      <c r="O95" s="10">
        <v>60</v>
      </c>
      <c r="P95" s="19"/>
      <c r="Q95" s="47">
        <v>0</v>
      </c>
      <c r="R95" s="80">
        <v>0</v>
      </c>
      <c r="S95" s="47">
        <f t="shared" si="1"/>
        <v>0</v>
      </c>
      <c r="T95" s="80">
        <v>0</v>
      </c>
      <c r="U95" s="47">
        <f t="shared" si="2"/>
        <v>0</v>
      </c>
      <c r="V95" s="81">
        <v>0</v>
      </c>
      <c r="W95" s="20"/>
      <c r="X95" s="44">
        <f t="shared" si="3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47">
        <v>0</v>
      </c>
      <c r="D96" s="87">
        <v>0</v>
      </c>
      <c r="E96" s="47">
        <f t="shared" si="14"/>
        <v>0</v>
      </c>
      <c r="F96" s="87">
        <v>0</v>
      </c>
      <c r="G96" s="47">
        <f t="shared" si="15"/>
        <v>0</v>
      </c>
      <c r="H96" s="88"/>
      <c r="I96" s="20">
        <v>120</v>
      </c>
      <c r="J96" s="82">
        <f t="shared" si="16"/>
        <v>0</v>
      </c>
      <c r="K96" s="17" t="s">
        <v>16</v>
      </c>
      <c r="L96" s="18">
        <v>0</v>
      </c>
      <c r="M96" s="23">
        <f t="shared" si="17"/>
        <v>0</v>
      </c>
      <c r="O96" s="10">
        <v>61</v>
      </c>
      <c r="P96" s="19"/>
      <c r="Q96" s="47">
        <v>0</v>
      </c>
      <c r="R96" s="80">
        <v>0</v>
      </c>
      <c r="S96" s="47">
        <f t="shared" si="1"/>
        <v>0</v>
      </c>
      <c r="T96" s="80">
        <v>0</v>
      </c>
      <c r="U96" s="47">
        <f t="shared" si="2"/>
        <v>0</v>
      </c>
      <c r="V96" s="81">
        <v>0</v>
      </c>
      <c r="W96" s="20"/>
      <c r="X96" s="44">
        <f t="shared" si="3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47">
        <v>0</v>
      </c>
      <c r="D97" s="87">
        <v>0</v>
      </c>
      <c r="E97" s="47">
        <f t="shared" si="14"/>
        <v>0</v>
      </c>
      <c r="F97" s="87">
        <v>0</v>
      </c>
      <c r="G97" s="47">
        <f t="shared" si="15"/>
        <v>0</v>
      </c>
      <c r="H97" s="88"/>
      <c r="I97" s="20">
        <v>120</v>
      </c>
      <c r="J97" s="82">
        <f t="shared" si="16"/>
        <v>0</v>
      </c>
      <c r="K97" s="17" t="s">
        <v>16</v>
      </c>
      <c r="L97" s="18">
        <v>0</v>
      </c>
      <c r="M97" s="23">
        <f t="shared" si="17"/>
        <v>0</v>
      </c>
      <c r="O97" s="10">
        <v>62</v>
      </c>
      <c r="P97" s="19"/>
      <c r="Q97" s="47">
        <v>0</v>
      </c>
      <c r="R97" s="80">
        <v>0</v>
      </c>
      <c r="S97" s="47">
        <f t="shared" si="1"/>
        <v>0</v>
      </c>
      <c r="T97" s="80">
        <v>0</v>
      </c>
      <c r="U97" s="47">
        <f t="shared" si="2"/>
        <v>0</v>
      </c>
      <c r="V97" s="81">
        <v>0</v>
      </c>
      <c r="W97" s="20"/>
      <c r="X97" s="44">
        <f t="shared" si="3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103</v>
      </c>
      <c r="C98" s="47">
        <v>0</v>
      </c>
      <c r="D98" s="87">
        <v>0</v>
      </c>
      <c r="E98" s="47">
        <f t="shared" si="14"/>
        <v>0</v>
      </c>
      <c r="F98" s="87">
        <v>0</v>
      </c>
      <c r="G98" s="47">
        <f t="shared" si="15"/>
        <v>0</v>
      </c>
      <c r="H98" s="88"/>
      <c r="I98" s="20">
        <v>120</v>
      </c>
      <c r="J98" s="82">
        <f t="shared" si="16"/>
        <v>0</v>
      </c>
      <c r="K98" s="17" t="s">
        <v>16</v>
      </c>
      <c r="L98" s="18">
        <v>0</v>
      </c>
      <c r="M98" s="23">
        <f t="shared" si="17"/>
        <v>0</v>
      </c>
      <c r="O98" s="10">
        <v>63</v>
      </c>
      <c r="P98" s="19"/>
      <c r="Q98" s="47">
        <v>0</v>
      </c>
      <c r="R98" s="80">
        <v>0</v>
      </c>
      <c r="S98" s="47">
        <f t="shared" si="1"/>
        <v>0</v>
      </c>
      <c r="T98" s="80">
        <v>0</v>
      </c>
      <c r="U98" s="47">
        <f t="shared" si="2"/>
        <v>0</v>
      </c>
      <c r="V98" s="81">
        <v>0</v>
      </c>
      <c r="W98" s="20"/>
      <c r="X98" s="44">
        <f t="shared" si="3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47">
        <v>0</v>
      </c>
      <c r="D99" s="87">
        <v>0</v>
      </c>
      <c r="E99" s="47">
        <f t="shared" si="14"/>
        <v>0</v>
      </c>
      <c r="F99" s="87">
        <v>0</v>
      </c>
      <c r="G99" s="47">
        <f t="shared" si="15"/>
        <v>0</v>
      </c>
      <c r="H99" s="88"/>
      <c r="I99" s="20">
        <v>50</v>
      </c>
      <c r="J99" s="82">
        <f t="shared" si="16"/>
        <v>0</v>
      </c>
      <c r="K99" s="17" t="s">
        <v>16</v>
      </c>
      <c r="L99" s="18">
        <v>0</v>
      </c>
      <c r="M99" s="23">
        <f t="shared" si="17"/>
        <v>0</v>
      </c>
      <c r="O99" s="10">
        <v>64</v>
      </c>
      <c r="P99" s="19"/>
      <c r="Q99" s="47">
        <v>0</v>
      </c>
      <c r="R99" s="80">
        <v>0</v>
      </c>
      <c r="S99" s="47">
        <f t="shared" si="1"/>
        <v>0</v>
      </c>
      <c r="T99" s="80">
        <v>0</v>
      </c>
      <c r="U99" s="47">
        <f t="shared" si="2"/>
        <v>0</v>
      </c>
      <c r="V99" s="81">
        <v>0</v>
      </c>
      <c r="W99" s="20"/>
      <c r="X99" s="44">
        <f t="shared" si="3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47">
        <v>0</v>
      </c>
      <c r="D100" s="87">
        <v>0</v>
      </c>
      <c r="E100" s="47">
        <f t="shared" si="14"/>
        <v>0</v>
      </c>
      <c r="F100" s="87">
        <v>0</v>
      </c>
      <c r="G100" s="47">
        <f t="shared" si="15"/>
        <v>0</v>
      </c>
      <c r="H100" s="88"/>
      <c r="I100" s="20">
        <v>50</v>
      </c>
      <c r="J100" s="82">
        <f t="shared" si="16"/>
        <v>0</v>
      </c>
      <c r="K100" s="17" t="s">
        <v>16</v>
      </c>
      <c r="L100" s="18">
        <v>0</v>
      </c>
      <c r="M100" s="23">
        <f t="shared" si="17"/>
        <v>0</v>
      </c>
      <c r="O100" s="10">
        <v>65</v>
      </c>
      <c r="P100" s="19"/>
      <c r="Q100" s="47">
        <v>0</v>
      </c>
      <c r="R100" s="80">
        <v>0</v>
      </c>
      <c r="S100" s="47">
        <f t="shared" ref="S100:S135" si="18">Q100+R100</f>
        <v>0</v>
      </c>
      <c r="T100" s="80">
        <v>0</v>
      </c>
      <c r="U100" s="47">
        <f t="shared" ref="U100:U135" si="19">S100-T100-V100</f>
        <v>0</v>
      </c>
      <c r="V100" s="81">
        <v>0</v>
      </c>
      <c r="W100" s="20"/>
      <c r="X100" s="44">
        <f t="shared" si="3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47">
        <v>0</v>
      </c>
      <c r="D101" s="87">
        <v>0</v>
      </c>
      <c r="E101" s="47">
        <f t="shared" si="14"/>
        <v>0</v>
      </c>
      <c r="F101" s="87">
        <v>0</v>
      </c>
      <c r="G101" s="47">
        <f t="shared" si="15"/>
        <v>0</v>
      </c>
      <c r="H101" s="88"/>
      <c r="I101" s="20">
        <v>60</v>
      </c>
      <c r="J101" s="82">
        <f t="shared" si="16"/>
        <v>0</v>
      </c>
      <c r="K101" s="17" t="s">
        <v>16</v>
      </c>
      <c r="L101" s="18">
        <v>0</v>
      </c>
      <c r="M101" s="23">
        <f t="shared" si="17"/>
        <v>0</v>
      </c>
      <c r="O101" s="10">
        <v>66</v>
      </c>
      <c r="P101" s="19"/>
      <c r="Q101" s="47">
        <v>0</v>
      </c>
      <c r="R101" s="80">
        <v>0</v>
      </c>
      <c r="S101" s="47">
        <f t="shared" si="18"/>
        <v>0</v>
      </c>
      <c r="T101" s="80">
        <v>0</v>
      </c>
      <c r="U101" s="47">
        <f t="shared" si="19"/>
        <v>0</v>
      </c>
      <c r="V101" s="81">
        <v>0</v>
      </c>
      <c r="W101" s="20"/>
      <c r="X101" s="44">
        <f t="shared" si="3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47">
        <v>0</v>
      </c>
      <c r="D102" s="87">
        <v>0</v>
      </c>
      <c r="E102" s="47">
        <f t="shared" si="14"/>
        <v>0</v>
      </c>
      <c r="F102" s="87">
        <v>0</v>
      </c>
      <c r="G102" s="47">
        <f t="shared" si="15"/>
        <v>0</v>
      </c>
      <c r="H102" s="88"/>
      <c r="I102" s="20">
        <v>55</v>
      </c>
      <c r="J102" s="82">
        <f t="shared" si="16"/>
        <v>0</v>
      </c>
      <c r="K102" s="17" t="s">
        <v>16</v>
      </c>
      <c r="L102" s="18">
        <v>0</v>
      </c>
      <c r="M102" s="23">
        <f t="shared" si="17"/>
        <v>0</v>
      </c>
      <c r="O102" s="10">
        <v>67</v>
      </c>
      <c r="P102" s="19"/>
      <c r="Q102" s="47">
        <v>0</v>
      </c>
      <c r="R102" s="80">
        <v>0</v>
      </c>
      <c r="S102" s="47">
        <f t="shared" si="18"/>
        <v>0</v>
      </c>
      <c r="T102" s="80">
        <v>0</v>
      </c>
      <c r="U102" s="47">
        <f t="shared" si="19"/>
        <v>0</v>
      </c>
      <c r="V102" s="81">
        <v>0</v>
      </c>
      <c r="W102" s="20"/>
      <c r="X102" s="44">
        <f t="shared" si="3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47">
        <v>0</v>
      </c>
      <c r="D103" s="87">
        <v>0</v>
      </c>
      <c r="E103" s="47">
        <f t="shared" si="14"/>
        <v>0</v>
      </c>
      <c r="F103" s="87">
        <v>0</v>
      </c>
      <c r="G103" s="47">
        <f t="shared" si="15"/>
        <v>0</v>
      </c>
      <c r="H103" s="88"/>
      <c r="I103" s="20">
        <v>50</v>
      </c>
      <c r="J103" s="82">
        <f t="shared" si="16"/>
        <v>0</v>
      </c>
      <c r="K103" s="17" t="s">
        <v>16</v>
      </c>
      <c r="L103" s="18">
        <v>0</v>
      </c>
      <c r="M103" s="23">
        <f t="shared" si="17"/>
        <v>0</v>
      </c>
      <c r="O103" s="10">
        <v>68</v>
      </c>
      <c r="P103" s="19"/>
      <c r="Q103" s="47">
        <v>0</v>
      </c>
      <c r="R103" s="80">
        <v>0</v>
      </c>
      <c r="S103" s="47">
        <f t="shared" si="18"/>
        <v>0</v>
      </c>
      <c r="T103" s="80">
        <v>0</v>
      </c>
      <c r="U103" s="47">
        <f t="shared" si="19"/>
        <v>0</v>
      </c>
      <c r="V103" s="81">
        <v>0</v>
      </c>
      <c r="W103" s="20"/>
      <c r="X103" s="44">
        <f t="shared" ref="X103:X135" si="20">V103*W103</f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47">
        <v>0</v>
      </c>
      <c r="D104" s="87">
        <v>0</v>
      </c>
      <c r="E104" s="47">
        <f t="shared" si="14"/>
        <v>0</v>
      </c>
      <c r="F104" s="87">
        <v>0</v>
      </c>
      <c r="G104" s="47">
        <f t="shared" si="15"/>
        <v>0</v>
      </c>
      <c r="H104" s="88"/>
      <c r="I104" s="20">
        <v>100</v>
      </c>
      <c r="J104" s="82">
        <f t="shared" si="16"/>
        <v>0</v>
      </c>
      <c r="K104" s="17" t="s">
        <v>16</v>
      </c>
      <c r="L104" s="18">
        <v>0</v>
      </c>
      <c r="M104" s="23">
        <f t="shared" si="17"/>
        <v>0</v>
      </c>
      <c r="O104" s="10">
        <v>69</v>
      </c>
      <c r="P104" s="19"/>
      <c r="Q104" s="47">
        <v>0</v>
      </c>
      <c r="R104" s="80">
        <v>0</v>
      </c>
      <c r="S104" s="47">
        <f t="shared" si="18"/>
        <v>0</v>
      </c>
      <c r="T104" s="80">
        <v>0</v>
      </c>
      <c r="U104" s="47">
        <f t="shared" si="19"/>
        <v>0</v>
      </c>
      <c r="V104" s="81">
        <v>0</v>
      </c>
      <c r="W104" s="20"/>
      <c r="X104" s="44">
        <f t="shared" si="2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47">
        <v>0</v>
      </c>
      <c r="D105" s="87">
        <v>0</v>
      </c>
      <c r="E105" s="47">
        <f t="shared" si="14"/>
        <v>0</v>
      </c>
      <c r="F105" s="87">
        <v>0</v>
      </c>
      <c r="G105" s="47">
        <f t="shared" si="15"/>
        <v>0</v>
      </c>
      <c r="H105" s="88"/>
      <c r="I105" s="20">
        <v>100</v>
      </c>
      <c r="J105" s="82">
        <f t="shared" si="16"/>
        <v>0</v>
      </c>
      <c r="K105" s="17" t="s">
        <v>16</v>
      </c>
      <c r="L105" s="18">
        <v>0</v>
      </c>
      <c r="M105" s="23">
        <f t="shared" si="17"/>
        <v>0</v>
      </c>
      <c r="O105" s="10">
        <v>70</v>
      </c>
      <c r="P105" s="19"/>
      <c r="Q105" s="47">
        <v>0</v>
      </c>
      <c r="R105" s="80">
        <v>0</v>
      </c>
      <c r="S105" s="47">
        <f t="shared" si="18"/>
        <v>0</v>
      </c>
      <c r="T105" s="80">
        <v>0</v>
      </c>
      <c r="U105" s="47">
        <f t="shared" si="19"/>
        <v>0</v>
      </c>
      <c r="V105" s="81">
        <v>0</v>
      </c>
      <c r="W105" s="20"/>
      <c r="X105" s="44">
        <f t="shared" si="20"/>
        <v>0</v>
      </c>
      <c r="Y105" s="17" t="s">
        <v>16</v>
      </c>
      <c r="Z105" s="18">
        <v>0</v>
      </c>
    </row>
    <row r="106" spans="1:26" ht="25.5" x14ac:dyDescent="0.55000000000000004">
      <c r="A106" s="10">
        <v>102</v>
      </c>
      <c r="B106" s="19" t="s">
        <v>116</v>
      </c>
      <c r="C106" s="47">
        <v>0</v>
      </c>
      <c r="D106" s="87">
        <v>0</v>
      </c>
      <c r="E106" s="47">
        <f t="shared" si="14"/>
        <v>0</v>
      </c>
      <c r="F106" s="87">
        <v>0</v>
      </c>
      <c r="G106" s="47">
        <f t="shared" si="15"/>
        <v>0</v>
      </c>
      <c r="H106" s="88"/>
      <c r="I106" s="20">
        <v>30</v>
      </c>
      <c r="J106" s="82">
        <f t="shared" si="16"/>
        <v>0</v>
      </c>
      <c r="K106" s="17" t="s">
        <v>16</v>
      </c>
      <c r="L106" s="18">
        <v>0</v>
      </c>
      <c r="M106" s="23">
        <f t="shared" si="17"/>
        <v>0</v>
      </c>
      <c r="O106" s="10">
        <v>71</v>
      </c>
      <c r="P106" s="19"/>
      <c r="Q106" s="47">
        <v>0</v>
      </c>
      <c r="R106" s="80">
        <v>0</v>
      </c>
      <c r="S106" s="47">
        <f t="shared" si="18"/>
        <v>0</v>
      </c>
      <c r="T106" s="80">
        <v>0</v>
      </c>
      <c r="U106" s="47">
        <f t="shared" si="19"/>
        <v>0</v>
      </c>
      <c r="V106" s="81">
        <v>0</v>
      </c>
      <c r="W106" s="20"/>
      <c r="X106" s="44">
        <f t="shared" si="20"/>
        <v>0</v>
      </c>
      <c r="Y106" s="17" t="s">
        <v>16</v>
      </c>
      <c r="Z106" s="18">
        <v>0</v>
      </c>
    </row>
    <row r="107" spans="1:26" ht="25.5" x14ac:dyDescent="0.55000000000000004">
      <c r="A107" s="10">
        <v>103</v>
      </c>
      <c r="B107" s="19" t="s">
        <v>117</v>
      </c>
      <c r="C107" s="47">
        <v>0</v>
      </c>
      <c r="D107" s="87">
        <v>0</v>
      </c>
      <c r="E107" s="47">
        <f t="shared" si="14"/>
        <v>0</v>
      </c>
      <c r="F107" s="87">
        <v>0</v>
      </c>
      <c r="G107" s="47">
        <f t="shared" si="15"/>
        <v>0</v>
      </c>
      <c r="H107" s="88"/>
      <c r="I107" s="20">
        <v>20</v>
      </c>
      <c r="J107" s="82">
        <f t="shared" si="16"/>
        <v>0</v>
      </c>
      <c r="K107" s="17" t="s">
        <v>16</v>
      </c>
      <c r="L107" s="18">
        <v>0</v>
      </c>
      <c r="M107" s="23">
        <f t="shared" si="17"/>
        <v>0</v>
      </c>
      <c r="O107" s="10">
        <v>72</v>
      </c>
      <c r="P107" s="19"/>
      <c r="Q107" s="47">
        <v>0</v>
      </c>
      <c r="R107" s="80">
        <v>0</v>
      </c>
      <c r="S107" s="47">
        <f t="shared" si="18"/>
        <v>0</v>
      </c>
      <c r="T107" s="80">
        <v>0</v>
      </c>
      <c r="U107" s="47">
        <f t="shared" si="19"/>
        <v>0</v>
      </c>
      <c r="V107" s="81">
        <v>0</v>
      </c>
      <c r="W107" s="20"/>
      <c r="X107" s="44">
        <f t="shared" si="20"/>
        <v>0</v>
      </c>
      <c r="Y107" s="17" t="s">
        <v>16</v>
      </c>
      <c r="Z107" s="18">
        <v>0</v>
      </c>
    </row>
    <row r="108" spans="1:26" ht="25.5" x14ac:dyDescent="0.55000000000000004">
      <c r="A108" s="10">
        <v>104</v>
      </c>
      <c r="B108" s="19" t="s">
        <v>118</v>
      </c>
      <c r="C108" s="47">
        <v>0</v>
      </c>
      <c r="D108" s="87">
        <v>0</v>
      </c>
      <c r="E108" s="47">
        <f t="shared" si="14"/>
        <v>0</v>
      </c>
      <c r="F108" s="87">
        <v>0</v>
      </c>
      <c r="G108" s="47">
        <f t="shared" si="15"/>
        <v>0</v>
      </c>
      <c r="H108" s="88"/>
      <c r="I108" s="20">
        <v>100</v>
      </c>
      <c r="J108" s="82">
        <f t="shared" si="16"/>
        <v>0</v>
      </c>
      <c r="K108" s="17" t="s">
        <v>16</v>
      </c>
      <c r="L108" s="18">
        <v>0</v>
      </c>
      <c r="M108" s="23">
        <f t="shared" si="17"/>
        <v>0</v>
      </c>
      <c r="O108" s="10">
        <v>73</v>
      </c>
      <c r="P108" s="19"/>
      <c r="Q108" s="47">
        <v>0</v>
      </c>
      <c r="R108" s="80">
        <v>0</v>
      </c>
      <c r="S108" s="47">
        <f t="shared" si="18"/>
        <v>0</v>
      </c>
      <c r="T108" s="80">
        <v>0</v>
      </c>
      <c r="U108" s="47">
        <f t="shared" si="19"/>
        <v>0</v>
      </c>
      <c r="V108" s="81">
        <v>0</v>
      </c>
      <c r="W108" s="20"/>
      <c r="X108" s="44">
        <f t="shared" si="20"/>
        <v>0</v>
      </c>
      <c r="Y108" s="17" t="s">
        <v>16</v>
      </c>
      <c r="Z108" s="18">
        <v>0</v>
      </c>
    </row>
    <row r="109" spans="1:26" ht="25.5" x14ac:dyDescent="0.55000000000000004">
      <c r="A109" s="10">
        <v>105</v>
      </c>
      <c r="B109" s="19" t="s">
        <v>120</v>
      </c>
      <c r="C109" s="47">
        <v>0</v>
      </c>
      <c r="D109" s="87">
        <v>0</v>
      </c>
      <c r="E109" s="47">
        <f t="shared" si="14"/>
        <v>0</v>
      </c>
      <c r="F109" s="87">
        <v>0</v>
      </c>
      <c r="G109" s="47">
        <f t="shared" si="15"/>
        <v>0</v>
      </c>
      <c r="H109" s="88"/>
      <c r="I109" s="20">
        <v>80</v>
      </c>
      <c r="J109" s="82">
        <f t="shared" si="16"/>
        <v>0</v>
      </c>
      <c r="K109" s="17" t="s">
        <v>16</v>
      </c>
      <c r="L109" s="18">
        <v>0</v>
      </c>
      <c r="M109" s="23">
        <f t="shared" si="17"/>
        <v>0</v>
      </c>
      <c r="O109" s="10">
        <v>74</v>
      </c>
      <c r="P109" s="19"/>
      <c r="Q109" s="47">
        <v>0</v>
      </c>
      <c r="R109" s="80">
        <v>0</v>
      </c>
      <c r="S109" s="47">
        <f t="shared" si="18"/>
        <v>0</v>
      </c>
      <c r="T109" s="80">
        <v>0</v>
      </c>
      <c r="U109" s="47">
        <f t="shared" si="19"/>
        <v>0</v>
      </c>
      <c r="V109" s="81">
        <v>0</v>
      </c>
      <c r="W109" s="20"/>
      <c r="X109" s="44">
        <f t="shared" si="20"/>
        <v>0</v>
      </c>
      <c r="Y109" s="17" t="s">
        <v>16</v>
      </c>
      <c r="Z109" s="18">
        <v>0</v>
      </c>
    </row>
    <row r="110" spans="1:26" ht="25.5" x14ac:dyDescent="0.55000000000000004">
      <c r="A110" s="10">
        <v>106</v>
      </c>
      <c r="B110" s="19" t="s">
        <v>121</v>
      </c>
      <c r="C110" s="47">
        <v>0</v>
      </c>
      <c r="D110" s="87">
        <v>0</v>
      </c>
      <c r="E110" s="47">
        <f t="shared" si="14"/>
        <v>0</v>
      </c>
      <c r="F110" s="87">
        <v>0</v>
      </c>
      <c r="G110" s="47">
        <f t="shared" si="15"/>
        <v>0</v>
      </c>
      <c r="H110" s="88"/>
      <c r="I110" s="20">
        <v>60</v>
      </c>
      <c r="J110" s="82">
        <f t="shared" si="16"/>
        <v>0</v>
      </c>
      <c r="K110" s="17" t="s">
        <v>16</v>
      </c>
      <c r="L110" s="18">
        <v>0</v>
      </c>
      <c r="M110" s="23">
        <f t="shared" si="17"/>
        <v>0</v>
      </c>
      <c r="O110" s="10">
        <v>75</v>
      </c>
      <c r="P110" s="19"/>
      <c r="Q110" s="47">
        <v>0</v>
      </c>
      <c r="R110" s="80">
        <v>0</v>
      </c>
      <c r="S110" s="47">
        <f t="shared" si="18"/>
        <v>0</v>
      </c>
      <c r="T110" s="80">
        <v>0</v>
      </c>
      <c r="U110" s="47">
        <f t="shared" si="19"/>
        <v>0</v>
      </c>
      <c r="V110" s="81">
        <v>0</v>
      </c>
      <c r="W110" s="20"/>
      <c r="X110" s="44">
        <f t="shared" si="20"/>
        <v>0</v>
      </c>
      <c r="Y110" s="17" t="s">
        <v>16</v>
      </c>
      <c r="Z110" s="18">
        <v>0</v>
      </c>
    </row>
    <row r="111" spans="1:26" ht="25.5" x14ac:dyDescent="0.55000000000000004">
      <c r="A111" s="10">
        <v>107</v>
      </c>
      <c r="B111" s="19" t="s">
        <v>122</v>
      </c>
      <c r="C111" s="47">
        <v>0</v>
      </c>
      <c r="D111" s="87">
        <v>0</v>
      </c>
      <c r="E111" s="47">
        <f t="shared" si="14"/>
        <v>0</v>
      </c>
      <c r="F111" s="87">
        <v>0</v>
      </c>
      <c r="G111" s="47">
        <f t="shared" si="15"/>
        <v>0</v>
      </c>
      <c r="H111" s="88"/>
      <c r="I111" s="20">
        <v>35</v>
      </c>
      <c r="J111" s="82">
        <f t="shared" si="16"/>
        <v>0</v>
      </c>
      <c r="K111" s="17" t="s">
        <v>16</v>
      </c>
      <c r="L111" s="18">
        <v>0</v>
      </c>
      <c r="M111" s="23">
        <f t="shared" si="17"/>
        <v>0</v>
      </c>
      <c r="O111" s="10">
        <v>76</v>
      </c>
      <c r="P111" s="19"/>
      <c r="Q111" s="47">
        <v>0</v>
      </c>
      <c r="R111" s="80">
        <v>0</v>
      </c>
      <c r="S111" s="47">
        <f t="shared" si="18"/>
        <v>0</v>
      </c>
      <c r="T111" s="80">
        <v>0</v>
      </c>
      <c r="U111" s="47">
        <f t="shared" si="19"/>
        <v>0</v>
      </c>
      <c r="V111" s="81">
        <v>0</v>
      </c>
      <c r="W111" s="20"/>
      <c r="X111" s="44">
        <f t="shared" si="20"/>
        <v>0</v>
      </c>
      <c r="Y111" s="17" t="s">
        <v>16</v>
      </c>
      <c r="Z111" s="18">
        <v>0</v>
      </c>
    </row>
    <row r="112" spans="1:26" ht="25.5" x14ac:dyDescent="0.55000000000000004">
      <c r="A112" s="10">
        <v>108</v>
      </c>
      <c r="B112" s="19" t="s">
        <v>123</v>
      </c>
      <c r="C112" s="47">
        <v>0</v>
      </c>
      <c r="D112" s="87">
        <v>0</v>
      </c>
      <c r="E112" s="47">
        <f t="shared" si="14"/>
        <v>0</v>
      </c>
      <c r="F112" s="87">
        <v>0</v>
      </c>
      <c r="G112" s="47">
        <f t="shared" si="15"/>
        <v>0</v>
      </c>
      <c r="H112" s="88"/>
      <c r="I112" s="20">
        <v>35</v>
      </c>
      <c r="J112" s="82">
        <f t="shared" si="16"/>
        <v>0</v>
      </c>
      <c r="K112" s="17" t="s">
        <v>16</v>
      </c>
      <c r="L112" s="18">
        <v>0</v>
      </c>
      <c r="M112" s="23">
        <f t="shared" si="17"/>
        <v>0</v>
      </c>
      <c r="O112" s="10">
        <v>77</v>
      </c>
      <c r="P112" s="19"/>
      <c r="Q112" s="47">
        <v>0</v>
      </c>
      <c r="R112" s="80">
        <v>0</v>
      </c>
      <c r="S112" s="47">
        <f t="shared" si="18"/>
        <v>0</v>
      </c>
      <c r="T112" s="80">
        <v>0</v>
      </c>
      <c r="U112" s="47">
        <f t="shared" si="19"/>
        <v>0</v>
      </c>
      <c r="V112" s="81">
        <v>0</v>
      </c>
      <c r="W112" s="20"/>
      <c r="X112" s="44">
        <f t="shared" si="20"/>
        <v>0</v>
      </c>
      <c r="Y112" s="17" t="s">
        <v>16</v>
      </c>
      <c r="Z112" s="18">
        <v>0</v>
      </c>
    </row>
    <row r="113" spans="1:26" ht="25.5" x14ac:dyDescent="0.55000000000000004">
      <c r="A113" s="10">
        <v>109</v>
      </c>
      <c r="B113" s="19" t="s">
        <v>124</v>
      </c>
      <c r="C113" s="47">
        <v>0</v>
      </c>
      <c r="D113" s="87">
        <v>0</v>
      </c>
      <c r="E113" s="47">
        <f t="shared" si="14"/>
        <v>0</v>
      </c>
      <c r="F113" s="87">
        <v>0</v>
      </c>
      <c r="G113" s="47">
        <f t="shared" si="15"/>
        <v>0</v>
      </c>
      <c r="H113" s="88"/>
      <c r="I113" s="20">
        <v>35</v>
      </c>
      <c r="J113" s="82">
        <f t="shared" si="16"/>
        <v>0</v>
      </c>
      <c r="K113" s="17" t="s">
        <v>16</v>
      </c>
      <c r="L113" s="18">
        <v>0</v>
      </c>
      <c r="M113" s="23">
        <f t="shared" si="17"/>
        <v>0</v>
      </c>
      <c r="O113" s="10">
        <v>78</v>
      </c>
      <c r="P113" s="19"/>
      <c r="Q113" s="47">
        <v>0</v>
      </c>
      <c r="R113" s="80">
        <v>0</v>
      </c>
      <c r="S113" s="47">
        <f t="shared" si="18"/>
        <v>0</v>
      </c>
      <c r="T113" s="80">
        <v>0</v>
      </c>
      <c r="U113" s="47">
        <f t="shared" si="19"/>
        <v>0</v>
      </c>
      <c r="V113" s="81">
        <v>0</v>
      </c>
      <c r="W113" s="20"/>
      <c r="X113" s="44">
        <f t="shared" si="20"/>
        <v>0</v>
      </c>
      <c r="Y113" s="17" t="s">
        <v>16</v>
      </c>
      <c r="Z113" s="18">
        <v>0</v>
      </c>
    </row>
    <row r="114" spans="1:26" ht="25.5" x14ac:dyDescent="0.55000000000000004">
      <c r="A114" s="10">
        <v>110</v>
      </c>
      <c r="B114" s="19" t="s">
        <v>125</v>
      </c>
      <c r="C114" s="47">
        <v>0</v>
      </c>
      <c r="D114" s="87">
        <v>0</v>
      </c>
      <c r="E114" s="47">
        <f t="shared" si="14"/>
        <v>0</v>
      </c>
      <c r="F114" s="87">
        <v>0</v>
      </c>
      <c r="G114" s="47">
        <f t="shared" si="15"/>
        <v>0</v>
      </c>
      <c r="H114" s="88"/>
      <c r="I114" s="20">
        <v>35</v>
      </c>
      <c r="J114" s="82">
        <f t="shared" si="16"/>
        <v>0</v>
      </c>
      <c r="K114" s="17" t="s">
        <v>16</v>
      </c>
      <c r="L114" s="18">
        <v>0</v>
      </c>
      <c r="M114" s="23">
        <f t="shared" si="17"/>
        <v>0</v>
      </c>
      <c r="O114" s="10">
        <v>79</v>
      </c>
      <c r="P114" s="19"/>
      <c r="Q114" s="47">
        <v>0</v>
      </c>
      <c r="R114" s="80">
        <v>0</v>
      </c>
      <c r="S114" s="47">
        <f t="shared" si="18"/>
        <v>0</v>
      </c>
      <c r="T114" s="80">
        <v>0</v>
      </c>
      <c r="U114" s="47">
        <f t="shared" si="19"/>
        <v>0</v>
      </c>
      <c r="V114" s="81">
        <v>0</v>
      </c>
      <c r="W114" s="20"/>
      <c r="X114" s="44">
        <f t="shared" si="20"/>
        <v>0</v>
      </c>
      <c r="Y114" s="17" t="s">
        <v>16</v>
      </c>
      <c r="Z114" s="18">
        <v>0</v>
      </c>
    </row>
    <row r="115" spans="1:26" ht="25.5" x14ac:dyDescent="0.55000000000000004">
      <c r="A115" s="10">
        <v>111</v>
      </c>
      <c r="B115" s="19" t="s">
        <v>126</v>
      </c>
      <c r="C115" s="47">
        <v>0</v>
      </c>
      <c r="D115" s="87">
        <v>0</v>
      </c>
      <c r="E115" s="47">
        <f t="shared" si="14"/>
        <v>0</v>
      </c>
      <c r="F115" s="87">
        <v>0</v>
      </c>
      <c r="G115" s="47">
        <f t="shared" si="15"/>
        <v>0</v>
      </c>
      <c r="H115" s="88"/>
      <c r="I115" s="20">
        <v>35</v>
      </c>
      <c r="J115" s="82">
        <f t="shared" si="16"/>
        <v>0</v>
      </c>
      <c r="K115" s="17" t="s">
        <v>16</v>
      </c>
      <c r="L115" s="18">
        <v>0</v>
      </c>
      <c r="M115" s="23">
        <f t="shared" si="17"/>
        <v>0</v>
      </c>
      <c r="O115" s="10">
        <v>80</v>
      </c>
      <c r="P115" s="19"/>
      <c r="Q115" s="47">
        <v>0</v>
      </c>
      <c r="R115" s="80">
        <v>0</v>
      </c>
      <c r="S115" s="47">
        <f t="shared" si="18"/>
        <v>0</v>
      </c>
      <c r="T115" s="80">
        <v>0</v>
      </c>
      <c r="U115" s="47">
        <f t="shared" si="19"/>
        <v>0</v>
      </c>
      <c r="V115" s="81">
        <v>0</v>
      </c>
      <c r="W115" s="20"/>
      <c r="X115" s="44">
        <f t="shared" si="20"/>
        <v>0</v>
      </c>
      <c r="Y115" s="17" t="s">
        <v>16</v>
      </c>
      <c r="Z115" s="18">
        <v>0</v>
      </c>
    </row>
    <row r="116" spans="1:26" ht="25.5" x14ac:dyDescent="0.55000000000000004">
      <c r="A116" s="10">
        <v>112</v>
      </c>
      <c r="B116" s="19" t="s">
        <v>127</v>
      </c>
      <c r="C116" s="47">
        <v>0</v>
      </c>
      <c r="D116" s="87">
        <v>0</v>
      </c>
      <c r="E116" s="47">
        <f t="shared" si="14"/>
        <v>0</v>
      </c>
      <c r="F116" s="87">
        <v>0</v>
      </c>
      <c r="G116" s="47">
        <f t="shared" si="15"/>
        <v>0</v>
      </c>
      <c r="H116" s="88"/>
      <c r="I116" s="20">
        <v>30</v>
      </c>
      <c r="J116" s="82">
        <f t="shared" si="16"/>
        <v>0</v>
      </c>
      <c r="K116" s="17" t="s">
        <v>16</v>
      </c>
      <c r="L116" s="18">
        <v>0</v>
      </c>
      <c r="M116" s="23">
        <f t="shared" si="17"/>
        <v>0</v>
      </c>
      <c r="O116" s="10">
        <v>81</v>
      </c>
      <c r="P116" s="19"/>
      <c r="Q116" s="47">
        <v>0</v>
      </c>
      <c r="R116" s="80">
        <v>0</v>
      </c>
      <c r="S116" s="47">
        <f t="shared" si="18"/>
        <v>0</v>
      </c>
      <c r="T116" s="80">
        <v>0</v>
      </c>
      <c r="U116" s="47">
        <f t="shared" si="19"/>
        <v>0</v>
      </c>
      <c r="V116" s="81">
        <v>0</v>
      </c>
      <c r="W116" s="20"/>
      <c r="X116" s="44">
        <f t="shared" si="20"/>
        <v>0</v>
      </c>
      <c r="Y116" s="17" t="s">
        <v>16</v>
      </c>
      <c r="Z116" s="18">
        <v>0</v>
      </c>
    </row>
    <row r="117" spans="1:26" ht="25.5" x14ac:dyDescent="0.55000000000000004">
      <c r="A117" s="10">
        <v>113</v>
      </c>
      <c r="B117" s="19" t="s">
        <v>128</v>
      </c>
      <c r="C117" s="47">
        <v>0</v>
      </c>
      <c r="D117" s="87">
        <v>0</v>
      </c>
      <c r="E117" s="47">
        <f t="shared" si="14"/>
        <v>0</v>
      </c>
      <c r="F117" s="87">
        <v>0</v>
      </c>
      <c r="G117" s="47">
        <f t="shared" si="15"/>
        <v>0</v>
      </c>
      <c r="H117" s="88"/>
      <c r="I117" s="20">
        <v>30</v>
      </c>
      <c r="J117" s="82">
        <f t="shared" si="16"/>
        <v>0</v>
      </c>
      <c r="K117" s="17" t="s">
        <v>16</v>
      </c>
      <c r="L117" s="18">
        <v>0</v>
      </c>
      <c r="M117" s="23">
        <f t="shared" si="17"/>
        <v>0</v>
      </c>
      <c r="O117" s="10">
        <v>82</v>
      </c>
      <c r="P117" s="19"/>
      <c r="Q117" s="47">
        <v>0</v>
      </c>
      <c r="R117" s="80">
        <v>0</v>
      </c>
      <c r="S117" s="47">
        <f t="shared" si="18"/>
        <v>0</v>
      </c>
      <c r="T117" s="80">
        <v>0</v>
      </c>
      <c r="U117" s="47">
        <f t="shared" si="19"/>
        <v>0</v>
      </c>
      <c r="V117" s="81">
        <v>0</v>
      </c>
      <c r="W117" s="20"/>
      <c r="X117" s="44">
        <f t="shared" si="20"/>
        <v>0</v>
      </c>
      <c r="Y117" s="17" t="s">
        <v>16</v>
      </c>
      <c r="Z117" s="18">
        <v>0</v>
      </c>
    </row>
    <row r="118" spans="1:26" ht="25.5" x14ac:dyDescent="0.55000000000000004">
      <c r="A118" s="10">
        <v>114</v>
      </c>
      <c r="B118" s="19" t="s">
        <v>129</v>
      </c>
      <c r="C118" s="47">
        <v>0</v>
      </c>
      <c r="D118" s="87">
        <v>0</v>
      </c>
      <c r="E118" s="47">
        <f t="shared" si="14"/>
        <v>0</v>
      </c>
      <c r="F118" s="87">
        <v>0</v>
      </c>
      <c r="G118" s="47">
        <f t="shared" si="15"/>
        <v>0</v>
      </c>
      <c r="H118" s="88"/>
      <c r="I118" s="20">
        <v>30</v>
      </c>
      <c r="J118" s="82">
        <f t="shared" si="16"/>
        <v>0</v>
      </c>
      <c r="K118" s="17" t="s">
        <v>16</v>
      </c>
      <c r="L118" s="18">
        <v>0</v>
      </c>
      <c r="M118" s="23">
        <f t="shared" si="17"/>
        <v>0</v>
      </c>
      <c r="O118" s="10">
        <v>83</v>
      </c>
      <c r="P118" s="19"/>
      <c r="Q118" s="47">
        <v>0</v>
      </c>
      <c r="R118" s="80">
        <v>0</v>
      </c>
      <c r="S118" s="47">
        <f t="shared" si="18"/>
        <v>0</v>
      </c>
      <c r="T118" s="80">
        <v>0</v>
      </c>
      <c r="U118" s="47">
        <f t="shared" si="19"/>
        <v>0</v>
      </c>
      <c r="V118" s="81">
        <v>0</v>
      </c>
      <c r="W118" s="20"/>
      <c r="X118" s="44">
        <f t="shared" si="20"/>
        <v>0</v>
      </c>
      <c r="Y118" s="17" t="s">
        <v>16</v>
      </c>
      <c r="Z118" s="18">
        <v>0</v>
      </c>
    </row>
    <row r="119" spans="1:26" ht="25.5" x14ac:dyDescent="0.55000000000000004">
      <c r="A119" s="10">
        <v>115</v>
      </c>
      <c r="B119" s="19" t="s">
        <v>130</v>
      </c>
      <c r="C119" s="47">
        <v>0</v>
      </c>
      <c r="D119" s="87">
        <v>0</v>
      </c>
      <c r="E119" s="47">
        <f t="shared" si="14"/>
        <v>0</v>
      </c>
      <c r="F119" s="87">
        <v>0</v>
      </c>
      <c r="G119" s="47">
        <f t="shared" si="15"/>
        <v>0</v>
      </c>
      <c r="H119" s="88"/>
      <c r="I119" s="20">
        <v>30</v>
      </c>
      <c r="J119" s="82">
        <f t="shared" si="16"/>
        <v>0</v>
      </c>
      <c r="K119" s="17" t="s">
        <v>16</v>
      </c>
      <c r="L119" s="18">
        <v>0</v>
      </c>
      <c r="M119" s="23">
        <f t="shared" si="17"/>
        <v>0</v>
      </c>
      <c r="O119" s="10">
        <v>84</v>
      </c>
      <c r="P119" s="19"/>
      <c r="Q119" s="47">
        <v>0</v>
      </c>
      <c r="R119" s="80">
        <v>0</v>
      </c>
      <c r="S119" s="47">
        <f t="shared" si="18"/>
        <v>0</v>
      </c>
      <c r="T119" s="80">
        <v>0</v>
      </c>
      <c r="U119" s="47">
        <f t="shared" si="19"/>
        <v>0</v>
      </c>
      <c r="V119" s="81">
        <v>0</v>
      </c>
      <c r="W119" s="20"/>
      <c r="X119" s="44">
        <f t="shared" si="20"/>
        <v>0</v>
      </c>
      <c r="Y119" s="17" t="s">
        <v>16</v>
      </c>
      <c r="Z119" s="18">
        <v>0</v>
      </c>
    </row>
    <row r="120" spans="1:26" ht="25.5" x14ac:dyDescent="0.55000000000000004">
      <c r="A120" s="10">
        <v>116</v>
      </c>
      <c r="B120" s="19" t="s">
        <v>131</v>
      </c>
      <c r="C120" s="47">
        <v>0</v>
      </c>
      <c r="D120" s="87">
        <v>0</v>
      </c>
      <c r="E120" s="47">
        <f t="shared" si="14"/>
        <v>0</v>
      </c>
      <c r="F120" s="87">
        <v>0</v>
      </c>
      <c r="G120" s="47">
        <f t="shared" si="15"/>
        <v>0</v>
      </c>
      <c r="H120" s="88"/>
      <c r="I120" s="20">
        <v>30</v>
      </c>
      <c r="J120" s="82">
        <f t="shared" si="16"/>
        <v>0</v>
      </c>
      <c r="K120" s="17" t="s">
        <v>16</v>
      </c>
      <c r="L120" s="18">
        <v>0</v>
      </c>
      <c r="M120" s="23">
        <f t="shared" si="17"/>
        <v>0</v>
      </c>
      <c r="O120" s="10">
        <v>85</v>
      </c>
      <c r="P120" s="19"/>
      <c r="Q120" s="47">
        <v>0</v>
      </c>
      <c r="R120" s="80">
        <v>0</v>
      </c>
      <c r="S120" s="47">
        <f t="shared" si="18"/>
        <v>0</v>
      </c>
      <c r="T120" s="80">
        <v>0</v>
      </c>
      <c r="U120" s="47">
        <f t="shared" si="19"/>
        <v>0</v>
      </c>
      <c r="V120" s="81">
        <v>0</v>
      </c>
      <c r="W120" s="20"/>
      <c r="X120" s="44">
        <f t="shared" si="20"/>
        <v>0</v>
      </c>
      <c r="Y120" s="17" t="s">
        <v>16</v>
      </c>
      <c r="Z120" s="18">
        <v>0</v>
      </c>
    </row>
    <row r="121" spans="1:26" ht="25.5" x14ac:dyDescent="0.55000000000000004">
      <c r="A121" s="10">
        <v>117</v>
      </c>
      <c r="B121" s="19" t="s">
        <v>132</v>
      </c>
      <c r="C121" s="47">
        <v>0</v>
      </c>
      <c r="D121" s="87">
        <v>0</v>
      </c>
      <c r="E121" s="47">
        <f t="shared" si="14"/>
        <v>0</v>
      </c>
      <c r="F121" s="87">
        <v>0</v>
      </c>
      <c r="G121" s="47">
        <f t="shared" si="15"/>
        <v>0</v>
      </c>
      <c r="H121" s="88"/>
      <c r="I121" s="20">
        <v>30</v>
      </c>
      <c r="J121" s="82">
        <f t="shared" si="16"/>
        <v>0</v>
      </c>
      <c r="K121" s="17" t="s">
        <v>16</v>
      </c>
      <c r="L121" s="18">
        <v>0</v>
      </c>
      <c r="M121" s="23">
        <f t="shared" si="17"/>
        <v>0</v>
      </c>
      <c r="O121" s="10">
        <v>86</v>
      </c>
      <c r="P121" s="19"/>
      <c r="Q121" s="47">
        <v>0</v>
      </c>
      <c r="R121" s="80">
        <v>0</v>
      </c>
      <c r="S121" s="47">
        <f t="shared" si="18"/>
        <v>0</v>
      </c>
      <c r="T121" s="80">
        <v>0</v>
      </c>
      <c r="U121" s="47">
        <f t="shared" si="19"/>
        <v>0</v>
      </c>
      <c r="V121" s="81">
        <v>0</v>
      </c>
      <c r="W121" s="20"/>
      <c r="X121" s="44">
        <f t="shared" si="20"/>
        <v>0</v>
      </c>
      <c r="Y121" s="17" t="s">
        <v>16</v>
      </c>
      <c r="Z121" s="18">
        <v>0</v>
      </c>
    </row>
    <row r="122" spans="1:26" ht="25.5" x14ac:dyDescent="0.55000000000000004">
      <c r="A122" s="10">
        <v>118</v>
      </c>
      <c r="B122" s="19" t="s">
        <v>133</v>
      </c>
      <c r="C122" s="47">
        <v>0</v>
      </c>
      <c r="D122" s="87">
        <v>0</v>
      </c>
      <c r="E122" s="47">
        <f t="shared" si="14"/>
        <v>0</v>
      </c>
      <c r="F122" s="87">
        <v>0</v>
      </c>
      <c r="G122" s="47">
        <f t="shared" si="15"/>
        <v>0</v>
      </c>
      <c r="H122" s="88"/>
      <c r="I122" s="20">
        <v>40</v>
      </c>
      <c r="J122" s="82">
        <f t="shared" si="16"/>
        <v>0</v>
      </c>
      <c r="K122" s="17" t="s">
        <v>16</v>
      </c>
      <c r="L122" s="18">
        <v>0</v>
      </c>
      <c r="M122" s="23">
        <f t="shared" si="17"/>
        <v>0</v>
      </c>
      <c r="O122" s="10">
        <v>87</v>
      </c>
      <c r="P122" s="19"/>
      <c r="Q122" s="47">
        <v>0</v>
      </c>
      <c r="R122" s="80">
        <v>0</v>
      </c>
      <c r="S122" s="47">
        <f t="shared" si="18"/>
        <v>0</v>
      </c>
      <c r="T122" s="80">
        <v>0</v>
      </c>
      <c r="U122" s="47">
        <f t="shared" si="19"/>
        <v>0</v>
      </c>
      <c r="V122" s="81">
        <v>0</v>
      </c>
      <c r="W122" s="20"/>
      <c r="X122" s="44">
        <f t="shared" si="20"/>
        <v>0</v>
      </c>
      <c r="Y122" s="17" t="s">
        <v>16</v>
      </c>
      <c r="Z122" s="18">
        <v>0</v>
      </c>
    </row>
    <row r="123" spans="1:26" ht="25.5" x14ac:dyDescent="0.55000000000000004">
      <c r="A123" s="10">
        <v>119</v>
      </c>
      <c r="B123" s="19" t="s">
        <v>134</v>
      </c>
      <c r="C123" s="47">
        <v>0</v>
      </c>
      <c r="D123" s="87">
        <v>0</v>
      </c>
      <c r="E123" s="47">
        <f t="shared" si="14"/>
        <v>0</v>
      </c>
      <c r="F123" s="87">
        <v>0</v>
      </c>
      <c r="G123" s="47">
        <f t="shared" si="15"/>
        <v>0</v>
      </c>
      <c r="H123" s="88"/>
      <c r="I123" s="20">
        <v>35</v>
      </c>
      <c r="J123" s="82">
        <f t="shared" si="16"/>
        <v>0</v>
      </c>
      <c r="K123" s="17" t="s">
        <v>16</v>
      </c>
      <c r="L123" s="18">
        <v>0</v>
      </c>
      <c r="M123" s="23">
        <f t="shared" si="17"/>
        <v>0</v>
      </c>
      <c r="O123" s="10">
        <v>88</v>
      </c>
      <c r="P123" s="19"/>
      <c r="Q123" s="47">
        <v>0</v>
      </c>
      <c r="R123" s="80">
        <v>0</v>
      </c>
      <c r="S123" s="47">
        <f t="shared" si="18"/>
        <v>0</v>
      </c>
      <c r="T123" s="80">
        <v>0</v>
      </c>
      <c r="U123" s="47">
        <f t="shared" si="19"/>
        <v>0</v>
      </c>
      <c r="V123" s="81">
        <v>0</v>
      </c>
      <c r="W123" s="20"/>
      <c r="X123" s="44">
        <f t="shared" si="20"/>
        <v>0</v>
      </c>
      <c r="Y123" s="17" t="s">
        <v>16</v>
      </c>
      <c r="Z123" s="18">
        <v>0</v>
      </c>
    </row>
    <row r="124" spans="1:26" ht="25.5" x14ac:dyDescent="0.55000000000000004">
      <c r="A124" s="10">
        <v>120</v>
      </c>
      <c r="B124" s="19" t="s">
        <v>135</v>
      </c>
      <c r="C124" s="47">
        <v>0</v>
      </c>
      <c r="D124" s="87">
        <v>0</v>
      </c>
      <c r="E124" s="47">
        <f t="shared" si="14"/>
        <v>0</v>
      </c>
      <c r="F124" s="87">
        <v>0</v>
      </c>
      <c r="G124" s="47">
        <f t="shared" si="15"/>
        <v>0</v>
      </c>
      <c r="H124" s="88"/>
      <c r="I124" s="20">
        <v>40</v>
      </c>
      <c r="J124" s="82">
        <f t="shared" si="16"/>
        <v>0</v>
      </c>
      <c r="K124" s="17" t="s">
        <v>16</v>
      </c>
      <c r="L124" s="18">
        <v>0</v>
      </c>
      <c r="M124" s="23">
        <f t="shared" si="17"/>
        <v>0</v>
      </c>
      <c r="O124" s="10">
        <v>89</v>
      </c>
      <c r="P124" s="19"/>
      <c r="Q124" s="47">
        <v>0</v>
      </c>
      <c r="R124" s="80">
        <v>0</v>
      </c>
      <c r="S124" s="47">
        <f t="shared" si="18"/>
        <v>0</v>
      </c>
      <c r="T124" s="80">
        <v>0</v>
      </c>
      <c r="U124" s="47">
        <f t="shared" si="19"/>
        <v>0</v>
      </c>
      <c r="V124" s="81">
        <v>0</v>
      </c>
      <c r="W124" s="20"/>
      <c r="X124" s="44">
        <f t="shared" si="20"/>
        <v>0</v>
      </c>
      <c r="Y124" s="17" t="s">
        <v>16</v>
      </c>
      <c r="Z124" s="18">
        <v>0</v>
      </c>
    </row>
    <row r="125" spans="1:26" ht="25.5" x14ac:dyDescent="0.55000000000000004">
      <c r="A125" s="10">
        <v>121</v>
      </c>
      <c r="B125" s="19" t="s">
        <v>136</v>
      </c>
      <c r="C125" s="47">
        <v>0</v>
      </c>
      <c r="D125" s="87">
        <v>0</v>
      </c>
      <c r="E125" s="47">
        <f t="shared" si="14"/>
        <v>0</v>
      </c>
      <c r="F125" s="87">
        <v>0</v>
      </c>
      <c r="G125" s="47">
        <f t="shared" si="15"/>
        <v>0</v>
      </c>
      <c r="H125" s="88"/>
      <c r="I125" s="20">
        <v>40</v>
      </c>
      <c r="J125" s="82">
        <f t="shared" si="16"/>
        <v>0</v>
      </c>
      <c r="K125" s="17" t="s">
        <v>16</v>
      </c>
      <c r="L125" s="18">
        <v>0</v>
      </c>
      <c r="M125" s="23">
        <f t="shared" si="17"/>
        <v>0</v>
      </c>
      <c r="O125" s="10">
        <v>90</v>
      </c>
      <c r="P125" s="19"/>
      <c r="Q125" s="47">
        <v>0</v>
      </c>
      <c r="R125" s="80">
        <v>0</v>
      </c>
      <c r="S125" s="47">
        <f t="shared" si="18"/>
        <v>0</v>
      </c>
      <c r="T125" s="80">
        <v>0</v>
      </c>
      <c r="U125" s="47">
        <f t="shared" si="19"/>
        <v>0</v>
      </c>
      <c r="V125" s="81">
        <v>0</v>
      </c>
      <c r="W125" s="20"/>
      <c r="X125" s="44">
        <f t="shared" si="20"/>
        <v>0</v>
      </c>
      <c r="Y125" s="17" t="s">
        <v>16</v>
      </c>
      <c r="Z125" s="18">
        <v>0</v>
      </c>
    </row>
    <row r="126" spans="1:26" ht="25.5" x14ac:dyDescent="0.55000000000000004">
      <c r="A126" s="10">
        <v>122</v>
      </c>
      <c r="B126" s="19" t="s">
        <v>137</v>
      </c>
      <c r="C126" s="47">
        <v>0</v>
      </c>
      <c r="D126" s="87">
        <v>0</v>
      </c>
      <c r="E126" s="47">
        <f t="shared" si="14"/>
        <v>0</v>
      </c>
      <c r="F126" s="87">
        <v>0</v>
      </c>
      <c r="G126" s="47">
        <f t="shared" si="15"/>
        <v>0</v>
      </c>
      <c r="H126" s="88"/>
      <c r="I126" s="20">
        <v>30</v>
      </c>
      <c r="J126" s="82">
        <f t="shared" si="16"/>
        <v>0</v>
      </c>
      <c r="K126" s="17" t="s">
        <v>16</v>
      </c>
      <c r="L126" s="18">
        <v>0</v>
      </c>
      <c r="M126" s="23">
        <f t="shared" si="17"/>
        <v>0</v>
      </c>
      <c r="O126" s="10">
        <v>91</v>
      </c>
      <c r="P126" s="19"/>
      <c r="Q126" s="47">
        <v>0</v>
      </c>
      <c r="R126" s="80">
        <v>0</v>
      </c>
      <c r="S126" s="47">
        <f t="shared" si="18"/>
        <v>0</v>
      </c>
      <c r="T126" s="80">
        <v>0</v>
      </c>
      <c r="U126" s="47">
        <f t="shared" si="19"/>
        <v>0</v>
      </c>
      <c r="V126" s="81">
        <v>0</v>
      </c>
      <c r="W126" s="20"/>
      <c r="X126" s="44">
        <f t="shared" si="20"/>
        <v>0</v>
      </c>
      <c r="Y126" s="17" t="s">
        <v>16</v>
      </c>
      <c r="Z126" s="18">
        <v>0</v>
      </c>
    </row>
    <row r="127" spans="1:26" ht="25.5" x14ac:dyDescent="0.55000000000000004">
      <c r="A127" s="10">
        <v>123</v>
      </c>
      <c r="B127" s="19" t="s">
        <v>138</v>
      </c>
      <c r="C127" s="47">
        <v>0</v>
      </c>
      <c r="D127" s="87">
        <v>0</v>
      </c>
      <c r="E127" s="47">
        <f t="shared" si="14"/>
        <v>0</v>
      </c>
      <c r="F127" s="87">
        <v>0</v>
      </c>
      <c r="G127" s="47">
        <f t="shared" si="15"/>
        <v>0</v>
      </c>
      <c r="H127" s="88"/>
      <c r="I127" s="20">
        <v>40</v>
      </c>
      <c r="J127" s="82">
        <f t="shared" si="16"/>
        <v>0</v>
      </c>
      <c r="K127" s="17" t="s">
        <v>16</v>
      </c>
      <c r="L127" s="18">
        <v>0</v>
      </c>
      <c r="M127" s="23">
        <f t="shared" si="17"/>
        <v>0</v>
      </c>
      <c r="O127" s="10">
        <v>92</v>
      </c>
      <c r="P127" s="19"/>
      <c r="Q127" s="47">
        <v>0</v>
      </c>
      <c r="R127" s="80">
        <v>0</v>
      </c>
      <c r="S127" s="47">
        <f t="shared" si="18"/>
        <v>0</v>
      </c>
      <c r="T127" s="80">
        <v>0</v>
      </c>
      <c r="U127" s="47">
        <f t="shared" si="19"/>
        <v>0</v>
      </c>
      <c r="V127" s="81">
        <v>0</v>
      </c>
      <c r="W127" s="20"/>
      <c r="X127" s="44">
        <f t="shared" si="20"/>
        <v>0</v>
      </c>
      <c r="Y127" s="17" t="s">
        <v>16</v>
      </c>
      <c r="Z127" s="18">
        <v>0</v>
      </c>
    </row>
    <row r="128" spans="1:26" ht="25.5" x14ac:dyDescent="0.55000000000000004">
      <c r="A128" s="10">
        <v>124</v>
      </c>
      <c r="B128" s="19" t="s">
        <v>139</v>
      </c>
      <c r="C128" s="79">
        <v>93</v>
      </c>
      <c r="D128" s="87">
        <v>0</v>
      </c>
      <c r="E128" s="47">
        <f t="shared" si="14"/>
        <v>93</v>
      </c>
      <c r="F128" s="87">
        <v>0</v>
      </c>
      <c r="G128" s="47">
        <f t="shared" si="15"/>
        <v>93</v>
      </c>
      <c r="H128" s="88"/>
      <c r="I128" s="20">
        <v>10</v>
      </c>
      <c r="J128" s="82">
        <f t="shared" si="16"/>
        <v>0</v>
      </c>
      <c r="K128" s="17" t="s">
        <v>16</v>
      </c>
      <c r="L128" s="18">
        <v>0</v>
      </c>
      <c r="M128" s="23">
        <f t="shared" si="17"/>
        <v>0</v>
      </c>
      <c r="O128" s="10">
        <v>93</v>
      </c>
      <c r="P128" s="19"/>
      <c r="Q128" s="47">
        <v>0</v>
      </c>
      <c r="R128" s="80">
        <v>0</v>
      </c>
      <c r="S128" s="47">
        <f t="shared" si="18"/>
        <v>0</v>
      </c>
      <c r="T128" s="80">
        <v>0</v>
      </c>
      <c r="U128" s="47">
        <f t="shared" si="19"/>
        <v>0</v>
      </c>
      <c r="V128" s="81">
        <v>0</v>
      </c>
      <c r="W128" s="20"/>
      <c r="X128" s="44">
        <f t="shared" si="20"/>
        <v>0</v>
      </c>
      <c r="Y128" s="17" t="s">
        <v>16</v>
      </c>
      <c r="Z128" s="18">
        <v>0</v>
      </c>
    </row>
    <row r="129" spans="1:26" ht="25.5" x14ac:dyDescent="0.55000000000000004">
      <c r="A129" s="10">
        <v>125</v>
      </c>
      <c r="B129" s="19" t="s">
        <v>140</v>
      </c>
      <c r="C129" s="47">
        <v>0</v>
      </c>
      <c r="D129" s="87">
        <v>0</v>
      </c>
      <c r="E129" s="47">
        <f t="shared" si="14"/>
        <v>0</v>
      </c>
      <c r="F129" s="87">
        <v>0</v>
      </c>
      <c r="G129" s="47">
        <f t="shared" si="15"/>
        <v>0</v>
      </c>
      <c r="H129" s="88"/>
      <c r="I129" s="20">
        <v>35</v>
      </c>
      <c r="J129" s="82">
        <f t="shared" si="16"/>
        <v>0</v>
      </c>
      <c r="K129" s="17" t="s">
        <v>16</v>
      </c>
      <c r="L129" s="18">
        <v>0</v>
      </c>
      <c r="M129" s="23">
        <f t="shared" si="17"/>
        <v>0</v>
      </c>
      <c r="O129" s="10">
        <v>94</v>
      </c>
      <c r="P129" s="19"/>
      <c r="Q129" s="47">
        <v>0</v>
      </c>
      <c r="R129" s="80">
        <v>0</v>
      </c>
      <c r="S129" s="47">
        <f t="shared" si="18"/>
        <v>0</v>
      </c>
      <c r="T129" s="80">
        <v>0</v>
      </c>
      <c r="U129" s="47">
        <f t="shared" si="19"/>
        <v>0</v>
      </c>
      <c r="V129" s="81">
        <v>0</v>
      </c>
      <c r="W129" s="20"/>
      <c r="X129" s="44">
        <f t="shared" si="20"/>
        <v>0</v>
      </c>
      <c r="Y129" s="17" t="s">
        <v>16</v>
      </c>
      <c r="Z129" s="18">
        <v>0</v>
      </c>
    </row>
    <row r="130" spans="1:26" ht="25.5" x14ac:dyDescent="0.55000000000000004">
      <c r="A130" s="10">
        <v>126</v>
      </c>
      <c r="B130" s="19" t="s">
        <v>141</v>
      </c>
      <c r="C130" s="47">
        <v>0</v>
      </c>
      <c r="D130" s="87">
        <v>0</v>
      </c>
      <c r="E130" s="47">
        <f t="shared" si="14"/>
        <v>0</v>
      </c>
      <c r="F130" s="87">
        <v>0</v>
      </c>
      <c r="G130" s="47">
        <f t="shared" si="15"/>
        <v>0</v>
      </c>
      <c r="H130" s="88"/>
      <c r="I130" s="20">
        <v>40</v>
      </c>
      <c r="J130" s="82">
        <f t="shared" si="16"/>
        <v>0</v>
      </c>
      <c r="K130" s="17" t="s">
        <v>16</v>
      </c>
      <c r="L130" s="18">
        <v>0</v>
      </c>
      <c r="M130" s="23">
        <f t="shared" si="17"/>
        <v>0</v>
      </c>
      <c r="O130" s="10">
        <v>95</v>
      </c>
      <c r="P130" s="19"/>
      <c r="Q130" s="47">
        <v>0</v>
      </c>
      <c r="R130" s="80">
        <v>0</v>
      </c>
      <c r="S130" s="47">
        <f t="shared" si="18"/>
        <v>0</v>
      </c>
      <c r="T130" s="80">
        <v>0</v>
      </c>
      <c r="U130" s="47">
        <f t="shared" si="19"/>
        <v>0</v>
      </c>
      <c r="V130" s="81">
        <v>0</v>
      </c>
      <c r="W130" s="20"/>
      <c r="X130" s="44">
        <f t="shared" si="20"/>
        <v>0</v>
      </c>
      <c r="Y130" s="17" t="s">
        <v>16</v>
      </c>
      <c r="Z130" s="18">
        <v>0</v>
      </c>
    </row>
    <row r="131" spans="1:26" ht="25.5" x14ac:dyDescent="0.55000000000000004">
      <c r="A131" s="10">
        <v>127</v>
      </c>
      <c r="B131" s="19" t="s">
        <v>142</v>
      </c>
      <c r="C131" s="47">
        <v>0</v>
      </c>
      <c r="D131" s="87">
        <v>0</v>
      </c>
      <c r="E131" s="47">
        <f t="shared" si="14"/>
        <v>0</v>
      </c>
      <c r="F131" s="87">
        <v>0</v>
      </c>
      <c r="G131" s="47">
        <f t="shared" si="15"/>
        <v>0</v>
      </c>
      <c r="H131" s="88"/>
      <c r="I131" s="20">
        <v>50</v>
      </c>
      <c r="J131" s="82">
        <f t="shared" si="16"/>
        <v>0</v>
      </c>
      <c r="K131" s="17" t="s">
        <v>16</v>
      </c>
      <c r="L131" s="18">
        <v>0</v>
      </c>
      <c r="M131" s="23">
        <f t="shared" si="17"/>
        <v>0</v>
      </c>
      <c r="O131" s="10">
        <v>96</v>
      </c>
      <c r="P131" s="19"/>
      <c r="Q131" s="47">
        <v>0</v>
      </c>
      <c r="R131" s="80">
        <v>0</v>
      </c>
      <c r="S131" s="47">
        <f t="shared" si="18"/>
        <v>0</v>
      </c>
      <c r="T131" s="80">
        <v>0</v>
      </c>
      <c r="U131" s="47">
        <f t="shared" si="19"/>
        <v>0</v>
      </c>
      <c r="V131" s="81">
        <v>0</v>
      </c>
      <c r="W131" s="20"/>
      <c r="X131" s="44">
        <f t="shared" si="20"/>
        <v>0</v>
      </c>
      <c r="Y131" s="17" t="s">
        <v>16</v>
      </c>
      <c r="Z131" s="18">
        <v>0</v>
      </c>
    </row>
    <row r="132" spans="1:26" ht="25.5" x14ac:dyDescent="0.55000000000000004">
      <c r="A132" s="10">
        <v>128</v>
      </c>
      <c r="B132" s="19" t="s">
        <v>143</v>
      </c>
      <c r="C132" s="47">
        <v>0</v>
      </c>
      <c r="D132" s="87">
        <v>0</v>
      </c>
      <c r="E132" s="47">
        <f t="shared" si="14"/>
        <v>0</v>
      </c>
      <c r="F132" s="87">
        <v>0</v>
      </c>
      <c r="G132" s="47">
        <f t="shared" si="15"/>
        <v>0</v>
      </c>
      <c r="H132" s="88"/>
      <c r="I132" s="20">
        <v>55</v>
      </c>
      <c r="J132" s="82">
        <f t="shared" si="16"/>
        <v>0</v>
      </c>
      <c r="K132" s="17" t="s">
        <v>16</v>
      </c>
      <c r="L132" s="18">
        <v>0</v>
      </c>
      <c r="M132" s="23">
        <f t="shared" si="17"/>
        <v>0</v>
      </c>
      <c r="O132" s="10">
        <v>97</v>
      </c>
      <c r="P132" s="19"/>
      <c r="Q132" s="47">
        <v>0</v>
      </c>
      <c r="R132" s="80">
        <v>0</v>
      </c>
      <c r="S132" s="47">
        <f t="shared" si="18"/>
        <v>0</v>
      </c>
      <c r="T132" s="80">
        <v>0</v>
      </c>
      <c r="U132" s="47">
        <f t="shared" si="19"/>
        <v>0</v>
      </c>
      <c r="V132" s="81">
        <v>0</v>
      </c>
      <c r="W132" s="20"/>
      <c r="X132" s="44">
        <f t="shared" si="20"/>
        <v>0</v>
      </c>
      <c r="Y132" s="17" t="s">
        <v>16</v>
      </c>
      <c r="Z132" s="18">
        <v>0</v>
      </c>
    </row>
    <row r="133" spans="1:26" ht="25.5" x14ac:dyDescent="0.55000000000000004">
      <c r="A133" s="10">
        <v>129</v>
      </c>
      <c r="B133" s="19" t="s">
        <v>144</v>
      </c>
      <c r="C133" s="47">
        <v>0</v>
      </c>
      <c r="D133" s="87">
        <v>0</v>
      </c>
      <c r="E133" s="47">
        <f t="shared" si="14"/>
        <v>0</v>
      </c>
      <c r="F133" s="87">
        <v>0</v>
      </c>
      <c r="G133" s="47">
        <f t="shared" si="15"/>
        <v>0</v>
      </c>
      <c r="H133" s="88"/>
      <c r="I133" s="20">
        <v>55</v>
      </c>
      <c r="J133" s="82">
        <f t="shared" si="16"/>
        <v>0</v>
      </c>
      <c r="K133" s="17" t="s">
        <v>16</v>
      </c>
      <c r="L133" s="18">
        <v>0</v>
      </c>
      <c r="M133" s="23">
        <f t="shared" si="17"/>
        <v>0</v>
      </c>
      <c r="O133" s="10">
        <v>98</v>
      </c>
      <c r="P133" s="19"/>
      <c r="Q133" s="47">
        <v>0</v>
      </c>
      <c r="R133" s="80">
        <v>0</v>
      </c>
      <c r="S133" s="47">
        <f t="shared" si="18"/>
        <v>0</v>
      </c>
      <c r="T133" s="80">
        <v>0</v>
      </c>
      <c r="U133" s="47">
        <f t="shared" si="19"/>
        <v>0</v>
      </c>
      <c r="V133" s="81">
        <v>0</v>
      </c>
      <c r="W133" s="20"/>
      <c r="X133" s="44">
        <f t="shared" si="20"/>
        <v>0</v>
      </c>
      <c r="Y133" s="17" t="s">
        <v>16</v>
      </c>
      <c r="Z133" s="18">
        <v>0</v>
      </c>
    </row>
    <row r="134" spans="1:26" ht="25.5" x14ac:dyDescent="0.55000000000000004">
      <c r="A134" s="10">
        <v>130</v>
      </c>
      <c r="B134" s="19" t="s">
        <v>145</v>
      </c>
      <c r="C134" s="47">
        <v>0</v>
      </c>
      <c r="D134" s="87">
        <v>0</v>
      </c>
      <c r="E134" s="47">
        <f t="shared" si="14"/>
        <v>0</v>
      </c>
      <c r="F134" s="87">
        <v>0</v>
      </c>
      <c r="G134" s="47">
        <f t="shared" si="15"/>
        <v>0</v>
      </c>
      <c r="H134" s="88"/>
      <c r="I134" s="20">
        <v>45</v>
      </c>
      <c r="J134" s="82">
        <f t="shared" si="16"/>
        <v>0</v>
      </c>
      <c r="K134" s="17" t="s">
        <v>16</v>
      </c>
      <c r="L134" s="18">
        <v>0</v>
      </c>
      <c r="M134" s="23">
        <f t="shared" si="17"/>
        <v>0</v>
      </c>
      <c r="O134" s="10">
        <v>99</v>
      </c>
      <c r="P134" s="19"/>
      <c r="Q134" s="47">
        <v>0</v>
      </c>
      <c r="R134" s="80">
        <v>0</v>
      </c>
      <c r="S134" s="47">
        <f t="shared" si="18"/>
        <v>0</v>
      </c>
      <c r="T134" s="80">
        <v>0</v>
      </c>
      <c r="U134" s="47">
        <f t="shared" si="19"/>
        <v>0</v>
      </c>
      <c r="V134" s="81">
        <v>0</v>
      </c>
      <c r="W134" s="20"/>
      <c r="X134" s="44">
        <f t="shared" si="20"/>
        <v>0</v>
      </c>
      <c r="Y134" s="17" t="s">
        <v>16</v>
      </c>
      <c r="Z134" s="18">
        <v>0</v>
      </c>
    </row>
    <row r="135" spans="1:26" ht="25.5" x14ac:dyDescent="0.55000000000000004">
      <c r="A135" s="10">
        <v>131</v>
      </c>
      <c r="B135" s="19" t="s">
        <v>146</v>
      </c>
      <c r="C135" s="47">
        <v>0</v>
      </c>
      <c r="D135" s="87">
        <v>0</v>
      </c>
      <c r="E135" s="47">
        <f t="shared" si="14"/>
        <v>0</v>
      </c>
      <c r="F135" s="87">
        <v>0</v>
      </c>
      <c r="G135" s="47">
        <f t="shared" si="15"/>
        <v>0</v>
      </c>
      <c r="H135" s="88"/>
      <c r="I135" s="20">
        <v>45</v>
      </c>
      <c r="J135" s="82">
        <f t="shared" si="16"/>
        <v>0</v>
      </c>
      <c r="K135" s="17" t="s">
        <v>16</v>
      </c>
      <c r="L135" s="18">
        <v>0</v>
      </c>
      <c r="M135" s="23">
        <f t="shared" si="17"/>
        <v>0</v>
      </c>
      <c r="O135" s="10">
        <v>100</v>
      </c>
      <c r="P135" s="19"/>
      <c r="Q135" s="47">
        <v>0</v>
      </c>
      <c r="R135" s="80">
        <v>0</v>
      </c>
      <c r="S135" s="47">
        <f t="shared" si="18"/>
        <v>0</v>
      </c>
      <c r="T135" s="80">
        <v>0</v>
      </c>
      <c r="U135" s="47">
        <f t="shared" si="19"/>
        <v>0</v>
      </c>
      <c r="V135" s="81">
        <v>0</v>
      </c>
      <c r="W135" s="20"/>
      <c r="X135" s="44">
        <f t="shared" si="20"/>
        <v>0</v>
      </c>
      <c r="Y135" s="17"/>
      <c r="Z135" s="18">
        <v>0</v>
      </c>
    </row>
    <row r="136" spans="1:26" ht="25.5" x14ac:dyDescent="0.55000000000000004">
      <c r="A136" s="10">
        <v>132</v>
      </c>
      <c r="B136" s="19" t="s">
        <v>147</v>
      </c>
      <c r="C136" s="47">
        <v>0</v>
      </c>
      <c r="D136" s="87">
        <v>0</v>
      </c>
      <c r="E136" s="47">
        <f t="shared" si="14"/>
        <v>0</v>
      </c>
      <c r="F136" s="87">
        <v>0</v>
      </c>
      <c r="G136" s="47">
        <f t="shared" si="15"/>
        <v>0</v>
      </c>
      <c r="H136" s="88"/>
      <c r="I136" s="20">
        <v>55</v>
      </c>
      <c r="J136" s="82">
        <f t="shared" si="16"/>
        <v>0</v>
      </c>
      <c r="K136" s="17" t="s">
        <v>16</v>
      </c>
      <c r="L136" s="18">
        <v>0</v>
      </c>
      <c r="M136" s="23">
        <f t="shared" si="17"/>
        <v>0</v>
      </c>
      <c r="O136" s="1"/>
      <c r="Q136" s="24"/>
      <c r="R136" s="25"/>
      <c r="S136" s="24"/>
      <c r="T136" s="25"/>
      <c r="U136" s="24"/>
      <c r="V136" s="24"/>
      <c r="W136" s="26"/>
      <c r="X136" s="25"/>
      <c r="Y136" s="27"/>
      <c r="Z136" s="41">
        <v>0</v>
      </c>
    </row>
    <row r="137" spans="1:26" ht="25.5" x14ac:dyDescent="0.55000000000000004">
      <c r="A137" s="10">
        <v>133</v>
      </c>
      <c r="B137" s="19" t="s">
        <v>148</v>
      </c>
      <c r="C137" s="47">
        <v>0</v>
      </c>
      <c r="D137" s="87">
        <v>0</v>
      </c>
      <c r="E137" s="47">
        <f t="shared" si="14"/>
        <v>0</v>
      </c>
      <c r="F137" s="87">
        <v>0</v>
      </c>
      <c r="G137" s="47">
        <f t="shared" si="15"/>
        <v>0</v>
      </c>
      <c r="H137" s="88"/>
      <c r="I137" s="20">
        <v>45</v>
      </c>
      <c r="J137" s="82">
        <f t="shared" si="16"/>
        <v>0</v>
      </c>
      <c r="K137" s="17" t="s">
        <v>16</v>
      </c>
      <c r="L137" s="18">
        <v>0</v>
      </c>
      <c r="M137" s="23">
        <f t="shared" si="17"/>
        <v>0</v>
      </c>
    </row>
    <row r="138" spans="1:26" ht="25.5" x14ac:dyDescent="0.55000000000000004">
      <c r="A138" s="10">
        <v>134</v>
      </c>
      <c r="B138" s="19" t="s">
        <v>149</v>
      </c>
      <c r="C138" s="47">
        <v>0</v>
      </c>
      <c r="D138" s="87">
        <v>0</v>
      </c>
      <c r="E138" s="47">
        <f t="shared" si="14"/>
        <v>0</v>
      </c>
      <c r="F138" s="87">
        <v>0</v>
      </c>
      <c r="G138" s="47">
        <f t="shared" si="15"/>
        <v>0</v>
      </c>
      <c r="H138" s="88"/>
      <c r="I138" s="20">
        <v>45</v>
      </c>
      <c r="J138" s="82">
        <f t="shared" si="16"/>
        <v>0</v>
      </c>
      <c r="K138" s="17" t="s">
        <v>16</v>
      </c>
      <c r="L138" s="18">
        <v>0</v>
      </c>
      <c r="M138" s="23">
        <f t="shared" si="17"/>
        <v>0</v>
      </c>
      <c r="P138" s="145" t="s">
        <v>119</v>
      </c>
      <c r="Q138" s="146"/>
      <c r="R138" s="146"/>
      <c r="S138" s="146"/>
      <c r="T138" s="146"/>
      <c r="U138" s="146"/>
      <c r="V138" s="146"/>
      <c r="W138" s="147"/>
      <c r="X138" s="40">
        <f>SUM(X5:X135)</f>
        <v>0</v>
      </c>
    </row>
    <row r="139" spans="1:26" ht="25.5" x14ac:dyDescent="0.55000000000000004">
      <c r="A139" s="10">
        <v>135</v>
      </c>
      <c r="B139" s="19" t="s">
        <v>150</v>
      </c>
      <c r="C139" s="47">
        <v>0</v>
      </c>
      <c r="D139" s="87">
        <v>0</v>
      </c>
      <c r="E139" s="47">
        <f t="shared" si="14"/>
        <v>0</v>
      </c>
      <c r="F139" s="87">
        <v>0</v>
      </c>
      <c r="G139" s="47">
        <f t="shared" si="15"/>
        <v>0</v>
      </c>
      <c r="H139" s="88"/>
      <c r="I139" s="20">
        <v>45</v>
      </c>
      <c r="J139" s="82">
        <f t="shared" si="16"/>
        <v>0</v>
      </c>
      <c r="K139" s="17" t="s">
        <v>16</v>
      </c>
      <c r="L139" s="18">
        <v>0</v>
      </c>
      <c r="M139" s="23">
        <f t="shared" si="17"/>
        <v>0</v>
      </c>
    </row>
    <row r="140" spans="1:26" ht="25.5" x14ac:dyDescent="0.55000000000000004">
      <c r="A140" s="10">
        <v>136</v>
      </c>
      <c r="B140" s="19" t="s">
        <v>151</v>
      </c>
      <c r="C140" s="47">
        <v>0</v>
      </c>
      <c r="D140" s="87">
        <v>0</v>
      </c>
      <c r="E140" s="47">
        <f t="shared" si="14"/>
        <v>0</v>
      </c>
      <c r="F140" s="87">
        <v>0</v>
      </c>
      <c r="G140" s="47">
        <f t="shared" si="15"/>
        <v>0</v>
      </c>
      <c r="H140" s="88"/>
      <c r="I140" s="20">
        <v>45</v>
      </c>
      <c r="J140" s="82">
        <f t="shared" si="16"/>
        <v>0</v>
      </c>
      <c r="K140" s="17" t="s">
        <v>16</v>
      </c>
      <c r="L140" s="18">
        <v>0</v>
      </c>
      <c r="M140" s="23">
        <f t="shared" si="17"/>
        <v>0</v>
      </c>
    </row>
    <row r="141" spans="1:26" ht="25.5" x14ac:dyDescent="0.55000000000000004">
      <c r="A141" s="10">
        <v>137</v>
      </c>
      <c r="B141" s="19" t="s">
        <v>152</v>
      </c>
      <c r="C141" s="47">
        <v>0</v>
      </c>
      <c r="D141" s="87">
        <v>0</v>
      </c>
      <c r="E141" s="47">
        <f t="shared" si="14"/>
        <v>0</v>
      </c>
      <c r="F141" s="87">
        <v>0</v>
      </c>
      <c r="G141" s="47">
        <f t="shared" si="15"/>
        <v>0</v>
      </c>
      <c r="H141" s="88"/>
      <c r="I141" s="20">
        <v>45</v>
      </c>
      <c r="J141" s="82">
        <f t="shared" si="16"/>
        <v>0</v>
      </c>
      <c r="K141" s="17" t="s">
        <v>16</v>
      </c>
      <c r="L141" s="18">
        <v>0</v>
      </c>
      <c r="M141" s="23">
        <f t="shared" si="17"/>
        <v>0</v>
      </c>
    </row>
    <row r="142" spans="1:26" ht="25.5" x14ac:dyDescent="0.55000000000000004">
      <c r="A142" s="10">
        <v>138</v>
      </c>
      <c r="B142" s="19" t="s">
        <v>153</v>
      </c>
      <c r="C142" s="47">
        <v>0</v>
      </c>
      <c r="D142" s="87">
        <v>0</v>
      </c>
      <c r="E142" s="47">
        <f t="shared" si="14"/>
        <v>0</v>
      </c>
      <c r="F142" s="87">
        <v>0</v>
      </c>
      <c r="G142" s="47">
        <f t="shared" si="15"/>
        <v>0</v>
      </c>
      <c r="H142" s="88"/>
      <c r="I142" s="20">
        <v>45</v>
      </c>
      <c r="J142" s="82">
        <f t="shared" si="16"/>
        <v>0</v>
      </c>
      <c r="K142" s="17" t="s">
        <v>16</v>
      </c>
      <c r="L142" s="18">
        <v>0</v>
      </c>
      <c r="M142" s="23">
        <f t="shared" si="17"/>
        <v>0</v>
      </c>
    </row>
    <row r="143" spans="1:26" ht="25.5" x14ac:dyDescent="0.55000000000000004">
      <c r="A143" s="10">
        <v>139</v>
      </c>
      <c r="B143" s="19" t="s">
        <v>154</v>
      </c>
      <c r="C143" s="47">
        <v>0</v>
      </c>
      <c r="D143" s="87">
        <v>0</v>
      </c>
      <c r="E143" s="47">
        <f t="shared" si="14"/>
        <v>0</v>
      </c>
      <c r="F143" s="87">
        <v>0</v>
      </c>
      <c r="G143" s="47">
        <f t="shared" si="15"/>
        <v>0</v>
      </c>
      <c r="H143" s="88"/>
      <c r="I143" s="20">
        <v>120</v>
      </c>
      <c r="J143" s="82">
        <f t="shared" si="16"/>
        <v>0</v>
      </c>
      <c r="K143" s="17" t="s">
        <v>16</v>
      </c>
      <c r="L143" s="18">
        <v>0</v>
      </c>
      <c r="M143" s="23">
        <f t="shared" si="17"/>
        <v>0</v>
      </c>
    </row>
    <row r="144" spans="1:26" ht="25.5" x14ac:dyDescent="0.55000000000000004">
      <c r="A144" s="10">
        <v>140</v>
      </c>
      <c r="B144" s="19" t="s">
        <v>155</v>
      </c>
      <c r="C144" s="47">
        <v>0</v>
      </c>
      <c r="D144" s="87">
        <v>0</v>
      </c>
      <c r="E144" s="47">
        <f t="shared" ref="E144:E207" si="21">C144+D144</f>
        <v>0</v>
      </c>
      <c r="F144" s="87">
        <v>0</v>
      </c>
      <c r="G144" s="47">
        <f t="shared" ref="G144:G207" si="22">+E144-F144-H144</f>
        <v>0</v>
      </c>
      <c r="H144" s="88"/>
      <c r="I144" s="20">
        <v>120</v>
      </c>
      <c r="J144" s="82">
        <f t="shared" ref="J144:J207" si="23">+I144*H144</f>
        <v>0</v>
      </c>
      <c r="K144" s="17" t="s">
        <v>16</v>
      </c>
      <c r="L144" s="18">
        <v>0</v>
      </c>
      <c r="M144" s="23">
        <f t="shared" ref="M144:M207" si="24">SUM(J144-L144)</f>
        <v>0</v>
      </c>
    </row>
    <row r="145" spans="1:13" ht="25.5" x14ac:dyDescent="0.55000000000000004">
      <c r="A145" s="10">
        <v>141</v>
      </c>
      <c r="B145" s="19" t="s">
        <v>156</v>
      </c>
      <c r="C145" s="47">
        <v>0</v>
      </c>
      <c r="D145" s="87">
        <v>0</v>
      </c>
      <c r="E145" s="47">
        <f t="shared" si="21"/>
        <v>0</v>
      </c>
      <c r="F145" s="87">
        <v>0</v>
      </c>
      <c r="G145" s="47">
        <f t="shared" si="22"/>
        <v>0</v>
      </c>
      <c r="H145" s="88"/>
      <c r="I145" s="20">
        <v>120</v>
      </c>
      <c r="J145" s="82">
        <f t="shared" si="23"/>
        <v>0</v>
      </c>
      <c r="K145" s="17" t="s">
        <v>16</v>
      </c>
      <c r="L145" s="18">
        <v>0</v>
      </c>
      <c r="M145" s="23">
        <f t="shared" si="24"/>
        <v>0</v>
      </c>
    </row>
    <row r="146" spans="1:13" ht="25.5" x14ac:dyDescent="0.55000000000000004">
      <c r="A146" s="10">
        <v>142</v>
      </c>
      <c r="B146" s="19" t="s">
        <v>157</v>
      </c>
      <c r="C146" s="47">
        <v>0</v>
      </c>
      <c r="D146" s="87">
        <v>0</v>
      </c>
      <c r="E146" s="47">
        <f t="shared" si="21"/>
        <v>0</v>
      </c>
      <c r="F146" s="87">
        <v>0</v>
      </c>
      <c r="G146" s="47">
        <f t="shared" si="22"/>
        <v>0</v>
      </c>
      <c r="H146" s="88"/>
      <c r="I146" s="20">
        <v>120</v>
      </c>
      <c r="J146" s="82">
        <f t="shared" si="23"/>
        <v>0</v>
      </c>
      <c r="K146" s="17" t="s">
        <v>16</v>
      </c>
      <c r="L146" s="18">
        <v>0</v>
      </c>
      <c r="M146" s="23">
        <f t="shared" si="24"/>
        <v>0</v>
      </c>
    </row>
    <row r="147" spans="1:13" ht="25.5" x14ac:dyDescent="0.55000000000000004">
      <c r="A147" s="10">
        <v>143</v>
      </c>
      <c r="B147" s="19" t="s">
        <v>158</v>
      </c>
      <c r="C147" s="47">
        <v>0</v>
      </c>
      <c r="D147" s="87">
        <v>0</v>
      </c>
      <c r="E147" s="47">
        <f t="shared" si="21"/>
        <v>0</v>
      </c>
      <c r="F147" s="87">
        <v>0</v>
      </c>
      <c r="G147" s="47">
        <f t="shared" si="22"/>
        <v>0</v>
      </c>
      <c r="H147" s="88"/>
      <c r="I147" s="20">
        <v>185</v>
      </c>
      <c r="J147" s="82">
        <f t="shared" si="23"/>
        <v>0</v>
      </c>
      <c r="K147" s="17" t="s">
        <v>16</v>
      </c>
      <c r="L147" s="18">
        <v>0</v>
      </c>
      <c r="M147" s="23">
        <f t="shared" si="24"/>
        <v>0</v>
      </c>
    </row>
    <row r="148" spans="1:13" ht="25.5" x14ac:dyDescent="0.55000000000000004">
      <c r="A148" s="10">
        <v>144</v>
      </c>
      <c r="B148" s="19" t="s">
        <v>159</v>
      </c>
      <c r="C148" s="47">
        <v>0</v>
      </c>
      <c r="D148" s="87">
        <v>0</v>
      </c>
      <c r="E148" s="47">
        <f t="shared" si="21"/>
        <v>0</v>
      </c>
      <c r="F148" s="87">
        <v>0</v>
      </c>
      <c r="G148" s="47">
        <f t="shared" si="22"/>
        <v>0</v>
      </c>
      <c r="H148" s="88"/>
      <c r="I148" s="20">
        <v>185</v>
      </c>
      <c r="J148" s="82">
        <f t="shared" si="23"/>
        <v>0</v>
      </c>
      <c r="K148" s="17" t="s">
        <v>16</v>
      </c>
      <c r="L148" s="18">
        <v>0</v>
      </c>
      <c r="M148" s="23">
        <f t="shared" si="24"/>
        <v>0</v>
      </c>
    </row>
    <row r="149" spans="1:13" ht="25.5" x14ac:dyDescent="0.55000000000000004">
      <c r="A149" s="10">
        <v>145</v>
      </c>
      <c r="B149" s="19" t="s">
        <v>160</v>
      </c>
      <c r="C149" s="47">
        <v>0</v>
      </c>
      <c r="D149" s="87">
        <v>0</v>
      </c>
      <c r="E149" s="47">
        <f t="shared" si="21"/>
        <v>0</v>
      </c>
      <c r="F149" s="87">
        <v>0</v>
      </c>
      <c r="G149" s="47">
        <f t="shared" si="22"/>
        <v>0</v>
      </c>
      <c r="H149" s="88"/>
      <c r="I149" s="20">
        <v>185</v>
      </c>
      <c r="J149" s="82">
        <f t="shared" si="23"/>
        <v>0</v>
      </c>
      <c r="K149" s="17" t="s">
        <v>16</v>
      </c>
      <c r="L149" s="18">
        <v>0</v>
      </c>
      <c r="M149" s="23">
        <f t="shared" si="24"/>
        <v>0</v>
      </c>
    </row>
    <row r="150" spans="1:13" ht="25.5" x14ac:dyDescent="0.55000000000000004">
      <c r="A150" s="10">
        <v>146</v>
      </c>
      <c r="B150" s="19" t="s">
        <v>161</v>
      </c>
      <c r="C150" s="47">
        <v>0</v>
      </c>
      <c r="D150" s="87">
        <v>0</v>
      </c>
      <c r="E150" s="47">
        <f t="shared" si="21"/>
        <v>0</v>
      </c>
      <c r="F150" s="87">
        <v>0</v>
      </c>
      <c r="G150" s="47">
        <f t="shared" si="22"/>
        <v>0</v>
      </c>
      <c r="H150" s="88"/>
      <c r="I150" s="20">
        <v>185</v>
      </c>
      <c r="J150" s="82">
        <f t="shared" si="23"/>
        <v>0</v>
      </c>
      <c r="K150" s="17" t="s">
        <v>16</v>
      </c>
      <c r="L150" s="18">
        <v>0</v>
      </c>
      <c r="M150" s="23">
        <f t="shared" si="24"/>
        <v>0</v>
      </c>
    </row>
    <row r="151" spans="1:13" ht="25.5" x14ac:dyDescent="0.55000000000000004">
      <c r="A151" s="10">
        <v>147</v>
      </c>
      <c r="B151" s="19" t="s">
        <v>279</v>
      </c>
      <c r="C151" s="47">
        <v>0</v>
      </c>
      <c r="D151" s="87">
        <v>0</v>
      </c>
      <c r="E151" s="47">
        <f t="shared" si="21"/>
        <v>0</v>
      </c>
      <c r="F151" s="87">
        <v>0</v>
      </c>
      <c r="G151" s="47">
        <f t="shared" si="22"/>
        <v>0</v>
      </c>
      <c r="H151" s="88"/>
      <c r="I151" s="20">
        <v>150</v>
      </c>
      <c r="J151" s="82">
        <f t="shared" si="23"/>
        <v>0</v>
      </c>
      <c r="K151" s="17" t="s">
        <v>16</v>
      </c>
      <c r="L151" s="18">
        <v>0</v>
      </c>
      <c r="M151" s="23">
        <f t="shared" si="24"/>
        <v>0</v>
      </c>
    </row>
    <row r="152" spans="1:13" ht="25.5" x14ac:dyDescent="0.55000000000000004">
      <c r="A152" s="10">
        <v>148</v>
      </c>
      <c r="B152" s="19" t="s">
        <v>280</v>
      </c>
      <c r="C152" s="79">
        <v>1</v>
      </c>
      <c r="D152" s="87">
        <v>0</v>
      </c>
      <c r="E152" s="47">
        <f t="shared" si="21"/>
        <v>1</v>
      </c>
      <c r="F152" s="87">
        <v>0</v>
      </c>
      <c r="G152" s="47">
        <f t="shared" si="22"/>
        <v>1</v>
      </c>
      <c r="H152" s="88"/>
      <c r="I152" s="20">
        <v>150</v>
      </c>
      <c r="J152" s="82">
        <f t="shared" si="23"/>
        <v>0</v>
      </c>
      <c r="K152" s="17" t="s">
        <v>16</v>
      </c>
      <c r="L152" s="18">
        <v>0</v>
      </c>
      <c r="M152" s="23">
        <f t="shared" si="24"/>
        <v>0</v>
      </c>
    </row>
    <row r="153" spans="1:13" ht="25.5" x14ac:dyDescent="0.55000000000000004">
      <c r="A153" s="10">
        <v>149</v>
      </c>
      <c r="B153" s="19" t="s">
        <v>281</v>
      </c>
      <c r="C153" s="79">
        <v>2</v>
      </c>
      <c r="D153" s="87">
        <v>0</v>
      </c>
      <c r="E153" s="47">
        <f t="shared" si="21"/>
        <v>2</v>
      </c>
      <c r="F153" s="87">
        <v>0</v>
      </c>
      <c r="G153" s="47">
        <f t="shared" si="22"/>
        <v>2</v>
      </c>
      <c r="H153" s="88"/>
      <c r="I153" s="20">
        <v>150</v>
      </c>
      <c r="J153" s="82">
        <f t="shared" si="23"/>
        <v>0</v>
      </c>
      <c r="K153" s="17" t="s">
        <v>16</v>
      </c>
      <c r="L153" s="18">
        <v>0</v>
      </c>
      <c r="M153" s="23">
        <f t="shared" si="24"/>
        <v>0</v>
      </c>
    </row>
    <row r="154" spans="1:13" ht="25.5" x14ac:dyDescent="0.55000000000000004">
      <c r="A154" s="10">
        <v>150</v>
      </c>
      <c r="B154" s="19" t="s">
        <v>282</v>
      </c>
      <c r="C154" s="47">
        <v>0</v>
      </c>
      <c r="D154" s="87">
        <v>0</v>
      </c>
      <c r="E154" s="47">
        <f t="shared" si="21"/>
        <v>0</v>
      </c>
      <c r="F154" s="87">
        <v>0</v>
      </c>
      <c r="G154" s="47">
        <f t="shared" si="22"/>
        <v>0</v>
      </c>
      <c r="H154" s="88"/>
      <c r="I154" s="20">
        <v>150</v>
      </c>
      <c r="J154" s="82">
        <f t="shared" si="23"/>
        <v>0</v>
      </c>
      <c r="K154" s="17" t="s">
        <v>16</v>
      </c>
      <c r="L154" s="18">
        <v>0</v>
      </c>
      <c r="M154" s="23">
        <f t="shared" si="24"/>
        <v>0</v>
      </c>
    </row>
    <row r="155" spans="1:13" ht="25.5" x14ac:dyDescent="0.55000000000000004">
      <c r="A155" s="10">
        <v>151</v>
      </c>
      <c r="B155" s="19" t="s">
        <v>166</v>
      </c>
      <c r="C155" s="47">
        <v>0</v>
      </c>
      <c r="D155" s="87">
        <v>0</v>
      </c>
      <c r="E155" s="47">
        <f t="shared" si="21"/>
        <v>0</v>
      </c>
      <c r="F155" s="87">
        <v>0</v>
      </c>
      <c r="G155" s="47">
        <f t="shared" si="22"/>
        <v>0</v>
      </c>
      <c r="H155" s="88"/>
      <c r="I155" s="20">
        <v>185</v>
      </c>
      <c r="J155" s="82">
        <f t="shared" si="23"/>
        <v>0</v>
      </c>
      <c r="K155" s="17" t="s">
        <v>16</v>
      </c>
      <c r="L155" s="18">
        <v>0</v>
      </c>
      <c r="M155" s="23">
        <f t="shared" si="24"/>
        <v>0</v>
      </c>
    </row>
    <row r="156" spans="1:13" ht="25.5" x14ac:dyDescent="0.55000000000000004">
      <c r="A156" s="10">
        <v>152</v>
      </c>
      <c r="B156" s="19" t="s">
        <v>167</v>
      </c>
      <c r="C156" s="47">
        <v>0</v>
      </c>
      <c r="D156" s="87">
        <v>0</v>
      </c>
      <c r="E156" s="47">
        <f t="shared" si="21"/>
        <v>0</v>
      </c>
      <c r="F156" s="87">
        <v>0</v>
      </c>
      <c r="G156" s="47">
        <f t="shared" si="22"/>
        <v>0</v>
      </c>
      <c r="H156" s="88"/>
      <c r="I156" s="20">
        <v>185</v>
      </c>
      <c r="J156" s="82">
        <f t="shared" si="23"/>
        <v>0</v>
      </c>
      <c r="K156" s="17" t="s">
        <v>16</v>
      </c>
      <c r="L156" s="18">
        <v>0</v>
      </c>
      <c r="M156" s="23">
        <f t="shared" si="24"/>
        <v>0</v>
      </c>
    </row>
    <row r="157" spans="1:13" ht="25.5" x14ac:dyDescent="0.55000000000000004">
      <c r="A157" s="10">
        <v>153</v>
      </c>
      <c r="B157" s="19" t="s">
        <v>168</v>
      </c>
      <c r="C157" s="47">
        <v>0</v>
      </c>
      <c r="D157" s="87">
        <v>0</v>
      </c>
      <c r="E157" s="47">
        <f t="shared" si="21"/>
        <v>0</v>
      </c>
      <c r="F157" s="87">
        <v>0</v>
      </c>
      <c r="G157" s="47">
        <f t="shared" si="22"/>
        <v>0</v>
      </c>
      <c r="H157" s="88"/>
      <c r="I157" s="20">
        <v>185</v>
      </c>
      <c r="J157" s="82">
        <f t="shared" si="23"/>
        <v>0</v>
      </c>
      <c r="K157" s="17" t="s">
        <v>16</v>
      </c>
      <c r="L157" s="18">
        <v>0</v>
      </c>
      <c r="M157" s="23">
        <f t="shared" si="24"/>
        <v>0</v>
      </c>
    </row>
    <row r="158" spans="1:13" ht="25.5" x14ac:dyDescent="0.55000000000000004">
      <c r="A158" s="10">
        <v>154</v>
      </c>
      <c r="B158" s="19" t="s">
        <v>169</v>
      </c>
      <c r="C158" s="47">
        <v>0</v>
      </c>
      <c r="D158" s="87">
        <v>0</v>
      </c>
      <c r="E158" s="47">
        <f t="shared" si="21"/>
        <v>0</v>
      </c>
      <c r="F158" s="87">
        <v>0</v>
      </c>
      <c r="G158" s="47">
        <f t="shared" si="22"/>
        <v>0</v>
      </c>
      <c r="H158" s="88"/>
      <c r="I158" s="20">
        <v>185</v>
      </c>
      <c r="J158" s="82">
        <f t="shared" si="23"/>
        <v>0</v>
      </c>
      <c r="K158" s="17" t="s">
        <v>16</v>
      </c>
      <c r="L158" s="18">
        <v>0</v>
      </c>
      <c r="M158" s="23">
        <f t="shared" si="24"/>
        <v>0</v>
      </c>
    </row>
    <row r="159" spans="1:13" ht="25.5" x14ac:dyDescent="0.55000000000000004">
      <c r="A159" s="10">
        <v>155</v>
      </c>
      <c r="B159" s="19" t="s">
        <v>170</v>
      </c>
      <c r="C159" s="47">
        <v>0</v>
      </c>
      <c r="D159" s="87">
        <v>0</v>
      </c>
      <c r="E159" s="47">
        <f t="shared" si="21"/>
        <v>0</v>
      </c>
      <c r="F159" s="87">
        <v>0</v>
      </c>
      <c r="G159" s="47">
        <f t="shared" si="22"/>
        <v>0</v>
      </c>
      <c r="H159" s="88"/>
      <c r="I159" s="20">
        <v>135</v>
      </c>
      <c r="J159" s="82">
        <f t="shared" si="23"/>
        <v>0</v>
      </c>
      <c r="K159" s="17" t="s">
        <v>16</v>
      </c>
      <c r="L159" s="18">
        <v>0</v>
      </c>
      <c r="M159" s="23">
        <f t="shared" si="24"/>
        <v>0</v>
      </c>
    </row>
    <row r="160" spans="1:13" ht="25.5" x14ac:dyDescent="0.55000000000000004">
      <c r="A160" s="10">
        <v>156</v>
      </c>
      <c r="B160" s="19" t="s">
        <v>171</v>
      </c>
      <c r="C160" s="47">
        <v>0</v>
      </c>
      <c r="D160" s="87">
        <v>0</v>
      </c>
      <c r="E160" s="47">
        <f t="shared" si="21"/>
        <v>0</v>
      </c>
      <c r="F160" s="87">
        <v>0</v>
      </c>
      <c r="G160" s="47">
        <f t="shared" si="22"/>
        <v>0</v>
      </c>
      <c r="H160" s="88"/>
      <c r="I160" s="20">
        <v>90</v>
      </c>
      <c r="J160" s="82">
        <f t="shared" si="23"/>
        <v>0</v>
      </c>
      <c r="K160" s="17" t="s">
        <v>16</v>
      </c>
      <c r="L160" s="18">
        <v>0</v>
      </c>
      <c r="M160" s="23">
        <f t="shared" si="24"/>
        <v>0</v>
      </c>
    </row>
    <row r="161" spans="1:13" ht="25.5" x14ac:dyDescent="0.55000000000000004">
      <c r="A161" s="10">
        <v>157</v>
      </c>
      <c r="B161" s="19" t="s">
        <v>172</v>
      </c>
      <c r="C161" s="47">
        <v>0</v>
      </c>
      <c r="D161" s="87">
        <v>0</v>
      </c>
      <c r="E161" s="47">
        <f t="shared" si="21"/>
        <v>0</v>
      </c>
      <c r="F161" s="87">
        <v>0</v>
      </c>
      <c r="G161" s="47">
        <f t="shared" si="22"/>
        <v>0</v>
      </c>
      <c r="H161" s="88"/>
      <c r="I161" s="20">
        <v>90</v>
      </c>
      <c r="J161" s="82">
        <f t="shared" si="23"/>
        <v>0</v>
      </c>
      <c r="K161" s="17" t="s">
        <v>16</v>
      </c>
      <c r="L161" s="18">
        <v>0</v>
      </c>
      <c r="M161" s="23">
        <f t="shared" si="24"/>
        <v>0</v>
      </c>
    </row>
    <row r="162" spans="1:13" ht="25.5" x14ac:dyDescent="0.55000000000000004">
      <c r="A162" s="10">
        <v>158</v>
      </c>
      <c r="B162" s="19" t="s">
        <v>173</v>
      </c>
      <c r="C162" s="47">
        <v>0</v>
      </c>
      <c r="D162" s="87">
        <v>0</v>
      </c>
      <c r="E162" s="47">
        <f t="shared" si="21"/>
        <v>0</v>
      </c>
      <c r="F162" s="87">
        <v>0</v>
      </c>
      <c r="G162" s="47">
        <f t="shared" si="22"/>
        <v>0</v>
      </c>
      <c r="H162" s="88"/>
      <c r="I162" s="20">
        <v>90</v>
      </c>
      <c r="J162" s="82">
        <f t="shared" si="23"/>
        <v>0</v>
      </c>
      <c r="K162" s="17" t="s">
        <v>16</v>
      </c>
      <c r="L162" s="18">
        <v>0</v>
      </c>
      <c r="M162" s="23">
        <f t="shared" si="24"/>
        <v>0</v>
      </c>
    </row>
    <row r="163" spans="1:13" ht="25.5" x14ac:dyDescent="0.55000000000000004">
      <c r="A163" s="10">
        <v>159</v>
      </c>
      <c r="B163" s="19" t="s">
        <v>174</v>
      </c>
      <c r="C163" s="47">
        <v>0</v>
      </c>
      <c r="D163" s="87">
        <v>0</v>
      </c>
      <c r="E163" s="47">
        <f t="shared" si="21"/>
        <v>0</v>
      </c>
      <c r="F163" s="87">
        <v>0</v>
      </c>
      <c r="G163" s="47">
        <f t="shared" si="22"/>
        <v>0</v>
      </c>
      <c r="H163" s="88"/>
      <c r="I163" s="20">
        <v>90</v>
      </c>
      <c r="J163" s="82">
        <f t="shared" si="23"/>
        <v>0</v>
      </c>
      <c r="K163" s="17" t="s">
        <v>16</v>
      </c>
      <c r="L163" s="18">
        <v>0</v>
      </c>
      <c r="M163" s="23">
        <f t="shared" si="24"/>
        <v>0</v>
      </c>
    </row>
    <row r="164" spans="1:13" ht="25.5" x14ac:dyDescent="0.55000000000000004">
      <c r="A164" s="10">
        <v>160</v>
      </c>
      <c r="B164" s="19" t="s">
        <v>175</v>
      </c>
      <c r="C164" s="47">
        <v>0</v>
      </c>
      <c r="D164" s="87">
        <v>0</v>
      </c>
      <c r="E164" s="47">
        <f t="shared" si="21"/>
        <v>0</v>
      </c>
      <c r="F164" s="87">
        <v>0</v>
      </c>
      <c r="G164" s="47">
        <f t="shared" si="22"/>
        <v>0</v>
      </c>
      <c r="H164" s="88"/>
      <c r="I164" s="20">
        <v>25</v>
      </c>
      <c r="J164" s="82">
        <f t="shared" si="23"/>
        <v>0</v>
      </c>
      <c r="K164" s="17" t="s">
        <v>16</v>
      </c>
      <c r="L164" s="18">
        <v>0</v>
      </c>
      <c r="M164" s="23">
        <f t="shared" si="24"/>
        <v>0</v>
      </c>
    </row>
    <row r="165" spans="1:13" ht="25.5" x14ac:dyDescent="0.55000000000000004">
      <c r="A165" s="10">
        <v>161</v>
      </c>
      <c r="B165" s="19" t="s">
        <v>176</v>
      </c>
      <c r="C165" s="47">
        <v>0</v>
      </c>
      <c r="D165" s="87">
        <v>0</v>
      </c>
      <c r="E165" s="47">
        <f t="shared" si="21"/>
        <v>0</v>
      </c>
      <c r="F165" s="87">
        <v>0</v>
      </c>
      <c r="G165" s="47">
        <f t="shared" si="22"/>
        <v>0</v>
      </c>
      <c r="H165" s="88"/>
      <c r="I165" s="20">
        <v>50</v>
      </c>
      <c r="J165" s="82">
        <f t="shared" si="23"/>
        <v>0</v>
      </c>
      <c r="K165" s="17" t="s">
        <v>16</v>
      </c>
      <c r="L165" s="18">
        <v>0</v>
      </c>
      <c r="M165" s="23">
        <f t="shared" si="24"/>
        <v>0</v>
      </c>
    </row>
    <row r="166" spans="1:13" ht="25.5" x14ac:dyDescent="0.55000000000000004">
      <c r="A166" s="10">
        <v>162</v>
      </c>
      <c r="B166" s="19" t="s">
        <v>177</v>
      </c>
      <c r="C166" s="47">
        <v>0</v>
      </c>
      <c r="D166" s="87">
        <v>0</v>
      </c>
      <c r="E166" s="47">
        <f t="shared" si="21"/>
        <v>0</v>
      </c>
      <c r="F166" s="87">
        <v>0</v>
      </c>
      <c r="G166" s="47">
        <f t="shared" si="22"/>
        <v>0</v>
      </c>
      <c r="H166" s="88"/>
      <c r="I166" s="20">
        <v>50</v>
      </c>
      <c r="J166" s="82">
        <f t="shared" si="23"/>
        <v>0</v>
      </c>
      <c r="K166" s="17" t="s">
        <v>16</v>
      </c>
      <c r="L166" s="18">
        <v>0</v>
      </c>
      <c r="M166" s="23">
        <f t="shared" si="24"/>
        <v>0</v>
      </c>
    </row>
    <row r="167" spans="1:13" ht="25.5" x14ac:dyDescent="0.55000000000000004">
      <c r="A167" s="10">
        <v>163</v>
      </c>
      <c r="B167" s="19" t="s">
        <v>178</v>
      </c>
      <c r="C167" s="47">
        <v>0</v>
      </c>
      <c r="D167" s="87">
        <v>0</v>
      </c>
      <c r="E167" s="47">
        <f t="shared" si="21"/>
        <v>0</v>
      </c>
      <c r="F167" s="87">
        <v>0</v>
      </c>
      <c r="G167" s="47">
        <f t="shared" si="22"/>
        <v>0</v>
      </c>
      <c r="H167" s="88"/>
      <c r="I167" s="20">
        <v>50</v>
      </c>
      <c r="J167" s="82">
        <f t="shared" si="23"/>
        <v>0</v>
      </c>
      <c r="K167" s="17" t="s">
        <v>16</v>
      </c>
      <c r="L167" s="18">
        <v>0</v>
      </c>
      <c r="M167" s="23">
        <f t="shared" si="24"/>
        <v>0</v>
      </c>
    </row>
    <row r="168" spans="1:13" ht="25.5" x14ac:dyDescent="0.55000000000000004">
      <c r="A168" s="10">
        <v>164</v>
      </c>
      <c r="B168" s="19" t="s">
        <v>179</v>
      </c>
      <c r="C168" s="79">
        <v>7</v>
      </c>
      <c r="D168" s="87">
        <v>0</v>
      </c>
      <c r="E168" s="47">
        <f t="shared" si="21"/>
        <v>7</v>
      </c>
      <c r="F168" s="87">
        <v>0</v>
      </c>
      <c r="G168" s="47">
        <f t="shared" si="22"/>
        <v>7</v>
      </c>
      <c r="H168" s="88"/>
      <c r="I168" s="20">
        <v>50</v>
      </c>
      <c r="J168" s="82">
        <f t="shared" si="23"/>
        <v>0</v>
      </c>
      <c r="K168" s="17" t="s">
        <v>16</v>
      </c>
      <c r="L168" s="18">
        <v>0</v>
      </c>
      <c r="M168" s="23">
        <f t="shared" si="24"/>
        <v>0</v>
      </c>
    </row>
    <row r="169" spans="1:13" ht="25.5" x14ac:dyDescent="0.55000000000000004">
      <c r="A169" s="10">
        <v>165</v>
      </c>
      <c r="B169" s="19" t="s">
        <v>180</v>
      </c>
      <c r="C169" s="79">
        <v>26</v>
      </c>
      <c r="D169" s="87">
        <v>0</v>
      </c>
      <c r="E169" s="47">
        <f t="shared" si="21"/>
        <v>26</v>
      </c>
      <c r="F169" s="87">
        <v>0</v>
      </c>
      <c r="G169" s="47">
        <f t="shared" si="22"/>
        <v>26</v>
      </c>
      <c r="H169" s="88"/>
      <c r="I169" s="20">
        <v>55</v>
      </c>
      <c r="J169" s="82">
        <f t="shared" si="23"/>
        <v>0</v>
      </c>
      <c r="K169" s="17" t="s">
        <v>16</v>
      </c>
      <c r="L169" s="18">
        <v>0</v>
      </c>
      <c r="M169" s="23">
        <f t="shared" si="24"/>
        <v>0</v>
      </c>
    </row>
    <row r="170" spans="1:13" ht="25.5" x14ac:dyDescent="0.55000000000000004">
      <c r="A170" s="10">
        <v>166</v>
      </c>
      <c r="B170" s="19" t="s">
        <v>181</v>
      </c>
      <c r="C170" s="47">
        <v>0</v>
      </c>
      <c r="D170" s="87">
        <v>0</v>
      </c>
      <c r="E170" s="47">
        <f t="shared" si="21"/>
        <v>0</v>
      </c>
      <c r="F170" s="87">
        <v>0</v>
      </c>
      <c r="G170" s="47">
        <f t="shared" si="22"/>
        <v>0</v>
      </c>
      <c r="H170" s="88"/>
      <c r="I170" s="20">
        <v>85</v>
      </c>
      <c r="J170" s="82">
        <f t="shared" si="23"/>
        <v>0</v>
      </c>
      <c r="K170" s="17" t="s">
        <v>16</v>
      </c>
      <c r="L170" s="18">
        <v>0</v>
      </c>
      <c r="M170" s="23">
        <f t="shared" si="24"/>
        <v>0</v>
      </c>
    </row>
    <row r="171" spans="1:13" ht="25.5" x14ac:dyDescent="0.55000000000000004">
      <c r="A171" s="10">
        <v>167</v>
      </c>
      <c r="B171" s="19" t="s">
        <v>182</v>
      </c>
      <c r="C171" s="47">
        <v>0</v>
      </c>
      <c r="D171" s="87">
        <v>0</v>
      </c>
      <c r="E171" s="47">
        <f t="shared" si="21"/>
        <v>0</v>
      </c>
      <c r="F171" s="87">
        <v>0</v>
      </c>
      <c r="G171" s="47">
        <f t="shared" si="22"/>
        <v>0</v>
      </c>
      <c r="H171" s="88"/>
      <c r="I171" s="20">
        <v>80</v>
      </c>
      <c r="J171" s="82">
        <f t="shared" si="23"/>
        <v>0</v>
      </c>
      <c r="K171" s="17" t="s">
        <v>16</v>
      </c>
      <c r="L171" s="18">
        <v>0</v>
      </c>
      <c r="M171" s="23">
        <f t="shared" si="24"/>
        <v>0</v>
      </c>
    </row>
    <row r="172" spans="1:13" ht="25.5" x14ac:dyDescent="0.55000000000000004">
      <c r="A172" s="10">
        <v>168</v>
      </c>
      <c r="B172" s="19" t="s">
        <v>183</v>
      </c>
      <c r="C172" s="47">
        <v>0</v>
      </c>
      <c r="D172" s="87">
        <v>0</v>
      </c>
      <c r="E172" s="47">
        <f t="shared" si="21"/>
        <v>0</v>
      </c>
      <c r="F172" s="87">
        <v>0</v>
      </c>
      <c r="G172" s="47">
        <f t="shared" si="22"/>
        <v>0</v>
      </c>
      <c r="H172" s="88"/>
      <c r="I172" s="20">
        <v>40</v>
      </c>
      <c r="J172" s="82">
        <f t="shared" si="23"/>
        <v>0</v>
      </c>
      <c r="K172" s="17" t="s">
        <v>16</v>
      </c>
      <c r="L172" s="18">
        <v>0</v>
      </c>
      <c r="M172" s="23">
        <f t="shared" si="24"/>
        <v>0</v>
      </c>
    </row>
    <row r="173" spans="1:13" ht="25.5" x14ac:dyDescent="0.55000000000000004">
      <c r="A173" s="10">
        <v>169</v>
      </c>
      <c r="B173" s="19" t="s">
        <v>184</v>
      </c>
      <c r="C173" s="47">
        <v>0</v>
      </c>
      <c r="D173" s="87">
        <v>0</v>
      </c>
      <c r="E173" s="47">
        <f t="shared" si="21"/>
        <v>0</v>
      </c>
      <c r="F173" s="87">
        <v>0</v>
      </c>
      <c r="G173" s="47">
        <f t="shared" si="22"/>
        <v>0</v>
      </c>
      <c r="H173" s="88"/>
      <c r="I173" s="20">
        <v>120</v>
      </c>
      <c r="J173" s="82">
        <f t="shared" si="23"/>
        <v>0</v>
      </c>
      <c r="K173" s="17" t="s">
        <v>16</v>
      </c>
      <c r="L173" s="18">
        <v>0</v>
      </c>
      <c r="M173" s="23">
        <f t="shared" si="24"/>
        <v>0</v>
      </c>
    </row>
    <row r="174" spans="1:13" ht="25.5" x14ac:dyDescent="0.55000000000000004">
      <c r="A174" s="10">
        <v>170</v>
      </c>
      <c r="B174" s="19" t="s">
        <v>185</v>
      </c>
      <c r="C174" s="47">
        <v>0</v>
      </c>
      <c r="D174" s="87">
        <v>0</v>
      </c>
      <c r="E174" s="47">
        <f t="shared" si="21"/>
        <v>0</v>
      </c>
      <c r="F174" s="87">
        <v>0</v>
      </c>
      <c r="G174" s="47">
        <f t="shared" si="22"/>
        <v>0</v>
      </c>
      <c r="H174" s="88"/>
      <c r="I174" s="20">
        <v>120</v>
      </c>
      <c r="J174" s="82">
        <f t="shared" si="23"/>
        <v>0</v>
      </c>
      <c r="K174" s="17" t="s">
        <v>16</v>
      </c>
      <c r="L174" s="18">
        <v>0</v>
      </c>
      <c r="M174" s="23">
        <f t="shared" si="24"/>
        <v>0</v>
      </c>
    </row>
    <row r="175" spans="1:13" ht="25.5" x14ac:dyDescent="0.55000000000000004">
      <c r="A175" s="10">
        <v>171</v>
      </c>
      <c r="B175" s="19" t="s">
        <v>186</v>
      </c>
      <c r="C175" s="47">
        <v>0</v>
      </c>
      <c r="D175" s="87">
        <v>0</v>
      </c>
      <c r="E175" s="47">
        <f t="shared" si="21"/>
        <v>0</v>
      </c>
      <c r="F175" s="87">
        <v>0</v>
      </c>
      <c r="G175" s="47">
        <f t="shared" si="22"/>
        <v>0</v>
      </c>
      <c r="H175" s="88"/>
      <c r="I175" s="20">
        <v>55</v>
      </c>
      <c r="J175" s="82">
        <f t="shared" si="23"/>
        <v>0</v>
      </c>
      <c r="K175" s="17" t="s">
        <v>16</v>
      </c>
      <c r="L175" s="18">
        <v>0</v>
      </c>
      <c r="M175" s="23">
        <f t="shared" si="24"/>
        <v>0</v>
      </c>
    </row>
    <row r="176" spans="1:13" ht="25.5" x14ac:dyDescent="0.55000000000000004">
      <c r="A176" s="10">
        <v>172</v>
      </c>
      <c r="B176" s="19" t="s">
        <v>187</v>
      </c>
      <c r="C176" s="47">
        <v>0</v>
      </c>
      <c r="D176" s="87">
        <v>0</v>
      </c>
      <c r="E176" s="47">
        <f t="shared" si="21"/>
        <v>0</v>
      </c>
      <c r="F176" s="87">
        <v>0</v>
      </c>
      <c r="G176" s="47">
        <f t="shared" si="22"/>
        <v>0</v>
      </c>
      <c r="H176" s="88"/>
      <c r="I176" s="20">
        <v>50</v>
      </c>
      <c r="J176" s="82">
        <f t="shared" si="23"/>
        <v>0</v>
      </c>
      <c r="K176" s="17" t="s">
        <v>16</v>
      </c>
      <c r="L176" s="18">
        <v>0</v>
      </c>
      <c r="M176" s="23">
        <f t="shared" si="24"/>
        <v>0</v>
      </c>
    </row>
    <row r="177" spans="1:13" ht="25.5" x14ac:dyDescent="0.55000000000000004">
      <c r="A177" s="10">
        <v>173</v>
      </c>
      <c r="B177" s="19" t="s">
        <v>188</v>
      </c>
      <c r="C177" s="47">
        <v>3</v>
      </c>
      <c r="D177" s="87">
        <v>0</v>
      </c>
      <c r="E177" s="47">
        <f t="shared" si="21"/>
        <v>3</v>
      </c>
      <c r="F177" s="87">
        <v>0</v>
      </c>
      <c r="G177" s="47">
        <f t="shared" si="22"/>
        <v>3</v>
      </c>
      <c r="H177" s="88"/>
      <c r="I177" s="20">
        <v>50</v>
      </c>
      <c r="J177" s="82">
        <f t="shared" si="23"/>
        <v>0</v>
      </c>
      <c r="K177" s="17" t="s">
        <v>16</v>
      </c>
      <c r="L177" s="18">
        <v>0</v>
      </c>
      <c r="M177" s="23">
        <f t="shared" si="24"/>
        <v>0</v>
      </c>
    </row>
    <row r="178" spans="1:13" ht="25.5" x14ac:dyDescent="0.55000000000000004">
      <c r="A178" s="10">
        <v>174</v>
      </c>
      <c r="B178" s="19" t="s">
        <v>189</v>
      </c>
      <c r="C178" s="79">
        <v>0</v>
      </c>
      <c r="D178" s="87">
        <v>0</v>
      </c>
      <c r="E178" s="47">
        <f t="shared" si="21"/>
        <v>0</v>
      </c>
      <c r="F178" s="87">
        <v>0</v>
      </c>
      <c r="G178" s="47">
        <f t="shared" si="22"/>
        <v>0</v>
      </c>
      <c r="H178" s="88"/>
      <c r="I178" s="20">
        <v>120</v>
      </c>
      <c r="J178" s="82">
        <f t="shared" si="23"/>
        <v>0</v>
      </c>
      <c r="K178" s="17" t="s">
        <v>16</v>
      </c>
      <c r="L178" s="18">
        <v>0</v>
      </c>
      <c r="M178" s="23">
        <f t="shared" si="24"/>
        <v>0</v>
      </c>
    </row>
    <row r="179" spans="1:13" ht="25.5" x14ac:dyDescent="0.55000000000000004">
      <c r="A179" s="10">
        <v>175</v>
      </c>
      <c r="B179" s="19" t="s">
        <v>190</v>
      </c>
      <c r="C179" s="79">
        <v>4</v>
      </c>
      <c r="D179" s="87">
        <v>0</v>
      </c>
      <c r="E179" s="47">
        <f t="shared" si="21"/>
        <v>4</v>
      </c>
      <c r="F179" s="87">
        <v>0</v>
      </c>
      <c r="G179" s="47">
        <f t="shared" si="22"/>
        <v>4</v>
      </c>
      <c r="H179" s="88"/>
      <c r="I179" s="20">
        <v>120</v>
      </c>
      <c r="J179" s="82">
        <f t="shared" si="23"/>
        <v>0</v>
      </c>
      <c r="K179" s="17" t="s">
        <v>16</v>
      </c>
      <c r="L179" s="18">
        <v>0</v>
      </c>
      <c r="M179" s="23">
        <f t="shared" si="24"/>
        <v>0</v>
      </c>
    </row>
    <row r="180" spans="1:13" ht="25.5" x14ac:dyDescent="0.55000000000000004">
      <c r="A180" s="10">
        <v>176</v>
      </c>
      <c r="B180" s="19" t="s">
        <v>191</v>
      </c>
      <c r="C180" s="47">
        <v>0</v>
      </c>
      <c r="D180" s="87">
        <v>0</v>
      </c>
      <c r="E180" s="47">
        <f t="shared" si="21"/>
        <v>0</v>
      </c>
      <c r="F180" s="87">
        <v>0</v>
      </c>
      <c r="G180" s="47">
        <f t="shared" si="22"/>
        <v>0</v>
      </c>
      <c r="H180" s="88"/>
      <c r="I180" s="20">
        <v>10</v>
      </c>
      <c r="J180" s="82">
        <f t="shared" si="23"/>
        <v>0</v>
      </c>
      <c r="K180" s="17" t="s">
        <v>16</v>
      </c>
      <c r="L180" s="18">
        <v>0</v>
      </c>
      <c r="M180" s="23">
        <f t="shared" si="24"/>
        <v>0</v>
      </c>
    </row>
    <row r="181" spans="1:13" ht="25.5" x14ac:dyDescent="0.55000000000000004">
      <c r="A181" s="10">
        <v>177</v>
      </c>
      <c r="B181" s="19" t="s">
        <v>192</v>
      </c>
      <c r="C181" s="47">
        <v>0</v>
      </c>
      <c r="D181" s="87">
        <v>0</v>
      </c>
      <c r="E181" s="47">
        <f t="shared" si="21"/>
        <v>0</v>
      </c>
      <c r="F181" s="87">
        <v>0</v>
      </c>
      <c r="G181" s="47">
        <f t="shared" si="22"/>
        <v>0</v>
      </c>
      <c r="H181" s="88"/>
      <c r="I181" s="20">
        <v>35</v>
      </c>
      <c r="J181" s="82">
        <f t="shared" si="23"/>
        <v>0</v>
      </c>
      <c r="K181" s="17" t="s">
        <v>16</v>
      </c>
      <c r="L181" s="18">
        <v>0</v>
      </c>
      <c r="M181" s="23">
        <f t="shared" si="24"/>
        <v>0</v>
      </c>
    </row>
    <row r="182" spans="1:13" ht="25.5" x14ac:dyDescent="0.55000000000000004">
      <c r="A182" s="10">
        <v>178</v>
      </c>
      <c r="B182" s="19" t="s">
        <v>193</v>
      </c>
      <c r="C182" s="47">
        <v>0</v>
      </c>
      <c r="D182" s="87">
        <v>0</v>
      </c>
      <c r="E182" s="47">
        <f t="shared" si="21"/>
        <v>0</v>
      </c>
      <c r="F182" s="87">
        <v>0</v>
      </c>
      <c r="G182" s="47">
        <f t="shared" si="22"/>
        <v>0</v>
      </c>
      <c r="H182" s="88"/>
      <c r="I182" s="20">
        <v>10</v>
      </c>
      <c r="J182" s="82">
        <f t="shared" si="23"/>
        <v>0</v>
      </c>
      <c r="K182" s="17" t="s">
        <v>16</v>
      </c>
      <c r="L182" s="18">
        <v>0</v>
      </c>
      <c r="M182" s="23">
        <f t="shared" si="24"/>
        <v>0</v>
      </c>
    </row>
    <row r="183" spans="1:13" ht="25.5" x14ac:dyDescent="0.55000000000000004">
      <c r="A183" s="10">
        <v>179</v>
      </c>
      <c r="B183" s="19" t="s">
        <v>194</v>
      </c>
      <c r="C183" s="47">
        <v>0</v>
      </c>
      <c r="D183" s="87">
        <v>0</v>
      </c>
      <c r="E183" s="47">
        <f t="shared" si="21"/>
        <v>0</v>
      </c>
      <c r="F183" s="87">
        <v>0</v>
      </c>
      <c r="G183" s="47">
        <f t="shared" si="22"/>
        <v>0</v>
      </c>
      <c r="H183" s="88"/>
      <c r="I183" s="20">
        <v>10</v>
      </c>
      <c r="J183" s="82">
        <f t="shared" si="23"/>
        <v>0</v>
      </c>
      <c r="K183" s="17" t="s">
        <v>16</v>
      </c>
      <c r="L183" s="18">
        <v>0</v>
      </c>
      <c r="M183" s="23">
        <f t="shared" si="24"/>
        <v>0</v>
      </c>
    </row>
    <row r="184" spans="1:13" ht="25.5" x14ac:dyDescent="0.55000000000000004">
      <c r="A184" s="10">
        <v>180</v>
      </c>
      <c r="B184" s="19" t="s">
        <v>195</v>
      </c>
      <c r="C184" s="47">
        <v>0</v>
      </c>
      <c r="D184" s="87">
        <v>0</v>
      </c>
      <c r="E184" s="47">
        <f t="shared" si="21"/>
        <v>0</v>
      </c>
      <c r="F184" s="87">
        <v>0</v>
      </c>
      <c r="G184" s="47">
        <f t="shared" si="22"/>
        <v>0</v>
      </c>
      <c r="H184" s="88"/>
      <c r="I184" s="20">
        <v>10</v>
      </c>
      <c r="J184" s="82">
        <f t="shared" si="23"/>
        <v>0</v>
      </c>
      <c r="K184" s="17" t="s">
        <v>16</v>
      </c>
      <c r="L184" s="18">
        <v>0</v>
      </c>
      <c r="M184" s="23">
        <f t="shared" si="24"/>
        <v>0</v>
      </c>
    </row>
    <row r="185" spans="1:13" ht="25.5" x14ac:dyDescent="0.55000000000000004">
      <c r="A185" s="10">
        <v>181</v>
      </c>
      <c r="B185" s="19" t="s">
        <v>196</v>
      </c>
      <c r="C185" s="47">
        <v>0</v>
      </c>
      <c r="D185" s="87">
        <v>0</v>
      </c>
      <c r="E185" s="47">
        <f t="shared" si="21"/>
        <v>0</v>
      </c>
      <c r="F185" s="87">
        <v>0</v>
      </c>
      <c r="G185" s="47">
        <f t="shared" si="22"/>
        <v>0</v>
      </c>
      <c r="H185" s="88"/>
      <c r="I185" s="20">
        <v>10</v>
      </c>
      <c r="J185" s="82">
        <f t="shared" si="23"/>
        <v>0</v>
      </c>
      <c r="K185" s="17" t="s">
        <v>16</v>
      </c>
      <c r="L185" s="18">
        <v>0</v>
      </c>
      <c r="M185" s="23">
        <f t="shared" si="24"/>
        <v>0</v>
      </c>
    </row>
    <row r="186" spans="1:13" ht="25.5" x14ac:dyDescent="0.55000000000000004">
      <c r="A186" s="10">
        <v>182</v>
      </c>
      <c r="B186" s="19" t="s">
        <v>197</v>
      </c>
      <c r="C186" s="47">
        <v>0</v>
      </c>
      <c r="D186" s="87">
        <v>0</v>
      </c>
      <c r="E186" s="47">
        <f t="shared" si="21"/>
        <v>0</v>
      </c>
      <c r="F186" s="87">
        <v>0</v>
      </c>
      <c r="G186" s="47">
        <f t="shared" si="22"/>
        <v>0</v>
      </c>
      <c r="H186" s="88"/>
      <c r="I186" s="20">
        <v>10</v>
      </c>
      <c r="J186" s="82">
        <f t="shared" si="23"/>
        <v>0</v>
      </c>
      <c r="K186" s="17" t="s">
        <v>16</v>
      </c>
      <c r="L186" s="18">
        <v>0</v>
      </c>
      <c r="M186" s="23">
        <f t="shared" si="24"/>
        <v>0</v>
      </c>
    </row>
    <row r="187" spans="1:13" ht="25.5" x14ac:dyDescent="0.55000000000000004">
      <c r="A187" s="10">
        <v>183</v>
      </c>
      <c r="B187" s="19" t="s">
        <v>198</v>
      </c>
      <c r="C187" s="47">
        <v>0</v>
      </c>
      <c r="D187" s="87">
        <v>0</v>
      </c>
      <c r="E187" s="47">
        <f t="shared" si="21"/>
        <v>0</v>
      </c>
      <c r="F187" s="87">
        <v>0</v>
      </c>
      <c r="G187" s="47">
        <f t="shared" si="22"/>
        <v>0</v>
      </c>
      <c r="H187" s="88"/>
      <c r="I187" s="20">
        <v>25</v>
      </c>
      <c r="J187" s="82">
        <f t="shared" si="23"/>
        <v>0</v>
      </c>
      <c r="K187" s="17" t="s">
        <v>16</v>
      </c>
      <c r="L187" s="18">
        <v>0</v>
      </c>
      <c r="M187" s="23">
        <f t="shared" si="24"/>
        <v>0</v>
      </c>
    </row>
    <row r="188" spans="1:13" ht="25.5" x14ac:dyDescent="0.55000000000000004">
      <c r="A188" s="10">
        <v>184</v>
      </c>
      <c r="B188" s="19" t="s">
        <v>249</v>
      </c>
      <c r="C188" s="47">
        <v>0</v>
      </c>
      <c r="D188" s="87">
        <v>0</v>
      </c>
      <c r="E188" s="47">
        <f t="shared" si="21"/>
        <v>0</v>
      </c>
      <c r="F188" s="87">
        <v>0</v>
      </c>
      <c r="G188" s="47">
        <f t="shared" si="22"/>
        <v>0</v>
      </c>
      <c r="H188" s="88"/>
      <c r="I188" s="20">
        <v>50</v>
      </c>
      <c r="J188" s="82">
        <f t="shared" si="23"/>
        <v>0</v>
      </c>
      <c r="K188" s="17" t="s">
        <v>16</v>
      </c>
      <c r="L188" s="18">
        <v>0</v>
      </c>
      <c r="M188" s="23">
        <f t="shared" si="24"/>
        <v>0</v>
      </c>
    </row>
    <row r="189" spans="1:13" ht="25.5" x14ac:dyDescent="0.55000000000000004">
      <c r="A189" s="10">
        <v>185</v>
      </c>
      <c r="B189" s="19" t="s">
        <v>250</v>
      </c>
      <c r="C189" s="47">
        <v>0</v>
      </c>
      <c r="D189" s="87">
        <v>0</v>
      </c>
      <c r="E189" s="47">
        <f t="shared" si="21"/>
        <v>0</v>
      </c>
      <c r="F189" s="87">
        <v>0</v>
      </c>
      <c r="G189" s="47">
        <f t="shared" si="22"/>
        <v>0</v>
      </c>
      <c r="H189" s="88"/>
      <c r="I189" s="20">
        <v>10</v>
      </c>
      <c r="J189" s="82">
        <f t="shared" si="23"/>
        <v>0</v>
      </c>
      <c r="K189" s="17" t="s">
        <v>16</v>
      </c>
      <c r="L189" s="18">
        <v>0</v>
      </c>
      <c r="M189" s="23">
        <f t="shared" si="24"/>
        <v>0</v>
      </c>
    </row>
    <row r="190" spans="1:13" ht="25.5" x14ac:dyDescent="0.55000000000000004">
      <c r="A190" s="10">
        <v>186</v>
      </c>
      <c r="B190" s="19" t="s">
        <v>251</v>
      </c>
      <c r="C190" s="47">
        <v>0</v>
      </c>
      <c r="D190" s="87">
        <v>0</v>
      </c>
      <c r="E190" s="47">
        <f t="shared" si="21"/>
        <v>0</v>
      </c>
      <c r="F190" s="87">
        <v>0</v>
      </c>
      <c r="G190" s="47">
        <f t="shared" si="22"/>
        <v>0</v>
      </c>
      <c r="H190" s="88"/>
      <c r="I190" s="20">
        <v>15</v>
      </c>
      <c r="J190" s="82">
        <f t="shared" si="23"/>
        <v>0</v>
      </c>
      <c r="K190" s="17" t="s">
        <v>16</v>
      </c>
      <c r="L190" s="18">
        <v>0</v>
      </c>
      <c r="M190" s="23">
        <f t="shared" si="24"/>
        <v>0</v>
      </c>
    </row>
    <row r="191" spans="1:13" ht="25.5" x14ac:dyDescent="0.55000000000000004">
      <c r="A191" s="10">
        <v>187</v>
      </c>
      <c r="B191" s="19" t="s">
        <v>252</v>
      </c>
      <c r="C191" s="47">
        <v>0</v>
      </c>
      <c r="D191" s="87">
        <v>0</v>
      </c>
      <c r="E191" s="47">
        <f t="shared" si="21"/>
        <v>0</v>
      </c>
      <c r="F191" s="87">
        <v>0</v>
      </c>
      <c r="G191" s="47">
        <f t="shared" si="22"/>
        <v>0</v>
      </c>
      <c r="H191" s="88"/>
      <c r="I191" s="20">
        <v>25</v>
      </c>
      <c r="J191" s="82">
        <f t="shared" si="23"/>
        <v>0</v>
      </c>
      <c r="K191" s="17" t="s">
        <v>16</v>
      </c>
      <c r="L191" s="18">
        <v>0</v>
      </c>
      <c r="M191" s="23">
        <f t="shared" si="24"/>
        <v>0</v>
      </c>
    </row>
    <row r="192" spans="1:13" ht="25.5" x14ac:dyDescent="0.55000000000000004">
      <c r="A192" s="10">
        <v>188</v>
      </c>
      <c r="B192" s="19" t="s">
        <v>253</v>
      </c>
      <c r="C192" s="47">
        <v>0</v>
      </c>
      <c r="D192" s="87">
        <v>0</v>
      </c>
      <c r="E192" s="47">
        <f t="shared" si="21"/>
        <v>0</v>
      </c>
      <c r="F192" s="87">
        <v>0</v>
      </c>
      <c r="G192" s="47">
        <f t="shared" si="22"/>
        <v>0</v>
      </c>
      <c r="H192" s="88"/>
      <c r="I192" s="20">
        <v>50</v>
      </c>
      <c r="J192" s="82">
        <f t="shared" si="23"/>
        <v>0</v>
      </c>
      <c r="K192" s="17" t="s">
        <v>16</v>
      </c>
      <c r="L192" s="18">
        <v>0</v>
      </c>
      <c r="M192" s="23">
        <f t="shared" si="24"/>
        <v>0</v>
      </c>
    </row>
    <row r="193" spans="1:13" ht="25.5" x14ac:dyDescent="0.55000000000000004">
      <c r="A193" s="10">
        <v>189</v>
      </c>
      <c r="B193" s="19" t="s">
        <v>254</v>
      </c>
      <c r="C193" s="47">
        <v>0</v>
      </c>
      <c r="D193" s="87">
        <v>0</v>
      </c>
      <c r="E193" s="47">
        <f t="shared" si="21"/>
        <v>0</v>
      </c>
      <c r="F193" s="87">
        <v>0</v>
      </c>
      <c r="G193" s="47">
        <f t="shared" si="22"/>
        <v>0</v>
      </c>
      <c r="H193" s="88"/>
      <c r="I193" s="20">
        <v>45</v>
      </c>
      <c r="J193" s="82">
        <f t="shared" si="23"/>
        <v>0</v>
      </c>
      <c r="K193" s="17" t="s">
        <v>16</v>
      </c>
      <c r="L193" s="18">
        <v>0</v>
      </c>
      <c r="M193" s="23">
        <f t="shared" si="24"/>
        <v>0</v>
      </c>
    </row>
    <row r="194" spans="1:13" ht="25.5" x14ac:dyDescent="0.55000000000000004">
      <c r="A194" s="10">
        <v>190</v>
      </c>
      <c r="B194" s="19" t="s">
        <v>255</v>
      </c>
      <c r="C194" s="47">
        <v>0</v>
      </c>
      <c r="D194" s="87">
        <v>0</v>
      </c>
      <c r="E194" s="47">
        <f t="shared" si="21"/>
        <v>0</v>
      </c>
      <c r="F194" s="87">
        <v>0</v>
      </c>
      <c r="G194" s="47">
        <f t="shared" si="22"/>
        <v>0</v>
      </c>
      <c r="H194" s="88"/>
      <c r="I194" s="20">
        <v>50</v>
      </c>
      <c r="J194" s="82">
        <f t="shared" si="23"/>
        <v>0</v>
      </c>
      <c r="K194" s="17" t="s">
        <v>16</v>
      </c>
      <c r="L194" s="18">
        <v>0</v>
      </c>
      <c r="M194" s="23">
        <f t="shared" si="24"/>
        <v>0</v>
      </c>
    </row>
    <row r="195" spans="1:13" ht="25.5" x14ac:dyDescent="0.55000000000000004">
      <c r="A195" s="10">
        <v>191</v>
      </c>
      <c r="B195" s="19" t="s">
        <v>199</v>
      </c>
      <c r="C195" s="47">
        <v>0</v>
      </c>
      <c r="D195" s="87">
        <v>0</v>
      </c>
      <c r="E195" s="47">
        <f t="shared" si="21"/>
        <v>0</v>
      </c>
      <c r="F195" s="87">
        <v>0</v>
      </c>
      <c r="G195" s="47">
        <f t="shared" si="22"/>
        <v>0</v>
      </c>
      <c r="H195" s="88"/>
      <c r="I195" s="20">
        <v>150</v>
      </c>
      <c r="J195" s="82">
        <f t="shared" si="23"/>
        <v>0</v>
      </c>
      <c r="K195" s="17" t="s">
        <v>16</v>
      </c>
      <c r="L195" s="18">
        <v>0</v>
      </c>
      <c r="M195" s="23">
        <f t="shared" si="24"/>
        <v>0</v>
      </c>
    </row>
    <row r="196" spans="1:13" ht="25.5" x14ac:dyDescent="0.55000000000000004">
      <c r="A196" s="10">
        <v>192</v>
      </c>
      <c r="B196" s="19" t="s">
        <v>200</v>
      </c>
      <c r="C196" s="47">
        <v>0</v>
      </c>
      <c r="D196" s="87">
        <v>0</v>
      </c>
      <c r="E196" s="47">
        <f t="shared" si="21"/>
        <v>0</v>
      </c>
      <c r="F196" s="87">
        <v>0</v>
      </c>
      <c r="G196" s="47">
        <f t="shared" si="22"/>
        <v>0</v>
      </c>
      <c r="H196" s="88"/>
      <c r="I196" s="20">
        <v>150</v>
      </c>
      <c r="J196" s="82">
        <f t="shared" si="23"/>
        <v>0</v>
      </c>
      <c r="K196" s="17" t="s">
        <v>16</v>
      </c>
      <c r="L196" s="18">
        <v>0</v>
      </c>
      <c r="M196" s="23">
        <f t="shared" si="24"/>
        <v>0</v>
      </c>
    </row>
    <row r="197" spans="1:13" ht="25.5" x14ac:dyDescent="0.55000000000000004">
      <c r="A197" s="10">
        <v>193</v>
      </c>
      <c r="B197" s="19" t="s">
        <v>201</v>
      </c>
      <c r="C197" s="47">
        <v>0</v>
      </c>
      <c r="D197" s="87">
        <v>0</v>
      </c>
      <c r="E197" s="47">
        <f t="shared" si="21"/>
        <v>0</v>
      </c>
      <c r="F197" s="87">
        <v>0</v>
      </c>
      <c r="G197" s="47">
        <f t="shared" si="22"/>
        <v>0</v>
      </c>
      <c r="H197" s="88"/>
      <c r="I197" s="20">
        <v>150</v>
      </c>
      <c r="J197" s="82">
        <f t="shared" si="23"/>
        <v>0</v>
      </c>
      <c r="K197" s="17" t="s">
        <v>16</v>
      </c>
      <c r="L197" s="18">
        <v>0</v>
      </c>
      <c r="M197" s="23">
        <f t="shared" si="24"/>
        <v>0</v>
      </c>
    </row>
    <row r="198" spans="1:13" ht="25.5" x14ac:dyDescent="0.55000000000000004">
      <c r="A198" s="10">
        <v>194</v>
      </c>
      <c r="B198" s="19" t="s">
        <v>256</v>
      </c>
      <c r="C198" s="47">
        <v>0</v>
      </c>
      <c r="D198" s="87">
        <v>0</v>
      </c>
      <c r="E198" s="47">
        <f t="shared" si="21"/>
        <v>0</v>
      </c>
      <c r="F198" s="87">
        <v>0</v>
      </c>
      <c r="G198" s="47">
        <f t="shared" si="22"/>
        <v>0</v>
      </c>
      <c r="H198" s="88"/>
      <c r="I198" s="20">
        <v>55</v>
      </c>
      <c r="J198" s="82">
        <f t="shared" si="23"/>
        <v>0</v>
      </c>
      <c r="K198" s="17" t="s">
        <v>16</v>
      </c>
      <c r="L198" s="18">
        <v>0</v>
      </c>
      <c r="M198" s="23">
        <f t="shared" si="24"/>
        <v>0</v>
      </c>
    </row>
    <row r="199" spans="1:13" ht="25.5" x14ac:dyDescent="0.55000000000000004">
      <c r="A199" s="10">
        <v>195</v>
      </c>
      <c r="B199" s="19" t="s">
        <v>257</v>
      </c>
      <c r="C199" s="47">
        <v>0</v>
      </c>
      <c r="D199" s="87">
        <v>0</v>
      </c>
      <c r="E199" s="47">
        <f t="shared" si="21"/>
        <v>0</v>
      </c>
      <c r="F199" s="87">
        <v>0</v>
      </c>
      <c r="G199" s="47">
        <f t="shared" si="22"/>
        <v>0</v>
      </c>
      <c r="H199" s="88"/>
      <c r="I199" s="20">
        <v>30</v>
      </c>
      <c r="J199" s="82">
        <f t="shared" si="23"/>
        <v>0</v>
      </c>
      <c r="K199" s="17" t="s">
        <v>16</v>
      </c>
      <c r="L199" s="18">
        <v>0</v>
      </c>
      <c r="M199" s="23">
        <f t="shared" si="24"/>
        <v>0</v>
      </c>
    </row>
    <row r="200" spans="1:13" ht="25.5" x14ac:dyDescent="0.55000000000000004">
      <c r="A200" s="10">
        <v>196</v>
      </c>
      <c r="B200" s="19" t="s">
        <v>258</v>
      </c>
      <c r="C200" s="47">
        <v>0</v>
      </c>
      <c r="D200" s="87">
        <v>0</v>
      </c>
      <c r="E200" s="47">
        <f t="shared" si="21"/>
        <v>0</v>
      </c>
      <c r="F200" s="87">
        <v>0</v>
      </c>
      <c r="G200" s="47">
        <f t="shared" si="22"/>
        <v>0</v>
      </c>
      <c r="H200" s="88"/>
      <c r="I200" s="20">
        <v>30</v>
      </c>
      <c r="J200" s="82">
        <f t="shared" si="23"/>
        <v>0</v>
      </c>
      <c r="K200" s="17" t="s">
        <v>16</v>
      </c>
      <c r="L200" s="18">
        <v>0</v>
      </c>
      <c r="M200" s="23">
        <f t="shared" si="24"/>
        <v>0</v>
      </c>
    </row>
    <row r="201" spans="1:13" ht="25.5" x14ac:dyDescent="0.55000000000000004">
      <c r="A201" s="10">
        <v>197</v>
      </c>
      <c r="B201" s="19" t="s">
        <v>259</v>
      </c>
      <c r="C201" s="47">
        <v>0</v>
      </c>
      <c r="D201" s="87">
        <v>0</v>
      </c>
      <c r="E201" s="47">
        <f t="shared" si="21"/>
        <v>0</v>
      </c>
      <c r="F201" s="87">
        <v>0</v>
      </c>
      <c r="G201" s="47">
        <f t="shared" si="22"/>
        <v>0</v>
      </c>
      <c r="H201" s="88"/>
      <c r="I201" s="20">
        <v>30</v>
      </c>
      <c r="J201" s="82">
        <f t="shared" si="23"/>
        <v>0</v>
      </c>
      <c r="K201" s="17" t="s">
        <v>16</v>
      </c>
      <c r="L201" s="18">
        <v>0</v>
      </c>
      <c r="M201" s="23">
        <f t="shared" si="24"/>
        <v>0</v>
      </c>
    </row>
    <row r="202" spans="1:13" ht="25.5" x14ac:dyDescent="0.55000000000000004">
      <c r="A202" s="10">
        <v>198</v>
      </c>
      <c r="B202" s="19" t="s">
        <v>260</v>
      </c>
      <c r="C202" s="47">
        <v>0</v>
      </c>
      <c r="D202" s="87">
        <v>0</v>
      </c>
      <c r="E202" s="47">
        <f t="shared" si="21"/>
        <v>0</v>
      </c>
      <c r="F202" s="87">
        <v>0</v>
      </c>
      <c r="G202" s="47">
        <f t="shared" si="22"/>
        <v>0</v>
      </c>
      <c r="H202" s="88"/>
      <c r="I202" s="20">
        <v>30</v>
      </c>
      <c r="J202" s="82">
        <f t="shared" si="23"/>
        <v>0</v>
      </c>
      <c r="K202" s="17" t="s">
        <v>16</v>
      </c>
      <c r="L202" s="18">
        <v>0</v>
      </c>
      <c r="M202" s="23">
        <f t="shared" si="24"/>
        <v>0</v>
      </c>
    </row>
    <row r="203" spans="1:13" ht="25.5" x14ac:dyDescent="0.55000000000000004">
      <c r="A203" s="10">
        <v>199</v>
      </c>
      <c r="B203" s="11" t="s">
        <v>261</v>
      </c>
      <c r="C203" s="47">
        <v>0</v>
      </c>
      <c r="D203" s="87">
        <v>0</v>
      </c>
      <c r="E203" s="47">
        <f t="shared" si="21"/>
        <v>0</v>
      </c>
      <c r="F203" s="87">
        <v>0</v>
      </c>
      <c r="G203" s="47">
        <f t="shared" si="22"/>
        <v>0</v>
      </c>
      <c r="H203" s="88"/>
      <c r="I203" s="20">
        <v>30</v>
      </c>
      <c r="J203" s="82">
        <f t="shared" si="23"/>
        <v>0</v>
      </c>
      <c r="K203" s="17" t="s">
        <v>16</v>
      </c>
      <c r="L203" s="18">
        <v>0</v>
      </c>
      <c r="M203" s="23">
        <f t="shared" si="24"/>
        <v>0</v>
      </c>
    </row>
    <row r="204" spans="1:13" ht="25.5" x14ac:dyDescent="0.55000000000000004">
      <c r="A204" s="10">
        <v>200</v>
      </c>
      <c r="B204" s="11" t="s">
        <v>262</v>
      </c>
      <c r="C204" s="47">
        <v>0</v>
      </c>
      <c r="D204" s="87">
        <v>0</v>
      </c>
      <c r="E204" s="47">
        <f t="shared" si="21"/>
        <v>0</v>
      </c>
      <c r="F204" s="87">
        <v>0</v>
      </c>
      <c r="G204" s="47">
        <f t="shared" si="22"/>
        <v>0</v>
      </c>
      <c r="H204" s="88"/>
      <c r="I204" s="20">
        <v>30</v>
      </c>
      <c r="J204" s="82">
        <f t="shared" si="23"/>
        <v>0</v>
      </c>
      <c r="K204" s="17" t="s">
        <v>16</v>
      </c>
      <c r="L204" s="18">
        <v>0</v>
      </c>
      <c r="M204" s="23">
        <f t="shared" si="24"/>
        <v>0</v>
      </c>
    </row>
    <row r="205" spans="1:13" ht="25.5" x14ac:dyDescent="0.55000000000000004">
      <c r="A205" s="10">
        <v>201</v>
      </c>
      <c r="B205" s="11" t="s">
        <v>263</v>
      </c>
      <c r="C205" s="47">
        <v>0</v>
      </c>
      <c r="D205" s="87">
        <v>0</v>
      </c>
      <c r="E205" s="47">
        <f t="shared" si="21"/>
        <v>0</v>
      </c>
      <c r="F205" s="87">
        <v>0</v>
      </c>
      <c r="G205" s="47">
        <f t="shared" si="22"/>
        <v>0</v>
      </c>
      <c r="H205" s="88"/>
      <c r="I205" s="20">
        <v>50</v>
      </c>
      <c r="J205" s="82">
        <f t="shared" si="23"/>
        <v>0</v>
      </c>
      <c r="K205" s="17" t="s">
        <v>16</v>
      </c>
      <c r="L205" s="18">
        <v>0</v>
      </c>
      <c r="M205" s="23">
        <f t="shared" si="24"/>
        <v>0</v>
      </c>
    </row>
    <row r="206" spans="1:13" ht="25.5" x14ac:dyDescent="0.55000000000000004">
      <c r="A206" s="10">
        <v>202</v>
      </c>
      <c r="B206" s="11" t="s">
        <v>264</v>
      </c>
      <c r="C206" s="47">
        <v>0</v>
      </c>
      <c r="D206" s="87">
        <v>0</v>
      </c>
      <c r="E206" s="47">
        <f t="shared" si="21"/>
        <v>0</v>
      </c>
      <c r="F206" s="87">
        <v>0</v>
      </c>
      <c r="G206" s="47">
        <f t="shared" si="22"/>
        <v>0</v>
      </c>
      <c r="H206" s="88"/>
      <c r="I206" s="20">
        <v>100</v>
      </c>
      <c r="J206" s="82">
        <f t="shared" si="23"/>
        <v>0</v>
      </c>
      <c r="K206" s="17" t="s">
        <v>16</v>
      </c>
      <c r="L206" s="18">
        <v>0</v>
      </c>
      <c r="M206" s="23">
        <f t="shared" si="24"/>
        <v>0</v>
      </c>
    </row>
    <row r="207" spans="1:13" ht="25.5" x14ac:dyDescent="0.55000000000000004">
      <c r="A207" s="10">
        <v>203</v>
      </c>
      <c r="B207" s="11" t="s">
        <v>265</v>
      </c>
      <c r="C207" s="47">
        <v>0</v>
      </c>
      <c r="D207" s="87">
        <v>0</v>
      </c>
      <c r="E207" s="47">
        <f t="shared" si="21"/>
        <v>0</v>
      </c>
      <c r="F207" s="87">
        <v>0</v>
      </c>
      <c r="G207" s="47">
        <f t="shared" si="22"/>
        <v>0</v>
      </c>
      <c r="H207" s="88"/>
      <c r="I207" s="20">
        <v>100</v>
      </c>
      <c r="J207" s="82">
        <f t="shared" si="23"/>
        <v>0</v>
      </c>
      <c r="K207" s="17" t="s">
        <v>16</v>
      </c>
      <c r="L207" s="18">
        <v>0</v>
      </c>
      <c r="M207" s="23">
        <f t="shared" si="24"/>
        <v>0</v>
      </c>
    </row>
    <row r="208" spans="1:13" ht="25.5" x14ac:dyDescent="0.55000000000000004">
      <c r="A208" s="10">
        <v>204</v>
      </c>
      <c r="B208" s="11" t="s">
        <v>266</v>
      </c>
      <c r="C208" s="47">
        <v>0</v>
      </c>
      <c r="D208" s="87">
        <v>0</v>
      </c>
      <c r="E208" s="47">
        <f t="shared" ref="E208:E254" si="25">C208+D208</f>
        <v>0</v>
      </c>
      <c r="F208" s="87">
        <v>0</v>
      </c>
      <c r="G208" s="47">
        <f t="shared" ref="G208:G254" si="26">+E208-F208-H208</f>
        <v>0</v>
      </c>
      <c r="H208" s="88"/>
      <c r="I208" s="20">
        <v>100</v>
      </c>
      <c r="J208" s="82">
        <f t="shared" ref="J208:J254" si="27">+I208*H208</f>
        <v>0</v>
      </c>
      <c r="K208" s="17" t="s">
        <v>16</v>
      </c>
      <c r="L208" s="18">
        <v>0</v>
      </c>
      <c r="M208" s="23">
        <f t="shared" ref="M208:M254" si="28">SUM(J208-L208)</f>
        <v>0</v>
      </c>
    </row>
    <row r="209" spans="1:13" ht="25.5" x14ac:dyDescent="0.55000000000000004">
      <c r="A209" s="10">
        <v>205</v>
      </c>
      <c r="B209" s="11" t="s">
        <v>267</v>
      </c>
      <c r="C209" s="47">
        <v>0</v>
      </c>
      <c r="D209" s="87">
        <v>0</v>
      </c>
      <c r="E209" s="47">
        <f t="shared" si="25"/>
        <v>0</v>
      </c>
      <c r="F209" s="87">
        <v>0</v>
      </c>
      <c r="G209" s="47">
        <f t="shared" si="26"/>
        <v>0</v>
      </c>
      <c r="H209" s="88"/>
      <c r="I209" s="20">
        <v>100</v>
      </c>
      <c r="J209" s="82">
        <f t="shared" si="27"/>
        <v>0</v>
      </c>
      <c r="K209" s="17" t="s">
        <v>16</v>
      </c>
      <c r="L209" s="18">
        <v>0</v>
      </c>
      <c r="M209" s="23">
        <f t="shared" si="28"/>
        <v>0</v>
      </c>
    </row>
    <row r="210" spans="1:13" ht="25.5" x14ac:dyDescent="0.55000000000000004">
      <c r="A210" s="10">
        <v>206</v>
      </c>
      <c r="B210" s="11" t="s">
        <v>268</v>
      </c>
      <c r="C210" s="47">
        <v>0</v>
      </c>
      <c r="D210" s="87">
        <v>0</v>
      </c>
      <c r="E210" s="47">
        <f t="shared" si="25"/>
        <v>0</v>
      </c>
      <c r="F210" s="87">
        <v>0</v>
      </c>
      <c r="G210" s="47">
        <f t="shared" si="26"/>
        <v>0</v>
      </c>
      <c r="H210" s="88"/>
      <c r="I210" s="20">
        <v>250</v>
      </c>
      <c r="J210" s="82">
        <f t="shared" si="27"/>
        <v>0</v>
      </c>
      <c r="K210" s="17" t="s">
        <v>16</v>
      </c>
      <c r="L210" s="18">
        <v>0</v>
      </c>
      <c r="M210" s="23">
        <f t="shared" si="28"/>
        <v>0</v>
      </c>
    </row>
    <row r="211" spans="1:13" ht="25.5" x14ac:dyDescent="0.55000000000000004">
      <c r="A211" s="10">
        <v>207</v>
      </c>
      <c r="B211" s="11" t="s">
        <v>269</v>
      </c>
      <c r="C211" s="47">
        <v>0</v>
      </c>
      <c r="D211" s="87">
        <v>0</v>
      </c>
      <c r="E211" s="47">
        <f t="shared" si="25"/>
        <v>0</v>
      </c>
      <c r="F211" s="87">
        <v>0</v>
      </c>
      <c r="G211" s="47">
        <f t="shared" si="26"/>
        <v>0</v>
      </c>
      <c r="H211" s="88"/>
      <c r="I211" s="20">
        <v>250</v>
      </c>
      <c r="J211" s="82">
        <f t="shared" si="27"/>
        <v>0</v>
      </c>
      <c r="K211" s="17" t="s">
        <v>16</v>
      </c>
      <c r="L211" s="18">
        <v>0</v>
      </c>
      <c r="M211" s="23">
        <f t="shared" si="28"/>
        <v>0</v>
      </c>
    </row>
    <row r="212" spans="1:13" ht="25.5" x14ac:dyDescent="0.55000000000000004">
      <c r="A212" s="10">
        <v>208</v>
      </c>
      <c r="B212" s="11" t="s">
        <v>270</v>
      </c>
      <c r="C212" s="47">
        <v>0</v>
      </c>
      <c r="D212" s="87">
        <v>0</v>
      </c>
      <c r="E212" s="47">
        <f t="shared" si="25"/>
        <v>0</v>
      </c>
      <c r="F212" s="87">
        <v>0</v>
      </c>
      <c r="G212" s="47">
        <f t="shared" si="26"/>
        <v>0</v>
      </c>
      <c r="H212" s="88"/>
      <c r="I212" s="20">
        <v>250</v>
      </c>
      <c r="J212" s="82">
        <f t="shared" si="27"/>
        <v>0</v>
      </c>
      <c r="K212" s="17" t="s">
        <v>16</v>
      </c>
      <c r="L212" s="18">
        <v>0</v>
      </c>
      <c r="M212" s="23">
        <f t="shared" si="28"/>
        <v>0</v>
      </c>
    </row>
    <row r="213" spans="1:13" ht="25.5" x14ac:dyDescent="0.55000000000000004">
      <c r="A213" s="10">
        <v>209</v>
      </c>
      <c r="B213" s="11" t="s">
        <v>271</v>
      </c>
      <c r="C213" s="47">
        <v>0</v>
      </c>
      <c r="D213" s="87">
        <v>0</v>
      </c>
      <c r="E213" s="47">
        <f t="shared" si="25"/>
        <v>0</v>
      </c>
      <c r="F213" s="87">
        <v>0</v>
      </c>
      <c r="G213" s="47">
        <f t="shared" si="26"/>
        <v>0</v>
      </c>
      <c r="H213" s="88"/>
      <c r="I213" s="20">
        <v>50</v>
      </c>
      <c r="J213" s="82">
        <f t="shared" si="27"/>
        <v>0</v>
      </c>
      <c r="K213" s="17" t="s">
        <v>16</v>
      </c>
      <c r="L213" s="18">
        <v>0</v>
      </c>
      <c r="M213" s="23">
        <f t="shared" si="28"/>
        <v>0</v>
      </c>
    </row>
    <row r="214" spans="1:13" ht="25.5" x14ac:dyDescent="0.55000000000000004">
      <c r="A214" s="10">
        <v>210</v>
      </c>
      <c r="B214" s="11" t="s">
        <v>273</v>
      </c>
      <c r="C214" s="47">
        <v>0</v>
      </c>
      <c r="D214" s="87">
        <v>0</v>
      </c>
      <c r="E214" s="47">
        <f t="shared" si="25"/>
        <v>0</v>
      </c>
      <c r="F214" s="87">
        <v>0</v>
      </c>
      <c r="G214" s="47">
        <f t="shared" si="26"/>
        <v>0</v>
      </c>
      <c r="H214" s="88"/>
      <c r="I214" s="20">
        <v>50</v>
      </c>
      <c r="J214" s="82">
        <f t="shared" si="27"/>
        <v>0</v>
      </c>
      <c r="K214" s="17" t="s">
        <v>16</v>
      </c>
      <c r="L214" s="18">
        <v>0</v>
      </c>
      <c r="M214" s="23">
        <f t="shared" si="28"/>
        <v>0</v>
      </c>
    </row>
    <row r="215" spans="1:13" ht="25.5" x14ac:dyDescent="0.55000000000000004">
      <c r="A215" s="10">
        <v>211</v>
      </c>
      <c r="B215" s="11" t="s">
        <v>274</v>
      </c>
      <c r="C215" s="47">
        <v>0</v>
      </c>
      <c r="D215" s="87">
        <v>0</v>
      </c>
      <c r="E215" s="47">
        <f t="shared" si="25"/>
        <v>0</v>
      </c>
      <c r="F215" s="87">
        <v>0</v>
      </c>
      <c r="G215" s="47">
        <f t="shared" si="26"/>
        <v>0</v>
      </c>
      <c r="H215" s="88"/>
      <c r="I215" s="20">
        <v>50</v>
      </c>
      <c r="J215" s="82">
        <f t="shared" si="27"/>
        <v>0</v>
      </c>
      <c r="K215" s="17" t="s">
        <v>16</v>
      </c>
      <c r="L215" s="18">
        <v>0</v>
      </c>
      <c r="M215" s="23">
        <f t="shared" si="28"/>
        <v>0</v>
      </c>
    </row>
    <row r="216" spans="1:13" ht="25.5" x14ac:dyDescent="0.55000000000000004">
      <c r="A216" s="10">
        <v>212</v>
      </c>
      <c r="B216" s="11" t="s">
        <v>242</v>
      </c>
      <c r="C216" s="47">
        <v>0</v>
      </c>
      <c r="D216" s="87">
        <v>0</v>
      </c>
      <c r="E216" s="47">
        <f t="shared" si="25"/>
        <v>0</v>
      </c>
      <c r="F216" s="87">
        <v>0</v>
      </c>
      <c r="G216" s="47">
        <f t="shared" si="26"/>
        <v>0</v>
      </c>
      <c r="H216" s="88"/>
      <c r="I216" s="20">
        <v>35</v>
      </c>
      <c r="J216" s="82">
        <f t="shared" si="27"/>
        <v>0</v>
      </c>
      <c r="K216" s="17" t="s">
        <v>16</v>
      </c>
      <c r="L216" s="18">
        <v>0</v>
      </c>
      <c r="M216" s="23">
        <f t="shared" si="28"/>
        <v>0</v>
      </c>
    </row>
    <row r="217" spans="1:13" ht="25.5" x14ac:dyDescent="0.55000000000000004">
      <c r="A217" s="10">
        <v>213</v>
      </c>
      <c r="B217" s="11" t="s">
        <v>275</v>
      </c>
      <c r="C217" s="47">
        <v>0</v>
      </c>
      <c r="D217" s="87">
        <v>0</v>
      </c>
      <c r="E217" s="47">
        <f t="shared" si="25"/>
        <v>0</v>
      </c>
      <c r="F217" s="87">
        <v>0</v>
      </c>
      <c r="G217" s="47">
        <f t="shared" si="26"/>
        <v>0</v>
      </c>
      <c r="H217" s="88"/>
      <c r="I217" s="20">
        <v>199</v>
      </c>
      <c r="J217" s="82">
        <f t="shared" si="27"/>
        <v>0</v>
      </c>
      <c r="K217" s="17" t="s">
        <v>16</v>
      </c>
      <c r="L217" s="18">
        <v>0</v>
      </c>
      <c r="M217" s="23">
        <f t="shared" si="28"/>
        <v>0</v>
      </c>
    </row>
    <row r="218" spans="1:13" ht="25.5" x14ac:dyDescent="0.55000000000000004">
      <c r="A218" s="10">
        <v>214</v>
      </c>
      <c r="B218" s="11" t="s">
        <v>283</v>
      </c>
      <c r="C218" s="47">
        <v>1</v>
      </c>
      <c r="D218" s="87">
        <v>0</v>
      </c>
      <c r="E218" s="47">
        <f t="shared" si="25"/>
        <v>1</v>
      </c>
      <c r="F218" s="87">
        <v>0</v>
      </c>
      <c r="G218" s="47">
        <f t="shared" si="26"/>
        <v>1</v>
      </c>
      <c r="H218" s="88"/>
      <c r="I218" s="20">
        <v>25</v>
      </c>
      <c r="J218" s="82">
        <f t="shared" si="27"/>
        <v>0</v>
      </c>
      <c r="K218" s="17" t="s">
        <v>16</v>
      </c>
      <c r="L218" s="18">
        <v>0</v>
      </c>
      <c r="M218" s="23">
        <f t="shared" si="28"/>
        <v>0</v>
      </c>
    </row>
    <row r="219" spans="1:13" ht="25.5" x14ac:dyDescent="0.55000000000000004">
      <c r="A219" s="10">
        <v>215</v>
      </c>
      <c r="B219" s="11" t="s">
        <v>284</v>
      </c>
      <c r="C219" s="47">
        <v>1</v>
      </c>
      <c r="D219" s="87">
        <v>0</v>
      </c>
      <c r="E219" s="47">
        <f t="shared" si="25"/>
        <v>1</v>
      </c>
      <c r="F219" s="87">
        <v>0</v>
      </c>
      <c r="G219" s="47">
        <f t="shared" si="26"/>
        <v>1</v>
      </c>
      <c r="H219" s="88"/>
      <c r="I219" s="20">
        <v>25</v>
      </c>
      <c r="J219" s="82">
        <f t="shared" si="27"/>
        <v>0</v>
      </c>
      <c r="K219" s="17" t="s">
        <v>16</v>
      </c>
      <c r="L219" s="18">
        <v>0</v>
      </c>
      <c r="M219" s="23">
        <f t="shared" si="28"/>
        <v>0</v>
      </c>
    </row>
    <row r="220" spans="1:13" ht="25.5" x14ac:dyDescent="0.55000000000000004">
      <c r="A220" s="10">
        <v>216</v>
      </c>
      <c r="B220" s="11" t="s">
        <v>314</v>
      </c>
      <c r="C220" s="47"/>
      <c r="D220" s="87">
        <v>0</v>
      </c>
      <c r="E220" s="47">
        <f t="shared" si="25"/>
        <v>0</v>
      </c>
      <c r="F220" s="87">
        <v>0</v>
      </c>
      <c r="G220" s="47">
        <f t="shared" si="26"/>
        <v>0</v>
      </c>
      <c r="H220" s="88"/>
      <c r="I220" s="20">
        <v>35</v>
      </c>
      <c r="J220" s="82">
        <f t="shared" si="27"/>
        <v>0</v>
      </c>
      <c r="K220" s="17" t="s">
        <v>16</v>
      </c>
      <c r="L220" s="18">
        <v>0</v>
      </c>
      <c r="M220" s="23">
        <f t="shared" si="28"/>
        <v>0</v>
      </c>
    </row>
    <row r="221" spans="1:13" ht="25.5" x14ac:dyDescent="0.55000000000000004">
      <c r="A221" s="10">
        <v>217</v>
      </c>
      <c r="B221" s="11" t="s">
        <v>326</v>
      </c>
      <c r="C221" s="47"/>
      <c r="D221" s="87">
        <v>0</v>
      </c>
      <c r="E221" s="47">
        <f t="shared" si="25"/>
        <v>0</v>
      </c>
      <c r="F221" s="87">
        <v>0</v>
      </c>
      <c r="G221" s="47">
        <f t="shared" si="26"/>
        <v>0</v>
      </c>
      <c r="H221" s="88"/>
      <c r="I221" s="20">
        <v>55</v>
      </c>
      <c r="J221" s="82">
        <f t="shared" si="27"/>
        <v>0</v>
      </c>
      <c r="K221" s="17" t="s">
        <v>16</v>
      </c>
      <c r="L221" s="18">
        <v>0</v>
      </c>
      <c r="M221" s="23">
        <f t="shared" si="28"/>
        <v>0</v>
      </c>
    </row>
    <row r="222" spans="1:13" ht="25.5" x14ac:dyDescent="0.55000000000000004">
      <c r="A222" s="10">
        <v>218</v>
      </c>
      <c r="B222" s="11" t="s">
        <v>327</v>
      </c>
      <c r="C222" s="47"/>
      <c r="D222" s="87">
        <v>0</v>
      </c>
      <c r="E222" s="47">
        <f t="shared" si="25"/>
        <v>0</v>
      </c>
      <c r="F222" s="87">
        <v>0</v>
      </c>
      <c r="G222" s="47">
        <f t="shared" si="26"/>
        <v>0</v>
      </c>
      <c r="H222" s="88"/>
      <c r="I222" s="20">
        <v>40</v>
      </c>
      <c r="J222" s="82">
        <f t="shared" si="27"/>
        <v>0</v>
      </c>
      <c r="K222" s="17" t="s">
        <v>16</v>
      </c>
      <c r="L222" s="18">
        <v>0</v>
      </c>
      <c r="M222" s="23">
        <f t="shared" si="28"/>
        <v>0</v>
      </c>
    </row>
    <row r="223" spans="1:13" ht="25.5" x14ac:dyDescent="0.55000000000000004">
      <c r="A223" s="10">
        <v>219</v>
      </c>
      <c r="B223" s="11"/>
      <c r="C223" s="47"/>
      <c r="D223" s="87">
        <v>0</v>
      </c>
      <c r="E223" s="47">
        <f t="shared" si="25"/>
        <v>0</v>
      </c>
      <c r="F223" s="87">
        <v>0</v>
      </c>
      <c r="G223" s="47">
        <f t="shared" si="26"/>
        <v>0</v>
      </c>
      <c r="H223" s="88"/>
      <c r="I223" s="20"/>
      <c r="J223" s="82">
        <f t="shared" si="27"/>
        <v>0</v>
      </c>
      <c r="K223" s="17" t="s">
        <v>16</v>
      </c>
      <c r="L223" s="18">
        <v>0</v>
      </c>
      <c r="M223" s="23">
        <f t="shared" si="28"/>
        <v>0</v>
      </c>
    </row>
    <row r="224" spans="1:13" ht="25.5" x14ac:dyDescent="0.55000000000000004">
      <c r="A224" s="10">
        <v>220</v>
      </c>
      <c r="B224" s="11"/>
      <c r="C224" s="47"/>
      <c r="D224" s="87">
        <v>0</v>
      </c>
      <c r="E224" s="47">
        <f t="shared" si="25"/>
        <v>0</v>
      </c>
      <c r="F224" s="87">
        <v>0</v>
      </c>
      <c r="G224" s="47">
        <f t="shared" si="26"/>
        <v>0</v>
      </c>
      <c r="H224" s="88"/>
      <c r="I224" s="20"/>
      <c r="J224" s="82">
        <f t="shared" si="27"/>
        <v>0</v>
      </c>
      <c r="K224" s="17" t="s">
        <v>16</v>
      </c>
      <c r="L224" s="18">
        <v>0</v>
      </c>
      <c r="M224" s="23">
        <f t="shared" si="28"/>
        <v>0</v>
      </c>
    </row>
    <row r="225" spans="1:13" ht="25.5" x14ac:dyDescent="0.55000000000000004">
      <c r="A225" s="10">
        <v>221</v>
      </c>
      <c r="B225" s="11"/>
      <c r="C225" s="47"/>
      <c r="D225" s="87">
        <v>0</v>
      </c>
      <c r="E225" s="47">
        <f t="shared" si="25"/>
        <v>0</v>
      </c>
      <c r="F225" s="87">
        <v>0</v>
      </c>
      <c r="G225" s="47">
        <f t="shared" si="26"/>
        <v>0</v>
      </c>
      <c r="H225" s="88"/>
      <c r="I225" s="20"/>
      <c r="J225" s="82">
        <f t="shared" si="27"/>
        <v>0</v>
      </c>
      <c r="K225" s="17" t="s">
        <v>16</v>
      </c>
      <c r="L225" s="18">
        <v>0</v>
      </c>
      <c r="M225" s="23">
        <f t="shared" si="28"/>
        <v>0</v>
      </c>
    </row>
    <row r="226" spans="1:13" ht="25.5" x14ac:dyDescent="0.55000000000000004">
      <c r="A226" s="10">
        <v>222</v>
      </c>
      <c r="B226" s="11"/>
      <c r="C226" s="47"/>
      <c r="D226" s="87">
        <v>0</v>
      </c>
      <c r="E226" s="47">
        <f t="shared" si="25"/>
        <v>0</v>
      </c>
      <c r="F226" s="87">
        <v>0</v>
      </c>
      <c r="G226" s="47">
        <f t="shared" si="26"/>
        <v>0</v>
      </c>
      <c r="H226" s="88"/>
      <c r="I226" s="20"/>
      <c r="J226" s="82">
        <f t="shared" si="27"/>
        <v>0</v>
      </c>
      <c r="K226" s="17" t="s">
        <v>16</v>
      </c>
      <c r="L226" s="18">
        <v>0</v>
      </c>
      <c r="M226" s="23">
        <f t="shared" si="28"/>
        <v>0</v>
      </c>
    </row>
    <row r="227" spans="1:13" ht="25.5" x14ac:dyDescent="0.55000000000000004">
      <c r="A227" s="10">
        <v>223</v>
      </c>
      <c r="B227" s="11"/>
      <c r="C227" s="47"/>
      <c r="D227" s="87">
        <v>0</v>
      </c>
      <c r="E227" s="47">
        <f t="shared" si="25"/>
        <v>0</v>
      </c>
      <c r="F227" s="87">
        <v>0</v>
      </c>
      <c r="G227" s="47">
        <f t="shared" si="26"/>
        <v>0</v>
      </c>
      <c r="H227" s="88"/>
      <c r="I227" s="20"/>
      <c r="J227" s="82">
        <f t="shared" si="27"/>
        <v>0</v>
      </c>
      <c r="K227" s="17" t="s">
        <v>16</v>
      </c>
      <c r="L227" s="18">
        <v>0</v>
      </c>
      <c r="M227" s="23">
        <f t="shared" si="28"/>
        <v>0</v>
      </c>
    </row>
    <row r="228" spans="1:13" ht="25.5" x14ac:dyDescent="0.55000000000000004">
      <c r="A228" s="10">
        <v>224</v>
      </c>
      <c r="B228" s="11"/>
      <c r="C228" s="47"/>
      <c r="D228" s="87">
        <v>0</v>
      </c>
      <c r="E228" s="47">
        <f t="shared" si="25"/>
        <v>0</v>
      </c>
      <c r="F228" s="87">
        <v>0</v>
      </c>
      <c r="G228" s="47">
        <f t="shared" si="26"/>
        <v>0</v>
      </c>
      <c r="H228" s="88"/>
      <c r="I228" s="20"/>
      <c r="J228" s="82">
        <f t="shared" si="27"/>
        <v>0</v>
      </c>
      <c r="K228" s="17" t="s">
        <v>16</v>
      </c>
      <c r="L228" s="18">
        <v>0</v>
      </c>
      <c r="M228" s="23">
        <f t="shared" si="28"/>
        <v>0</v>
      </c>
    </row>
    <row r="229" spans="1:13" ht="25.5" x14ac:dyDescent="0.55000000000000004">
      <c r="A229" s="10">
        <v>225</v>
      </c>
      <c r="B229" s="11"/>
      <c r="C229" s="47"/>
      <c r="D229" s="87">
        <v>0</v>
      </c>
      <c r="E229" s="47">
        <f t="shared" si="25"/>
        <v>0</v>
      </c>
      <c r="F229" s="87">
        <v>0</v>
      </c>
      <c r="G229" s="47">
        <f t="shared" si="26"/>
        <v>0</v>
      </c>
      <c r="H229" s="88"/>
      <c r="I229" s="20"/>
      <c r="J229" s="82">
        <f t="shared" si="27"/>
        <v>0</v>
      </c>
      <c r="K229" s="17" t="s">
        <v>16</v>
      </c>
      <c r="L229" s="18">
        <v>0</v>
      </c>
      <c r="M229" s="23">
        <f t="shared" si="28"/>
        <v>0</v>
      </c>
    </row>
    <row r="230" spans="1:13" ht="25.5" x14ac:dyDescent="0.55000000000000004">
      <c r="A230" s="10">
        <v>226</v>
      </c>
      <c r="B230" s="11"/>
      <c r="C230" s="47"/>
      <c r="D230" s="87">
        <v>0</v>
      </c>
      <c r="E230" s="47">
        <f t="shared" si="25"/>
        <v>0</v>
      </c>
      <c r="F230" s="87">
        <v>0</v>
      </c>
      <c r="G230" s="47">
        <f t="shared" si="26"/>
        <v>0</v>
      </c>
      <c r="H230" s="88"/>
      <c r="I230" s="20"/>
      <c r="J230" s="82">
        <f t="shared" si="27"/>
        <v>0</v>
      </c>
      <c r="K230" s="17" t="s">
        <v>16</v>
      </c>
      <c r="L230" s="18">
        <v>0</v>
      </c>
      <c r="M230" s="23">
        <f t="shared" si="28"/>
        <v>0</v>
      </c>
    </row>
    <row r="231" spans="1:13" ht="25.5" x14ac:dyDescent="0.55000000000000004">
      <c r="A231" s="10">
        <v>227</v>
      </c>
      <c r="B231" s="11"/>
      <c r="C231" s="47"/>
      <c r="D231" s="87">
        <v>0</v>
      </c>
      <c r="E231" s="47">
        <f t="shared" si="25"/>
        <v>0</v>
      </c>
      <c r="F231" s="87">
        <v>0</v>
      </c>
      <c r="G231" s="47">
        <f t="shared" si="26"/>
        <v>0</v>
      </c>
      <c r="H231" s="88"/>
      <c r="I231" s="20"/>
      <c r="J231" s="82">
        <f t="shared" si="27"/>
        <v>0</v>
      </c>
      <c r="K231" s="17" t="s">
        <v>16</v>
      </c>
      <c r="L231" s="18">
        <v>0</v>
      </c>
      <c r="M231" s="23">
        <f t="shared" si="28"/>
        <v>0</v>
      </c>
    </row>
    <row r="232" spans="1:13" ht="22.5" customHeight="1" x14ac:dyDescent="0.55000000000000004">
      <c r="A232" s="10">
        <v>228</v>
      </c>
      <c r="B232" s="11"/>
      <c r="C232" s="47"/>
      <c r="D232" s="87">
        <v>0</v>
      </c>
      <c r="E232" s="47">
        <f t="shared" si="25"/>
        <v>0</v>
      </c>
      <c r="F232" s="87">
        <v>0</v>
      </c>
      <c r="G232" s="47">
        <f t="shared" si="26"/>
        <v>0</v>
      </c>
      <c r="H232" s="88"/>
      <c r="I232" s="20"/>
      <c r="J232" s="82">
        <f t="shared" si="27"/>
        <v>0</v>
      </c>
      <c r="K232" s="17" t="s">
        <v>16</v>
      </c>
      <c r="L232" s="18">
        <v>0</v>
      </c>
      <c r="M232" s="23">
        <f t="shared" si="28"/>
        <v>0</v>
      </c>
    </row>
    <row r="233" spans="1:13" ht="22.5" customHeight="1" x14ac:dyDescent="0.55000000000000004">
      <c r="A233" s="10">
        <v>229</v>
      </c>
      <c r="B233" s="11"/>
      <c r="C233" s="47"/>
      <c r="D233" s="87">
        <v>0</v>
      </c>
      <c r="E233" s="47">
        <f t="shared" si="25"/>
        <v>0</v>
      </c>
      <c r="F233" s="87">
        <v>0</v>
      </c>
      <c r="G233" s="47">
        <f t="shared" si="26"/>
        <v>0</v>
      </c>
      <c r="H233" s="88"/>
      <c r="I233" s="20"/>
      <c r="J233" s="82">
        <f t="shared" si="27"/>
        <v>0</v>
      </c>
      <c r="K233" s="17" t="s">
        <v>16</v>
      </c>
      <c r="L233" s="18">
        <v>0</v>
      </c>
      <c r="M233" s="23">
        <f t="shared" si="28"/>
        <v>0</v>
      </c>
    </row>
    <row r="234" spans="1:13" ht="22.5" customHeight="1" x14ac:dyDescent="0.55000000000000004">
      <c r="A234" s="10">
        <v>230</v>
      </c>
      <c r="B234" s="11"/>
      <c r="C234" s="47"/>
      <c r="D234" s="87">
        <v>0</v>
      </c>
      <c r="E234" s="47">
        <f t="shared" si="25"/>
        <v>0</v>
      </c>
      <c r="F234" s="87">
        <v>0</v>
      </c>
      <c r="G234" s="47">
        <f t="shared" si="26"/>
        <v>0</v>
      </c>
      <c r="H234" s="88"/>
      <c r="I234" s="20"/>
      <c r="J234" s="82">
        <f t="shared" si="27"/>
        <v>0</v>
      </c>
      <c r="K234" s="17" t="s">
        <v>16</v>
      </c>
      <c r="L234" s="18">
        <v>0</v>
      </c>
      <c r="M234" s="23">
        <f t="shared" si="28"/>
        <v>0</v>
      </c>
    </row>
    <row r="235" spans="1:13" ht="22.5" customHeight="1" x14ac:dyDescent="0.55000000000000004">
      <c r="A235" s="10">
        <v>231</v>
      </c>
      <c r="B235" s="11"/>
      <c r="C235" s="47"/>
      <c r="D235" s="87">
        <v>0</v>
      </c>
      <c r="E235" s="47">
        <f t="shared" si="25"/>
        <v>0</v>
      </c>
      <c r="F235" s="87">
        <v>0</v>
      </c>
      <c r="G235" s="47">
        <f t="shared" si="26"/>
        <v>0</v>
      </c>
      <c r="H235" s="88"/>
      <c r="I235" s="20"/>
      <c r="J235" s="82">
        <f t="shared" si="27"/>
        <v>0</v>
      </c>
      <c r="K235" s="17" t="s">
        <v>16</v>
      </c>
      <c r="L235" s="18">
        <v>0</v>
      </c>
      <c r="M235" s="23">
        <f t="shared" si="28"/>
        <v>0</v>
      </c>
    </row>
    <row r="236" spans="1:13" ht="22.5" customHeight="1" x14ac:dyDescent="0.55000000000000004">
      <c r="A236" s="10">
        <v>232</v>
      </c>
      <c r="B236" s="11"/>
      <c r="C236" s="47"/>
      <c r="D236" s="87">
        <v>0</v>
      </c>
      <c r="E236" s="47">
        <f t="shared" si="25"/>
        <v>0</v>
      </c>
      <c r="F236" s="87">
        <v>0</v>
      </c>
      <c r="G236" s="47">
        <f t="shared" si="26"/>
        <v>0</v>
      </c>
      <c r="H236" s="88"/>
      <c r="I236" s="20"/>
      <c r="J236" s="82">
        <f t="shared" si="27"/>
        <v>0</v>
      </c>
      <c r="K236" s="17" t="s">
        <v>16</v>
      </c>
      <c r="L236" s="18">
        <v>0</v>
      </c>
      <c r="M236" s="23">
        <f t="shared" si="28"/>
        <v>0</v>
      </c>
    </row>
    <row r="237" spans="1:13" ht="22.5" customHeight="1" x14ac:dyDescent="0.55000000000000004">
      <c r="A237" s="10">
        <v>233</v>
      </c>
      <c r="B237" s="11"/>
      <c r="C237" s="47"/>
      <c r="D237" s="87">
        <v>0</v>
      </c>
      <c r="E237" s="47">
        <f t="shared" si="25"/>
        <v>0</v>
      </c>
      <c r="F237" s="87">
        <v>0</v>
      </c>
      <c r="G237" s="47">
        <f t="shared" si="26"/>
        <v>0</v>
      </c>
      <c r="H237" s="88"/>
      <c r="I237" s="20"/>
      <c r="J237" s="82">
        <f t="shared" si="27"/>
        <v>0</v>
      </c>
      <c r="K237" s="17" t="s">
        <v>16</v>
      </c>
      <c r="L237" s="18">
        <v>0</v>
      </c>
      <c r="M237" s="23">
        <f t="shared" si="28"/>
        <v>0</v>
      </c>
    </row>
    <row r="238" spans="1:13" ht="22.5" customHeight="1" x14ac:dyDescent="0.55000000000000004">
      <c r="A238" s="10">
        <v>234</v>
      </c>
      <c r="B238" s="11"/>
      <c r="C238" s="47"/>
      <c r="D238" s="87">
        <v>0</v>
      </c>
      <c r="E238" s="47">
        <f t="shared" si="25"/>
        <v>0</v>
      </c>
      <c r="F238" s="87">
        <v>0</v>
      </c>
      <c r="G238" s="47">
        <f t="shared" si="26"/>
        <v>0</v>
      </c>
      <c r="H238" s="88"/>
      <c r="I238" s="20"/>
      <c r="J238" s="82">
        <f t="shared" si="27"/>
        <v>0</v>
      </c>
      <c r="K238" s="17" t="s">
        <v>16</v>
      </c>
      <c r="L238" s="18">
        <v>0</v>
      </c>
      <c r="M238" s="23">
        <f t="shared" si="28"/>
        <v>0</v>
      </c>
    </row>
    <row r="239" spans="1:13" ht="22.5" customHeight="1" x14ac:dyDescent="0.55000000000000004">
      <c r="A239" s="10">
        <v>235</v>
      </c>
      <c r="B239" s="11"/>
      <c r="C239" s="47"/>
      <c r="D239" s="87">
        <v>0</v>
      </c>
      <c r="E239" s="47">
        <f t="shared" si="25"/>
        <v>0</v>
      </c>
      <c r="F239" s="87">
        <v>0</v>
      </c>
      <c r="G239" s="47">
        <f t="shared" si="26"/>
        <v>0</v>
      </c>
      <c r="H239" s="88"/>
      <c r="I239" s="20"/>
      <c r="J239" s="82">
        <f t="shared" si="27"/>
        <v>0</v>
      </c>
      <c r="K239" s="17" t="s">
        <v>16</v>
      </c>
      <c r="L239" s="18">
        <v>0</v>
      </c>
      <c r="M239" s="23">
        <f t="shared" si="28"/>
        <v>0</v>
      </c>
    </row>
    <row r="240" spans="1:13" ht="22.5" customHeight="1" x14ac:dyDescent="0.55000000000000004">
      <c r="A240" s="10">
        <v>236</v>
      </c>
      <c r="B240" s="11"/>
      <c r="C240" s="47"/>
      <c r="D240" s="87">
        <v>0</v>
      </c>
      <c r="E240" s="47">
        <f t="shared" si="25"/>
        <v>0</v>
      </c>
      <c r="F240" s="87">
        <v>0</v>
      </c>
      <c r="G240" s="47">
        <f t="shared" si="26"/>
        <v>0</v>
      </c>
      <c r="H240" s="88"/>
      <c r="I240" s="20"/>
      <c r="J240" s="82">
        <f t="shared" si="27"/>
        <v>0</v>
      </c>
      <c r="K240" s="17" t="s">
        <v>16</v>
      </c>
      <c r="L240" s="18">
        <v>0</v>
      </c>
      <c r="M240" s="23">
        <f t="shared" si="28"/>
        <v>0</v>
      </c>
    </row>
    <row r="241" spans="1:26" ht="22.5" customHeight="1" x14ac:dyDescent="0.55000000000000004">
      <c r="A241" s="10">
        <v>237</v>
      </c>
      <c r="B241" s="11"/>
      <c r="C241" s="47"/>
      <c r="D241" s="87">
        <v>0</v>
      </c>
      <c r="E241" s="47">
        <f t="shared" si="25"/>
        <v>0</v>
      </c>
      <c r="F241" s="87">
        <v>0</v>
      </c>
      <c r="G241" s="47">
        <f t="shared" si="26"/>
        <v>0</v>
      </c>
      <c r="H241" s="88"/>
      <c r="I241" s="20"/>
      <c r="J241" s="82">
        <f t="shared" si="27"/>
        <v>0</v>
      </c>
      <c r="K241" s="17" t="s">
        <v>16</v>
      </c>
      <c r="L241" s="18">
        <v>0</v>
      </c>
      <c r="M241" s="23">
        <f t="shared" si="28"/>
        <v>0</v>
      </c>
    </row>
    <row r="242" spans="1:26" ht="22.5" customHeight="1" x14ac:dyDescent="0.55000000000000004">
      <c r="A242" s="10">
        <v>238</v>
      </c>
      <c r="B242" s="11"/>
      <c r="C242" s="47"/>
      <c r="D242" s="87">
        <v>0</v>
      </c>
      <c r="E242" s="47">
        <f t="shared" si="25"/>
        <v>0</v>
      </c>
      <c r="F242" s="87">
        <v>0</v>
      </c>
      <c r="G242" s="47">
        <f t="shared" si="26"/>
        <v>0</v>
      </c>
      <c r="H242" s="88"/>
      <c r="I242" s="20"/>
      <c r="J242" s="82">
        <f t="shared" si="27"/>
        <v>0</v>
      </c>
      <c r="K242" s="17" t="s">
        <v>16</v>
      </c>
      <c r="L242" s="18">
        <v>0</v>
      </c>
      <c r="M242" s="23">
        <f t="shared" si="28"/>
        <v>0</v>
      </c>
    </row>
    <row r="243" spans="1:26" ht="22.5" customHeight="1" x14ac:dyDescent="0.55000000000000004">
      <c r="A243" s="10">
        <v>239</v>
      </c>
      <c r="B243" s="11"/>
      <c r="C243" s="47"/>
      <c r="D243" s="87">
        <v>0</v>
      </c>
      <c r="E243" s="47">
        <f t="shared" si="25"/>
        <v>0</v>
      </c>
      <c r="F243" s="87">
        <v>0</v>
      </c>
      <c r="G243" s="47">
        <f t="shared" si="26"/>
        <v>0</v>
      </c>
      <c r="H243" s="88"/>
      <c r="I243" s="20"/>
      <c r="J243" s="82">
        <f t="shared" si="27"/>
        <v>0</v>
      </c>
      <c r="K243" s="17" t="s">
        <v>16</v>
      </c>
      <c r="L243" s="18">
        <v>0</v>
      </c>
      <c r="M243" s="23">
        <f t="shared" si="28"/>
        <v>0</v>
      </c>
    </row>
    <row r="244" spans="1:26" ht="22.5" customHeight="1" x14ac:dyDescent="0.55000000000000004">
      <c r="A244" s="10">
        <v>240</v>
      </c>
      <c r="B244" s="11"/>
      <c r="C244" s="47"/>
      <c r="D244" s="87">
        <v>0</v>
      </c>
      <c r="E244" s="47">
        <f t="shared" si="25"/>
        <v>0</v>
      </c>
      <c r="F244" s="87">
        <v>0</v>
      </c>
      <c r="G244" s="47">
        <f t="shared" si="26"/>
        <v>0</v>
      </c>
      <c r="H244" s="88"/>
      <c r="I244" s="20"/>
      <c r="J244" s="82">
        <f t="shared" si="27"/>
        <v>0</v>
      </c>
      <c r="K244" s="17" t="s">
        <v>16</v>
      </c>
      <c r="L244" s="18">
        <v>0</v>
      </c>
      <c r="M244" s="23">
        <f t="shared" si="28"/>
        <v>0</v>
      </c>
    </row>
    <row r="245" spans="1:26" ht="22.5" customHeight="1" x14ac:dyDescent="0.55000000000000004">
      <c r="A245" s="10">
        <v>241</v>
      </c>
      <c r="B245" s="11"/>
      <c r="C245" s="47"/>
      <c r="D245" s="87">
        <v>0</v>
      </c>
      <c r="E245" s="47">
        <f t="shared" si="25"/>
        <v>0</v>
      </c>
      <c r="F245" s="87">
        <v>0</v>
      </c>
      <c r="G245" s="47">
        <f t="shared" si="26"/>
        <v>0</v>
      </c>
      <c r="H245" s="88"/>
      <c r="I245" s="20"/>
      <c r="J245" s="82">
        <f t="shared" si="27"/>
        <v>0</v>
      </c>
      <c r="K245" s="17" t="s">
        <v>16</v>
      </c>
      <c r="L245" s="18">
        <v>0</v>
      </c>
      <c r="M245" s="23">
        <f t="shared" si="28"/>
        <v>0</v>
      </c>
    </row>
    <row r="246" spans="1:26" ht="22.5" customHeight="1" x14ac:dyDescent="0.55000000000000004">
      <c r="A246" s="10">
        <v>242</v>
      </c>
      <c r="B246" s="11"/>
      <c r="C246" s="47"/>
      <c r="D246" s="87">
        <v>0</v>
      </c>
      <c r="E246" s="47">
        <f t="shared" si="25"/>
        <v>0</v>
      </c>
      <c r="F246" s="87">
        <v>0</v>
      </c>
      <c r="G246" s="47">
        <f t="shared" si="26"/>
        <v>0</v>
      </c>
      <c r="H246" s="88"/>
      <c r="I246" s="20"/>
      <c r="J246" s="82">
        <f t="shared" si="27"/>
        <v>0</v>
      </c>
      <c r="K246" s="17" t="s">
        <v>16</v>
      </c>
      <c r="L246" s="18">
        <v>0</v>
      </c>
      <c r="M246" s="23">
        <f t="shared" si="28"/>
        <v>0</v>
      </c>
    </row>
    <row r="247" spans="1:26" ht="22.5" customHeight="1" x14ac:dyDescent="0.55000000000000004">
      <c r="A247" s="10">
        <v>243</v>
      </c>
      <c r="B247" s="11"/>
      <c r="C247" s="47"/>
      <c r="D247" s="87">
        <v>0</v>
      </c>
      <c r="E247" s="47">
        <f t="shared" si="25"/>
        <v>0</v>
      </c>
      <c r="F247" s="87">
        <v>0</v>
      </c>
      <c r="G247" s="47">
        <f t="shared" si="26"/>
        <v>0</v>
      </c>
      <c r="H247" s="88"/>
      <c r="I247" s="20"/>
      <c r="J247" s="82">
        <f t="shared" si="27"/>
        <v>0</v>
      </c>
      <c r="K247" s="17" t="s">
        <v>16</v>
      </c>
      <c r="L247" s="18">
        <v>0</v>
      </c>
      <c r="M247" s="23">
        <f t="shared" si="28"/>
        <v>0</v>
      </c>
    </row>
    <row r="248" spans="1:26" ht="22.5" customHeight="1" x14ac:dyDescent="0.55000000000000004">
      <c r="A248" s="10">
        <v>244</v>
      </c>
      <c r="B248" s="11"/>
      <c r="C248" s="47"/>
      <c r="D248" s="87">
        <v>0</v>
      </c>
      <c r="E248" s="47">
        <f t="shared" si="25"/>
        <v>0</v>
      </c>
      <c r="F248" s="87">
        <v>0</v>
      </c>
      <c r="G248" s="47">
        <f t="shared" si="26"/>
        <v>0</v>
      </c>
      <c r="H248" s="88"/>
      <c r="I248" s="20"/>
      <c r="J248" s="82">
        <f t="shared" si="27"/>
        <v>0</v>
      </c>
      <c r="K248" s="17" t="s">
        <v>16</v>
      </c>
      <c r="L248" s="18">
        <v>0</v>
      </c>
      <c r="M248" s="23">
        <f t="shared" si="28"/>
        <v>0</v>
      </c>
    </row>
    <row r="249" spans="1:26" ht="22.5" customHeight="1" x14ac:dyDescent="0.55000000000000004">
      <c r="A249" s="10">
        <v>245</v>
      </c>
      <c r="B249" s="11"/>
      <c r="C249" s="47"/>
      <c r="D249" s="87">
        <v>0</v>
      </c>
      <c r="E249" s="47">
        <f t="shared" si="25"/>
        <v>0</v>
      </c>
      <c r="F249" s="87">
        <v>0</v>
      </c>
      <c r="G249" s="47">
        <f t="shared" si="26"/>
        <v>0</v>
      </c>
      <c r="H249" s="88"/>
      <c r="I249" s="20"/>
      <c r="J249" s="82">
        <f t="shared" si="27"/>
        <v>0</v>
      </c>
      <c r="K249" s="17" t="s">
        <v>16</v>
      </c>
      <c r="L249" s="18">
        <v>0</v>
      </c>
      <c r="M249" s="23">
        <f t="shared" si="28"/>
        <v>0</v>
      </c>
    </row>
    <row r="250" spans="1:26" ht="22.5" customHeight="1" x14ac:dyDescent="0.55000000000000004">
      <c r="A250" s="10">
        <v>246</v>
      </c>
      <c r="B250" s="11"/>
      <c r="C250" s="47"/>
      <c r="D250" s="87">
        <v>0</v>
      </c>
      <c r="E250" s="47">
        <f t="shared" si="25"/>
        <v>0</v>
      </c>
      <c r="F250" s="87">
        <v>0</v>
      </c>
      <c r="G250" s="47">
        <f t="shared" si="26"/>
        <v>0</v>
      </c>
      <c r="H250" s="88"/>
      <c r="I250" s="20"/>
      <c r="J250" s="82">
        <f t="shared" si="27"/>
        <v>0</v>
      </c>
      <c r="K250" s="17" t="s">
        <v>16</v>
      </c>
      <c r="L250" s="18">
        <v>0</v>
      </c>
      <c r="M250" s="23">
        <f t="shared" si="28"/>
        <v>0</v>
      </c>
    </row>
    <row r="251" spans="1:26" ht="22.5" customHeight="1" x14ac:dyDescent="0.55000000000000004">
      <c r="A251" s="10">
        <v>247</v>
      </c>
      <c r="B251" s="11"/>
      <c r="C251" s="47"/>
      <c r="D251" s="87">
        <v>0</v>
      </c>
      <c r="E251" s="47">
        <f t="shared" si="25"/>
        <v>0</v>
      </c>
      <c r="F251" s="87">
        <v>0</v>
      </c>
      <c r="G251" s="47">
        <f t="shared" si="26"/>
        <v>0</v>
      </c>
      <c r="H251" s="88"/>
      <c r="I251" s="20"/>
      <c r="J251" s="82">
        <f t="shared" si="27"/>
        <v>0</v>
      </c>
      <c r="K251" s="17" t="s">
        <v>16</v>
      </c>
      <c r="L251" s="18">
        <v>0</v>
      </c>
      <c r="M251" s="23">
        <f t="shared" si="28"/>
        <v>0</v>
      </c>
    </row>
    <row r="252" spans="1:26" ht="22.5" customHeight="1" x14ac:dyDescent="0.55000000000000004">
      <c r="A252" s="10">
        <v>248</v>
      </c>
      <c r="B252" s="11"/>
      <c r="C252" s="47"/>
      <c r="D252" s="87">
        <v>0</v>
      </c>
      <c r="E252" s="47">
        <f t="shared" si="25"/>
        <v>0</v>
      </c>
      <c r="F252" s="87">
        <v>0</v>
      </c>
      <c r="G252" s="47">
        <f t="shared" si="26"/>
        <v>0</v>
      </c>
      <c r="H252" s="88"/>
      <c r="I252" s="20"/>
      <c r="J252" s="82">
        <f t="shared" si="27"/>
        <v>0</v>
      </c>
      <c r="K252" s="17" t="s">
        <v>16</v>
      </c>
      <c r="L252" s="18">
        <v>0</v>
      </c>
      <c r="M252" s="23">
        <f t="shared" si="28"/>
        <v>0</v>
      </c>
    </row>
    <row r="253" spans="1:26" ht="22.5" customHeight="1" x14ac:dyDescent="0.55000000000000004">
      <c r="A253" s="10">
        <v>249</v>
      </c>
      <c r="B253" s="11"/>
      <c r="C253" s="47"/>
      <c r="D253" s="87">
        <v>0</v>
      </c>
      <c r="E253" s="47">
        <f t="shared" si="25"/>
        <v>0</v>
      </c>
      <c r="F253" s="87">
        <v>0</v>
      </c>
      <c r="G253" s="47">
        <f t="shared" si="26"/>
        <v>0</v>
      </c>
      <c r="H253" s="88"/>
      <c r="I253" s="20"/>
      <c r="J253" s="82">
        <f t="shared" si="27"/>
        <v>0</v>
      </c>
      <c r="K253" s="17" t="s">
        <v>16</v>
      </c>
      <c r="L253" s="18">
        <v>0</v>
      </c>
      <c r="M253" s="23">
        <f t="shared" si="28"/>
        <v>0</v>
      </c>
    </row>
    <row r="254" spans="1:26" ht="25.5" x14ac:dyDescent="0.55000000000000004">
      <c r="A254" s="10">
        <v>250</v>
      </c>
      <c r="B254" s="11"/>
      <c r="C254" s="47"/>
      <c r="D254" s="87">
        <v>0</v>
      </c>
      <c r="E254" s="47">
        <f t="shared" si="25"/>
        <v>0</v>
      </c>
      <c r="F254" s="87">
        <v>0</v>
      </c>
      <c r="G254" s="47">
        <f t="shared" si="26"/>
        <v>0</v>
      </c>
      <c r="H254" s="88"/>
      <c r="I254" s="20"/>
      <c r="J254" s="82">
        <f t="shared" si="27"/>
        <v>0</v>
      </c>
      <c r="K254" s="17" t="s">
        <v>16</v>
      </c>
      <c r="L254" s="18">
        <v>0</v>
      </c>
      <c r="M254" s="23">
        <f t="shared" si="28"/>
        <v>0</v>
      </c>
      <c r="N254" s="23">
        <f>SUM(M5:M254)</f>
        <v>0</v>
      </c>
    </row>
    <row r="255" spans="1:26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3" t="s">
        <v>213</v>
      </c>
      <c r="N255" s="143"/>
      <c r="Z255" s="29"/>
    </row>
    <row r="256" spans="1:26" ht="25.5" customHeight="1" x14ac:dyDescent="0.5">
      <c r="A256" s="1"/>
      <c r="C256" s="24"/>
      <c r="D256" s="25"/>
      <c r="E256" s="24"/>
      <c r="F256" s="25"/>
      <c r="G256" s="24"/>
      <c r="H256" s="148" t="s">
        <v>212</v>
      </c>
      <c r="I256" s="149"/>
      <c r="J256" s="30">
        <f>+X138</f>
        <v>0</v>
      </c>
      <c r="K256" s="27"/>
      <c r="L256" s="29"/>
      <c r="Z256" s="29"/>
    </row>
    <row r="257" spans="1:11" ht="25.5" x14ac:dyDescent="0.55000000000000004">
      <c r="A257" s="1"/>
      <c r="C257" s="31"/>
      <c r="E257" s="31"/>
      <c r="G257" s="31"/>
      <c r="H257" s="32"/>
      <c r="I257" s="150" t="s">
        <v>202</v>
      </c>
      <c r="J257" s="150"/>
      <c r="K257" s="33">
        <f>SUM(J5:J256)</f>
        <v>0</v>
      </c>
    </row>
    <row r="258" spans="1:11" ht="25.5" x14ac:dyDescent="0.55000000000000004">
      <c r="A258" s="1"/>
      <c r="C258" s="31"/>
      <c r="E258" s="31"/>
      <c r="G258" s="31"/>
      <c r="I258" s="140" t="s">
        <v>203</v>
      </c>
      <c r="J258" s="141"/>
      <c r="K258" s="36"/>
    </row>
    <row r="259" spans="1:11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C260" s="31"/>
      <c r="E260" s="31"/>
      <c r="G260" s="31"/>
      <c r="I260" s="140" t="s">
        <v>205</v>
      </c>
      <c r="J260" s="141"/>
      <c r="K260" s="36">
        <v>0</v>
      </c>
    </row>
    <row r="261" spans="1:11" ht="25.5" x14ac:dyDescent="0.55000000000000004">
      <c r="A261" s="1"/>
      <c r="C261" s="31"/>
      <c r="E261" s="31"/>
      <c r="G261" s="31"/>
      <c r="I261" s="140" t="s">
        <v>206</v>
      </c>
      <c r="J261" s="141"/>
      <c r="K261" s="36">
        <v>0</v>
      </c>
    </row>
    <row r="262" spans="1:11" ht="25.5" x14ac:dyDescent="0.55000000000000004">
      <c r="A262" s="1"/>
      <c r="C262" s="31"/>
      <c r="E262" s="31"/>
      <c r="G262" s="31"/>
      <c r="I262" s="140" t="s">
        <v>207</v>
      </c>
      <c r="J262" s="141"/>
      <c r="K262" s="37">
        <f>SUM(L5:L255)</f>
        <v>0</v>
      </c>
    </row>
    <row r="263" spans="1:11" ht="25.5" x14ac:dyDescent="0.55000000000000004">
      <c r="A263" s="1"/>
      <c r="C263" s="31"/>
      <c r="E263" s="31"/>
      <c r="G263" s="31"/>
      <c r="I263" s="140" t="s">
        <v>208</v>
      </c>
      <c r="J263" s="141"/>
      <c r="K263" s="33">
        <f>K257-K258-K259-K261-K262</f>
        <v>0</v>
      </c>
    </row>
    <row r="264" spans="1:11" ht="25.5" x14ac:dyDescent="0.55000000000000004">
      <c r="A264" s="1"/>
      <c r="C264" s="31"/>
      <c r="E264" s="31"/>
      <c r="G264" s="31"/>
      <c r="I264" s="140" t="s">
        <v>209</v>
      </c>
      <c r="J264" s="141"/>
      <c r="K264" s="37"/>
    </row>
    <row r="265" spans="1:11" ht="25.5" x14ac:dyDescent="0.55000000000000004">
      <c r="A265" s="1"/>
      <c r="C265" s="31"/>
      <c r="E265" s="31"/>
      <c r="G265" s="31"/>
      <c r="I265" s="140" t="s">
        <v>210</v>
      </c>
      <c r="J265" s="141"/>
      <c r="K265" s="33">
        <f>+K264-K263</f>
        <v>0</v>
      </c>
    </row>
    <row r="266" spans="1:11" ht="25.5" x14ac:dyDescent="0.55000000000000004">
      <c r="G266" s="2"/>
      <c r="I266" s="140" t="s">
        <v>211</v>
      </c>
      <c r="J266" s="141"/>
      <c r="K266" s="33">
        <f>+K264-K263</f>
        <v>0</v>
      </c>
    </row>
    <row r="267" spans="1:11" x14ac:dyDescent="0.5">
      <c r="G267" s="2"/>
      <c r="I267" s="2"/>
    </row>
    <row r="268" spans="1:11" ht="25.5" x14ac:dyDescent="0.55000000000000004">
      <c r="G268" s="2"/>
      <c r="I268" s="105" t="s">
        <v>312</v>
      </c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0:J260"/>
    <mergeCell ref="I261:J261"/>
    <mergeCell ref="I262:J262"/>
    <mergeCell ref="Q3:Q4"/>
    <mergeCell ref="U3:U4"/>
    <mergeCell ref="Z3:Z4"/>
    <mergeCell ref="B3:B4"/>
    <mergeCell ref="C3:C4"/>
    <mergeCell ref="D3:D4"/>
    <mergeCell ref="E3:E4"/>
    <mergeCell ref="G3:G4"/>
    <mergeCell ref="O3:O4"/>
    <mergeCell ref="P3:P4"/>
    <mergeCell ref="R3:R4"/>
    <mergeCell ref="S3:S4"/>
    <mergeCell ref="V3:X3"/>
    <mergeCell ref="A2:K2"/>
    <mergeCell ref="O2:Y2"/>
    <mergeCell ref="A3:A4"/>
    <mergeCell ref="I265:J265"/>
    <mergeCell ref="I266:J266"/>
    <mergeCell ref="H3:J3"/>
    <mergeCell ref="K3:K4"/>
    <mergeCell ref="M255:N255"/>
    <mergeCell ref="L3:L4"/>
    <mergeCell ref="Y3:Y4"/>
    <mergeCell ref="P138:W138"/>
    <mergeCell ref="I263:J263"/>
    <mergeCell ref="I264:J264"/>
    <mergeCell ref="H256:I256"/>
    <mergeCell ref="I257:J257"/>
    <mergeCell ref="I258:J258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EBE38-C16E-4C9F-B38B-5373098C9A3F}">
  <sheetPr>
    <tabColor theme="7" tint="-0.249977111117893"/>
  </sheetPr>
  <dimension ref="A1:AB341"/>
  <sheetViews>
    <sheetView zoomScaleNormal="100" workbookViewId="0">
      <pane xSplit="7" ySplit="4" topLeftCell="H167" activePane="bottomRight" state="frozen"/>
      <selection activeCell="B20" sqref="B20"/>
      <selection pane="topRight" activeCell="B20" sqref="B20"/>
      <selection pane="bottomLeft" activeCell="B20" sqref="B20"/>
      <selection pane="bottomRight" activeCell="B20" sqref="B20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8" x14ac:dyDescent="0.5">
      <c r="A1" s="1"/>
      <c r="G1" s="2"/>
      <c r="I1" s="2"/>
    </row>
    <row r="2" spans="1:28" s="3" customFormat="1" ht="29.25" x14ac:dyDescent="0.6">
      <c r="A2" s="137" t="s">
        <v>247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8" s="5" customFormat="1" ht="26.25" x14ac:dyDescent="0.55000000000000004">
      <c r="A3" s="139" t="s">
        <v>1</v>
      </c>
      <c r="B3" s="151" t="s">
        <v>2</v>
      </c>
      <c r="C3" s="139" t="s">
        <v>3</v>
      </c>
      <c r="D3" s="139" t="s">
        <v>4</v>
      </c>
      <c r="E3" s="139" t="s">
        <v>5</v>
      </c>
      <c r="F3" s="85" t="s">
        <v>6</v>
      </c>
      <c r="G3" s="139" t="s">
        <v>7</v>
      </c>
      <c r="H3" s="142" t="s">
        <v>8</v>
      </c>
      <c r="I3" s="142"/>
      <c r="J3" s="142"/>
      <c r="K3" s="139" t="s">
        <v>9</v>
      </c>
      <c r="L3" s="144" t="s">
        <v>10</v>
      </c>
      <c r="O3" s="139" t="s">
        <v>1</v>
      </c>
      <c r="P3" s="139" t="s">
        <v>2</v>
      </c>
      <c r="Q3" s="139" t="s">
        <v>3</v>
      </c>
      <c r="R3" s="139" t="s">
        <v>4</v>
      </c>
      <c r="S3" s="139" t="s">
        <v>5</v>
      </c>
      <c r="T3" s="85" t="s">
        <v>6</v>
      </c>
      <c r="U3" s="139" t="s">
        <v>7</v>
      </c>
      <c r="V3" s="142" t="s">
        <v>8</v>
      </c>
      <c r="W3" s="142"/>
      <c r="X3" s="142"/>
      <c r="Y3" s="139" t="s">
        <v>9</v>
      </c>
      <c r="Z3" s="144" t="s">
        <v>10</v>
      </c>
    </row>
    <row r="4" spans="1:28" s="5" customFormat="1" ht="26.25" x14ac:dyDescent="0.55000000000000004">
      <c r="A4" s="139"/>
      <c r="B4" s="151"/>
      <c r="C4" s="139"/>
      <c r="D4" s="139"/>
      <c r="E4" s="139"/>
      <c r="F4" s="85" t="s">
        <v>11</v>
      </c>
      <c r="G4" s="139"/>
      <c r="H4" s="85" t="s">
        <v>12</v>
      </c>
      <c r="I4" s="86" t="s">
        <v>13</v>
      </c>
      <c r="J4" s="85" t="s">
        <v>14</v>
      </c>
      <c r="K4" s="139"/>
      <c r="L4" s="144"/>
      <c r="O4" s="139"/>
      <c r="P4" s="139"/>
      <c r="Q4" s="139"/>
      <c r="R4" s="139"/>
      <c r="S4" s="139"/>
      <c r="T4" s="85" t="s">
        <v>11</v>
      </c>
      <c r="U4" s="139"/>
      <c r="V4" s="85" t="s">
        <v>12</v>
      </c>
      <c r="W4" s="86" t="s">
        <v>13</v>
      </c>
      <c r="X4" s="85" t="s">
        <v>14</v>
      </c>
      <c r="Y4" s="139"/>
      <c r="Z4" s="144"/>
      <c r="AB4" s="5" t="s">
        <v>2</v>
      </c>
    </row>
    <row r="5" spans="1:28" ht="25.5" x14ac:dyDescent="0.55000000000000004">
      <c r="A5" s="10">
        <v>1</v>
      </c>
      <c r="B5" s="19" t="s">
        <v>15</v>
      </c>
      <c r="C5" s="79">
        <f>+ยกมา!G5</f>
        <v>17</v>
      </c>
      <c r="D5" s="87">
        <v>10</v>
      </c>
      <c r="E5" s="47">
        <f t="shared" ref="E5:E125" si="0">C5+D5</f>
        <v>27</v>
      </c>
      <c r="F5" s="87">
        <v>0</v>
      </c>
      <c r="G5" s="47">
        <f>+E5-F5-H5</f>
        <v>26</v>
      </c>
      <c r="H5" s="88">
        <v>1</v>
      </c>
      <c r="I5" s="15">
        <v>50</v>
      </c>
      <c r="J5" s="82">
        <f>+I5*H5</f>
        <v>50</v>
      </c>
      <c r="K5" s="17" t="s">
        <v>16</v>
      </c>
      <c r="L5" s="18">
        <v>50</v>
      </c>
      <c r="M5" s="23">
        <f>SUM(J5-L5)</f>
        <v>0</v>
      </c>
      <c r="O5" s="10">
        <v>1</v>
      </c>
      <c r="P5" s="19"/>
      <c r="Q5" s="47">
        <v>0</v>
      </c>
      <c r="R5" s="87">
        <v>0</v>
      </c>
      <c r="S5" s="47">
        <f t="shared" ref="S5:S14" si="1">Q5+R5</f>
        <v>0</v>
      </c>
      <c r="T5" s="87">
        <v>0</v>
      </c>
      <c r="U5" s="47">
        <f t="shared" ref="U5:U14" si="2">S5-T5-V5</f>
        <v>0</v>
      </c>
      <c r="V5" s="88">
        <v>0</v>
      </c>
      <c r="W5" s="22"/>
      <c r="X5" s="44">
        <f t="shared" ref="X5:X14" si="3">V5*W5</f>
        <v>0</v>
      </c>
      <c r="Y5" s="17" t="s">
        <v>16</v>
      </c>
      <c r="Z5" s="18">
        <v>0</v>
      </c>
      <c r="AB5" s="2" t="s">
        <v>317</v>
      </c>
    </row>
    <row r="6" spans="1:28" ht="25.5" x14ac:dyDescent="0.55000000000000004">
      <c r="A6" s="10">
        <v>2</v>
      </c>
      <c r="B6" s="19" t="s">
        <v>17</v>
      </c>
      <c r="C6" s="79">
        <f>+ยกมา!G6</f>
        <v>10</v>
      </c>
      <c r="D6" s="87">
        <v>10</v>
      </c>
      <c r="E6" s="47">
        <f t="shared" si="0"/>
        <v>20</v>
      </c>
      <c r="F6" s="87">
        <v>0</v>
      </c>
      <c r="G6" s="47">
        <f t="shared" ref="G6:G100" si="4">+E6-F6-H6</f>
        <v>19</v>
      </c>
      <c r="H6" s="88">
        <v>1</v>
      </c>
      <c r="I6" s="15">
        <v>100</v>
      </c>
      <c r="J6" s="82">
        <f t="shared" ref="J6:J100" si="5">+I6*H6</f>
        <v>100</v>
      </c>
      <c r="K6" s="17" t="s">
        <v>16</v>
      </c>
      <c r="L6" s="18">
        <v>0</v>
      </c>
      <c r="M6" s="23">
        <f t="shared" ref="M6:M69" si="6">SUM(J6-L6)</f>
        <v>100</v>
      </c>
      <c r="O6" s="10">
        <v>2</v>
      </c>
      <c r="P6" s="19"/>
      <c r="Q6" s="47">
        <v>0</v>
      </c>
      <c r="R6" s="87">
        <v>0</v>
      </c>
      <c r="S6" s="47">
        <f t="shared" si="1"/>
        <v>0</v>
      </c>
      <c r="T6" s="87">
        <v>0</v>
      </c>
      <c r="U6" s="47">
        <f t="shared" si="2"/>
        <v>0</v>
      </c>
      <c r="V6" s="88">
        <v>0</v>
      </c>
      <c r="W6" s="22"/>
      <c r="X6" s="44">
        <f t="shared" si="3"/>
        <v>0</v>
      </c>
      <c r="Y6" s="17" t="s">
        <v>16</v>
      </c>
      <c r="Z6" s="18">
        <v>0</v>
      </c>
      <c r="AB6" s="2" t="s">
        <v>318</v>
      </c>
    </row>
    <row r="7" spans="1:28" ht="25.5" x14ac:dyDescent="0.55000000000000004">
      <c r="A7" s="10">
        <v>3</v>
      </c>
      <c r="B7" s="19" t="s">
        <v>18</v>
      </c>
      <c r="C7" s="79">
        <f>+ยกมา!G7</f>
        <v>0</v>
      </c>
      <c r="D7" s="87">
        <v>0</v>
      </c>
      <c r="E7" s="47">
        <f>C7+D7</f>
        <v>0</v>
      </c>
      <c r="F7" s="87">
        <v>0</v>
      </c>
      <c r="G7" s="47">
        <f t="shared" si="4"/>
        <v>0</v>
      </c>
      <c r="H7" s="88"/>
      <c r="I7" s="15">
        <v>50</v>
      </c>
      <c r="J7" s="8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7">
        <v>0</v>
      </c>
      <c r="S7" s="47">
        <f t="shared" si="1"/>
        <v>0</v>
      </c>
      <c r="T7" s="87">
        <v>0</v>
      </c>
      <c r="U7" s="47">
        <f t="shared" si="2"/>
        <v>0</v>
      </c>
      <c r="V7" s="88">
        <v>0</v>
      </c>
      <c r="W7" s="22"/>
      <c r="X7" s="44">
        <f t="shared" si="3"/>
        <v>0</v>
      </c>
      <c r="Y7" s="17" t="s">
        <v>16</v>
      </c>
      <c r="Z7" s="18">
        <v>0</v>
      </c>
      <c r="AB7" s="2" t="s">
        <v>319</v>
      </c>
    </row>
    <row r="8" spans="1:28" ht="25.5" x14ac:dyDescent="0.55000000000000004">
      <c r="A8" s="10">
        <v>4</v>
      </c>
      <c r="B8" s="19" t="s">
        <v>19</v>
      </c>
      <c r="C8" s="79">
        <f>+ยกมา!G8</f>
        <v>0</v>
      </c>
      <c r="D8" s="87">
        <v>0</v>
      </c>
      <c r="E8" s="47">
        <f>C8+D8</f>
        <v>0</v>
      </c>
      <c r="F8" s="87">
        <v>0</v>
      </c>
      <c r="G8" s="47">
        <f t="shared" si="4"/>
        <v>0</v>
      </c>
      <c r="H8" s="88"/>
      <c r="I8" s="15">
        <v>100</v>
      </c>
      <c r="J8" s="8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7">
        <v>0</v>
      </c>
      <c r="S8" s="47">
        <f t="shared" si="1"/>
        <v>0</v>
      </c>
      <c r="T8" s="87">
        <v>0</v>
      </c>
      <c r="U8" s="47">
        <f t="shared" si="2"/>
        <v>0</v>
      </c>
      <c r="V8" s="88">
        <v>0</v>
      </c>
      <c r="W8" s="22"/>
      <c r="X8" s="44">
        <f t="shared" si="3"/>
        <v>0</v>
      </c>
      <c r="Y8" s="17" t="s">
        <v>16</v>
      </c>
      <c r="Z8" s="18">
        <v>0</v>
      </c>
      <c r="AB8" s="2" t="s">
        <v>320</v>
      </c>
    </row>
    <row r="9" spans="1:28" ht="25.5" x14ac:dyDescent="0.55000000000000004">
      <c r="A9" s="10">
        <v>5</v>
      </c>
      <c r="B9" s="19" t="s">
        <v>20</v>
      </c>
      <c r="C9" s="79">
        <f>+ยกมา!G9</f>
        <v>0</v>
      </c>
      <c r="D9" s="87">
        <v>0</v>
      </c>
      <c r="E9" s="47">
        <f>C9+D9</f>
        <v>0</v>
      </c>
      <c r="F9" s="87">
        <v>0</v>
      </c>
      <c r="G9" s="47">
        <f t="shared" si="4"/>
        <v>0</v>
      </c>
      <c r="H9" s="88"/>
      <c r="I9" s="15">
        <v>12</v>
      </c>
      <c r="J9" s="8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7">
        <v>0</v>
      </c>
      <c r="S9" s="47">
        <f t="shared" si="1"/>
        <v>0</v>
      </c>
      <c r="T9" s="87">
        <v>0</v>
      </c>
      <c r="U9" s="47">
        <f t="shared" si="2"/>
        <v>0</v>
      </c>
      <c r="V9" s="88">
        <v>0</v>
      </c>
      <c r="W9" s="22"/>
      <c r="X9" s="44">
        <f t="shared" si="3"/>
        <v>0</v>
      </c>
      <c r="Y9" s="17" t="s">
        <v>16</v>
      </c>
      <c r="Z9" s="18">
        <v>0</v>
      </c>
      <c r="AB9" s="2" t="s">
        <v>307</v>
      </c>
    </row>
    <row r="10" spans="1:28" ht="25.5" x14ac:dyDescent="0.55000000000000004">
      <c r="A10" s="10">
        <v>6</v>
      </c>
      <c r="B10" s="19" t="s">
        <v>21</v>
      </c>
      <c r="C10" s="79">
        <f>+ยกมา!G10</f>
        <v>0</v>
      </c>
      <c r="D10" s="87">
        <v>0</v>
      </c>
      <c r="E10" s="47">
        <f>C10+D10</f>
        <v>0</v>
      </c>
      <c r="F10" s="87">
        <v>0</v>
      </c>
      <c r="G10" s="47">
        <f t="shared" si="4"/>
        <v>0</v>
      </c>
      <c r="H10" s="88"/>
      <c r="I10" s="15">
        <v>15</v>
      </c>
      <c r="J10" s="8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7">
        <v>0</v>
      </c>
      <c r="S10" s="47">
        <f t="shared" si="1"/>
        <v>0</v>
      </c>
      <c r="T10" s="87">
        <v>0</v>
      </c>
      <c r="U10" s="47">
        <f t="shared" si="2"/>
        <v>0</v>
      </c>
      <c r="V10" s="88">
        <v>0</v>
      </c>
      <c r="W10" s="22"/>
      <c r="X10" s="44">
        <f t="shared" si="3"/>
        <v>0</v>
      </c>
      <c r="Y10" s="17" t="s">
        <v>16</v>
      </c>
      <c r="Z10" s="18">
        <v>0</v>
      </c>
      <c r="AB10" s="2" t="s">
        <v>311</v>
      </c>
    </row>
    <row r="11" spans="1:28" ht="25.5" x14ac:dyDescent="0.55000000000000004">
      <c r="A11" s="10">
        <v>7</v>
      </c>
      <c r="B11" s="19" t="s">
        <v>22</v>
      </c>
      <c r="C11" s="79">
        <f>+ยกมา!G11</f>
        <v>0</v>
      </c>
      <c r="D11" s="87">
        <v>0</v>
      </c>
      <c r="E11" s="47">
        <f t="shared" si="0"/>
        <v>0</v>
      </c>
      <c r="F11" s="87">
        <v>0</v>
      </c>
      <c r="G11" s="47">
        <f t="shared" si="4"/>
        <v>0</v>
      </c>
      <c r="H11" s="88"/>
      <c r="I11" s="15">
        <v>40</v>
      </c>
      <c r="J11" s="8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7">
        <v>0</v>
      </c>
      <c r="S11" s="47">
        <f t="shared" si="1"/>
        <v>0</v>
      </c>
      <c r="T11" s="87">
        <v>0</v>
      </c>
      <c r="U11" s="47">
        <f t="shared" si="2"/>
        <v>0</v>
      </c>
      <c r="V11" s="88">
        <v>0</v>
      </c>
      <c r="W11" s="22"/>
      <c r="X11" s="44">
        <f t="shared" si="3"/>
        <v>0</v>
      </c>
      <c r="Y11" s="17" t="s">
        <v>16</v>
      </c>
      <c r="Z11" s="18">
        <v>0</v>
      </c>
      <c r="AB11" s="2" t="s">
        <v>321</v>
      </c>
    </row>
    <row r="12" spans="1:28" ht="25.5" x14ac:dyDescent="0.55000000000000004">
      <c r="A12" s="10">
        <v>8</v>
      </c>
      <c r="B12" s="19" t="s">
        <v>23</v>
      </c>
      <c r="C12" s="79">
        <f>+ยกมา!G12</f>
        <v>0</v>
      </c>
      <c r="D12" s="87">
        <v>0</v>
      </c>
      <c r="E12" s="47">
        <f t="shared" si="0"/>
        <v>0</v>
      </c>
      <c r="F12" s="87">
        <v>0</v>
      </c>
      <c r="G12" s="47">
        <f t="shared" si="4"/>
        <v>0</v>
      </c>
      <c r="H12" s="88"/>
      <c r="I12" s="20">
        <v>50</v>
      </c>
      <c r="J12" s="8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7">
        <v>0</v>
      </c>
      <c r="S12" s="47">
        <f t="shared" si="1"/>
        <v>0</v>
      </c>
      <c r="T12" s="87">
        <v>0</v>
      </c>
      <c r="U12" s="47">
        <f t="shared" si="2"/>
        <v>0</v>
      </c>
      <c r="V12" s="88">
        <v>0</v>
      </c>
      <c r="W12" s="22"/>
      <c r="X12" s="44">
        <f t="shared" si="3"/>
        <v>0</v>
      </c>
      <c r="Y12" s="17" t="s">
        <v>16</v>
      </c>
      <c r="Z12" s="18">
        <v>0</v>
      </c>
      <c r="AB12" s="2" t="s">
        <v>289</v>
      </c>
    </row>
    <row r="13" spans="1:28" ht="25.5" x14ac:dyDescent="0.55000000000000004">
      <c r="A13" s="10">
        <v>9</v>
      </c>
      <c r="B13" s="19" t="s">
        <v>24</v>
      </c>
      <c r="C13" s="79">
        <f>+ยกมา!G13</f>
        <v>0</v>
      </c>
      <c r="D13" s="87">
        <v>0</v>
      </c>
      <c r="E13" s="47">
        <f>C13+D13</f>
        <v>0</v>
      </c>
      <c r="F13" s="87">
        <v>0</v>
      </c>
      <c r="G13" s="47">
        <f t="shared" si="4"/>
        <v>0</v>
      </c>
      <c r="H13" s="88"/>
      <c r="I13" s="20">
        <v>55</v>
      </c>
      <c r="J13" s="8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7">
        <v>0</v>
      </c>
      <c r="S13" s="47">
        <f t="shared" si="1"/>
        <v>0</v>
      </c>
      <c r="T13" s="87">
        <v>0</v>
      </c>
      <c r="U13" s="47">
        <f t="shared" si="2"/>
        <v>0</v>
      </c>
      <c r="V13" s="88">
        <v>0</v>
      </c>
      <c r="W13" s="22"/>
      <c r="X13" s="44">
        <f t="shared" si="3"/>
        <v>0</v>
      </c>
      <c r="Y13" s="17" t="s">
        <v>16</v>
      </c>
      <c r="Z13" s="18">
        <v>0</v>
      </c>
      <c r="AB13" s="2" t="s">
        <v>322</v>
      </c>
    </row>
    <row r="14" spans="1:28" ht="25.5" x14ac:dyDescent="0.55000000000000004">
      <c r="A14" s="10">
        <v>10</v>
      </c>
      <c r="B14" s="19" t="s">
        <v>25</v>
      </c>
      <c r="C14" s="79">
        <f>+ยกมา!G14</f>
        <v>0</v>
      </c>
      <c r="D14" s="87">
        <v>5</v>
      </c>
      <c r="E14" s="47">
        <f t="shared" si="0"/>
        <v>5</v>
      </c>
      <c r="F14" s="87">
        <v>0</v>
      </c>
      <c r="G14" s="47">
        <f t="shared" si="4"/>
        <v>5</v>
      </c>
      <c r="H14" s="88"/>
      <c r="I14" s="20">
        <v>65</v>
      </c>
      <c r="J14" s="8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7">
        <v>0</v>
      </c>
      <c r="S14" s="47">
        <f t="shared" si="1"/>
        <v>0</v>
      </c>
      <c r="T14" s="87">
        <v>0</v>
      </c>
      <c r="U14" s="47">
        <f t="shared" si="2"/>
        <v>0</v>
      </c>
      <c r="V14" s="88">
        <v>0</v>
      </c>
      <c r="W14" s="22"/>
      <c r="X14" s="44">
        <f t="shared" si="3"/>
        <v>0</v>
      </c>
      <c r="Y14" s="17" t="s">
        <v>16</v>
      </c>
      <c r="Z14" s="18">
        <v>0</v>
      </c>
      <c r="AB14" s="2" t="s">
        <v>306</v>
      </c>
    </row>
    <row r="15" spans="1:28" ht="25.5" x14ac:dyDescent="0.55000000000000004">
      <c r="A15" s="10">
        <v>11</v>
      </c>
      <c r="B15" s="19" t="s">
        <v>26</v>
      </c>
      <c r="C15" s="79">
        <f>+ยกมา!G15</f>
        <v>0</v>
      </c>
      <c r="D15" s="87">
        <v>0</v>
      </c>
      <c r="E15" s="47">
        <f t="shared" si="0"/>
        <v>0</v>
      </c>
      <c r="F15" s="87">
        <v>0</v>
      </c>
      <c r="G15" s="47">
        <f t="shared" si="4"/>
        <v>0</v>
      </c>
      <c r="H15" s="88"/>
      <c r="I15" s="20">
        <v>50</v>
      </c>
      <c r="J15" s="8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7">
        <v>0</v>
      </c>
      <c r="S15" s="47">
        <f t="shared" ref="S15:S29" si="7">Q15+R15</f>
        <v>0</v>
      </c>
      <c r="T15" s="87">
        <v>0</v>
      </c>
      <c r="U15" s="47">
        <f t="shared" ref="U15:U29" si="8">S15-T15-V15</f>
        <v>0</v>
      </c>
      <c r="V15" s="88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8" ht="25.5" x14ac:dyDescent="0.55000000000000004">
      <c r="A16" s="10">
        <v>12</v>
      </c>
      <c r="B16" s="19" t="s">
        <v>27</v>
      </c>
      <c r="C16" s="79">
        <f>+ยกมา!G16</f>
        <v>0</v>
      </c>
      <c r="D16" s="87">
        <v>0</v>
      </c>
      <c r="E16" s="47">
        <f t="shared" si="0"/>
        <v>0</v>
      </c>
      <c r="F16" s="87">
        <v>0</v>
      </c>
      <c r="G16" s="47">
        <f t="shared" si="4"/>
        <v>0</v>
      </c>
      <c r="H16" s="88"/>
      <c r="I16" s="15">
        <v>50</v>
      </c>
      <c r="J16" s="8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7">
        <v>0</v>
      </c>
      <c r="S16" s="47">
        <f t="shared" si="7"/>
        <v>0</v>
      </c>
      <c r="T16" s="87">
        <v>0</v>
      </c>
      <c r="U16" s="47">
        <f t="shared" si="8"/>
        <v>0</v>
      </c>
      <c r="V16" s="88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+ยกมา!G17</f>
        <v>0</v>
      </c>
      <c r="D17" s="87">
        <v>0</v>
      </c>
      <c r="E17" s="47">
        <f t="shared" si="0"/>
        <v>0</v>
      </c>
      <c r="F17" s="87">
        <v>0</v>
      </c>
      <c r="G17" s="47">
        <f t="shared" si="4"/>
        <v>0</v>
      </c>
      <c r="H17" s="88"/>
      <c r="I17" s="15">
        <v>50</v>
      </c>
      <c r="J17" s="8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7">
        <v>0</v>
      </c>
      <c r="S17" s="47">
        <f t="shared" si="7"/>
        <v>0</v>
      </c>
      <c r="T17" s="87">
        <v>0</v>
      </c>
      <c r="U17" s="47">
        <f t="shared" si="8"/>
        <v>0</v>
      </c>
      <c r="V17" s="88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+ยกมา!G18</f>
        <v>0</v>
      </c>
      <c r="D18" s="87">
        <v>0</v>
      </c>
      <c r="E18" s="47">
        <f t="shared" si="0"/>
        <v>0</v>
      </c>
      <c r="F18" s="87">
        <v>0</v>
      </c>
      <c r="G18" s="47">
        <f t="shared" si="4"/>
        <v>0</v>
      </c>
      <c r="H18" s="88"/>
      <c r="I18" s="20">
        <v>50</v>
      </c>
      <c r="J18" s="8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7">
        <v>0</v>
      </c>
      <c r="S18" s="47">
        <f t="shared" si="7"/>
        <v>0</v>
      </c>
      <c r="T18" s="87">
        <v>0</v>
      </c>
      <c r="U18" s="47">
        <f t="shared" si="8"/>
        <v>0</v>
      </c>
      <c r="V18" s="88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329</v>
      </c>
      <c r="C19" s="79">
        <f>+ยกมา!G19</f>
        <v>0</v>
      </c>
      <c r="D19" s="87">
        <v>0</v>
      </c>
      <c r="E19" s="47">
        <f t="shared" si="0"/>
        <v>0</v>
      </c>
      <c r="F19" s="87">
        <v>0</v>
      </c>
      <c r="G19" s="47">
        <f t="shared" si="4"/>
        <v>0</v>
      </c>
      <c r="H19" s="88"/>
      <c r="I19" s="15">
        <v>50</v>
      </c>
      <c r="J19" s="8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7">
        <v>0</v>
      </c>
      <c r="S19" s="47">
        <f t="shared" si="7"/>
        <v>0</v>
      </c>
      <c r="T19" s="87">
        <v>0</v>
      </c>
      <c r="U19" s="47">
        <f t="shared" si="8"/>
        <v>0</v>
      </c>
      <c r="V19" s="88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+ยกมา!G20</f>
        <v>0</v>
      </c>
      <c r="D20" s="87">
        <v>0</v>
      </c>
      <c r="E20" s="47">
        <f t="shared" si="0"/>
        <v>0</v>
      </c>
      <c r="F20" s="87">
        <v>0</v>
      </c>
      <c r="G20" s="47">
        <f t="shared" si="4"/>
        <v>0</v>
      </c>
      <c r="H20" s="88"/>
      <c r="I20" s="15">
        <v>50</v>
      </c>
      <c r="J20" s="8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7">
        <v>0</v>
      </c>
      <c r="S20" s="47">
        <f t="shared" si="7"/>
        <v>0</v>
      </c>
      <c r="T20" s="87">
        <v>0</v>
      </c>
      <c r="U20" s="47">
        <f t="shared" si="8"/>
        <v>0</v>
      </c>
      <c r="V20" s="88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+ยกมา!G21</f>
        <v>0</v>
      </c>
      <c r="D21" s="87">
        <v>0</v>
      </c>
      <c r="E21" s="47">
        <f t="shared" si="0"/>
        <v>0</v>
      </c>
      <c r="F21" s="87">
        <v>0</v>
      </c>
      <c r="G21" s="47">
        <f t="shared" si="4"/>
        <v>0</v>
      </c>
      <c r="H21" s="88"/>
      <c r="I21" s="15">
        <v>50</v>
      </c>
      <c r="J21" s="8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7">
        <v>0</v>
      </c>
      <c r="S21" s="47">
        <f t="shared" si="7"/>
        <v>0</v>
      </c>
      <c r="T21" s="87">
        <v>0</v>
      </c>
      <c r="U21" s="47">
        <f t="shared" si="8"/>
        <v>0</v>
      </c>
      <c r="V21" s="88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+ยกมา!G22</f>
        <v>1</v>
      </c>
      <c r="D22" s="87">
        <v>5</v>
      </c>
      <c r="E22" s="47">
        <f t="shared" si="0"/>
        <v>6</v>
      </c>
      <c r="F22" s="87">
        <v>0</v>
      </c>
      <c r="G22" s="47">
        <f t="shared" si="4"/>
        <v>5</v>
      </c>
      <c r="H22" s="88">
        <v>1</v>
      </c>
      <c r="I22" s="15">
        <v>85</v>
      </c>
      <c r="J22" s="82">
        <f t="shared" si="5"/>
        <v>85</v>
      </c>
      <c r="K22" s="17" t="s">
        <v>16</v>
      </c>
      <c r="L22" s="18">
        <v>0</v>
      </c>
      <c r="M22" s="23">
        <f t="shared" si="6"/>
        <v>85</v>
      </c>
      <c r="O22" s="10">
        <v>18</v>
      </c>
      <c r="P22" s="19"/>
      <c r="Q22" s="47">
        <v>0</v>
      </c>
      <c r="R22" s="87">
        <v>0</v>
      </c>
      <c r="S22" s="47">
        <f t="shared" si="7"/>
        <v>0</v>
      </c>
      <c r="T22" s="87">
        <v>0</v>
      </c>
      <c r="U22" s="47">
        <f t="shared" si="8"/>
        <v>0</v>
      </c>
      <c r="V22" s="88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+ยกมา!G23</f>
        <v>5</v>
      </c>
      <c r="D23" s="87">
        <v>5</v>
      </c>
      <c r="E23" s="47">
        <f t="shared" si="0"/>
        <v>10</v>
      </c>
      <c r="F23" s="87">
        <v>0</v>
      </c>
      <c r="G23" s="47">
        <f t="shared" si="4"/>
        <v>5</v>
      </c>
      <c r="H23" s="88">
        <v>5</v>
      </c>
      <c r="I23" s="15">
        <v>100</v>
      </c>
      <c r="J23" s="82">
        <f t="shared" si="5"/>
        <v>500</v>
      </c>
      <c r="K23" s="17" t="s">
        <v>16</v>
      </c>
      <c r="L23" s="18">
        <v>0</v>
      </c>
      <c r="M23" s="23">
        <f t="shared" si="6"/>
        <v>500</v>
      </c>
      <c r="O23" s="10">
        <v>19</v>
      </c>
      <c r="P23" s="19"/>
      <c r="Q23" s="47">
        <v>0</v>
      </c>
      <c r="R23" s="87">
        <v>0</v>
      </c>
      <c r="S23" s="47">
        <f t="shared" si="7"/>
        <v>0</v>
      </c>
      <c r="T23" s="87">
        <v>0</v>
      </c>
      <c r="U23" s="47">
        <f t="shared" si="8"/>
        <v>0</v>
      </c>
      <c r="V23" s="88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+ยกมา!G24</f>
        <v>10</v>
      </c>
      <c r="D24" s="87">
        <v>0</v>
      </c>
      <c r="E24" s="47">
        <f t="shared" si="0"/>
        <v>10</v>
      </c>
      <c r="F24" s="87">
        <v>0</v>
      </c>
      <c r="G24" s="47">
        <f t="shared" si="4"/>
        <v>10</v>
      </c>
      <c r="H24" s="88"/>
      <c r="I24" s="21">
        <v>100</v>
      </c>
      <c r="J24" s="8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7">
        <v>0</v>
      </c>
      <c r="S24" s="47">
        <f t="shared" si="7"/>
        <v>0</v>
      </c>
      <c r="T24" s="87">
        <v>0</v>
      </c>
      <c r="U24" s="47">
        <f t="shared" si="8"/>
        <v>0</v>
      </c>
      <c r="V24" s="88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+ยกมา!G25</f>
        <v>0</v>
      </c>
      <c r="D25" s="87">
        <v>0</v>
      </c>
      <c r="E25" s="47">
        <f t="shared" si="0"/>
        <v>0</v>
      </c>
      <c r="F25" s="87">
        <v>0</v>
      </c>
      <c r="G25" s="47">
        <f t="shared" si="4"/>
        <v>0</v>
      </c>
      <c r="H25" s="88"/>
      <c r="I25" s="21">
        <v>100</v>
      </c>
      <c r="J25" s="8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7">
        <v>0</v>
      </c>
      <c r="S25" s="47">
        <f t="shared" si="7"/>
        <v>0</v>
      </c>
      <c r="T25" s="87">
        <v>0</v>
      </c>
      <c r="U25" s="47">
        <f t="shared" si="8"/>
        <v>0</v>
      </c>
      <c r="V25" s="88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+ยกมา!G26</f>
        <v>4</v>
      </c>
      <c r="D26" s="87">
        <v>0</v>
      </c>
      <c r="E26" s="47">
        <f t="shared" si="0"/>
        <v>4</v>
      </c>
      <c r="F26" s="87">
        <v>0</v>
      </c>
      <c r="G26" s="47">
        <f t="shared" si="4"/>
        <v>4</v>
      </c>
      <c r="H26" s="88"/>
      <c r="I26" s="21">
        <v>100</v>
      </c>
      <c r="J26" s="8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7">
        <v>0</v>
      </c>
      <c r="S26" s="47">
        <f t="shared" si="7"/>
        <v>0</v>
      </c>
      <c r="T26" s="87">
        <v>0</v>
      </c>
      <c r="U26" s="47">
        <f t="shared" si="8"/>
        <v>0</v>
      </c>
      <c r="V26" s="88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+ยกมา!G27</f>
        <v>0</v>
      </c>
      <c r="D27" s="87">
        <v>0</v>
      </c>
      <c r="E27" s="47">
        <f t="shared" si="0"/>
        <v>0</v>
      </c>
      <c r="F27" s="87">
        <v>0</v>
      </c>
      <c r="G27" s="47">
        <f t="shared" si="4"/>
        <v>0</v>
      </c>
      <c r="H27" s="88"/>
      <c r="I27" s="20">
        <v>100</v>
      </c>
      <c r="J27" s="8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7">
        <v>0</v>
      </c>
      <c r="S27" s="47">
        <f t="shared" si="7"/>
        <v>0</v>
      </c>
      <c r="T27" s="87">
        <v>0</v>
      </c>
      <c r="U27" s="47">
        <f t="shared" si="8"/>
        <v>0</v>
      </c>
      <c r="V27" s="88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+ยกมา!G28</f>
        <v>0</v>
      </c>
      <c r="D28" s="87">
        <v>0</v>
      </c>
      <c r="E28" s="47">
        <f t="shared" si="0"/>
        <v>0</v>
      </c>
      <c r="F28" s="87">
        <v>0</v>
      </c>
      <c r="G28" s="47">
        <f t="shared" si="4"/>
        <v>0</v>
      </c>
      <c r="H28" s="88"/>
      <c r="I28" s="20">
        <v>100</v>
      </c>
      <c r="J28" s="8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7">
        <v>0</v>
      </c>
      <c r="S28" s="47">
        <f t="shared" si="7"/>
        <v>0</v>
      </c>
      <c r="T28" s="87">
        <v>0</v>
      </c>
      <c r="U28" s="47">
        <f t="shared" si="8"/>
        <v>0</v>
      </c>
      <c r="V28" s="88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+ยกมา!G29</f>
        <v>17</v>
      </c>
      <c r="D29" s="87">
        <v>0</v>
      </c>
      <c r="E29" s="47">
        <f t="shared" si="0"/>
        <v>17</v>
      </c>
      <c r="F29" s="87">
        <v>0</v>
      </c>
      <c r="G29" s="47">
        <f t="shared" si="4"/>
        <v>17</v>
      </c>
      <c r="H29" s="88"/>
      <c r="I29" s="15">
        <v>100</v>
      </c>
      <c r="J29" s="8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7">
        <v>0</v>
      </c>
      <c r="S29" s="47">
        <f t="shared" si="7"/>
        <v>0</v>
      </c>
      <c r="T29" s="87">
        <v>0</v>
      </c>
      <c r="U29" s="47">
        <f t="shared" si="8"/>
        <v>0</v>
      </c>
      <c r="V29" s="88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+ยกมา!G30</f>
        <v>0</v>
      </c>
      <c r="D30" s="87">
        <v>0</v>
      </c>
      <c r="E30" s="47">
        <f t="shared" si="0"/>
        <v>0</v>
      </c>
      <c r="F30" s="87">
        <v>0</v>
      </c>
      <c r="G30" s="47">
        <f t="shared" si="4"/>
        <v>0</v>
      </c>
      <c r="H30" s="88"/>
      <c r="I30" s="15">
        <v>100</v>
      </c>
      <c r="J30" s="8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+ยกมา!G31</f>
        <v>0</v>
      </c>
      <c r="D31" s="87">
        <v>2</v>
      </c>
      <c r="E31" s="47">
        <f t="shared" si="0"/>
        <v>2</v>
      </c>
      <c r="F31" s="87">
        <v>0</v>
      </c>
      <c r="G31" s="47">
        <f t="shared" si="4"/>
        <v>2</v>
      </c>
      <c r="H31" s="88"/>
      <c r="I31" s="15">
        <v>100</v>
      </c>
      <c r="J31" s="82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+ยกมา!G32</f>
        <v>0</v>
      </c>
      <c r="D32" s="87">
        <v>0</v>
      </c>
      <c r="E32" s="47">
        <f t="shared" si="0"/>
        <v>0</v>
      </c>
      <c r="F32" s="87">
        <v>0</v>
      </c>
      <c r="G32" s="47">
        <f t="shared" si="4"/>
        <v>0</v>
      </c>
      <c r="H32" s="88"/>
      <c r="I32" s="15">
        <v>130</v>
      </c>
      <c r="J32" s="82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5" t="s">
        <v>119</v>
      </c>
      <c r="Q32" s="146"/>
      <c r="R32" s="146"/>
      <c r="S32" s="146"/>
      <c r="T32" s="146"/>
      <c r="U32" s="146"/>
      <c r="V32" s="146"/>
      <c r="W32" s="147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+ยกมา!G33</f>
        <v>1</v>
      </c>
      <c r="D33" s="87">
        <v>5</v>
      </c>
      <c r="E33" s="47">
        <f t="shared" si="0"/>
        <v>6</v>
      </c>
      <c r="F33" s="87">
        <v>0</v>
      </c>
      <c r="G33" s="47">
        <f t="shared" si="4"/>
        <v>6</v>
      </c>
      <c r="H33" s="88"/>
      <c r="I33" s="15">
        <v>130</v>
      </c>
      <c r="J33" s="82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+ยกมา!G34</f>
        <v>3</v>
      </c>
      <c r="D34" s="87">
        <v>5</v>
      </c>
      <c r="E34" s="47">
        <f t="shared" si="0"/>
        <v>8</v>
      </c>
      <c r="F34" s="87">
        <v>0</v>
      </c>
      <c r="G34" s="47">
        <f t="shared" si="4"/>
        <v>5</v>
      </c>
      <c r="H34" s="88">
        <v>3</v>
      </c>
      <c r="I34" s="15">
        <v>130</v>
      </c>
      <c r="J34" s="82">
        <f t="shared" si="5"/>
        <v>390</v>
      </c>
      <c r="K34" s="17" t="s">
        <v>16</v>
      </c>
      <c r="L34" s="18">
        <v>0</v>
      </c>
      <c r="M34" s="23">
        <f t="shared" si="6"/>
        <v>390</v>
      </c>
    </row>
    <row r="35" spans="1:13" ht="25.5" x14ac:dyDescent="0.55000000000000004">
      <c r="A35" s="10">
        <v>31</v>
      </c>
      <c r="B35" s="19" t="s">
        <v>46</v>
      </c>
      <c r="C35" s="79">
        <f>+ยกมา!G35</f>
        <v>0</v>
      </c>
      <c r="D35" s="87">
        <v>0</v>
      </c>
      <c r="E35" s="47">
        <f t="shared" si="0"/>
        <v>0</v>
      </c>
      <c r="F35" s="87">
        <v>0</v>
      </c>
      <c r="G35" s="47">
        <f t="shared" si="4"/>
        <v>0</v>
      </c>
      <c r="H35" s="88"/>
      <c r="I35" s="15">
        <v>130</v>
      </c>
      <c r="J35" s="82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+ยกมา!G36</f>
        <v>0</v>
      </c>
      <c r="D36" s="87">
        <v>0</v>
      </c>
      <c r="E36" s="47">
        <f t="shared" si="0"/>
        <v>0</v>
      </c>
      <c r="F36" s="87">
        <v>0</v>
      </c>
      <c r="G36" s="47">
        <f t="shared" si="4"/>
        <v>0</v>
      </c>
      <c r="H36" s="88"/>
      <c r="I36" s="15">
        <v>100</v>
      </c>
      <c r="J36" s="82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+ยกมา!G37</f>
        <v>18</v>
      </c>
      <c r="D37" s="87">
        <v>5</v>
      </c>
      <c r="E37" s="47">
        <f t="shared" si="0"/>
        <v>23</v>
      </c>
      <c r="F37" s="87">
        <v>0</v>
      </c>
      <c r="G37" s="47">
        <f t="shared" si="4"/>
        <v>23</v>
      </c>
      <c r="H37" s="88"/>
      <c r="I37" s="15">
        <v>100</v>
      </c>
      <c r="J37" s="82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 t="s">
        <v>49</v>
      </c>
      <c r="C38" s="79">
        <f>+ยกมา!G38</f>
        <v>6</v>
      </c>
      <c r="D38" s="87">
        <v>0</v>
      </c>
      <c r="E38" s="47">
        <f t="shared" si="0"/>
        <v>6</v>
      </c>
      <c r="F38" s="87">
        <v>0</v>
      </c>
      <c r="G38" s="47">
        <f t="shared" si="4"/>
        <v>5</v>
      </c>
      <c r="H38" s="88">
        <v>1</v>
      </c>
      <c r="I38" s="15">
        <v>50</v>
      </c>
      <c r="J38" s="82">
        <f t="shared" si="5"/>
        <v>50</v>
      </c>
      <c r="K38" s="17" t="s">
        <v>16</v>
      </c>
      <c r="L38" s="18">
        <v>0</v>
      </c>
      <c r="M38" s="23">
        <f t="shared" si="6"/>
        <v>50</v>
      </c>
    </row>
    <row r="39" spans="1:13" ht="25.5" x14ac:dyDescent="0.55000000000000004">
      <c r="A39" s="10">
        <v>35</v>
      </c>
      <c r="B39" s="19" t="s">
        <v>50</v>
      </c>
      <c r="C39" s="79">
        <f>+ยกมา!G39</f>
        <v>9</v>
      </c>
      <c r="D39" s="87">
        <v>0</v>
      </c>
      <c r="E39" s="47">
        <f t="shared" si="0"/>
        <v>9</v>
      </c>
      <c r="F39" s="87">
        <v>0</v>
      </c>
      <c r="G39" s="47">
        <f t="shared" si="4"/>
        <v>9</v>
      </c>
      <c r="H39" s="88"/>
      <c r="I39" s="15">
        <v>50</v>
      </c>
      <c r="J39" s="82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+ยกมา!G40</f>
        <v>9</v>
      </c>
      <c r="D40" s="87">
        <v>0</v>
      </c>
      <c r="E40" s="47">
        <f t="shared" si="0"/>
        <v>9</v>
      </c>
      <c r="F40" s="87">
        <v>0</v>
      </c>
      <c r="G40" s="47">
        <f t="shared" si="4"/>
        <v>9</v>
      </c>
      <c r="H40" s="88"/>
      <c r="I40" s="15">
        <v>50</v>
      </c>
      <c r="J40" s="82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+ยกมา!G41</f>
        <v>0</v>
      </c>
      <c r="D41" s="87">
        <v>0</v>
      </c>
      <c r="E41" s="47">
        <f t="shared" si="0"/>
        <v>0</v>
      </c>
      <c r="F41" s="87">
        <v>0</v>
      </c>
      <c r="G41" s="47">
        <f t="shared" si="4"/>
        <v>0</v>
      </c>
      <c r="H41" s="88"/>
      <c r="I41" s="15">
        <v>50</v>
      </c>
      <c r="J41" s="82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285</v>
      </c>
      <c r="C42" s="79">
        <f>+ยกมา!G42</f>
        <v>0</v>
      </c>
      <c r="D42" s="87">
        <v>2</v>
      </c>
      <c r="E42" s="47">
        <f t="shared" si="0"/>
        <v>2</v>
      </c>
      <c r="F42" s="87">
        <v>0</v>
      </c>
      <c r="G42" s="47">
        <f t="shared" si="4"/>
        <v>2</v>
      </c>
      <c r="H42" s="88"/>
      <c r="I42" s="15">
        <v>50</v>
      </c>
      <c r="J42" s="82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+ยกมา!G43</f>
        <v>0</v>
      </c>
      <c r="D43" s="87">
        <v>0</v>
      </c>
      <c r="E43" s="47">
        <f t="shared" si="0"/>
        <v>0</v>
      </c>
      <c r="F43" s="87">
        <v>0</v>
      </c>
      <c r="G43" s="47">
        <f t="shared" si="4"/>
        <v>0</v>
      </c>
      <c r="H43" s="88"/>
      <c r="I43" s="15">
        <v>50</v>
      </c>
      <c r="J43" s="82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+ยกมา!G44</f>
        <v>0</v>
      </c>
      <c r="D44" s="87">
        <v>0</v>
      </c>
      <c r="E44" s="47">
        <f t="shared" si="0"/>
        <v>0</v>
      </c>
      <c r="F44" s="87">
        <v>0</v>
      </c>
      <c r="G44" s="47">
        <f t="shared" si="4"/>
        <v>0</v>
      </c>
      <c r="H44" s="88"/>
      <c r="I44" s="15">
        <v>50</v>
      </c>
      <c r="J44" s="82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+ยกมา!G45</f>
        <v>0</v>
      </c>
      <c r="D45" s="87">
        <v>0</v>
      </c>
      <c r="E45" s="47">
        <f t="shared" si="0"/>
        <v>0</v>
      </c>
      <c r="F45" s="87">
        <v>0</v>
      </c>
      <c r="G45" s="47">
        <f t="shared" si="4"/>
        <v>0</v>
      </c>
      <c r="H45" s="88"/>
      <c r="I45" s="15">
        <v>50</v>
      </c>
      <c r="J45" s="82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286</v>
      </c>
      <c r="C46" s="79">
        <f>+ยกมา!G46</f>
        <v>0</v>
      </c>
      <c r="D46" s="87">
        <v>2</v>
      </c>
      <c r="E46" s="47">
        <f t="shared" si="0"/>
        <v>2</v>
      </c>
      <c r="F46" s="87">
        <v>0</v>
      </c>
      <c r="G46" s="47">
        <f t="shared" si="4"/>
        <v>2</v>
      </c>
      <c r="H46" s="88"/>
      <c r="I46" s="15">
        <v>50</v>
      </c>
      <c r="J46" s="82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+ยกมา!G47</f>
        <v>0</v>
      </c>
      <c r="D47" s="87">
        <v>2</v>
      </c>
      <c r="E47" s="47">
        <f t="shared" si="0"/>
        <v>2</v>
      </c>
      <c r="F47" s="87">
        <v>0</v>
      </c>
      <c r="G47" s="47">
        <f t="shared" si="4"/>
        <v>2</v>
      </c>
      <c r="H47" s="88"/>
      <c r="I47" s="15">
        <v>50</v>
      </c>
      <c r="J47" s="82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+ยกมา!G48</f>
        <v>0</v>
      </c>
      <c r="D48" s="87">
        <v>2</v>
      </c>
      <c r="E48" s="47">
        <f t="shared" si="0"/>
        <v>2</v>
      </c>
      <c r="F48" s="87">
        <v>0</v>
      </c>
      <c r="G48" s="47">
        <f t="shared" si="4"/>
        <v>2</v>
      </c>
      <c r="H48" s="88"/>
      <c r="I48" s="15">
        <v>50</v>
      </c>
      <c r="J48" s="82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+ยกมา!G49</f>
        <v>0</v>
      </c>
      <c r="D49" s="87">
        <v>2</v>
      </c>
      <c r="E49" s="47">
        <f t="shared" si="0"/>
        <v>2</v>
      </c>
      <c r="F49" s="87">
        <v>0</v>
      </c>
      <c r="G49" s="47">
        <f t="shared" si="4"/>
        <v>2</v>
      </c>
      <c r="H49" s="88"/>
      <c r="I49" s="15">
        <v>50</v>
      </c>
      <c r="J49" s="82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+ยกมา!G50</f>
        <v>1</v>
      </c>
      <c r="D50" s="87">
        <v>2</v>
      </c>
      <c r="E50" s="47">
        <f t="shared" si="0"/>
        <v>3</v>
      </c>
      <c r="F50" s="87">
        <v>0</v>
      </c>
      <c r="G50" s="47">
        <f t="shared" si="4"/>
        <v>2</v>
      </c>
      <c r="H50" s="88">
        <v>1</v>
      </c>
      <c r="I50" s="15">
        <v>120</v>
      </c>
      <c r="J50" s="82">
        <f t="shared" si="5"/>
        <v>120</v>
      </c>
      <c r="K50" s="17" t="s">
        <v>288</v>
      </c>
      <c r="L50" s="18">
        <v>35</v>
      </c>
      <c r="M50" s="23">
        <f t="shared" si="6"/>
        <v>85</v>
      </c>
    </row>
    <row r="51" spans="1:13" ht="25.5" x14ac:dyDescent="0.55000000000000004">
      <c r="A51" s="10">
        <v>47</v>
      </c>
      <c r="B51" s="19" t="s">
        <v>62</v>
      </c>
      <c r="C51" s="79">
        <f>+ยกมา!G51</f>
        <v>2</v>
      </c>
      <c r="D51" s="87">
        <v>2</v>
      </c>
      <c r="E51" s="47">
        <f t="shared" si="0"/>
        <v>4</v>
      </c>
      <c r="F51" s="87">
        <v>0</v>
      </c>
      <c r="G51" s="47">
        <f t="shared" si="4"/>
        <v>3</v>
      </c>
      <c r="H51" s="88">
        <v>1</v>
      </c>
      <c r="I51" s="15">
        <v>120</v>
      </c>
      <c r="J51" s="82">
        <f t="shared" si="5"/>
        <v>120</v>
      </c>
      <c r="K51" s="17" t="s">
        <v>288</v>
      </c>
      <c r="L51" s="18">
        <v>35</v>
      </c>
      <c r="M51" s="23">
        <f t="shared" si="6"/>
        <v>85</v>
      </c>
    </row>
    <row r="52" spans="1:13" ht="25.5" x14ac:dyDescent="0.55000000000000004">
      <c r="A52" s="10">
        <v>48</v>
      </c>
      <c r="B52" s="19" t="s">
        <v>63</v>
      </c>
      <c r="C52" s="79">
        <f>+ยกมา!G52</f>
        <v>3</v>
      </c>
      <c r="D52" s="87">
        <v>0</v>
      </c>
      <c r="E52" s="47">
        <f t="shared" si="0"/>
        <v>3</v>
      </c>
      <c r="F52" s="87">
        <v>0</v>
      </c>
      <c r="G52" s="47">
        <f t="shared" si="4"/>
        <v>3</v>
      </c>
      <c r="H52" s="88"/>
      <c r="I52" s="21">
        <v>120</v>
      </c>
      <c r="J52" s="82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+ยกมา!G53</f>
        <v>0</v>
      </c>
      <c r="D53" s="87">
        <v>0</v>
      </c>
      <c r="E53" s="47">
        <f t="shared" si="0"/>
        <v>0</v>
      </c>
      <c r="F53" s="87">
        <v>0</v>
      </c>
      <c r="G53" s="47">
        <f t="shared" si="4"/>
        <v>0</v>
      </c>
      <c r="H53" s="88"/>
      <c r="I53" s="15">
        <v>120</v>
      </c>
      <c r="J53" s="82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+ยกมา!G54</f>
        <v>0</v>
      </c>
      <c r="D54" s="87">
        <v>0</v>
      </c>
      <c r="E54" s="47">
        <f t="shared" si="0"/>
        <v>0</v>
      </c>
      <c r="F54" s="87">
        <v>0</v>
      </c>
      <c r="G54" s="47">
        <f t="shared" si="4"/>
        <v>0</v>
      </c>
      <c r="H54" s="88"/>
      <c r="I54" s="15">
        <v>120</v>
      </c>
      <c r="J54" s="82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+ยกมา!G55</f>
        <v>0</v>
      </c>
      <c r="D55" s="87">
        <v>2</v>
      </c>
      <c r="E55" s="47">
        <f t="shared" si="0"/>
        <v>2</v>
      </c>
      <c r="F55" s="87">
        <v>0</v>
      </c>
      <c r="G55" s="47">
        <f t="shared" si="4"/>
        <v>2</v>
      </c>
      <c r="H55" s="88"/>
      <c r="I55" s="21">
        <v>120</v>
      </c>
      <c r="J55" s="82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+ยกมา!G56</f>
        <v>1</v>
      </c>
      <c r="D56" s="87">
        <v>0</v>
      </c>
      <c r="E56" s="47">
        <f t="shared" si="0"/>
        <v>1</v>
      </c>
      <c r="F56" s="87">
        <v>0</v>
      </c>
      <c r="G56" s="47">
        <f t="shared" si="4"/>
        <v>1</v>
      </c>
      <c r="H56" s="88"/>
      <c r="I56" s="21">
        <v>120</v>
      </c>
      <c r="J56" s="82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+ยกมา!G57</f>
        <v>4</v>
      </c>
      <c r="D57" s="87">
        <v>0</v>
      </c>
      <c r="E57" s="47">
        <f t="shared" si="0"/>
        <v>4</v>
      </c>
      <c r="F57" s="87">
        <v>0</v>
      </c>
      <c r="G57" s="47">
        <f t="shared" si="4"/>
        <v>4</v>
      </c>
      <c r="H57" s="88"/>
      <c r="I57" s="21">
        <v>120</v>
      </c>
      <c r="J57" s="82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+ยกมา!G58</f>
        <v>0</v>
      </c>
      <c r="D58" s="87">
        <v>0</v>
      </c>
      <c r="E58" s="47">
        <f t="shared" si="0"/>
        <v>0</v>
      </c>
      <c r="F58" s="87">
        <v>0</v>
      </c>
      <c r="G58" s="47">
        <f t="shared" si="4"/>
        <v>0</v>
      </c>
      <c r="H58" s="88"/>
      <c r="I58" s="21">
        <v>120</v>
      </c>
      <c r="J58" s="82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+ยกมา!G59</f>
        <v>0</v>
      </c>
      <c r="D59" s="87">
        <v>0</v>
      </c>
      <c r="E59" s="47">
        <f t="shared" si="0"/>
        <v>0</v>
      </c>
      <c r="F59" s="87">
        <v>0</v>
      </c>
      <c r="G59" s="47">
        <f t="shared" si="4"/>
        <v>0</v>
      </c>
      <c r="H59" s="88"/>
      <c r="I59" s="15">
        <v>70</v>
      </c>
      <c r="J59" s="82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+ยกมา!G60</f>
        <v>0</v>
      </c>
      <c r="D60" s="87">
        <v>0</v>
      </c>
      <c r="E60" s="47">
        <f t="shared" si="0"/>
        <v>0</v>
      </c>
      <c r="F60" s="87">
        <v>0</v>
      </c>
      <c r="G60" s="47">
        <f t="shared" si="4"/>
        <v>0</v>
      </c>
      <c r="H60" s="88"/>
      <c r="I60" s="21">
        <v>80</v>
      </c>
      <c r="J60" s="82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+ยกมา!G61</f>
        <v>0</v>
      </c>
      <c r="D61" s="87">
        <v>0</v>
      </c>
      <c r="E61" s="47">
        <f t="shared" si="0"/>
        <v>0</v>
      </c>
      <c r="F61" s="87">
        <v>0</v>
      </c>
      <c r="G61" s="47">
        <f t="shared" si="4"/>
        <v>0</v>
      </c>
      <c r="H61" s="88"/>
      <c r="I61" s="15">
        <v>50</v>
      </c>
      <c r="J61" s="82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+ยกมา!G62</f>
        <v>0</v>
      </c>
      <c r="D62" s="87">
        <v>2</v>
      </c>
      <c r="E62" s="47">
        <f t="shared" si="0"/>
        <v>2</v>
      </c>
      <c r="F62" s="87">
        <v>0</v>
      </c>
      <c r="G62" s="47">
        <f t="shared" si="4"/>
        <v>2</v>
      </c>
      <c r="H62" s="88"/>
      <c r="I62" s="20">
        <v>50</v>
      </c>
      <c r="J62" s="82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+ยกมา!G63</f>
        <v>0</v>
      </c>
      <c r="D63" s="87">
        <v>0</v>
      </c>
      <c r="E63" s="47">
        <f t="shared" si="0"/>
        <v>0</v>
      </c>
      <c r="F63" s="87">
        <v>0</v>
      </c>
      <c r="G63" s="47">
        <f t="shared" si="4"/>
        <v>0</v>
      </c>
      <c r="H63" s="88"/>
      <c r="I63" s="20">
        <v>50</v>
      </c>
      <c r="J63" s="82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+ยกมา!G64</f>
        <v>0</v>
      </c>
      <c r="D64" s="87">
        <v>0</v>
      </c>
      <c r="E64" s="47">
        <f t="shared" si="0"/>
        <v>0</v>
      </c>
      <c r="F64" s="87">
        <v>0</v>
      </c>
      <c r="G64" s="47">
        <f t="shared" si="4"/>
        <v>0</v>
      </c>
      <c r="H64" s="88"/>
      <c r="I64" s="21">
        <v>30</v>
      </c>
      <c r="J64" s="82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+ยกมา!G65</f>
        <v>0</v>
      </c>
      <c r="D65" s="87">
        <v>0</v>
      </c>
      <c r="E65" s="47">
        <f t="shared" si="0"/>
        <v>0</v>
      </c>
      <c r="F65" s="87">
        <v>0</v>
      </c>
      <c r="G65" s="47">
        <f t="shared" si="4"/>
        <v>0</v>
      </c>
      <c r="H65" s="88"/>
      <c r="I65" s="21">
        <v>30</v>
      </c>
      <c r="J65" s="82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+ยกมา!G66</f>
        <v>9</v>
      </c>
      <c r="D66" s="87">
        <v>0</v>
      </c>
      <c r="E66" s="47">
        <f t="shared" si="0"/>
        <v>9</v>
      </c>
      <c r="F66" s="87">
        <v>0</v>
      </c>
      <c r="G66" s="47">
        <f t="shared" si="4"/>
        <v>8</v>
      </c>
      <c r="H66" s="88">
        <v>1</v>
      </c>
      <c r="I66" s="15">
        <v>50</v>
      </c>
      <c r="J66" s="82">
        <f t="shared" si="5"/>
        <v>50</v>
      </c>
      <c r="K66" s="17" t="s">
        <v>16</v>
      </c>
      <c r="L66" s="18">
        <v>0</v>
      </c>
      <c r="M66" s="23">
        <f t="shared" si="6"/>
        <v>50</v>
      </c>
    </row>
    <row r="67" spans="1:13" ht="25.5" x14ac:dyDescent="0.55000000000000004">
      <c r="A67" s="10">
        <v>63</v>
      </c>
      <c r="B67" s="19" t="s">
        <v>78</v>
      </c>
      <c r="C67" s="79">
        <f>+ยกมา!G67</f>
        <v>3</v>
      </c>
      <c r="D67" s="87">
        <v>0</v>
      </c>
      <c r="E67" s="47">
        <f t="shared" si="0"/>
        <v>3</v>
      </c>
      <c r="F67" s="87">
        <v>0</v>
      </c>
      <c r="G67" s="47">
        <f t="shared" si="4"/>
        <v>2</v>
      </c>
      <c r="H67" s="88">
        <v>1</v>
      </c>
      <c r="I67" s="15">
        <v>50</v>
      </c>
      <c r="J67" s="82">
        <f t="shared" si="5"/>
        <v>50</v>
      </c>
      <c r="K67" s="17" t="s">
        <v>16</v>
      </c>
      <c r="L67" s="18">
        <v>0</v>
      </c>
      <c r="M67" s="23">
        <f t="shared" si="6"/>
        <v>50</v>
      </c>
    </row>
    <row r="68" spans="1:13" ht="25.5" x14ac:dyDescent="0.55000000000000004">
      <c r="A68" s="10">
        <v>64</v>
      </c>
      <c r="B68" s="19" t="s">
        <v>79</v>
      </c>
      <c r="C68" s="79">
        <f>+ยกมา!G68</f>
        <v>0</v>
      </c>
      <c r="D68" s="87">
        <v>0</v>
      </c>
      <c r="E68" s="47">
        <f t="shared" si="0"/>
        <v>0</v>
      </c>
      <c r="F68" s="87">
        <v>0</v>
      </c>
      <c r="G68" s="47">
        <f t="shared" si="4"/>
        <v>0</v>
      </c>
      <c r="H68" s="88"/>
      <c r="I68" s="20">
        <v>35</v>
      </c>
      <c r="J68" s="82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+ยกมา!G69</f>
        <v>0</v>
      </c>
      <c r="D69" s="87">
        <v>0</v>
      </c>
      <c r="E69" s="47">
        <f t="shared" si="0"/>
        <v>0</v>
      </c>
      <c r="F69" s="87">
        <v>0</v>
      </c>
      <c r="G69" s="47">
        <f t="shared" si="4"/>
        <v>0</v>
      </c>
      <c r="H69" s="88"/>
      <c r="I69" s="20">
        <v>25</v>
      </c>
      <c r="J69" s="82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+ยกมา!G70</f>
        <v>7</v>
      </c>
      <c r="D70" s="87">
        <v>0</v>
      </c>
      <c r="E70" s="47">
        <f t="shared" si="0"/>
        <v>7</v>
      </c>
      <c r="F70" s="87">
        <v>0</v>
      </c>
      <c r="G70" s="47">
        <f t="shared" si="4"/>
        <v>7</v>
      </c>
      <c r="H70" s="88"/>
      <c r="I70" s="20">
        <v>50</v>
      </c>
      <c r="J70" s="82">
        <f t="shared" si="5"/>
        <v>0</v>
      </c>
      <c r="K70" s="17" t="s">
        <v>16</v>
      </c>
      <c r="L70" s="18">
        <v>0</v>
      </c>
      <c r="M70" s="23">
        <f t="shared" ref="M70:M134" si="10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+ยกมา!G71</f>
        <v>3</v>
      </c>
      <c r="D71" s="87">
        <v>0</v>
      </c>
      <c r="E71" s="47">
        <f t="shared" si="0"/>
        <v>3</v>
      </c>
      <c r="F71" s="87">
        <v>0</v>
      </c>
      <c r="G71" s="47">
        <f t="shared" si="4"/>
        <v>2</v>
      </c>
      <c r="H71" s="88">
        <v>1</v>
      </c>
      <c r="I71" s="20">
        <v>60</v>
      </c>
      <c r="J71" s="82">
        <f t="shared" si="5"/>
        <v>60</v>
      </c>
      <c r="K71" s="17" t="s">
        <v>16</v>
      </c>
      <c r="L71" s="18">
        <v>0</v>
      </c>
      <c r="M71" s="23">
        <f t="shared" si="10"/>
        <v>60</v>
      </c>
    </row>
    <row r="72" spans="1:13" ht="25.5" x14ac:dyDescent="0.55000000000000004">
      <c r="A72" s="10">
        <v>68</v>
      </c>
      <c r="B72" s="19" t="s">
        <v>83</v>
      </c>
      <c r="C72" s="79">
        <f>+ยกมา!G72</f>
        <v>0</v>
      </c>
      <c r="D72" s="87">
        <v>0</v>
      </c>
      <c r="E72" s="47">
        <f t="shared" si="0"/>
        <v>0</v>
      </c>
      <c r="F72" s="87">
        <v>0</v>
      </c>
      <c r="G72" s="47">
        <f t="shared" si="4"/>
        <v>0</v>
      </c>
      <c r="H72" s="88"/>
      <c r="I72" s="22">
        <v>50</v>
      </c>
      <c r="J72" s="82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+ยกมา!G73</f>
        <v>0</v>
      </c>
      <c r="D73" s="87">
        <v>0</v>
      </c>
      <c r="E73" s="47">
        <f t="shared" si="0"/>
        <v>0</v>
      </c>
      <c r="F73" s="87">
        <v>0</v>
      </c>
      <c r="G73" s="47">
        <f t="shared" si="4"/>
        <v>0</v>
      </c>
      <c r="H73" s="88"/>
      <c r="I73" s="20">
        <v>60</v>
      </c>
      <c r="J73" s="82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+ยกมา!G74</f>
        <v>1</v>
      </c>
      <c r="D74" s="87">
        <v>0</v>
      </c>
      <c r="E74" s="47">
        <f t="shared" si="0"/>
        <v>1</v>
      </c>
      <c r="F74" s="87">
        <v>0</v>
      </c>
      <c r="G74" s="47">
        <f t="shared" si="4"/>
        <v>1</v>
      </c>
      <c r="H74" s="88"/>
      <c r="I74" s="22">
        <v>120</v>
      </c>
      <c r="J74" s="82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+ยกมา!G75</f>
        <v>0</v>
      </c>
      <c r="D75" s="87">
        <v>0</v>
      </c>
      <c r="E75" s="47">
        <f t="shared" si="0"/>
        <v>0</v>
      </c>
      <c r="F75" s="87">
        <v>0</v>
      </c>
      <c r="G75" s="47">
        <f t="shared" si="4"/>
        <v>0</v>
      </c>
      <c r="H75" s="88"/>
      <c r="I75" s="22">
        <v>60</v>
      </c>
      <c r="J75" s="82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+ยกมา!G76</f>
        <v>0</v>
      </c>
      <c r="D76" s="87">
        <v>0</v>
      </c>
      <c r="E76" s="47">
        <f t="shared" si="0"/>
        <v>0</v>
      </c>
      <c r="F76" s="87">
        <v>0</v>
      </c>
      <c r="G76" s="47">
        <f t="shared" si="4"/>
        <v>0</v>
      </c>
      <c r="H76" s="88"/>
      <c r="I76" s="22">
        <v>120</v>
      </c>
      <c r="J76" s="82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272</v>
      </c>
      <c r="C77" s="79">
        <f>+ยกมา!G77</f>
        <v>2</v>
      </c>
      <c r="D77" s="87">
        <v>2</v>
      </c>
      <c r="E77" s="47">
        <f>C77+D77</f>
        <v>4</v>
      </c>
      <c r="F77" s="87">
        <v>0</v>
      </c>
      <c r="G77" s="47">
        <f>+E77-F77-H77</f>
        <v>4</v>
      </c>
      <c r="H77" s="88"/>
      <c r="I77" s="20">
        <v>50</v>
      </c>
      <c r="J77" s="82">
        <f>+I77*H77</f>
        <v>0</v>
      </c>
      <c r="K77" s="17" t="s">
        <v>16</v>
      </c>
      <c r="L77" s="18">
        <v>0</v>
      </c>
      <c r="M77" s="23">
        <f>SUM(J77-L77)</f>
        <v>0</v>
      </c>
    </row>
    <row r="78" spans="1:13" ht="25.5" x14ac:dyDescent="0.55000000000000004">
      <c r="A78" s="10">
        <v>74</v>
      </c>
      <c r="B78" s="19" t="s">
        <v>277</v>
      </c>
      <c r="C78" s="79">
        <f>+ยกมา!G78</f>
        <v>1</v>
      </c>
      <c r="D78" s="87">
        <v>2</v>
      </c>
      <c r="E78" s="47">
        <f t="shared" si="0"/>
        <v>3</v>
      </c>
      <c r="F78" s="87">
        <v>0</v>
      </c>
      <c r="G78" s="47">
        <f t="shared" si="4"/>
        <v>3</v>
      </c>
      <c r="H78" s="88"/>
      <c r="I78" s="20">
        <v>50</v>
      </c>
      <c r="J78" s="82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278</v>
      </c>
      <c r="C79" s="79">
        <f>+ยกมา!G79</f>
        <v>0</v>
      </c>
      <c r="D79" s="87">
        <v>0</v>
      </c>
      <c r="E79" s="47">
        <f t="shared" si="0"/>
        <v>0</v>
      </c>
      <c r="F79" s="87">
        <v>0</v>
      </c>
      <c r="G79" s="47">
        <f t="shared" si="4"/>
        <v>0</v>
      </c>
      <c r="H79" s="88"/>
      <c r="I79" s="22">
        <v>120</v>
      </c>
      <c r="J79" s="82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90</v>
      </c>
      <c r="C80" s="79">
        <f>+ยกมา!G80</f>
        <v>0</v>
      </c>
      <c r="D80" s="87">
        <v>5</v>
      </c>
      <c r="E80" s="47">
        <f t="shared" si="0"/>
        <v>5</v>
      </c>
      <c r="F80" s="87">
        <v>0</v>
      </c>
      <c r="G80" s="47">
        <f t="shared" si="4"/>
        <v>5</v>
      </c>
      <c r="H80" s="88"/>
      <c r="I80" s="22">
        <v>50</v>
      </c>
      <c r="J80" s="82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91</v>
      </c>
      <c r="C81" s="79">
        <f>+ยกมา!G81</f>
        <v>0</v>
      </c>
      <c r="D81" s="87">
        <v>0</v>
      </c>
      <c r="E81" s="47">
        <f t="shared" si="0"/>
        <v>0</v>
      </c>
      <c r="F81" s="87">
        <v>0</v>
      </c>
      <c r="G81" s="47">
        <f t="shared" si="4"/>
        <v>0</v>
      </c>
      <c r="H81" s="88"/>
      <c r="I81" s="22">
        <v>50</v>
      </c>
      <c r="J81" s="82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92</v>
      </c>
      <c r="C82" s="79">
        <f>+ยกมา!G82</f>
        <v>2</v>
      </c>
      <c r="D82" s="87">
        <v>2</v>
      </c>
      <c r="E82" s="47">
        <f t="shared" si="0"/>
        <v>4</v>
      </c>
      <c r="F82" s="87">
        <v>0</v>
      </c>
      <c r="G82" s="47">
        <f t="shared" si="4"/>
        <v>4</v>
      </c>
      <c r="H82" s="88"/>
      <c r="I82" s="20">
        <v>55</v>
      </c>
      <c r="J82" s="82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93</v>
      </c>
      <c r="C83" s="79">
        <f>+ยกมา!G83</f>
        <v>0</v>
      </c>
      <c r="D83" s="87">
        <v>2</v>
      </c>
      <c r="E83" s="47">
        <f t="shared" si="0"/>
        <v>2</v>
      </c>
      <c r="F83" s="87">
        <v>0</v>
      </c>
      <c r="G83" s="47">
        <f t="shared" si="4"/>
        <v>2</v>
      </c>
      <c r="H83" s="88"/>
      <c r="I83" s="22">
        <v>55</v>
      </c>
      <c r="J83" s="82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94</v>
      </c>
      <c r="C84" s="79">
        <f>+ยกมา!G84</f>
        <v>0</v>
      </c>
      <c r="D84" s="87">
        <v>0</v>
      </c>
      <c r="E84" s="47">
        <f t="shared" si="0"/>
        <v>0</v>
      </c>
      <c r="F84" s="87">
        <v>0</v>
      </c>
      <c r="G84" s="47">
        <f t="shared" si="4"/>
        <v>0</v>
      </c>
      <c r="H84" s="88"/>
      <c r="I84" s="22">
        <v>55</v>
      </c>
      <c r="J84" s="82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95</v>
      </c>
      <c r="C85" s="79">
        <f>+ยกมา!G85</f>
        <v>0</v>
      </c>
      <c r="D85" s="87">
        <v>0</v>
      </c>
      <c r="E85" s="47">
        <f t="shared" si="0"/>
        <v>0</v>
      </c>
      <c r="F85" s="87">
        <v>0</v>
      </c>
      <c r="G85" s="47">
        <f t="shared" si="4"/>
        <v>0</v>
      </c>
      <c r="H85" s="88"/>
      <c r="I85" s="22">
        <v>55</v>
      </c>
      <c r="J85" s="82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96</v>
      </c>
      <c r="C86" s="79">
        <f>+ยกมา!G86</f>
        <v>2</v>
      </c>
      <c r="D86" s="87">
        <v>10</v>
      </c>
      <c r="E86" s="47">
        <f t="shared" si="0"/>
        <v>12</v>
      </c>
      <c r="F86" s="87">
        <v>0</v>
      </c>
      <c r="G86" s="47">
        <f t="shared" si="4"/>
        <v>12</v>
      </c>
      <c r="H86" s="88"/>
      <c r="I86" s="22">
        <v>100</v>
      </c>
      <c r="J86" s="82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97</v>
      </c>
      <c r="C87" s="79">
        <f>+ยกมา!G87</f>
        <v>2</v>
      </c>
      <c r="D87" s="87">
        <v>10</v>
      </c>
      <c r="E87" s="47">
        <f t="shared" si="0"/>
        <v>12</v>
      </c>
      <c r="F87" s="87">
        <v>0</v>
      </c>
      <c r="G87" s="47">
        <f t="shared" si="4"/>
        <v>11</v>
      </c>
      <c r="H87" s="88">
        <v>1</v>
      </c>
      <c r="I87" s="20">
        <v>55</v>
      </c>
      <c r="J87" s="82">
        <f t="shared" si="5"/>
        <v>55</v>
      </c>
      <c r="K87" s="17" t="s">
        <v>16</v>
      </c>
      <c r="L87" s="18">
        <v>0</v>
      </c>
      <c r="M87" s="23">
        <f t="shared" si="10"/>
        <v>55</v>
      </c>
    </row>
    <row r="88" spans="1:13" ht="25.5" x14ac:dyDescent="0.55000000000000004">
      <c r="A88" s="10">
        <v>84</v>
      </c>
      <c r="B88" s="19" t="s">
        <v>98</v>
      </c>
      <c r="C88" s="79">
        <f>+ยกมา!G88</f>
        <v>7</v>
      </c>
      <c r="D88" s="87">
        <v>0</v>
      </c>
      <c r="E88" s="47">
        <f t="shared" si="0"/>
        <v>7</v>
      </c>
      <c r="F88" s="87">
        <v>0</v>
      </c>
      <c r="G88" s="47">
        <f t="shared" si="4"/>
        <v>6</v>
      </c>
      <c r="H88" s="88">
        <v>1</v>
      </c>
      <c r="I88" s="20">
        <v>60</v>
      </c>
      <c r="J88" s="82">
        <f t="shared" si="5"/>
        <v>60</v>
      </c>
      <c r="K88" s="17" t="s">
        <v>16</v>
      </c>
      <c r="L88" s="18">
        <v>0</v>
      </c>
      <c r="M88" s="23">
        <f t="shared" si="10"/>
        <v>60</v>
      </c>
    </row>
    <row r="89" spans="1:13" ht="25.5" x14ac:dyDescent="0.55000000000000004">
      <c r="A89" s="10">
        <v>85</v>
      </c>
      <c r="B89" s="19" t="s">
        <v>99</v>
      </c>
      <c r="C89" s="79">
        <f>+ยกมา!G89</f>
        <v>3</v>
      </c>
      <c r="D89" s="87">
        <v>0</v>
      </c>
      <c r="E89" s="47">
        <f t="shared" si="0"/>
        <v>3</v>
      </c>
      <c r="F89" s="87">
        <v>0</v>
      </c>
      <c r="G89" s="47">
        <f t="shared" si="4"/>
        <v>1</v>
      </c>
      <c r="H89" s="88">
        <v>2</v>
      </c>
      <c r="I89" s="20">
        <v>100</v>
      </c>
      <c r="J89" s="82">
        <f t="shared" si="5"/>
        <v>200</v>
      </c>
      <c r="K89" s="17" t="s">
        <v>16</v>
      </c>
      <c r="L89" s="18">
        <v>0</v>
      </c>
      <c r="M89" s="23">
        <f t="shared" si="10"/>
        <v>200</v>
      </c>
    </row>
    <row r="90" spans="1:13" ht="25.5" x14ac:dyDescent="0.55000000000000004">
      <c r="A90" s="10">
        <v>86</v>
      </c>
      <c r="B90" s="19" t="s">
        <v>100</v>
      </c>
      <c r="C90" s="79">
        <f>+ยกมา!G90</f>
        <v>10</v>
      </c>
      <c r="D90" s="87">
        <v>0</v>
      </c>
      <c r="E90" s="47">
        <f t="shared" si="0"/>
        <v>10</v>
      </c>
      <c r="F90" s="87">
        <v>0</v>
      </c>
      <c r="G90" s="47">
        <f t="shared" si="4"/>
        <v>10</v>
      </c>
      <c r="H90" s="88"/>
      <c r="I90" s="20">
        <v>55</v>
      </c>
      <c r="J90" s="82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101</v>
      </c>
      <c r="C91" s="79">
        <f>+ยกมา!G91</f>
        <v>0</v>
      </c>
      <c r="D91" s="87">
        <v>0</v>
      </c>
      <c r="E91" s="47">
        <f t="shared" si="0"/>
        <v>0</v>
      </c>
      <c r="F91" s="87">
        <v>0</v>
      </c>
      <c r="G91" s="47">
        <f t="shared" si="4"/>
        <v>0</v>
      </c>
      <c r="H91" s="88"/>
      <c r="I91" s="20">
        <v>50</v>
      </c>
      <c r="J91" s="82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102</v>
      </c>
      <c r="C92" s="79">
        <f>+ยกมา!G92</f>
        <v>0</v>
      </c>
      <c r="D92" s="87">
        <v>0</v>
      </c>
      <c r="E92" s="47">
        <f t="shared" si="0"/>
        <v>0</v>
      </c>
      <c r="F92" s="87">
        <v>0</v>
      </c>
      <c r="G92" s="47">
        <f t="shared" si="4"/>
        <v>0</v>
      </c>
      <c r="H92" s="88"/>
      <c r="I92" s="22">
        <v>50</v>
      </c>
      <c r="J92" s="82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248</v>
      </c>
      <c r="C93" s="79">
        <f>+ยกมา!G93</f>
        <v>0</v>
      </c>
      <c r="D93" s="87">
        <v>0</v>
      </c>
      <c r="E93" s="47">
        <f t="shared" si="0"/>
        <v>0</v>
      </c>
      <c r="F93" s="87">
        <v>0</v>
      </c>
      <c r="G93" s="47">
        <f t="shared" si="4"/>
        <v>0</v>
      </c>
      <c r="H93" s="88"/>
      <c r="I93" s="22">
        <v>120</v>
      </c>
      <c r="J93" s="82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104</v>
      </c>
      <c r="C94" s="79">
        <f>+ยกมา!G94</f>
        <v>0</v>
      </c>
      <c r="D94" s="87">
        <v>0</v>
      </c>
      <c r="E94" s="47">
        <f t="shared" si="0"/>
        <v>0</v>
      </c>
      <c r="F94" s="87">
        <v>0</v>
      </c>
      <c r="G94" s="47">
        <f t="shared" si="4"/>
        <v>0</v>
      </c>
      <c r="H94" s="88"/>
      <c r="I94" s="20">
        <v>250</v>
      </c>
      <c r="J94" s="82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105</v>
      </c>
      <c r="C95" s="79">
        <f>+ยกมา!G95</f>
        <v>0</v>
      </c>
      <c r="D95" s="87">
        <v>0</v>
      </c>
      <c r="E95" s="47">
        <f t="shared" si="0"/>
        <v>0</v>
      </c>
      <c r="F95" s="87">
        <v>0</v>
      </c>
      <c r="G95" s="47">
        <f t="shared" si="4"/>
        <v>0</v>
      </c>
      <c r="H95" s="88"/>
      <c r="I95" s="20">
        <v>120</v>
      </c>
      <c r="J95" s="82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106</v>
      </c>
      <c r="C96" s="79">
        <f>+ยกมา!G96</f>
        <v>0</v>
      </c>
      <c r="D96" s="87">
        <v>0</v>
      </c>
      <c r="E96" s="47">
        <f t="shared" si="0"/>
        <v>0</v>
      </c>
      <c r="F96" s="87">
        <v>0</v>
      </c>
      <c r="G96" s="47">
        <f t="shared" si="4"/>
        <v>0</v>
      </c>
      <c r="H96" s="88"/>
      <c r="I96" s="20">
        <v>120</v>
      </c>
      <c r="J96" s="82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107</v>
      </c>
      <c r="C97" s="79">
        <f>+ยกมา!G97</f>
        <v>0</v>
      </c>
      <c r="D97" s="87">
        <v>0</v>
      </c>
      <c r="E97" s="47">
        <f t="shared" si="0"/>
        <v>0</v>
      </c>
      <c r="F97" s="87">
        <v>0</v>
      </c>
      <c r="G97" s="47">
        <f t="shared" si="4"/>
        <v>0</v>
      </c>
      <c r="H97" s="88"/>
      <c r="I97" s="20">
        <v>120</v>
      </c>
      <c r="J97" s="82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103</v>
      </c>
      <c r="C98" s="79">
        <f>+ยกมา!G98</f>
        <v>0</v>
      </c>
      <c r="D98" s="87">
        <v>0</v>
      </c>
      <c r="E98" s="47">
        <f t="shared" si="0"/>
        <v>0</v>
      </c>
      <c r="F98" s="87">
        <v>0</v>
      </c>
      <c r="G98" s="47">
        <f t="shared" si="4"/>
        <v>0</v>
      </c>
      <c r="H98" s="88"/>
      <c r="I98" s="20">
        <v>120</v>
      </c>
      <c r="J98" s="82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109</v>
      </c>
      <c r="C99" s="79">
        <f>+ยกมา!G99</f>
        <v>0</v>
      </c>
      <c r="D99" s="87">
        <v>0</v>
      </c>
      <c r="E99" s="47">
        <f t="shared" si="0"/>
        <v>0</v>
      </c>
      <c r="F99" s="87">
        <v>0</v>
      </c>
      <c r="G99" s="47">
        <f t="shared" si="4"/>
        <v>0</v>
      </c>
      <c r="H99" s="88"/>
      <c r="I99" s="20">
        <v>50</v>
      </c>
      <c r="J99" s="82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110</v>
      </c>
      <c r="C100" s="79">
        <f>+ยกมา!G100</f>
        <v>0</v>
      </c>
      <c r="D100" s="87">
        <v>0</v>
      </c>
      <c r="E100" s="47">
        <f t="shared" si="0"/>
        <v>0</v>
      </c>
      <c r="F100" s="87">
        <v>0</v>
      </c>
      <c r="G100" s="47">
        <f t="shared" si="4"/>
        <v>0</v>
      </c>
      <c r="H100" s="88"/>
      <c r="I100" s="20">
        <v>50</v>
      </c>
      <c r="J100" s="82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111</v>
      </c>
      <c r="C101" s="79">
        <f>+ยกมา!G101</f>
        <v>0</v>
      </c>
      <c r="D101" s="87">
        <v>0</v>
      </c>
      <c r="E101" s="47">
        <f t="shared" si="0"/>
        <v>0</v>
      </c>
      <c r="F101" s="87">
        <v>0</v>
      </c>
      <c r="G101" s="47">
        <f t="shared" ref="G101:G164" si="11">+E101-F101-H101</f>
        <v>0</v>
      </c>
      <c r="H101" s="88"/>
      <c r="I101" s="20">
        <v>60</v>
      </c>
      <c r="J101" s="82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112</v>
      </c>
      <c r="C102" s="79">
        <f>+ยกมา!G102</f>
        <v>0</v>
      </c>
      <c r="D102" s="87">
        <v>0</v>
      </c>
      <c r="E102" s="47">
        <f t="shared" si="0"/>
        <v>0</v>
      </c>
      <c r="F102" s="87">
        <v>0</v>
      </c>
      <c r="G102" s="47">
        <f t="shared" si="11"/>
        <v>0</v>
      </c>
      <c r="H102" s="88"/>
      <c r="I102" s="20">
        <v>55</v>
      </c>
      <c r="J102" s="82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113</v>
      </c>
      <c r="C103" s="79">
        <f>+ยกมา!G103</f>
        <v>0</v>
      </c>
      <c r="D103" s="87">
        <v>0</v>
      </c>
      <c r="E103" s="47">
        <f t="shared" si="0"/>
        <v>0</v>
      </c>
      <c r="F103" s="87">
        <v>0</v>
      </c>
      <c r="G103" s="47">
        <f t="shared" si="11"/>
        <v>0</v>
      </c>
      <c r="H103" s="88"/>
      <c r="I103" s="20">
        <v>50</v>
      </c>
      <c r="J103" s="82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114</v>
      </c>
      <c r="C104" s="79">
        <f>+ยกมา!G104</f>
        <v>0</v>
      </c>
      <c r="D104" s="87">
        <v>0</v>
      </c>
      <c r="E104" s="47">
        <f t="shared" si="0"/>
        <v>0</v>
      </c>
      <c r="F104" s="87">
        <v>0</v>
      </c>
      <c r="G104" s="47">
        <f t="shared" si="11"/>
        <v>0</v>
      </c>
      <c r="H104" s="88"/>
      <c r="I104" s="20">
        <v>100</v>
      </c>
      <c r="J104" s="82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115</v>
      </c>
      <c r="C105" s="79">
        <f>+ยกมา!G105</f>
        <v>0</v>
      </c>
      <c r="D105" s="87">
        <v>0</v>
      </c>
      <c r="E105" s="47">
        <f t="shared" si="0"/>
        <v>0</v>
      </c>
      <c r="F105" s="87">
        <v>0</v>
      </c>
      <c r="G105" s="47">
        <f t="shared" si="11"/>
        <v>0</v>
      </c>
      <c r="H105" s="88"/>
      <c r="I105" s="20">
        <v>100</v>
      </c>
      <c r="J105" s="82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116</v>
      </c>
      <c r="C106" s="79">
        <f>+ยกมา!G106</f>
        <v>0</v>
      </c>
      <c r="D106" s="87">
        <v>0</v>
      </c>
      <c r="E106" s="47">
        <f t="shared" si="0"/>
        <v>0</v>
      </c>
      <c r="F106" s="87">
        <v>0</v>
      </c>
      <c r="G106" s="47">
        <f t="shared" si="11"/>
        <v>0</v>
      </c>
      <c r="H106" s="88"/>
      <c r="I106" s="22">
        <v>30</v>
      </c>
      <c r="J106" s="82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117</v>
      </c>
      <c r="C107" s="79">
        <f>+ยกมา!G107</f>
        <v>0</v>
      </c>
      <c r="D107" s="87">
        <v>0</v>
      </c>
      <c r="E107" s="47">
        <f t="shared" si="0"/>
        <v>0</v>
      </c>
      <c r="F107" s="87">
        <v>0</v>
      </c>
      <c r="G107" s="47">
        <f t="shared" si="11"/>
        <v>0</v>
      </c>
      <c r="H107" s="88"/>
      <c r="I107" s="22">
        <v>20</v>
      </c>
      <c r="J107" s="82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118</v>
      </c>
      <c r="C108" s="79">
        <f>+ยกมา!G108</f>
        <v>0</v>
      </c>
      <c r="D108" s="87">
        <v>0</v>
      </c>
      <c r="E108" s="47">
        <f t="shared" si="0"/>
        <v>0</v>
      </c>
      <c r="F108" s="87">
        <v>0</v>
      </c>
      <c r="G108" s="47">
        <f t="shared" si="11"/>
        <v>0</v>
      </c>
      <c r="H108" s="88"/>
      <c r="I108" s="20">
        <v>100</v>
      </c>
      <c r="J108" s="82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120</v>
      </c>
      <c r="C109" s="79">
        <f>+ยกมา!G109</f>
        <v>0</v>
      </c>
      <c r="D109" s="87">
        <v>0</v>
      </c>
      <c r="E109" s="47">
        <f t="shared" si="0"/>
        <v>0</v>
      </c>
      <c r="F109" s="87">
        <v>0</v>
      </c>
      <c r="G109" s="47">
        <f t="shared" si="11"/>
        <v>0</v>
      </c>
      <c r="H109" s="88"/>
      <c r="I109" s="20">
        <v>80</v>
      </c>
      <c r="J109" s="82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121</v>
      </c>
      <c r="C110" s="79">
        <f>+ยกมา!G110</f>
        <v>0</v>
      </c>
      <c r="D110" s="87">
        <v>0</v>
      </c>
      <c r="E110" s="47">
        <f t="shared" si="0"/>
        <v>0</v>
      </c>
      <c r="F110" s="87">
        <v>0</v>
      </c>
      <c r="G110" s="47">
        <f t="shared" si="11"/>
        <v>0</v>
      </c>
      <c r="H110" s="88"/>
      <c r="I110" s="20">
        <v>60</v>
      </c>
      <c r="J110" s="82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122</v>
      </c>
      <c r="C111" s="79">
        <f>+ยกมา!G111</f>
        <v>0</v>
      </c>
      <c r="D111" s="87">
        <v>0</v>
      </c>
      <c r="E111" s="47">
        <f t="shared" si="0"/>
        <v>0</v>
      </c>
      <c r="F111" s="87">
        <v>0</v>
      </c>
      <c r="G111" s="47">
        <f t="shared" si="11"/>
        <v>0</v>
      </c>
      <c r="H111" s="88"/>
      <c r="I111" s="20">
        <v>35</v>
      </c>
      <c r="J111" s="82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123</v>
      </c>
      <c r="C112" s="79">
        <f>+ยกมา!G112</f>
        <v>0</v>
      </c>
      <c r="D112" s="87">
        <v>0</v>
      </c>
      <c r="E112" s="47">
        <f t="shared" si="0"/>
        <v>0</v>
      </c>
      <c r="F112" s="87">
        <v>0</v>
      </c>
      <c r="G112" s="47">
        <f t="shared" si="11"/>
        <v>0</v>
      </c>
      <c r="H112" s="88"/>
      <c r="I112" s="20">
        <v>35</v>
      </c>
      <c r="J112" s="82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124</v>
      </c>
      <c r="C113" s="79">
        <f>+ยกมา!G113</f>
        <v>0</v>
      </c>
      <c r="D113" s="87">
        <v>0</v>
      </c>
      <c r="E113" s="47">
        <f t="shared" si="0"/>
        <v>0</v>
      </c>
      <c r="F113" s="87">
        <v>0</v>
      </c>
      <c r="G113" s="47">
        <f t="shared" si="11"/>
        <v>0</v>
      </c>
      <c r="H113" s="88"/>
      <c r="I113" s="20">
        <v>35</v>
      </c>
      <c r="J113" s="82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125</v>
      </c>
      <c r="C114" s="79">
        <f>+ยกมา!G114</f>
        <v>0</v>
      </c>
      <c r="D114" s="87">
        <v>0</v>
      </c>
      <c r="E114" s="47">
        <f t="shared" si="0"/>
        <v>0</v>
      </c>
      <c r="F114" s="87">
        <v>0</v>
      </c>
      <c r="G114" s="47">
        <f t="shared" si="11"/>
        <v>0</v>
      </c>
      <c r="H114" s="88"/>
      <c r="I114" s="20">
        <v>35</v>
      </c>
      <c r="J114" s="82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126</v>
      </c>
      <c r="C115" s="79">
        <f>+ยกมา!G115</f>
        <v>0</v>
      </c>
      <c r="D115" s="87">
        <v>0</v>
      </c>
      <c r="E115" s="47">
        <f t="shared" si="0"/>
        <v>0</v>
      </c>
      <c r="F115" s="87">
        <v>0</v>
      </c>
      <c r="G115" s="47">
        <f t="shared" si="11"/>
        <v>0</v>
      </c>
      <c r="H115" s="88"/>
      <c r="I115" s="20">
        <v>35</v>
      </c>
      <c r="J115" s="82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127</v>
      </c>
      <c r="C116" s="79">
        <f>+ยกมา!G116</f>
        <v>0</v>
      </c>
      <c r="D116" s="87">
        <v>0</v>
      </c>
      <c r="E116" s="47">
        <f t="shared" si="0"/>
        <v>0</v>
      </c>
      <c r="F116" s="87">
        <v>0</v>
      </c>
      <c r="G116" s="47">
        <f t="shared" si="11"/>
        <v>0</v>
      </c>
      <c r="H116" s="88"/>
      <c r="I116" s="20">
        <v>30</v>
      </c>
      <c r="J116" s="82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128</v>
      </c>
      <c r="C117" s="79">
        <f>+ยกมา!G117</f>
        <v>0</v>
      </c>
      <c r="D117" s="87">
        <v>0</v>
      </c>
      <c r="E117" s="47">
        <f t="shared" si="0"/>
        <v>0</v>
      </c>
      <c r="F117" s="87">
        <v>0</v>
      </c>
      <c r="G117" s="47">
        <f t="shared" si="11"/>
        <v>0</v>
      </c>
      <c r="H117" s="88"/>
      <c r="I117" s="20">
        <v>30</v>
      </c>
      <c r="J117" s="82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129</v>
      </c>
      <c r="C118" s="79">
        <f>+ยกมา!G118</f>
        <v>0</v>
      </c>
      <c r="D118" s="87">
        <v>0</v>
      </c>
      <c r="E118" s="47">
        <f t="shared" si="0"/>
        <v>0</v>
      </c>
      <c r="F118" s="87">
        <v>0</v>
      </c>
      <c r="G118" s="47">
        <f t="shared" si="11"/>
        <v>0</v>
      </c>
      <c r="H118" s="88"/>
      <c r="I118" s="20">
        <v>30</v>
      </c>
      <c r="J118" s="82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130</v>
      </c>
      <c r="C119" s="79">
        <f>+ยกมา!G119</f>
        <v>0</v>
      </c>
      <c r="D119" s="87">
        <v>0</v>
      </c>
      <c r="E119" s="47">
        <f t="shared" si="0"/>
        <v>0</v>
      </c>
      <c r="F119" s="87">
        <v>0</v>
      </c>
      <c r="G119" s="47">
        <f t="shared" si="11"/>
        <v>0</v>
      </c>
      <c r="H119" s="88"/>
      <c r="I119" s="20">
        <v>30</v>
      </c>
      <c r="J119" s="82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131</v>
      </c>
      <c r="C120" s="79">
        <f>+ยกมา!G120</f>
        <v>0</v>
      </c>
      <c r="D120" s="87">
        <v>0</v>
      </c>
      <c r="E120" s="47">
        <f t="shared" si="0"/>
        <v>0</v>
      </c>
      <c r="F120" s="87">
        <v>0</v>
      </c>
      <c r="G120" s="47">
        <f t="shared" si="11"/>
        <v>0</v>
      </c>
      <c r="H120" s="88"/>
      <c r="I120" s="20">
        <v>30</v>
      </c>
      <c r="J120" s="82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132</v>
      </c>
      <c r="C121" s="79">
        <f>+ยกมา!G121</f>
        <v>0</v>
      </c>
      <c r="D121" s="87">
        <v>0</v>
      </c>
      <c r="E121" s="47">
        <f t="shared" si="0"/>
        <v>0</v>
      </c>
      <c r="F121" s="87">
        <v>0</v>
      </c>
      <c r="G121" s="47">
        <f t="shared" si="11"/>
        <v>0</v>
      </c>
      <c r="H121" s="88"/>
      <c r="I121" s="20">
        <v>30</v>
      </c>
      <c r="J121" s="82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133</v>
      </c>
      <c r="C122" s="79">
        <f>+ยกมา!G122</f>
        <v>0</v>
      </c>
      <c r="D122" s="87">
        <v>0</v>
      </c>
      <c r="E122" s="47">
        <f t="shared" si="0"/>
        <v>0</v>
      </c>
      <c r="F122" s="87">
        <v>0</v>
      </c>
      <c r="G122" s="47">
        <f t="shared" si="11"/>
        <v>0</v>
      </c>
      <c r="H122" s="88"/>
      <c r="I122" s="20">
        <v>40</v>
      </c>
      <c r="J122" s="82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134</v>
      </c>
      <c r="C123" s="79">
        <f>+ยกมา!G123</f>
        <v>0</v>
      </c>
      <c r="D123" s="87">
        <v>0</v>
      </c>
      <c r="E123" s="47">
        <f t="shared" si="0"/>
        <v>0</v>
      </c>
      <c r="F123" s="87">
        <v>0</v>
      </c>
      <c r="G123" s="47">
        <f t="shared" si="11"/>
        <v>0</v>
      </c>
      <c r="H123" s="88"/>
      <c r="I123" s="20">
        <v>35</v>
      </c>
      <c r="J123" s="82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135</v>
      </c>
      <c r="C124" s="79">
        <f>+ยกมา!G124</f>
        <v>0</v>
      </c>
      <c r="D124" s="87">
        <v>0</v>
      </c>
      <c r="E124" s="47">
        <f t="shared" si="0"/>
        <v>0</v>
      </c>
      <c r="F124" s="87">
        <v>0</v>
      </c>
      <c r="G124" s="47">
        <f t="shared" si="11"/>
        <v>0</v>
      </c>
      <c r="H124" s="88"/>
      <c r="I124" s="20">
        <v>40</v>
      </c>
      <c r="J124" s="82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136</v>
      </c>
      <c r="C125" s="79">
        <f>+ยกมา!G125</f>
        <v>0</v>
      </c>
      <c r="D125" s="87">
        <v>0</v>
      </c>
      <c r="E125" s="47">
        <f t="shared" si="0"/>
        <v>0</v>
      </c>
      <c r="F125" s="87">
        <v>0</v>
      </c>
      <c r="G125" s="47">
        <f t="shared" si="11"/>
        <v>0</v>
      </c>
      <c r="H125" s="88"/>
      <c r="I125" s="20">
        <v>40</v>
      </c>
      <c r="J125" s="82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137</v>
      </c>
      <c r="C126" s="79">
        <f>+ยกมา!G126</f>
        <v>0</v>
      </c>
      <c r="D126" s="87">
        <v>0</v>
      </c>
      <c r="E126" s="47">
        <f t="shared" ref="E126:E189" si="13">C126+D126</f>
        <v>0</v>
      </c>
      <c r="F126" s="87">
        <v>0</v>
      </c>
      <c r="G126" s="47">
        <f t="shared" si="11"/>
        <v>0</v>
      </c>
      <c r="H126" s="88"/>
      <c r="I126" s="20">
        <v>30</v>
      </c>
      <c r="J126" s="82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138</v>
      </c>
      <c r="C127" s="79">
        <f>+ยกมา!G127</f>
        <v>0</v>
      </c>
      <c r="D127" s="87">
        <v>0</v>
      </c>
      <c r="E127" s="47">
        <f t="shared" si="13"/>
        <v>0</v>
      </c>
      <c r="F127" s="87">
        <v>0</v>
      </c>
      <c r="G127" s="47">
        <f t="shared" si="11"/>
        <v>0</v>
      </c>
      <c r="H127" s="88"/>
      <c r="I127" s="20">
        <v>40</v>
      </c>
      <c r="J127" s="82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139</v>
      </c>
      <c r="C128" s="79">
        <f>+ยกมา!G128</f>
        <v>93</v>
      </c>
      <c r="D128" s="87">
        <v>0</v>
      </c>
      <c r="E128" s="47">
        <f t="shared" si="13"/>
        <v>93</v>
      </c>
      <c r="F128" s="87">
        <v>0</v>
      </c>
      <c r="G128" s="47">
        <f t="shared" si="11"/>
        <v>91</v>
      </c>
      <c r="H128" s="88">
        <v>2</v>
      </c>
      <c r="I128" s="20">
        <v>10</v>
      </c>
      <c r="J128" s="82">
        <f t="shared" si="12"/>
        <v>20</v>
      </c>
      <c r="K128" s="17" t="s">
        <v>289</v>
      </c>
      <c r="L128" s="18">
        <v>20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140</v>
      </c>
      <c r="C129" s="79">
        <f>+ยกมา!G129</f>
        <v>0</v>
      </c>
      <c r="D129" s="87">
        <v>0</v>
      </c>
      <c r="E129" s="47">
        <f t="shared" si="13"/>
        <v>0</v>
      </c>
      <c r="F129" s="87">
        <v>0</v>
      </c>
      <c r="G129" s="47">
        <f t="shared" si="11"/>
        <v>0</v>
      </c>
      <c r="H129" s="88"/>
      <c r="I129" s="20">
        <v>35</v>
      </c>
      <c r="J129" s="82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141</v>
      </c>
      <c r="C130" s="79">
        <f>+ยกมา!G130</f>
        <v>0</v>
      </c>
      <c r="D130" s="87">
        <v>0</v>
      </c>
      <c r="E130" s="47">
        <f t="shared" si="13"/>
        <v>0</v>
      </c>
      <c r="F130" s="87">
        <v>0</v>
      </c>
      <c r="G130" s="47">
        <f t="shared" si="11"/>
        <v>0</v>
      </c>
      <c r="H130" s="88"/>
      <c r="I130" s="20">
        <v>40</v>
      </c>
      <c r="J130" s="82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142</v>
      </c>
      <c r="C131" s="79">
        <f>+ยกมา!G131</f>
        <v>0</v>
      </c>
      <c r="D131" s="87">
        <v>0</v>
      </c>
      <c r="E131" s="47">
        <f t="shared" si="13"/>
        <v>0</v>
      </c>
      <c r="F131" s="87">
        <v>0</v>
      </c>
      <c r="G131" s="47">
        <f t="shared" si="11"/>
        <v>0</v>
      </c>
      <c r="H131" s="88"/>
      <c r="I131" s="20">
        <v>50</v>
      </c>
      <c r="J131" s="82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143</v>
      </c>
      <c r="C132" s="79">
        <f>+ยกมา!G132</f>
        <v>0</v>
      </c>
      <c r="D132" s="87">
        <v>0</v>
      </c>
      <c r="E132" s="47">
        <f t="shared" si="13"/>
        <v>0</v>
      </c>
      <c r="F132" s="87">
        <v>0</v>
      </c>
      <c r="G132" s="47">
        <f t="shared" si="11"/>
        <v>0</v>
      </c>
      <c r="H132" s="88"/>
      <c r="I132" s="20">
        <v>55</v>
      </c>
      <c r="J132" s="82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144</v>
      </c>
      <c r="C133" s="79">
        <f>+ยกมา!G133</f>
        <v>0</v>
      </c>
      <c r="D133" s="87">
        <v>0</v>
      </c>
      <c r="E133" s="47">
        <f t="shared" si="13"/>
        <v>0</v>
      </c>
      <c r="F133" s="87">
        <v>0</v>
      </c>
      <c r="G133" s="47">
        <f t="shared" si="11"/>
        <v>0</v>
      </c>
      <c r="H133" s="88"/>
      <c r="I133" s="20">
        <v>55</v>
      </c>
      <c r="J133" s="82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145</v>
      </c>
      <c r="C134" s="79">
        <f>+ยกมา!G134</f>
        <v>0</v>
      </c>
      <c r="D134" s="87">
        <v>0</v>
      </c>
      <c r="E134" s="47">
        <f t="shared" si="13"/>
        <v>0</v>
      </c>
      <c r="F134" s="87">
        <v>0</v>
      </c>
      <c r="G134" s="47">
        <f t="shared" si="11"/>
        <v>0</v>
      </c>
      <c r="H134" s="88"/>
      <c r="I134" s="20">
        <v>45</v>
      </c>
      <c r="J134" s="82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5.5" x14ac:dyDescent="0.55000000000000004">
      <c r="A135" s="10">
        <v>131</v>
      </c>
      <c r="B135" s="19" t="s">
        <v>146</v>
      </c>
      <c r="C135" s="79">
        <f>+ยกมา!G135</f>
        <v>0</v>
      </c>
      <c r="D135" s="87">
        <v>0</v>
      </c>
      <c r="E135" s="47">
        <f t="shared" si="13"/>
        <v>0</v>
      </c>
      <c r="F135" s="87">
        <v>0</v>
      </c>
      <c r="G135" s="47">
        <f t="shared" si="11"/>
        <v>0</v>
      </c>
      <c r="H135" s="88"/>
      <c r="I135" s="20">
        <v>45</v>
      </c>
      <c r="J135" s="82">
        <f t="shared" si="12"/>
        <v>0</v>
      </c>
      <c r="K135" s="17" t="s">
        <v>16</v>
      </c>
      <c r="L135" s="18">
        <v>0</v>
      </c>
      <c r="M135" s="23">
        <f t="shared" ref="M135:M198" si="14">SUM(J135-L135)</f>
        <v>0</v>
      </c>
    </row>
    <row r="136" spans="1:13" ht="25.5" x14ac:dyDescent="0.55000000000000004">
      <c r="A136" s="10">
        <v>132</v>
      </c>
      <c r="B136" s="19" t="s">
        <v>147</v>
      </c>
      <c r="C136" s="79">
        <f>+ยกมา!G136</f>
        <v>0</v>
      </c>
      <c r="D136" s="87">
        <v>0</v>
      </c>
      <c r="E136" s="47">
        <f t="shared" si="13"/>
        <v>0</v>
      </c>
      <c r="F136" s="87">
        <v>0</v>
      </c>
      <c r="G136" s="47">
        <f t="shared" si="11"/>
        <v>0</v>
      </c>
      <c r="H136" s="88"/>
      <c r="I136" s="20">
        <v>55</v>
      </c>
      <c r="J136" s="82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148</v>
      </c>
      <c r="C137" s="79">
        <f>+ยกมา!G137</f>
        <v>0</v>
      </c>
      <c r="D137" s="87">
        <v>0</v>
      </c>
      <c r="E137" s="47">
        <f t="shared" si="13"/>
        <v>0</v>
      </c>
      <c r="F137" s="87">
        <v>0</v>
      </c>
      <c r="G137" s="47">
        <f t="shared" si="11"/>
        <v>0</v>
      </c>
      <c r="H137" s="88"/>
      <c r="I137" s="20">
        <v>45</v>
      </c>
      <c r="J137" s="82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149</v>
      </c>
      <c r="C138" s="79">
        <f>+ยกมา!G138</f>
        <v>0</v>
      </c>
      <c r="D138" s="87">
        <v>0</v>
      </c>
      <c r="E138" s="47">
        <f t="shared" si="13"/>
        <v>0</v>
      </c>
      <c r="F138" s="87">
        <v>0</v>
      </c>
      <c r="G138" s="47">
        <f t="shared" si="11"/>
        <v>0</v>
      </c>
      <c r="H138" s="88"/>
      <c r="I138" s="20">
        <v>45</v>
      </c>
      <c r="J138" s="82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150</v>
      </c>
      <c r="C139" s="79">
        <f>+ยกมา!G139</f>
        <v>0</v>
      </c>
      <c r="D139" s="87">
        <v>0</v>
      </c>
      <c r="E139" s="47">
        <f t="shared" si="13"/>
        <v>0</v>
      </c>
      <c r="F139" s="87">
        <v>0</v>
      </c>
      <c r="G139" s="47">
        <f t="shared" si="11"/>
        <v>0</v>
      </c>
      <c r="H139" s="88"/>
      <c r="I139" s="20">
        <v>45</v>
      </c>
      <c r="J139" s="82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151</v>
      </c>
      <c r="C140" s="79">
        <f>+ยกมา!G140</f>
        <v>0</v>
      </c>
      <c r="D140" s="87">
        <v>0</v>
      </c>
      <c r="E140" s="47">
        <f t="shared" si="13"/>
        <v>0</v>
      </c>
      <c r="F140" s="87">
        <v>0</v>
      </c>
      <c r="G140" s="47">
        <f t="shared" si="11"/>
        <v>0</v>
      </c>
      <c r="H140" s="88"/>
      <c r="I140" s="20">
        <v>45</v>
      </c>
      <c r="J140" s="82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152</v>
      </c>
      <c r="C141" s="79">
        <f>+ยกมา!G141</f>
        <v>0</v>
      </c>
      <c r="D141" s="87">
        <v>0</v>
      </c>
      <c r="E141" s="47">
        <f t="shared" si="13"/>
        <v>0</v>
      </c>
      <c r="F141" s="87">
        <v>0</v>
      </c>
      <c r="G141" s="47">
        <f t="shared" si="11"/>
        <v>0</v>
      </c>
      <c r="H141" s="88"/>
      <c r="I141" s="20">
        <v>45</v>
      </c>
      <c r="J141" s="82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153</v>
      </c>
      <c r="C142" s="79">
        <f>+ยกมา!G142</f>
        <v>0</v>
      </c>
      <c r="D142" s="87">
        <v>0</v>
      </c>
      <c r="E142" s="47">
        <f t="shared" si="13"/>
        <v>0</v>
      </c>
      <c r="F142" s="87">
        <v>0</v>
      </c>
      <c r="G142" s="47">
        <f t="shared" si="11"/>
        <v>0</v>
      </c>
      <c r="H142" s="88"/>
      <c r="I142" s="20">
        <v>45</v>
      </c>
      <c r="J142" s="82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154</v>
      </c>
      <c r="C143" s="79">
        <f>+ยกมา!G143</f>
        <v>0</v>
      </c>
      <c r="D143" s="87">
        <v>0</v>
      </c>
      <c r="E143" s="47">
        <f t="shared" si="13"/>
        <v>0</v>
      </c>
      <c r="F143" s="87">
        <v>0</v>
      </c>
      <c r="G143" s="47">
        <f t="shared" si="11"/>
        <v>0</v>
      </c>
      <c r="H143" s="88"/>
      <c r="I143" s="20">
        <v>120</v>
      </c>
      <c r="J143" s="82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155</v>
      </c>
      <c r="C144" s="79">
        <f>+ยกมา!G144</f>
        <v>0</v>
      </c>
      <c r="D144" s="87">
        <v>0</v>
      </c>
      <c r="E144" s="47">
        <f t="shared" si="13"/>
        <v>0</v>
      </c>
      <c r="F144" s="87">
        <v>0</v>
      </c>
      <c r="G144" s="47">
        <f t="shared" si="11"/>
        <v>0</v>
      </c>
      <c r="H144" s="88"/>
      <c r="I144" s="20">
        <v>120</v>
      </c>
      <c r="J144" s="82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156</v>
      </c>
      <c r="C145" s="79">
        <f>+ยกมา!G145</f>
        <v>0</v>
      </c>
      <c r="D145" s="87">
        <v>0</v>
      </c>
      <c r="E145" s="47">
        <f t="shared" si="13"/>
        <v>0</v>
      </c>
      <c r="F145" s="87">
        <v>0</v>
      </c>
      <c r="G145" s="47">
        <f t="shared" si="11"/>
        <v>0</v>
      </c>
      <c r="H145" s="88"/>
      <c r="I145" s="20">
        <v>120</v>
      </c>
      <c r="J145" s="82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157</v>
      </c>
      <c r="C146" s="79">
        <f>+ยกมา!G146</f>
        <v>0</v>
      </c>
      <c r="D146" s="87">
        <v>0</v>
      </c>
      <c r="E146" s="47">
        <f t="shared" si="13"/>
        <v>0</v>
      </c>
      <c r="F146" s="87">
        <v>0</v>
      </c>
      <c r="G146" s="47">
        <f t="shared" si="11"/>
        <v>0</v>
      </c>
      <c r="H146" s="88"/>
      <c r="I146" s="20">
        <v>120</v>
      </c>
      <c r="J146" s="82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158</v>
      </c>
      <c r="C147" s="79">
        <f>+ยกมา!G147</f>
        <v>0</v>
      </c>
      <c r="D147" s="87">
        <v>0</v>
      </c>
      <c r="E147" s="47">
        <f t="shared" si="13"/>
        <v>0</v>
      </c>
      <c r="F147" s="87">
        <v>0</v>
      </c>
      <c r="G147" s="47">
        <f t="shared" si="11"/>
        <v>0</v>
      </c>
      <c r="H147" s="88"/>
      <c r="I147" s="20">
        <v>185</v>
      </c>
      <c r="J147" s="82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159</v>
      </c>
      <c r="C148" s="79">
        <f>+ยกมา!G148</f>
        <v>0</v>
      </c>
      <c r="D148" s="87">
        <v>0</v>
      </c>
      <c r="E148" s="47">
        <f t="shared" si="13"/>
        <v>0</v>
      </c>
      <c r="F148" s="87">
        <v>0</v>
      </c>
      <c r="G148" s="47">
        <f t="shared" si="11"/>
        <v>0</v>
      </c>
      <c r="H148" s="88"/>
      <c r="I148" s="20">
        <v>185</v>
      </c>
      <c r="J148" s="82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160</v>
      </c>
      <c r="C149" s="79">
        <f>+ยกมา!G149</f>
        <v>0</v>
      </c>
      <c r="D149" s="87">
        <v>0</v>
      </c>
      <c r="E149" s="47">
        <f t="shared" si="13"/>
        <v>0</v>
      </c>
      <c r="F149" s="87">
        <v>0</v>
      </c>
      <c r="G149" s="47">
        <f t="shared" si="11"/>
        <v>0</v>
      </c>
      <c r="H149" s="88"/>
      <c r="I149" s="20">
        <v>185</v>
      </c>
      <c r="J149" s="82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161</v>
      </c>
      <c r="C150" s="79">
        <f>+ยกมา!G150</f>
        <v>0</v>
      </c>
      <c r="D150" s="87">
        <v>0</v>
      </c>
      <c r="E150" s="47">
        <f t="shared" si="13"/>
        <v>0</v>
      </c>
      <c r="F150" s="87">
        <v>0</v>
      </c>
      <c r="G150" s="47">
        <f t="shared" si="11"/>
        <v>0</v>
      </c>
      <c r="H150" s="88"/>
      <c r="I150" s="20">
        <v>185</v>
      </c>
      <c r="J150" s="82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5.5" x14ac:dyDescent="0.55000000000000004">
      <c r="A151" s="10">
        <v>147</v>
      </c>
      <c r="B151" s="19" t="s">
        <v>279</v>
      </c>
      <c r="C151" s="79">
        <f>+ยกมา!G151</f>
        <v>0</v>
      </c>
      <c r="D151" s="87">
        <v>0</v>
      </c>
      <c r="E151" s="47">
        <f t="shared" si="13"/>
        <v>0</v>
      </c>
      <c r="F151" s="87">
        <v>0</v>
      </c>
      <c r="G151" s="47">
        <f t="shared" si="11"/>
        <v>0</v>
      </c>
      <c r="H151" s="88"/>
      <c r="I151" s="20">
        <v>150</v>
      </c>
      <c r="J151" s="82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280</v>
      </c>
      <c r="C152" s="79">
        <f>+ยกมา!G152</f>
        <v>1</v>
      </c>
      <c r="D152" s="87">
        <v>0</v>
      </c>
      <c r="E152" s="47">
        <f t="shared" si="13"/>
        <v>1</v>
      </c>
      <c r="F152" s="87">
        <v>0</v>
      </c>
      <c r="G152" s="47">
        <f t="shared" si="11"/>
        <v>1</v>
      </c>
      <c r="H152" s="88"/>
      <c r="I152" s="20">
        <v>150</v>
      </c>
      <c r="J152" s="82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5.5" x14ac:dyDescent="0.55000000000000004">
      <c r="A153" s="10">
        <v>149</v>
      </c>
      <c r="B153" s="19" t="s">
        <v>281</v>
      </c>
      <c r="C153" s="79">
        <f>+ยกมา!G153</f>
        <v>2</v>
      </c>
      <c r="D153" s="87">
        <v>0</v>
      </c>
      <c r="E153" s="47">
        <f t="shared" si="13"/>
        <v>2</v>
      </c>
      <c r="F153" s="87">
        <v>0</v>
      </c>
      <c r="G153" s="47">
        <f t="shared" si="11"/>
        <v>2</v>
      </c>
      <c r="H153" s="88"/>
      <c r="I153" s="20">
        <v>150</v>
      </c>
      <c r="J153" s="82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282</v>
      </c>
      <c r="C154" s="79">
        <f>+ยกมา!G154</f>
        <v>0</v>
      </c>
      <c r="D154" s="87">
        <v>0</v>
      </c>
      <c r="E154" s="47">
        <f t="shared" si="13"/>
        <v>0</v>
      </c>
      <c r="F154" s="87">
        <v>0</v>
      </c>
      <c r="G154" s="47">
        <f t="shared" si="11"/>
        <v>0</v>
      </c>
      <c r="H154" s="88"/>
      <c r="I154" s="20">
        <v>150</v>
      </c>
      <c r="J154" s="82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166</v>
      </c>
      <c r="C155" s="79">
        <f>+ยกมา!G155</f>
        <v>0</v>
      </c>
      <c r="D155" s="87">
        <v>0</v>
      </c>
      <c r="E155" s="47">
        <f t="shared" si="13"/>
        <v>0</v>
      </c>
      <c r="F155" s="87">
        <v>0</v>
      </c>
      <c r="G155" s="47">
        <f t="shared" si="11"/>
        <v>0</v>
      </c>
      <c r="H155" s="88"/>
      <c r="I155" s="20">
        <v>185</v>
      </c>
      <c r="J155" s="82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167</v>
      </c>
      <c r="C156" s="79">
        <f>+ยกมา!G156</f>
        <v>0</v>
      </c>
      <c r="D156" s="87">
        <v>0</v>
      </c>
      <c r="E156" s="47">
        <f t="shared" si="13"/>
        <v>0</v>
      </c>
      <c r="F156" s="87">
        <v>0</v>
      </c>
      <c r="G156" s="47">
        <f t="shared" si="11"/>
        <v>0</v>
      </c>
      <c r="H156" s="88"/>
      <c r="I156" s="20">
        <v>185</v>
      </c>
      <c r="J156" s="82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168</v>
      </c>
      <c r="C157" s="79">
        <f>+ยกมา!G157</f>
        <v>0</v>
      </c>
      <c r="D157" s="87">
        <v>0</v>
      </c>
      <c r="E157" s="47">
        <f t="shared" si="13"/>
        <v>0</v>
      </c>
      <c r="F157" s="87">
        <v>0</v>
      </c>
      <c r="G157" s="47">
        <f t="shared" si="11"/>
        <v>0</v>
      </c>
      <c r="H157" s="88"/>
      <c r="I157" s="20">
        <v>185</v>
      </c>
      <c r="J157" s="82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169</v>
      </c>
      <c r="C158" s="79">
        <f>+ยกมา!G158</f>
        <v>0</v>
      </c>
      <c r="D158" s="87">
        <v>0</v>
      </c>
      <c r="E158" s="47">
        <f t="shared" si="13"/>
        <v>0</v>
      </c>
      <c r="F158" s="87">
        <v>0</v>
      </c>
      <c r="G158" s="47">
        <f t="shared" si="11"/>
        <v>0</v>
      </c>
      <c r="H158" s="88"/>
      <c r="I158" s="20">
        <v>185</v>
      </c>
      <c r="J158" s="82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170</v>
      </c>
      <c r="C159" s="79">
        <f>+ยกมา!G159</f>
        <v>0</v>
      </c>
      <c r="D159" s="87">
        <v>0</v>
      </c>
      <c r="E159" s="47">
        <f t="shared" si="13"/>
        <v>0</v>
      </c>
      <c r="F159" s="87">
        <v>0</v>
      </c>
      <c r="G159" s="47">
        <f t="shared" si="11"/>
        <v>0</v>
      </c>
      <c r="H159" s="88"/>
      <c r="I159" s="20">
        <v>135</v>
      </c>
      <c r="J159" s="82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171</v>
      </c>
      <c r="C160" s="79">
        <f>+ยกมา!G160</f>
        <v>0</v>
      </c>
      <c r="D160" s="87">
        <v>0</v>
      </c>
      <c r="E160" s="47">
        <f t="shared" si="13"/>
        <v>0</v>
      </c>
      <c r="F160" s="87">
        <v>0</v>
      </c>
      <c r="G160" s="47">
        <f t="shared" si="11"/>
        <v>0</v>
      </c>
      <c r="H160" s="88"/>
      <c r="I160" s="20">
        <v>90</v>
      </c>
      <c r="J160" s="82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172</v>
      </c>
      <c r="C161" s="79">
        <f>+ยกมา!G161</f>
        <v>0</v>
      </c>
      <c r="D161" s="87">
        <v>0</v>
      </c>
      <c r="E161" s="47">
        <f t="shared" si="13"/>
        <v>0</v>
      </c>
      <c r="F161" s="87">
        <v>0</v>
      </c>
      <c r="G161" s="47">
        <f t="shared" si="11"/>
        <v>0</v>
      </c>
      <c r="H161" s="88"/>
      <c r="I161" s="20">
        <v>90</v>
      </c>
      <c r="J161" s="82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173</v>
      </c>
      <c r="C162" s="79">
        <f>+ยกมา!G162</f>
        <v>0</v>
      </c>
      <c r="D162" s="87">
        <v>0</v>
      </c>
      <c r="E162" s="47">
        <f t="shared" si="13"/>
        <v>0</v>
      </c>
      <c r="F162" s="87">
        <v>0</v>
      </c>
      <c r="G162" s="47">
        <f t="shared" si="11"/>
        <v>0</v>
      </c>
      <c r="H162" s="88"/>
      <c r="I162" s="20">
        <v>90</v>
      </c>
      <c r="J162" s="82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174</v>
      </c>
      <c r="C163" s="79">
        <f>+ยกมา!G163</f>
        <v>0</v>
      </c>
      <c r="D163" s="87">
        <v>0</v>
      </c>
      <c r="E163" s="47">
        <f t="shared" si="13"/>
        <v>0</v>
      </c>
      <c r="F163" s="87">
        <v>0</v>
      </c>
      <c r="G163" s="47">
        <f t="shared" si="11"/>
        <v>0</v>
      </c>
      <c r="H163" s="88"/>
      <c r="I163" s="20">
        <v>90</v>
      </c>
      <c r="J163" s="82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175</v>
      </c>
      <c r="C164" s="79">
        <f>+ยกมา!G164</f>
        <v>0</v>
      </c>
      <c r="D164" s="87">
        <v>0</v>
      </c>
      <c r="E164" s="47">
        <f t="shared" si="13"/>
        <v>0</v>
      </c>
      <c r="F164" s="87">
        <v>0</v>
      </c>
      <c r="G164" s="47">
        <f t="shared" si="11"/>
        <v>0</v>
      </c>
      <c r="H164" s="88"/>
      <c r="I164" s="20">
        <v>25</v>
      </c>
      <c r="J164" s="82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176</v>
      </c>
      <c r="C165" s="79">
        <f>+ยกมา!G165</f>
        <v>0</v>
      </c>
      <c r="D165" s="87">
        <v>0</v>
      </c>
      <c r="E165" s="47">
        <f t="shared" si="13"/>
        <v>0</v>
      </c>
      <c r="F165" s="87">
        <v>0</v>
      </c>
      <c r="G165" s="47">
        <f t="shared" ref="G165:G227" si="15">+E165-F165-H165</f>
        <v>0</v>
      </c>
      <c r="H165" s="88"/>
      <c r="I165" s="20">
        <v>50</v>
      </c>
      <c r="J165" s="82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177</v>
      </c>
      <c r="C166" s="79">
        <f>+ยกมา!G166</f>
        <v>0</v>
      </c>
      <c r="D166" s="87">
        <v>0</v>
      </c>
      <c r="E166" s="47">
        <f t="shared" si="13"/>
        <v>0</v>
      </c>
      <c r="F166" s="87">
        <v>0</v>
      </c>
      <c r="G166" s="47">
        <f t="shared" si="15"/>
        <v>0</v>
      </c>
      <c r="H166" s="88"/>
      <c r="I166" s="20">
        <v>50</v>
      </c>
      <c r="J166" s="82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178</v>
      </c>
      <c r="C167" s="79">
        <f>+ยกมา!G167</f>
        <v>0</v>
      </c>
      <c r="D167" s="87">
        <v>0</v>
      </c>
      <c r="E167" s="47">
        <f t="shared" si="13"/>
        <v>0</v>
      </c>
      <c r="F167" s="87">
        <v>0</v>
      </c>
      <c r="G167" s="47">
        <f t="shared" si="15"/>
        <v>0</v>
      </c>
      <c r="H167" s="88"/>
      <c r="I167" s="20">
        <v>50</v>
      </c>
      <c r="J167" s="82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179</v>
      </c>
      <c r="C168" s="79">
        <f>+ยกมา!G168</f>
        <v>7</v>
      </c>
      <c r="D168" s="87">
        <v>0</v>
      </c>
      <c r="E168" s="47">
        <f t="shared" si="13"/>
        <v>7</v>
      </c>
      <c r="F168" s="87">
        <v>0</v>
      </c>
      <c r="G168" s="47">
        <f t="shared" si="15"/>
        <v>7</v>
      </c>
      <c r="H168" s="88"/>
      <c r="I168" s="20">
        <v>50</v>
      </c>
      <c r="J168" s="82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180</v>
      </c>
      <c r="C169" s="79">
        <f>+ยกมา!G169</f>
        <v>26</v>
      </c>
      <c r="D169" s="87">
        <v>0</v>
      </c>
      <c r="E169" s="47">
        <f t="shared" si="13"/>
        <v>26</v>
      </c>
      <c r="F169" s="87">
        <v>0</v>
      </c>
      <c r="G169" s="47">
        <f t="shared" si="15"/>
        <v>26</v>
      </c>
      <c r="H169" s="88"/>
      <c r="I169" s="20">
        <v>55</v>
      </c>
      <c r="J169" s="82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181</v>
      </c>
      <c r="C170" s="79">
        <f>+ยกมา!G170</f>
        <v>0</v>
      </c>
      <c r="D170" s="87">
        <v>0</v>
      </c>
      <c r="E170" s="47">
        <f t="shared" si="13"/>
        <v>0</v>
      </c>
      <c r="F170" s="87">
        <v>0</v>
      </c>
      <c r="G170" s="47">
        <f t="shared" si="15"/>
        <v>0</v>
      </c>
      <c r="H170" s="88"/>
      <c r="I170" s="20">
        <v>85</v>
      </c>
      <c r="J170" s="82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182</v>
      </c>
      <c r="C171" s="79">
        <f>+ยกมา!G171</f>
        <v>0</v>
      </c>
      <c r="D171" s="87">
        <v>0</v>
      </c>
      <c r="E171" s="47">
        <f t="shared" si="13"/>
        <v>0</v>
      </c>
      <c r="F171" s="87">
        <v>0</v>
      </c>
      <c r="G171" s="47">
        <f t="shared" si="15"/>
        <v>0</v>
      </c>
      <c r="H171" s="88"/>
      <c r="I171" s="20">
        <v>80</v>
      </c>
      <c r="J171" s="82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183</v>
      </c>
      <c r="C172" s="79">
        <f>+ยกมา!G172</f>
        <v>0</v>
      </c>
      <c r="D172" s="87">
        <v>0</v>
      </c>
      <c r="E172" s="47">
        <f t="shared" si="13"/>
        <v>0</v>
      </c>
      <c r="F172" s="87">
        <v>0</v>
      </c>
      <c r="G172" s="47">
        <f t="shared" si="15"/>
        <v>0</v>
      </c>
      <c r="H172" s="88"/>
      <c r="I172" s="20">
        <v>40</v>
      </c>
      <c r="J172" s="82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184</v>
      </c>
      <c r="C173" s="79">
        <f>+ยกมา!G173</f>
        <v>0</v>
      </c>
      <c r="D173" s="87">
        <v>0</v>
      </c>
      <c r="E173" s="47">
        <f t="shared" si="13"/>
        <v>0</v>
      </c>
      <c r="F173" s="87">
        <v>0</v>
      </c>
      <c r="G173" s="47">
        <f t="shared" si="15"/>
        <v>0</v>
      </c>
      <c r="H173" s="88"/>
      <c r="I173" s="20">
        <v>120</v>
      </c>
      <c r="J173" s="82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185</v>
      </c>
      <c r="C174" s="79">
        <f>+ยกมา!G174</f>
        <v>0</v>
      </c>
      <c r="D174" s="87">
        <v>0</v>
      </c>
      <c r="E174" s="47">
        <f t="shared" si="13"/>
        <v>0</v>
      </c>
      <c r="F174" s="87">
        <v>0</v>
      </c>
      <c r="G174" s="47">
        <f t="shared" si="15"/>
        <v>0</v>
      </c>
      <c r="H174" s="88"/>
      <c r="I174" s="20">
        <v>120</v>
      </c>
      <c r="J174" s="82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186</v>
      </c>
      <c r="C175" s="79">
        <f>+ยกมา!G175</f>
        <v>0</v>
      </c>
      <c r="D175" s="87">
        <v>0</v>
      </c>
      <c r="E175" s="47">
        <f t="shared" si="13"/>
        <v>0</v>
      </c>
      <c r="F175" s="87">
        <v>0</v>
      </c>
      <c r="G175" s="47">
        <f t="shared" si="15"/>
        <v>0</v>
      </c>
      <c r="H175" s="88"/>
      <c r="I175" s="20">
        <v>55</v>
      </c>
      <c r="J175" s="82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187</v>
      </c>
      <c r="C176" s="79">
        <f>+ยกมา!G176</f>
        <v>0</v>
      </c>
      <c r="D176" s="87">
        <v>0</v>
      </c>
      <c r="E176" s="47">
        <f t="shared" si="13"/>
        <v>0</v>
      </c>
      <c r="F176" s="87">
        <v>0</v>
      </c>
      <c r="G176" s="47">
        <f t="shared" si="15"/>
        <v>0</v>
      </c>
      <c r="H176" s="88"/>
      <c r="I176" s="20">
        <v>50</v>
      </c>
      <c r="J176" s="82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188</v>
      </c>
      <c r="C177" s="79">
        <f>+ยกมา!G177</f>
        <v>3</v>
      </c>
      <c r="D177" s="87">
        <v>0</v>
      </c>
      <c r="E177" s="47">
        <f t="shared" si="13"/>
        <v>3</v>
      </c>
      <c r="F177" s="87">
        <v>0</v>
      </c>
      <c r="G177" s="47">
        <f t="shared" si="15"/>
        <v>3</v>
      </c>
      <c r="H177" s="88"/>
      <c r="I177" s="20">
        <v>50</v>
      </c>
      <c r="J177" s="82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189</v>
      </c>
      <c r="C178" s="79">
        <f>+ยกมา!G178</f>
        <v>0</v>
      </c>
      <c r="D178" s="87">
        <v>0</v>
      </c>
      <c r="E178" s="47">
        <f t="shared" si="13"/>
        <v>0</v>
      </c>
      <c r="F178" s="87">
        <v>0</v>
      </c>
      <c r="G178" s="47">
        <f t="shared" si="15"/>
        <v>0</v>
      </c>
      <c r="H178" s="88"/>
      <c r="I178" s="20">
        <v>120</v>
      </c>
      <c r="J178" s="82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190</v>
      </c>
      <c r="C179" s="79">
        <f>+ยกมา!G179</f>
        <v>4</v>
      </c>
      <c r="D179" s="87">
        <v>0</v>
      </c>
      <c r="E179" s="47">
        <f t="shared" si="13"/>
        <v>4</v>
      </c>
      <c r="F179" s="87">
        <v>0</v>
      </c>
      <c r="G179" s="47">
        <f t="shared" si="15"/>
        <v>3</v>
      </c>
      <c r="H179" s="88">
        <v>1</v>
      </c>
      <c r="I179" s="20">
        <v>120</v>
      </c>
      <c r="J179" s="82">
        <f t="shared" si="16"/>
        <v>120</v>
      </c>
      <c r="K179" s="17" t="s">
        <v>287</v>
      </c>
      <c r="L179" s="18">
        <v>120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191</v>
      </c>
      <c r="C180" s="79">
        <f>+ยกมา!G180</f>
        <v>0</v>
      </c>
      <c r="D180" s="87">
        <v>0</v>
      </c>
      <c r="E180" s="47">
        <f t="shared" si="13"/>
        <v>0</v>
      </c>
      <c r="F180" s="87">
        <v>0</v>
      </c>
      <c r="G180" s="47">
        <f t="shared" si="15"/>
        <v>0</v>
      </c>
      <c r="H180" s="88"/>
      <c r="I180" s="20">
        <v>10</v>
      </c>
      <c r="J180" s="82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192</v>
      </c>
      <c r="C181" s="79">
        <f>+ยกมา!G181</f>
        <v>0</v>
      </c>
      <c r="D181" s="87">
        <v>0</v>
      </c>
      <c r="E181" s="47">
        <f t="shared" si="13"/>
        <v>0</v>
      </c>
      <c r="F181" s="87">
        <v>0</v>
      </c>
      <c r="G181" s="47">
        <f t="shared" si="15"/>
        <v>0</v>
      </c>
      <c r="H181" s="88"/>
      <c r="I181" s="20">
        <v>35</v>
      </c>
      <c r="J181" s="82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193</v>
      </c>
      <c r="C182" s="79">
        <f>+ยกมา!G182</f>
        <v>0</v>
      </c>
      <c r="D182" s="87">
        <v>0</v>
      </c>
      <c r="E182" s="47">
        <f t="shared" si="13"/>
        <v>0</v>
      </c>
      <c r="F182" s="87">
        <v>0</v>
      </c>
      <c r="G182" s="47">
        <f t="shared" si="15"/>
        <v>0</v>
      </c>
      <c r="H182" s="88"/>
      <c r="I182" s="20">
        <v>10</v>
      </c>
      <c r="J182" s="82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194</v>
      </c>
      <c r="C183" s="79">
        <f>+ยกมา!G183</f>
        <v>0</v>
      </c>
      <c r="D183" s="87">
        <v>0</v>
      </c>
      <c r="E183" s="47">
        <f t="shared" si="13"/>
        <v>0</v>
      </c>
      <c r="F183" s="87">
        <v>0</v>
      </c>
      <c r="G183" s="47">
        <f t="shared" si="15"/>
        <v>0</v>
      </c>
      <c r="H183" s="88"/>
      <c r="I183" s="20">
        <v>10</v>
      </c>
      <c r="J183" s="82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195</v>
      </c>
      <c r="C184" s="79">
        <f>+ยกมา!G184</f>
        <v>0</v>
      </c>
      <c r="D184" s="87">
        <v>0</v>
      </c>
      <c r="E184" s="47">
        <f t="shared" si="13"/>
        <v>0</v>
      </c>
      <c r="F184" s="87">
        <v>0</v>
      </c>
      <c r="G184" s="47">
        <f t="shared" si="15"/>
        <v>0</v>
      </c>
      <c r="H184" s="88"/>
      <c r="I184" s="20">
        <v>10</v>
      </c>
      <c r="J184" s="82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196</v>
      </c>
      <c r="C185" s="79">
        <f>+ยกมา!G185</f>
        <v>0</v>
      </c>
      <c r="D185" s="87">
        <v>0</v>
      </c>
      <c r="E185" s="47">
        <f t="shared" si="13"/>
        <v>0</v>
      </c>
      <c r="F185" s="87">
        <v>0</v>
      </c>
      <c r="G185" s="47">
        <f t="shared" si="15"/>
        <v>0</v>
      </c>
      <c r="H185" s="88"/>
      <c r="I185" s="20">
        <v>10</v>
      </c>
      <c r="J185" s="82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197</v>
      </c>
      <c r="C186" s="79">
        <f>+ยกมา!G186</f>
        <v>0</v>
      </c>
      <c r="D186" s="87">
        <v>0</v>
      </c>
      <c r="E186" s="47">
        <f t="shared" si="13"/>
        <v>0</v>
      </c>
      <c r="F186" s="87">
        <v>0</v>
      </c>
      <c r="G186" s="47">
        <f t="shared" si="15"/>
        <v>0</v>
      </c>
      <c r="H186" s="88"/>
      <c r="I186" s="20">
        <v>10</v>
      </c>
      <c r="J186" s="82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198</v>
      </c>
      <c r="C187" s="79">
        <f>+ยกมา!G187</f>
        <v>0</v>
      </c>
      <c r="D187" s="87">
        <v>0</v>
      </c>
      <c r="E187" s="47">
        <f t="shared" si="13"/>
        <v>0</v>
      </c>
      <c r="F187" s="87">
        <v>0</v>
      </c>
      <c r="G187" s="47">
        <f t="shared" si="15"/>
        <v>0</v>
      </c>
      <c r="H187" s="88"/>
      <c r="I187" s="20">
        <v>25</v>
      </c>
      <c r="J187" s="82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249</v>
      </c>
      <c r="C188" s="79">
        <f>+ยกมา!G188</f>
        <v>0</v>
      </c>
      <c r="D188" s="87">
        <v>0</v>
      </c>
      <c r="E188" s="47">
        <f t="shared" si="13"/>
        <v>0</v>
      </c>
      <c r="F188" s="87">
        <v>0</v>
      </c>
      <c r="G188" s="47">
        <f t="shared" si="15"/>
        <v>0</v>
      </c>
      <c r="H188" s="88"/>
      <c r="I188" s="15">
        <v>50</v>
      </c>
      <c r="J188" s="82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250</v>
      </c>
      <c r="C189" s="79">
        <f>+ยกมา!G189</f>
        <v>0</v>
      </c>
      <c r="D189" s="87">
        <v>0</v>
      </c>
      <c r="E189" s="47">
        <f t="shared" si="13"/>
        <v>0</v>
      </c>
      <c r="F189" s="87">
        <v>0</v>
      </c>
      <c r="G189" s="47">
        <f t="shared" si="15"/>
        <v>0</v>
      </c>
      <c r="H189" s="88"/>
      <c r="I189" s="15">
        <v>10</v>
      </c>
      <c r="J189" s="82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251</v>
      </c>
      <c r="C190" s="79">
        <f>+ยกมา!G190</f>
        <v>0</v>
      </c>
      <c r="D190" s="87">
        <v>0</v>
      </c>
      <c r="E190" s="47">
        <f t="shared" ref="E190:E252" si="17">C190+D190</f>
        <v>0</v>
      </c>
      <c r="F190" s="87">
        <v>0</v>
      </c>
      <c r="G190" s="47">
        <f t="shared" si="15"/>
        <v>0</v>
      </c>
      <c r="H190" s="88"/>
      <c r="I190" s="15">
        <v>15</v>
      </c>
      <c r="J190" s="82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252</v>
      </c>
      <c r="C191" s="79">
        <f>+ยกมา!G191</f>
        <v>0</v>
      </c>
      <c r="D191" s="87">
        <v>0</v>
      </c>
      <c r="E191" s="47">
        <f t="shared" si="17"/>
        <v>0</v>
      </c>
      <c r="F191" s="87">
        <v>0</v>
      </c>
      <c r="G191" s="47">
        <f t="shared" si="15"/>
        <v>0</v>
      </c>
      <c r="H191" s="88"/>
      <c r="I191" s="15">
        <v>25</v>
      </c>
      <c r="J191" s="82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253</v>
      </c>
      <c r="C192" s="79">
        <f>+ยกมา!G192</f>
        <v>0</v>
      </c>
      <c r="D192" s="87">
        <v>0</v>
      </c>
      <c r="E192" s="47">
        <f t="shared" si="17"/>
        <v>0</v>
      </c>
      <c r="F192" s="87">
        <v>0</v>
      </c>
      <c r="G192" s="47">
        <f t="shared" si="15"/>
        <v>0</v>
      </c>
      <c r="H192" s="88"/>
      <c r="I192" s="15">
        <v>50</v>
      </c>
      <c r="J192" s="82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254</v>
      </c>
      <c r="C193" s="79">
        <f>+ยกมา!G193</f>
        <v>0</v>
      </c>
      <c r="D193" s="87">
        <v>0</v>
      </c>
      <c r="E193" s="47">
        <f t="shared" si="17"/>
        <v>0</v>
      </c>
      <c r="F193" s="87">
        <v>0</v>
      </c>
      <c r="G193" s="47">
        <f t="shared" si="15"/>
        <v>0</v>
      </c>
      <c r="H193" s="88"/>
      <c r="I193" s="15">
        <v>45</v>
      </c>
      <c r="J193" s="82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255</v>
      </c>
      <c r="C194" s="79">
        <f>+ยกมา!G194</f>
        <v>0</v>
      </c>
      <c r="D194" s="87">
        <v>0</v>
      </c>
      <c r="E194" s="47">
        <f t="shared" si="17"/>
        <v>0</v>
      </c>
      <c r="F194" s="87">
        <v>0</v>
      </c>
      <c r="G194" s="47">
        <f t="shared" si="15"/>
        <v>0</v>
      </c>
      <c r="H194" s="88"/>
      <c r="I194" s="15">
        <v>50</v>
      </c>
      <c r="J194" s="82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199</v>
      </c>
      <c r="C195" s="79">
        <f>+ยกมา!G195</f>
        <v>0</v>
      </c>
      <c r="D195" s="87">
        <v>0</v>
      </c>
      <c r="E195" s="47">
        <f t="shared" si="17"/>
        <v>0</v>
      </c>
      <c r="F195" s="87">
        <v>0</v>
      </c>
      <c r="G195" s="47">
        <f t="shared" si="15"/>
        <v>0</v>
      </c>
      <c r="H195" s="88"/>
      <c r="I195" s="15">
        <v>150</v>
      </c>
      <c r="J195" s="82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200</v>
      </c>
      <c r="C196" s="79">
        <f>+ยกมา!G196</f>
        <v>0</v>
      </c>
      <c r="D196" s="87">
        <v>0</v>
      </c>
      <c r="E196" s="47">
        <f t="shared" si="17"/>
        <v>0</v>
      </c>
      <c r="F196" s="87">
        <v>0</v>
      </c>
      <c r="G196" s="47">
        <f t="shared" si="15"/>
        <v>0</v>
      </c>
      <c r="H196" s="88"/>
      <c r="I196" s="15">
        <v>150</v>
      </c>
      <c r="J196" s="82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201</v>
      </c>
      <c r="C197" s="79">
        <f>+ยกมา!G197</f>
        <v>0</v>
      </c>
      <c r="D197" s="87">
        <v>0</v>
      </c>
      <c r="E197" s="47">
        <f t="shared" si="17"/>
        <v>0</v>
      </c>
      <c r="F197" s="87">
        <v>0</v>
      </c>
      <c r="G197" s="47">
        <f t="shared" si="15"/>
        <v>0</v>
      </c>
      <c r="H197" s="88"/>
      <c r="I197" s="15">
        <v>150</v>
      </c>
      <c r="J197" s="82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256</v>
      </c>
      <c r="C198" s="79">
        <f>+ยกมา!G198</f>
        <v>0</v>
      </c>
      <c r="D198" s="87">
        <v>0</v>
      </c>
      <c r="E198" s="47">
        <f t="shared" si="17"/>
        <v>0</v>
      </c>
      <c r="F198" s="87">
        <v>0</v>
      </c>
      <c r="G198" s="47">
        <f t="shared" si="15"/>
        <v>0</v>
      </c>
      <c r="H198" s="88"/>
      <c r="I198" s="15">
        <v>55</v>
      </c>
      <c r="J198" s="82">
        <f t="shared" si="16"/>
        <v>0</v>
      </c>
      <c r="K198" s="17" t="s">
        <v>16</v>
      </c>
      <c r="L198" s="18">
        <v>0</v>
      </c>
      <c r="M198" s="23">
        <f t="shared" si="14"/>
        <v>0</v>
      </c>
    </row>
    <row r="199" spans="1:13" ht="25.5" x14ac:dyDescent="0.55000000000000004">
      <c r="A199" s="10">
        <v>195</v>
      </c>
      <c r="B199" s="19" t="s">
        <v>257</v>
      </c>
      <c r="C199" s="79">
        <f>+ยกมา!G199</f>
        <v>0</v>
      </c>
      <c r="D199" s="87">
        <v>0</v>
      </c>
      <c r="E199" s="47">
        <f t="shared" si="17"/>
        <v>0</v>
      </c>
      <c r="F199" s="87">
        <v>0</v>
      </c>
      <c r="G199" s="47">
        <f t="shared" si="15"/>
        <v>0</v>
      </c>
      <c r="H199" s="88"/>
      <c r="I199" s="15">
        <v>30</v>
      </c>
      <c r="J199" s="82">
        <f t="shared" si="16"/>
        <v>0</v>
      </c>
      <c r="K199" s="17" t="s">
        <v>16</v>
      </c>
      <c r="L199" s="18">
        <v>0</v>
      </c>
      <c r="M199" s="23">
        <f t="shared" ref="M199:M254" si="18">SUM(J199-L199)</f>
        <v>0</v>
      </c>
    </row>
    <row r="200" spans="1:13" ht="25.5" x14ac:dyDescent="0.55000000000000004">
      <c r="A200" s="10">
        <v>196</v>
      </c>
      <c r="B200" s="19" t="s">
        <v>258</v>
      </c>
      <c r="C200" s="79">
        <f>+ยกมา!G200</f>
        <v>0</v>
      </c>
      <c r="D200" s="87">
        <v>0</v>
      </c>
      <c r="E200" s="47">
        <f t="shared" si="17"/>
        <v>0</v>
      </c>
      <c r="F200" s="87">
        <v>0</v>
      </c>
      <c r="G200" s="47">
        <f t="shared" si="15"/>
        <v>0</v>
      </c>
      <c r="H200" s="88"/>
      <c r="I200" s="15">
        <v>30</v>
      </c>
      <c r="J200" s="82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259</v>
      </c>
      <c r="C201" s="79">
        <f>+ยกมา!G201</f>
        <v>0</v>
      </c>
      <c r="D201" s="87">
        <v>0</v>
      </c>
      <c r="E201" s="47">
        <f t="shared" si="17"/>
        <v>0</v>
      </c>
      <c r="F201" s="87">
        <v>0</v>
      </c>
      <c r="G201" s="47">
        <f t="shared" si="15"/>
        <v>0</v>
      </c>
      <c r="H201" s="88"/>
      <c r="I201" s="15">
        <v>30</v>
      </c>
      <c r="J201" s="82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260</v>
      </c>
      <c r="C202" s="79">
        <f>+ยกมา!G202</f>
        <v>0</v>
      </c>
      <c r="D202" s="87">
        <v>0</v>
      </c>
      <c r="E202" s="47">
        <f t="shared" si="17"/>
        <v>0</v>
      </c>
      <c r="F202" s="87">
        <v>0</v>
      </c>
      <c r="G202" s="47">
        <f t="shared" si="15"/>
        <v>0</v>
      </c>
      <c r="H202" s="88"/>
      <c r="I202" s="15">
        <v>30</v>
      </c>
      <c r="J202" s="82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261</v>
      </c>
      <c r="C203" s="79">
        <f>+ยกมา!G203</f>
        <v>0</v>
      </c>
      <c r="D203" s="87">
        <v>0</v>
      </c>
      <c r="E203" s="47">
        <f t="shared" si="17"/>
        <v>0</v>
      </c>
      <c r="F203" s="87">
        <v>0</v>
      </c>
      <c r="G203" s="47">
        <f t="shared" si="15"/>
        <v>0</v>
      </c>
      <c r="H203" s="88"/>
      <c r="I203" s="20">
        <v>30</v>
      </c>
      <c r="J203" s="82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262</v>
      </c>
      <c r="C204" s="79">
        <f>+ยกมา!G204</f>
        <v>0</v>
      </c>
      <c r="D204" s="87">
        <v>0</v>
      </c>
      <c r="E204" s="47">
        <f t="shared" si="17"/>
        <v>0</v>
      </c>
      <c r="F204" s="87">
        <v>0</v>
      </c>
      <c r="G204" s="47">
        <f t="shared" si="15"/>
        <v>0</v>
      </c>
      <c r="H204" s="88"/>
      <c r="I204" s="20">
        <v>30</v>
      </c>
      <c r="J204" s="82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263</v>
      </c>
      <c r="C205" s="79">
        <f>+ยกมา!G205</f>
        <v>0</v>
      </c>
      <c r="D205" s="87">
        <v>0</v>
      </c>
      <c r="E205" s="47">
        <f t="shared" si="17"/>
        <v>0</v>
      </c>
      <c r="F205" s="87">
        <v>0</v>
      </c>
      <c r="G205" s="47">
        <f t="shared" si="15"/>
        <v>0</v>
      </c>
      <c r="H205" s="88"/>
      <c r="I205" s="20">
        <v>50</v>
      </c>
      <c r="J205" s="82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 t="s">
        <v>264</v>
      </c>
      <c r="C206" s="79">
        <f>+ยกมา!G206</f>
        <v>0</v>
      </c>
      <c r="D206" s="87">
        <v>0</v>
      </c>
      <c r="E206" s="47">
        <f t="shared" si="17"/>
        <v>0</v>
      </c>
      <c r="F206" s="87">
        <v>0</v>
      </c>
      <c r="G206" s="47">
        <f t="shared" si="15"/>
        <v>0</v>
      </c>
      <c r="H206" s="88"/>
      <c r="I206" s="20">
        <v>100</v>
      </c>
      <c r="J206" s="82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265</v>
      </c>
      <c r="C207" s="79">
        <f>+ยกมา!G207</f>
        <v>0</v>
      </c>
      <c r="D207" s="87">
        <v>0</v>
      </c>
      <c r="E207" s="47">
        <f t="shared" si="17"/>
        <v>0</v>
      </c>
      <c r="F207" s="87">
        <v>0</v>
      </c>
      <c r="G207" s="47">
        <f t="shared" si="15"/>
        <v>0</v>
      </c>
      <c r="H207" s="88"/>
      <c r="I207" s="20">
        <v>100</v>
      </c>
      <c r="J207" s="82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266</v>
      </c>
      <c r="C208" s="79">
        <f>+ยกมา!G208</f>
        <v>0</v>
      </c>
      <c r="D208" s="87">
        <v>0</v>
      </c>
      <c r="E208" s="47">
        <f t="shared" si="17"/>
        <v>0</v>
      </c>
      <c r="F208" s="87">
        <v>0</v>
      </c>
      <c r="G208" s="47">
        <f t="shared" si="15"/>
        <v>0</v>
      </c>
      <c r="H208" s="88"/>
      <c r="I208" s="20">
        <v>100</v>
      </c>
      <c r="J208" s="82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 t="s">
        <v>267</v>
      </c>
      <c r="C209" s="79">
        <f>+ยกมา!G209</f>
        <v>0</v>
      </c>
      <c r="D209" s="87">
        <v>0</v>
      </c>
      <c r="E209" s="47">
        <f t="shared" si="17"/>
        <v>0</v>
      </c>
      <c r="F209" s="87">
        <v>0</v>
      </c>
      <c r="G209" s="47">
        <f t="shared" si="15"/>
        <v>0</v>
      </c>
      <c r="H209" s="88"/>
      <c r="I209" s="20">
        <v>100</v>
      </c>
      <c r="J209" s="82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268</v>
      </c>
      <c r="C210" s="79">
        <f>+ยกมา!G210</f>
        <v>0</v>
      </c>
      <c r="D210" s="87">
        <v>0</v>
      </c>
      <c r="E210" s="47">
        <f t="shared" si="17"/>
        <v>0</v>
      </c>
      <c r="F210" s="87">
        <v>0</v>
      </c>
      <c r="G210" s="47">
        <f t="shared" si="15"/>
        <v>0</v>
      </c>
      <c r="H210" s="88"/>
      <c r="I210" s="20">
        <v>250</v>
      </c>
      <c r="J210" s="82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 t="s">
        <v>269</v>
      </c>
      <c r="C211" s="79">
        <f>+ยกมา!G211</f>
        <v>0</v>
      </c>
      <c r="D211" s="87">
        <v>0</v>
      </c>
      <c r="E211" s="47">
        <f t="shared" si="17"/>
        <v>0</v>
      </c>
      <c r="F211" s="87">
        <v>0</v>
      </c>
      <c r="G211" s="47">
        <f t="shared" si="15"/>
        <v>0</v>
      </c>
      <c r="H211" s="88"/>
      <c r="I211" s="20">
        <v>250</v>
      </c>
      <c r="J211" s="82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 t="s">
        <v>270</v>
      </c>
      <c r="C212" s="79">
        <f>+ยกมา!G212</f>
        <v>0</v>
      </c>
      <c r="D212" s="87">
        <v>0</v>
      </c>
      <c r="E212" s="47">
        <f t="shared" si="17"/>
        <v>0</v>
      </c>
      <c r="F212" s="87">
        <v>0</v>
      </c>
      <c r="G212" s="47">
        <f t="shared" si="15"/>
        <v>0</v>
      </c>
      <c r="H212" s="88"/>
      <c r="I212" s="20">
        <v>250</v>
      </c>
      <c r="J212" s="82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 t="s">
        <v>271</v>
      </c>
      <c r="C213" s="79">
        <f>+ยกมา!G213</f>
        <v>0</v>
      </c>
      <c r="D213" s="87">
        <v>0</v>
      </c>
      <c r="E213" s="47">
        <f t="shared" si="17"/>
        <v>0</v>
      </c>
      <c r="F213" s="87">
        <v>0</v>
      </c>
      <c r="G213" s="47">
        <f t="shared" si="15"/>
        <v>0</v>
      </c>
      <c r="H213" s="88"/>
      <c r="I213" s="20">
        <v>50</v>
      </c>
      <c r="J213" s="82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 t="s">
        <v>273</v>
      </c>
      <c r="C214" s="79">
        <f>+ยกมา!G214</f>
        <v>0</v>
      </c>
      <c r="D214" s="87">
        <v>0</v>
      </c>
      <c r="E214" s="47">
        <f t="shared" si="17"/>
        <v>0</v>
      </c>
      <c r="F214" s="87">
        <v>0</v>
      </c>
      <c r="G214" s="47">
        <f t="shared" si="15"/>
        <v>0</v>
      </c>
      <c r="H214" s="88"/>
      <c r="I214" s="20">
        <v>50</v>
      </c>
      <c r="J214" s="82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 t="s">
        <v>274</v>
      </c>
      <c r="C215" s="79">
        <f>+ยกมา!G215</f>
        <v>0</v>
      </c>
      <c r="D215" s="87">
        <v>0</v>
      </c>
      <c r="E215" s="47">
        <f t="shared" si="17"/>
        <v>0</v>
      </c>
      <c r="F215" s="87">
        <v>0</v>
      </c>
      <c r="G215" s="47">
        <f t="shared" si="15"/>
        <v>0</v>
      </c>
      <c r="H215" s="88"/>
      <c r="I215" s="20">
        <v>50</v>
      </c>
      <c r="J215" s="82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 t="s">
        <v>242</v>
      </c>
      <c r="C216" s="79">
        <f>+ยกมา!G216</f>
        <v>0</v>
      </c>
      <c r="D216" s="87">
        <v>0</v>
      </c>
      <c r="E216" s="47">
        <f t="shared" si="17"/>
        <v>0</v>
      </c>
      <c r="F216" s="87">
        <v>0</v>
      </c>
      <c r="G216" s="47">
        <f t="shared" si="15"/>
        <v>0</v>
      </c>
      <c r="H216" s="88"/>
      <c r="I216" s="20">
        <v>35</v>
      </c>
      <c r="J216" s="82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 t="s">
        <v>275</v>
      </c>
      <c r="C217" s="79">
        <f>+ยกมา!G217</f>
        <v>0</v>
      </c>
      <c r="D217" s="87">
        <v>0</v>
      </c>
      <c r="E217" s="47">
        <f t="shared" si="17"/>
        <v>0</v>
      </c>
      <c r="F217" s="87">
        <v>0</v>
      </c>
      <c r="G217" s="47">
        <f t="shared" si="15"/>
        <v>0</v>
      </c>
      <c r="H217" s="88"/>
      <c r="I217" s="20">
        <v>199</v>
      </c>
      <c r="J217" s="82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 t="s">
        <v>283</v>
      </c>
      <c r="C218" s="79">
        <f>+ยกมา!G218</f>
        <v>1</v>
      </c>
      <c r="D218" s="87">
        <v>0</v>
      </c>
      <c r="E218" s="47">
        <f t="shared" si="17"/>
        <v>1</v>
      </c>
      <c r="F218" s="87">
        <v>0</v>
      </c>
      <c r="G218" s="47">
        <f t="shared" si="15"/>
        <v>1</v>
      </c>
      <c r="H218" s="88"/>
      <c r="I218" s="20">
        <v>25</v>
      </c>
      <c r="J218" s="82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 t="s">
        <v>284</v>
      </c>
      <c r="C219" s="79">
        <f>+ยกมา!G219</f>
        <v>1</v>
      </c>
      <c r="D219" s="87">
        <v>0</v>
      </c>
      <c r="E219" s="47">
        <f t="shared" si="17"/>
        <v>1</v>
      </c>
      <c r="F219" s="87">
        <v>0</v>
      </c>
      <c r="G219" s="47">
        <f t="shared" si="15"/>
        <v>1</v>
      </c>
      <c r="H219" s="88"/>
      <c r="I219" s="20">
        <v>25</v>
      </c>
      <c r="J219" s="82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 t="s">
        <v>314</v>
      </c>
      <c r="C220" s="79">
        <f>+ยกมา!G220</f>
        <v>0</v>
      </c>
      <c r="D220" s="87">
        <v>0</v>
      </c>
      <c r="E220" s="47">
        <f t="shared" si="17"/>
        <v>0</v>
      </c>
      <c r="F220" s="87">
        <v>0</v>
      </c>
      <c r="G220" s="47">
        <f t="shared" si="15"/>
        <v>0</v>
      </c>
      <c r="H220" s="88"/>
      <c r="I220" s="20">
        <v>35</v>
      </c>
      <c r="J220" s="82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 t="s">
        <v>326</v>
      </c>
      <c r="C221" s="79">
        <f>+ยกมา!G221</f>
        <v>0</v>
      </c>
      <c r="D221" s="87">
        <v>0</v>
      </c>
      <c r="E221" s="47">
        <f t="shared" si="17"/>
        <v>0</v>
      </c>
      <c r="F221" s="87">
        <v>0</v>
      </c>
      <c r="G221" s="47">
        <f t="shared" si="15"/>
        <v>0</v>
      </c>
      <c r="H221" s="88"/>
      <c r="I221" s="20">
        <v>55</v>
      </c>
      <c r="J221" s="82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 t="s">
        <v>327</v>
      </c>
      <c r="C222" s="79">
        <f>+ยกมา!G222</f>
        <v>0</v>
      </c>
      <c r="D222" s="87">
        <v>0</v>
      </c>
      <c r="E222" s="47">
        <f t="shared" si="17"/>
        <v>0</v>
      </c>
      <c r="F222" s="87">
        <v>0</v>
      </c>
      <c r="G222" s="47">
        <f t="shared" si="15"/>
        <v>0</v>
      </c>
      <c r="H222" s="88"/>
      <c r="I222" s="20">
        <v>40</v>
      </c>
      <c r="J222" s="82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/>
      <c r="C223" s="79">
        <f>+ยกมา!G223</f>
        <v>0</v>
      </c>
      <c r="D223" s="87">
        <v>0</v>
      </c>
      <c r="E223" s="47">
        <f t="shared" si="17"/>
        <v>0</v>
      </c>
      <c r="F223" s="87">
        <v>0</v>
      </c>
      <c r="G223" s="47">
        <f t="shared" si="15"/>
        <v>0</v>
      </c>
      <c r="H223" s="88"/>
      <c r="I223" s="20"/>
      <c r="J223" s="82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79">
        <f>+ยกมา!G224</f>
        <v>0</v>
      </c>
      <c r="D224" s="87">
        <v>0</v>
      </c>
      <c r="E224" s="47">
        <f t="shared" si="17"/>
        <v>0</v>
      </c>
      <c r="F224" s="87">
        <v>0</v>
      </c>
      <c r="G224" s="47">
        <f t="shared" si="15"/>
        <v>0</v>
      </c>
      <c r="H224" s="88"/>
      <c r="I224" s="20"/>
      <c r="J224" s="82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+ยกมา!G225</f>
        <v>0</v>
      </c>
      <c r="D225" s="87">
        <v>0</v>
      </c>
      <c r="E225" s="47">
        <f t="shared" si="17"/>
        <v>0</v>
      </c>
      <c r="F225" s="87">
        <v>0</v>
      </c>
      <c r="G225" s="47">
        <f t="shared" si="15"/>
        <v>0</v>
      </c>
      <c r="H225" s="88"/>
      <c r="I225" s="20"/>
      <c r="J225" s="82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+ยกมา!G226</f>
        <v>0</v>
      </c>
      <c r="D226" s="87">
        <v>0</v>
      </c>
      <c r="E226" s="47">
        <f t="shared" si="17"/>
        <v>0</v>
      </c>
      <c r="F226" s="87">
        <v>0</v>
      </c>
      <c r="G226" s="47">
        <f t="shared" si="15"/>
        <v>0</v>
      </c>
      <c r="H226" s="88"/>
      <c r="I226" s="20"/>
      <c r="J226" s="82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+ยกมา!G227</f>
        <v>0</v>
      </c>
      <c r="D227" s="87">
        <v>0</v>
      </c>
      <c r="E227" s="47">
        <f t="shared" si="17"/>
        <v>0</v>
      </c>
      <c r="F227" s="87">
        <v>0</v>
      </c>
      <c r="G227" s="47">
        <f t="shared" si="15"/>
        <v>0</v>
      </c>
      <c r="H227" s="88"/>
      <c r="I227" s="20"/>
      <c r="J227" s="82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+ยกมา!G228</f>
        <v>0</v>
      </c>
      <c r="D228" s="87">
        <v>0</v>
      </c>
      <c r="E228" s="47">
        <f t="shared" si="17"/>
        <v>0</v>
      </c>
      <c r="F228" s="87">
        <v>0</v>
      </c>
      <c r="G228" s="47">
        <f t="shared" ref="G228:G254" si="19">+E228-F228-H228</f>
        <v>0</v>
      </c>
      <c r="H228" s="88"/>
      <c r="I228" s="20"/>
      <c r="J228" s="82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+ยกมา!G229</f>
        <v>0</v>
      </c>
      <c r="D229" s="87">
        <v>0</v>
      </c>
      <c r="E229" s="47">
        <f t="shared" si="17"/>
        <v>0</v>
      </c>
      <c r="F229" s="87">
        <v>0</v>
      </c>
      <c r="G229" s="47">
        <f t="shared" si="19"/>
        <v>0</v>
      </c>
      <c r="H229" s="88"/>
      <c r="I229" s="20"/>
      <c r="J229" s="82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+ยกมา!G230</f>
        <v>0</v>
      </c>
      <c r="D230" s="87">
        <v>0</v>
      </c>
      <c r="E230" s="47">
        <f t="shared" si="17"/>
        <v>0</v>
      </c>
      <c r="F230" s="87">
        <v>0</v>
      </c>
      <c r="G230" s="47">
        <f t="shared" si="19"/>
        <v>0</v>
      </c>
      <c r="H230" s="88"/>
      <c r="I230" s="20"/>
      <c r="J230" s="82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+ยกมา!G231</f>
        <v>0</v>
      </c>
      <c r="D231" s="87">
        <v>0</v>
      </c>
      <c r="E231" s="47">
        <f t="shared" si="17"/>
        <v>0</v>
      </c>
      <c r="F231" s="87">
        <v>0</v>
      </c>
      <c r="G231" s="47">
        <f t="shared" si="19"/>
        <v>0</v>
      </c>
      <c r="H231" s="88"/>
      <c r="I231" s="20"/>
      <c r="J231" s="82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+ยกมา!G232</f>
        <v>0</v>
      </c>
      <c r="D232" s="87">
        <v>0</v>
      </c>
      <c r="E232" s="47">
        <f t="shared" si="17"/>
        <v>0</v>
      </c>
      <c r="F232" s="87">
        <v>0</v>
      </c>
      <c r="G232" s="47">
        <f t="shared" si="19"/>
        <v>0</v>
      </c>
      <c r="H232" s="88"/>
      <c r="I232" s="20"/>
      <c r="J232" s="82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+ยกมา!G233</f>
        <v>0</v>
      </c>
      <c r="D233" s="87">
        <v>0</v>
      </c>
      <c r="E233" s="47">
        <f t="shared" si="17"/>
        <v>0</v>
      </c>
      <c r="F233" s="87">
        <v>0</v>
      </c>
      <c r="G233" s="47">
        <f t="shared" si="19"/>
        <v>0</v>
      </c>
      <c r="H233" s="88"/>
      <c r="I233" s="20"/>
      <c r="J233" s="82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+ยกมา!G234</f>
        <v>0</v>
      </c>
      <c r="D234" s="87">
        <v>0</v>
      </c>
      <c r="E234" s="47">
        <f t="shared" si="17"/>
        <v>0</v>
      </c>
      <c r="F234" s="87">
        <v>0</v>
      </c>
      <c r="G234" s="47">
        <f t="shared" si="19"/>
        <v>0</v>
      </c>
      <c r="H234" s="88"/>
      <c r="I234" s="20"/>
      <c r="J234" s="82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+ยกมา!G235</f>
        <v>0</v>
      </c>
      <c r="D235" s="87">
        <v>0</v>
      </c>
      <c r="E235" s="47">
        <f t="shared" si="17"/>
        <v>0</v>
      </c>
      <c r="F235" s="87">
        <v>0</v>
      </c>
      <c r="G235" s="47">
        <f t="shared" si="19"/>
        <v>0</v>
      </c>
      <c r="H235" s="88"/>
      <c r="I235" s="20"/>
      <c r="J235" s="82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+ยกมา!G236</f>
        <v>0</v>
      </c>
      <c r="D236" s="87">
        <v>0</v>
      </c>
      <c r="E236" s="47">
        <f t="shared" si="17"/>
        <v>0</v>
      </c>
      <c r="F236" s="87">
        <v>0</v>
      </c>
      <c r="G236" s="47">
        <f t="shared" si="19"/>
        <v>0</v>
      </c>
      <c r="H236" s="88"/>
      <c r="I236" s="20"/>
      <c r="J236" s="82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+ยกมา!G237</f>
        <v>0</v>
      </c>
      <c r="D237" s="87">
        <v>0</v>
      </c>
      <c r="E237" s="47">
        <f t="shared" si="17"/>
        <v>0</v>
      </c>
      <c r="F237" s="87">
        <v>0</v>
      </c>
      <c r="G237" s="47">
        <f t="shared" si="19"/>
        <v>0</v>
      </c>
      <c r="H237" s="88"/>
      <c r="I237" s="20"/>
      <c r="J237" s="82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+ยกมา!G238</f>
        <v>0</v>
      </c>
      <c r="D238" s="87">
        <v>0</v>
      </c>
      <c r="E238" s="47">
        <f t="shared" si="17"/>
        <v>0</v>
      </c>
      <c r="F238" s="87">
        <v>0</v>
      </c>
      <c r="G238" s="47">
        <f t="shared" si="19"/>
        <v>0</v>
      </c>
      <c r="H238" s="88"/>
      <c r="I238" s="20"/>
      <c r="J238" s="82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+ยกมา!G239</f>
        <v>0</v>
      </c>
      <c r="D239" s="87">
        <v>0</v>
      </c>
      <c r="E239" s="47">
        <f t="shared" si="17"/>
        <v>0</v>
      </c>
      <c r="F239" s="87">
        <v>0</v>
      </c>
      <c r="G239" s="47">
        <f t="shared" si="19"/>
        <v>0</v>
      </c>
      <c r="H239" s="88"/>
      <c r="I239" s="20"/>
      <c r="J239" s="82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+ยกมา!G240</f>
        <v>0</v>
      </c>
      <c r="D240" s="87">
        <v>0</v>
      </c>
      <c r="E240" s="47">
        <f t="shared" si="17"/>
        <v>0</v>
      </c>
      <c r="F240" s="87">
        <v>0</v>
      </c>
      <c r="G240" s="47">
        <f t="shared" si="19"/>
        <v>0</v>
      </c>
      <c r="H240" s="88"/>
      <c r="I240" s="20"/>
      <c r="J240" s="82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+ยกมา!G241</f>
        <v>0</v>
      </c>
      <c r="D241" s="87">
        <v>0</v>
      </c>
      <c r="E241" s="47">
        <f t="shared" si="17"/>
        <v>0</v>
      </c>
      <c r="F241" s="87">
        <v>0</v>
      </c>
      <c r="G241" s="47">
        <f t="shared" si="19"/>
        <v>0</v>
      </c>
      <c r="H241" s="88"/>
      <c r="I241" s="20"/>
      <c r="J241" s="82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+ยกมา!G242</f>
        <v>0</v>
      </c>
      <c r="D242" s="87">
        <v>0</v>
      </c>
      <c r="E242" s="47">
        <f t="shared" si="17"/>
        <v>0</v>
      </c>
      <c r="F242" s="87">
        <v>0</v>
      </c>
      <c r="G242" s="47">
        <f t="shared" si="19"/>
        <v>0</v>
      </c>
      <c r="H242" s="88"/>
      <c r="I242" s="20"/>
      <c r="J242" s="82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+ยกมา!G243</f>
        <v>0</v>
      </c>
      <c r="D243" s="87">
        <v>0</v>
      </c>
      <c r="E243" s="47">
        <f t="shared" si="17"/>
        <v>0</v>
      </c>
      <c r="F243" s="87">
        <v>0</v>
      </c>
      <c r="G243" s="47">
        <f t="shared" si="19"/>
        <v>0</v>
      </c>
      <c r="H243" s="88"/>
      <c r="I243" s="20"/>
      <c r="J243" s="82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+ยกมา!G244</f>
        <v>0</v>
      </c>
      <c r="D244" s="87">
        <v>0</v>
      </c>
      <c r="E244" s="47">
        <f t="shared" si="17"/>
        <v>0</v>
      </c>
      <c r="F244" s="87">
        <v>0</v>
      </c>
      <c r="G244" s="47">
        <f t="shared" si="19"/>
        <v>0</v>
      </c>
      <c r="H244" s="88"/>
      <c r="I244" s="20"/>
      <c r="J244" s="82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+ยกมา!G245</f>
        <v>0</v>
      </c>
      <c r="D245" s="87">
        <v>0</v>
      </c>
      <c r="E245" s="47">
        <f t="shared" si="17"/>
        <v>0</v>
      </c>
      <c r="F245" s="87">
        <v>0</v>
      </c>
      <c r="G245" s="47">
        <f t="shared" si="19"/>
        <v>0</v>
      </c>
      <c r="H245" s="88"/>
      <c r="I245" s="20"/>
      <c r="J245" s="82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+ยกมา!G246</f>
        <v>0</v>
      </c>
      <c r="D246" s="87">
        <v>0</v>
      </c>
      <c r="E246" s="47">
        <f t="shared" si="17"/>
        <v>0</v>
      </c>
      <c r="F246" s="87">
        <v>0</v>
      </c>
      <c r="G246" s="47">
        <f t="shared" si="19"/>
        <v>0</v>
      </c>
      <c r="H246" s="88"/>
      <c r="I246" s="20"/>
      <c r="J246" s="82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+ยกมา!G247</f>
        <v>0</v>
      </c>
      <c r="D247" s="87">
        <v>0</v>
      </c>
      <c r="E247" s="47">
        <f t="shared" si="17"/>
        <v>0</v>
      </c>
      <c r="F247" s="87">
        <v>0</v>
      </c>
      <c r="G247" s="47">
        <f t="shared" si="19"/>
        <v>0</v>
      </c>
      <c r="H247" s="88"/>
      <c r="I247" s="20"/>
      <c r="J247" s="82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+ยกมา!G248</f>
        <v>0</v>
      </c>
      <c r="D248" s="87">
        <v>0</v>
      </c>
      <c r="E248" s="47">
        <f t="shared" si="17"/>
        <v>0</v>
      </c>
      <c r="F248" s="87">
        <v>0</v>
      </c>
      <c r="G248" s="47">
        <f t="shared" si="19"/>
        <v>0</v>
      </c>
      <c r="H248" s="88"/>
      <c r="I248" s="20"/>
      <c r="J248" s="82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+ยกมา!G249</f>
        <v>0</v>
      </c>
      <c r="D249" s="87">
        <v>0</v>
      </c>
      <c r="E249" s="47">
        <f t="shared" si="17"/>
        <v>0</v>
      </c>
      <c r="F249" s="87">
        <v>0</v>
      </c>
      <c r="G249" s="47">
        <f t="shared" si="19"/>
        <v>0</v>
      </c>
      <c r="H249" s="88"/>
      <c r="I249" s="20"/>
      <c r="J249" s="82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+ยกมา!G250</f>
        <v>0</v>
      </c>
      <c r="D250" s="87">
        <v>0</v>
      </c>
      <c r="E250" s="47">
        <f t="shared" si="17"/>
        <v>0</v>
      </c>
      <c r="F250" s="87">
        <v>0</v>
      </c>
      <c r="G250" s="47">
        <f t="shared" si="19"/>
        <v>0</v>
      </c>
      <c r="H250" s="88"/>
      <c r="I250" s="20"/>
      <c r="J250" s="82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+ยกมา!G251</f>
        <v>0</v>
      </c>
      <c r="D251" s="87">
        <v>0</v>
      </c>
      <c r="E251" s="47">
        <f t="shared" si="17"/>
        <v>0</v>
      </c>
      <c r="F251" s="87">
        <v>0</v>
      </c>
      <c r="G251" s="47">
        <f t="shared" si="19"/>
        <v>0</v>
      </c>
      <c r="H251" s="88"/>
      <c r="I251" s="20"/>
      <c r="J251" s="82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+ยกมา!G252</f>
        <v>0</v>
      </c>
      <c r="D252" s="87">
        <v>0</v>
      </c>
      <c r="E252" s="47">
        <f t="shared" si="17"/>
        <v>0</v>
      </c>
      <c r="F252" s="87">
        <v>0</v>
      </c>
      <c r="G252" s="47">
        <f t="shared" si="19"/>
        <v>0</v>
      </c>
      <c r="H252" s="88"/>
      <c r="I252" s="20"/>
      <c r="J252" s="82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+ยกมา!G253</f>
        <v>0</v>
      </c>
      <c r="D253" s="87">
        <v>0</v>
      </c>
      <c r="E253" s="47">
        <f t="shared" ref="E253:E254" si="21">C253+D253</f>
        <v>0</v>
      </c>
      <c r="F253" s="87">
        <v>0</v>
      </c>
      <c r="G253" s="47">
        <f t="shared" si="19"/>
        <v>0</v>
      </c>
      <c r="H253" s="88"/>
      <c r="I253" s="20"/>
      <c r="J253" s="82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+ยกมา!G254</f>
        <v>0</v>
      </c>
      <c r="D254" s="87">
        <v>0</v>
      </c>
      <c r="E254" s="47">
        <f t="shared" si="21"/>
        <v>0</v>
      </c>
      <c r="F254" s="87">
        <v>0</v>
      </c>
      <c r="G254" s="47">
        <f t="shared" si="19"/>
        <v>0</v>
      </c>
      <c r="H254" s="88"/>
      <c r="I254" s="20"/>
      <c r="J254" s="82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1770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3" t="s">
        <v>213</v>
      </c>
      <c r="N255" s="143"/>
    </row>
    <row r="256" spans="1:14" ht="25.5" customHeight="1" x14ac:dyDescent="0.5">
      <c r="A256" s="1"/>
      <c r="E256" s="24"/>
      <c r="F256" s="25"/>
      <c r="G256" s="24"/>
      <c r="H256" s="148" t="s">
        <v>212</v>
      </c>
      <c r="I256" s="149"/>
      <c r="J256" s="30">
        <f>+X32</f>
        <v>0</v>
      </c>
      <c r="K256" s="27"/>
      <c r="L256" s="29"/>
    </row>
    <row r="257" spans="1:14" ht="25.5" x14ac:dyDescent="0.55000000000000004">
      <c r="A257" s="1"/>
      <c r="E257" s="31"/>
      <c r="G257" s="31"/>
      <c r="H257" s="32"/>
      <c r="I257" s="150" t="s">
        <v>202</v>
      </c>
      <c r="J257" s="150"/>
      <c r="K257" s="33">
        <f>SUM(J5:J256)</f>
        <v>2030</v>
      </c>
    </row>
    <row r="258" spans="1:14" ht="25.5" x14ac:dyDescent="0.55000000000000004">
      <c r="A258" s="1"/>
      <c r="E258" s="31"/>
      <c r="G258" s="31"/>
      <c r="I258" s="140" t="s">
        <v>203</v>
      </c>
      <c r="J258" s="141"/>
      <c r="K258" s="36">
        <v>15</v>
      </c>
    </row>
    <row r="259" spans="1:14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250</v>
      </c>
      <c r="L259" s="2">
        <v>20</v>
      </c>
      <c r="M259" s="2">
        <v>170</v>
      </c>
      <c r="N259" s="2">
        <v>60</v>
      </c>
    </row>
    <row r="260" spans="1:14" ht="25.5" x14ac:dyDescent="0.55000000000000004">
      <c r="A260" s="1"/>
      <c r="E260" s="31"/>
      <c r="G260" s="31"/>
      <c r="I260" s="140" t="s">
        <v>205</v>
      </c>
      <c r="J260" s="141"/>
      <c r="K260" s="36">
        <v>0</v>
      </c>
    </row>
    <row r="261" spans="1:14" ht="25.5" x14ac:dyDescent="0.55000000000000004">
      <c r="A261" s="1"/>
      <c r="E261" s="31"/>
      <c r="G261" s="31"/>
      <c r="I261" s="140" t="s">
        <v>206</v>
      </c>
      <c r="J261" s="141"/>
      <c r="K261" s="36">
        <v>69</v>
      </c>
      <c r="L261" s="2" t="s">
        <v>290</v>
      </c>
    </row>
    <row r="262" spans="1:14" ht="25.5" x14ac:dyDescent="0.55000000000000004">
      <c r="A262" s="1"/>
      <c r="E262" s="31"/>
      <c r="G262" s="31"/>
      <c r="I262" s="140" t="s">
        <v>207</v>
      </c>
      <c r="J262" s="141"/>
      <c r="K262" s="37">
        <f>SUM(L5:L255)</f>
        <v>260</v>
      </c>
    </row>
    <row r="263" spans="1:14" ht="25.5" x14ac:dyDescent="0.55000000000000004">
      <c r="A263" s="1"/>
      <c r="E263" s="31"/>
      <c r="G263" s="31"/>
      <c r="I263" s="140" t="s">
        <v>208</v>
      </c>
      <c r="J263" s="141"/>
      <c r="K263" s="33">
        <f>K257-K258-K259-K261-K262</f>
        <v>1436</v>
      </c>
    </row>
    <row r="264" spans="1:14" ht="25.5" x14ac:dyDescent="0.55000000000000004">
      <c r="A264" s="1"/>
      <c r="E264" s="31"/>
      <c r="G264" s="31"/>
      <c r="I264" s="140" t="s">
        <v>209</v>
      </c>
      <c r="J264" s="141"/>
      <c r="K264" s="37">
        <v>1456</v>
      </c>
    </row>
    <row r="265" spans="1:14" ht="25.5" x14ac:dyDescent="0.55000000000000004">
      <c r="A265" s="1"/>
      <c r="E265" s="31"/>
      <c r="G265" s="31"/>
      <c r="I265" s="140" t="s">
        <v>210</v>
      </c>
      <c r="J265" s="141"/>
      <c r="K265" s="33">
        <f>+K264-K263</f>
        <v>20</v>
      </c>
    </row>
    <row r="266" spans="1:14" ht="25.5" x14ac:dyDescent="0.55000000000000004">
      <c r="G266" s="2"/>
      <c r="I266" s="140" t="s">
        <v>211</v>
      </c>
      <c r="J266" s="141"/>
      <c r="K266" s="33">
        <f>+K264-K263</f>
        <v>20</v>
      </c>
    </row>
    <row r="267" spans="1:14" x14ac:dyDescent="0.5">
      <c r="G267" s="2"/>
      <c r="I267" s="2"/>
    </row>
    <row r="268" spans="1:14" ht="25.5" x14ac:dyDescent="0.55000000000000004">
      <c r="G268" s="2"/>
      <c r="I268" s="105" t="s">
        <v>312</v>
      </c>
    </row>
    <row r="269" spans="1:14" x14ac:dyDescent="0.5">
      <c r="G269" s="2"/>
      <c r="I269" s="2"/>
    </row>
    <row r="270" spans="1:14" x14ac:dyDescent="0.5">
      <c r="G270" s="2"/>
      <c r="I270" s="2"/>
    </row>
    <row r="271" spans="1:14" x14ac:dyDescent="0.5">
      <c r="G271" s="2"/>
      <c r="I271" s="2"/>
    </row>
    <row r="272" spans="1:14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P32:W32"/>
    <mergeCell ref="R3:R4"/>
    <mergeCell ref="S3:S4"/>
    <mergeCell ref="I263:J263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DC23-92C8-4AF4-8B0C-22EB4B54650B}">
  <sheetPr>
    <tabColor theme="7" tint="-0.249977111117893"/>
  </sheetPr>
  <dimension ref="A1:AB341"/>
  <sheetViews>
    <sheetView zoomScaleNormal="100" workbookViewId="0">
      <pane xSplit="7" ySplit="4" topLeftCell="H168" activePane="bottomRight" state="frozen"/>
      <selection activeCell="B20" sqref="B20"/>
      <selection pane="topRight" activeCell="B20" sqref="B20"/>
      <selection pane="bottomLeft" activeCell="B20" sqref="B20"/>
      <selection pane="bottomRight" activeCell="B20" sqref="B20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8" x14ac:dyDescent="0.5">
      <c r="A1" s="1"/>
      <c r="G1" s="2"/>
      <c r="I1" s="2"/>
    </row>
    <row r="2" spans="1:28" s="3" customFormat="1" ht="29.25" x14ac:dyDescent="0.6">
      <c r="A2" s="137" t="s">
        <v>247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8" s="5" customFormat="1" ht="26.25" x14ac:dyDescent="0.55000000000000004">
      <c r="A3" s="139" t="s">
        <v>1</v>
      </c>
      <c r="B3" s="151" t="s">
        <v>2</v>
      </c>
      <c r="C3" s="139" t="s">
        <v>3</v>
      </c>
      <c r="D3" s="139" t="s">
        <v>4</v>
      </c>
      <c r="E3" s="139" t="s">
        <v>5</v>
      </c>
      <c r="F3" s="85" t="s">
        <v>6</v>
      </c>
      <c r="G3" s="139" t="s">
        <v>7</v>
      </c>
      <c r="H3" s="142" t="s">
        <v>8</v>
      </c>
      <c r="I3" s="142"/>
      <c r="J3" s="142"/>
      <c r="K3" s="139" t="s">
        <v>9</v>
      </c>
      <c r="L3" s="144" t="s">
        <v>10</v>
      </c>
      <c r="O3" s="139" t="s">
        <v>1</v>
      </c>
      <c r="P3" s="139" t="s">
        <v>2</v>
      </c>
      <c r="Q3" s="139" t="s">
        <v>3</v>
      </c>
      <c r="R3" s="139" t="s">
        <v>4</v>
      </c>
      <c r="S3" s="139" t="s">
        <v>5</v>
      </c>
      <c r="T3" s="85" t="s">
        <v>6</v>
      </c>
      <c r="U3" s="139" t="s">
        <v>7</v>
      </c>
      <c r="V3" s="142" t="s">
        <v>8</v>
      </c>
      <c r="W3" s="142"/>
      <c r="X3" s="142"/>
      <c r="Y3" s="139" t="s">
        <v>9</v>
      </c>
      <c r="Z3" s="144" t="s">
        <v>10</v>
      </c>
    </row>
    <row r="4" spans="1:28" s="5" customFormat="1" ht="26.25" x14ac:dyDescent="0.55000000000000004">
      <c r="A4" s="139"/>
      <c r="B4" s="151"/>
      <c r="C4" s="139"/>
      <c r="D4" s="139"/>
      <c r="E4" s="139"/>
      <c r="F4" s="85" t="s">
        <v>11</v>
      </c>
      <c r="G4" s="139"/>
      <c r="H4" s="85" t="s">
        <v>12</v>
      </c>
      <c r="I4" s="86" t="s">
        <v>13</v>
      </c>
      <c r="J4" s="85" t="s">
        <v>14</v>
      </c>
      <c r="K4" s="139"/>
      <c r="L4" s="144"/>
      <c r="O4" s="139"/>
      <c r="P4" s="139"/>
      <c r="Q4" s="139"/>
      <c r="R4" s="139"/>
      <c r="S4" s="139"/>
      <c r="T4" s="85" t="s">
        <v>11</v>
      </c>
      <c r="U4" s="139"/>
      <c r="V4" s="85" t="s">
        <v>12</v>
      </c>
      <c r="W4" s="86" t="s">
        <v>13</v>
      </c>
      <c r="X4" s="85" t="s">
        <v>14</v>
      </c>
      <c r="Y4" s="139"/>
      <c r="Z4" s="144"/>
      <c r="AB4" s="5" t="s">
        <v>2</v>
      </c>
    </row>
    <row r="5" spans="1:28" ht="25.5" x14ac:dyDescent="0.55000000000000004">
      <c r="A5" s="10">
        <v>1</v>
      </c>
      <c r="B5" s="19" t="s">
        <v>15</v>
      </c>
      <c r="C5" s="79">
        <f>+'1'!G5</f>
        <v>26</v>
      </c>
      <c r="D5" s="87">
        <v>0</v>
      </c>
      <c r="E5" s="47">
        <f t="shared" ref="E5:E125" si="0">C5+D5</f>
        <v>26</v>
      </c>
      <c r="F5" s="87">
        <v>0</v>
      </c>
      <c r="G5" s="47">
        <f>+E5-F5-H5</f>
        <v>25</v>
      </c>
      <c r="H5" s="88">
        <v>1</v>
      </c>
      <c r="I5" s="15">
        <v>50</v>
      </c>
      <c r="J5" s="82">
        <f>+I5*H5</f>
        <v>50</v>
      </c>
      <c r="K5" s="17" t="s">
        <v>16</v>
      </c>
      <c r="L5" s="18">
        <v>50</v>
      </c>
      <c r="M5" s="23">
        <f>SUM(J5-L5)</f>
        <v>0</v>
      </c>
      <c r="O5" s="10">
        <v>1</v>
      </c>
      <c r="P5" s="19"/>
      <c r="Q5" s="47">
        <v>0</v>
      </c>
      <c r="R5" s="87">
        <v>0</v>
      </c>
      <c r="S5" s="47">
        <f t="shared" ref="S5:S14" si="1">Q5+R5</f>
        <v>0</v>
      </c>
      <c r="T5" s="87">
        <v>0</v>
      </c>
      <c r="U5" s="47">
        <f t="shared" ref="U5:U14" si="2">S5-T5-V5</f>
        <v>0</v>
      </c>
      <c r="V5" s="88">
        <v>0</v>
      </c>
      <c r="W5" s="22"/>
      <c r="X5" s="44">
        <f t="shared" ref="X5:X14" si="3">V5*W5</f>
        <v>0</v>
      </c>
      <c r="Y5" s="17" t="s">
        <v>16</v>
      </c>
      <c r="Z5" s="18">
        <v>0</v>
      </c>
      <c r="AB5" s="2" t="s">
        <v>317</v>
      </c>
    </row>
    <row r="6" spans="1:28" ht="25.5" x14ac:dyDescent="0.55000000000000004">
      <c r="A6" s="10">
        <v>2</v>
      </c>
      <c r="B6" s="19" t="s">
        <v>17</v>
      </c>
      <c r="C6" s="79">
        <f>+'1'!G6</f>
        <v>19</v>
      </c>
      <c r="D6" s="87">
        <v>0</v>
      </c>
      <c r="E6" s="47">
        <f t="shared" si="0"/>
        <v>19</v>
      </c>
      <c r="F6" s="87">
        <v>0</v>
      </c>
      <c r="G6" s="47">
        <f t="shared" ref="G6:G100" si="4">+E6-F6-H6</f>
        <v>16</v>
      </c>
      <c r="H6" s="88">
        <v>3</v>
      </c>
      <c r="I6" s="15">
        <v>100</v>
      </c>
      <c r="J6" s="82">
        <f t="shared" ref="J6:J100" si="5">+I6*H6</f>
        <v>300</v>
      </c>
      <c r="K6" s="17" t="s">
        <v>16</v>
      </c>
      <c r="L6" s="18">
        <v>0</v>
      </c>
      <c r="M6" s="23">
        <f t="shared" ref="M6:M69" si="6">SUM(J6-L6)</f>
        <v>300</v>
      </c>
      <c r="O6" s="10">
        <v>2</v>
      </c>
      <c r="P6" s="19"/>
      <c r="Q6" s="47">
        <v>0</v>
      </c>
      <c r="R6" s="87">
        <v>0</v>
      </c>
      <c r="S6" s="47">
        <f t="shared" si="1"/>
        <v>0</v>
      </c>
      <c r="T6" s="87">
        <v>0</v>
      </c>
      <c r="U6" s="47">
        <f t="shared" si="2"/>
        <v>0</v>
      </c>
      <c r="V6" s="88">
        <v>0</v>
      </c>
      <c r="W6" s="22"/>
      <c r="X6" s="44">
        <f t="shared" si="3"/>
        <v>0</v>
      </c>
      <c r="Y6" s="17" t="s">
        <v>16</v>
      </c>
      <c r="Z6" s="18">
        <v>0</v>
      </c>
      <c r="AB6" s="2" t="s">
        <v>318</v>
      </c>
    </row>
    <row r="7" spans="1:28" ht="25.5" x14ac:dyDescent="0.55000000000000004">
      <c r="A7" s="10">
        <v>3</v>
      </c>
      <c r="B7" s="19" t="s">
        <v>18</v>
      </c>
      <c r="C7" s="79">
        <f>+'1'!G7</f>
        <v>0</v>
      </c>
      <c r="D7" s="87">
        <v>0</v>
      </c>
      <c r="E7" s="47">
        <f>C7+D7</f>
        <v>0</v>
      </c>
      <c r="F7" s="87">
        <v>0</v>
      </c>
      <c r="G7" s="47">
        <f t="shared" si="4"/>
        <v>0</v>
      </c>
      <c r="H7" s="88"/>
      <c r="I7" s="15">
        <v>50</v>
      </c>
      <c r="J7" s="8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7">
        <v>0</v>
      </c>
      <c r="S7" s="47">
        <f t="shared" si="1"/>
        <v>0</v>
      </c>
      <c r="T7" s="87">
        <v>0</v>
      </c>
      <c r="U7" s="47">
        <f t="shared" si="2"/>
        <v>0</v>
      </c>
      <c r="V7" s="88">
        <v>0</v>
      </c>
      <c r="W7" s="22"/>
      <c r="X7" s="44">
        <f t="shared" si="3"/>
        <v>0</v>
      </c>
      <c r="Y7" s="17" t="s">
        <v>16</v>
      </c>
      <c r="Z7" s="18">
        <v>0</v>
      </c>
      <c r="AB7" s="2" t="s">
        <v>319</v>
      </c>
    </row>
    <row r="8" spans="1:28" ht="25.5" x14ac:dyDescent="0.55000000000000004">
      <c r="A8" s="10">
        <v>4</v>
      </c>
      <c r="B8" s="19" t="s">
        <v>19</v>
      </c>
      <c r="C8" s="79">
        <f>+'1'!G8</f>
        <v>0</v>
      </c>
      <c r="D8" s="87">
        <v>0</v>
      </c>
      <c r="E8" s="47">
        <f>C8+D8</f>
        <v>0</v>
      </c>
      <c r="F8" s="87">
        <v>0</v>
      </c>
      <c r="G8" s="47">
        <f t="shared" si="4"/>
        <v>0</v>
      </c>
      <c r="H8" s="88"/>
      <c r="I8" s="15">
        <v>100</v>
      </c>
      <c r="J8" s="8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7">
        <v>0</v>
      </c>
      <c r="S8" s="47">
        <f t="shared" si="1"/>
        <v>0</v>
      </c>
      <c r="T8" s="87">
        <v>0</v>
      </c>
      <c r="U8" s="47">
        <f t="shared" si="2"/>
        <v>0</v>
      </c>
      <c r="V8" s="88">
        <v>0</v>
      </c>
      <c r="W8" s="22"/>
      <c r="X8" s="44">
        <f t="shared" si="3"/>
        <v>0</v>
      </c>
      <c r="Y8" s="17" t="s">
        <v>16</v>
      </c>
      <c r="Z8" s="18">
        <v>0</v>
      </c>
      <c r="AB8" s="2" t="s">
        <v>320</v>
      </c>
    </row>
    <row r="9" spans="1:28" ht="25.5" x14ac:dyDescent="0.55000000000000004">
      <c r="A9" s="10">
        <v>5</v>
      </c>
      <c r="B9" s="19" t="s">
        <v>20</v>
      </c>
      <c r="C9" s="79">
        <f>+'1'!G9</f>
        <v>0</v>
      </c>
      <c r="D9" s="87">
        <v>0</v>
      </c>
      <c r="E9" s="47">
        <f>C9+D9</f>
        <v>0</v>
      </c>
      <c r="F9" s="87">
        <v>0</v>
      </c>
      <c r="G9" s="47">
        <f t="shared" si="4"/>
        <v>0</v>
      </c>
      <c r="H9" s="88"/>
      <c r="I9" s="15">
        <v>12</v>
      </c>
      <c r="J9" s="8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7">
        <v>0</v>
      </c>
      <c r="S9" s="47">
        <f t="shared" si="1"/>
        <v>0</v>
      </c>
      <c r="T9" s="87">
        <v>0</v>
      </c>
      <c r="U9" s="47">
        <f t="shared" si="2"/>
        <v>0</v>
      </c>
      <c r="V9" s="88">
        <v>0</v>
      </c>
      <c r="W9" s="22"/>
      <c r="X9" s="44">
        <f t="shared" si="3"/>
        <v>0</v>
      </c>
      <c r="Y9" s="17" t="s">
        <v>16</v>
      </c>
      <c r="Z9" s="18">
        <v>0</v>
      </c>
      <c r="AB9" s="2" t="s">
        <v>307</v>
      </c>
    </row>
    <row r="10" spans="1:28" ht="25.5" x14ac:dyDescent="0.55000000000000004">
      <c r="A10" s="10">
        <v>6</v>
      </c>
      <c r="B10" s="19" t="s">
        <v>21</v>
      </c>
      <c r="C10" s="79">
        <f>+'1'!G10</f>
        <v>0</v>
      </c>
      <c r="D10" s="87">
        <v>0</v>
      </c>
      <c r="E10" s="47">
        <f>C10+D10</f>
        <v>0</v>
      </c>
      <c r="F10" s="87">
        <v>0</v>
      </c>
      <c r="G10" s="47">
        <f t="shared" si="4"/>
        <v>0</v>
      </c>
      <c r="H10" s="88"/>
      <c r="I10" s="15">
        <v>15</v>
      </c>
      <c r="J10" s="8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7">
        <v>0</v>
      </c>
      <c r="S10" s="47">
        <f t="shared" si="1"/>
        <v>0</v>
      </c>
      <c r="T10" s="87">
        <v>0</v>
      </c>
      <c r="U10" s="47">
        <f t="shared" si="2"/>
        <v>0</v>
      </c>
      <c r="V10" s="88">
        <v>0</v>
      </c>
      <c r="W10" s="22"/>
      <c r="X10" s="44">
        <f t="shared" si="3"/>
        <v>0</v>
      </c>
      <c r="Y10" s="17" t="s">
        <v>16</v>
      </c>
      <c r="Z10" s="18">
        <v>0</v>
      </c>
      <c r="AB10" s="2" t="s">
        <v>311</v>
      </c>
    </row>
    <row r="11" spans="1:28" ht="25.5" x14ac:dyDescent="0.55000000000000004">
      <c r="A11" s="10">
        <v>7</v>
      </c>
      <c r="B11" s="19" t="s">
        <v>22</v>
      </c>
      <c r="C11" s="79">
        <f>+'1'!G11</f>
        <v>0</v>
      </c>
      <c r="D11" s="87">
        <v>0</v>
      </c>
      <c r="E11" s="47">
        <f t="shared" si="0"/>
        <v>0</v>
      </c>
      <c r="F11" s="87">
        <v>0</v>
      </c>
      <c r="G11" s="47">
        <f t="shared" si="4"/>
        <v>0</v>
      </c>
      <c r="H11" s="88"/>
      <c r="I11" s="15">
        <v>40</v>
      </c>
      <c r="J11" s="8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7">
        <v>0</v>
      </c>
      <c r="S11" s="47">
        <f t="shared" si="1"/>
        <v>0</v>
      </c>
      <c r="T11" s="87">
        <v>0</v>
      </c>
      <c r="U11" s="47">
        <f t="shared" si="2"/>
        <v>0</v>
      </c>
      <c r="V11" s="88">
        <v>0</v>
      </c>
      <c r="W11" s="22"/>
      <c r="X11" s="44">
        <f t="shared" si="3"/>
        <v>0</v>
      </c>
      <c r="Y11" s="17" t="s">
        <v>16</v>
      </c>
      <c r="Z11" s="18">
        <v>0</v>
      </c>
      <c r="AB11" s="2" t="s">
        <v>321</v>
      </c>
    </row>
    <row r="12" spans="1:28" ht="25.5" x14ac:dyDescent="0.55000000000000004">
      <c r="A12" s="10">
        <v>8</v>
      </c>
      <c r="B12" s="19" t="s">
        <v>23</v>
      </c>
      <c r="C12" s="79">
        <f>+'1'!G12</f>
        <v>0</v>
      </c>
      <c r="D12" s="87">
        <v>0</v>
      </c>
      <c r="E12" s="47">
        <f t="shared" si="0"/>
        <v>0</v>
      </c>
      <c r="F12" s="87">
        <v>0</v>
      </c>
      <c r="G12" s="47">
        <f t="shared" si="4"/>
        <v>0</v>
      </c>
      <c r="H12" s="88"/>
      <c r="I12" s="20">
        <v>50</v>
      </c>
      <c r="J12" s="8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7">
        <v>0</v>
      </c>
      <c r="S12" s="47">
        <f t="shared" si="1"/>
        <v>0</v>
      </c>
      <c r="T12" s="87">
        <v>0</v>
      </c>
      <c r="U12" s="47">
        <f t="shared" si="2"/>
        <v>0</v>
      </c>
      <c r="V12" s="88">
        <v>0</v>
      </c>
      <c r="W12" s="22"/>
      <c r="X12" s="44">
        <f t="shared" si="3"/>
        <v>0</v>
      </c>
      <c r="Y12" s="17" t="s">
        <v>16</v>
      </c>
      <c r="Z12" s="18">
        <v>0</v>
      </c>
      <c r="AB12" s="2" t="s">
        <v>289</v>
      </c>
    </row>
    <row r="13" spans="1:28" ht="25.5" x14ac:dyDescent="0.55000000000000004">
      <c r="A13" s="10">
        <v>9</v>
      </c>
      <c r="B13" s="19" t="s">
        <v>24</v>
      </c>
      <c r="C13" s="79">
        <f>+'1'!G13</f>
        <v>0</v>
      </c>
      <c r="D13" s="87">
        <v>0</v>
      </c>
      <c r="E13" s="47">
        <f>C13+D13</f>
        <v>0</v>
      </c>
      <c r="F13" s="87">
        <v>0</v>
      </c>
      <c r="G13" s="47">
        <f t="shared" si="4"/>
        <v>0</v>
      </c>
      <c r="H13" s="88"/>
      <c r="I13" s="20">
        <v>55</v>
      </c>
      <c r="J13" s="8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7">
        <v>0</v>
      </c>
      <c r="S13" s="47">
        <f t="shared" si="1"/>
        <v>0</v>
      </c>
      <c r="T13" s="87">
        <v>0</v>
      </c>
      <c r="U13" s="47">
        <f t="shared" si="2"/>
        <v>0</v>
      </c>
      <c r="V13" s="88">
        <v>0</v>
      </c>
      <c r="W13" s="22"/>
      <c r="X13" s="44">
        <f t="shared" si="3"/>
        <v>0</v>
      </c>
      <c r="Y13" s="17" t="s">
        <v>16</v>
      </c>
      <c r="Z13" s="18">
        <v>0</v>
      </c>
      <c r="AB13" s="2" t="s">
        <v>322</v>
      </c>
    </row>
    <row r="14" spans="1:28" ht="25.5" x14ac:dyDescent="0.55000000000000004">
      <c r="A14" s="10">
        <v>10</v>
      </c>
      <c r="B14" s="19" t="s">
        <v>25</v>
      </c>
      <c r="C14" s="79">
        <f>+'1'!G14</f>
        <v>5</v>
      </c>
      <c r="D14" s="87">
        <v>0</v>
      </c>
      <c r="E14" s="47">
        <f t="shared" si="0"/>
        <v>5</v>
      </c>
      <c r="F14" s="87">
        <v>0</v>
      </c>
      <c r="G14" s="47">
        <f t="shared" si="4"/>
        <v>4</v>
      </c>
      <c r="H14" s="88">
        <v>1</v>
      </c>
      <c r="I14" s="20">
        <v>65</v>
      </c>
      <c r="J14" s="82">
        <f t="shared" si="5"/>
        <v>65</v>
      </c>
      <c r="K14" s="17" t="s">
        <v>16</v>
      </c>
      <c r="L14" s="18">
        <v>0</v>
      </c>
      <c r="M14" s="23">
        <f t="shared" si="6"/>
        <v>65</v>
      </c>
      <c r="O14" s="10">
        <v>10</v>
      </c>
      <c r="P14" s="19"/>
      <c r="Q14" s="47">
        <v>0</v>
      </c>
      <c r="R14" s="87">
        <v>0</v>
      </c>
      <c r="S14" s="47">
        <f t="shared" si="1"/>
        <v>0</v>
      </c>
      <c r="T14" s="87">
        <v>0</v>
      </c>
      <c r="U14" s="47">
        <f t="shared" si="2"/>
        <v>0</v>
      </c>
      <c r="V14" s="88">
        <v>0</v>
      </c>
      <c r="W14" s="22"/>
      <c r="X14" s="44">
        <f t="shared" si="3"/>
        <v>0</v>
      </c>
      <c r="Y14" s="17" t="s">
        <v>16</v>
      </c>
      <c r="Z14" s="18">
        <v>0</v>
      </c>
      <c r="AB14" s="2" t="s">
        <v>306</v>
      </c>
    </row>
    <row r="15" spans="1:28" ht="25.5" x14ac:dyDescent="0.55000000000000004">
      <c r="A15" s="10">
        <v>11</v>
      </c>
      <c r="B15" s="19" t="s">
        <v>26</v>
      </c>
      <c r="C15" s="79">
        <f>+'1'!G15</f>
        <v>0</v>
      </c>
      <c r="D15" s="87">
        <v>0</v>
      </c>
      <c r="E15" s="47">
        <f t="shared" si="0"/>
        <v>0</v>
      </c>
      <c r="F15" s="87">
        <v>0</v>
      </c>
      <c r="G15" s="47">
        <f t="shared" si="4"/>
        <v>0</v>
      </c>
      <c r="H15" s="88"/>
      <c r="I15" s="20">
        <v>50</v>
      </c>
      <c r="J15" s="8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7">
        <v>0</v>
      </c>
      <c r="S15" s="47">
        <f t="shared" ref="S15:S29" si="7">Q15+R15</f>
        <v>0</v>
      </c>
      <c r="T15" s="87">
        <v>0</v>
      </c>
      <c r="U15" s="47">
        <f t="shared" ref="U15:U29" si="8">S15-T15-V15</f>
        <v>0</v>
      </c>
      <c r="V15" s="88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8" ht="25.5" x14ac:dyDescent="0.55000000000000004">
      <c r="A16" s="10">
        <v>12</v>
      </c>
      <c r="B16" s="19" t="s">
        <v>27</v>
      </c>
      <c r="C16" s="79">
        <f>+'1'!G16</f>
        <v>0</v>
      </c>
      <c r="D16" s="87">
        <v>0</v>
      </c>
      <c r="E16" s="47">
        <f t="shared" si="0"/>
        <v>0</v>
      </c>
      <c r="F16" s="87">
        <v>0</v>
      </c>
      <c r="G16" s="47">
        <f t="shared" si="4"/>
        <v>0</v>
      </c>
      <c r="H16" s="88"/>
      <c r="I16" s="15">
        <v>50</v>
      </c>
      <c r="J16" s="8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7">
        <v>0</v>
      </c>
      <c r="S16" s="47">
        <f t="shared" si="7"/>
        <v>0</v>
      </c>
      <c r="T16" s="87">
        <v>0</v>
      </c>
      <c r="U16" s="47">
        <f t="shared" si="8"/>
        <v>0</v>
      </c>
      <c r="V16" s="88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+'1'!G17</f>
        <v>0</v>
      </c>
      <c r="D17" s="87">
        <v>0</v>
      </c>
      <c r="E17" s="47">
        <f t="shared" si="0"/>
        <v>0</v>
      </c>
      <c r="F17" s="87">
        <v>0</v>
      </c>
      <c r="G17" s="47">
        <f t="shared" si="4"/>
        <v>0</v>
      </c>
      <c r="H17" s="88"/>
      <c r="I17" s="15">
        <v>50</v>
      </c>
      <c r="J17" s="8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7">
        <v>0</v>
      </c>
      <c r="S17" s="47">
        <f t="shared" si="7"/>
        <v>0</v>
      </c>
      <c r="T17" s="87">
        <v>0</v>
      </c>
      <c r="U17" s="47">
        <f t="shared" si="8"/>
        <v>0</v>
      </c>
      <c r="V17" s="88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+'1'!G18</f>
        <v>0</v>
      </c>
      <c r="D18" s="87">
        <v>0</v>
      </c>
      <c r="E18" s="47">
        <f t="shared" si="0"/>
        <v>0</v>
      </c>
      <c r="F18" s="87">
        <v>0</v>
      </c>
      <c r="G18" s="47">
        <f t="shared" si="4"/>
        <v>0</v>
      </c>
      <c r="H18" s="88"/>
      <c r="I18" s="20">
        <v>50</v>
      </c>
      <c r="J18" s="8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7">
        <v>0</v>
      </c>
      <c r="S18" s="47">
        <f t="shared" si="7"/>
        <v>0</v>
      </c>
      <c r="T18" s="87">
        <v>0</v>
      </c>
      <c r="U18" s="47">
        <f t="shared" si="8"/>
        <v>0</v>
      </c>
      <c r="V18" s="88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329</v>
      </c>
      <c r="C19" s="79">
        <f>+'1'!G19</f>
        <v>0</v>
      </c>
      <c r="D19" s="87">
        <v>0</v>
      </c>
      <c r="E19" s="47">
        <f t="shared" si="0"/>
        <v>0</v>
      </c>
      <c r="F19" s="87">
        <v>0</v>
      </c>
      <c r="G19" s="47">
        <f t="shared" si="4"/>
        <v>0</v>
      </c>
      <c r="H19" s="88"/>
      <c r="I19" s="15">
        <v>50</v>
      </c>
      <c r="J19" s="8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7">
        <v>0</v>
      </c>
      <c r="S19" s="47">
        <f t="shared" si="7"/>
        <v>0</v>
      </c>
      <c r="T19" s="87">
        <v>0</v>
      </c>
      <c r="U19" s="47">
        <f t="shared" si="8"/>
        <v>0</v>
      </c>
      <c r="V19" s="88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+'1'!G20</f>
        <v>0</v>
      </c>
      <c r="D20" s="87">
        <v>0</v>
      </c>
      <c r="E20" s="47">
        <f t="shared" si="0"/>
        <v>0</v>
      </c>
      <c r="F20" s="87">
        <v>0</v>
      </c>
      <c r="G20" s="47">
        <f t="shared" si="4"/>
        <v>0</v>
      </c>
      <c r="H20" s="88"/>
      <c r="I20" s="15">
        <v>50</v>
      </c>
      <c r="J20" s="8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7">
        <v>0</v>
      </c>
      <c r="S20" s="47">
        <f t="shared" si="7"/>
        <v>0</v>
      </c>
      <c r="T20" s="87">
        <v>0</v>
      </c>
      <c r="U20" s="47">
        <f t="shared" si="8"/>
        <v>0</v>
      </c>
      <c r="V20" s="88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+'1'!G21</f>
        <v>0</v>
      </c>
      <c r="D21" s="87">
        <v>0</v>
      </c>
      <c r="E21" s="47">
        <f t="shared" si="0"/>
        <v>0</v>
      </c>
      <c r="F21" s="87">
        <v>0</v>
      </c>
      <c r="G21" s="47">
        <f t="shared" si="4"/>
        <v>0</v>
      </c>
      <c r="H21" s="88"/>
      <c r="I21" s="15">
        <v>50</v>
      </c>
      <c r="J21" s="8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7">
        <v>0</v>
      </c>
      <c r="S21" s="47">
        <f t="shared" si="7"/>
        <v>0</v>
      </c>
      <c r="T21" s="87">
        <v>0</v>
      </c>
      <c r="U21" s="47">
        <f t="shared" si="8"/>
        <v>0</v>
      </c>
      <c r="V21" s="88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+'1'!G22</f>
        <v>5</v>
      </c>
      <c r="D22" s="87">
        <v>0</v>
      </c>
      <c r="E22" s="47">
        <f t="shared" si="0"/>
        <v>5</v>
      </c>
      <c r="F22" s="87">
        <v>0</v>
      </c>
      <c r="G22" s="47">
        <f t="shared" si="4"/>
        <v>5</v>
      </c>
      <c r="H22" s="88"/>
      <c r="I22" s="15">
        <v>85</v>
      </c>
      <c r="J22" s="8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7">
        <v>0</v>
      </c>
      <c r="S22" s="47">
        <f t="shared" si="7"/>
        <v>0</v>
      </c>
      <c r="T22" s="87">
        <v>0</v>
      </c>
      <c r="U22" s="47">
        <f t="shared" si="8"/>
        <v>0</v>
      </c>
      <c r="V22" s="88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+'1'!G23</f>
        <v>5</v>
      </c>
      <c r="D23" s="87">
        <v>0</v>
      </c>
      <c r="E23" s="47">
        <f t="shared" si="0"/>
        <v>5</v>
      </c>
      <c r="F23" s="87">
        <v>0</v>
      </c>
      <c r="G23" s="47">
        <f t="shared" si="4"/>
        <v>4</v>
      </c>
      <c r="H23" s="88">
        <v>1</v>
      </c>
      <c r="I23" s="15">
        <v>100</v>
      </c>
      <c r="J23" s="82">
        <f t="shared" si="5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9"/>
      <c r="Q23" s="47">
        <v>0</v>
      </c>
      <c r="R23" s="87">
        <v>0</v>
      </c>
      <c r="S23" s="47">
        <f t="shared" si="7"/>
        <v>0</v>
      </c>
      <c r="T23" s="87">
        <v>0</v>
      </c>
      <c r="U23" s="47">
        <f t="shared" si="8"/>
        <v>0</v>
      </c>
      <c r="V23" s="88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+'1'!G24</f>
        <v>10</v>
      </c>
      <c r="D24" s="87">
        <v>0</v>
      </c>
      <c r="E24" s="47">
        <f t="shared" si="0"/>
        <v>10</v>
      </c>
      <c r="F24" s="87">
        <v>0</v>
      </c>
      <c r="G24" s="47">
        <f t="shared" si="4"/>
        <v>10</v>
      </c>
      <c r="H24" s="88"/>
      <c r="I24" s="21">
        <v>100</v>
      </c>
      <c r="J24" s="8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7">
        <v>0</v>
      </c>
      <c r="S24" s="47">
        <f t="shared" si="7"/>
        <v>0</v>
      </c>
      <c r="T24" s="87">
        <v>0</v>
      </c>
      <c r="U24" s="47">
        <f t="shared" si="8"/>
        <v>0</v>
      </c>
      <c r="V24" s="88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+'1'!G25</f>
        <v>0</v>
      </c>
      <c r="D25" s="87">
        <v>0</v>
      </c>
      <c r="E25" s="47">
        <f t="shared" si="0"/>
        <v>0</v>
      </c>
      <c r="F25" s="87">
        <v>0</v>
      </c>
      <c r="G25" s="47">
        <f t="shared" si="4"/>
        <v>0</v>
      </c>
      <c r="H25" s="88"/>
      <c r="I25" s="21">
        <v>100</v>
      </c>
      <c r="J25" s="8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7">
        <v>0</v>
      </c>
      <c r="S25" s="47">
        <f t="shared" si="7"/>
        <v>0</v>
      </c>
      <c r="T25" s="87">
        <v>0</v>
      </c>
      <c r="U25" s="47">
        <f t="shared" si="8"/>
        <v>0</v>
      </c>
      <c r="V25" s="88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+'1'!G26</f>
        <v>4</v>
      </c>
      <c r="D26" s="87">
        <v>0</v>
      </c>
      <c r="E26" s="47">
        <f t="shared" si="0"/>
        <v>4</v>
      </c>
      <c r="F26" s="87">
        <v>0</v>
      </c>
      <c r="G26" s="47">
        <f t="shared" si="4"/>
        <v>4</v>
      </c>
      <c r="H26" s="88"/>
      <c r="I26" s="21">
        <v>100</v>
      </c>
      <c r="J26" s="8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7">
        <v>0</v>
      </c>
      <c r="S26" s="47">
        <f t="shared" si="7"/>
        <v>0</v>
      </c>
      <c r="T26" s="87">
        <v>0</v>
      </c>
      <c r="U26" s="47">
        <f t="shared" si="8"/>
        <v>0</v>
      </c>
      <c r="V26" s="88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+'1'!G27</f>
        <v>0</v>
      </c>
      <c r="D27" s="87">
        <v>0</v>
      </c>
      <c r="E27" s="47">
        <f t="shared" si="0"/>
        <v>0</v>
      </c>
      <c r="F27" s="87">
        <v>0</v>
      </c>
      <c r="G27" s="47">
        <f t="shared" si="4"/>
        <v>0</v>
      </c>
      <c r="H27" s="88"/>
      <c r="I27" s="20">
        <v>100</v>
      </c>
      <c r="J27" s="8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7">
        <v>0</v>
      </c>
      <c r="S27" s="47">
        <f t="shared" si="7"/>
        <v>0</v>
      </c>
      <c r="T27" s="87">
        <v>0</v>
      </c>
      <c r="U27" s="47">
        <f t="shared" si="8"/>
        <v>0</v>
      </c>
      <c r="V27" s="88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+'1'!G28</f>
        <v>0</v>
      </c>
      <c r="D28" s="87">
        <v>0</v>
      </c>
      <c r="E28" s="47">
        <f t="shared" si="0"/>
        <v>0</v>
      </c>
      <c r="F28" s="87">
        <v>0</v>
      </c>
      <c r="G28" s="47">
        <f t="shared" si="4"/>
        <v>0</v>
      </c>
      <c r="H28" s="88"/>
      <c r="I28" s="20">
        <v>100</v>
      </c>
      <c r="J28" s="8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7">
        <v>0</v>
      </c>
      <c r="S28" s="47">
        <f t="shared" si="7"/>
        <v>0</v>
      </c>
      <c r="T28" s="87">
        <v>0</v>
      </c>
      <c r="U28" s="47">
        <f t="shared" si="8"/>
        <v>0</v>
      </c>
      <c r="V28" s="88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+'1'!G29</f>
        <v>17</v>
      </c>
      <c r="D29" s="87">
        <v>0</v>
      </c>
      <c r="E29" s="47">
        <f t="shared" si="0"/>
        <v>17</v>
      </c>
      <c r="F29" s="87">
        <v>0</v>
      </c>
      <c r="G29" s="47">
        <f t="shared" si="4"/>
        <v>17</v>
      </c>
      <c r="H29" s="88"/>
      <c r="I29" s="15">
        <v>100</v>
      </c>
      <c r="J29" s="8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7">
        <v>0</v>
      </c>
      <c r="S29" s="47">
        <f t="shared" si="7"/>
        <v>0</v>
      </c>
      <c r="T29" s="87">
        <v>0</v>
      </c>
      <c r="U29" s="47">
        <f t="shared" si="8"/>
        <v>0</v>
      </c>
      <c r="V29" s="88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+'1'!G30</f>
        <v>0</v>
      </c>
      <c r="D30" s="87">
        <v>0</v>
      </c>
      <c r="E30" s="47">
        <f t="shared" si="0"/>
        <v>0</v>
      </c>
      <c r="F30" s="87">
        <v>0</v>
      </c>
      <c r="G30" s="47">
        <f t="shared" si="4"/>
        <v>0</v>
      </c>
      <c r="H30" s="88"/>
      <c r="I30" s="15">
        <v>100</v>
      </c>
      <c r="J30" s="8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+'1'!G31</f>
        <v>2</v>
      </c>
      <c r="D31" s="87">
        <v>0</v>
      </c>
      <c r="E31" s="47">
        <f t="shared" si="0"/>
        <v>2</v>
      </c>
      <c r="F31" s="87">
        <v>0</v>
      </c>
      <c r="G31" s="47">
        <f t="shared" si="4"/>
        <v>2</v>
      </c>
      <c r="H31" s="88"/>
      <c r="I31" s="15">
        <v>100</v>
      </c>
      <c r="J31" s="82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+'1'!G32</f>
        <v>0</v>
      </c>
      <c r="D32" s="87">
        <v>0</v>
      </c>
      <c r="E32" s="47">
        <f t="shared" si="0"/>
        <v>0</v>
      </c>
      <c r="F32" s="87">
        <v>0</v>
      </c>
      <c r="G32" s="47">
        <f t="shared" si="4"/>
        <v>0</v>
      </c>
      <c r="H32" s="88"/>
      <c r="I32" s="15">
        <v>130</v>
      </c>
      <c r="J32" s="82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5" t="s">
        <v>119</v>
      </c>
      <c r="Q32" s="146"/>
      <c r="R32" s="146"/>
      <c r="S32" s="146"/>
      <c r="T32" s="146"/>
      <c r="U32" s="146"/>
      <c r="V32" s="146"/>
      <c r="W32" s="147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+'1'!G33</f>
        <v>6</v>
      </c>
      <c r="D33" s="87">
        <v>0</v>
      </c>
      <c r="E33" s="47">
        <f t="shared" si="0"/>
        <v>6</v>
      </c>
      <c r="F33" s="87">
        <v>0</v>
      </c>
      <c r="G33" s="47">
        <f t="shared" si="4"/>
        <v>6</v>
      </c>
      <c r="H33" s="88"/>
      <c r="I33" s="15">
        <v>130</v>
      </c>
      <c r="J33" s="82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+'1'!G34</f>
        <v>5</v>
      </c>
      <c r="D34" s="87">
        <v>0</v>
      </c>
      <c r="E34" s="47">
        <f t="shared" si="0"/>
        <v>5</v>
      </c>
      <c r="F34" s="87">
        <v>0</v>
      </c>
      <c r="G34" s="47">
        <f t="shared" si="4"/>
        <v>5</v>
      </c>
      <c r="H34" s="88"/>
      <c r="I34" s="15">
        <v>130</v>
      </c>
      <c r="J34" s="82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+'1'!G35</f>
        <v>0</v>
      </c>
      <c r="D35" s="87">
        <v>0</v>
      </c>
      <c r="E35" s="47">
        <f t="shared" si="0"/>
        <v>0</v>
      </c>
      <c r="F35" s="87">
        <v>0</v>
      </c>
      <c r="G35" s="47">
        <f t="shared" si="4"/>
        <v>0</v>
      </c>
      <c r="H35" s="88"/>
      <c r="I35" s="15">
        <v>130</v>
      </c>
      <c r="J35" s="82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+'1'!G36</f>
        <v>0</v>
      </c>
      <c r="D36" s="87">
        <v>0</v>
      </c>
      <c r="E36" s="47">
        <f t="shared" si="0"/>
        <v>0</v>
      </c>
      <c r="F36" s="87">
        <v>0</v>
      </c>
      <c r="G36" s="47">
        <f t="shared" si="4"/>
        <v>0</v>
      </c>
      <c r="H36" s="88"/>
      <c r="I36" s="15">
        <v>100</v>
      </c>
      <c r="J36" s="82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+'1'!G37</f>
        <v>23</v>
      </c>
      <c r="D37" s="87">
        <v>0</v>
      </c>
      <c r="E37" s="47">
        <f t="shared" si="0"/>
        <v>23</v>
      </c>
      <c r="F37" s="87">
        <v>0</v>
      </c>
      <c r="G37" s="47">
        <f t="shared" si="4"/>
        <v>21</v>
      </c>
      <c r="H37" s="88">
        <v>2</v>
      </c>
      <c r="I37" s="15">
        <v>100</v>
      </c>
      <c r="J37" s="82">
        <f t="shared" si="5"/>
        <v>200</v>
      </c>
      <c r="K37" s="17" t="s">
        <v>16</v>
      </c>
      <c r="L37" s="18">
        <v>0</v>
      </c>
      <c r="M37" s="23">
        <f t="shared" si="6"/>
        <v>200</v>
      </c>
    </row>
    <row r="38" spans="1:13" ht="25.5" x14ac:dyDescent="0.55000000000000004">
      <c r="A38" s="10">
        <v>34</v>
      </c>
      <c r="B38" s="19" t="s">
        <v>49</v>
      </c>
      <c r="C38" s="79">
        <f>+'1'!G38</f>
        <v>5</v>
      </c>
      <c r="D38" s="87">
        <v>0</v>
      </c>
      <c r="E38" s="47">
        <f t="shared" si="0"/>
        <v>5</v>
      </c>
      <c r="F38" s="87">
        <v>0</v>
      </c>
      <c r="G38" s="47">
        <f t="shared" si="4"/>
        <v>5</v>
      </c>
      <c r="H38" s="88"/>
      <c r="I38" s="15">
        <v>50</v>
      </c>
      <c r="J38" s="82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+'1'!G39</f>
        <v>9</v>
      </c>
      <c r="D39" s="87">
        <v>0</v>
      </c>
      <c r="E39" s="47">
        <f t="shared" si="0"/>
        <v>9</v>
      </c>
      <c r="F39" s="87">
        <v>0</v>
      </c>
      <c r="G39" s="47">
        <f t="shared" si="4"/>
        <v>9</v>
      </c>
      <c r="H39" s="88"/>
      <c r="I39" s="15">
        <v>50</v>
      </c>
      <c r="J39" s="82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+'1'!G40</f>
        <v>9</v>
      </c>
      <c r="D40" s="87">
        <v>0</v>
      </c>
      <c r="E40" s="47">
        <f t="shared" si="0"/>
        <v>9</v>
      </c>
      <c r="F40" s="87">
        <v>0</v>
      </c>
      <c r="G40" s="47">
        <f t="shared" si="4"/>
        <v>9</v>
      </c>
      <c r="H40" s="88"/>
      <c r="I40" s="15">
        <v>50</v>
      </c>
      <c r="J40" s="82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+'1'!G41</f>
        <v>0</v>
      </c>
      <c r="D41" s="87">
        <v>0</v>
      </c>
      <c r="E41" s="47">
        <f t="shared" si="0"/>
        <v>0</v>
      </c>
      <c r="F41" s="87">
        <v>0</v>
      </c>
      <c r="G41" s="47">
        <f t="shared" si="4"/>
        <v>0</v>
      </c>
      <c r="H41" s="88"/>
      <c r="I41" s="15">
        <v>50</v>
      </c>
      <c r="J41" s="82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285</v>
      </c>
      <c r="C42" s="79">
        <f>+'1'!G42</f>
        <v>2</v>
      </c>
      <c r="D42" s="87">
        <v>0</v>
      </c>
      <c r="E42" s="47">
        <f t="shared" si="0"/>
        <v>2</v>
      </c>
      <c r="F42" s="87">
        <v>0</v>
      </c>
      <c r="G42" s="47">
        <f t="shared" si="4"/>
        <v>1</v>
      </c>
      <c r="H42" s="88">
        <v>1</v>
      </c>
      <c r="I42" s="15">
        <v>50</v>
      </c>
      <c r="J42" s="82">
        <f t="shared" si="5"/>
        <v>50</v>
      </c>
      <c r="K42" s="17" t="s">
        <v>16</v>
      </c>
      <c r="L42" s="18">
        <v>0</v>
      </c>
      <c r="M42" s="23">
        <f t="shared" si="6"/>
        <v>50</v>
      </c>
    </row>
    <row r="43" spans="1:13" ht="25.5" x14ac:dyDescent="0.55000000000000004">
      <c r="A43" s="10">
        <v>39</v>
      </c>
      <c r="B43" s="19" t="s">
        <v>54</v>
      </c>
      <c r="C43" s="79">
        <f>+'1'!G43</f>
        <v>0</v>
      </c>
      <c r="D43" s="87">
        <v>0</v>
      </c>
      <c r="E43" s="47">
        <f t="shared" si="0"/>
        <v>0</v>
      </c>
      <c r="F43" s="87">
        <v>0</v>
      </c>
      <c r="G43" s="47">
        <f t="shared" si="4"/>
        <v>0</v>
      </c>
      <c r="H43" s="88"/>
      <c r="I43" s="15">
        <v>50</v>
      </c>
      <c r="J43" s="82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+'1'!G44</f>
        <v>0</v>
      </c>
      <c r="D44" s="87">
        <v>0</v>
      </c>
      <c r="E44" s="47">
        <f t="shared" si="0"/>
        <v>0</v>
      </c>
      <c r="F44" s="87">
        <v>0</v>
      </c>
      <c r="G44" s="47">
        <f t="shared" si="4"/>
        <v>0</v>
      </c>
      <c r="H44" s="88"/>
      <c r="I44" s="15">
        <v>50</v>
      </c>
      <c r="J44" s="82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+'1'!G45</f>
        <v>0</v>
      </c>
      <c r="D45" s="87">
        <v>0</v>
      </c>
      <c r="E45" s="47">
        <f t="shared" si="0"/>
        <v>0</v>
      </c>
      <c r="F45" s="87">
        <v>0</v>
      </c>
      <c r="G45" s="47">
        <f t="shared" si="4"/>
        <v>0</v>
      </c>
      <c r="H45" s="88"/>
      <c r="I45" s="15">
        <v>50</v>
      </c>
      <c r="J45" s="82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286</v>
      </c>
      <c r="C46" s="79">
        <f>+'1'!G46</f>
        <v>2</v>
      </c>
      <c r="D46" s="87">
        <v>0</v>
      </c>
      <c r="E46" s="47">
        <f t="shared" si="0"/>
        <v>2</v>
      </c>
      <c r="F46" s="87">
        <v>0</v>
      </c>
      <c r="G46" s="47">
        <f t="shared" si="4"/>
        <v>2</v>
      </c>
      <c r="H46" s="88"/>
      <c r="I46" s="15">
        <v>50</v>
      </c>
      <c r="J46" s="82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+'1'!G47</f>
        <v>2</v>
      </c>
      <c r="D47" s="87">
        <v>0</v>
      </c>
      <c r="E47" s="47">
        <f t="shared" si="0"/>
        <v>2</v>
      </c>
      <c r="F47" s="87">
        <v>0</v>
      </c>
      <c r="G47" s="47">
        <f t="shared" si="4"/>
        <v>2</v>
      </c>
      <c r="H47" s="88"/>
      <c r="I47" s="15">
        <v>50</v>
      </c>
      <c r="J47" s="82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+'1'!G48</f>
        <v>2</v>
      </c>
      <c r="D48" s="87">
        <v>0</v>
      </c>
      <c r="E48" s="47">
        <f t="shared" si="0"/>
        <v>2</v>
      </c>
      <c r="F48" s="87">
        <v>0</v>
      </c>
      <c r="G48" s="47">
        <f t="shared" si="4"/>
        <v>2</v>
      </c>
      <c r="H48" s="88"/>
      <c r="I48" s="15">
        <v>50</v>
      </c>
      <c r="J48" s="82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+'1'!G49</f>
        <v>2</v>
      </c>
      <c r="D49" s="87">
        <v>0</v>
      </c>
      <c r="E49" s="47">
        <f t="shared" si="0"/>
        <v>2</v>
      </c>
      <c r="F49" s="87">
        <v>0</v>
      </c>
      <c r="G49" s="47">
        <f t="shared" si="4"/>
        <v>2</v>
      </c>
      <c r="H49" s="88"/>
      <c r="I49" s="15">
        <v>50</v>
      </c>
      <c r="J49" s="82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+'1'!G50</f>
        <v>2</v>
      </c>
      <c r="D50" s="87">
        <v>0</v>
      </c>
      <c r="E50" s="47">
        <f t="shared" si="0"/>
        <v>2</v>
      </c>
      <c r="F50" s="87">
        <v>0</v>
      </c>
      <c r="G50" s="47">
        <f t="shared" si="4"/>
        <v>2</v>
      </c>
      <c r="H50" s="88"/>
      <c r="I50" s="15">
        <v>120</v>
      </c>
      <c r="J50" s="82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+'1'!G51</f>
        <v>3</v>
      </c>
      <c r="D51" s="87">
        <v>0</v>
      </c>
      <c r="E51" s="47">
        <f t="shared" si="0"/>
        <v>3</v>
      </c>
      <c r="F51" s="87">
        <v>0</v>
      </c>
      <c r="G51" s="47">
        <f t="shared" si="4"/>
        <v>3</v>
      </c>
      <c r="H51" s="88"/>
      <c r="I51" s="15">
        <v>120</v>
      </c>
      <c r="J51" s="82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+'1'!G52</f>
        <v>3</v>
      </c>
      <c r="D52" s="87">
        <v>0</v>
      </c>
      <c r="E52" s="47">
        <f t="shared" si="0"/>
        <v>3</v>
      </c>
      <c r="F52" s="87">
        <v>0</v>
      </c>
      <c r="G52" s="47">
        <f t="shared" si="4"/>
        <v>3</v>
      </c>
      <c r="H52" s="88"/>
      <c r="I52" s="21">
        <v>120</v>
      </c>
      <c r="J52" s="82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+'1'!G53</f>
        <v>0</v>
      </c>
      <c r="D53" s="87">
        <v>0</v>
      </c>
      <c r="E53" s="47">
        <f t="shared" si="0"/>
        <v>0</v>
      </c>
      <c r="F53" s="87">
        <v>0</v>
      </c>
      <c r="G53" s="47">
        <f t="shared" si="4"/>
        <v>0</v>
      </c>
      <c r="H53" s="88"/>
      <c r="I53" s="15">
        <v>120</v>
      </c>
      <c r="J53" s="82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+'1'!G54</f>
        <v>0</v>
      </c>
      <c r="D54" s="87">
        <v>0</v>
      </c>
      <c r="E54" s="47">
        <f t="shared" si="0"/>
        <v>0</v>
      </c>
      <c r="F54" s="87">
        <v>0</v>
      </c>
      <c r="G54" s="47">
        <f t="shared" si="4"/>
        <v>0</v>
      </c>
      <c r="H54" s="88"/>
      <c r="I54" s="15">
        <v>120</v>
      </c>
      <c r="J54" s="82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+'1'!G55</f>
        <v>2</v>
      </c>
      <c r="D55" s="87">
        <v>0</v>
      </c>
      <c r="E55" s="47">
        <f t="shared" si="0"/>
        <v>2</v>
      </c>
      <c r="F55" s="87">
        <v>0</v>
      </c>
      <c r="G55" s="47">
        <f t="shared" si="4"/>
        <v>2</v>
      </c>
      <c r="H55" s="88"/>
      <c r="I55" s="21">
        <v>120</v>
      </c>
      <c r="J55" s="82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+'1'!G56</f>
        <v>1</v>
      </c>
      <c r="D56" s="87">
        <v>0</v>
      </c>
      <c r="E56" s="47">
        <f t="shared" si="0"/>
        <v>1</v>
      </c>
      <c r="F56" s="87">
        <v>0</v>
      </c>
      <c r="G56" s="47">
        <f t="shared" si="4"/>
        <v>1</v>
      </c>
      <c r="H56" s="88"/>
      <c r="I56" s="21">
        <v>120</v>
      </c>
      <c r="J56" s="82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+'1'!G57</f>
        <v>4</v>
      </c>
      <c r="D57" s="87">
        <v>0</v>
      </c>
      <c r="E57" s="47">
        <f t="shared" si="0"/>
        <v>4</v>
      </c>
      <c r="F57" s="87">
        <v>0</v>
      </c>
      <c r="G57" s="47">
        <f t="shared" si="4"/>
        <v>4</v>
      </c>
      <c r="H57" s="88"/>
      <c r="I57" s="21">
        <v>120</v>
      </c>
      <c r="J57" s="82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+'1'!G58</f>
        <v>0</v>
      </c>
      <c r="D58" s="87">
        <v>0</v>
      </c>
      <c r="E58" s="47">
        <f t="shared" si="0"/>
        <v>0</v>
      </c>
      <c r="F58" s="87">
        <v>0</v>
      </c>
      <c r="G58" s="47">
        <f t="shared" si="4"/>
        <v>0</v>
      </c>
      <c r="H58" s="88"/>
      <c r="I58" s="21">
        <v>120</v>
      </c>
      <c r="J58" s="82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+'1'!G59</f>
        <v>0</v>
      </c>
      <c r="D59" s="87">
        <v>0</v>
      </c>
      <c r="E59" s="47">
        <f t="shared" si="0"/>
        <v>0</v>
      </c>
      <c r="F59" s="87">
        <v>0</v>
      </c>
      <c r="G59" s="47">
        <f t="shared" si="4"/>
        <v>0</v>
      </c>
      <c r="H59" s="88"/>
      <c r="I59" s="15">
        <v>70</v>
      </c>
      <c r="J59" s="82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+'1'!G60</f>
        <v>0</v>
      </c>
      <c r="D60" s="87">
        <v>0</v>
      </c>
      <c r="E60" s="47">
        <f t="shared" si="0"/>
        <v>0</v>
      </c>
      <c r="F60" s="87">
        <v>0</v>
      </c>
      <c r="G60" s="47">
        <f t="shared" si="4"/>
        <v>0</v>
      </c>
      <c r="H60" s="88"/>
      <c r="I60" s="21">
        <v>80</v>
      </c>
      <c r="J60" s="82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+'1'!G61</f>
        <v>0</v>
      </c>
      <c r="D61" s="87">
        <v>0</v>
      </c>
      <c r="E61" s="47">
        <f t="shared" si="0"/>
        <v>0</v>
      </c>
      <c r="F61" s="87">
        <v>0</v>
      </c>
      <c r="G61" s="47">
        <f t="shared" si="4"/>
        <v>0</v>
      </c>
      <c r="H61" s="88"/>
      <c r="I61" s="15">
        <v>50</v>
      </c>
      <c r="J61" s="82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+'1'!G62</f>
        <v>2</v>
      </c>
      <c r="D62" s="87">
        <v>0</v>
      </c>
      <c r="E62" s="47">
        <f t="shared" si="0"/>
        <v>2</v>
      </c>
      <c r="F62" s="87">
        <v>0</v>
      </c>
      <c r="G62" s="47">
        <f t="shared" si="4"/>
        <v>2</v>
      </c>
      <c r="H62" s="88"/>
      <c r="I62" s="20">
        <v>50</v>
      </c>
      <c r="J62" s="82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+'1'!G63</f>
        <v>0</v>
      </c>
      <c r="D63" s="87">
        <v>0</v>
      </c>
      <c r="E63" s="47">
        <f t="shared" si="0"/>
        <v>0</v>
      </c>
      <c r="F63" s="87">
        <v>0</v>
      </c>
      <c r="G63" s="47">
        <f t="shared" si="4"/>
        <v>0</v>
      </c>
      <c r="H63" s="88"/>
      <c r="I63" s="20">
        <v>50</v>
      </c>
      <c r="J63" s="82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+'1'!G64</f>
        <v>0</v>
      </c>
      <c r="D64" s="87">
        <v>0</v>
      </c>
      <c r="E64" s="47">
        <f t="shared" si="0"/>
        <v>0</v>
      </c>
      <c r="F64" s="87">
        <v>0</v>
      </c>
      <c r="G64" s="47">
        <f t="shared" si="4"/>
        <v>0</v>
      </c>
      <c r="H64" s="88"/>
      <c r="I64" s="21">
        <v>30</v>
      </c>
      <c r="J64" s="82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+'1'!G65</f>
        <v>0</v>
      </c>
      <c r="D65" s="87">
        <v>0</v>
      </c>
      <c r="E65" s="47">
        <f t="shared" si="0"/>
        <v>0</v>
      </c>
      <c r="F65" s="87">
        <v>0</v>
      </c>
      <c r="G65" s="47">
        <f t="shared" si="4"/>
        <v>0</v>
      </c>
      <c r="H65" s="88"/>
      <c r="I65" s="21">
        <v>30</v>
      </c>
      <c r="J65" s="82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+'1'!G66</f>
        <v>8</v>
      </c>
      <c r="D66" s="87">
        <v>0</v>
      </c>
      <c r="E66" s="47">
        <f t="shared" si="0"/>
        <v>8</v>
      </c>
      <c r="F66" s="87">
        <v>0</v>
      </c>
      <c r="G66" s="47">
        <f t="shared" si="4"/>
        <v>8</v>
      </c>
      <c r="H66" s="88"/>
      <c r="I66" s="15">
        <v>50</v>
      </c>
      <c r="J66" s="82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+'1'!G67</f>
        <v>2</v>
      </c>
      <c r="D67" s="87">
        <v>0</v>
      </c>
      <c r="E67" s="47">
        <f t="shared" si="0"/>
        <v>2</v>
      </c>
      <c r="F67" s="87">
        <v>0</v>
      </c>
      <c r="G67" s="47">
        <f t="shared" si="4"/>
        <v>2</v>
      </c>
      <c r="H67" s="88"/>
      <c r="I67" s="15">
        <v>50</v>
      </c>
      <c r="J67" s="82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+'1'!G68</f>
        <v>0</v>
      </c>
      <c r="D68" s="87">
        <v>0</v>
      </c>
      <c r="E68" s="47">
        <f t="shared" si="0"/>
        <v>0</v>
      </c>
      <c r="F68" s="87">
        <v>0</v>
      </c>
      <c r="G68" s="47">
        <f t="shared" si="4"/>
        <v>0</v>
      </c>
      <c r="H68" s="88"/>
      <c r="I68" s="20">
        <v>35</v>
      </c>
      <c r="J68" s="82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+'1'!G69</f>
        <v>0</v>
      </c>
      <c r="D69" s="87">
        <v>0</v>
      </c>
      <c r="E69" s="47">
        <f t="shared" si="0"/>
        <v>0</v>
      </c>
      <c r="F69" s="87">
        <v>0</v>
      </c>
      <c r="G69" s="47">
        <f t="shared" si="4"/>
        <v>0</v>
      </c>
      <c r="H69" s="88"/>
      <c r="I69" s="20">
        <v>25</v>
      </c>
      <c r="J69" s="82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+'1'!G70</f>
        <v>7</v>
      </c>
      <c r="D70" s="87">
        <v>0</v>
      </c>
      <c r="E70" s="47">
        <f t="shared" si="0"/>
        <v>7</v>
      </c>
      <c r="F70" s="87">
        <v>0</v>
      </c>
      <c r="G70" s="47">
        <f t="shared" si="4"/>
        <v>6</v>
      </c>
      <c r="H70" s="88">
        <v>1</v>
      </c>
      <c r="I70" s="20">
        <v>50</v>
      </c>
      <c r="J70" s="82">
        <f t="shared" si="5"/>
        <v>50</v>
      </c>
      <c r="K70" s="17" t="s">
        <v>16</v>
      </c>
      <c r="L70" s="18">
        <v>0</v>
      </c>
      <c r="M70" s="23">
        <f t="shared" ref="M70:M134" si="10">SUM(J70-L70)</f>
        <v>50</v>
      </c>
    </row>
    <row r="71" spans="1:13" ht="25.5" x14ac:dyDescent="0.55000000000000004">
      <c r="A71" s="10">
        <v>67</v>
      </c>
      <c r="B71" s="19" t="s">
        <v>82</v>
      </c>
      <c r="C71" s="79">
        <f>+'1'!G71</f>
        <v>2</v>
      </c>
      <c r="D71" s="87">
        <v>0</v>
      </c>
      <c r="E71" s="47">
        <f t="shared" si="0"/>
        <v>2</v>
      </c>
      <c r="F71" s="87">
        <v>0</v>
      </c>
      <c r="G71" s="47">
        <f t="shared" si="4"/>
        <v>2</v>
      </c>
      <c r="H71" s="88"/>
      <c r="I71" s="20">
        <v>60</v>
      </c>
      <c r="J71" s="82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+'1'!G72</f>
        <v>0</v>
      </c>
      <c r="D72" s="87">
        <v>0</v>
      </c>
      <c r="E72" s="47">
        <f t="shared" si="0"/>
        <v>0</v>
      </c>
      <c r="F72" s="87">
        <v>0</v>
      </c>
      <c r="G72" s="47">
        <f t="shared" si="4"/>
        <v>0</v>
      </c>
      <c r="H72" s="88"/>
      <c r="I72" s="22">
        <v>50</v>
      </c>
      <c r="J72" s="82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+'1'!G73</f>
        <v>0</v>
      </c>
      <c r="D73" s="87">
        <v>0</v>
      </c>
      <c r="E73" s="47">
        <f t="shared" si="0"/>
        <v>0</v>
      </c>
      <c r="F73" s="87">
        <v>0</v>
      </c>
      <c r="G73" s="47">
        <f t="shared" si="4"/>
        <v>0</v>
      </c>
      <c r="H73" s="88"/>
      <c r="I73" s="20">
        <v>60</v>
      </c>
      <c r="J73" s="82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+'1'!G74</f>
        <v>1</v>
      </c>
      <c r="D74" s="87">
        <v>0</v>
      </c>
      <c r="E74" s="47">
        <f t="shared" si="0"/>
        <v>1</v>
      </c>
      <c r="F74" s="87">
        <v>0</v>
      </c>
      <c r="G74" s="47">
        <f t="shared" si="4"/>
        <v>1</v>
      </c>
      <c r="H74" s="88"/>
      <c r="I74" s="22">
        <v>120</v>
      </c>
      <c r="J74" s="82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+'1'!G75</f>
        <v>0</v>
      </c>
      <c r="D75" s="87">
        <v>0</v>
      </c>
      <c r="E75" s="47">
        <f t="shared" si="0"/>
        <v>0</v>
      </c>
      <c r="F75" s="87">
        <v>0</v>
      </c>
      <c r="G75" s="47">
        <f t="shared" si="4"/>
        <v>0</v>
      </c>
      <c r="H75" s="88"/>
      <c r="I75" s="22">
        <v>60</v>
      </c>
      <c r="J75" s="82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+'1'!G76</f>
        <v>0</v>
      </c>
      <c r="D76" s="87">
        <v>0</v>
      </c>
      <c r="E76" s="47">
        <f t="shared" si="0"/>
        <v>0</v>
      </c>
      <c r="F76" s="87">
        <v>0</v>
      </c>
      <c r="G76" s="47">
        <f t="shared" si="4"/>
        <v>0</v>
      </c>
      <c r="H76" s="88"/>
      <c r="I76" s="22">
        <v>120</v>
      </c>
      <c r="J76" s="82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272</v>
      </c>
      <c r="C77" s="79">
        <f>+'1'!G77</f>
        <v>4</v>
      </c>
      <c r="D77" s="87">
        <v>0</v>
      </c>
      <c r="E77" s="47">
        <f>C77+D77</f>
        <v>4</v>
      </c>
      <c r="F77" s="87">
        <v>0</v>
      </c>
      <c r="G77" s="47">
        <f>+E77-F77-H77</f>
        <v>4</v>
      </c>
      <c r="H77" s="88"/>
      <c r="I77" s="20">
        <v>50</v>
      </c>
      <c r="J77" s="82">
        <f>+I77*H77</f>
        <v>0</v>
      </c>
      <c r="K77" s="17" t="s">
        <v>16</v>
      </c>
      <c r="L77" s="18">
        <v>0</v>
      </c>
      <c r="M77" s="23">
        <f>SUM(J77-L77)</f>
        <v>0</v>
      </c>
    </row>
    <row r="78" spans="1:13" ht="25.5" x14ac:dyDescent="0.55000000000000004">
      <c r="A78" s="10">
        <v>74</v>
      </c>
      <c r="B78" s="19" t="s">
        <v>277</v>
      </c>
      <c r="C78" s="79">
        <f>+'1'!G78</f>
        <v>3</v>
      </c>
      <c r="D78" s="87">
        <v>0</v>
      </c>
      <c r="E78" s="47">
        <f t="shared" si="0"/>
        <v>3</v>
      </c>
      <c r="F78" s="87">
        <v>0</v>
      </c>
      <c r="G78" s="47">
        <f t="shared" si="4"/>
        <v>3</v>
      </c>
      <c r="H78" s="88"/>
      <c r="I78" s="20">
        <v>50</v>
      </c>
      <c r="J78" s="82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278</v>
      </c>
      <c r="C79" s="79">
        <f>+'1'!G79</f>
        <v>0</v>
      </c>
      <c r="D79" s="87">
        <v>0</v>
      </c>
      <c r="E79" s="47">
        <f t="shared" si="0"/>
        <v>0</v>
      </c>
      <c r="F79" s="87">
        <v>0</v>
      </c>
      <c r="G79" s="47">
        <f t="shared" si="4"/>
        <v>0</v>
      </c>
      <c r="H79" s="88"/>
      <c r="I79" s="22">
        <v>120</v>
      </c>
      <c r="J79" s="82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90</v>
      </c>
      <c r="C80" s="79">
        <f>+'1'!G80</f>
        <v>5</v>
      </c>
      <c r="D80" s="87">
        <v>0</v>
      </c>
      <c r="E80" s="47">
        <f t="shared" si="0"/>
        <v>5</v>
      </c>
      <c r="F80" s="87">
        <v>0</v>
      </c>
      <c r="G80" s="47">
        <f t="shared" si="4"/>
        <v>5</v>
      </c>
      <c r="H80" s="88"/>
      <c r="I80" s="22">
        <v>50</v>
      </c>
      <c r="J80" s="82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91</v>
      </c>
      <c r="C81" s="79">
        <f>+'1'!G81</f>
        <v>0</v>
      </c>
      <c r="D81" s="87">
        <v>0</v>
      </c>
      <c r="E81" s="47">
        <f t="shared" si="0"/>
        <v>0</v>
      </c>
      <c r="F81" s="87">
        <v>0</v>
      </c>
      <c r="G81" s="47">
        <f t="shared" si="4"/>
        <v>0</v>
      </c>
      <c r="H81" s="88"/>
      <c r="I81" s="22">
        <v>50</v>
      </c>
      <c r="J81" s="82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92</v>
      </c>
      <c r="C82" s="79">
        <f>+'1'!G82</f>
        <v>4</v>
      </c>
      <c r="D82" s="87">
        <v>0</v>
      </c>
      <c r="E82" s="47">
        <f t="shared" si="0"/>
        <v>4</v>
      </c>
      <c r="F82" s="87">
        <v>0</v>
      </c>
      <c r="G82" s="47">
        <f t="shared" si="4"/>
        <v>4</v>
      </c>
      <c r="H82" s="88"/>
      <c r="I82" s="20">
        <v>55</v>
      </c>
      <c r="J82" s="82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93</v>
      </c>
      <c r="C83" s="79">
        <f>+'1'!G83</f>
        <v>2</v>
      </c>
      <c r="D83" s="87">
        <v>0</v>
      </c>
      <c r="E83" s="47">
        <f t="shared" si="0"/>
        <v>2</v>
      </c>
      <c r="F83" s="87">
        <v>0</v>
      </c>
      <c r="G83" s="47">
        <f t="shared" si="4"/>
        <v>2</v>
      </c>
      <c r="H83" s="88"/>
      <c r="I83" s="22">
        <v>55</v>
      </c>
      <c r="J83" s="82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94</v>
      </c>
      <c r="C84" s="79">
        <f>+'1'!G84</f>
        <v>0</v>
      </c>
      <c r="D84" s="87">
        <v>0</v>
      </c>
      <c r="E84" s="47">
        <f t="shared" si="0"/>
        <v>0</v>
      </c>
      <c r="F84" s="87">
        <v>0</v>
      </c>
      <c r="G84" s="47">
        <f t="shared" si="4"/>
        <v>0</v>
      </c>
      <c r="H84" s="88"/>
      <c r="I84" s="22">
        <v>55</v>
      </c>
      <c r="J84" s="82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95</v>
      </c>
      <c r="C85" s="79">
        <f>+'1'!G85</f>
        <v>0</v>
      </c>
      <c r="D85" s="87">
        <v>0</v>
      </c>
      <c r="E85" s="47">
        <f t="shared" si="0"/>
        <v>0</v>
      </c>
      <c r="F85" s="87">
        <v>0</v>
      </c>
      <c r="G85" s="47">
        <f t="shared" si="4"/>
        <v>0</v>
      </c>
      <c r="H85" s="88"/>
      <c r="I85" s="22">
        <v>55</v>
      </c>
      <c r="J85" s="82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96</v>
      </c>
      <c r="C86" s="79">
        <f>+'1'!G86</f>
        <v>12</v>
      </c>
      <c r="D86" s="87">
        <v>0</v>
      </c>
      <c r="E86" s="47">
        <f t="shared" si="0"/>
        <v>12</v>
      </c>
      <c r="F86" s="87">
        <v>0</v>
      </c>
      <c r="G86" s="47">
        <f t="shared" si="4"/>
        <v>11</v>
      </c>
      <c r="H86" s="88">
        <v>1</v>
      </c>
      <c r="I86" s="22">
        <v>100</v>
      </c>
      <c r="J86" s="82">
        <f t="shared" si="5"/>
        <v>100</v>
      </c>
      <c r="K86" s="17" t="s">
        <v>16</v>
      </c>
      <c r="L86" s="18">
        <v>0</v>
      </c>
      <c r="M86" s="23">
        <f t="shared" si="10"/>
        <v>100</v>
      </c>
    </row>
    <row r="87" spans="1:13" ht="25.5" x14ac:dyDescent="0.55000000000000004">
      <c r="A87" s="10">
        <v>83</v>
      </c>
      <c r="B87" s="19" t="s">
        <v>97</v>
      </c>
      <c r="C87" s="79">
        <f>+'1'!G87</f>
        <v>11</v>
      </c>
      <c r="D87" s="87">
        <v>0</v>
      </c>
      <c r="E87" s="47">
        <f t="shared" si="0"/>
        <v>11</v>
      </c>
      <c r="F87" s="87">
        <v>0</v>
      </c>
      <c r="G87" s="47">
        <f t="shared" si="4"/>
        <v>11</v>
      </c>
      <c r="H87" s="88"/>
      <c r="I87" s="20">
        <v>55</v>
      </c>
      <c r="J87" s="82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98</v>
      </c>
      <c r="C88" s="79">
        <f>+'1'!G88</f>
        <v>6</v>
      </c>
      <c r="D88" s="87">
        <v>0</v>
      </c>
      <c r="E88" s="47">
        <f t="shared" si="0"/>
        <v>6</v>
      </c>
      <c r="F88" s="87">
        <v>0</v>
      </c>
      <c r="G88" s="47">
        <f t="shared" si="4"/>
        <v>6</v>
      </c>
      <c r="H88" s="88"/>
      <c r="I88" s="20">
        <v>60</v>
      </c>
      <c r="J88" s="82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99</v>
      </c>
      <c r="C89" s="79">
        <f>+'1'!G89</f>
        <v>1</v>
      </c>
      <c r="D89" s="87">
        <v>0</v>
      </c>
      <c r="E89" s="47">
        <f t="shared" si="0"/>
        <v>1</v>
      </c>
      <c r="F89" s="87">
        <v>0</v>
      </c>
      <c r="G89" s="47">
        <f t="shared" si="4"/>
        <v>1</v>
      </c>
      <c r="H89" s="88"/>
      <c r="I89" s="20">
        <v>100</v>
      </c>
      <c r="J89" s="82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100</v>
      </c>
      <c r="C90" s="79">
        <f>+'1'!G90</f>
        <v>10</v>
      </c>
      <c r="D90" s="87">
        <v>0</v>
      </c>
      <c r="E90" s="47">
        <f t="shared" si="0"/>
        <v>10</v>
      </c>
      <c r="F90" s="87">
        <v>0</v>
      </c>
      <c r="G90" s="47">
        <f t="shared" si="4"/>
        <v>10</v>
      </c>
      <c r="H90" s="88"/>
      <c r="I90" s="20">
        <v>55</v>
      </c>
      <c r="J90" s="82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101</v>
      </c>
      <c r="C91" s="79">
        <f>+'1'!G91</f>
        <v>0</v>
      </c>
      <c r="D91" s="87">
        <v>0</v>
      </c>
      <c r="E91" s="47">
        <f t="shared" si="0"/>
        <v>0</v>
      </c>
      <c r="F91" s="87">
        <v>0</v>
      </c>
      <c r="G91" s="47">
        <f t="shared" si="4"/>
        <v>0</v>
      </c>
      <c r="H91" s="88"/>
      <c r="I91" s="20">
        <v>50</v>
      </c>
      <c r="J91" s="82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102</v>
      </c>
      <c r="C92" s="79">
        <f>+'1'!G92</f>
        <v>0</v>
      </c>
      <c r="D92" s="87">
        <v>0</v>
      </c>
      <c r="E92" s="47">
        <f t="shared" si="0"/>
        <v>0</v>
      </c>
      <c r="F92" s="87">
        <v>0</v>
      </c>
      <c r="G92" s="47">
        <f t="shared" si="4"/>
        <v>0</v>
      </c>
      <c r="H92" s="88"/>
      <c r="I92" s="22">
        <v>50</v>
      </c>
      <c r="J92" s="82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248</v>
      </c>
      <c r="C93" s="79">
        <f>+'1'!G93</f>
        <v>0</v>
      </c>
      <c r="D93" s="87">
        <v>0</v>
      </c>
      <c r="E93" s="47">
        <f t="shared" si="0"/>
        <v>0</v>
      </c>
      <c r="F93" s="87">
        <v>0</v>
      </c>
      <c r="G93" s="47">
        <f t="shared" si="4"/>
        <v>0</v>
      </c>
      <c r="H93" s="88"/>
      <c r="I93" s="22">
        <v>120</v>
      </c>
      <c r="J93" s="82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104</v>
      </c>
      <c r="C94" s="79">
        <f>+'1'!G94</f>
        <v>0</v>
      </c>
      <c r="D94" s="87">
        <v>0</v>
      </c>
      <c r="E94" s="47">
        <f t="shared" si="0"/>
        <v>0</v>
      </c>
      <c r="F94" s="87">
        <v>0</v>
      </c>
      <c r="G94" s="47">
        <f t="shared" si="4"/>
        <v>0</v>
      </c>
      <c r="H94" s="88"/>
      <c r="I94" s="20">
        <v>250</v>
      </c>
      <c r="J94" s="82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105</v>
      </c>
      <c r="C95" s="79">
        <f>+'1'!G95</f>
        <v>0</v>
      </c>
      <c r="D95" s="87">
        <v>0</v>
      </c>
      <c r="E95" s="47">
        <f t="shared" si="0"/>
        <v>0</v>
      </c>
      <c r="F95" s="87">
        <v>0</v>
      </c>
      <c r="G95" s="47">
        <f t="shared" si="4"/>
        <v>0</v>
      </c>
      <c r="H95" s="88"/>
      <c r="I95" s="20">
        <v>120</v>
      </c>
      <c r="J95" s="82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106</v>
      </c>
      <c r="C96" s="79">
        <f>+'1'!G96</f>
        <v>0</v>
      </c>
      <c r="D96" s="87">
        <v>0</v>
      </c>
      <c r="E96" s="47">
        <f t="shared" si="0"/>
        <v>0</v>
      </c>
      <c r="F96" s="87">
        <v>0</v>
      </c>
      <c r="G96" s="47">
        <f t="shared" si="4"/>
        <v>0</v>
      </c>
      <c r="H96" s="88"/>
      <c r="I96" s="20">
        <v>120</v>
      </c>
      <c r="J96" s="82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107</v>
      </c>
      <c r="C97" s="79">
        <f>+'1'!G97</f>
        <v>0</v>
      </c>
      <c r="D97" s="87">
        <v>0</v>
      </c>
      <c r="E97" s="47">
        <f t="shared" si="0"/>
        <v>0</v>
      </c>
      <c r="F97" s="87">
        <v>0</v>
      </c>
      <c r="G97" s="47">
        <f t="shared" si="4"/>
        <v>0</v>
      </c>
      <c r="H97" s="88"/>
      <c r="I97" s="20">
        <v>120</v>
      </c>
      <c r="J97" s="82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103</v>
      </c>
      <c r="C98" s="79">
        <f>+'1'!G98</f>
        <v>0</v>
      </c>
      <c r="D98" s="87">
        <v>0</v>
      </c>
      <c r="E98" s="47">
        <f t="shared" si="0"/>
        <v>0</v>
      </c>
      <c r="F98" s="87">
        <v>0</v>
      </c>
      <c r="G98" s="47">
        <f t="shared" si="4"/>
        <v>0</v>
      </c>
      <c r="H98" s="88"/>
      <c r="I98" s="20">
        <v>120</v>
      </c>
      <c r="J98" s="82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109</v>
      </c>
      <c r="C99" s="79">
        <f>+'1'!G99</f>
        <v>0</v>
      </c>
      <c r="D99" s="87">
        <v>0</v>
      </c>
      <c r="E99" s="47">
        <f t="shared" si="0"/>
        <v>0</v>
      </c>
      <c r="F99" s="87">
        <v>0</v>
      </c>
      <c r="G99" s="47">
        <f t="shared" si="4"/>
        <v>0</v>
      </c>
      <c r="H99" s="88"/>
      <c r="I99" s="20">
        <v>50</v>
      </c>
      <c r="J99" s="82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110</v>
      </c>
      <c r="C100" s="79">
        <f>+'1'!G100</f>
        <v>0</v>
      </c>
      <c r="D100" s="87">
        <v>0</v>
      </c>
      <c r="E100" s="47">
        <f t="shared" si="0"/>
        <v>0</v>
      </c>
      <c r="F100" s="87">
        <v>0</v>
      </c>
      <c r="G100" s="47">
        <f t="shared" si="4"/>
        <v>0</v>
      </c>
      <c r="H100" s="88"/>
      <c r="I100" s="20">
        <v>50</v>
      </c>
      <c r="J100" s="82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111</v>
      </c>
      <c r="C101" s="79">
        <f>+'1'!G101</f>
        <v>0</v>
      </c>
      <c r="D101" s="87">
        <v>0</v>
      </c>
      <c r="E101" s="47">
        <f t="shared" si="0"/>
        <v>0</v>
      </c>
      <c r="F101" s="87">
        <v>0</v>
      </c>
      <c r="G101" s="47">
        <f t="shared" ref="G101:G164" si="11">+E101-F101-H101</f>
        <v>0</v>
      </c>
      <c r="H101" s="88"/>
      <c r="I101" s="20">
        <v>60</v>
      </c>
      <c r="J101" s="82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112</v>
      </c>
      <c r="C102" s="79">
        <f>+'1'!G102</f>
        <v>0</v>
      </c>
      <c r="D102" s="87">
        <v>0</v>
      </c>
      <c r="E102" s="47">
        <f t="shared" si="0"/>
        <v>0</v>
      </c>
      <c r="F102" s="87">
        <v>0</v>
      </c>
      <c r="G102" s="47">
        <f t="shared" si="11"/>
        <v>0</v>
      </c>
      <c r="H102" s="88"/>
      <c r="I102" s="20">
        <v>55</v>
      </c>
      <c r="J102" s="82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113</v>
      </c>
      <c r="C103" s="79">
        <f>+'1'!G103</f>
        <v>0</v>
      </c>
      <c r="D103" s="87">
        <v>0</v>
      </c>
      <c r="E103" s="47">
        <f t="shared" si="0"/>
        <v>0</v>
      </c>
      <c r="F103" s="87">
        <v>0</v>
      </c>
      <c r="G103" s="47">
        <f t="shared" si="11"/>
        <v>0</v>
      </c>
      <c r="H103" s="88"/>
      <c r="I103" s="20">
        <v>50</v>
      </c>
      <c r="J103" s="82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114</v>
      </c>
      <c r="C104" s="79">
        <f>+'1'!G104</f>
        <v>0</v>
      </c>
      <c r="D104" s="87">
        <v>0</v>
      </c>
      <c r="E104" s="47">
        <f t="shared" si="0"/>
        <v>0</v>
      </c>
      <c r="F104" s="87">
        <v>0</v>
      </c>
      <c r="G104" s="47">
        <f t="shared" si="11"/>
        <v>0</v>
      </c>
      <c r="H104" s="88"/>
      <c r="I104" s="20">
        <v>100</v>
      </c>
      <c r="J104" s="82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115</v>
      </c>
      <c r="C105" s="79">
        <f>+'1'!G105</f>
        <v>0</v>
      </c>
      <c r="D105" s="87">
        <v>0</v>
      </c>
      <c r="E105" s="47">
        <f t="shared" si="0"/>
        <v>0</v>
      </c>
      <c r="F105" s="87">
        <v>0</v>
      </c>
      <c r="G105" s="47">
        <f t="shared" si="11"/>
        <v>0</v>
      </c>
      <c r="H105" s="88"/>
      <c r="I105" s="20">
        <v>100</v>
      </c>
      <c r="J105" s="82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116</v>
      </c>
      <c r="C106" s="79">
        <f>+'1'!G106</f>
        <v>0</v>
      </c>
      <c r="D106" s="87">
        <v>0</v>
      </c>
      <c r="E106" s="47">
        <f t="shared" si="0"/>
        <v>0</v>
      </c>
      <c r="F106" s="87">
        <v>0</v>
      </c>
      <c r="G106" s="47">
        <f t="shared" si="11"/>
        <v>0</v>
      </c>
      <c r="H106" s="88"/>
      <c r="I106" s="22">
        <v>30</v>
      </c>
      <c r="J106" s="82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117</v>
      </c>
      <c r="C107" s="79">
        <f>+'1'!G107</f>
        <v>0</v>
      </c>
      <c r="D107" s="87">
        <v>0</v>
      </c>
      <c r="E107" s="47">
        <f t="shared" si="0"/>
        <v>0</v>
      </c>
      <c r="F107" s="87">
        <v>0</v>
      </c>
      <c r="G107" s="47">
        <f t="shared" si="11"/>
        <v>0</v>
      </c>
      <c r="H107" s="88"/>
      <c r="I107" s="22">
        <v>20</v>
      </c>
      <c r="J107" s="82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118</v>
      </c>
      <c r="C108" s="79">
        <f>+'1'!G108</f>
        <v>0</v>
      </c>
      <c r="D108" s="87">
        <v>0</v>
      </c>
      <c r="E108" s="47">
        <f t="shared" si="0"/>
        <v>0</v>
      </c>
      <c r="F108" s="87">
        <v>0</v>
      </c>
      <c r="G108" s="47">
        <f t="shared" si="11"/>
        <v>0</v>
      </c>
      <c r="H108" s="88"/>
      <c r="I108" s="20">
        <v>100</v>
      </c>
      <c r="J108" s="82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120</v>
      </c>
      <c r="C109" s="79">
        <f>+'1'!G109</f>
        <v>0</v>
      </c>
      <c r="D109" s="87">
        <v>0</v>
      </c>
      <c r="E109" s="47">
        <f t="shared" si="0"/>
        <v>0</v>
      </c>
      <c r="F109" s="87">
        <v>0</v>
      </c>
      <c r="G109" s="47">
        <f t="shared" si="11"/>
        <v>0</v>
      </c>
      <c r="H109" s="88"/>
      <c r="I109" s="20">
        <v>80</v>
      </c>
      <c r="J109" s="82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121</v>
      </c>
      <c r="C110" s="79">
        <f>+'1'!G110</f>
        <v>0</v>
      </c>
      <c r="D110" s="87">
        <v>0</v>
      </c>
      <c r="E110" s="47">
        <f t="shared" si="0"/>
        <v>0</v>
      </c>
      <c r="F110" s="87">
        <v>0</v>
      </c>
      <c r="G110" s="47">
        <f t="shared" si="11"/>
        <v>0</v>
      </c>
      <c r="H110" s="88"/>
      <c r="I110" s="20">
        <v>60</v>
      </c>
      <c r="J110" s="82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122</v>
      </c>
      <c r="C111" s="79">
        <f>+'1'!G111</f>
        <v>0</v>
      </c>
      <c r="D111" s="87">
        <v>0</v>
      </c>
      <c r="E111" s="47">
        <f t="shared" si="0"/>
        <v>0</v>
      </c>
      <c r="F111" s="87">
        <v>0</v>
      </c>
      <c r="G111" s="47">
        <f t="shared" si="11"/>
        <v>0</v>
      </c>
      <c r="H111" s="88"/>
      <c r="I111" s="20">
        <v>35</v>
      </c>
      <c r="J111" s="82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123</v>
      </c>
      <c r="C112" s="79">
        <f>+'1'!G112</f>
        <v>0</v>
      </c>
      <c r="D112" s="87">
        <v>0</v>
      </c>
      <c r="E112" s="47">
        <f t="shared" si="0"/>
        <v>0</v>
      </c>
      <c r="F112" s="87">
        <v>0</v>
      </c>
      <c r="G112" s="47">
        <f t="shared" si="11"/>
        <v>0</v>
      </c>
      <c r="H112" s="88"/>
      <c r="I112" s="20">
        <v>35</v>
      </c>
      <c r="J112" s="82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124</v>
      </c>
      <c r="C113" s="79">
        <f>+'1'!G113</f>
        <v>0</v>
      </c>
      <c r="D113" s="87">
        <v>0</v>
      </c>
      <c r="E113" s="47">
        <f t="shared" si="0"/>
        <v>0</v>
      </c>
      <c r="F113" s="87">
        <v>0</v>
      </c>
      <c r="G113" s="47">
        <f t="shared" si="11"/>
        <v>0</v>
      </c>
      <c r="H113" s="88"/>
      <c r="I113" s="20">
        <v>35</v>
      </c>
      <c r="J113" s="82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125</v>
      </c>
      <c r="C114" s="79">
        <f>+'1'!G114</f>
        <v>0</v>
      </c>
      <c r="D114" s="87">
        <v>0</v>
      </c>
      <c r="E114" s="47">
        <f t="shared" si="0"/>
        <v>0</v>
      </c>
      <c r="F114" s="87">
        <v>0</v>
      </c>
      <c r="G114" s="47">
        <f t="shared" si="11"/>
        <v>0</v>
      </c>
      <c r="H114" s="88"/>
      <c r="I114" s="20">
        <v>35</v>
      </c>
      <c r="J114" s="82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126</v>
      </c>
      <c r="C115" s="79">
        <f>+'1'!G115</f>
        <v>0</v>
      </c>
      <c r="D115" s="87">
        <v>0</v>
      </c>
      <c r="E115" s="47">
        <f t="shared" si="0"/>
        <v>0</v>
      </c>
      <c r="F115" s="87">
        <v>0</v>
      </c>
      <c r="G115" s="47">
        <f t="shared" si="11"/>
        <v>0</v>
      </c>
      <c r="H115" s="88"/>
      <c r="I115" s="20">
        <v>35</v>
      </c>
      <c r="J115" s="82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127</v>
      </c>
      <c r="C116" s="79">
        <f>+'1'!G116</f>
        <v>0</v>
      </c>
      <c r="D116" s="87">
        <v>0</v>
      </c>
      <c r="E116" s="47">
        <f t="shared" si="0"/>
        <v>0</v>
      </c>
      <c r="F116" s="87">
        <v>0</v>
      </c>
      <c r="G116" s="47">
        <f t="shared" si="11"/>
        <v>0</v>
      </c>
      <c r="H116" s="88"/>
      <c r="I116" s="20">
        <v>30</v>
      </c>
      <c r="J116" s="82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128</v>
      </c>
      <c r="C117" s="79">
        <f>+'1'!G117</f>
        <v>0</v>
      </c>
      <c r="D117" s="87">
        <v>0</v>
      </c>
      <c r="E117" s="47">
        <f t="shared" si="0"/>
        <v>0</v>
      </c>
      <c r="F117" s="87">
        <v>0</v>
      </c>
      <c r="G117" s="47">
        <f t="shared" si="11"/>
        <v>0</v>
      </c>
      <c r="H117" s="88"/>
      <c r="I117" s="20">
        <v>30</v>
      </c>
      <c r="J117" s="82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129</v>
      </c>
      <c r="C118" s="79">
        <f>+'1'!G118</f>
        <v>0</v>
      </c>
      <c r="D118" s="87">
        <v>0</v>
      </c>
      <c r="E118" s="47">
        <f t="shared" si="0"/>
        <v>0</v>
      </c>
      <c r="F118" s="87">
        <v>0</v>
      </c>
      <c r="G118" s="47">
        <f t="shared" si="11"/>
        <v>0</v>
      </c>
      <c r="H118" s="88"/>
      <c r="I118" s="20">
        <v>30</v>
      </c>
      <c r="J118" s="82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130</v>
      </c>
      <c r="C119" s="79">
        <f>+'1'!G119</f>
        <v>0</v>
      </c>
      <c r="D119" s="87">
        <v>0</v>
      </c>
      <c r="E119" s="47">
        <f t="shared" si="0"/>
        <v>0</v>
      </c>
      <c r="F119" s="87">
        <v>0</v>
      </c>
      <c r="G119" s="47">
        <f t="shared" si="11"/>
        <v>0</v>
      </c>
      <c r="H119" s="88"/>
      <c r="I119" s="20">
        <v>30</v>
      </c>
      <c r="J119" s="82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131</v>
      </c>
      <c r="C120" s="79">
        <f>+'1'!G120</f>
        <v>0</v>
      </c>
      <c r="D120" s="87">
        <v>0</v>
      </c>
      <c r="E120" s="47">
        <f t="shared" si="0"/>
        <v>0</v>
      </c>
      <c r="F120" s="87">
        <v>0</v>
      </c>
      <c r="G120" s="47">
        <f t="shared" si="11"/>
        <v>0</v>
      </c>
      <c r="H120" s="88"/>
      <c r="I120" s="20">
        <v>30</v>
      </c>
      <c r="J120" s="82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132</v>
      </c>
      <c r="C121" s="79">
        <f>+'1'!G121</f>
        <v>0</v>
      </c>
      <c r="D121" s="87">
        <v>0</v>
      </c>
      <c r="E121" s="47">
        <f t="shared" si="0"/>
        <v>0</v>
      </c>
      <c r="F121" s="87">
        <v>0</v>
      </c>
      <c r="G121" s="47">
        <f t="shared" si="11"/>
        <v>0</v>
      </c>
      <c r="H121" s="88"/>
      <c r="I121" s="20">
        <v>30</v>
      </c>
      <c r="J121" s="82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133</v>
      </c>
      <c r="C122" s="79">
        <f>+'1'!G122</f>
        <v>0</v>
      </c>
      <c r="D122" s="87">
        <v>0</v>
      </c>
      <c r="E122" s="47">
        <f t="shared" si="0"/>
        <v>0</v>
      </c>
      <c r="F122" s="87">
        <v>0</v>
      </c>
      <c r="G122" s="47">
        <f t="shared" si="11"/>
        <v>0</v>
      </c>
      <c r="H122" s="88"/>
      <c r="I122" s="20">
        <v>40</v>
      </c>
      <c r="J122" s="82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134</v>
      </c>
      <c r="C123" s="79">
        <f>+'1'!G123</f>
        <v>0</v>
      </c>
      <c r="D123" s="87">
        <v>0</v>
      </c>
      <c r="E123" s="47">
        <f t="shared" si="0"/>
        <v>0</v>
      </c>
      <c r="F123" s="87">
        <v>0</v>
      </c>
      <c r="G123" s="47">
        <f t="shared" si="11"/>
        <v>0</v>
      </c>
      <c r="H123" s="88"/>
      <c r="I123" s="20">
        <v>35</v>
      </c>
      <c r="J123" s="82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135</v>
      </c>
      <c r="C124" s="79">
        <f>+'1'!G124</f>
        <v>0</v>
      </c>
      <c r="D124" s="87">
        <v>0</v>
      </c>
      <c r="E124" s="47">
        <f t="shared" si="0"/>
        <v>0</v>
      </c>
      <c r="F124" s="87">
        <v>0</v>
      </c>
      <c r="G124" s="47">
        <f t="shared" si="11"/>
        <v>0</v>
      </c>
      <c r="H124" s="88"/>
      <c r="I124" s="20">
        <v>40</v>
      </c>
      <c r="J124" s="82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136</v>
      </c>
      <c r="C125" s="79">
        <f>+'1'!G125</f>
        <v>0</v>
      </c>
      <c r="D125" s="87">
        <v>0</v>
      </c>
      <c r="E125" s="47">
        <f t="shared" si="0"/>
        <v>0</v>
      </c>
      <c r="F125" s="87">
        <v>0</v>
      </c>
      <c r="G125" s="47">
        <f t="shared" si="11"/>
        <v>0</v>
      </c>
      <c r="H125" s="88"/>
      <c r="I125" s="20">
        <v>40</v>
      </c>
      <c r="J125" s="82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137</v>
      </c>
      <c r="C126" s="79">
        <f>+'1'!G126</f>
        <v>0</v>
      </c>
      <c r="D126" s="87">
        <v>0</v>
      </c>
      <c r="E126" s="47">
        <f t="shared" ref="E126:E189" si="13">C126+D126</f>
        <v>0</v>
      </c>
      <c r="F126" s="87">
        <v>0</v>
      </c>
      <c r="G126" s="47">
        <f t="shared" si="11"/>
        <v>0</v>
      </c>
      <c r="H126" s="88"/>
      <c r="I126" s="20">
        <v>30</v>
      </c>
      <c r="J126" s="82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138</v>
      </c>
      <c r="C127" s="79">
        <f>+'1'!G127</f>
        <v>0</v>
      </c>
      <c r="D127" s="87">
        <v>0</v>
      </c>
      <c r="E127" s="47">
        <f t="shared" si="13"/>
        <v>0</v>
      </c>
      <c r="F127" s="87">
        <v>0</v>
      </c>
      <c r="G127" s="47">
        <f t="shared" si="11"/>
        <v>0</v>
      </c>
      <c r="H127" s="88"/>
      <c r="I127" s="20">
        <v>40</v>
      </c>
      <c r="J127" s="82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139</v>
      </c>
      <c r="C128" s="79">
        <f>+'1'!G128</f>
        <v>91</v>
      </c>
      <c r="D128" s="87">
        <v>0</v>
      </c>
      <c r="E128" s="47">
        <f t="shared" si="13"/>
        <v>91</v>
      </c>
      <c r="F128" s="87">
        <v>0</v>
      </c>
      <c r="G128" s="47">
        <f t="shared" si="11"/>
        <v>91</v>
      </c>
      <c r="H128" s="88"/>
      <c r="I128" s="20">
        <v>10</v>
      </c>
      <c r="J128" s="82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140</v>
      </c>
      <c r="C129" s="79">
        <f>+'1'!G129</f>
        <v>0</v>
      </c>
      <c r="D129" s="87">
        <v>0</v>
      </c>
      <c r="E129" s="47">
        <f t="shared" si="13"/>
        <v>0</v>
      </c>
      <c r="F129" s="87">
        <v>0</v>
      </c>
      <c r="G129" s="47">
        <f t="shared" si="11"/>
        <v>0</v>
      </c>
      <c r="H129" s="88"/>
      <c r="I129" s="20">
        <v>35</v>
      </c>
      <c r="J129" s="82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141</v>
      </c>
      <c r="C130" s="79">
        <f>+'1'!G130</f>
        <v>0</v>
      </c>
      <c r="D130" s="87">
        <v>0</v>
      </c>
      <c r="E130" s="47">
        <f t="shared" si="13"/>
        <v>0</v>
      </c>
      <c r="F130" s="87">
        <v>0</v>
      </c>
      <c r="G130" s="47">
        <f t="shared" si="11"/>
        <v>0</v>
      </c>
      <c r="H130" s="88"/>
      <c r="I130" s="20">
        <v>40</v>
      </c>
      <c r="J130" s="82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142</v>
      </c>
      <c r="C131" s="79">
        <f>+'1'!G131</f>
        <v>0</v>
      </c>
      <c r="D131" s="87">
        <v>0</v>
      </c>
      <c r="E131" s="47">
        <f t="shared" si="13"/>
        <v>0</v>
      </c>
      <c r="F131" s="87">
        <v>0</v>
      </c>
      <c r="G131" s="47">
        <f t="shared" si="11"/>
        <v>0</v>
      </c>
      <c r="H131" s="88"/>
      <c r="I131" s="20">
        <v>50</v>
      </c>
      <c r="J131" s="82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143</v>
      </c>
      <c r="C132" s="79">
        <f>+'1'!G132</f>
        <v>0</v>
      </c>
      <c r="D132" s="87">
        <v>0</v>
      </c>
      <c r="E132" s="47">
        <f t="shared" si="13"/>
        <v>0</v>
      </c>
      <c r="F132" s="87">
        <v>0</v>
      </c>
      <c r="G132" s="47">
        <f t="shared" si="11"/>
        <v>0</v>
      </c>
      <c r="H132" s="88"/>
      <c r="I132" s="20">
        <v>55</v>
      </c>
      <c r="J132" s="82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144</v>
      </c>
      <c r="C133" s="79">
        <f>+'1'!G133</f>
        <v>0</v>
      </c>
      <c r="D133" s="87">
        <v>0</v>
      </c>
      <c r="E133" s="47">
        <f t="shared" si="13"/>
        <v>0</v>
      </c>
      <c r="F133" s="87">
        <v>0</v>
      </c>
      <c r="G133" s="47">
        <f t="shared" si="11"/>
        <v>0</v>
      </c>
      <c r="H133" s="88"/>
      <c r="I133" s="20">
        <v>55</v>
      </c>
      <c r="J133" s="82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145</v>
      </c>
      <c r="C134" s="79">
        <f>+'1'!G134</f>
        <v>0</v>
      </c>
      <c r="D134" s="87">
        <v>0</v>
      </c>
      <c r="E134" s="47">
        <f t="shared" si="13"/>
        <v>0</v>
      </c>
      <c r="F134" s="87">
        <v>0</v>
      </c>
      <c r="G134" s="47">
        <f t="shared" si="11"/>
        <v>0</v>
      </c>
      <c r="H134" s="88"/>
      <c r="I134" s="20">
        <v>45</v>
      </c>
      <c r="J134" s="82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5.5" x14ac:dyDescent="0.55000000000000004">
      <c r="A135" s="10">
        <v>131</v>
      </c>
      <c r="B135" s="19" t="s">
        <v>146</v>
      </c>
      <c r="C135" s="79">
        <f>+'1'!G135</f>
        <v>0</v>
      </c>
      <c r="D135" s="87">
        <v>0</v>
      </c>
      <c r="E135" s="47">
        <f t="shared" si="13"/>
        <v>0</v>
      </c>
      <c r="F135" s="87">
        <v>0</v>
      </c>
      <c r="G135" s="47">
        <f t="shared" si="11"/>
        <v>0</v>
      </c>
      <c r="H135" s="88"/>
      <c r="I135" s="20">
        <v>45</v>
      </c>
      <c r="J135" s="82">
        <f t="shared" si="12"/>
        <v>0</v>
      </c>
      <c r="K135" s="17" t="s">
        <v>16</v>
      </c>
      <c r="L135" s="18">
        <v>0</v>
      </c>
      <c r="M135" s="23">
        <f t="shared" ref="M135:M198" si="14">SUM(J135-L135)</f>
        <v>0</v>
      </c>
    </row>
    <row r="136" spans="1:13" ht="25.5" x14ac:dyDescent="0.55000000000000004">
      <c r="A136" s="10">
        <v>132</v>
      </c>
      <c r="B136" s="19" t="s">
        <v>147</v>
      </c>
      <c r="C136" s="79">
        <f>+'1'!G136</f>
        <v>0</v>
      </c>
      <c r="D136" s="87">
        <v>0</v>
      </c>
      <c r="E136" s="47">
        <f t="shared" si="13"/>
        <v>0</v>
      </c>
      <c r="F136" s="87">
        <v>0</v>
      </c>
      <c r="G136" s="47">
        <f t="shared" si="11"/>
        <v>0</v>
      </c>
      <c r="H136" s="88"/>
      <c r="I136" s="20">
        <v>55</v>
      </c>
      <c r="J136" s="82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148</v>
      </c>
      <c r="C137" s="79">
        <f>+'1'!G137</f>
        <v>0</v>
      </c>
      <c r="D137" s="87">
        <v>0</v>
      </c>
      <c r="E137" s="47">
        <f t="shared" si="13"/>
        <v>0</v>
      </c>
      <c r="F137" s="87">
        <v>0</v>
      </c>
      <c r="G137" s="47">
        <f t="shared" si="11"/>
        <v>0</v>
      </c>
      <c r="H137" s="88"/>
      <c r="I137" s="20">
        <v>45</v>
      </c>
      <c r="J137" s="82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149</v>
      </c>
      <c r="C138" s="79">
        <f>+'1'!G138</f>
        <v>0</v>
      </c>
      <c r="D138" s="87">
        <v>0</v>
      </c>
      <c r="E138" s="47">
        <f t="shared" si="13"/>
        <v>0</v>
      </c>
      <c r="F138" s="87">
        <v>0</v>
      </c>
      <c r="G138" s="47">
        <f t="shared" si="11"/>
        <v>0</v>
      </c>
      <c r="H138" s="88"/>
      <c r="I138" s="20">
        <v>45</v>
      </c>
      <c r="J138" s="82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150</v>
      </c>
      <c r="C139" s="79">
        <f>+'1'!G139</f>
        <v>0</v>
      </c>
      <c r="D139" s="87">
        <v>0</v>
      </c>
      <c r="E139" s="47">
        <f t="shared" si="13"/>
        <v>0</v>
      </c>
      <c r="F139" s="87">
        <v>0</v>
      </c>
      <c r="G139" s="47">
        <f t="shared" si="11"/>
        <v>0</v>
      </c>
      <c r="H139" s="88"/>
      <c r="I139" s="20">
        <v>45</v>
      </c>
      <c r="J139" s="82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151</v>
      </c>
      <c r="C140" s="79">
        <f>+'1'!G140</f>
        <v>0</v>
      </c>
      <c r="D140" s="87">
        <v>0</v>
      </c>
      <c r="E140" s="47">
        <f t="shared" si="13"/>
        <v>0</v>
      </c>
      <c r="F140" s="87">
        <v>0</v>
      </c>
      <c r="G140" s="47">
        <f t="shared" si="11"/>
        <v>0</v>
      </c>
      <c r="H140" s="88"/>
      <c r="I140" s="20">
        <v>45</v>
      </c>
      <c r="J140" s="82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152</v>
      </c>
      <c r="C141" s="79">
        <f>+'1'!G141</f>
        <v>0</v>
      </c>
      <c r="D141" s="87">
        <v>0</v>
      </c>
      <c r="E141" s="47">
        <f t="shared" si="13"/>
        <v>0</v>
      </c>
      <c r="F141" s="87">
        <v>0</v>
      </c>
      <c r="G141" s="47">
        <f t="shared" si="11"/>
        <v>0</v>
      </c>
      <c r="H141" s="88"/>
      <c r="I141" s="20">
        <v>45</v>
      </c>
      <c r="J141" s="82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153</v>
      </c>
      <c r="C142" s="79">
        <f>+'1'!G142</f>
        <v>0</v>
      </c>
      <c r="D142" s="87">
        <v>0</v>
      </c>
      <c r="E142" s="47">
        <f t="shared" si="13"/>
        <v>0</v>
      </c>
      <c r="F142" s="87">
        <v>0</v>
      </c>
      <c r="G142" s="47">
        <f t="shared" si="11"/>
        <v>0</v>
      </c>
      <c r="H142" s="88"/>
      <c r="I142" s="20">
        <v>45</v>
      </c>
      <c r="J142" s="82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154</v>
      </c>
      <c r="C143" s="79">
        <f>+'1'!G143</f>
        <v>0</v>
      </c>
      <c r="D143" s="87">
        <v>0</v>
      </c>
      <c r="E143" s="47">
        <f t="shared" si="13"/>
        <v>0</v>
      </c>
      <c r="F143" s="87">
        <v>0</v>
      </c>
      <c r="G143" s="47">
        <f t="shared" si="11"/>
        <v>0</v>
      </c>
      <c r="H143" s="88"/>
      <c r="I143" s="20">
        <v>120</v>
      </c>
      <c r="J143" s="82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155</v>
      </c>
      <c r="C144" s="79">
        <f>+'1'!G144</f>
        <v>0</v>
      </c>
      <c r="D144" s="87">
        <v>0</v>
      </c>
      <c r="E144" s="47">
        <f t="shared" si="13"/>
        <v>0</v>
      </c>
      <c r="F144" s="87">
        <v>0</v>
      </c>
      <c r="G144" s="47">
        <f t="shared" si="11"/>
        <v>0</v>
      </c>
      <c r="H144" s="88"/>
      <c r="I144" s="20">
        <v>120</v>
      </c>
      <c r="J144" s="82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156</v>
      </c>
      <c r="C145" s="79">
        <f>+'1'!G145</f>
        <v>0</v>
      </c>
      <c r="D145" s="87">
        <v>0</v>
      </c>
      <c r="E145" s="47">
        <f t="shared" si="13"/>
        <v>0</v>
      </c>
      <c r="F145" s="87">
        <v>0</v>
      </c>
      <c r="G145" s="47">
        <f t="shared" si="11"/>
        <v>0</v>
      </c>
      <c r="H145" s="88"/>
      <c r="I145" s="20">
        <v>120</v>
      </c>
      <c r="J145" s="82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157</v>
      </c>
      <c r="C146" s="79">
        <f>+'1'!G146</f>
        <v>0</v>
      </c>
      <c r="D146" s="87">
        <v>0</v>
      </c>
      <c r="E146" s="47">
        <f t="shared" si="13"/>
        <v>0</v>
      </c>
      <c r="F146" s="87">
        <v>0</v>
      </c>
      <c r="G146" s="47">
        <f t="shared" si="11"/>
        <v>0</v>
      </c>
      <c r="H146" s="88"/>
      <c r="I146" s="20">
        <v>120</v>
      </c>
      <c r="J146" s="82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158</v>
      </c>
      <c r="C147" s="79">
        <f>+'1'!G147</f>
        <v>0</v>
      </c>
      <c r="D147" s="87">
        <v>0</v>
      </c>
      <c r="E147" s="47">
        <f t="shared" si="13"/>
        <v>0</v>
      </c>
      <c r="F147" s="87">
        <v>0</v>
      </c>
      <c r="G147" s="47">
        <f t="shared" si="11"/>
        <v>0</v>
      </c>
      <c r="H147" s="88"/>
      <c r="I147" s="20">
        <v>185</v>
      </c>
      <c r="J147" s="82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159</v>
      </c>
      <c r="C148" s="79">
        <f>+'1'!G148</f>
        <v>0</v>
      </c>
      <c r="D148" s="87">
        <v>0</v>
      </c>
      <c r="E148" s="47">
        <f t="shared" si="13"/>
        <v>0</v>
      </c>
      <c r="F148" s="87">
        <v>0</v>
      </c>
      <c r="G148" s="47">
        <f t="shared" si="11"/>
        <v>0</v>
      </c>
      <c r="H148" s="88"/>
      <c r="I148" s="20">
        <v>185</v>
      </c>
      <c r="J148" s="82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160</v>
      </c>
      <c r="C149" s="79">
        <f>+'1'!G149</f>
        <v>0</v>
      </c>
      <c r="D149" s="87">
        <v>0</v>
      </c>
      <c r="E149" s="47">
        <f t="shared" si="13"/>
        <v>0</v>
      </c>
      <c r="F149" s="87">
        <v>0</v>
      </c>
      <c r="G149" s="47">
        <f t="shared" si="11"/>
        <v>0</v>
      </c>
      <c r="H149" s="88"/>
      <c r="I149" s="20">
        <v>185</v>
      </c>
      <c r="J149" s="82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161</v>
      </c>
      <c r="C150" s="79">
        <f>+'1'!G150</f>
        <v>0</v>
      </c>
      <c r="D150" s="87">
        <v>0</v>
      </c>
      <c r="E150" s="47">
        <f t="shared" si="13"/>
        <v>0</v>
      </c>
      <c r="F150" s="87">
        <v>0</v>
      </c>
      <c r="G150" s="47">
        <f t="shared" si="11"/>
        <v>0</v>
      </c>
      <c r="H150" s="88"/>
      <c r="I150" s="20">
        <v>185</v>
      </c>
      <c r="J150" s="82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5.5" x14ac:dyDescent="0.55000000000000004">
      <c r="A151" s="10">
        <v>147</v>
      </c>
      <c r="B151" s="19" t="s">
        <v>279</v>
      </c>
      <c r="C151" s="79">
        <f>+'1'!G151</f>
        <v>0</v>
      </c>
      <c r="D151" s="87">
        <v>0</v>
      </c>
      <c r="E151" s="47">
        <f t="shared" si="13"/>
        <v>0</v>
      </c>
      <c r="F151" s="87">
        <v>0</v>
      </c>
      <c r="G151" s="47">
        <f t="shared" si="11"/>
        <v>0</v>
      </c>
      <c r="H151" s="88"/>
      <c r="I151" s="20">
        <v>150</v>
      </c>
      <c r="J151" s="82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280</v>
      </c>
      <c r="C152" s="79">
        <f>+'1'!G152</f>
        <v>1</v>
      </c>
      <c r="D152" s="87">
        <v>0</v>
      </c>
      <c r="E152" s="47">
        <f t="shared" si="13"/>
        <v>1</v>
      </c>
      <c r="F152" s="87">
        <v>0</v>
      </c>
      <c r="G152" s="47">
        <f t="shared" si="11"/>
        <v>1</v>
      </c>
      <c r="H152" s="88"/>
      <c r="I152" s="20">
        <v>150</v>
      </c>
      <c r="J152" s="82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5.5" x14ac:dyDescent="0.55000000000000004">
      <c r="A153" s="10">
        <v>149</v>
      </c>
      <c r="B153" s="19" t="s">
        <v>281</v>
      </c>
      <c r="C153" s="79">
        <f>+'1'!G153</f>
        <v>2</v>
      </c>
      <c r="D153" s="87">
        <v>0</v>
      </c>
      <c r="E153" s="47">
        <f t="shared" si="13"/>
        <v>2</v>
      </c>
      <c r="F153" s="87">
        <v>0</v>
      </c>
      <c r="G153" s="47">
        <f t="shared" si="11"/>
        <v>2</v>
      </c>
      <c r="H153" s="88"/>
      <c r="I153" s="20">
        <v>150</v>
      </c>
      <c r="J153" s="82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282</v>
      </c>
      <c r="C154" s="79">
        <f>+'1'!G154</f>
        <v>0</v>
      </c>
      <c r="D154" s="87">
        <v>0</v>
      </c>
      <c r="E154" s="47">
        <f t="shared" si="13"/>
        <v>0</v>
      </c>
      <c r="F154" s="87">
        <v>0</v>
      </c>
      <c r="G154" s="47">
        <f t="shared" si="11"/>
        <v>0</v>
      </c>
      <c r="H154" s="88"/>
      <c r="I154" s="20">
        <v>150</v>
      </c>
      <c r="J154" s="82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166</v>
      </c>
      <c r="C155" s="79">
        <f>+'1'!G155</f>
        <v>0</v>
      </c>
      <c r="D155" s="87">
        <v>0</v>
      </c>
      <c r="E155" s="47">
        <f t="shared" si="13"/>
        <v>0</v>
      </c>
      <c r="F155" s="87">
        <v>0</v>
      </c>
      <c r="G155" s="47">
        <f t="shared" si="11"/>
        <v>0</v>
      </c>
      <c r="H155" s="88"/>
      <c r="I155" s="20">
        <v>185</v>
      </c>
      <c r="J155" s="82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167</v>
      </c>
      <c r="C156" s="79">
        <f>+'1'!G156</f>
        <v>0</v>
      </c>
      <c r="D156" s="87">
        <v>0</v>
      </c>
      <c r="E156" s="47">
        <f t="shared" si="13"/>
        <v>0</v>
      </c>
      <c r="F156" s="87">
        <v>0</v>
      </c>
      <c r="G156" s="47">
        <f t="shared" si="11"/>
        <v>0</v>
      </c>
      <c r="H156" s="88"/>
      <c r="I156" s="20">
        <v>185</v>
      </c>
      <c r="J156" s="82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168</v>
      </c>
      <c r="C157" s="79">
        <f>+'1'!G157</f>
        <v>0</v>
      </c>
      <c r="D157" s="87">
        <v>0</v>
      </c>
      <c r="E157" s="47">
        <f t="shared" si="13"/>
        <v>0</v>
      </c>
      <c r="F157" s="87">
        <v>0</v>
      </c>
      <c r="G157" s="47">
        <f t="shared" si="11"/>
        <v>0</v>
      </c>
      <c r="H157" s="88"/>
      <c r="I157" s="20">
        <v>185</v>
      </c>
      <c r="J157" s="82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169</v>
      </c>
      <c r="C158" s="79">
        <f>+'1'!G158</f>
        <v>0</v>
      </c>
      <c r="D158" s="87">
        <v>0</v>
      </c>
      <c r="E158" s="47">
        <f t="shared" si="13"/>
        <v>0</v>
      </c>
      <c r="F158" s="87">
        <v>0</v>
      </c>
      <c r="G158" s="47">
        <f t="shared" si="11"/>
        <v>0</v>
      </c>
      <c r="H158" s="88"/>
      <c r="I158" s="20">
        <v>185</v>
      </c>
      <c r="J158" s="82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170</v>
      </c>
      <c r="C159" s="79">
        <f>+'1'!G159</f>
        <v>0</v>
      </c>
      <c r="D159" s="87">
        <v>0</v>
      </c>
      <c r="E159" s="47">
        <f t="shared" si="13"/>
        <v>0</v>
      </c>
      <c r="F159" s="87">
        <v>0</v>
      </c>
      <c r="G159" s="47">
        <f t="shared" si="11"/>
        <v>0</v>
      </c>
      <c r="H159" s="88"/>
      <c r="I159" s="20">
        <v>135</v>
      </c>
      <c r="J159" s="82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171</v>
      </c>
      <c r="C160" s="79">
        <f>+'1'!G160</f>
        <v>0</v>
      </c>
      <c r="D160" s="87">
        <v>0</v>
      </c>
      <c r="E160" s="47">
        <f t="shared" si="13"/>
        <v>0</v>
      </c>
      <c r="F160" s="87">
        <v>0</v>
      </c>
      <c r="G160" s="47">
        <f t="shared" si="11"/>
        <v>0</v>
      </c>
      <c r="H160" s="88"/>
      <c r="I160" s="20">
        <v>90</v>
      </c>
      <c r="J160" s="82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172</v>
      </c>
      <c r="C161" s="79">
        <f>+'1'!G161</f>
        <v>0</v>
      </c>
      <c r="D161" s="87">
        <v>0</v>
      </c>
      <c r="E161" s="47">
        <f t="shared" si="13"/>
        <v>0</v>
      </c>
      <c r="F161" s="87">
        <v>0</v>
      </c>
      <c r="G161" s="47">
        <f t="shared" si="11"/>
        <v>0</v>
      </c>
      <c r="H161" s="88"/>
      <c r="I161" s="20">
        <v>90</v>
      </c>
      <c r="J161" s="82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173</v>
      </c>
      <c r="C162" s="79">
        <f>+'1'!G162</f>
        <v>0</v>
      </c>
      <c r="D162" s="87">
        <v>0</v>
      </c>
      <c r="E162" s="47">
        <f t="shared" si="13"/>
        <v>0</v>
      </c>
      <c r="F162" s="87">
        <v>0</v>
      </c>
      <c r="G162" s="47">
        <f t="shared" si="11"/>
        <v>0</v>
      </c>
      <c r="H162" s="88"/>
      <c r="I162" s="20">
        <v>90</v>
      </c>
      <c r="J162" s="82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174</v>
      </c>
      <c r="C163" s="79">
        <f>+'1'!G163</f>
        <v>0</v>
      </c>
      <c r="D163" s="87">
        <v>0</v>
      </c>
      <c r="E163" s="47">
        <f t="shared" si="13"/>
        <v>0</v>
      </c>
      <c r="F163" s="87">
        <v>0</v>
      </c>
      <c r="G163" s="47">
        <f t="shared" si="11"/>
        <v>0</v>
      </c>
      <c r="H163" s="88"/>
      <c r="I163" s="20">
        <v>90</v>
      </c>
      <c r="J163" s="82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175</v>
      </c>
      <c r="C164" s="79">
        <f>+'1'!G164</f>
        <v>0</v>
      </c>
      <c r="D164" s="87">
        <v>0</v>
      </c>
      <c r="E164" s="47">
        <f t="shared" si="13"/>
        <v>0</v>
      </c>
      <c r="F164" s="87">
        <v>0</v>
      </c>
      <c r="G164" s="47">
        <f t="shared" si="11"/>
        <v>0</v>
      </c>
      <c r="H164" s="88"/>
      <c r="I164" s="20">
        <v>25</v>
      </c>
      <c r="J164" s="82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176</v>
      </c>
      <c r="C165" s="79">
        <f>+'1'!G165</f>
        <v>0</v>
      </c>
      <c r="D165" s="87">
        <v>0</v>
      </c>
      <c r="E165" s="47">
        <f t="shared" si="13"/>
        <v>0</v>
      </c>
      <c r="F165" s="87">
        <v>0</v>
      </c>
      <c r="G165" s="47">
        <f t="shared" ref="G165:G227" si="15">+E165-F165-H165</f>
        <v>0</v>
      </c>
      <c r="H165" s="88"/>
      <c r="I165" s="20">
        <v>50</v>
      </c>
      <c r="J165" s="82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177</v>
      </c>
      <c r="C166" s="79">
        <f>+'1'!G166</f>
        <v>0</v>
      </c>
      <c r="D166" s="87">
        <v>0</v>
      </c>
      <c r="E166" s="47">
        <f t="shared" si="13"/>
        <v>0</v>
      </c>
      <c r="F166" s="87">
        <v>0</v>
      </c>
      <c r="G166" s="47">
        <f t="shared" si="15"/>
        <v>0</v>
      </c>
      <c r="H166" s="88"/>
      <c r="I166" s="20">
        <v>50</v>
      </c>
      <c r="J166" s="82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178</v>
      </c>
      <c r="C167" s="79">
        <f>+'1'!G167</f>
        <v>0</v>
      </c>
      <c r="D167" s="87">
        <v>0</v>
      </c>
      <c r="E167" s="47">
        <f t="shared" si="13"/>
        <v>0</v>
      </c>
      <c r="F167" s="87">
        <v>0</v>
      </c>
      <c r="G167" s="47">
        <f t="shared" si="15"/>
        <v>0</v>
      </c>
      <c r="H167" s="88"/>
      <c r="I167" s="20">
        <v>50</v>
      </c>
      <c r="J167" s="82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179</v>
      </c>
      <c r="C168" s="79">
        <f>+'1'!G168</f>
        <v>7</v>
      </c>
      <c r="D168" s="87">
        <v>0</v>
      </c>
      <c r="E168" s="47">
        <f t="shared" si="13"/>
        <v>7</v>
      </c>
      <c r="F168" s="87">
        <v>0</v>
      </c>
      <c r="G168" s="47">
        <f t="shared" si="15"/>
        <v>7</v>
      </c>
      <c r="H168" s="88"/>
      <c r="I168" s="20">
        <v>50</v>
      </c>
      <c r="J168" s="82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180</v>
      </c>
      <c r="C169" s="79">
        <f>+'1'!G169</f>
        <v>26</v>
      </c>
      <c r="D169" s="87">
        <v>0</v>
      </c>
      <c r="E169" s="47">
        <f t="shared" si="13"/>
        <v>26</v>
      </c>
      <c r="F169" s="87">
        <v>0</v>
      </c>
      <c r="G169" s="47">
        <f t="shared" si="15"/>
        <v>26</v>
      </c>
      <c r="H169" s="88"/>
      <c r="I169" s="20">
        <v>55</v>
      </c>
      <c r="J169" s="82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181</v>
      </c>
      <c r="C170" s="79">
        <f>+'1'!G170</f>
        <v>0</v>
      </c>
      <c r="D170" s="87">
        <v>0</v>
      </c>
      <c r="E170" s="47">
        <f t="shared" si="13"/>
        <v>0</v>
      </c>
      <c r="F170" s="87">
        <v>0</v>
      </c>
      <c r="G170" s="47">
        <f t="shared" si="15"/>
        <v>0</v>
      </c>
      <c r="H170" s="88"/>
      <c r="I170" s="20">
        <v>85</v>
      </c>
      <c r="J170" s="82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182</v>
      </c>
      <c r="C171" s="79">
        <f>+'1'!G171</f>
        <v>0</v>
      </c>
      <c r="D171" s="87">
        <v>0</v>
      </c>
      <c r="E171" s="47">
        <f t="shared" si="13"/>
        <v>0</v>
      </c>
      <c r="F171" s="87">
        <v>0</v>
      </c>
      <c r="G171" s="47">
        <f t="shared" si="15"/>
        <v>0</v>
      </c>
      <c r="H171" s="88"/>
      <c r="I171" s="20">
        <v>80</v>
      </c>
      <c r="J171" s="82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183</v>
      </c>
      <c r="C172" s="79">
        <f>+'1'!G172</f>
        <v>0</v>
      </c>
      <c r="D172" s="87">
        <v>0</v>
      </c>
      <c r="E172" s="47">
        <f t="shared" si="13"/>
        <v>0</v>
      </c>
      <c r="F172" s="87">
        <v>0</v>
      </c>
      <c r="G172" s="47">
        <f t="shared" si="15"/>
        <v>0</v>
      </c>
      <c r="H172" s="88"/>
      <c r="I172" s="20">
        <v>40</v>
      </c>
      <c r="J172" s="82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184</v>
      </c>
      <c r="C173" s="79">
        <f>+'1'!G173</f>
        <v>0</v>
      </c>
      <c r="D173" s="87">
        <v>0</v>
      </c>
      <c r="E173" s="47">
        <f t="shared" si="13"/>
        <v>0</v>
      </c>
      <c r="F173" s="87">
        <v>0</v>
      </c>
      <c r="G173" s="47">
        <f t="shared" si="15"/>
        <v>0</v>
      </c>
      <c r="H173" s="88"/>
      <c r="I173" s="20">
        <v>120</v>
      </c>
      <c r="J173" s="82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185</v>
      </c>
      <c r="C174" s="79">
        <f>+'1'!G174</f>
        <v>0</v>
      </c>
      <c r="D174" s="87">
        <v>0</v>
      </c>
      <c r="E174" s="47">
        <f t="shared" si="13"/>
        <v>0</v>
      </c>
      <c r="F174" s="87">
        <v>0</v>
      </c>
      <c r="G174" s="47">
        <f t="shared" si="15"/>
        <v>0</v>
      </c>
      <c r="H174" s="88"/>
      <c r="I174" s="20">
        <v>120</v>
      </c>
      <c r="J174" s="82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186</v>
      </c>
      <c r="C175" s="79">
        <f>+'1'!G175</f>
        <v>0</v>
      </c>
      <c r="D175" s="87">
        <v>0</v>
      </c>
      <c r="E175" s="47">
        <f t="shared" si="13"/>
        <v>0</v>
      </c>
      <c r="F175" s="87">
        <v>0</v>
      </c>
      <c r="G175" s="47">
        <f t="shared" si="15"/>
        <v>0</v>
      </c>
      <c r="H175" s="88"/>
      <c r="I175" s="20">
        <v>55</v>
      </c>
      <c r="J175" s="82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187</v>
      </c>
      <c r="C176" s="79">
        <f>+'1'!G176</f>
        <v>0</v>
      </c>
      <c r="D176" s="87">
        <v>0</v>
      </c>
      <c r="E176" s="47">
        <f t="shared" si="13"/>
        <v>0</v>
      </c>
      <c r="F176" s="87">
        <v>0</v>
      </c>
      <c r="G176" s="47">
        <f t="shared" si="15"/>
        <v>0</v>
      </c>
      <c r="H176" s="88"/>
      <c r="I176" s="20">
        <v>50</v>
      </c>
      <c r="J176" s="82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188</v>
      </c>
      <c r="C177" s="79">
        <f>+'1'!G177</f>
        <v>3</v>
      </c>
      <c r="D177" s="87">
        <v>0</v>
      </c>
      <c r="E177" s="47">
        <f t="shared" si="13"/>
        <v>3</v>
      </c>
      <c r="F177" s="87">
        <v>0</v>
      </c>
      <c r="G177" s="47">
        <f t="shared" si="15"/>
        <v>2</v>
      </c>
      <c r="H177" s="88">
        <v>1</v>
      </c>
      <c r="I177" s="20">
        <v>50</v>
      </c>
      <c r="J177" s="82">
        <f t="shared" si="16"/>
        <v>50</v>
      </c>
      <c r="K177" s="17" t="s">
        <v>16</v>
      </c>
      <c r="L177" s="18">
        <v>0</v>
      </c>
      <c r="M177" s="23">
        <f t="shared" si="14"/>
        <v>50</v>
      </c>
    </row>
    <row r="178" spans="1:13" ht="25.5" x14ac:dyDescent="0.55000000000000004">
      <c r="A178" s="10">
        <v>174</v>
      </c>
      <c r="B178" s="19" t="s">
        <v>189</v>
      </c>
      <c r="C178" s="79">
        <f>+'1'!G178</f>
        <v>0</v>
      </c>
      <c r="D178" s="87">
        <v>0</v>
      </c>
      <c r="E178" s="47">
        <f t="shared" si="13"/>
        <v>0</v>
      </c>
      <c r="F178" s="87">
        <v>0</v>
      </c>
      <c r="G178" s="47">
        <f t="shared" si="15"/>
        <v>0</v>
      </c>
      <c r="H178" s="88"/>
      <c r="I178" s="20">
        <v>120</v>
      </c>
      <c r="J178" s="82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190</v>
      </c>
      <c r="C179" s="79">
        <f>+'1'!G179</f>
        <v>3</v>
      </c>
      <c r="D179" s="87">
        <v>0</v>
      </c>
      <c r="E179" s="47">
        <f t="shared" si="13"/>
        <v>3</v>
      </c>
      <c r="F179" s="87">
        <v>0</v>
      </c>
      <c r="G179" s="47">
        <f t="shared" si="15"/>
        <v>3</v>
      </c>
      <c r="H179" s="88"/>
      <c r="I179" s="20">
        <v>120</v>
      </c>
      <c r="J179" s="82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191</v>
      </c>
      <c r="C180" s="79">
        <f>+'1'!G180</f>
        <v>0</v>
      </c>
      <c r="D180" s="87">
        <v>0</v>
      </c>
      <c r="E180" s="47">
        <f t="shared" si="13"/>
        <v>0</v>
      </c>
      <c r="F180" s="87">
        <v>0</v>
      </c>
      <c r="G180" s="47">
        <f t="shared" si="15"/>
        <v>0</v>
      </c>
      <c r="H180" s="88"/>
      <c r="I180" s="20">
        <v>10</v>
      </c>
      <c r="J180" s="82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192</v>
      </c>
      <c r="C181" s="79">
        <f>+'1'!G181</f>
        <v>0</v>
      </c>
      <c r="D181" s="87">
        <v>0</v>
      </c>
      <c r="E181" s="47">
        <f t="shared" si="13"/>
        <v>0</v>
      </c>
      <c r="F181" s="87">
        <v>0</v>
      </c>
      <c r="G181" s="47">
        <f t="shared" si="15"/>
        <v>0</v>
      </c>
      <c r="H181" s="88"/>
      <c r="I181" s="20">
        <v>35</v>
      </c>
      <c r="J181" s="82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193</v>
      </c>
      <c r="C182" s="79">
        <f>+'1'!G182</f>
        <v>0</v>
      </c>
      <c r="D182" s="87">
        <v>0</v>
      </c>
      <c r="E182" s="47">
        <f t="shared" si="13"/>
        <v>0</v>
      </c>
      <c r="F182" s="87">
        <v>0</v>
      </c>
      <c r="G182" s="47">
        <f t="shared" si="15"/>
        <v>0</v>
      </c>
      <c r="H182" s="88"/>
      <c r="I182" s="20">
        <v>10</v>
      </c>
      <c r="J182" s="82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194</v>
      </c>
      <c r="C183" s="79">
        <f>+'1'!G183</f>
        <v>0</v>
      </c>
      <c r="D183" s="87">
        <v>0</v>
      </c>
      <c r="E183" s="47">
        <f t="shared" si="13"/>
        <v>0</v>
      </c>
      <c r="F183" s="87">
        <v>0</v>
      </c>
      <c r="G183" s="47">
        <f t="shared" si="15"/>
        <v>0</v>
      </c>
      <c r="H183" s="88"/>
      <c r="I183" s="20">
        <v>10</v>
      </c>
      <c r="J183" s="82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195</v>
      </c>
      <c r="C184" s="79">
        <f>+'1'!G184</f>
        <v>0</v>
      </c>
      <c r="D184" s="87">
        <v>0</v>
      </c>
      <c r="E184" s="47">
        <f t="shared" si="13"/>
        <v>0</v>
      </c>
      <c r="F184" s="87">
        <v>0</v>
      </c>
      <c r="G184" s="47">
        <f t="shared" si="15"/>
        <v>0</v>
      </c>
      <c r="H184" s="88"/>
      <c r="I184" s="20">
        <v>10</v>
      </c>
      <c r="J184" s="82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196</v>
      </c>
      <c r="C185" s="79">
        <f>+'1'!G185</f>
        <v>0</v>
      </c>
      <c r="D185" s="87">
        <v>0</v>
      </c>
      <c r="E185" s="47">
        <f t="shared" si="13"/>
        <v>0</v>
      </c>
      <c r="F185" s="87">
        <v>0</v>
      </c>
      <c r="G185" s="47">
        <f t="shared" si="15"/>
        <v>0</v>
      </c>
      <c r="H185" s="88"/>
      <c r="I185" s="20">
        <v>10</v>
      </c>
      <c r="J185" s="82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197</v>
      </c>
      <c r="C186" s="79">
        <f>+'1'!G186</f>
        <v>0</v>
      </c>
      <c r="D186" s="87">
        <v>0</v>
      </c>
      <c r="E186" s="47">
        <f t="shared" si="13"/>
        <v>0</v>
      </c>
      <c r="F186" s="87">
        <v>0</v>
      </c>
      <c r="G186" s="47">
        <f t="shared" si="15"/>
        <v>0</v>
      </c>
      <c r="H186" s="88"/>
      <c r="I186" s="20">
        <v>10</v>
      </c>
      <c r="J186" s="82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198</v>
      </c>
      <c r="C187" s="79">
        <f>+'1'!G187</f>
        <v>0</v>
      </c>
      <c r="D187" s="87">
        <v>0</v>
      </c>
      <c r="E187" s="47">
        <f t="shared" si="13"/>
        <v>0</v>
      </c>
      <c r="F187" s="87">
        <v>0</v>
      </c>
      <c r="G187" s="47">
        <f t="shared" si="15"/>
        <v>0</v>
      </c>
      <c r="H187" s="88"/>
      <c r="I187" s="20">
        <v>25</v>
      </c>
      <c r="J187" s="82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249</v>
      </c>
      <c r="C188" s="79">
        <f>+'1'!G188</f>
        <v>0</v>
      </c>
      <c r="D188" s="87">
        <v>0</v>
      </c>
      <c r="E188" s="47">
        <f t="shared" si="13"/>
        <v>0</v>
      </c>
      <c r="F188" s="87">
        <v>0</v>
      </c>
      <c r="G188" s="47">
        <f t="shared" si="15"/>
        <v>0</v>
      </c>
      <c r="H188" s="88"/>
      <c r="I188" s="15">
        <v>50</v>
      </c>
      <c r="J188" s="82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250</v>
      </c>
      <c r="C189" s="79">
        <f>+'1'!G189</f>
        <v>0</v>
      </c>
      <c r="D189" s="87">
        <v>0</v>
      </c>
      <c r="E189" s="47">
        <f t="shared" si="13"/>
        <v>0</v>
      </c>
      <c r="F189" s="87">
        <v>0</v>
      </c>
      <c r="G189" s="47">
        <f t="shared" si="15"/>
        <v>0</v>
      </c>
      <c r="H189" s="88"/>
      <c r="I189" s="15">
        <v>10</v>
      </c>
      <c r="J189" s="82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251</v>
      </c>
      <c r="C190" s="79">
        <f>+'1'!G190</f>
        <v>0</v>
      </c>
      <c r="D190" s="87">
        <v>0</v>
      </c>
      <c r="E190" s="47">
        <f t="shared" ref="E190:E252" si="17">C190+D190</f>
        <v>0</v>
      </c>
      <c r="F190" s="87">
        <v>0</v>
      </c>
      <c r="G190" s="47">
        <f t="shared" si="15"/>
        <v>0</v>
      </c>
      <c r="H190" s="88"/>
      <c r="I190" s="15">
        <v>15</v>
      </c>
      <c r="J190" s="82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252</v>
      </c>
      <c r="C191" s="79">
        <f>+'1'!G191</f>
        <v>0</v>
      </c>
      <c r="D191" s="87">
        <v>0</v>
      </c>
      <c r="E191" s="47">
        <f t="shared" si="17"/>
        <v>0</v>
      </c>
      <c r="F191" s="87">
        <v>0</v>
      </c>
      <c r="G191" s="47">
        <f t="shared" si="15"/>
        <v>0</v>
      </c>
      <c r="H191" s="88"/>
      <c r="I191" s="15">
        <v>25</v>
      </c>
      <c r="J191" s="82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253</v>
      </c>
      <c r="C192" s="79">
        <f>+'1'!G192</f>
        <v>0</v>
      </c>
      <c r="D192" s="87">
        <v>0</v>
      </c>
      <c r="E192" s="47">
        <f t="shared" si="17"/>
        <v>0</v>
      </c>
      <c r="F192" s="87">
        <v>0</v>
      </c>
      <c r="G192" s="47">
        <f t="shared" si="15"/>
        <v>0</v>
      </c>
      <c r="H192" s="88"/>
      <c r="I192" s="15">
        <v>50</v>
      </c>
      <c r="J192" s="82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254</v>
      </c>
      <c r="C193" s="79">
        <f>+'1'!G193</f>
        <v>0</v>
      </c>
      <c r="D193" s="87">
        <v>0</v>
      </c>
      <c r="E193" s="47">
        <f t="shared" si="17"/>
        <v>0</v>
      </c>
      <c r="F193" s="87">
        <v>0</v>
      </c>
      <c r="G193" s="47">
        <f t="shared" si="15"/>
        <v>0</v>
      </c>
      <c r="H193" s="88"/>
      <c r="I193" s="15">
        <v>45</v>
      </c>
      <c r="J193" s="82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255</v>
      </c>
      <c r="C194" s="79">
        <f>+'1'!G194</f>
        <v>0</v>
      </c>
      <c r="D194" s="87">
        <v>0</v>
      </c>
      <c r="E194" s="47">
        <f t="shared" si="17"/>
        <v>0</v>
      </c>
      <c r="F194" s="87">
        <v>0</v>
      </c>
      <c r="G194" s="47">
        <f t="shared" si="15"/>
        <v>0</v>
      </c>
      <c r="H194" s="88"/>
      <c r="I194" s="15">
        <v>50</v>
      </c>
      <c r="J194" s="82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199</v>
      </c>
      <c r="C195" s="79">
        <f>+'1'!G195</f>
        <v>0</v>
      </c>
      <c r="D195" s="87">
        <v>0</v>
      </c>
      <c r="E195" s="47">
        <f t="shared" si="17"/>
        <v>0</v>
      </c>
      <c r="F195" s="87">
        <v>0</v>
      </c>
      <c r="G195" s="47">
        <f t="shared" si="15"/>
        <v>0</v>
      </c>
      <c r="H195" s="88"/>
      <c r="I195" s="15">
        <v>150</v>
      </c>
      <c r="J195" s="82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200</v>
      </c>
      <c r="C196" s="79">
        <f>+'1'!G196</f>
        <v>0</v>
      </c>
      <c r="D196" s="87">
        <v>0</v>
      </c>
      <c r="E196" s="47">
        <f t="shared" si="17"/>
        <v>0</v>
      </c>
      <c r="F196" s="87">
        <v>0</v>
      </c>
      <c r="G196" s="47">
        <f t="shared" si="15"/>
        <v>0</v>
      </c>
      <c r="H196" s="88"/>
      <c r="I196" s="15">
        <v>150</v>
      </c>
      <c r="J196" s="82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201</v>
      </c>
      <c r="C197" s="79">
        <f>+'1'!G197</f>
        <v>0</v>
      </c>
      <c r="D197" s="87">
        <v>0</v>
      </c>
      <c r="E197" s="47">
        <f t="shared" si="17"/>
        <v>0</v>
      </c>
      <c r="F197" s="87">
        <v>0</v>
      </c>
      <c r="G197" s="47">
        <f t="shared" si="15"/>
        <v>0</v>
      </c>
      <c r="H197" s="88"/>
      <c r="I197" s="15">
        <v>150</v>
      </c>
      <c r="J197" s="82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256</v>
      </c>
      <c r="C198" s="79">
        <f>+'1'!G198</f>
        <v>0</v>
      </c>
      <c r="D198" s="87">
        <v>0</v>
      </c>
      <c r="E198" s="47">
        <f t="shared" si="17"/>
        <v>0</v>
      </c>
      <c r="F198" s="87">
        <v>0</v>
      </c>
      <c r="G198" s="47">
        <f t="shared" si="15"/>
        <v>0</v>
      </c>
      <c r="H198" s="88"/>
      <c r="I198" s="15">
        <v>55</v>
      </c>
      <c r="J198" s="82">
        <f t="shared" si="16"/>
        <v>0</v>
      </c>
      <c r="K198" s="17" t="s">
        <v>16</v>
      </c>
      <c r="L198" s="18">
        <v>0</v>
      </c>
      <c r="M198" s="23">
        <f t="shared" si="14"/>
        <v>0</v>
      </c>
    </row>
    <row r="199" spans="1:13" ht="25.5" x14ac:dyDescent="0.55000000000000004">
      <c r="A199" s="10">
        <v>195</v>
      </c>
      <c r="B199" s="19" t="s">
        <v>257</v>
      </c>
      <c r="C199" s="79">
        <f>+'1'!G199</f>
        <v>0</v>
      </c>
      <c r="D199" s="87">
        <v>0</v>
      </c>
      <c r="E199" s="47">
        <f t="shared" si="17"/>
        <v>0</v>
      </c>
      <c r="F199" s="87">
        <v>0</v>
      </c>
      <c r="G199" s="47">
        <f t="shared" si="15"/>
        <v>0</v>
      </c>
      <c r="H199" s="88"/>
      <c r="I199" s="15">
        <v>30</v>
      </c>
      <c r="J199" s="82">
        <f t="shared" si="16"/>
        <v>0</v>
      </c>
      <c r="K199" s="17" t="s">
        <v>16</v>
      </c>
      <c r="L199" s="18">
        <v>0</v>
      </c>
      <c r="M199" s="23">
        <f t="shared" ref="M199:M254" si="18">SUM(J199-L199)</f>
        <v>0</v>
      </c>
    </row>
    <row r="200" spans="1:13" ht="25.5" x14ac:dyDescent="0.55000000000000004">
      <c r="A200" s="10">
        <v>196</v>
      </c>
      <c r="B200" s="19" t="s">
        <v>258</v>
      </c>
      <c r="C200" s="79">
        <f>+'1'!G200</f>
        <v>0</v>
      </c>
      <c r="D200" s="87">
        <v>0</v>
      </c>
      <c r="E200" s="47">
        <f t="shared" si="17"/>
        <v>0</v>
      </c>
      <c r="F200" s="87">
        <v>0</v>
      </c>
      <c r="G200" s="47">
        <f t="shared" si="15"/>
        <v>0</v>
      </c>
      <c r="H200" s="88"/>
      <c r="I200" s="15">
        <v>30</v>
      </c>
      <c r="J200" s="82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259</v>
      </c>
      <c r="C201" s="79">
        <f>+'1'!G201</f>
        <v>0</v>
      </c>
      <c r="D201" s="87">
        <v>0</v>
      </c>
      <c r="E201" s="47">
        <f t="shared" si="17"/>
        <v>0</v>
      </c>
      <c r="F201" s="87">
        <v>0</v>
      </c>
      <c r="G201" s="47">
        <f t="shared" si="15"/>
        <v>0</v>
      </c>
      <c r="H201" s="88"/>
      <c r="I201" s="15">
        <v>30</v>
      </c>
      <c r="J201" s="82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260</v>
      </c>
      <c r="C202" s="79">
        <f>+'1'!G202</f>
        <v>0</v>
      </c>
      <c r="D202" s="87">
        <v>0</v>
      </c>
      <c r="E202" s="47">
        <f t="shared" si="17"/>
        <v>0</v>
      </c>
      <c r="F202" s="87">
        <v>0</v>
      </c>
      <c r="G202" s="47">
        <f t="shared" si="15"/>
        <v>0</v>
      </c>
      <c r="H202" s="88"/>
      <c r="I202" s="15">
        <v>30</v>
      </c>
      <c r="J202" s="82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261</v>
      </c>
      <c r="C203" s="79">
        <f>+'1'!G203</f>
        <v>0</v>
      </c>
      <c r="D203" s="87">
        <v>0</v>
      </c>
      <c r="E203" s="47">
        <f t="shared" si="17"/>
        <v>0</v>
      </c>
      <c r="F203" s="87">
        <v>0</v>
      </c>
      <c r="G203" s="47">
        <f t="shared" si="15"/>
        <v>0</v>
      </c>
      <c r="H203" s="88"/>
      <c r="I203" s="20">
        <v>30</v>
      </c>
      <c r="J203" s="82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262</v>
      </c>
      <c r="C204" s="79">
        <f>+'1'!G204</f>
        <v>0</v>
      </c>
      <c r="D204" s="87">
        <v>0</v>
      </c>
      <c r="E204" s="47">
        <f t="shared" si="17"/>
        <v>0</v>
      </c>
      <c r="F204" s="87">
        <v>0</v>
      </c>
      <c r="G204" s="47">
        <f t="shared" si="15"/>
        <v>0</v>
      </c>
      <c r="H204" s="88"/>
      <c r="I204" s="20">
        <v>30</v>
      </c>
      <c r="J204" s="82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263</v>
      </c>
      <c r="C205" s="79">
        <f>+'1'!G205</f>
        <v>0</v>
      </c>
      <c r="D205" s="87">
        <v>0</v>
      </c>
      <c r="E205" s="47">
        <f t="shared" si="17"/>
        <v>0</v>
      </c>
      <c r="F205" s="87">
        <v>0</v>
      </c>
      <c r="G205" s="47">
        <f t="shared" si="15"/>
        <v>0</v>
      </c>
      <c r="H205" s="88"/>
      <c r="I205" s="20">
        <v>50</v>
      </c>
      <c r="J205" s="82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 t="s">
        <v>264</v>
      </c>
      <c r="C206" s="79">
        <f>+'1'!G206</f>
        <v>0</v>
      </c>
      <c r="D206" s="87">
        <v>0</v>
      </c>
      <c r="E206" s="47">
        <f t="shared" si="17"/>
        <v>0</v>
      </c>
      <c r="F206" s="87">
        <v>0</v>
      </c>
      <c r="G206" s="47">
        <f t="shared" si="15"/>
        <v>0</v>
      </c>
      <c r="H206" s="88"/>
      <c r="I206" s="20">
        <v>100</v>
      </c>
      <c r="J206" s="82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265</v>
      </c>
      <c r="C207" s="79">
        <f>+'1'!G207</f>
        <v>0</v>
      </c>
      <c r="D207" s="87">
        <v>0</v>
      </c>
      <c r="E207" s="47">
        <f t="shared" si="17"/>
        <v>0</v>
      </c>
      <c r="F207" s="87">
        <v>0</v>
      </c>
      <c r="G207" s="47">
        <f t="shared" si="15"/>
        <v>0</v>
      </c>
      <c r="H207" s="88"/>
      <c r="I207" s="20">
        <v>100</v>
      </c>
      <c r="J207" s="82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266</v>
      </c>
      <c r="C208" s="79">
        <f>+'1'!G208</f>
        <v>0</v>
      </c>
      <c r="D208" s="87">
        <v>0</v>
      </c>
      <c r="E208" s="47">
        <f t="shared" si="17"/>
        <v>0</v>
      </c>
      <c r="F208" s="87">
        <v>0</v>
      </c>
      <c r="G208" s="47">
        <f t="shared" si="15"/>
        <v>0</v>
      </c>
      <c r="H208" s="88"/>
      <c r="I208" s="20">
        <v>100</v>
      </c>
      <c r="J208" s="82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 t="s">
        <v>267</v>
      </c>
      <c r="C209" s="79">
        <f>+'1'!G209</f>
        <v>0</v>
      </c>
      <c r="D209" s="87">
        <v>0</v>
      </c>
      <c r="E209" s="47">
        <f t="shared" si="17"/>
        <v>0</v>
      </c>
      <c r="F209" s="87">
        <v>0</v>
      </c>
      <c r="G209" s="47">
        <f t="shared" si="15"/>
        <v>0</v>
      </c>
      <c r="H209" s="88"/>
      <c r="I209" s="20">
        <v>100</v>
      </c>
      <c r="J209" s="82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268</v>
      </c>
      <c r="C210" s="79">
        <f>+'1'!G210</f>
        <v>0</v>
      </c>
      <c r="D210" s="87">
        <v>0</v>
      </c>
      <c r="E210" s="47">
        <f t="shared" si="17"/>
        <v>0</v>
      </c>
      <c r="F210" s="87">
        <v>0</v>
      </c>
      <c r="G210" s="47">
        <f t="shared" si="15"/>
        <v>0</v>
      </c>
      <c r="H210" s="88"/>
      <c r="I210" s="20">
        <v>250</v>
      </c>
      <c r="J210" s="82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 t="s">
        <v>269</v>
      </c>
      <c r="C211" s="79">
        <f>+'1'!G211</f>
        <v>0</v>
      </c>
      <c r="D211" s="87">
        <v>0</v>
      </c>
      <c r="E211" s="47">
        <f t="shared" si="17"/>
        <v>0</v>
      </c>
      <c r="F211" s="87">
        <v>0</v>
      </c>
      <c r="G211" s="47">
        <f t="shared" si="15"/>
        <v>0</v>
      </c>
      <c r="H211" s="88"/>
      <c r="I211" s="20">
        <v>250</v>
      </c>
      <c r="J211" s="82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 t="s">
        <v>270</v>
      </c>
      <c r="C212" s="79">
        <f>+'1'!G212</f>
        <v>0</v>
      </c>
      <c r="D212" s="87">
        <v>0</v>
      </c>
      <c r="E212" s="47">
        <f t="shared" si="17"/>
        <v>0</v>
      </c>
      <c r="F212" s="87">
        <v>0</v>
      </c>
      <c r="G212" s="47">
        <f t="shared" si="15"/>
        <v>0</v>
      </c>
      <c r="H212" s="88"/>
      <c r="I212" s="20">
        <v>250</v>
      </c>
      <c r="J212" s="82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 t="s">
        <v>271</v>
      </c>
      <c r="C213" s="79">
        <f>+'1'!G213</f>
        <v>0</v>
      </c>
      <c r="D213" s="87">
        <v>0</v>
      </c>
      <c r="E213" s="47">
        <f t="shared" si="17"/>
        <v>0</v>
      </c>
      <c r="F213" s="87">
        <v>0</v>
      </c>
      <c r="G213" s="47">
        <f t="shared" si="15"/>
        <v>0</v>
      </c>
      <c r="H213" s="88"/>
      <c r="I213" s="20">
        <v>50</v>
      </c>
      <c r="J213" s="82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 t="s">
        <v>273</v>
      </c>
      <c r="C214" s="79">
        <f>+'1'!G214</f>
        <v>0</v>
      </c>
      <c r="D214" s="87">
        <v>0</v>
      </c>
      <c r="E214" s="47">
        <f t="shared" si="17"/>
        <v>0</v>
      </c>
      <c r="F214" s="87">
        <v>0</v>
      </c>
      <c r="G214" s="47">
        <f t="shared" si="15"/>
        <v>0</v>
      </c>
      <c r="H214" s="88"/>
      <c r="I214" s="20">
        <v>50</v>
      </c>
      <c r="J214" s="82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 t="s">
        <v>274</v>
      </c>
      <c r="C215" s="79">
        <f>+'1'!G215</f>
        <v>0</v>
      </c>
      <c r="D215" s="87">
        <v>0</v>
      </c>
      <c r="E215" s="47">
        <f t="shared" si="17"/>
        <v>0</v>
      </c>
      <c r="F215" s="87">
        <v>0</v>
      </c>
      <c r="G215" s="47">
        <f t="shared" si="15"/>
        <v>0</v>
      </c>
      <c r="H215" s="88"/>
      <c r="I215" s="20">
        <v>50</v>
      </c>
      <c r="J215" s="82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 t="s">
        <v>242</v>
      </c>
      <c r="C216" s="79">
        <f>+'1'!G216</f>
        <v>0</v>
      </c>
      <c r="D216" s="87">
        <v>0</v>
      </c>
      <c r="E216" s="47">
        <f t="shared" si="17"/>
        <v>0</v>
      </c>
      <c r="F216" s="87">
        <v>0</v>
      </c>
      <c r="G216" s="47">
        <f t="shared" si="15"/>
        <v>0</v>
      </c>
      <c r="H216" s="88"/>
      <c r="I216" s="20">
        <v>35</v>
      </c>
      <c r="J216" s="82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 t="s">
        <v>275</v>
      </c>
      <c r="C217" s="79">
        <f>+'1'!G217</f>
        <v>0</v>
      </c>
      <c r="D217" s="87">
        <v>0</v>
      </c>
      <c r="E217" s="47">
        <f t="shared" si="17"/>
        <v>0</v>
      </c>
      <c r="F217" s="87">
        <v>0</v>
      </c>
      <c r="G217" s="47">
        <f t="shared" si="15"/>
        <v>0</v>
      </c>
      <c r="H217" s="88"/>
      <c r="I217" s="20">
        <v>199</v>
      </c>
      <c r="J217" s="82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 t="s">
        <v>283</v>
      </c>
      <c r="C218" s="79">
        <f>+'1'!G218</f>
        <v>1</v>
      </c>
      <c r="D218" s="87">
        <v>0</v>
      </c>
      <c r="E218" s="47">
        <f t="shared" si="17"/>
        <v>1</v>
      </c>
      <c r="F218" s="87">
        <v>0</v>
      </c>
      <c r="G218" s="47">
        <f t="shared" si="15"/>
        <v>1</v>
      </c>
      <c r="H218" s="88"/>
      <c r="I218" s="20">
        <v>25</v>
      </c>
      <c r="J218" s="82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 t="s">
        <v>284</v>
      </c>
      <c r="C219" s="79">
        <f>+'1'!G219</f>
        <v>1</v>
      </c>
      <c r="D219" s="87">
        <v>0</v>
      </c>
      <c r="E219" s="47">
        <f t="shared" si="17"/>
        <v>1</v>
      </c>
      <c r="F219" s="87">
        <v>0</v>
      </c>
      <c r="G219" s="47">
        <f t="shared" si="15"/>
        <v>1</v>
      </c>
      <c r="H219" s="88"/>
      <c r="I219" s="20">
        <v>25</v>
      </c>
      <c r="J219" s="82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 t="s">
        <v>314</v>
      </c>
      <c r="C220" s="79">
        <f>+'1'!G220</f>
        <v>0</v>
      </c>
      <c r="D220" s="87">
        <v>0</v>
      </c>
      <c r="E220" s="47">
        <f t="shared" si="17"/>
        <v>0</v>
      </c>
      <c r="F220" s="87">
        <v>0</v>
      </c>
      <c r="G220" s="47">
        <f t="shared" si="15"/>
        <v>0</v>
      </c>
      <c r="H220" s="88"/>
      <c r="I220" s="20">
        <v>35</v>
      </c>
      <c r="J220" s="82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 t="s">
        <v>326</v>
      </c>
      <c r="C221" s="79">
        <f>+'1'!G221</f>
        <v>0</v>
      </c>
      <c r="D221" s="87">
        <v>0</v>
      </c>
      <c r="E221" s="47">
        <f t="shared" si="17"/>
        <v>0</v>
      </c>
      <c r="F221" s="87">
        <v>0</v>
      </c>
      <c r="G221" s="47">
        <f t="shared" si="15"/>
        <v>0</v>
      </c>
      <c r="H221" s="88"/>
      <c r="I221" s="20">
        <v>55</v>
      </c>
      <c r="J221" s="82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 t="s">
        <v>327</v>
      </c>
      <c r="C222" s="79">
        <f>+'1'!G222</f>
        <v>0</v>
      </c>
      <c r="D222" s="87">
        <v>0</v>
      </c>
      <c r="E222" s="47">
        <f t="shared" si="17"/>
        <v>0</v>
      </c>
      <c r="F222" s="87">
        <v>0</v>
      </c>
      <c r="G222" s="47">
        <f t="shared" si="15"/>
        <v>0</v>
      </c>
      <c r="H222" s="88"/>
      <c r="I222" s="20">
        <v>40</v>
      </c>
      <c r="J222" s="82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/>
      <c r="C223" s="79">
        <f>+'1'!G223</f>
        <v>0</v>
      </c>
      <c r="D223" s="87">
        <v>0</v>
      </c>
      <c r="E223" s="47">
        <f t="shared" si="17"/>
        <v>0</v>
      </c>
      <c r="F223" s="87">
        <v>0</v>
      </c>
      <c r="G223" s="47">
        <f t="shared" si="15"/>
        <v>0</v>
      </c>
      <c r="H223" s="88"/>
      <c r="I223" s="20"/>
      <c r="J223" s="82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79">
        <f>+'1'!G224</f>
        <v>0</v>
      </c>
      <c r="D224" s="87">
        <v>0</v>
      </c>
      <c r="E224" s="47">
        <f t="shared" si="17"/>
        <v>0</v>
      </c>
      <c r="F224" s="87">
        <v>0</v>
      </c>
      <c r="G224" s="47">
        <f t="shared" si="15"/>
        <v>0</v>
      </c>
      <c r="H224" s="88"/>
      <c r="I224" s="20"/>
      <c r="J224" s="82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+'1'!G225</f>
        <v>0</v>
      </c>
      <c r="D225" s="87">
        <v>0</v>
      </c>
      <c r="E225" s="47">
        <f t="shared" si="17"/>
        <v>0</v>
      </c>
      <c r="F225" s="87">
        <v>0</v>
      </c>
      <c r="G225" s="47">
        <f t="shared" si="15"/>
        <v>0</v>
      </c>
      <c r="H225" s="88"/>
      <c r="I225" s="20"/>
      <c r="J225" s="82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+'1'!G226</f>
        <v>0</v>
      </c>
      <c r="D226" s="87">
        <v>0</v>
      </c>
      <c r="E226" s="47">
        <f t="shared" si="17"/>
        <v>0</v>
      </c>
      <c r="F226" s="87">
        <v>0</v>
      </c>
      <c r="G226" s="47">
        <f t="shared" si="15"/>
        <v>0</v>
      </c>
      <c r="H226" s="88"/>
      <c r="I226" s="20"/>
      <c r="J226" s="82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+'1'!G227</f>
        <v>0</v>
      </c>
      <c r="D227" s="87">
        <v>0</v>
      </c>
      <c r="E227" s="47">
        <f t="shared" si="17"/>
        <v>0</v>
      </c>
      <c r="F227" s="87">
        <v>0</v>
      </c>
      <c r="G227" s="47">
        <f t="shared" si="15"/>
        <v>0</v>
      </c>
      <c r="H227" s="88"/>
      <c r="I227" s="20"/>
      <c r="J227" s="82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+'1'!G228</f>
        <v>0</v>
      </c>
      <c r="D228" s="87">
        <v>0</v>
      </c>
      <c r="E228" s="47">
        <f t="shared" si="17"/>
        <v>0</v>
      </c>
      <c r="F228" s="87">
        <v>0</v>
      </c>
      <c r="G228" s="47">
        <f t="shared" ref="G228:G254" si="19">+E228-F228-H228</f>
        <v>0</v>
      </c>
      <c r="H228" s="88"/>
      <c r="I228" s="20"/>
      <c r="J228" s="82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+'1'!G229</f>
        <v>0</v>
      </c>
      <c r="D229" s="87">
        <v>0</v>
      </c>
      <c r="E229" s="47">
        <f t="shared" si="17"/>
        <v>0</v>
      </c>
      <c r="F229" s="87">
        <v>0</v>
      </c>
      <c r="G229" s="47">
        <f t="shared" si="19"/>
        <v>0</v>
      </c>
      <c r="H229" s="88"/>
      <c r="I229" s="20"/>
      <c r="J229" s="82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+'1'!G230</f>
        <v>0</v>
      </c>
      <c r="D230" s="87">
        <v>0</v>
      </c>
      <c r="E230" s="47">
        <f t="shared" si="17"/>
        <v>0</v>
      </c>
      <c r="F230" s="87">
        <v>0</v>
      </c>
      <c r="G230" s="47">
        <f t="shared" si="19"/>
        <v>0</v>
      </c>
      <c r="H230" s="88"/>
      <c r="I230" s="20"/>
      <c r="J230" s="82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+'1'!G231</f>
        <v>0</v>
      </c>
      <c r="D231" s="87">
        <v>0</v>
      </c>
      <c r="E231" s="47">
        <f t="shared" si="17"/>
        <v>0</v>
      </c>
      <c r="F231" s="87">
        <v>0</v>
      </c>
      <c r="G231" s="47">
        <f t="shared" si="19"/>
        <v>0</v>
      </c>
      <c r="H231" s="88"/>
      <c r="I231" s="20"/>
      <c r="J231" s="82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+'1'!G232</f>
        <v>0</v>
      </c>
      <c r="D232" s="87">
        <v>0</v>
      </c>
      <c r="E232" s="47">
        <f t="shared" si="17"/>
        <v>0</v>
      </c>
      <c r="F232" s="87">
        <v>0</v>
      </c>
      <c r="G232" s="47">
        <f t="shared" si="19"/>
        <v>0</v>
      </c>
      <c r="H232" s="88"/>
      <c r="I232" s="20"/>
      <c r="J232" s="82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+'1'!G233</f>
        <v>0</v>
      </c>
      <c r="D233" s="87">
        <v>0</v>
      </c>
      <c r="E233" s="47">
        <f t="shared" si="17"/>
        <v>0</v>
      </c>
      <c r="F233" s="87">
        <v>0</v>
      </c>
      <c r="G233" s="47">
        <f t="shared" si="19"/>
        <v>0</v>
      </c>
      <c r="H233" s="88"/>
      <c r="I233" s="20"/>
      <c r="J233" s="82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+'1'!G234</f>
        <v>0</v>
      </c>
      <c r="D234" s="87">
        <v>0</v>
      </c>
      <c r="E234" s="47">
        <f t="shared" si="17"/>
        <v>0</v>
      </c>
      <c r="F234" s="87">
        <v>0</v>
      </c>
      <c r="G234" s="47">
        <f t="shared" si="19"/>
        <v>0</v>
      </c>
      <c r="H234" s="88"/>
      <c r="I234" s="20"/>
      <c r="J234" s="82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+'1'!G235</f>
        <v>0</v>
      </c>
      <c r="D235" s="87">
        <v>0</v>
      </c>
      <c r="E235" s="47">
        <f t="shared" si="17"/>
        <v>0</v>
      </c>
      <c r="F235" s="87">
        <v>0</v>
      </c>
      <c r="G235" s="47">
        <f t="shared" si="19"/>
        <v>0</v>
      </c>
      <c r="H235" s="88"/>
      <c r="I235" s="20"/>
      <c r="J235" s="82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+'1'!G236</f>
        <v>0</v>
      </c>
      <c r="D236" s="87">
        <v>0</v>
      </c>
      <c r="E236" s="47">
        <f t="shared" si="17"/>
        <v>0</v>
      </c>
      <c r="F236" s="87">
        <v>0</v>
      </c>
      <c r="G236" s="47">
        <f t="shared" si="19"/>
        <v>0</v>
      </c>
      <c r="H236" s="88"/>
      <c r="I236" s="20"/>
      <c r="J236" s="82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+'1'!G237</f>
        <v>0</v>
      </c>
      <c r="D237" s="87">
        <v>0</v>
      </c>
      <c r="E237" s="47">
        <f t="shared" si="17"/>
        <v>0</v>
      </c>
      <c r="F237" s="87">
        <v>0</v>
      </c>
      <c r="G237" s="47">
        <f t="shared" si="19"/>
        <v>0</v>
      </c>
      <c r="H237" s="88"/>
      <c r="I237" s="20"/>
      <c r="J237" s="82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+'1'!G238</f>
        <v>0</v>
      </c>
      <c r="D238" s="87">
        <v>0</v>
      </c>
      <c r="E238" s="47">
        <f t="shared" si="17"/>
        <v>0</v>
      </c>
      <c r="F238" s="87">
        <v>0</v>
      </c>
      <c r="G238" s="47">
        <f t="shared" si="19"/>
        <v>0</v>
      </c>
      <c r="H238" s="88"/>
      <c r="I238" s="20"/>
      <c r="J238" s="82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+'1'!G239</f>
        <v>0</v>
      </c>
      <c r="D239" s="87">
        <v>0</v>
      </c>
      <c r="E239" s="47">
        <f t="shared" si="17"/>
        <v>0</v>
      </c>
      <c r="F239" s="87">
        <v>0</v>
      </c>
      <c r="G239" s="47">
        <f t="shared" si="19"/>
        <v>0</v>
      </c>
      <c r="H239" s="88"/>
      <c r="I239" s="20"/>
      <c r="J239" s="82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+'1'!G240</f>
        <v>0</v>
      </c>
      <c r="D240" s="87">
        <v>0</v>
      </c>
      <c r="E240" s="47">
        <f t="shared" si="17"/>
        <v>0</v>
      </c>
      <c r="F240" s="87">
        <v>0</v>
      </c>
      <c r="G240" s="47">
        <f t="shared" si="19"/>
        <v>0</v>
      </c>
      <c r="H240" s="88"/>
      <c r="I240" s="20"/>
      <c r="J240" s="82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+'1'!G241</f>
        <v>0</v>
      </c>
      <c r="D241" s="87">
        <v>0</v>
      </c>
      <c r="E241" s="47">
        <f t="shared" si="17"/>
        <v>0</v>
      </c>
      <c r="F241" s="87">
        <v>0</v>
      </c>
      <c r="G241" s="47">
        <f t="shared" si="19"/>
        <v>0</v>
      </c>
      <c r="H241" s="88"/>
      <c r="I241" s="20"/>
      <c r="J241" s="82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+'1'!G242</f>
        <v>0</v>
      </c>
      <c r="D242" s="87">
        <v>0</v>
      </c>
      <c r="E242" s="47">
        <f t="shared" si="17"/>
        <v>0</v>
      </c>
      <c r="F242" s="87">
        <v>0</v>
      </c>
      <c r="G242" s="47">
        <f t="shared" si="19"/>
        <v>0</v>
      </c>
      <c r="H242" s="88"/>
      <c r="I242" s="20"/>
      <c r="J242" s="82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+'1'!G243</f>
        <v>0</v>
      </c>
      <c r="D243" s="87">
        <v>0</v>
      </c>
      <c r="E243" s="47">
        <f t="shared" si="17"/>
        <v>0</v>
      </c>
      <c r="F243" s="87">
        <v>0</v>
      </c>
      <c r="G243" s="47">
        <f t="shared" si="19"/>
        <v>0</v>
      </c>
      <c r="H243" s="88"/>
      <c r="I243" s="20"/>
      <c r="J243" s="82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+'1'!G244</f>
        <v>0</v>
      </c>
      <c r="D244" s="87">
        <v>0</v>
      </c>
      <c r="E244" s="47">
        <f t="shared" si="17"/>
        <v>0</v>
      </c>
      <c r="F244" s="87">
        <v>0</v>
      </c>
      <c r="G244" s="47">
        <f t="shared" si="19"/>
        <v>0</v>
      </c>
      <c r="H244" s="88"/>
      <c r="I244" s="20"/>
      <c r="J244" s="82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+'1'!G245</f>
        <v>0</v>
      </c>
      <c r="D245" s="87">
        <v>0</v>
      </c>
      <c r="E245" s="47">
        <f t="shared" si="17"/>
        <v>0</v>
      </c>
      <c r="F245" s="87">
        <v>0</v>
      </c>
      <c r="G245" s="47">
        <f t="shared" si="19"/>
        <v>0</v>
      </c>
      <c r="H245" s="88"/>
      <c r="I245" s="20"/>
      <c r="J245" s="82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+'1'!G246</f>
        <v>0</v>
      </c>
      <c r="D246" s="87">
        <v>0</v>
      </c>
      <c r="E246" s="47">
        <f t="shared" si="17"/>
        <v>0</v>
      </c>
      <c r="F246" s="87">
        <v>0</v>
      </c>
      <c r="G246" s="47">
        <f t="shared" si="19"/>
        <v>0</v>
      </c>
      <c r="H246" s="88"/>
      <c r="I246" s="20"/>
      <c r="J246" s="82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+'1'!G247</f>
        <v>0</v>
      </c>
      <c r="D247" s="87">
        <v>0</v>
      </c>
      <c r="E247" s="47">
        <f t="shared" si="17"/>
        <v>0</v>
      </c>
      <c r="F247" s="87">
        <v>0</v>
      </c>
      <c r="G247" s="47">
        <f t="shared" si="19"/>
        <v>0</v>
      </c>
      <c r="H247" s="88"/>
      <c r="I247" s="20"/>
      <c r="J247" s="82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+'1'!G248</f>
        <v>0</v>
      </c>
      <c r="D248" s="87">
        <v>0</v>
      </c>
      <c r="E248" s="47">
        <f t="shared" si="17"/>
        <v>0</v>
      </c>
      <c r="F248" s="87">
        <v>0</v>
      </c>
      <c r="G248" s="47">
        <f t="shared" si="19"/>
        <v>0</v>
      </c>
      <c r="H248" s="88"/>
      <c r="I248" s="20"/>
      <c r="J248" s="82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+'1'!G249</f>
        <v>0</v>
      </c>
      <c r="D249" s="87">
        <v>0</v>
      </c>
      <c r="E249" s="47">
        <f t="shared" si="17"/>
        <v>0</v>
      </c>
      <c r="F249" s="87">
        <v>0</v>
      </c>
      <c r="G249" s="47">
        <f t="shared" si="19"/>
        <v>0</v>
      </c>
      <c r="H249" s="88"/>
      <c r="I249" s="20"/>
      <c r="J249" s="82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+'1'!G250</f>
        <v>0</v>
      </c>
      <c r="D250" s="87">
        <v>0</v>
      </c>
      <c r="E250" s="47">
        <f t="shared" si="17"/>
        <v>0</v>
      </c>
      <c r="F250" s="87">
        <v>0</v>
      </c>
      <c r="G250" s="47">
        <f t="shared" si="19"/>
        <v>0</v>
      </c>
      <c r="H250" s="88"/>
      <c r="I250" s="20"/>
      <c r="J250" s="82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+'1'!G251</f>
        <v>0</v>
      </c>
      <c r="D251" s="87">
        <v>0</v>
      </c>
      <c r="E251" s="47">
        <f t="shared" si="17"/>
        <v>0</v>
      </c>
      <c r="F251" s="87">
        <v>0</v>
      </c>
      <c r="G251" s="47">
        <f t="shared" si="19"/>
        <v>0</v>
      </c>
      <c r="H251" s="88"/>
      <c r="I251" s="20"/>
      <c r="J251" s="82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+'1'!G252</f>
        <v>0</v>
      </c>
      <c r="D252" s="87">
        <v>0</v>
      </c>
      <c r="E252" s="47">
        <f t="shared" si="17"/>
        <v>0</v>
      </c>
      <c r="F252" s="87">
        <v>0</v>
      </c>
      <c r="G252" s="47">
        <f t="shared" si="19"/>
        <v>0</v>
      </c>
      <c r="H252" s="88"/>
      <c r="I252" s="20"/>
      <c r="J252" s="82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+'1'!G253</f>
        <v>0</v>
      </c>
      <c r="D253" s="87">
        <v>0</v>
      </c>
      <c r="E253" s="47">
        <f t="shared" ref="E253:E254" si="21">C253+D253</f>
        <v>0</v>
      </c>
      <c r="F253" s="87">
        <v>0</v>
      </c>
      <c r="G253" s="47">
        <f t="shared" si="19"/>
        <v>0</v>
      </c>
      <c r="H253" s="88"/>
      <c r="I253" s="20"/>
      <c r="J253" s="82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+'1'!G254</f>
        <v>0</v>
      </c>
      <c r="D254" s="87">
        <v>0</v>
      </c>
      <c r="E254" s="47">
        <f t="shared" si="21"/>
        <v>0</v>
      </c>
      <c r="F254" s="87">
        <v>0</v>
      </c>
      <c r="G254" s="47">
        <f t="shared" si="19"/>
        <v>0</v>
      </c>
      <c r="H254" s="88"/>
      <c r="I254" s="20"/>
      <c r="J254" s="82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915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3" t="s">
        <v>213</v>
      </c>
      <c r="N255" s="143"/>
    </row>
    <row r="256" spans="1:14" ht="25.5" customHeight="1" x14ac:dyDescent="0.5">
      <c r="A256" s="1"/>
      <c r="C256" s="24"/>
      <c r="D256" s="25"/>
      <c r="E256" s="24"/>
      <c r="F256" s="25"/>
      <c r="G256" s="24"/>
      <c r="H256" s="148" t="s">
        <v>212</v>
      </c>
      <c r="I256" s="149"/>
      <c r="J256" s="30">
        <f>+X138</f>
        <v>0</v>
      </c>
      <c r="K256" s="27"/>
      <c r="L256" s="29"/>
    </row>
    <row r="257" spans="1:13" ht="25.5" x14ac:dyDescent="0.55000000000000004">
      <c r="A257" s="1"/>
      <c r="C257" s="31"/>
      <c r="E257" s="31"/>
      <c r="G257" s="31"/>
      <c r="H257" s="32"/>
      <c r="I257" s="150" t="s">
        <v>202</v>
      </c>
      <c r="J257" s="150"/>
      <c r="K257" s="33">
        <f>SUM(J5:J256)</f>
        <v>965</v>
      </c>
    </row>
    <row r="258" spans="1:13" ht="25.5" x14ac:dyDescent="0.55000000000000004">
      <c r="A258" s="1"/>
      <c r="C258" s="31"/>
      <c r="E258" s="31"/>
      <c r="G258" s="31"/>
      <c r="I258" s="140" t="s">
        <v>203</v>
      </c>
      <c r="J258" s="141"/>
      <c r="K258" s="36">
        <v>15</v>
      </c>
    </row>
    <row r="259" spans="1:13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315</v>
      </c>
      <c r="L259" s="2">
        <v>65</v>
      </c>
      <c r="M259" s="2">
        <v>250</v>
      </c>
    </row>
    <row r="260" spans="1:13" ht="25.5" x14ac:dyDescent="0.55000000000000004">
      <c r="A260" s="1"/>
      <c r="C260" s="31"/>
      <c r="E260" s="31"/>
      <c r="G260" s="31"/>
      <c r="I260" s="140" t="s">
        <v>205</v>
      </c>
      <c r="J260" s="141"/>
      <c r="K260" s="36">
        <v>0</v>
      </c>
    </row>
    <row r="261" spans="1:13" ht="25.5" x14ac:dyDescent="0.55000000000000004">
      <c r="A261" s="1"/>
      <c r="C261" s="31"/>
      <c r="E261" s="31"/>
      <c r="G261" s="31"/>
      <c r="I261" s="140" t="s">
        <v>206</v>
      </c>
      <c r="J261" s="141"/>
      <c r="K261" s="36">
        <v>0</v>
      </c>
    </row>
    <row r="262" spans="1:13" ht="25.5" x14ac:dyDescent="0.55000000000000004">
      <c r="A262" s="1"/>
      <c r="C262" s="31"/>
      <c r="E262" s="31"/>
      <c r="G262" s="31"/>
      <c r="I262" s="140" t="s">
        <v>207</v>
      </c>
      <c r="J262" s="141"/>
      <c r="K262" s="37">
        <f>SUM(L5:L255)</f>
        <v>50</v>
      </c>
    </row>
    <row r="263" spans="1:13" ht="25.5" x14ac:dyDescent="0.55000000000000004">
      <c r="A263" s="1"/>
      <c r="C263" s="31"/>
      <c r="E263" s="31"/>
      <c r="G263" s="31"/>
      <c r="I263" s="140" t="s">
        <v>208</v>
      </c>
      <c r="J263" s="141"/>
      <c r="K263" s="33">
        <f>K257-K258-K259-K261-K262</f>
        <v>585</v>
      </c>
    </row>
    <row r="264" spans="1:13" ht="25.5" x14ac:dyDescent="0.55000000000000004">
      <c r="A264" s="1"/>
      <c r="C264" s="31"/>
      <c r="E264" s="31"/>
      <c r="G264" s="31"/>
      <c r="I264" s="140" t="s">
        <v>209</v>
      </c>
      <c r="J264" s="141"/>
      <c r="K264" s="37">
        <v>585</v>
      </c>
    </row>
    <row r="265" spans="1:13" ht="25.5" x14ac:dyDescent="0.55000000000000004">
      <c r="A265" s="1"/>
      <c r="C265" s="31"/>
      <c r="E265" s="31"/>
      <c r="G265" s="31"/>
      <c r="I265" s="140" t="s">
        <v>210</v>
      </c>
      <c r="J265" s="141"/>
      <c r="K265" s="33">
        <f>+K264-K263</f>
        <v>0</v>
      </c>
    </row>
    <row r="266" spans="1:13" ht="25.5" x14ac:dyDescent="0.55000000000000004">
      <c r="G266" s="2"/>
      <c r="I266" s="140" t="s">
        <v>211</v>
      </c>
      <c r="J266" s="141"/>
      <c r="K266" s="33">
        <f>+K264-K263</f>
        <v>0</v>
      </c>
    </row>
    <row r="267" spans="1:13" x14ac:dyDescent="0.5">
      <c r="G267" s="2"/>
      <c r="I267" s="2"/>
    </row>
    <row r="268" spans="1:13" ht="25.5" x14ac:dyDescent="0.55000000000000004">
      <c r="G268" s="2"/>
      <c r="I268" s="105" t="s">
        <v>312</v>
      </c>
    </row>
    <row r="269" spans="1:13" x14ac:dyDescent="0.5">
      <c r="G269" s="2"/>
      <c r="I269" s="2"/>
    </row>
    <row r="270" spans="1:13" x14ac:dyDescent="0.5">
      <c r="G270" s="2"/>
      <c r="I270" s="2"/>
    </row>
    <row r="271" spans="1:13" x14ac:dyDescent="0.5">
      <c r="G271" s="2"/>
      <c r="I271" s="2"/>
    </row>
    <row r="272" spans="1:13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8596F-13BB-4681-9D5E-96594F2D48A4}">
  <sheetPr>
    <tabColor theme="7" tint="-0.249977111117893"/>
  </sheetPr>
  <dimension ref="A1:AB341"/>
  <sheetViews>
    <sheetView zoomScaleNormal="100" workbookViewId="0">
      <pane xSplit="7" ySplit="4" topLeftCell="H167" activePane="bottomRight" state="frozen"/>
      <selection activeCell="B20" sqref="B20"/>
      <selection pane="topRight" activeCell="B20" sqref="B20"/>
      <selection pane="bottomLeft" activeCell="B20" sqref="B20"/>
      <selection pane="bottomRight" activeCell="B20" sqref="B20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8" x14ac:dyDescent="0.5">
      <c r="A1" s="1"/>
      <c r="G1" s="2"/>
      <c r="I1" s="2"/>
    </row>
    <row r="2" spans="1:28" s="3" customFormat="1" ht="29.25" x14ac:dyDescent="0.6">
      <c r="A2" s="137" t="s">
        <v>247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8" s="5" customFormat="1" ht="26.25" x14ac:dyDescent="0.55000000000000004">
      <c r="A3" s="139" t="s">
        <v>1</v>
      </c>
      <c r="B3" s="151" t="s">
        <v>2</v>
      </c>
      <c r="C3" s="139" t="s">
        <v>3</v>
      </c>
      <c r="D3" s="139" t="s">
        <v>4</v>
      </c>
      <c r="E3" s="139" t="s">
        <v>5</v>
      </c>
      <c r="F3" s="85" t="s">
        <v>6</v>
      </c>
      <c r="G3" s="139" t="s">
        <v>7</v>
      </c>
      <c r="H3" s="142" t="s">
        <v>8</v>
      </c>
      <c r="I3" s="142"/>
      <c r="J3" s="142"/>
      <c r="K3" s="139" t="s">
        <v>9</v>
      </c>
      <c r="L3" s="144" t="s">
        <v>10</v>
      </c>
      <c r="O3" s="139" t="s">
        <v>1</v>
      </c>
      <c r="P3" s="139" t="s">
        <v>2</v>
      </c>
      <c r="Q3" s="139" t="s">
        <v>3</v>
      </c>
      <c r="R3" s="139" t="s">
        <v>4</v>
      </c>
      <c r="S3" s="139" t="s">
        <v>5</v>
      </c>
      <c r="T3" s="85" t="s">
        <v>6</v>
      </c>
      <c r="U3" s="139" t="s">
        <v>7</v>
      </c>
      <c r="V3" s="142" t="s">
        <v>8</v>
      </c>
      <c r="W3" s="142"/>
      <c r="X3" s="142"/>
      <c r="Y3" s="139" t="s">
        <v>9</v>
      </c>
      <c r="Z3" s="144" t="s">
        <v>10</v>
      </c>
    </row>
    <row r="4" spans="1:28" s="5" customFormat="1" ht="26.25" x14ac:dyDescent="0.55000000000000004">
      <c r="A4" s="139"/>
      <c r="B4" s="151"/>
      <c r="C4" s="139"/>
      <c r="D4" s="139"/>
      <c r="E4" s="139"/>
      <c r="F4" s="85" t="s">
        <v>11</v>
      </c>
      <c r="G4" s="139"/>
      <c r="H4" s="85" t="s">
        <v>12</v>
      </c>
      <c r="I4" s="86" t="s">
        <v>13</v>
      </c>
      <c r="J4" s="85" t="s">
        <v>14</v>
      </c>
      <c r="K4" s="139"/>
      <c r="L4" s="144"/>
      <c r="O4" s="139"/>
      <c r="P4" s="139"/>
      <c r="Q4" s="139"/>
      <c r="R4" s="139"/>
      <c r="S4" s="139"/>
      <c r="T4" s="85" t="s">
        <v>11</v>
      </c>
      <c r="U4" s="139"/>
      <c r="V4" s="85" t="s">
        <v>12</v>
      </c>
      <c r="W4" s="86" t="s">
        <v>13</v>
      </c>
      <c r="X4" s="85" t="s">
        <v>14</v>
      </c>
      <c r="Y4" s="139"/>
      <c r="Z4" s="144"/>
      <c r="AB4" s="5" t="s">
        <v>2</v>
      </c>
    </row>
    <row r="5" spans="1:28" ht="25.5" x14ac:dyDescent="0.55000000000000004">
      <c r="A5" s="10">
        <v>1</v>
      </c>
      <c r="B5" s="19" t="s">
        <v>15</v>
      </c>
      <c r="C5" s="79">
        <f>+'2'!G5</f>
        <v>25</v>
      </c>
      <c r="D5" s="87">
        <v>2</v>
      </c>
      <c r="E5" s="47">
        <f t="shared" ref="E5:E125" si="0">C5+D5</f>
        <v>27</v>
      </c>
      <c r="F5" s="87">
        <v>0</v>
      </c>
      <c r="G5" s="47">
        <f>+E5-F5-H5</f>
        <v>22</v>
      </c>
      <c r="H5" s="88">
        <v>5</v>
      </c>
      <c r="I5" s="15">
        <v>50</v>
      </c>
      <c r="J5" s="82">
        <f>+I5*H5</f>
        <v>250</v>
      </c>
      <c r="K5" s="17" t="s">
        <v>16</v>
      </c>
      <c r="L5" s="18">
        <v>0</v>
      </c>
      <c r="M5" s="23">
        <f>SUM(J5-L5)</f>
        <v>250</v>
      </c>
      <c r="O5" s="10">
        <v>1</v>
      </c>
      <c r="P5" s="19"/>
      <c r="Q5" s="47">
        <v>0</v>
      </c>
      <c r="R5" s="87">
        <v>0</v>
      </c>
      <c r="S5" s="47">
        <f t="shared" ref="S5:S14" si="1">Q5+R5</f>
        <v>0</v>
      </c>
      <c r="T5" s="87">
        <v>0</v>
      </c>
      <c r="U5" s="47">
        <f t="shared" ref="U5:U14" si="2">S5-T5-V5</f>
        <v>0</v>
      </c>
      <c r="V5" s="88">
        <v>0</v>
      </c>
      <c r="W5" s="22"/>
      <c r="X5" s="44">
        <f t="shared" ref="X5:X14" si="3">V5*W5</f>
        <v>0</v>
      </c>
      <c r="Y5" s="17" t="s">
        <v>16</v>
      </c>
      <c r="Z5" s="18">
        <v>0</v>
      </c>
      <c r="AB5" s="2" t="s">
        <v>317</v>
      </c>
    </row>
    <row r="6" spans="1:28" ht="25.5" x14ac:dyDescent="0.55000000000000004">
      <c r="A6" s="10">
        <v>2</v>
      </c>
      <c r="B6" s="19" t="s">
        <v>17</v>
      </c>
      <c r="C6" s="79">
        <f>+'2'!G6</f>
        <v>16</v>
      </c>
      <c r="D6" s="87">
        <v>10</v>
      </c>
      <c r="E6" s="47">
        <f t="shared" si="0"/>
        <v>26</v>
      </c>
      <c r="F6" s="87">
        <v>0</v>
      </c>
      <c r="G6" s="47">
        <f t="shared" ref="G6:G100" si="4">+E6-F6-H6</f>
        <v>24</v>
      </c>
      <c r="H6" s="88">
        <v>2</v>
      </c>
      <c r="I6" s="15">
        <v>100</v>
      </c>
      <c r="J6" s="82">
        <f t="shared" ref="J6:J100" si="5">+I6*H6</f>
        <v>200</v>
      </c>
      <c r="K6" s="17" t="s">
        <v>16</v>
      </c>
      <c r="L6" s="18">
        <v>0</v>
      </c>
      <c r="M6" s="23">
        <f t="shared" ref="M6:M69" si="6">SUM(J6-L6)</f>
        <v>200</v>
      </c>
      <c r="O6" s="10">
        <v>2</v>
      </c>
      <c r="P6" s="19"/>
      <c r="Q6" s="47">
        <v>0</v>
      </c>
      <c r="R6" s="87">
        <v>0</v>
      </c>
      <c r="S6" s="47">
        <f t="shared" si="1"/>
        <v>0</v>
      </c>
      <c r="T6" s="87">
        <v>0</v>
      </c>
      <c r="U6" s="47">
        <f t="shared" si="2"/>
        <v>0</v>
      </c>
      <c r="V6" s="88">
        <v>0</v>
      </c>
      <c r="W6" s="22"/>
      <c r="X6" s="44">
        <f t="shared" si="3"/>
        <v>0</v>
      </c>
      <c r="Y6" s="17" t="s">
        <v>16</v>
      </c>
      <c r="Z6" s="18">
        <v>0</v>
      </c>
      <c r="AB6" s="2" t="s">
        <v>318</v>
      </c>
    </row>
    <row r="7" spans="1:28" ht="25.5" x14ac:dyDescent="0.55000000000000004">
      <c r="A7" s="10">
        <v>3</v>
      </c>
      <c r="B7" s="19" t="s">
        <v>18</v>
      </c>
      <c r="C7" s="79">
        <f>+'2'!G7</f>
        <v>0</v>
      </c>
      <c r="D7" s="87">
        <v>0</v>
      </c>
      <c r="E7" s="47">
        <f>C7+D7</f>
        <v>0</v>
      </c>
      <c r="F7" s="87">
        <v>0</v>
      </c>
      <c r="G7" s="47">
        <f t="shared" si="4"/>
        <v>0</v>
      </c>
      <c r="H7" s="88"/>
      <c r="I7" s="15">
        <v>50</v>
      </c>
      <c r="J7" s="8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7">
        <v>0</v>
      </c>
      <c r="S7" s="47">
        <f t="shared" si="1"/>
        <v>0</v>
      </c>
      <c r="T7" s="87">
        <v>0</v>
      </c>
      <c r="U7" s="47">
        <f t="shared" si="2"/>
        <v>0</v>
      </c>
      <c r="V7" s="88">
        <v>0</v>
      </c>
      <c r="W7" s="22"/>
      <c r="X7" s="44">
        <f t="shared" si="3"/>
        <v>0</v>
      </c>
      <c r="Y7" s="17" t="s">
        <v>16</v>
      </c>
      <c r="Z7" s="18">
        <v>0</v>
      </c>
      <c r="AB7" s="2" t="s">
        <v>319</v>
      </c>
    </row>
    <row r="8" spans="1:28" ht="25.5" x14ac:dyDescent="0.55000000000000004">
      <c r="A8" s="10">
        <v>4</v>
      </c>
      <c r="B8" s="19" t="s">
        <v>19</v>
      </c>
      <c r="C8" s="79">
        <f>+'2'!G8</f>
        <v>0</v>
      </c>
      <c r="D8" s="87">
        <v>0</v>
      </c>
      <c r="E8" s="47">
        <f>C8+D8</f>
        <v>0</v>
      </c>
      <c r="F8" s="87">
        <v>0</v>
      </c>
      <c r="G8" s="47">
        <f t="shared" si="4"/>
        <v>0</v>
      </c>
      <c r="H8" s="88"/>
      <c r="I8" s="15">
        <v>100</v>
      </c>
      <c r="J8" s="8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7">
        <v>0</v>
      </c>
      <c r="S8" s="47">
        <f t="shared" si="1"/>
        <v>0</v>
      </c>
      <c r="T8" s="87">
        <v>0</v>
      </c>
      <c r="U8" s="47">
        <f t="shared" si="2"/>
        <v>0</v>
      </c>
      <c r="V8" s="88">
        <v>0</v>
      </c>
      <c r="W8" s="22"/>
      <c r="X8" s="44">
        <f t="shared" si="3"/>
        <v>0</v>
      </c>
      <c r="Y8" s="17" t="s">
        <v>16</v>
      </c>
      <c r="Z8" s="18">
        <v>0</v>
      </c>
      <c r="AB8" s="2" t="s">
        <v>320</v>
      </c>
    </row>
    <row r="9" spans="1:28" ht="25.5" x14ac:dyDescent="0.55000000000000004">
      <c r="A9" s="10">
        <v>5</v>
      </c>
      <c r="B9" s="19" t="s">
        <v>20</v>
      </c>
      <c r="C9" s="79">
        <f>+'2'!G9</f>
        <v>0</v>
      </c>
      <c r="D9" s="87">
        <v>0</v>
      </c>
      <c r="E9" s="47">
        <f>C9+D9</f>
        <v>0</v>
      </c>
      <c r="F9" s="87">
        <v>0</v>
      </c>
      <c r="G9" s="47">
        <f t="shared" si="4"/>
        <v>0</v>
      </c>
      <c r="H9" s="88"/>
      <c r="I9" s="15">
        <v>12</v>
      </c>
      <c r="J9" s="8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7">
        <v>0</v>
      </c>
      <c r="S9" s="47">
        <f t="shared" si="1"/>
        <v>0</v>
      </c>
      <c r="T9" s="87">
        <v>0</v>
      </c>
      <c r="U9" s="47">
        <f t="shared" si="2"/>
        <v>0</v>
      </c>
      <c r="V9" s="88">
        <v>0</v>
      </c>
      <c r="W9" s="22"/>
      <c r="X9" s="44">
        <f t="shared" si="3"/>
        <v>0</v>
      </c>
      <c r="Y9" s="17" t="s">
        <v>16</v>
      </c>
      <c r="Z9" s="18">
        <v>0</v>
      </c>
      <c r="AB9" s="2" t="s">
        <v>307</v>
      </c>
    </row>
    <row r="10" spans="1:28" ht="25.5" x14ac:dyDescent="0.55000000000000004">
      <c r="A10" s="10">
        <v>6</v>
      </c>
      <c r="B10" s="19" t="s">
        <v>21</v>
      </c>
      <c r="C10" s="79">
        <f>+'2'!G10</f>
        <v>0</v>
      </c>
      <c r="D10" s="87">
        <v>0</v>
      </c>
      <c r="E10" s="47">
        <f>C10+D10</f>
        <v>0</v>
      </c>
      <c r="F10" s="87">
        <v>0</v>
      </c>
      <c r="G10" s="47">
        <f t="shared" si="4"/>
        <v>0</v>
      </c>
      <c r="H10" s="88"/>
      <c r="I10" s="15">
        <v>15</v>
      </c>
      <c r="J10" s="8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7">
        <v>0</v>
      </c>
      <c r="S10" s="47">
        <f t="shared" si="1"/>
        <v>0</v>
      </c>
      <c r="T10" s="87">
        <v>0</v>
      </c>
      <c r="U10" s="47">
        <f t="shared" si="2"/>
        <v>0</v>
      </c>
      <c r="V10" s="88">
        <v>0</v>
      </c>
      <c r="W10" s="22"/>
      <c r="X10" s="44">
        <f t="shared" si="3"/>
        <v>0</v>
      </c>
      <c r="Y10" s="17" t="s">
        <v>16</v>
      </c>
      <c r="Z10" s="18">
        <v>0</v>
      </c>
      <c r="AB10" s="2" t="s">
        <v>311</v>
      </c>
    </row>
    <row r="11" spans="1:28" ht="25.5" x14ac:dyDescent="0.55000000000000004">
      <c r="A11" s="10">
        <v>7</v>
      </c>
      <c r="B11" s="19" t="s">
        <v>22</v>
      </c>
      <c r="C11" s="79">
        <f>+'2'!G11</f>
        <v>0</v>
      </c>
      <c r="D11" s="87">
        <v>0</v>
      </c>
      <c r="E11" s="47">
        <f t="shared" si="0"/>
        <v>0</v>
      </c>
      <c r="F11" s="87">
        <v>0</v>
      </c>
      <c r="G11" s="47">
        <f t="shared" si="4"/>
        <v>0</v>
      </c>
      <c r="H11" s="88"/>
      <c r="I11" s="15">
        <v>40</v>
      </c>
      <c r="J11" s="8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7">
        <v>0</v>
      </c>
      <c r="S11" s="47">
        <f t="shared" si="1"/>
        <v>0</v>
      </c>
      <c r="T11" s="87">
        <v>0</v>
      </c>
      <c r="U11" s="47">
        <f t="shared" si="2"/>
        <v>0</v>
      </c>
      <c r="V11" s="88">
        <v>0</v>
      </c>
      <c r="W11" s="22"/>
      <c r="X11" s="44">
        <f t="shared" si="3"/>
        <v>0</v>
      </c>
      <c r="Y11" s="17" t="s">
        <v>16</v>
      </c>
      <c r="Z11" s="18">
        <v>0</v>
      </c>
      <c r="AB11" s="2" t="s">
        <v>321</v>
      </c>
    </row>
    <row r="12" spans="1:28" ht="25.5" x14ac:dyDescent="0.55000000000000004">
      <c r="A12" s="10">
        <v>8</v>
      </c>
      <c r="B12" s="19" t="s">
        <v>23</v>
      </c>
      <c r="C12" s="79">
        <f>+'2'!G12</f>
        <v>0</v>
      </c>
      <c r="D12" s="87">
        <v>6</v>
      </c>
      <c r="E12" s="47">
        <f t="shared" si="0"/>
        <v>6</v>
      </c>
      <c r="F12" s="87">
        <v>0</v>
      </c>
      <c r="G12" s="47">
        <f t="shared" si="4"/>
        <v>5</v>
      </c>
      <c r="H12" s="88">
        <v>1</v>
      </c>
      <c r="I12" s="20">
        <v>50</v>
      </c>
      <c r="J12" s="82">
        <f t="shared" si="5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9"/>
      <c r="Q12" s="47">
        <v>0</v>
      </c>
      <c r="R12" s="87">
        <v>0</v>
      </c>
      <c r="S12" s="47">
        <f t="shared" si="1"/>
        <v>0</v>
      </c>
      <c r="T12" s="87">
        <v>0</v>
      </c>
      <c r="U12" s="47">
        <f t="shared" si="2"/>
        <v>0</v>
      </c>
      <c r="V12" s="88">
        <v>0</v>
      </c>
      <c r="W12" s="22"/>
      <c r="X12" s="44">
        <f t="shared" si="3"/>
        <v>0</v>
      </c>
      <c r="Y12" s="17" t="s">
        <v>16</v>
      </c>
      <c r="Z12" s="18">
        <v>0</v>
      </c>
      <c r="AB12" s="2" t="s">
        <v>289</v>
      </c>
    </row>
    <row r="13" spans="1:28" ht="25.5" x14ac:dyDescent="0.55000000000000004">
      <c r="A13" s="10">
        <v>9</v>
      </c>
      <c r="B13" s="19" t="s">
        <v>24</v>
      </c>
      <c r="C13" s="79">
        <f>+'2'!G13</f>
        <v>0</v>
      </c>
      <c r="D13" s="87">
        <v>0</v>
      </c>
      <c r="E13" s="47">
        <f>C13+D13</f>
        <v>0</v>
      </c>
      <c r="F13" s="87">
        <v>0</v>
      </c>
      <c r="G13" s="47">
        <f t="shared" si="4"/>
        <v>0</v>
      </c>
      <c r="H13" s="88"/>
      <c r="I13" s="20">
        <v>55</v>
      </c>
      <c r="J13" s="8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7">
        <v>0</v>
      </c>
      <c r="S13" s="47">
        <f t="shared" si="1"/>
        <v>0</v>
      </c>
      <c r="T13" s="87">
        <v>0</v>
      </c>
      <c r="U13" s="47">
        <f t="shared" si="2"/>
        <v>0</v>
      </c>
      <c r="V13" s="88">
        <v>0</v>
      </c>
      <c r="W13" s="22"/>
      <c r="X13" s="44">
        <f t="shared" si="3"/>
        <v>0</v>
      </c>
      <c r="Y13" s="17" t="s">
        <v>16</v>
      </c>
      <c r="Z13" s="18">
        <v>0</v>
      </c>
      <c r="AB13" s="2" t="s">
        <v>322</v>
      </c>
    </row>
    <row r="14" spans="1:28" ht="25.5" x14ac:dyDescent="0.55000000000000004">
      <c r="A14" s="10">
        <v>10</v>
      </c>
      <c r="B14" s="19" t="s">
        <v>25</v>
      </c>
      <c r="C14" s="79">
        <f>+'2'!G14</f>
        <v>4</v>
      </c>
      <c r="D14" s="87">
        <v>0</v>
      </c>
      <c r="E14" s="47">
        <f t="shared" si="0"/>
        <v>4</v>
      </c>
      <c r="F14" s="87">
        <v>0</v>
      </c>
      <c r="G14" s="47">
        <f t="shared" si="4"/>
        <v>4</v>
      </c>
      <c r="H14" s="88"/>
      <c r="I14" s="20">
        <v>65</v>
      </c>
      <c r="J14" s="8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7">
        <v>0</v>
      </c>
      <c r="S14" s="47">
        <f t="shared" si="1"/>
        <v>0</v>
      </c>
      <c r="T14" s="87">
        <v>0</v>
      </c>
      <c r="U14" s="47">
        <f t="shared" si="2"/>
        <v>0</v>
      </c>
      <c r="V14" s="88">
        <v>0</v>
      </c>
      <c r="W14" s="22"/>
      <c r="X14" s="44">
        <f t="shared" si="3"/>
        <v>0</v>
      </c>
      <c r="Y14" s="17" t="s">
        <v>16</v>
      </c>
      <c r="Z14" s="18">
        <v>0</v>
      </c>
      <c r="AB14" s="2" t="s">
        <v>306</v>
      </c>
    </row>
    <row r="15" spans="1:28" ht="25.5" x14ac:dyDescent="0.55000000000000004">
      <c r="A15" s="10">
        <v>11</v>
      </c>
      <c r="B15" s="19" t="s">
        <v>26</v>
      </c>
      <c r="C15" s="79">
        <f>+'2'!G15</f>
        <v>0</v>
      </c>
      <c r="D15" s="87">
        <v>0</v>
      </c>
      <c r="E15" s="47">
        <f t="shared" si="0"/>
        <v>0</v>
      </c>
      <c r="F15" s="87">
        <v>0</v>
      </c>
      <c r="G15" s="47">
        <f t="shared" si="4"/>
        <v>0</v>
      </c>
      <c r="H15" s="88"/>
      <c r="I15" s="20">
        <v>50</v>
      </c>
      <c r="J15" s="8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7">
        <v>0</v>
      </c>
      <c r="S15" s="47">
        <f t="shared" ref="S15:S29" si="7">Q15+R15</f>
        <v>0</v>
      </c>
      <c r="T15" s="87">
        <v>0</v>
      </c>
      <c r="U15" s="47">
        <f t="shared" ref="U15:U29" si="8">S15-T15-V15</f>
        <v>0</v>
      </c>
      <c r="V15" s="88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8" ht="25.5" x14ac:dyDescent="0.55000000000000004">
      <c r="A16" s="10">
        <v>12</v>
      </c>
      <c r="B16" s="19" t="s">
        <v>27</v>
      </c>
      <c r="C16" s="79">
        <f>+'2'!G16</f>
        <v>0</v>
      </c>
      <c r="D16" s="87">
        <v>0</v>
      </c>
      <c r="E16" s="47">
        <f t="shared" si="0"/>
        <v>0</v>
      </c>
      <c r="F16" s="87">
        <v>0</v>
      </c>
      <c r="G16" s="47">
        <f t="shared" si="4"/>
        <v>0</v>
      </c>
      <c r="H16" s="88"/>
      <c r="I16" s="15">
        <v>50</v>
      </c>
      <c r="J16" s="8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7">
        <v>0</v>
      </c>
      <c r="S16" s="47">
        <f t="shared" si="7"/>
        <v>0</v>
      </c>
      <c r="T16" s="87">
        <v>0</v>
      </c>
      <c r="U16" s="47">
        <f t="shared" si="8"/>
        <v>0</v>
      </c>
      <c r="V16" s="88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+'2'!G17</f>
        <v>0</v>
      </c>
      <c r="D17" s="87">
        <v>0</v>
      </c>
      <c r="E17" s="47">
        <f t="shared" si="0"/>
        <v>0</v>
      </c>
      <c r="F17" s="87">
        <v>0</v>
      </c>
      <c r="G17" s="47">
        <f t="shared" si="4"/>
        <v>0</v>
      </c>
      <c r="H17" s="88"/>
      <c r="I17" s="15">
        <v>50</v>
      </c>
      <c r="J17" s="8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7">
        <v>0</v>
      </c>
      <c r="S17" s="47">
        <f t="shared" si="7"/>
        <v>0</v>
      </c>
      <c r="T17" s="87">
        <v>0</v>
      </c>
      <c r="U17" s="47">
        <f t="shared" si="8"/>
        <v>0</v>
      </c>
      <c r="V17" s="88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+'2'!G18</f>
        <v>0</v>
      </c>
      <c r="D18" s="87">
        <v>0</v>
      </c>
      <c r="E18" s="47">
        <f t="shared" si="0"/>
        <v>0</v>
      </c>
      <c r="F18" s="87">
        <v>0</v>
      </c>
      <c r="G18" s="47">
        <f t="shared" si="4"/>
        <v>0</v>
      </c>
      <c r="H18" s="88"/>
      <c r="I18" s="20">
        <v>50</v>
      </c>
      <c r="J18" s="8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7">
        <v>0</v>
      </c>
      <c r="S18" s="47">
        <f t="shared" si="7"/>
        <v>0</v>
      </c>
      <c r="T18" s="87">
        <v>0</v>
      </c>
      <c r="U18" s="47">
        <f t="shared" si="8"/>
        <v>0</v>
      </c>
      <c r="V18" s="88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329</v>
      </c>
      <c r="C19" s="79">
        <f>+'2'!G19</f>
        <v>0</v>
      </c>
      <c r="D19" s="87">
        <v>0</v>
      </c>
      <c r="E19" s="47">
        <f t="shared" si="0"/>
        <v>0</v>
      </c>
      <c r="F19" s="87">
        <v>0</v>
      </c>
      <c r="G19" s="47">
        <f t="shared" si="4"/>
        <v>0</v>
      </c>
      <c r="H19" s="88"/>
      <c r="I19" s="15">
        <v>50</v>
      </c>
      <c r="J19" s="8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7">
        <v>0</v>
      </c>
      <c r="S19" s="47">
        <f t="shared" si="7"/>
        <v>0</v>
      </c>
      <c r="T19" s="87">
        <v>0</v>
      </c>
      <c r="U19" s="47">
        <f t="shared" si="8"/>
        <v>0</v>
      </c>
      <c r="V19" s="88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+'2'!G20</f>
        <v>0</v>
      </c>
      <c r="D20" s="87">
        <v>0</v>
      </c>
      <c r="E20" s="47">
        <f t="shared" si="0"/>
        <v>0</v>
      </c>
      <c r="F20" s="87">
        <v>0</v>
      </c>
      <c r="G20" s="47">
        <f t="shared" si="4"/>
        <v>0</v>
      </c>
      <c r="H20" s="88"/>
      <c r="I20" s="15">
        <v>50</v>
      </c>
      <c r="J20" s="8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7">
        <v>0</v>
      </c>
      <c r="S20" s="47">
        <f t="shared" si="7"/>
        <v>0</v>
      </c>
      <c r="T20" s="87">
        <v>0</v>
      </c>
      <c r="U20" s="47">
        <f t="shared" si="8"/>
        <v>0</v>
      </c>
      <c r="V20" s="88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+'2'!G21</f>
        <v>0</v>
      </c>
      <c r="D21" s="87">
        <v>0</v>
      </c>
      <c r="E21" s="47">
        <f t="shared" si="0"/>
        <v>0</v>
      </c>
      <c r="F21" s="87">
        <v>0</v>
      </c>
      <c r="G21" s="47">
        <f t="shared" si="4"/>
        <v>0</v>
      </c>
      <c r="H21" s="88"/>
      <c r="I21" s="15">
        <v>50</v>
      </c>
      <c r="J21" s="8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7">
        <v>0</v>
      </c>
      <c r="S21" s="47">
        <f t="shared" si="7"/>
        <v>0</v>
      </c>
      <c r="T21" s="87">
        <v>0</v>
      </c>
      <c r="U21" s="47">
        <f t="shared" si="8"/>
        <v>0</v>
      </c>
      <c r="V21" s="88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+'2'!G22</f>
        <v>5</v>
      </c>
      <c r="D22" s="87">
        <v>0</v>
      </c>
      <c r="E22" s="47">
        <f t="shared" si="0"/>
        <v>5</v>
      </c>
      <c r="F22" s="87">
        <v>0</v>
      </c>
      <c r="G22" s="47">
        <f t="shared" si="4"/>
        <v>5</v>
      </c>
      <c r="H22" s="88"/>
      <c r="I22" s="15">
        <v>85</v>
      </c>
      <c r="J22" s="8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7">
        <v>0</v>
      </c>
      <c r="S22" s="47">
        <f t="shared" si="7"/>
        <v>0</v>
      </c>
      <c r="T22" s="87">
        <v>0</v>
      </c>
      <c r="U22" s="47">
        <f t="shared" si="8"/>
        <v>0</v>
      </c>
      <c r="V22" s="88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+'2'!G23</f>
        <v>4</v>
      </c>
      <c r="D23" s="87">
        <v>9</v>
      </c>
      <c r="E23" s="47">
        <f t="shared" si="0"/>
        <v>13</v>
      </c>
      <c r="F23" s="87">
        <v>0</v>
      </c>
      <c r="G23" s="47">
        <f t="shared" si="4"/>
        <v>11</v>
      </c>
      <c r="H23" s="88">
        <v>2</v>
      </c>
      <c r="I23" s="15">
        <v>100</v>
      </c>
      <c r="J23" s="82">
        <f t="shared" si="5"/>
        <v>200</v>
      </c>
      <c r="K23" s="17" t="s">
        <v>16</v>
      </c>
      <c r="L23" s="18">
        <v>0</v>
      </c>
      <c r="M23" s="23">
        <f t="shared" si="6"/>
        <v>200</v>
      </c>
      <c r="O23" s="10">
        <v>19</v>
      </c>
      <c r="P23" s="19"/>
      <c r="Q23" s="47">
        <v>0</v>
      </c>
      <c r="R23" s="87">
        <v>0</v>
      </c>
      <c r="S23" s="47">
        <f t="shared" si="7"/>
        <v>0</v>
      </c>
      <c r="T23" s="87">
        <v>0</v>
      </c>
      <c r="U23" s="47">
        <f t="shared" si="8"/>
        <v>0</v>
      </c>
      <c r="V23" s="88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+'2'!G24</f>
        <v>10</v>
      </c>
      <c r="D24" s="87">
        <v>0</v>
      </c>
      <c r="E24" s="47">
        <f t="shared" si="0"/>
        <v>10</v>
      </c>
      <c r="F24" s="87">
        <v>0</v>
      </c>
      <c r="G24" s="47">
        <f t="shared" si="4"/>
        <v>8</v>
      </c>
      <c r="H24" s="88">
        <v>2</v>
      </c>
      <c r="I24" s="21">
        <v>100</v>
      </c>
      <c r="J24" s="82">
        <f t="shared" si="5"/>
        <v>200</v>
      </c>
      <c r="K24" s="17" t="s">
        <v>289</v>
      </c>
      <c r="L24" s="18">
        <v>100</v>
      </c>
      <c r="M24" s="23">
        <f t="shared" si="6"/>
        <v>100</v>
      </c>
      <c r="O24" s="10">
        <v>20</v>
      </c>
      <c r="P24" s="19"/>
      <c r="Q24" s="47">
        <v>0</v>
      </c>
      <c r="R24" s="87">
        <v>0</v>
      </c>
      <c r="S24" s="47">
        <f t="shared" si="7"/>
        <v>0</v>
      </c>
      <c r="T24" s="87">
        <v>0</v>
      </c>
      <c r="U24" s="47">
        <f t="shared" si="8"/>
        <v>0</v>
      </c>
      <c r="V24" s="88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+'2'!G25</f>
        <v>0</v>
      </c>
      <c r="D25" s="87">
        <v>0</v>
      </c>
      <c r="E25" s="47">
        <f t="shared" si="0"/>
        <v>0</v>
      </c>
      <c r="F25" s="87">
        <v>0</v>
      </c>
      <c r="G25" s="47">
        <f t="shared" si="4"/>
        <v>0</v>
      </c>
      <c r="H25" s="88"/>
      <c r="I25" s="21">
        <v>100</v>
      </c>
      <c r="J25" s="8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7">
        <v>0</v>
      </c>
      <c r="S25" s="47">
        <f t="shared" si="7"/>
        <v>0</v>
      </c>
      <c r="T25" s="87">
        <v>0</v>
      </c>
      <c r="U25" s="47">
        <f t="shared" si="8"/>
        <v>0</v>
      </c>
      <c r="V25" s="88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+'2'!G26</f>
        <v>4</v>
      </c>
      <c r="D26" s="87">
        <v>0</v>
      </c>
      <c r="E26" s="47">
        <f t="shared" si="0"/>
        <v>4</v>
      </c>
      <c r="F26" s="87">
        <v>0</v>
      </c>
      <c r="G26" s="47">
        <f t="shared" si="4"/>
        <v>4</v>
      </c>
      <c r="H26" s="88"/>
      <c r="I26" s="21">
        <v>100</v>
      </c>
      <c r="J26" s="8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7">
        <v>0</v>
      </c>
      <c r="S26" s="47">
        <f t="shared" si="7"/>
        <v>0</v>
      </c>
      <c r="T26" s="87">
        <v>0</v>
      </c>
      <c r="U26" s="47">
        <f t="shared" si="8"/>
        <v>0</v>
      </c>
      <c r="V26" s="88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+'2'!G27</f>
        <v>0</v>
      </c>
      <c r="D27" s="87">
        <v>0</v>
      </c>
      <c r="E27" s="47">
        <f t="shared" si="0"/>
        <v>0</v>
      </c>
      <c r="F27" s="87">
        <v>0</v>
      </c>
      <c r="G27" s="47">
        <f t="shared" si="4"/>
        <v>0</v>
      </c>
      <c r="H27" s="88"/>
      <c r="I27" s="20">
        <v>100</v>
      </c>
      <c r="J27" s="8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7">
        <v>0</v>
      </c>
      <c r="S27" s="47">
        <f t="shared" si="7"/>
        <v>0</v>
      </c>
      <c r="T27" s="87">
        <v>0</v>
      </c>
      <c r="U27" s="47">
        <f t="shared" si="8"/>
        <v>0</v>
      </c>
      <c r="V27" s="88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+'2'!G28</f>
        <v>0</v>
      </c>
      <c r="D28" s="87">
        <v>0</v>
      </c>
      <c r="E28" s="47">
        <f t="shared" si="0"/>
        <v>0</v>
      </c>
      <c r="F28" s="87">
        <v>0</v>
      </c>
      <c r="G28" s="47">
        <f t="shared" si="4"/>
        <v>0</v>
      </c>
      <c r="H28" s="88"/>
      <c r="I28" s="20">
        <v>100</v>
      </c>
      <c r="J28" s="8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7">
        <v>0</v>
      </c>
      <c r="S28" s="47">
        <f t="shared" si="7"/>
        <v>0</v>
      </c>
      <c r="T28" s="87">
        <v>0</v>
      </c>
      <c r="U28" s="47">
        <f t="shared" si="8"/>
        <v>0</v>
      </c>
      <c r="V28" s="88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+'2'!G29</f>
        <v>17</v>
      </c>
      <c r="D29" s="87">
        <v>0</v>
      </c>
      <c r="E29" s="47">
        <f t="shared" si="0"/>
        <v>17</v>
      </c>
      <c r="F29" s="87">
        <v>0</v>
      </c>
      <c r="G29" s="47">
        <f t="shared" si="4"/>
        <v>17</v>
      </c>
      <c r="H29" s="88"/>
      <c r="I29" s="15">
        <v>100</v>
      </c>
      <c r="J29" s="8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7">
        <v>0</v>
      </c>
      <c r="S29" s="47">
        <f t="shared" si="7"/>
        <v>0</v>
      </c>
      <c r="T29" s="87">
        <v>0</v>
      </c>
      <c r="U29" s="47">
        <f t="shared" si="8"/>
        <v>0</v>
      </c>
      <c r="V29" s="88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+'2'!G30</f>
        <v>0</v>
      </c>
      <c r="D30" s="87">
        <v>0</v>
      </c>
      <c r="E30" s="47">
        <f t="shared" si="0"/>
        <v>0</v>
      </c>
      <c r="F30" s="87">
        <v>0</v>
      </c>
      <c r="G30" s="47">
        <f t="shared" si="4"/>
        <v>0</v>
      </c>
      <c r="H30" s="88"/>
      <c r="I30" s="15">
        <v>100</v>
      </c>
      <c r="J30" s="8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+'2'!G31</f>
        <v>2</v>
      </c>
      <c r="D31" s="87">
        <v>0</v>
      </c>
      <c r="E31" s="47">
        <f t="shared" si="0"/>
        <v>2</v>
      </c>
      <c r="F31" s="87">
        <v>0</v>
      </c>
      <c r="G31" s="47">
        <f t="shared" si="4"/>
        <v>2</v>
      </c>
      <c r="H31" s="88"/>
      <c r="I31" s="15">
        <v>100</v>
      </c>
      <c r="J31" s="82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+'2'!G32</f>
        <v>0</v>
      </c>
      <c r="D32" s="87">
        <v>0</v>
      </c>
      <c r="E32" s="47">
        <f t="shared" si="0"/>
        <v>0</v>
      </c>
      <c r="F32" s="87">
        <v>0</v>
      </c>
      <c r="G32" s="47">
        <f t="shared" si="4"/>
        <v>0</v>
      </c>
      <c r="H32" s="88"/>
      <c r="I32" s="15">
        <v>130</v>
      </c>
      <c r="J32" s="82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5" t="s">
        <v>119</v>
      </c>
      <c r="Q32" s="146"/>
      <c r="R32" s="146"/>
      <c r="S32" s="146"/>
      <c r="T32" s="146"/>
      <c r="U32" s="146"/>
      <c r="V32" s="146"/>
      <c r="W32" s="147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+'2'!G33</f>
        <v>6</v>
      </c>
      <c r="D33" s="87">
        <v>0</v>
      </c>
      <c r="E33" s="47">
        <f t="shared" si="0"/>
        <v>6</v>
      </c>
      <c r="F33" s="87">
        <v>0</v>
      </c>
      <c r="G33" s="47">
        <f t="shared" si="4"/>
        <v>3</v>
      </c>
      <c r="H33" s="88">
        <v>3</v>
      </c>
      <c r="I33" s="15">
        <v>130</v>
      </c>
      <c r="J33" s="82">
        <f t="shared" si="5"/>
        <v>390</v>
      </c>
      <c r="K33" s="17" t="s">
        <v>16</v>
      </c>
      <c r="L33" s="18">
        <v>0</v>
      </c>
      <c r="M33" s="23">
        <f t="shared" si="6"/>
        <v>390</v>
      </c>
    </row>
    <row r="34" spans="1:13" ht="25.5" x14ac:dyDescent="0.55000000000000004">
      <c r="A34" s="10">
        <v>30</v>
      </c>
      <c r="B34" s="19" t="s">
        <v>45</v>
      </c>
      <c r="C34" s="79">
        <f>+'2'!G34</f>
        <v>5</v>
      </c>
      <c r="D34" s="87">
        <v>0</v>
      </c>
      <c r="E34" s="47">
        <f t="shared" si="0"/>
        <v>5</v>
      </c>
      <c r="F34" s="87">
        <v>0</v>
      </c>
      <c r="G34" s="47">
        <f t="shared" si="4"/>
        <v>2</v>
      </c>
      <c r="H34" s="88">
        <v>3</v>
      </c>
      <c r="I34" s="15">
        <v>130</v>
      </c>
      <c r="J34" s="82">
        <f t="shared" si="5"/>
        <v>390</v>
      </c>
      <c r="K34" s="17" t="s">
        <v>16</v>
      </c>
      <c r="L34" s="18">
        <v>0</v>
      </c>
      <c r="M34" s="23">
        <f t="shared" si="6"/>
        <v>390</v>
      </c>
    </row>
    <row r="35" spans="1:13" ht="25.5" x14ac:dyDescent="0.55000000000000004">
      <c r="A35" s="10">
        <v>31</v>
      </c>
      <c r="B35" s="19" t="s">
        <v>46</v>
      </c>
      <c r="C35" s="79">
        <f>+'2'!G35</f>
        <v>0</v>
      </c>
      <c r="D35" s="87">
        <v>0</v>
      </c>
      <c r="E35" s="47">
        <f t="shared" si="0"/>
        <v>0</v>
      </c>
      <c r="F35" s="87">
        <v>0</v>
      </c>
      <c r="G35" s="47">
        <f t="shared" si="4"/>
        <v>0</v>
      </c>
      <c r="H35" s="88"/>
      <c r="I35" s="15">
        <v>130</v>
      </c>
      <c r="J35" s="82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+'2'!G36</f>
        <v>0</v>
      </c>
      <c r="D36" s="87">
        <v>0</v>
      </c>
      <c r="E36" s="47">
        <f t="shared" si="0"/>
        <v>0</v>
      </c>
      <c r="F36" s="87">
        <v>0</v>
      </c>
      <c r="G36" s="47">
        <f t="shared" si="4"/>
        <v>0</v>
      </c>
      <c r="H36" s="88"/>
      <c r="I36" s="15">
        <v>100</v>
      </c>
      <c r="J36" s="82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+'2'!G37</f>
        <v>21</v>
      </c>
      <c r="D37" s="87">
        <v>3</v>
      </c>
      <c r="E37" s="47">
        <f t="shared" si="0"/>
        <v>24</v>
      </c>
      <c r="F37" s="87">
        <v>0</v>
      </c>
      <c r="G37" s="47">
        <f t="shared" si="4"/>
        <v>24</v>
      </c>
      <c r="H37" s="88"/>
      <c r="I37" s="15">
        <v>100</v>
      </c>
      <c r="J37" s="82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 t="s">
        <v>49</v>
      </c>
      <c r="C38" s="79">
        <f>+'2'!G38</f>
        <v>5</v>
      </c>
      <c r="D38" s="87">
        <v>0</v>
      </c>
      <c r="E38" s="47">
        <f t="shared" si="0"/>
        <v>5</v>
      </c>
      <c r="F38" s="87">
        <v>0</v>
      </c>
      <c r="G38" s="47">
        <f t="shared" si="4"/>
        <v>5</v>
      </c>
      <c r="H38" s="88"/>
      <c r="I38" s="15">
        <v>50</v>
      </c>
      <c r="J38" s="82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+'2'!G39</f>
        <v>9</v>
      </c>
      <c r="D39" s="87">
        <v>0</v>
      </c>
      <c r="E39" s="47">
        <f t="shared" si="0"/>
        <v>9</v>
      </c>
      <c r="F39" s="87">
        <v>0</v>
      </c>
      <c r="G39" s="47">
        <f t="shared" si="4"/>
        <v>9</v>
      </c>
      <c r="H39" s="88"/>
      <c r="I39" s="15">
        <v>50</v>
      </c>
      <c r="J39" s="82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+'2'!G40</f>
        <v>9</v>
      </c>
      <c r="D40" s="87">
        <v>0</v>
      </c>
      <c r="E40" s="47">
        <f t="shared" si="0"/>
        <v>9</v>
      </c>
      <c r="F40" s="87">
        <v>0</v>
      </c>
      <c r="G40" s="47">
        <f t="shared" si="4"/>
        <v>9</v>
      </c>
      <c r="H40" s="88"/>
      <c r="I40" s="15">
        <v>50</v>
      </c>
      <c r="J40" s="82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+'2'!G41</f>
        <v>0</v>
      </c>
      <c r="D41" s="87">
        <v>0</v>
      </c>
      <c r="E41" s="47">
        <f t="shared" si="0"/>
        <v>0</v>
      </c>
      <c r="F41" s="87">
        <v>0</v>
      </c>
      <c r="G41" s="47">
        <f t="shared" si="4"/>
        <v>0</v>
      </c>
      <c r="H41" s="88"/>
      <c r="I41" s="15">
        <v>50</v>
      </c>
      <c r="J41" s="82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285</v>
      </c>
      <c r="C42" s="79">
        <f>+'2'!G42</f>
        <v>1</v>
      </c>
      <c r="D42" s="87">
        <v>1</v>
      </c>
      <c r="E42" s="47">
        <f t="shared" si="0"/>
        <v>2</v>
      </c>
      <c r="F42" s="87">
        <v>0</v>
      </c>
      <c r="G42" s="47">
        <f t="shared" si="4"/>
        <v>1</v>
      </c>
      <c r="H42" s="88">
        <v>1</v>
      </c>
      <c r="I42" s="15">
        <v>50</v>
      </c>
      <c r="J42" s="82">
        <f t="shared" si="5"/>
        <v>50</v>
      </c>
      <c r="K42" s="17" t="s">
        <v>16</v>
      </c>
      <c r="L42" s="18">
        <v>0</v>
      </c>
      <c r="M42" s="23">
        <f t="shared" si="6"/>
        <v>50</v>
      </c>
    </row>
    <row r="43" spans="1:13" ht="25.5" x14ac:dyDescent="0.55000000000000004">
      <c r="A43" s="10">
        <v>39</v>
      </c>
      <c r="B43" s="19" t="s">
        <v>54</v>
      </c>
      <c r="C43" s="79">
        <f>+'2'!G43</f>
        <v>0</v>
      </c>
      <c r="D43" s="87">
        <v>0</v>
      </c>
      <c r="E43" s="47">
        <f t="shared" si="0"/>
        <v>0</v>
      </c>
      <c r="F43" s="87">
        <v>0</v>
      </c>
      <c r="G43" s="47">
        <f t="shared" si="4"/>
        <v>0</v>
      </c>
      <c r="H43" s="88"/>
      <c r="I43" s="15">
        <v>50</v>
      </c>
      <c r="J43" s="82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+'2'!G44</f>
        <v>0</v>
      </c>
      <c r="D44" s="87">
        <v>0</v>
      </c>
      <c r="E44" s="47">
        <f t="shared" si="0"/>
        <v>0</v>
      </c>
      <c r="F44" s="87">
        <v>0</v>
      </c>
      <c r="G44" s="47">
        <f t="shared" si="4"/>
        <v>0</v>
      </c>
      <c r="H44" s="88"/>
      <c r="I44" s="15">
        <v>50</v>
      </c>
      <c r="J44" s="82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+'2'!G45</f>
        <v>0</v>
      </c>
      <c r="D45" s="87">
        <v>0</v>
      </c>
      <c r="E45" s="47">
        <f t="shared" si="0"/>
        <v>0</v>
      </c>
      <c r="F45" s="87">
        <v>0</v>
      </c>
      <c r="G45" s="47">
        <f t="shared" si="4"/>
        <v>0</v>
      </c>
      <c r="H45" s="88"/>
      <c r="I45" s="15">
        <v>50</v>
      </c>
      <c r="J45" s="82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286</v>
      </c>
      <c r="C46" s="79">
        <f>+'2'!G46</f>
        <v>2</v>
      </c>
      <c r="D46" s="87">
        <v>0</v>
      </c>
      <c r="E46" s="47">
        <f t="shared" si="0"/>
        <v>2</v>
      </c>
      <c r="F46" s="87">
        <v>0</v>
      </c>
      <c r="G46" s="47">
        <f t="shared" si="4"/>
        <v>1</v>
      </c>
      <c r="H46" s="88">
        <v>1</v>
      </c>
      <c r="I46" s="15">
        <v>50</v>
      </c>
      <c r="J46" s="82">
        <f t="shared" si="5"/>
        <v>50</v>
      </c>
      <c r="K46" s="17" t="s">
        <v>16</v>
      </c>
      <c r="L46" s="18">
        <v>0</v>
      </c>
      <c r="M46" s="23">
        <f t="shared" si="6"/>
        <v>50</v>
      </c>
    </row>
    <row r="47" spans="1:13" ht="25.5" x14ac:dyDescent="0.55000000000000004">
      <c r="A47" s="10">
        <v>43</v>
      </c>
      <c r="B47" s="19" t="s">
        <v>58</v>
      </c>
      <c r="C47" s="79">
        <f>+'2'!G47</f>
        <v>2</v>
      </c>
      <c r="D47" s="87">
        <v>1</v>
      </c>
      <c r="E47" s="47">
        <f t="shared" si="0"/>
        <v>3</v>
      </c>
      <c r="F47" s="87">
        <v>0</v>
      </c>
      <c r="G47" s="47">
        <f t="shared" si="4"/>
        <v>3</v>
      </c>
      <c r="H47" s="88"/>
      <c r="I47" s="15">
        <v>50</v>
      </c>
      <c r="J47" s="82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+'2'!G48</f>
        <v>2</v>
      </c>
      <c r="D48" s="87">
        <v>0</v>
      </c>
      <c r="E48" s="47">
        <f t="shared" si="0"/>
        <v>2</v>
      </c>
      <c r="F48" s="87">
        <v>0</v>
      </c>
      <c r="G48" s="47">
        <f t="shared" si="4"/>
        <v>2</v>
      </c>
      <c r="H48" s="88"/>
      <c r="I48" s="15">
        <v>50</v>
      </c>
      <c r="J48" s="82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+'2'!G49</f>
        <v>2</v>
      </c>
      <c r="D49" s="87">
        <v>0</v>
      </c>
      <c r="E49" s="47">
        <f t="shared" si="0"/>
        <v>2</v>
      </c>
      <c r="F49" s="87">
        <v>0</v>
      </c>
      <c r="G49" s="47">
        <f t="shared" si="4"/>
        <v>2</v>
      </c>
      <c r="H49" s="88"/>
      <c r="I49" s="15">
        <v>50</v>
      </c>
      <c r="J49" s="82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+'2'!G50</f>
        <v>2</v>
      </c>
      <c r="D50" s="87">
        <v>2</v>
      </c>
      <c r="E50" s="47">
        <f t="shared" si="0"/>
        <v>4</v>
      </c>
      <c r="F50" s="87">
        <v>0</v>
      </c>
      <c r="G50" s="47">
        <f t="shared" si="4"/>
        <v>4</v>
      </c>
      <c r="H50" s="88"/>
      <c r="I50" s="15">
        <v>120</v>
      </c>
      <c r="J50" s="82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+'2'!G51</f>
        <v>3</v>
      </c>
      <c r="D51" s="87">
        <v>0</v>
      </c>
      <c r="E51" s="47">
        <f t="shared" si="0"/>
        <v>3</v>
      </c>
      <c r="F51" s="87">
        <v>0</v>
      </c>
      <c r="G51" s="47">
        <f t="shared" si="4"/>
        <v>3</v>
      </c>
      <c r="H51" s="88"/>
      <c r="I51" s="15">
        <v>120</v>
      </c>
      <c r="J51" s="82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+'2'!G52</f>
        <v>3</v>
      </c>
      <c r="D52" s="87">
        <v>0</v>
      </c>
      <c r="E52" s="47">
        <f t="shared" si="0"/>
        <v>3</v>
      </c>
      <c r="F52" s="87">
        <v>0</v>
      </c>
      <c r="G52" s="47">
        <f t="shared" si="4"/>
        <v>3</v>
      </c>
      <c r="H52" s="88"/>
      <c r="I52" s="21">
        <v>120</v>
      </c>
      <c r="J52" s="82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+'2'!G53</f>
        <v>0</v>
      </c>
      <c r="D53" s="87">
        <v>0</v>
      </c>
      <c r="E53" s="47">
        <f t="shared" si="0"/>
        <v>0</v>
      </c>
      <c r="F53" s="87">
        <v>0</v>
      </c>
      <c r="G53" s="47">
        <f t="shared" si="4"/>
        <v>0</v>
      </c>
      <c r="H53" s="88"/>
      <c r="I53" s="15">
        <v>120</v>
      </c>
      <c r="J53" s="82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+'2'!G54</f>
        <v>0</v>
      </c>
      <c r="D54" s="87">
        <v>0</v>
      </c>
      <c r="E54" s="47">
        <f t="shared" si="0"/>
        <v>0</v>
      </c>
      <c r="F54" s="87">
        <v>0</v>
      </c>
      <c r="G54" s="47">
        <f t="shared" si="4"/>
        <v>0</v>
      </c>
      <c r="H54" s="88"/>
      <c r="I54" s="15">
        <v>120</v>
      </c>
      <c r="J54" s="82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+'2'!G55</f>
        <v>2</v>
      </c>
      <c r="D55" s="87">
        <v>1</v>
      </c>
      <c r="E55" s="47">
        <f t="shared" si="0"/>
        <v>3</v>
      </c>
      <c r="F55" s="87">
        <v>0</v>
      </c>
      <c r="G55" s="47">
        <f t="shared" si="4"/>
        <v>3</v>
      </c>
      <c r="H55" s="88"/>
      <c r="I55" s="21">
        <v>120</v>
      </c>
      <c r="J55" s="82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+'2'!G56</f>
        <v>1</v>
      </c>
      <c r="D56" s="87">
        <v>0</v>
      </c>
      <c r="E56" s="47">
        <f t="shared" si="0"/>
        <v>1</v>
      </c>
      <c r="F56" s="87">
        <v>0</v>
      </c>
      <c r="G56" s="47">
        <f t="shared" si="4"/>
        <v>1</v>
      </c>
      <c r="H56" s="88"/>
      <c r="I56" s="21">
        <v>120</v>
      </c>
      <c r="J56" s="82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+'2'!G57</f>
        <v>4</v>
      </c>
      <c r="D57" s="87">
        <v>0</v>
      </c>
      <c r="E57" s="47">
        <f t="shared" si="0"/>
        <v>4</v>
      </c>
      <c r="F57" s="87">
        <v>0</v>
      </c>
      <c r="G57" s="47">
        <f t="shared" si="4"/>
        <v>4</v>
      </c>
      <c r="H57" s="88"/>
      <c r="I57" s="21">
        <v>120</v>
      </c>
      <c r="J57" s="82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+'2'!G58</f>
        <v>0</v>
      </c>
      <c r="D58" s="87">
        <v>0</v>
      </c>
      <c r="E58" s="47">
        <f t="shared" si="0"/>
        <v>0</v>
      </c>
      <c r="F58" s="87">
        <v>0</v>
      </c>
      <c r="G58" s="47">
        <f t="shared" si="4"/>
        <v>0</v>
      </c>
      <c r="H58" s="88"/>
      <c r="I58" s="21">
        <v>120</v>
      </c>
      <c r="J58" s="82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+'2'!G59</f>
        <v>0</v>
      </c>
      <c r="D59" s="87">
        <v>0</v>
      </c>
      <c r="E59" s="47">
        <f t="shared" si="0"/>
        <v>0</v>
      </c>
      <c r="F59" s="87">
        <v>0</v>
      </c>
      <c r="G59" s="47">
        <f t="shared" si="4"/>
        <v>0</v>
      </c>
      <c r="H59" s="88"/>
      <c r="I59" s="15">
        <v>70</v>
      </c>
      <c r="J59" s="82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+'2'!G60</f>
        <v>0</v>
      </c>
      <c r="D60" s="87">
        <v>0</v>
      </c>
      <c r="E60" s="47">
        <f t="shared" si="0"/>
        <v>0</v>
      </c>
      <c r="F60" s="87">
        <v>0</v>
      </c>
      <c r="G60" s="47">
        <f t="shared" si="4"/>
        <v>0</v>
      </c>
      <c r="H60" s="88"/>
      <c r="I60" s="21">
        <v>80</v>
      </c>
      <c r="J60" s="82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+'2'!G61</f>
        <v>0</v>
      </c>
      <c r="D61" s="87">
        <v>0</v>
      </c>
      <c r="E61" s="47">
        <f t="shared" si="0"/>
        <v>0</v>
      </c>
      <c r="F61" s="87">
        <v>0</v>
      </c>
      <c r="G61" s="47">
        <f t="shared" si="4"/>
        <v>0</v>
      </c>
      <c r="H61" s="88"/>
      <c r="I61" s="15">
        <v>50</v>
      </c>
      <c r="J61" s="82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+'2'!G62</f>
        <v>2</v>
      </c>
      <c r="D62" s="87">
        <v>0</v>
      </c>
      <c r="E62" s="47">
        <f t="shared" si="0"/>
        <v>2</v>
      </c>
      <c r="F62" s="87">
        <v>0</v>
      </c>
      <c r="G62" s="47">
        <f t="shared" si="4"/>
        <v>2</v>
      </c>
      <c r="H62" s="88"/>
      <c r="I62" s="20">
        <v>50</v>
      </c>
      <c r="J62" s="82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+'2'!G63</f>
        <v>0</v>
      </c>
      <c r="D63" s="87">
        <v>0</v>
      </c>
      <c r="E63" s="47">
        <f t="shared" si="0"/>
        <v>0</v>
      </c>
      <c r="F63" s="87">
        <v>0</v>
      </c>
      <c r="G63" s="47">
        <f t="shared" si="4"/>
        <v>0</v>
      </c>
      <c r="H63" s="88"/>
      <c r="I63" s="20">
        <v>50</v>
      </c>
      <c r="J63" s="82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+'2'!G64</f>
        <v>0</v>
      </c>
      <c r="D64" s="87">
        <v>0</v>
      </c>
      <c r="E64" s="47">
        <f t="shared" si="0"/>
        <v>0</v>
      </c>
      <c r="F64" s="87">
        <v>0</v>
      </c>
      <c r="G64" s="47">
        <f t="shared" si="4"/>
        <v>0</v>
      </c>
      <c r="H64" s="88"/>
      <c r="I64" s="21">
        <v>30</v>
      </c>
      <c r="J64" s="82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+'2'!G65</f>
        <v>0</v>
      </c>
      <c r="D65" s="87">
        <v>0</v>
      </c>
      <c r="E65" s="47">
        <f t="shared" si="0"/>
        <v>0</v>
      </c>
      <c r="F65" s="87">
        <v>0</v>
      </c>
      <c r="G65" s="47">
        <f t="shared" si="4"/>
        <v>0</v>
      </c>
      <c r="H65" s="88"/>
      <c r="I65" s="21">
        <v>30</v>
      </c>
      <c r="J65" s="82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+'2'!G66</f>
        <v>8</v>
      </c>
      <c r="D66" s="87">
        <v>7</v>
      </c>
      <c r="E66" s="47">
        <f t="shared" si="0"/>
        <v>15</v>
      </c>
      <c r="F66" s="87">
        <v>0</v>
      </c>
      <c r="G66" s="47">
        <f t="shared" si="4"/>
        <v>14</v>
      </c>
      <c r="H66" s="88">
        <v>1</v>
      </c>
      <c r="I66" s="15">
        <v>50</v>
      </c>
      <c r="J66" s="82">
        <f t="shared" si="5"/>
        <v>50</v>
      </c>
      <c r="K66" s="17" t="s">
        <v>16</v>
      </c>
      <c r="L66" s="18">
        <v>0</v>
      </c>
      <c r="M66" s="23">
        <f t="shared" si="6"/>
        <v>50</v>
      </c>
    </row>
    <row r="67" spans="1:13" ht="25.5" x14ac:dyDescent="0.55000000000000004">
      <c r="A67" s="10">
        <v>63</v>
      </c>
      <c r="B67" s="19" t="s">
        <v>78</v>
      </c>
      <c r="C67" s="79">
        <f>+'2'!G67</f>
        <v>2</v>
      </c>
      <c r="D67" s="87">
        <v>0</v>
      </c>
      <c r="E67" s="47">
        <f t="shared" si="0"/>
        <v>2</v>
      </c>
      <c r="F67" s="87">
        <v>0</v>
      </c>
      <c r="G67" s="47">
        <f t="shared" si="4"/>
        <v>2</v>
      </c>
      <c r="H67" s="88"/>
      <c r="I67" s="15">
        <v>50</v>
      </c>
      <c r="J67" s="82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+'2'!G68</f>
        <v>0</v>
      </c>
      <c r="D68" s="87">
        <v>0</v>
      </c>
      <c r="E68" s="47">
        <f t="shared" si="0"/>
        <v>0</v>
      </c>
      <c r="F68" s="87">
        <v>0</v>
      </c>
      <c r="G68" s="47">
        <f t="shared" si="4"/>
        <v>0</v>
      </c>
      <c r="H68" s="88"/>
      <c r="I68" s="20">
        <v>35</v>
      </c>
      <c r="J68" s="82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+'2'!G69</f>
        <v>0</v>
      </c>
      <c r="D69" s="87">
        <v>0</v>
      </c>
      <c r="E69" s="47">
        <f t="shared" si="0"/>
        <v>0</v>
      </c>
      <c r="F69" s="87">
        <v>0</v>
      </c>
      <c r="G69" s="47">
        <f t="shared" si="4"/>
        <v>0</v>
      </c>
      <c r="H69" s="88"/>
      <c r="I69" s="20">
        <v>25</v>
      </c>
      <c r="J69" s="82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+'2'!G70</f>
        <v>6</v>
      </c>
      <c r="D70" s="87">
        <v>0</v>
      </c>
      <c r="E70" s="47">
        <f t="shared" si="0"/>
        <v>6</v>
      </c>
      <c r="F70" s="87">
        <v>0</v>
      </c>
      <c r="G70" s="47">
        <f t="shared" si="4"/>
        <v>6</v>
      </c>
      <c r="H70" s="88"/>
      <c r="I70" s="20">
        <v>50</v>
      </c>
      <c r="J70" s="82">
        <f t="shared" si="5"/>
        <v>0</v>
      </c>
      <c r="K70" s="17" t="s">
        <v>16</v>
      </c>
      <c r="L70" s="18">
        <v>0</v>
      </c>
      <c r="M70" s="23">
        <f t="shared" ref="M70:M134" si="10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+'2'!G71</f>
        <v>2</v>
      </c>
      <c r="D71" s="87">
        <v>0</v>
      </c>
      <c r="E71" s="47">
        <f t="shared" si="0"/>
        <v>2</v>
      </c>
      <c r="F71" s="87">
        <v>0</v>
      </c>
      <c r="G71" s="47">
        <f t="shared" si="4"/>
        <v>2</v>
      </c>
      <c r="H71" s="88"/>
      <c r="I71" s="20">
        <v>60</v>
      </c>
      <c r="J71" s="82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+'2'!G72</f>
        <v>0</v>
      </c>
      <c r="D72" s="87">
        <v>0</v>
      </c>
      <c r="E72" s="47">
        <f t="shared" si="0"/>
        <v>0</v>
      </c>
      <c r="F72" s="87">
        <v>0</v>
      </c>
      <c r="G72" s="47">
        <f t="shared" si="4"/>
        <v>0</v>
      </c>
      <c r="H72" s="88"/>
      <c r="I72" s="22">
        <v>50</v>
      </c>
      <c r="J72" s="82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+'2'!G73</f>
        <v>0</v>
      </c>
      <c r="D73" s="87">
        <v>0</v>
      </c>
      <c r="E73" s="47">
        <f t="shared" si="0"/>
        <v>0</v>
      </c>
      <c r="F73" s="87">
        <v>0</v>
      </c>
      <c r="G73" s="47">
        <f t="shared" si="4"/>
        <v>0</v>
      </c>
      <c r="H73" s="88"/>
      <c r="I73" s="20">
        <v>60</v>
      </c>
      <c r="J73" s="82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+'2'!G74</f>
        <v>1</v>
      </c>
      <c r="D74" s="87">
        <v>0</v>
      </c>
      <c r="E74" s="47">
        <f t="shared" si="0"/>
        <v>1</v>
      </c>
      <c r="F74" s="87">
        <v>0</v>
      </c>
      <c r="G74" s="47">
        <f t="shared" si="4"/>
        <v>0</v>
      </c>
      <c r="H74" s="88">
        <v>1</v>
      </c>
      <c r="I74" s="22">
        <v>120</v>
      </c>
      <c r="J74" s="82">
        <f t="shared" si="5"/>
        <v>120</v>
      </c>
      <c r="K74" s="17" t="s">
        <v>16</v>
      </c>
      <c r="L74" s="18">
        <v>0</v>
      </c>
      <c r="M74" s="23">
        <f t="shared" si="10"/>
        <v>120</v>
      </c>
    </row>
    <row r="75" spans="1:13" ht="25.5" x14ac:dyDescent="0.55000000000000004">
      <c r="A75" s="10">
        <v>71</v>
      </c>
      <c r="B75" s="19" t="s">
        <v>86</v>
      </c>
      <c r="C75" s="79">
        <f>+'2'!G75</f>
        <v>0</v>
      </c>
      <c r="D75" s="87">
        <v>0</v>
      </c>
      <c r="E75" s="47">
        <f t="shared" si="0"/>
        <v>0</v>
      </c>
      <c r="F75" s="87">
        <v>0</v>
      </c>
      <c r="G75" s="47">
        <f t="shared" si="4"/>
        <v>0</v>
      </c>
      <c r="H75" s="88"/>
      <c r="I75" s="22">
        <v>60</v>
      </c>
      <c r="J75" s="82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+'2'!G76</f>
        <v>0</v>
      </c>
      <c r="D76" s="87">
        <v>0</v>
      </c>
      <c r="E76" s="47">
        <f t="shared" si="0"/>
        <v>0</v>
      </c>
      <c r="F76" s="87">
        <v>0</v>
      </c>
      <c r="G76" s="47">
        <f t="shared" si="4"/>
        <v>0</v>
      </c>
      <c r="H76" s="88"/>
      <c r="I76" s="22">
        <v>120</v>
      </c>
      <c r="J76" s="82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272</v>
      </c>
      <c r="C77" s="79">
        <f>+'2'!G77</f>
        <v>4</v>
      </c>
      <c r="D77" s="87">
        <v>0</v>
      </c>
      <c r="E77" s="47">
        <f>C77+D77</f>
        <v>4</v>
      </c>
      <c r="F77" s="87">
        <v>0</v>
      </c>
      <c r="G77" s="47">
        <f>+E77-F77-H77</f>
        <v>4</v>
      </c>
      <c r="H77" s="88"/>
      <c r="I77" s="20">
        <v>50</v>
      </c>
      <c r="J77" s="82">
        <f>+I77*H77</f>
        <v>0</v>
      </c>
      <c r="K77" s="17" t="s">
        <v>16</v>
      </c>
      <c r="L77" s="18">
        <v>0</v>
      </c>
      <c r="M77" s="23">
        <f>SUM(J77-L77)</f>
        <v>0</v>
      </c>
    </row>
    <row r="78" spans="1:13" ht="25.5" x14ac:dyDescent="0.55000000000000004">
      <c r="A78" s="10">
        <v>74</v>
      </c>
      <c r="B78" s="19" t="s">
        <v>277</v>
      </c>
      <c r="C78" s="79">
        <f>+'2'!G78</f>
        <v>3</v>
      </c>
      <c r="D78" s="87">
        <v>0</v>
      </c>
      <c r="E78" s="47">
        <f t="shared" si="0"/>
        <v>3</v>
      </c>
      <c r="F78" s="87">
        <v>0</v>
      </c>
      <c r="G78" s="47">
        <f t="shared" si="4"/>
        <v>3</v>
      </c>
      <c r="H78" s="88"/>
      <c r="I78" s="20">
        <v>50</v>
      </c>
      <c r="J78" s="82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278</v>
      </c>
      <c r="C79" s="79">
        <f>+'2'!G79</f>
        <v>0</v>
      </c>
      <c r="D79" s="87">
        <v>0</v>
      </c>
      <c r="E79" s="47">
        <f t="shared" si="0"/>
        <v>0</v>
      </c>
      <c r="F79" s="87">
        <v>0</v>
      </c>
      <c r="G79" s="47">
        <f t="shared" si="4"/>
        <v>0</v>
      </c>
      <c r="H79" s="88"/>
      <c r="I79" s="22">
        <v>120</v>
      </c>
      <c r="J79" s="82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90</v>
      </c>
      <c r="C80" s="79">
        <f>+'2'!G80</f>
        <v>5</v>
      </c>
      <c r="D80" s="87">
        <v>0</v>
      </c>
      <c r="E80" s="47">
        <f t="shared" si="0"/>
        <v>5</v>
      </c>
      <c r="F80" s="87">
        <v>0</v>
      </c>
      <c r="G80" s="47">
        <f t="shared" si="4"/>
        <v>2</v>
      </c>
      <c r="H80" s="88">
        <v>3</v>
      </c>
      <c r="I80" s="22">
        <v>50</v>
      </c>
      <c r="J80" s="82">
        <f t="shared" si="5"/>
        <v>150</v>
      </c>
      <c r="K80" s="17" t="s">
        <v>291</v>
      </c>
      <c r="L80" s="18">
        <v>50</v>
      </c>
      <c r="M80" s="23">
        <f t="shared" si="10"/>
        <v>100</v>
      </c>
    </row>
    <row r="81" spans="1:13" ht="25.5" x14ac:dyDescent="0.55000000000000004">
      <c r="A81" s="10">
        <v>77</v>
      </c>
      <c r="B81" s="19" t="s">
        <v>91</v>
      </c>
      <c r="C81" s="79">
        <f>+'2'!G81</f>
        <v>0</v>
      </c>
      <c r="D81" s="87">
        <v>0</v>
      </c>
      <c r="E81" s="47">
        <f t="shared" si="0"/>
        <v>0</v>
      </c>
      <c r="F81" s="87">
        <v>0</v>
      </c>
      <c r="G81" s="47">
        <f t="shared" si="4"/>
        <v>0</v>
      </c>
      <c r="H81" s="88"/>
      <c r="I81" s="22">
        <v>50</v>
      </c>
      <c r="J81" s="82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92</v>
      </c>
      <c r="C82" s="79">
        <f>+'2'!G82</f>
        <v>4</v>
      </c>
      <c r="D82" s="87">
        <v>0</v>
      </c>
      <c r="E82" s="47">
        <f t="shared" si="0"/>
        <v>4</v>
      </c>
      <c r="F82" s="87">
        <v>0</v>
      </c>
      <c r="G82" s="47">
        <f t="shared" si="4"/>
        <v>4</v>
      </c>
      <c r="H82" s="88"/>
      <c r="I82" s="20">
        <v>55</v>
      </c>
      <c r="J82" s="82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93</v>
      </c>
      <c r="C83" s="79">
        <f>+'2'!G83</f>
        <v>2</v>
      </c>
      <c r="D83" s="87">
        <v>0</v>
      </c>
      <c r="E83" s="47">
        <f t="shared" si="0"/>
        <v>2</v>
      </c>
      <c r="F83" s="87">
        <v>0</v>
      </c>
      <c r="G83" s="47">
        <f t="shared" si="4"/>
        <v>2</v>
      </c>
      <c r="H83" s="88"/>
      <c r="I83" s="22">
        <v>55</v>
      </c>
      <c r="J83" s="82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94</v>
      </c>
      <c r="C84" s="79">
        <f>+'2'!G84</f>
        <v>0</v>
      </c>
      <c r="D84" s="87">
        <v>0</v>
      </c>
      <c r="E84" s="47">
        <f t="shared" si="0"/>
        <v>0</v>
      </c>
      <c r="F84" s="87">
        <v>0</v>
      </c>
      <c r="G84" s="47">
        <f t="shared" si="4"/>
        <v>0</v>
      </c>
      <c r="H84" s="88"/>
      <c r="I84" s="22">
        <v>55</v>
      </c>
      <c r="J84" s="82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95</v>
      </c>
      <c r="C85" s="79">
        <f>+'2'!G85</f>
        <v>0</v>
      </c>
      <c r="D85" s="87">
        <v>0</v>
      </c>
      <c r="E85" s="47">
        <f t="shared" si="0"/>
        <v>0</v>
      </c>
      <c r="F85" s="87">
        <v>0</v>
      </c>
      <c r="G85" s="47">
        <f t="shared" si="4"/>
        <v>0</v>
      </c>
      <c r="H85" s="88"/>
      <c r="I85" s="22">
        <v>55</v>
      </c>
      <c r="J85" s="82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96</v>
      </c>
      <c r="C86" s="79">
        <f>+'2'!G86</f>
        <v>11</v>
      </c>
      <c r="D86" s="87">
        <v>0</v>
      </c>
      <c r="E86" s="47">
        <f t="shared" si="0"/>
        <v>11</v>
      </c>
      <c r="F86" s="87">
        <v>0</v>
      </c>
      <c r="G86" s="47">
        <f t="shared" si="4"/>
        <v>11</v>
      </c>
      <c r="H86" s="88"/>
      <c r="I86" s="22">
        <v>100</v>
      </c>
      <c r="J86" s="82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97</v>
      </c>
      <c r="C87" s="79">
        <f>+'2'!G87</f>
        <v>11</v>
      </c>
      <c r="D87" s="87">
        <v>0</v>
      </c>
      <c r="E87" s="47">
        <f t="shared" si="0"/>
        <v>11</v>
      </c>
      <c r="F87" s="87">
        <v>0</v>
      </c>
      <c r="G87" s="47">
        <f t="shared" si="4"/>
        <v>11</v>
      </c>
      <c r="H87" s="88"/>
      <c r="I87" s="20">
        <v>55</v>
      </c>
      <c r="J87" s="82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98</v>
      </c>
      <c r="C88" s="79">
        <f>+'2'!G88</f>
        <v>6</v>
      </c>
      <c r="D88" s="87">
        <v>0</v>
      </c>
      <c r="E88" s="47">
        <f t="shared" si="0"/>
        <v>6</v>
      </c>
      <c r="F88" s="87">
        <v>0</v>
      </c>
      <c r="G88" s="47">
        <f t="shared" si="4"/>
        <v>5</v>
      </c>
      <c r="H88" s="88">
        <v>1</v>
      </c>
      <c r="I88" s="20">
        <v>60</v>
      </c>
      <c r="J88" s="82">
        <f t="shared" si="5"/>
        <v>60</v>
      </c>
      <c r="K88" s="17" t="s">
        <v>16</v>
      </c>
      <c r="L88" s="18">
        <v>0</v>
      </c>
      <c r="M88" s="23">
        <f t="shared" si="10"/>
        <v>60</v>
      </c>
    </row>
    <row r="89" spans="1:13" ht="25.5" x14ac:dyDescent="0.55000000000000004">
      <c r="A89" s="10">
        <v>85</v>
      </c>
      <c r="B89" s="19" t="s">
        <v>99</v>
      </c>
      <c r="C89" s="79">
        <f>+'2'!G89</f>
        <v>1</v>
      </c>
      <c r="D89" s="87">
        <v>7</v>
      </c>
      <c r="E89" s="47">
        <f t="shared" si="0"/>
        <v>8</v>
      </c>
      <c r="F89" s="87">
        <v>0</v>
      </c>
      <c r="G89" s="47">
        <f t="shared" si="4"/>
        <v>6</v>
      </c>
      <c r="H89" s="88">
        <v>2</v>
      </c>
      <c r="I89" s="20">
        <v>100</v>
      </c>
      <c r="J89" s="82">
        <f t="shared" si="5"/>
        <v>200</v>
      </c>
      <c r="K89" s="17" t="s">
        <v>16</v>
      </c>
      <c r="L89" s="18">
        <v>0</v>
      </c>
      <c r="M89" s="23">
        <f t="shared" si="10"/>
        <v>200</v>
      </c>
    </row>
    <row r="90" spans="1:13" ht="25.5" x14ac:dyDescent="0.55000000000000004">
      <c r="A90" s="10">
        <v>86</v>
      </c>
      <c r="B90" s="19" t="s">
        <v>100</v>
      </c>
      <c r="C90" s="79">
        <f>+'2'!G90</f>
        <v>10</v>
      </c>
      <c r="D90" s="87">
        <v>0</v>
      </c>
      <c r="E90" s="47">
        <f t="shared" si="0"/>
        <v>10</v>
      </c>
      <c r="F90" s="87">
        <v>0</v>
      </c>
      <c r="G90" s="47">
        <f t="shared" si="4"/>
        <v>10</v>
      </c>
      <c r="H90" s="88"/>
      <c r="I90" s="20">
        <v>55</v>
      </c>
      <c r="J90" s="82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101</v>
      </c>
      <c r="C91" s="79">
        <f>+'2'!G91</f>
        <v>0</v>
      </c>
      <c r="D91" s="87">
        <v>0</v>
      </c>
      <c r="E91" s="47">
        <f t="shared" si="0"/>
        <v>0</v>
      </c>
      <c r="F91" s="87">
        <v>0</v>
      </c>
      <c r="G91" s="47">
        <f t="shared" si="4"/>
        <v>0</v>
      </c>
      <c r="H91" s="88"/>
      <c r="I91" s="20">
        <v>50</v>
      </c>
      <c r="J91" s="82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102</v>
      </c>
      <c r="C92" s="79">
        <f>+'2'!G92</f>
        <v>0</v>
      </c>
      <c r="D92" s="87">
        <v>0</v>
      </c>
      <c r="E92" s="47">
        <f t="shared" si="0"/>
        <v>0</v>
      </c>
      <c r="F92" s="87">
        <v>0</v>
      </c>
      <c r="G92" s="47">
        <f t="shared" si="4"/>
        <v>0</v>
      </c>
      <c r="H92" s="88"/>
      <c r="I92" s="22">
        <v>50</v>
      </c>
      <c r="J92" s="82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248</v>
      </c>
      <c r="C93" s="79">
        <f>+'2'!G93</f>
        <v>0</v>
      </c>
      <c r="D93" s="87">
        <v>0</v>
      </c>
      <c r="E93" s="47">
        <f t="shared" si="0"/>
        <v>0</v>
      </c>
      <c r="F93" s="87">
        <v>0</v>
      </c>
      <c r="G93" s="47">
        <f t="shared" si="4"/>
        <v>0</v>
      </c>
      <c r="H93" s="88"/>
      <c r="I93" s="22">
        <v>120</v>
      </c>
      <c r="J93" s="82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104</v>
      </c>
      <c r="C94" s="79">
        <f>+'2'!G94</f>
        <v>0</v>
      </c>
      <c r="D94" s="87">
        <v>0</v>
      </c>
      <c r="E94" s="47">
        <f t="shared" si="0"/>
        <v>0</v>
      </c>
      <c r="F94" s="87">
        <v>0</v>
      </c>
      <c r="G94" s="47">
        <f t="shared" si="4"/>
        <v>0</v>
      </c>
      <c r="H94" s="88"/>
      <c r="I94" s="20">
        <v>250</v>
      </c>
      <c r="J94" s="82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105</v>
      </c>
      <c r="C95" s="79">
        <f>+'2'!G95</f>
        <v>0</v>
      </c>
      <c r="D95" s="87">
        <v>0</v>
      </c>
      <c r="E95" s="47">
        <f t="shared" si="0"/>
        <v>0</v>
      </c>
      <c r="F95" s="87">
        <v>0</v>
      </c>
      <c r="G95" s="47">
        <f t="shared" si="4"/>
        <v>0</v>
      </c>
      <c r="H95" s="88"/>
      <c r="I95" s="20">
        <v>120</v>
      </c>
      <c r="J95" s="82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106</v>
      </c>
      <c r="C96" s="79">
        <f>+'2'!G96</f>
        <v>0</v>
      </c>
      <c r="D96" s="87">
        <v>0</v>
      </c>
      <c r="E96" s="47">
        <f t="shared" si="0"/>
        <v>0</v>
      </c>
      <c r="F96" s="87">
        <v>0</v>
      </c>
      <c r="G96" s="47">
        <f t="shared" si="4"/>
        <v>0</v>
      </c>
      <c r="H96" s="88"/>
      <c r="I96" s="20">
        <v>120</v>
      </c>
      <c r="J96" s="82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107</v>
      </c>
      <c r="C97" s="79">
        <f>+'2'!G97</f>
        <v>0</v>
      </c>
      <c r="D97" s="87">
        <v>0</v>
      </c>
      <c r="E97" s="47">
        <f t="shared" si="0"/>
        <v>0</v>
      </c>
      <c r="F97" s="87">
        <v>0</v>
      </c>
      <c r="G97" s="47">
        <f t="shared" si="4"/>
        <v>0</v>
      </c>
      <c r="H97" s="88"/>
      <c r="I97" s="20">
        <v>120</v>
      </c>
      <c r="J97" s="82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103</v>
      </c>
      <c r="C98" s="79">
        <f>+'2'!G98</f>
        <v>0</v>
      </c>
      <c r="D98" s="87">
        <v>0</v>
      </c>
      <c r="E98" s="47">
        <f t="shared" si="0"/>
        <v>0</v>
      </c>
      <c r="F98" s="87">
        <v>0</v>
      </c>
      <c r="G98" s="47">
        <f t="shared" si="4"/>
        <v>0</v>
      </c>
      <c r="H98" s="88"/>
      <c r="I98" s="20">
        <v>120</v>
      </c>
      <c r="J98" s="82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109</v>
      </c>
      <c r="C99" s="79">
        <f>+'2'!G99</f>
        <v>0</v>
      </c>
      <c r="D99" s="87">
        <v>0</v>
      </c>
      <c r="E99" s="47">
        <f t="shared" si="0"/>
        <v>0</v>
      </c>
      <c r="F99" s="87">
        <v>0</v>
      </c>
      <c r="G99" s="47">
        <f t="shared" si="4"/>
        <v>0</v>
      </c>
      <c r="H99" s="88"/>
      <c r="I99" s="20">
        <v>50</v>
      </c>
      <c r="J99" s="82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110</v>
      </c>
      <c r="C100" s="79">
        <f>+'2'!G100</f>
        <v>0</v>
      </c>
      <c r="D100" s="87">
        <v>0</v>
      </c>
      <c r="E100" s="47">
        <f t="shared" si="0"/>
        <v>0</v>
      </c>
      <c r="F100" s="87">
        <v>0</v>
      </c>
      <c r="G100" s="47">
        <f t="shared" si="4"/>
        <v>0</v>
      </c>
      <c r="H100" s="88"/>
      <c r="I100" s="20">
        <v>50</v>
      </c>
      <c r="J100" s="82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111</v>
      </c>
      <c r="C101" s="79">
        <f>+'2'!G101</f>
        <v>0</v>
      </c>
      <c r="D101" s="87">
        <v>0</v>
      </c>
      <c r="E101" s="47">
        <f t="shared" si="0"/>
        <v>0</v>
      </c>
      <c r="F101" s="87">
        <v>0</v>
      </c>
      <c r="G101" s="47">
        <f t="shared" ref="G101:G164" si="11">+E101-F101-H101</f>
        <v>0</v>
      </c>
      <c r="H101" s="88"/>
      <c r="I101" s="20">
        <v>60</v>
      </c>
      <c r="J101" s="82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112</v>
      </c>
      <c r="C102" s="79">
        <f>+'2'!G102</f>
        <v>0</v>
      </c>
      <c r="D102" s="87">
        <v>0</v>
      </c>
      <c r="E102" s="47">
        <f t="shared" si="0"/>
        <v>0</v>
      </c>
      <c r="F102" s="87">
        <v>0</v>
      </c>
      <c r="G102" s="47">
        <f t="shared" si="11"/>
        <v>0</v>
      </c>
      <c r="H102" s="88"/>
      <c r="I102" s="20">
        <v>55</v>
      </c>
      <c r="J102" s="82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113</v>
      </c>
      <c r="C103" s="79">
        <f>+'2'!G103</f>
        <v>0</v>
      </c>
      <c r="D103" s="87">
        <v>0</v>
      </c>
      <c r="E103" s="47">
        <f t="shared" si="0"/>
        <v>0</v>
      </c>
      <c r="F103" s="87">
        <v>0</v>
      </c>
      <c r="G103" s="47">
        <f t="shared" si="11"/>
        <v>0</v>
      </c>
      <c r="H103" s="88"/>
      <c r="I103" s="20">
        <v>50</v>
      </c>
      <c r="J103" s="82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114</v>
      </c>
      <c r="C104" s="79">
        <f>+'2'!G104</f>
        <v>0</v>
      </c>
      <c r="D104" s="87">
        <v>0</v>
      </c>
      <c r="E104" s="47">
        <f t="shared" si="0"/>
        <v>0</v>
      </c>
      <c r="F104" s="87">
        <v>0</v>
      </c>
      <c r="G104" s="47">
        <f t="shared" si="11"/>
        <v>0</v>
      </c>
      <c r="H104" s="88"/>
      <c r="I104" s="20">
        <v>100</v>
      </c>
      <c r="J104" s="82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115</v>
      </c>
      <c r="C105" s="79">
        <f>+'2'!G105</f>
        <v>0</v>
      </c>
      <c r="D105" s="87">
        <v>0</v>
      </c>
      <c r="E105" s="47">
        <f t="shared" si="0"/>
        <v>0</v>
      </c>
      <c r="F105" s="87">
        <v>0</v>
      </c>
      <c r="G105" s="47">
        <f t="shared" si="11"/>
        <v>0</v>
      </c>
      <c r="H105" s="88"/>
      <c r="I105" s="20">
        <v>100</v>
      </c>
      <c r="J105" s="82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116</v>
      </c>
      <c r="C106" s="79">
        <f>+'2'!G106</f>
        <v>0</v>
      </c>
      <c r="D106" s="87">
        <v>0</v>
      </c>
      <c r="E106" s="47">
        <f t="shared" si="0"/>
        <v>0</v>
      </c>
      <c r="F106" s="87">
        <v>0</v>
      </c>
      <c r="G106" s="47">
        <f t="shared" si="11"/>
        <v>0</v>
      </c>
      <c r="H106" s="88"/>
      <c r="I106" s="22">
        <v>30</v>
      </c>
      <c r="J106" s="82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117</v>
      </c>
      <c r="C107" s="79">
        <f>+'2'!G107</f>
        <v>0</v>
      </c>
      <c r="D107" s="87">
        <v>0</v>
      </c>
      <c r="E107" s="47">
        <f t="shared" si="0"/>
        <v>0</v>
      </c>
      <c r="F107" s="87">
        <v>0</v>
      </c>
      <c r="G107" s="47">
        <f t="shared" si="11"/>
        <v>0</v>
      </c>
      <c r="H107" s="88"/>
      <c r="I107" s="22">
        <v>20</v>
      </c>
      <c r="J107" s="82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118</v>
      </c>
      <c r="C108" s="79">
        <f>+'2'!G108</f>
        <v>0</v>
      </c>
      <c r="D108" s="87">
        <v>0</v>
      </c>
      <c r="E108" s="47">
        <f t="shared" si="0"/>
        <v>0</v>
      </c>
      <c r="F108" s="87">
        <v>0</v>
      </c>
      <c r="G108" s="47">
        <f t="shared" si="11"/>
        <v>0</v>
      </c>
      <c r="H108" s="88"/>
      <c r="I108" s="20">
        <v>100</v>
      </c>
      <c r="J108" s="82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120</v>
      </c>
      <c r="C109" s="79">
        <f>+'2'!G109</f>
        <v>0</v>
      </c>
      <c r="D109" s="87">
        <v>0</v>
      </c>
      <c r="E109" s="47">
        <f t="shared" si="0"/>
        <v>0</v>
      </c>
      <c r="F109" s="87">
        <v>0</v>
      </c>
      <c r="G109" s="47">
        <f t="shared" si="11"/>
        <v>0</v>
      </c>
      <c r="H109" s="88"/>
      <c r="I109" s="20">
        <v>80</v>
      </c>
      <c r="J109" s="82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121</v>
      </c>
      <c r="C110" s="79">
        <f>+'2'!G110</f>
        <v>0</v>
      </c>
      <c r="D110" s="87">
        <v>0</v>
      </c>
      <c r="E110" s="47">
        <f t="shared" si="0"/>
        <v>0</v>
      </c>
      <c r="F110" s="87">
        <v>0</v>
      </c>
      <c r="G110" s="47">
        <f t="shared" si="11"/>
        <v>0</v>
      </c>
      <c r="H110" s="88"/>
      <c r="I110" s="20">
        <v>60</v>
      </c>
      <c r="J110" s="82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122</v>
      </c>
      <c r="C111" s="79">
        <f>+'2'!G111</f>
        <v>0</v>
      </c>
      <c r="D111" s="87">
        <v>0</v>
      </c>
      <c r="E111" s="47">
        <f t="shared" si="0"/>
        <v>0</v>
      </c>
      <c r="F111" s="87">
        <v>0</v>
      </c>
      <c r="G111" s="47">
        <f t="shared" si="11"/>
        <v>0</v>
      </c>
      <c r="H111" s="88"/>
      <c r="I111" s="20">
        <v>35</v>
      </c>
      <c r="J111" s="82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123</v>
      </c>
      <c r="C112" s="79">
        <f>+'2'!G112</f>
        <v>0</v>
      </c>
      <c r="D112" s="87">
        <v>0</v>
      </c>
      <c r="E112" s="47">
        <f t="shared" si="0"/>
        <v>0</v>
      </c>
      <c r="F112" s="87">
        <v>0</v>
      </c>
      <c r="G112" s="47">
        <f t="shared" si="11"/>
        <v>0</v>
      </c>
      <c r="H112" s="88"/>
      <c r="I112" s="20">
        <v>35</v>
      </c>
      <c r="J112" s="82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124</v>
      </c>
      <c r="C113" s="79">
        <f>+'2'!G113</f>
        <v>0</v>
      </c>
      <c r="D113" s="87">
        <v>0</v>
      </c>
      <c r="E113" s="47">
        <f t="shared" si="0"/>
        <v>0</v>
      </c>
      <c r="F113" s="87">
        <v>0</v>
      </c>
      <c r="G113" s="47">
        <f t="shared" si="11"/>
        <v>0</v>
      </c>
      <c r="H113" s="88"/>
      <c r="I113" s="20">
        <v>35</v>
      </c>
      <c r="J113" s="82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125</v>
      </c>
      <c r="C114" s="79">
        <f>+'2'!G114</f>
        <v>0</v>
      </c>
      <c r="D114" s="87">
        <v>0</v>
      </c>
      <c r="E114" s="47">
        <f t="shared" si="0"/>
        <v>0</v>
      </c>
      <c r="F114" s="87">
        <v>0</v>
      </c>
      <c r="G114" s="47">
        <f t="shared" si="11"/>
        <v>0</v>
      </c>
      <c r="H114" s="88"/>
      <c r="I114" s="20">
        <v>35</v>
      </c>
      <c r="J114" s="82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126</v>
      </c>
      <c r="C115" s="79">
        <f>+'2'!G115</f>
        <v>0</v>
      </c>
      <c r="D115" s="87">
        <v>0</v>
      </c>
      <c r="E115" s="47">
        <f t="shared" si="0"/>
        <v>0</v>
      </c>
      <c r="F115" s="87">
        <v>0</v>
      </c>
      <c r="G115" s="47">
        <f t="shared" si="11"/>
        <v>0</v>
      </c>
      <c r="H115" s="88"/>
      <c r="I115" s="20">
        <v>35</v>
      </c>
      <c r="J115" s="82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127</v>
      </c>
      <c r="C116" s="79">
        <f>+'2'!G116</f>
        <v>0</v>
      </c>
      <c r="D116" s="87">
        <v>0</v>
      </c>
      <c r="E116" s="47">
        <f t="shared" si="0"/>
        <v>0</v>
      </c>
      <c r="F116" s="87">
        <v>0</v>
      </c>
      <c r="G116" s="47">
        <f t="shared" si="11"/>
        <v>0</v>
      </c>
      <c r="H116" s="88"/>
      <c r="I116" s="20">
        <v>30</v>
      </c>
      <c r="J116" s="82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128</v>
      </c>
      <c r="C117" s="79">
        <f>+'2'!G117</f>
        <v>0</v>
      </c>
      <c r="D117" s="87">
        <v>0</v>
      </c>
      <c r="E117" s="47">
        <f t="shared" si="0"/>
        <v>0</v>
      </c>
      <c r="F117" s="87">
        <v>0</v>
      </c>
      <c r="G117" s="47">
        <f t="shared" si="11"/>
        <v>0</v>
      </c>
      <c r="H117" s="88"/>
      <c r="I117" s="20">
        <v>30</v>
      </c>
      <c r="J117" s="82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129</v>
      </c>
      <c r="C118" s="79">
        <f>+'2'!G118</f>
        <v>0</v>
      </c>
      <c r="D118" s="87">
        <v>0</v>
      </c>
      <c r="E118" s="47">
        <f t="shared" si="0"/>
        <v>0</v>
      </c>
      <c r="F118" s="87">
        <v>0</v>
      </c>
      <c r="G118" s="47">
        <f t="shared" si="11"/>
        <v>0</v>
      </c>
      <c r="H118" s="88"/>
      <c r="I118" s="20">
        <v>30</v>
      </c>
      <c r="J118" s="82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130</v>
      </c>
      <c r="C119" s="79">
        <f>+'2'!G119</f>
        <v>0</v>
      </c>
      <c r="D119" s="87">
        <v>0</v>
      </c>
      <c r="E119" s="47">
        <f t="shared" si="0"/>
        <v>0</v>
      </c>
      <c r="F119" s="87">
        <v>0</v>
      </c>
      <c r="G119" s="47">
        <f t="shared" si="11"/>
        <v>0</v>
      </c>
      <c r="H119" s="88"/>
      <c r="I119" s="20">
        <v>30</v>
      </c>
      <c r="J119" s="82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131</v>
      </c>
      <c r="C120" s="79">
        <f>+'2'!G120</f>
        <v>0</v>
      </c>
      <c r="D120" s="87">
        <v>0</v>
      </c>
      <c r="E120" s="47">
        <f t="shared" si="0"/>
        <v>0</v>
      </c>
      <c r="F120" s="87">
        <v>0</v>
      </c>
      <c r="G120" s="47">
        <f t="shared" si="11"/>
        <v>0</v>
      </c>
      <c r="H120" s="88"/>
      <c r="I120" s="20">
        <v>30</v>
      </c>
      <c r="J120" s="82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132</v>
      </c>
      <c r="C121" s="79">
        <f>+'2'!G121</f>
        <v>0</v>
      </c>
      <c r="D121" s="87">
        <v>0</v>
      </c>
      <c r="E121" s="47">
        <f t="shared" si="0"/>
        <v>0</v>
      </c>
      <c r="F121" s="87">
        <v>0</v>
      </c>
      <c r="G121" s="47">
        <f t="shared" si="11"/>
        <v>0</v>
      </c>
      <c r="H121" s="88"/>
      <c r="I121" s="20">
        <v>30</v>
      </c>
      <c r="J121" s="82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133</v>
      </c>
      <c r="C122" s="79">
        <f>+'2'!G122</f>
        <v>0</v>
      </c>
      <c r="D122" s="87">
        <v>0</v>
      </c>
      <c r="E122" s="47">
        <f t="shared" si="0"/>
        <v>0</v>
      </c>
      <c r="F122" s="87">
        <v>0</v>
      </c>
      <c r="G122" s="47">
        <f t="shared" si="11"/>
        <v>0</v>
      </c>
      <c r="H122" s="88"/>
      <c r="I122" s="20">
        <v>40</v>
      </c>
      <c r="J122" s="82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134</v>
      </c>
      <c r="C123" s="79">
        <f>+'2'!G123</f>
        <v>0</v>
      </c>
      <c r="D123" s="87">
        <v>0</v>
      </c>
      <c r="E123" s="47">
        <f t="shared" si="0"/>
        <v>0</v>
      </c>
      <c r="F123" s="87">
        <v>0</v>
      </c>
      <c r="G123" s="47">
        <f t="shared" si="11"/>
        <v>0</v>
      </c>
      <c r="H123" s="88"/>
      <c r="I123" s="20">
        <v>35</v>
      </c>
      <c r="J123" s="82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135</v>
      </c>
      <c r="C124" s="79">
        <f>+'2'!G124</f>
        <v>0</v>
      </c>
      <c r="D124" s="87">
        <v>0</v>
      </c>
      <c r="E124" s="47">
        <f t="shared" si="0"/>
        <v>0</v>
      </c>
      <c r="F124" s="87">
        <v>0</v>
      </c>
      <c r="G124" s="47">
        <f t="shared" si="11"/>
        <v>0</v>
      </c>
      <c r="H124" s="88"/>
      <c r="I124" s="20">
        <v>40</v>
      </c>
      <c r="J124" s="82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136</v>
      </c>
      <c r="C125" s="79">
        <f>+'2'!G125</f>
        <v>0</v>
      </c>
      <c r="D125" s="87">
        <v>0</v>
      </c>
      <c r="E125" s="47">
        <f t="shared" si="0"/>
        <v>0</v>
      </c>
      <c r="F125" s="87">
        <v>0</v>
      </c>
      <c r="G125" s="47">
        <f t="shared" si="11"/>
        <v>0</v>
      </c>
      <c r="H125" s="88"/>
      <c r="I125" s="20">
        <v>40</v>
      </c>
      <c r="J125" s="82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137</v>
      </c>
      <c r="C126" s="79">
        <f>+'2'!G126</f>
        <v>0</v>
      </c>
      <c r="D126" s="87">
        <v>0</v>
      </c>
      <c r="E126" s="47">
        <f t="shared" ref="E126:E189" si="13">C126+D126</f>
        <v>0</v>
      </c>
      <c r="F126" s="87">
        <v>0</v>
      </c>
      <c r="G126" s="47">
        <f t="shared" si="11"/>
        <v>0</v>
      </c>
      <c r="H126" s="88"/>
      <c r="I126" s="20">
        <v>30</v>
      </c>
      <c r="J126" s="82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138</v>
      </c>
      <c r="C127" s="79">
        <f>+'2'!G127</f>
        <v>0</v>
      </c>
      <c r="D127" s="87">
        <v>0</v>
      </c>
      <c r="E127" s="47">
        <f t="shared" si="13"/>
        <v>0</v>
      </c>
      <c r="F127" s="87">
        <v>0</v>
      </c>
      <c r="G127" s="47">
        <f t="shared" si="11"/>
        <v>0</v>
      </c>
      <c r="H127" s="88"/>
      <c r="I127" s="20">
        <v>40</v>
      </c>
      <c r="J127" s="82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139</v>
      </c>
      <c r="C128" s="79">
        <f>+'2'!G128</f>
        <v>91</v>
      </c>
      <c r="D128" s="87">
        <v>0</v>
      </c>
      <c r="E128" s="47">
        <f t="shared" si="13"/>
        <v>91</v>
      </c>
      <c r="F128" s="87">
        <v>0</v>
      </c>
      <c r="G128" s="47">
        <f t="shared" si="11"/>
        <v>87</v>
      </c>
      <c r="H128" s="88">
        <v>4</v>
      </c>
      <c r="I128" s="20">
        <v>10</v>
      </c>
      <c r="J128" s="82">
        <f t="shared" si="12"/>
        <v>40</v>
      </c>
      <c r="K128" s="17" t="s">
        <v>16</v>
      </c>
      <c r="L128" s="18">
        <v>0</v>
      </c>
      <c r="M128" s="23">
        <f t="shared" si="10"/>
        <v>40</v>
      </c>
    </row>
    <row r="129" spans="1:13" ht="25.5" x14ac:dyDescent="0.55000000000000004">
      <c r="A129" s="10">
        <v>125</v>
      </c>
      <c r="B129" s="19" t="s">
        <v>140</v>
      </c>
      <c r="C129" s="79">
        <f>+'2'!G129</f>
        <v>0</v>
      </c>
      <c r="D129" s="87">
        <v>0</v>
      </c>
      <c r="E129" s="47">
        <f t="shared" si="13"/>
        <v>0</v>
      </c>
      <c r="F129" s="87">
        <v>0</v>
      </c>
      <c r="G129" s="47">
        <f t="shared" si="11"/>
        <v>0</v>
      </c>
      <c r="H129" s="88"/>
      <c r="I129" s="20">
        <v>35</v>
      </c>
      <c r="J129" s="82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141</v>
      </c>
      <c r="C130" s="79">
        <f>+'2'!G130</f>
        <v>0</v>
      </c>
      <c r="D130" s="87">
        <v>0</v>
      </c>
      <c r="E130" s="47">
        <f t="shared" si="13"/>
        <v>0</v>
      </c>
      <c r="F130" s="87">
        <v>0</v>
      </c>
      <c r="G130" s="47">
        <f t="shared" si="11"/>
        <v>0</v>
      </c>
      <c r="H130" s="88"/>
      <c r="I130" s="20">
        <v>40</v>
      </c>
      <c r="J130" s="82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142</v>
      </c>
      <c r="C131" s="79">
        <f>+'2'!G131</f>
        <v>0</v>
      </c>
      <c r="D131" s="87">
        <v>0</v>
      </c>
      <c r="E131" s="47">
        <f t="shared" si="13"/>
        <v>0</v>
      </c>
      <c r="F131" s="87">
        <v>0</v>
      </c>
      <c r="G131" s="47">
        <f t="shared" si="11"/>
        <v>0</v>
      </c>
      <c r="H131" s="88"/>
      <c r="I131" s="20">
        <v>50</v>
      </c>
      <c r="J131" s="82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143</v>
      </c>
      <c r="C132" s="79">
        <f>+'2'!G132</f>
        <v>0</v>
      </c>
      <c r="D132" s="87">
        <v>0</v>
      </c>
      <c r="E132" s="47">
        <f t="shared" si="13"/>
        <v>0</v>
      </c>
      <c r="F132" s="87">
        <v>0</v>
      </c>
      <c r="G132" s="47">
        <f t="shared" si="11"/>
        <v>0</v>
      </c>
      <c r="H132" s="88"/>
      <c r="I132" s="20">
        <v>55</v>
      </c>
      <c r="J132" s="82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144</v>
      </c>
      <c r="C133" s="79">
        <f>+'2'!G133</f>
        <v>0</v>
      </c>
      <c r="D133" s="87">
        <v>0</v>
      </c>
      <c r="E133" s="47">
        <f t="shared" si="13"/>
        <v>0</v>
      </c>
      <c r="F133" s="87">
        <v>0</v>
      </c>
      <c r="G133" s="47">
        <f t="shared" si="11"/>
        <v>0</v>
      </c>
      <c r="H133" s="88"/>
      <c r="I133" s="20">
        <v>55</v>
      </c>
      <c r="J133" s="82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145</v>
      </c>
      <c r="C134" s="79">
        <f>+'2'!G134</f>
        <v>0</v>
      </c>
      <c r="D134" s="87">
        <v>0</v>
      </c>
      <c r="E134" s="47">
        <f t="shared" si="13"/>
        <v>0</v>
      </c>
      <c r="F134" s="87">
        <v>0</v>
      </c>
      <c r="G134" s="47">
        <f t="shared" si="11"/>
        <v>0</v>
      </c>
      <c r="H134" s="88"/>
      <c r="I134" s="20">
        <v>45</v>
      </c>
      <c r="J134" s="82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5.5" x14ac:dyDescent="0.55000000000000004">
      <c r="A135" s="10">
        <v>131</v>
      </c>
      <c r="B135" s="19" t="s">
        <v>146</v>
      </c>
      <c r="C135" s="79">
        <f>+'2'!G135</f>
        <v>0</v>
      </c>
      <c r="D135" s="87">
        <v>0</v>
      </c>
      <c r="E135" s="47">
        <f t="shared" si="13"/>
        <v>0</v>
      </c>
      <c r="F135" s="87">
        <v>0</v>
      </c>
      <c r="G135" s="47">
        <f t="shared" si="11"/>
        <v>0</v>
      </c>
      <c r="H135" s="88"/>
      <c r="I135" s="20">
        <v>45</v>
      </c>
      <c r="J135" s="82">
        <f t="shared" si="12"/>
        <v>0</v>
      </c>
      <c r="K135" s="17" t="s">
        <v>16</v>
      </c>
      <c r="L135" s="18">
        <v>0</v>
      </c>
      <c r="M135" s="23">
        <f t="shared" ref="M135:M198" si="14">SUM(J135-L135)</f>
        <v>0</v>
      </c>
    </row>
    <row r="136" spans="1:13" ht="25.5" x14ac:dyDescent="0.55000000000000004">
      <c r="A136" s="10">
        <v>132</v>
      </c>
      <c r="B136" s="19" t="s">
        <v>147</v>
      </c>
      <c r="C136" s="79">
        <f>+'2'!G136</f>
        <v>0</v>
      </c>
      <c r="D136" s="87">
        <v>0</v>
      </c>
      <c r="E136" s="47">
        <f t="shared" si="13"/>
        <v>0</v>
      </c>
      <c r="F136" s="87">
        <v>0</v>
      </c>
      <c r="G136" s="47">
        <f t="shared" si="11"/>
        <v>0</v>
      </c>
      <c r="H136" s="88"/>
      <c r="I136" s="20">
        <v>55</v>
      </c>
      <c r="J136" s="82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148</v>
      </c>
      <c r="C137" s="79">
        <f>+'2'!G137</f>
        <v>0</v>
      </c>
      <c r="D137" s="87">
        <v>0</v>
      </c>
      <c r="E137" s="47">
        <f t="shared" si="13"/>
        <v>0</v>
      </c>
      <c r="F137" s="87">
        <v>0</v>
      </c>
      <c r="G137" s="47">
        <f t="shared" si="11"/>
        <v>0</v>
      </c>
      <c r="H137" s="88"/>
      <c r="I137" s="20">
        <v>45</v>
      </c>
      <c r="J137" s="82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149</v>
      </c>
      <c r="C138" s="79">
        <f>+'2'!G138</f>
        <v>0</v>
      </c>
      <c r="D138" s="87">
        <v>0</v>
      </c>
      <c r="E138" s="47">
        <f t="shared" si="13"/>
        <v>0</v>
      </c>
      <c r="F138" s="87">
        <v>0</v>
      </c>
      <c r="G138" s="47">
        <f t="shared" si="11"/>
        <v>0</v>
      </c>
      <c r="H138" s="88"/>
      <c r="I138" s="20">
        <v>45</v>
      </c>
      <c r="J138" s="82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150</v>
      </c>
      <c r="C139" s="79">
        <f>+'2'!G139</f>
        <v>0</v>
      </c>
      <c r="D139" s="87">
        <v>0</v>
      </c>
      <c r="E139" s="47">
        <f t="shared" si="13"/>
        <v>0</v>
      </c>
      <c r="F139" s="87">
        <v>0</v>
      </c>
      <c r="G139" s="47">
        <f t="shared" si="11"/>
        <v>0</v>
      </c>
      <c r="H139" s="88"/>
      <c r="I139" s="20">
        <v>45</v>
      </c>
      <c r="J139" s="82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151</v>
      </c>
      <c r="C140" s="79">
        <f>+'2'!G140</f>
        <v>0</v>
      </c>
      <c r="D140" s="87">
        <v>0</v>
      </c>
      <c r="E140" s="47">
        <f t="shared" si="13"/>
        <v>0</v>
      </c>
      <c r="F140" s="87">
        <v>0</v>
      </c>
      <c r="G140" s="47">
        <f t="shared" si="11"/>
        <v>0</v>
      </c>
      <c r="H140" s="88"/>
      <c r="I140" s="20">
        <v>45</v>
      </c>
      <c r="J140" s="82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152</v>
      </c>
      <c r="C141" s="79">
        <f>+'2'!G141</f>
        <v>0</v>
      </c>
      <c r="D141" s="87">
        <v>0</v>
      </c>
      <c r="E141" s="47">
        <f t="shared" si="13"/>
        <v>0</v>
      </c>
      <c r="F141" s="87">
        <v>0</v>
      </c>
      <c r="G141" s="47">
        <f t="shared" si="11"/>
        <v>0</v>
      </c>
      <c r="H141" s="88"/>
      <c r="I141" s="20">
        <v>45</v>
      </c>
      <c r="J141" s="82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153</v>
      </c>
      <c r="C142" s="79">
        <f>+'2'!G142</f>
        <v>0</v>
      </c>
      <c r="D142" s="87">
        <v>0</v>
      </c>
      <c r="E142" s="47">
        <f t="shared" si="13"/>
        <v>0</v>
      </c>
      <c r="F142" s="87">
        <v>0</v>
      </c>
      <c r="G142" s="47">
        <f t="shared" si="11"/>
        <v>0</v>
      </c>
      <c r="H142" s="88"/>
      <c r="I142" s="20">
        <v>45</v>
      </c>
      <c r="J142" s="82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154</v>
      </c>
      <c r="C143" s="79">
        <f>+'2'!G143</f>
        <v>0</v>
      </c>
      <c r="D143" s="87">
        <v>0</v>
      </c>
      <c r="E143" s="47">
        <f t="shared" si="13"/>
        <v>0</v>
      </c>
      <c r="F143" s="87">
        <v>0</v>
      </c>
      <c r="G143" s="47">
        <f t="shared" si="11"/>
        <v>0</v>
      </c>
      <c r="H143" s="88"/>
      <c r="I143" s="20">
        <v>120</v>
      </c>
      <c r="J143" s="82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155</v>
      </c>
      <c r="C144" s="79">
        <f>+'2'!G144</f>
        <v>0</v>
      </c>
      <c r="D144" s="87">
        <v>0</v>
      </c>
      <c r="E144" s="47">
        <f t="shared" si="13"/>
        <v>0</v>
      </c>
      <c r="F144" s="87">
        <v>0</v>
      </c>
      <c r="G144" s="47">
        <f t="shared" si="11"/>
        <v>0</v>
      </c>
      <c r="H144" s="88"/>
      <c r="I144" s="20">
        <v>120</v>
      </c>
      <c r="J144" s="82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156</v>
      </c>
      <c r="C145" s="79">
        <f>+'2'!G145</f>
        <v>0</v>
      </c>
      <c r="D145" s="87">
        <v>0</v>
      </c>
      <c r="E145" s="47">
        <f t="shared" si="13"/>
        <v>0</v>
      </c>
      <c r="F145" s="87">
        <v>0</v>
      </c>
      <c r="G145" s="47">
        <f t="shared" si="11"/>
        <v>0</v>
      </c>
      <c r="H145" s="88"/>
      <c r="I145" s="20">
        <v>120</v>
      </c>
      <c r="J145" s="82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157</v>
      </c>
      <c r="C146" s="79">
        <f>+'2'!G146</f>
        <v>0</v>
      </c>
      <c r="D146" s="87">
        <v>0</v>
      </c>
      <c r="E146" s="47">
        <f t="shared" si="13"/>
        <v>0</v>
      </c>
      <c r="F146" s="87">
        <v>0</v>
      </c>
      <c r="G146" s="47">
        <f t="shared" si="11"/>
        <v>0</v>
      </c>
      <c r="H146" s="88"/>
      <c r="I146" s="20">
        <v>120</v>
      </c>
      <c r="J146" s="82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158</v>
      </c>
      <c r="C147" s="79">
        <f>+'2'!G147</f>
        <v>0</v>
      </c>
      <c r="D147" s="87">
        <v>0</v>
      </c>
      <c r="E147" s="47">
        <f t="shared" si="13"/>
        <v>0</v>
      </c>
      <c r="F147" s="87">
        <v>0</v>
      </c>
      <c r="G147" s="47">
        <f t="shared" si="11"/>
        <v>0</v>
      </c>
      <c r="H147" s="88"/>
      <c r="I147" s="20">
        <v>185</v>
      </c>
      <c r="J147" s="82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159</v>
      </c>
      <c r="C148" s="79">
        <f>+'2'!G148</f>
        <v>0</v>
      </c>
      <c r="D148" s="87">
        <v>0</v>
      </c>
      <c r="E148" s="47">
        <f t="shared" si="13"/>
        <v>0</v>
      </c>
      <c r="F148" s="87">
        <v>0</v>
      </c>
      <c r="G148" s="47">
        <f t="shared" si="11"/>
        <v>0</v>
      </c>
      <c r="H148" s="88"/>
      <c r="I148" s="20">
        <v>185</v>
      </c>
      <c r="J148" s="82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160</v>
      </c>
      <c r="C149" s="79">
        <f>+'2'!G149</f>
        <v>0</v>
      </c>
      <c r="D149" s="87">
        <v>0</v>
      </c>
      <c r="E149" s="47">
        <f t="shared" si="13"/>
        <v>0</v>
      </c>
      <c r="F149" s="87">
        <v>0</v>
      </c>
      <c r="G149" s="47">
        <f t="shared" si="11"/>
        <v>0</v>
      </c>
      <c r="H149" s="88"/>
      <c r="I149" s="20">
        <v>185</v>
      </c>
      <c r="J149" s="82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161</v>
      </c>
      <c r="C150" s="79">
        <f>+'2'!G150</f>
        <v>0</v>
      </c>
      <c r="D150" s="87">
        <v>0</v>
      </c>
      <c r="E150" s="47">
        <f t="shared" si="13"/>
        <v>0</v>
      </c>
      <c r="F150" s="87">
        <v>0</v>
      </c>
      <c r="G150" s="47">
        <f t="shared" si="11"/>
        <v>0</v>
      </c>
      <c r="H150" s="88"/>
      <c r="I150" s="20">
        <v>185</v>
      </c>
      <c r="J150" s="82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5.5" x14ac:dyDescent="0.55000000000000004">
      <c r="A151" s="10">
        <v>147</v>
      </c>
      <c r="B151" s="19" t="s">
        <v>279</v>
      </c>
      <c r="C151" s="79">
        <f>+'2'!G151</f>
        <v>0</v>
      </c>
      <c r="D151" s="87">
        <v>0</v>
      </c>
      <c r="E151" s="47">
        <f t="shared" si="13"/>
        <v>0</v>
      </c>
      <c r="F151" s="87">
        <v>0</v>
      </c>
      <c r="G151" s="47">
        <f t="shared" si="11"/>
        <v>0</v>
      </c>
      <c r="H151" s="88"/>
      <c r="I151" s="20">
        <v>150</v>
      </c>
      <c r="J151" s="82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280</v>
      </c>
      <c r="C152" s="79">
        <f>+'2'!G152</f>
        <v>1</v>
      </c>
      <c r="D152" s="87">
        <v>0</v>
      </c>
      <c r="E152" s="47">
        <f t="shared" si="13"/>
        <v>1</v>
      </c>
      <c r="F152" s="87">
        <v>0</v>
      </c>
      <c r="G152" s="47">
        <f t="shared" si="11"/>
        <v>1</v>
      </c>
      <c r="H152" s="88"/>
      <c r="I152" s="20">
        <v>150</v>
      </c>
      <c r="J152" s="82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5.5" x14ac:dyDescent="0.55000000000000004">
      <c r="A153" s="10">
        <v>149</v>
      </c>
      <c r="B153" s="19" t="s">
        <v>281</v>
      </c>
      <c r="C153" s="79">
        <f>+'2'!G153</f>
        <v>2</v>
      </c>
      <c r="D153" s="87">
        <v>0</v>
      </c>
      <c r="E153" s="47">
        <f t="shared" si="13"/>
        <v>2</v>
      </c>
      <c r="F153" s="87">
        <v>0</v>
      </c>
      <c r="G153" s="47">
        <f t="shared" si="11"/>
        <v>2</v>
      </c>
      <c r="H153" s="88"/>
      <c r="I153" s="20">
        <v>150</v>
      </c>
      <c r="J153" s="82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282</v>
      </c>
      <c r="C154" s="79">
        <f>+'2'!G154</f>
        <v>0</v>
      </c>
      <c r="D154" s="87">
        <v>0</v>
      </c>
      <c r="E154" s="47">
        <f t="shared" si="13"/>
        <v>0</v>
      </c>
      <c r="F154" s="87">
        <v>0</v>
      </c>
      <c r="G154" s="47">
        <f t="shared" si="11"/>
        <v>0</v>
      </c>
      <c r="H154" s="88"/>
      <c r="I154" s="20">
        <v>150</v>
      </c>
      <c r="J154" s="82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166</v>
      </c>
      <c r="C155" s="79">
        <f>+'2'!G155</f>
        <v>0</v>
      </c>
      <c r="D155" s="87">
        <v>0</v>
      </c>
      <c r="E155" s="47">
        <f t="shared" si="13"/>
        <v>0</v>
      </c>
      <c r="F155" s="87">
        <v>0</v>
      </c>
      <c r="G155" s="47">
        <f t="shared" si="11"/>
        <v>0</v>
      </c>
      <c r="H155" s="88"/>
      <c r="I155" s="20">
        <v>185</v>
      </c>
      <c r="J155" s="82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167</v>
      </c>
      <c r="C156" s="79">
        <f>+'2'!G156</f>
        <v>0</v>
      </c>
      <c r="D156" s="87">
        <v>0</v>
      </c>
      <c r="E156" s="47">
        <f t="shared" si="13"/>
        <v>0</v>
      </c>
      <c r="F156" s="87">
        <v>0</v>
      </c>
      <c r="G156" s="47">
        <f t="shared" si="11"/>
        <v>0</v>
      </c>
      <c r="H156" s="88"/>
      <c r="I156" s="20">
        <v>185</v>
      </c>
      <c r="J156" s="82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168</v>
      </c>
      <c r="C157" s="79">
        <f>+'2'!G157</f>
        <v>0</v>
      </c>
      <c r="D157" s="87">
        <v>0</v>
      </c>
      <c r="E157" s="47">
        <f t="shared" si="13"/>
        <v>0</v>
      </c>
      <c r="F157" s="87">
        <v>0</v>
      </c>
      <c r="G157" s="47">
        <f t="shared" si="11"/>
        <v>0</v>
      </c>
      <c r="H157" s="88"/>
      <c r="I157" s="20">
        <v>185</v>
      </c>
      <c r="J157" s="82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169</v>
      </c>
      <c r="C158" s="79">
        <f>+'2'!G158</f>
        <v>0</v>
      </c>
      <c r="D158" s="87">
        <v>0</v>
      </c>
      <c r="E158" s="47">
        <f t="shared" si="13"/>
        <v>0</v>
      </c>
      <c r="F158" s="87">
        <v>0</v>
      </c>
      <c r="G158" s="47">
        <f t="shared" si="11"/>
        <v>0</v>
      </c>
      <c r="H158" s="88"/>
      <c r="I158" s="20">
        <v>185</v>
      </c>
      <c r="J158" s="82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170</v>
      </c>
      <c r="C159" s="79">
        <f>+'2'!G159</f>
        <v>0</v>
      </c>
      <c r="D159" s="87">
        <v>0</v>
      </c>
      <c r="E159" s="47">
        <f t="shared" si="13"/>
        <v>0</v>
      </c>
      <c r="F159" s="87">
        <v>0</v>
      </c>
      <c r="G159" s="47">
        <f t="shared" si="11"/>
        <v>0</v>
      </c>
      <c r="H159" s="88"/>
      <c r="I159" s="20">
        <v>135</v>
      </c>
      <c r="J159" s="82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171</v>
      </c>
      <c r="C160" s="79">
        <f>+'2'!G160</f>
        <v>0</v>
      </c>
      <c r="D160" s="87">
        <v>0</v>
      </c>
      <c r="E160" s="47">
        <f t="shared" si="13"/>
        <v>0</v>
      </c>
      <c r="F160" s="87">
        <v>0</v>
      </c>
      <c r="G160" s="47">
        <f t="shared" si="11"/>
        <v>0</v>
      </c>
      <c r="H160" s="88"/>
      <c r="I160" s="20">
        <v>90</v>
      </c>
      <c r="J160" s="82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172</v>
      </c>
      <c r="C161" s="79">
        <f>+'2'!G161</f>
        <v>0</v>
      </c>
      <c r="D161" s="87">
        <v>0</v>
      </c>
      <c r="E161" s="47">
        <f t="shared" si="13"/>
        <v>0</v>
      </c>
      <c r="F161" s="87">
        <v>0</v>
      </c>
      <c r="G161" s="47">
        <f t="shared" si="11"/>
        <v>0</v>
      </c>
      <c r="H161" s="88"/>
      <c r="I161" s="20">
        <v>90</v>
      </c>
      <c r="J161" s="82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173</v>
      </c>
      <c r="C162" s="79">
        <f>+'2'!G162</f>
        <v>0</v>
      </c>
      <c r="D162" s="87">
        <v>0</v>
      </c>
      <c r="E162" s="47">
        <f t="shared" si="13"/>
        <v>0</v>
      </c>
      <c r="F162" s="87">
        <v>0</v>
      </c>
      <c r="G162" s="47">
        <f t="shared" si="11"/>
        <v>0</v>
      </c>
      <c r="H162" s="88"/>
      <c r="I162" s="20">
        <v>90</v>
      </c>
      <c r="J162" s="82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174</v>
      </c>
      <c r="C163" s="79">
        <f>+'2'!G163</f>
        <v>0</v>
      </c>
      <c r="D163" s="87">
        <v>0</v>
      </c>
      <c r="E163" s="47">
        <f t="shared" si="13"/>
        <v>0</v>
      </c>
      <c r="F163" s="87">
        <v>0</v>
      </c>
      <c r="G163" s="47">
        <f t="shared" si="11"/>
        <v>0</v>
      </c>
      <c r="H163" s="88"/>
      <c r="I163" s="20">
        <v>90</v>
      </c>
      <c r="J163" s="82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175</v>
      </c>
      <c r="C164" s="79">
        <f>+'2'!G164</f>
        <v>0</v>
      </c>
      <c r="D164" s="87">
        <v>0</v>
      </c>
      <c r="E164" s="47">
        <f t="shared" si="13"/>
        <v>0</v>
      </c>
      <c r="F164" s="87">
        <v>0</v>
      </c>
      <c r="G164" s="47">
        <f t="shared" si="11"/>
        <v>0</v>
      </c>
      <c r="H164" s="88"/>
      <c r="I164" s="20">
        <v>25</v>
      </c>
      <c r="J164" s="82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176</v>
      </c>
      <c r="C165" s="79">
        <f>+'2'!G165</f>
        <v>0</v>
      </c>
      <c r="D165" s="87">
        <v>0</v>
      </c>
      <c r="E165" s="47">
        <f t="shared" si="13"/>
        <v>0</v>
      </c>
      <c r="F165" s="87">
        <v>0</v>
      </c>
      <c r="G165" s="47">
        <f t="shared" ref="G165:G227" si="15">+E165-F165-H165</f>
        <v>0</v>
      </c>
      <c r="H165" s="88"/>
      <c r="I165" s="20">
        <v>50</v>
      </c>
      <c r="J165" s="82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177</v>
      </c>
      <c r="C166" s="79">
        <f>+'2'!G166</f>
        <v>0</v>
      </c>
      <c r="D166" s="87">
        <v>0</v>
      </c>
      <c r="E166" s="47">
        <f t="shared" si="13"/>
        <v>0</v>
      </c>
      <c r="F166" s="87">
        <v>0</v>
      </c>
      <c r="G166" s="47">
        <f t="shared" si="15"/>
        <v>0</v>
      </c>
      <c r="H166" s="88"/>
      <c r="I166" s="20">
        <v>50</v>
      </c>
      <c r="J166" s="82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178</v>
      </c>
      <c r="C167" s="79">
        <f>+'2'!G167</f>
        <v>0</v>
      </c>
      <c r="D167" s="87">
        <v>0</v>
      </c>
      <c r="E167" s="47">
        <f t="shared" si="13"/>
        <v>0</v>
      </c>
      <c r="F167" s="87">
        <v>0</v>
      </c>
      <c r="G167" s="47">
        <f t="shared" si="15"/>
        <v>0</v>
      </c>
      <c r="H167" s="88"/>
      <c r="I167" s="20">
        <v>50</v>
      </c>
      <c r="J167" s="82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179</v>
      </c>
      <c r="C168" s="79">
        <f>+'2'!G168</f>
        <v>7</v>
      </c>
      <c r="D168" s="87">
        <v>0</v>
      </c>
      <c r="E168" s="47">
        <f t="shared" si="13"/>
        <v>7</v>
      </c>
      <c r="F168" s="87">
        <v>0</v>
      </c>
      <c r="G168" s="47">
        <f t="shared" si="15"/>
        <v>7</v>
      </c>
      <c r="H168" s="88"/>
      <c r="I168" s="20">
        <v>50</v>
      </c>
      <c r="J168" s="82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180</v>
      </c>
      <c r="C169" s="79">
        <f>+'2'!G169</f>
        <v>26</v>
      </c>
      <c r="D169" s="87">
        <v>25</v>
      </c>
      <c r="E169" s="47">
        <f t="shared" si="13"/>
        <v>51</v>
      </c>
      <c r="F169" s="87">
        <v>0</v>
      </c>
      <c r="G169" s="47">
        <f t="shared" si="15"/>
        <v>51</v>
      </c>
      <c r="H169" s="88"/>
      <c r="I169" s="20">
        <v>55</v>
      </c>
      <c r="J169" s="82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181</v>
      </c>
      <c r="C170" s="79">
        <f>+'2'!G170</f>
        <v>0</v>
      </c>
      <c r="D170" s="87">
        <v>0</v>
      </c>
      <c r="E170" s="47">
        <f t="shared" si="13"/>
        <v>0</v>
      </c>
      <c r="F170" s="87">
        <v>0</v>
      </c>
      <c r="G170" s="47">
        <f t="shared" si="15"/>
        <v>0</v>
      </c>
      <c r="H170" s="88"/>
      <c r="I170" s="20">
        <v>85</v>
      </c>
      <c r="J170" s="82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182</v>
      </c>
      <c r="C171" s="79">
        <f>+'2'!G171</f>
        <v>0</v>
      </c>
      <c r="D171" s="87">
        <v>12</v>
      </c>
      <c r="E171" s="47">
        <f t="shared" si="13"/>
        <v>12</v>
      </c>
      <c r="F171" s="87">
        <v>0</v>
      </c>
      <c r="G171" s="47">
        <f t="shared" si="15"/>
        <v>11</v>
      </c>
      <c r="H171" s="88">
        <v>1</v>
      </c>
      <c r="I171" s="20">
        <v>80</v>
      </c>
      <c r="J171" s="82">
        <f t="shared" si="16"/>
        <v>80</v>
      </c>
      <c r="K171" s="17" t="s">
        <v>16</v>
      </c>
      <c r="L171" s="18">
        <v>0</v>
      </c>
      <c r="M171" s="23">
        <f t="shared" si="14"/>
        <v>80</v>
      </c>
    </row>
    <row r="172" spans="1:13" ht="25.5" x14ac:dyDescent="0.55000000000000004">
      <c r="A172" s="10">
        <v>168</v>
      </c>
      <c r="B172" s="19" t="s">
        <v>183</v>
      </c>
      <c r="C172" s="79">
        <f>+'2'!G172</f>
        <v>0</v>
      </c>
      <c r="D172" s="87">
        <v>0</v>
      </c>
      <c r="E172" s="47">
        <f t="shared" si="13"/>
        <v>0</v>
      </c>
      <c r="F172" s="87">
        <v>0</v>
      </c>
      <c r="G172" s="47">
        <f t="shared" si="15"/>
        <v>0</v>
      </c>
      <c r="H172" s="88"/>
      <c r="I172" s="20">
        <v>40</v>
      </c>
      <c r="J172" s="82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184</v>
      </c>
      <c r="C173" s="79">
        <f>+'2'!G173</f>
        <v>0</v>
      </c>
      <c r="D173" s="87">
        <v>0</v>
      </c>
      <c r="E173" s="47">
        <f t="shared" si="13"/>
        <v>0</v>
      </c>
      <c r="F173" s="87">
        <v>0</v>
      </c>
      <c r="G173" s="47">
        <f t="shared" si="15"/>
        <v>0</v>
      </c>
      <c r="H173" s="88"/>
      <c r="I173" s="20">
        <v>120</v>
      </c>
      <c r="J173" s="82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185</v>
      </c>
      <c r="C174" s="79">
        <f>+'2'!G174</f>
        <v>0</v>
      </c>
      <c r="D174" s="87">
        <v>0</v>
      </c>
      <c r="E174" s="47">
        <f t="shared" si="13"/>
        <v>0</v>
      </c>
      <c r="F174" s="87">
        <v>0</v>
      </c>
      <c r="G174" s="47">
        <f t="shared" si="15"/>
        <v>0</v>
      </c>
      <c r="H174" s="88"/>
      <c r="I174" s="20">
        <v>120</v>
      </c>
      <c r="J174" s="82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186</v>
      </c>
      <c r="C175" s="79">
        <f>+'2'!G175</f>
        <v>0</v>
      </c>
      <c r="D175" s="87">
        <v>0</v>
      </c>
      <c r="E175" s="47">
        <f t="shared" si="13"/>
        <v>0</v>
      </c>
      <c r="F175" s="87">
        <v>0</v>
      </c>
      <c r="G175" s="47">
        <f t="shared" si="15"/>
        <v>0</v>
      </c>
      <c r="H175" s="88"/>
      <c r="I175" s="20">
        <v>55</v>
      </c>
      <c r="J175" s="82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187</v>
      </c>
      <c r="C176" s="79">
        <f>+'2'!G176</f>
        <v>0</v>
      </c>
      <c r="D176" s="87">
        <v>0</v>
      </c>
      <c r="E176" s="47">
        <f t="shared" si="13"/>
        <v>0</v>
      </c>
      <c r="F176" s="87">
        <v>0</v>
      </c>
      <c r="G176" s="47">
        <f t="shared" si="15"/>
        <v>0</v>
      </c>
      <c r="H176" s="88"/>
      <c r="I176" s="20">
        <v>50</v>
      </c>
      <c r="J176" s="82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188</v>
      </c>
      <c r="C177" s="79">
        <f>+'2'!G177</f>
        <v>2</v>
      </c>
      <c r="D177" s="87">
        <v>0</v>
      </c>
      <c r="E177" s="47">
        <f t="shared" si="13"/>
        <v>2</v>
      </c>
      <c r="F177" s="87">
        <v>0</v>
      </c>
      <c r="G177" s="47">
        <f t="shared" si="15"/>
        <v>2</v>
      </c>
      <c r="H177" s="88"/>
      <c r="I177" s="20">
        <v>50</v>
      </c>
      <c r="J177" s="82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189</v>
      </c>
      <c r="C178" s="79">
        <f>+'2'!G178</f>
        <v>0</v>
      </c>
      <c r="D178" s="87">
        <v>0</v>
      </c>
      <c r="E178" s="47">
        <f t="shared" si="13"/>
        <v>0</v>
      </c>
      <c r="F178" s="87">
        <v>0</v>
      </c>
      <c r="G178" s="47">
        <f t="shared" si="15"/>
        <v>0</v>
      </c>
      <c r="H178" s="88"/>
      <c r="I178" s="20">
        <v>120</v>
      </c>
      <c r="J178" s="82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190</v>
      </c>
      <c r="C179" s="79">
        <f>+'2'!G179</f>
        <v>3</v>
      </c>
      <c r="D179" s="87">
        <v>0</v>
      </c>
      <c r="E179" s="47">
        <f t="shared" si="13"/>
        <v>3</v>
      </c>
      <c r="F179" s="87">
        <v>0</v>
      </c>
      <c r="G179" s="47">
        <f t="shared" si="15"/>
        <v>3</v>
      </c>
      <c r="H179" s="88"/>
      <c r="I179" s="20">
        <v>120</v>
      </c>
      <c r="J179" s="82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191</v>
      </c>
      <c r="C180" s="79">
        <f>+'2'!G180</f>
        <v>0</v>
      </c>
      <c r="D180" s="87">
        <v>0</v>
      </c>
      <c r="E180" s="47">
        <f t="shared" si="13"/>
        <v>0</v>
      </c>
      <c r="F180" s="87">
        <v>0</v>
      </c>
      <c r="G180" s="47">
        <f t="shared" si="15"/>
        <v>0</v>
      </c>
      <c r="H180" s="88"/>
      <c r="I180" s="20">
        <v>10</v>
      </c>
      <c r="J180" s="82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192</v>
      </c>
      <c r="C181" s="79">
        <f>+'2'!G181</f>
        <v>0</v>
      </c>
      <c r="D181" s="87">
        <v>0</v>
      </c>
      <c r="E181" s="47">
        <f t="shared" si="13"/>
        <v>0</v>
      </c>
      <c r="F181" s="87">
        <v>0</v>
      </c>
      <c r="G181" s="47">
        <f t="shared" si="15"/>
        <v>0</v>
      </c>
      <c r="H181" s="88"/>
      <c r="I181" s="20">
        <v>35</v>
      </c>
      <c r="J181" s="82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193</v>
      </c>
      <c r="C182" s="79">
        <f>+'2'!G182</f>
        <v>0</v>
      </c>
      <c r="D182" s="87">
        <v>0</v>
      </c>
      <c r="E182" s="47">
        <f t="shared" si="13"/>
        <v>0</v>
      </c>
      <c r="F182" s="87">
        <v>0</v>
      </c>
      <c r="G182" s="47">
        <f t="shared" si="15"/>
        <v>0</v>
      </c>
      <c r="H182" s="88"/>
      <c r="I182" s="20">
        <v>10</v>
      </c>
      <c r="J182" s="82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194</v>
      </c>
      <c r="C183" s="79">
        <f>+'2'!G183</f>
        <v>0</v>
      </c>
      <c r="D183" s="87">
        <v>0</v>
      </c>
      <c r="E183" s="47">
        <f t="shared" si="13"/>
        <v>0</v>
      </c>
      <c r="F183" s="87">
        <v>0</v>
      </c>
      <c r="G183" s="47">
        <f t="shared" si="15"/>
        <v>0</v>
      </c>
      <c r="H183" s="88"/>
      <c r="I183" s="20">
        <v>10</v>
      </c>
      <c r="J183" s="82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195</v>
      </c>
      <c r="C184" s="79">
        <f>+'2'!G184</f>
        <v>0</v>
      </c>
      <c r="D184" s="87">
        <v>0</v>
      </c>
      <c r="E184" s="47">
        <f t="shared" si="13"/>
        <v>0</v>
      </c>
      <c r="F184" s="87">
        <v>0</v>
      </c>
      <c r="G184" s="47">
        <f t="shared" si="15"/>
        <v>0</v>
      </c>
      <c r="H184" s="88"/>
      <c r="I184" s="20">
        <v>10</v>
      </c>
      <c r="J184" s="82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196</v>
      </c>
      <c r="C185" s="79">
        <f>+'2'!G185</f>
        <v>0</v>
      </c>
      <c r="D185" s="87">
        <v>0</v>
      </c>
      <c r="E185" s="47">
        <f t="shared" si="13"/>
        <v>0</v>
      </c>
      <c r="F185" s="87">
        <v>0</v>
      </c>
      <c r="G185" s="47">
        <f t="shared" si="15"/>
        <v>0</v>
      </c>
      <c r="H185" s="88"/>
      <c r="I185" s="20">
        <v>10</v>
      </c>
      <c r="J185" s="82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197</v>
      </c>
      <c r="C186" s="79">
        <f>+'2'!G186</f>
        <v>0</v>
      </c>
      <c r="D186" s="87">
        <v>0</v>
      </c>
      <c r="E186" s="47">
        <f t="shared" si="13"/>
        <v>0</v>
      </c>
      <c r="F186" s="87">
        <v>0</v>
      </c>
      <c r="G186" s="47">
        <f t="shared" si="15"/>
        <v>0</v>
      </c>
      <c r="H186" s="88"/>
      <c r="I186" s="20">
        <v>10</v>
      </c>
      <c r="J186" s="82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198</v>
      </c>
      <c r="C187" s="79">
        <f>+'2'!G187</f>
        <v>0</v>
      </c>
      <c r="D187" s="87">
        <v>0</v>
      </c>
      <c r="E187" s="47">
        <f t="shared" si="13"/>
        <v>0</v>
      </c>
      <c r="F187" s="87">
        <v>0</v>
      </c>
      <c r="G187" s="47">
        <f t="shared" si="15"/>
        <v>0</v>
      </c>
      <c r="H187" s="88"/>
      <c r="I187" s="20">
        <v>25</v>
      </c>
      <c r="J187" s="82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249</v>
      </c>
      <c r="C188" s="79">
        <f>+'2'!G188</f>
        <v>0</v>
      </c>
      <c r="D188" s="87">
        <v>0</v>
      </c>
      <c r="E188" s="47">
        <f t="shared" si="13"/>
        <v>0</v>
      </c>
      <c r="F188" s="87">
        <v>0</v>
      </c>
      <c r="G188" s="47">
        <f t="shared" si="15"/>
        <v>0</v>
      </c>
      <c r="H188" s="88"/>
      <c r="I188" s="15">
        <v>50</v>
      </c>
      <c r="J188" s="82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250</v>
      </c>
      <c r="C189" s="79">
        <f>+'2'!G189</f>
        <v>0</v>
      </c>
      <c r="D189" s="87">
        <v>0</v>
      </c>
      <c r="E189" s="47">
        <f t="shared" si="13"/>
        <v>0</v>
      </c>
      <c r="F189" s="87">
        <v>0</v>
      </c>
      <c r="G189" s="47">
        <f t="shared" si="15"/>
        <v>0</v>
      </c>
      <c r="H189" s="88"/>
      <c r="I189" s="15">
        <v>10</v>
      </c>
      <c r="J189" s="82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251</v>
      </c>
      <c r="C190" s="79">
        <f>+'2'!G190</f>
        <v>0</v>
      </c>
      <c r="D190" s="87">
        <v>0</v>
      </c>
      <c r="E190" s="47">
        <f t="shared" ref="E190:E252" si="17">C190+D190</f>
        <v>0</v>
      </c>
      <c r="F190" s="87">
        <v>0</v>
      </c>
      <c r="G190" s="47">
        <f t="shared" si="15"/>
        <v>0</v>
      </c>
      <c r="H190" s="88"/>
      <c r="I190" s="15">
        <v>15</v>
      </c>
      <c r="J190" s="82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252</v>
      </c>
      <c r="C191" s="79">
        <f>+'2'!G191</f>
        <v>0</v>
      </c>
      <c r="D191" s="87">
        <v>0</v>
      </c>
      <c r="E191" s="47">
        <f t="shared" si="17"/>
        <v>0</v>
      </c>
      <c r="F191" s="87">
        <v>0</v>
      </c>
      <c r="G191" s="47">
        <f t="shared" si="15"/>
        <v>0</v>
      </c>
      <c r="H191" s="88"/>
      <c r="I191" s="15">
        <v>25</v>
      </c>
      <c r="J191" s="82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253</v>
      </c>
      <c r="C192" s="79">
        <f>+'2'!G192</f>
        <v>0</v>
      </c>
      <c r="D192" s="87">
        <v>0</v>
      </c>
      <c r="E192" s="47">
        <f t="shared" si="17"/>
        <v>0</v>
      </c>
      <c r="F192" s="87">
        <v>0</v>
      </c>
      <c r="G192" s="47">
        <f t="shared" si="15"/>
        <v>0</v>
      </c>
      <c r="H192" s="88"/>
      <c r="I192" s="15">
        <v>50</v>
      </c>
      <c r="J192" s="82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254</v>
      </c>
      <c r="C193" s="79">
        <f>+'2'!G193</f>
        <v>0</v>
      </c>
      <c r="D193" s="87">
        <v>0</v>
      </c>
      <c r="E193" s="47">
        <f t="shared" si="17"/>
        <v>0</v>
      </c>
      <c r="F193" s="87">
        <v>0</v>
      </c>
      <c r="G193" s="47">
        <f t="shared" si="15"/>
        <v>0</v>
      </c>
      <c r="H193" s="88"/>
      <c r="I193" s="15">
        <v>45</v>
      </c>
      <c r="J193" s="82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255</v>
      </c>
      <c r="C194" s="79">
        <f>+'2'!G194</f>
        <v>0</v>
      </c>
      <c r="D194" s="87">
        <v>0</v>
      </c>
      <c r="E194" s="47">
        <f t="shared" si="17"/>
        <v>0</v>
      </c>
      <c r="F194" s="87">
        <v>0</v>
      </c>
      <c r="G194" s="47">
        <f t="shared" si="15"/>
        <v>0</v>
      </c>
      <c r="H194" s="88"/>
      <c r="I194" s="15">
        <v>50</v>
      </c>
      <c r="J194" s="82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199</v>
      </c>
      <c r="C195" s="79">
        <f>+'2'!G195</f>
        <v>0</v>
      </c>
      <c r="D195" s="87">
        <v>0</v>
      </c>
      <c r="E195" s="47">
        <f t="shared" si="17"/>
        <v>0</v>
      </c>
      <c r="F195" s="87">
        <v>0</v>
      </c>
      <c r="G195" s="47">
        <f t="shared" si="15"/>
        <v>0</v>
      </c>
      <c r="H195" s="88"/>
      <c r="I195" s="15">
        <v>150</v>
      </c>
      <c r="J195" s="82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200</v>
      </c>
      <c r="C196" s="79">
        <f>+'2'!G196</f>
        <v>0</v>
      </c>
      <c r="D196" s="87">
        <v>0</v>
      </c>
      <c r="E196" s="47">
        <f t="shared" si="17"/>
        <v>0</v>
      </c>
      <c r="F196" s="87">
        <v>0</v>
      </c>
      <c r="G196" s="47">
        <f t="shared" si="15"/>
        <v>0</v>
      </c>
      <c r="H196" s="88"/>
      <c r="I196" s="15">
        <v>150</v>
      </c>
      <c r="J196" s="82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201</v>
      </c>
      <c r="C197" s="79">
        <f>+'2'!G197</f>
        <v>0</v>
      </c>
      <c r="D197" s="87">
        <v>0</v>
      </c>
      <c r="E197" s="47">
        <f t="shared" si="17"/>
        <v>0</v>
      </c>
      <c r="F197" s="87">
        <v>0</v>
      </c>
      <c r="G197" s="47">
        <f t="shared" si="15"/>
        <v>0</v>
      </c>
      <c r="H197" s="88"/>
      <c r="I197" s="15">
        <v>150</v>
      </c>
      <c r="J197" s="82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256</v>
      </c>
      <c r="C198" s="79">
        <f>+'2'!G198</f>
        <v>0</v>
      </c>
      <c r="D198" s="87">
        <v>0</v>
      </c>
      <c r="E198" s="47">
        <f t="shared" si="17"/>
        <v>0</v>
      </c>
      <c r="F198" s="87">
        <v>0</v>
      </c>
      <c r="G198" s="47">
        <f t="shared" si="15"/>
        <v>0</v>
      </c>
      <c r="H198" s="88"/>
      <c r="I198" s="15">
        <v>55</v>
      </c>
      <c r="J198" s="82">
        <f t="shared" si="16"/>
        <v>0</v>
      </c>
      <c r="K198" s="17" t="s">
        <v>16</v>
      </c>
      <c r="L198" s="18">
        <v>0</v>
      </c>
      <c r="M198" s="23">
        <f t="shared" si="14"/>
        <v>0</v>
      </c>
    </row>
    <row r="199" spans="1:13" ht="25.5" x14ac:dyDescent="0.55000000000000004">
      <c r="A199" s="10">
        <v>195</v>
      </c>
      <c r="B199" s="19" t="s">
        <v>257</v>
      </c>
      <c r="C199" s="79">
        <f>+'2'!G199</f>
        <v>0</v>
      </c>
      <c r="D199" s="87">
        <v>0</v>
      </c>
      <c r="E199" s="47">
        <f t="shared" si="17"/>
        <v>0</v>
      </c>
      <c r="F199" s="87">
        <v>0</v>
      </c>
      <c r="G199" s="47">
        <f t="shared" si="15"/>
        <v>0</v>
      </c>
      <c r="H199" s="88"/>
      <c r="I199" s="15">
        <v>30</v>
      </c>
      <c r="J199" s="82">
        <f t="shared" si="16"/>
        <v>0</v>
      </c>
      <c r="K199" s="17" t="s">
        <v>16</v>
      </c>
      <c r="L199" s="18">
        <v>0</v>
      </c>
      <c r="M199" s="23">
        <f t="shared" ref="M199:M254" si="18">SUM(J199-L199)</f>
        <v>0</v>
      </c>
    </row>
    <row r="200" spans="1:13" ht="25.5" x14ac:dyDescent="0.55000000000000004">
      <c r="A200" s="10">
        <v>196</v>
      </c>
      <c r="B200" s="19" t="s">
        <v>258</v>
      </c>
      <c r="C200" s="79">
        <f>+'2'!G200</f>
        <v>0</v>
      </c>
      <c r="D200" s="87">
        <v>0</v>
      </c>
      <c r="E200" s="47">
        <f t="shared" si="17"/>
        <v>0</v>
      </c>
      <c r="F200" s="87">
        <v>0</v>
      </c>
      <c r="G200" s="47">
        <f t="shared" si="15"/>
        <v>0</v>
      </c>
      <c r="H200" s="88"/>
      <c r="I200" s="15">
        <v>30</v>
      </c>
      <c r="J200" s="82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259</v>
      </c>
      <c r="C201" s="79">
        <f>+'2'!G201</f>
        <v>0</v>
      </c>
      <c r="D201" s="87">
        <v>0</v>
      </c>
      <c r="E201" s="47">
        <f t="shared" si="17"/>
        <v>0</v>
      </c>
      <c r="F201" s="87">
        <v>0</v>
      </c>
      <c r="G201" s="47">
        <f t="shared" si="15"/>
        <v>0</v>
      </c>
      <c r="H201" s="88"/>
      <c r="I201" s="15">
        <v>30</v>
      </c>
      <c r="J201" s="82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260</v>
      </c>
      <c r="C202" s="79">
        <f>+'2'!G202</f>
        <v>0</v>
      </c>
      <c r="D202" s="87">
        <v>0</v>
      </c>
      <c r="E202" s="47">
        <f t="shared" si="17"/>
        <v>0</v>
      </c>
      <c r="F202" s="87">
        <v>0</v>
      </c>
      <c r="G202" s="47">
        <f t="shared" si="15"/>
        <v>0</v>
      </c>
      <c r="H202" s="88"/>
      <c r="I202" s="15">
        <v>30</v>
      </c>
      <c r="J202" s="82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261</v>
      </c>
      <c r="C203" s="79">
        <f>+'2'!G203</f>
        <v>0</v>
      </c>
      <c r="D203" s="87">
        <v>0</v>
      </c>
      <c r="E203" s="47">
        <f t="shared" si="17"/>
        <v>0</v>
      </c>
      <c r="F203" s="87">
        <v>0</v>
      </c>
      <c r="G203" s="47">
        <f t="shared" si="15"/>
        <v>0</v>
      </c>
      <c r="H203" s="88"/>
      <c r="I203" s="20">
        <v>30</v>
      </c>
      <c r="J203" s="82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262</v>
      </c>
      <c r="C204" s="79">
        <f>+'2'!G204</f>
        <v>0</v>
      </c>
      <c r="D204" s="87">
        <v>0</v>
      </c>
      <c r="E204" s="47">
        <f t="shared" si="17"/>
        <v>0</v>
      </c>
      <c r="F204" s="87">
        <v>0</v>
      </c>
      <c r="G204" s="47">
        <f t="shared" si="15"/>
        <v>0</v>
      </c>
      <c r="H204" s="88"/>
      <c r="I204" s="20">
        <v>30</v>
      </c>
      <c r="J204" s="82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263</v>
      </c>
      <c r="C205" s="79">
        <f>+'2'!G205</f>
        <v>0</v>
      </c>
      <c r="D205" s="87">
        <v>0</v>
      </c>
      <c r="E205" s="47">
        <f t="shared" si="17"/>
        <v>0</v>
      </c>
      <c r="F205" s="87">
        <v>0</v>
      </c>
      <c r="G205" s="47">
        <f t="shared" si="15"/>
        <v>0</v>
      </c>
      <c r="H205" s="88"/>
      <c r="I205" s="20">
        <v>50</v>
      </c>
      <c r="J205" s="82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 t="s">
        <v>264</v>
      </c>
      <c r="C206" s="79">
        <f>+'2'!G206</f>
        <v>0</v>
      </c>
      <c r="D206" s="87">
        <v>0</v>
      </c>
      <c r="E206" s="47">
        <f t="shared" si="17"/>
        <v>0</v>
      </c>
      <c r="F206" s="87">
        <v>0</v>
      </c>
      <c r="G206" s="47">
        <f t="shared" si="15"/>
        <v>0</v>
      </c>
      <c r="H206" s="88"/>
      <c r="I206" s="20">
        <v>100</v>
      </c>
      <c r="J206" s="82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265</v>
      </c>
      <c r="C207" s="79">
        <f>+'2'!G207</f>
        <v>0</v>
      </c>
      <c r="D207" s="87">
        <v>0</v>
      </c>
      <c r="E207" s="47">
        <f t="shared" si="17"/>
        <v>0</v>
      </c>
      <c r="F207" s="87">
        <v>0</v>
      </c>
      <c r="G207" s="47">
        <f t="shared" si="15"/>
        <v>0</v>
      </c>
      <c r="H207" s="88"/>
      <c r="I207" s="20">
        <v>100</v>
      </c>
      <c r="J207" s="82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266</v>
      </c>
      <c r="C208" s="79">
        <f>+'2'!G208</f>
        <v>0</v>
      </c>
      <c r="D208" s="87">
        <v>0</v>
      </c>
      <c r="E208" s="47">
        <f t="shared" si="17"/>
        <v>0</v>
      </c>
      <c r="F208" s="87">
        <v>0</v>
      </c>
      <c r="G208" s="47">
        <f t="shared" si="15"/>
        <v>0</v>
      </c>
      <c r="H208" s="88"/>
      <c r="I208" s="20">
        <v>100</v>
      </c>
      <c r="J208" s="82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 t="s">
        <v>267</v>
      </c>
      <c r="C209" s="79">
        <f>+'2'!G209</f>
        <v>0</v>
      </c>
      <c r="D209" s="87">
        <v>0</v>
      </c>
      <c r="E209" s="47">
        <f t="shared" si="17"/>
        <v>0</v>
      </c>
      <c r="F209" s="87">
        <v>0</v>
      </c>
      <c r="G209" s="47">
        <f t="shared" si="15"/>
        <v>0</v>
      </c>
      <c r="H209" s="88"/>
      <c r="I209" s="20">
        <v>100</v>
      </c>
      <c r="J209" s="82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268</v>
      </c>
      <c r="C210" s="79">
        <f>+'2'!G210</f>
        <v>0</v>
      </c>
      <c r="D210" s="87">
        <v>0</v>
      </c>
      <c r="E210" s="47">
        <f t="shared" si="17"/>
        <v>0</v>
      </c>
      <c r="F210" s="87">
        <v>0</v>
      </c>
      <c r="G210" s="47">
        <f t="shared" si="15"/>
        <v>0</v>
      </c>
      <c r="H210" s="88"/>
      <c r="I210" s="20">
        <v>250</v>
      </c>
      <c r="J210" s="82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 t="s">
        <v>269</v>
      </c>
      <c r="C211" s="79">
        <f>+'2'!G211</f>
        <v>0</v>
      </c>
      <c r="D211" s="87">
        <v>0</v>
      </c>
      <c r="E211" s="47">
        <f t="shared" si="17"/>
        <v>0</v>
      </c>
      <c r="F211" s="87">
        <v>0</v>
      </c>
      <c r="G211" s="47">
        <f t="shared" si="15"/>
        <v>0</v>
      </c>
      <c r="H211" s="88"/>
      <c r="I211" s="20">
        <v>250</v>
      </c>
      <c r="J211" s="82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 t="s">
        <v>270</v>
      </c>
      <c r="C212" s="79">
        <f>+'2'!G212</f>
        <v>0</v>
      </c>
      <c r="D212" s="87">
        <v>0</v>
      </c>
      <c r="E212" s="47">
        <f t="shared" si="17"/>
        <v>0</v>
      </c>
      <c r="F212" s="87">
        <v>0</v>
      </c>
      <c r="G212" s="47">
        <f t="shared" si="15"/>
        <v>0</v>
      </c>
      <c r="H212" s="88"/>
      <c r="I212" s="20">
        <v>250</v>
      </c>
      <c r="J212" s="82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 t="s">
        <v>271</v>
      </c>
      <c r="C213" s="79">
        <f>+'2'!G213</f>
        <v>0</v>
      </c>
      <c r="D213" s="87">
        <v>0</v>
      </c>
      <c r="E213" s="47">
        <f t="shared" si="17"/>
        <v>0</v>
      </c>
      <c r="F213" s="87">
        <v>0</v>
      </c>
      <c r="G213" s="47">
        <f t="shared" si="15"/>
        <v>0</v>
      </c>
      <c r="H213" s="88"/>
      <c r="I213" s="20">
        <v>50</v>
      </c>
      <c r="J213" s="82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 t="s">
        <v>273</v>
      </c>
      <c r="C214" s="79">
        <f>+'2'!G214</f>
        <v>0</v>
      </c>
      <c r="D214" s="87">
        <v>0</v>
      </c>
      <c r="E214" s="47">
        <f t="shared" si="17"/>
        <v>0</v>
      </c>
      <c r="F214" s="87">
        <v>0</v>
      </c>
      <c r="G214" s="47">
        <f t="shared" si="15"/>
        <v>0</v>
      </c>
      <c r="H214" s="88"/>
      <c r="I214" s="20">
        <v>50</v>
      </c>
      <c r="J214" s="82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 t="s">
        <v>274</v>
      </c>
      <c r="C215" s="79">
        <f>+'2'!G215</f>
        <v>0</v>
      </c>
      <c r="D215" s="87">
        <v>0</v>
      </c>
      <c r="E215" s="47">
        <f t="shared" si="17"/>
        <v>0</v>
      </c>
      <c r="F215" s="87">
        <v>0</v>
      </c>
      <c r="G215" s="47">
        <f t="shared" si="15"/>
        <v>0</v>
      </c>
      <c r="H215" s="88"/>
      <c r="I215" s="20">
        <v>50</v>
      </c>
      <c r="J215" s="82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 t="s">
        <v>242</v>
      </c>
      <c r="C216" s="79">
        <f>+'2'!G216</f>
        <v>0</v>
      </c>
      <c r="D216" s="87">
        <v>0</v>
      </c>
      <c r="E216" s="47">
        <f t="shared" si="17"/>
        <v>0</v>
      </c>
      <c r="F216" s="87">
        <v>0</v>
      </c>
      <c r="G216" s="47">
        <f t="shared" si="15"/>
        <v>0</v>
      </c>
      <c r="H216" s="88"/>
      <c r="I216" s="20">
        <v>35</v>
      </c>
      <c r="J216" s="82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 t="s">
        <v>275</v>
      </c>
      <c r="C217" s="79">
        <f>+'2'!G217</f>
        <v>0</v>
      </c>
      <c r="D217" s="87">
        <v>0</v>
      </c>
      <c r="E217" s="47">
        <f t="shared" si="17"/>
        <v>0</v>
      </c>
      <c r="F217" s="87">
        <v>0</v>
      </c>
      <c r="G217" s="47">
        <f t="shared" si="15"/>
        <v>0</v>
      </c>
      <c r="H217" s="88"/>
      <c r="I217" s="20">
        <v>199</v>
      </c>
      <c r="J217" s="82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 t="s">
        <v>283</v>
      </c>
      <c r="C218" s="79">
        <f>+'2'!G218</f>
        <v>1</v>
      </c>
      <c r="D218" s="87">
        <v>0</v>
      </c>
      <c r="E218" s="47">
        <f t="shared" si="17"/>
        <v>1</v>
      </c>
      <c r="F218" s="87">
        <v>0</v>
      </c>
      <c r="G218" s="47">
        <f t="shared" si="15"/>
        <v>1</v>
      </c>
      <c r="H218" s="88"/>
      <c r="I218" s="20">
        <v>25</v>
      </c>
      <c r="J218" s="82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 t="s">
        <v>284</v>
      </c>
      <c r="C219" s="79">
        <f>+'2'!G219</f>
        <v>1</v>
      </c>
      <c r="D219" s="87">
        <v>0</v>
      </c>
      <c r="E219" s="47">
        <f t="shared" si="17"/>
        <v>1</v>
      </c>
      <c r="F219" s="87">
        <v>0</v>
      </c>
      <c r="G219" s="47">
        <f t="shared" si="15"/>
        <v>1</v>
      </c>
      <c r="H219" s="88"/>
      <c r="I219" s="20">
        <v>25</v>
      </c>
      <c r="J219" s="82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 t="s">
        <v>314</v>
      </c>
      <c r="C220" s="79">
        <f>+'2'!G220</f>
        <v>0</v>
      </c>
      <c r="D220" s="87">
        <v>0</v>
      </c>
      <c r="E220" s="47">
        <f t="shared" si="17"/>
        <v>0</v>
      </c>
      <c r="F220" s="87">
        <v>0</v>
      </c>
      <c r="G220" s="47">
        <f t="shared" si="15"/>
        <v>0</v>
      </c>
      <c r="H220" s="88"/>
      <c r="I220" s="20">
        <v>35</v>
      </c>
      <c r="J220" s="82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 t="s">
        <v>326</v>
      </c>
      <c r="C221" s="79">
        <f>+'2'!G221</f>
        <v>0</v>
      </c>
      <c r="D221" s="87">
        <v>0</v>
      </c>
      <c r="E221" s="47">
        <f t="shared" si="17"/>
        <v>0</v>
      </c>
      <c r="F221" s="87">
        <v>0</v>
      </c>
      <c r="G221" s="47">
        <f t="shared" si="15"/>
        <v>0</v>
      </c>
      <c r="H221" s="88"/>
      <c r="I221" s="20">
        <v>55</v>
      </c>
      <c r="J221" s="82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 t="s">
        <v>327</v>
      </c>
      <c r="C222" s="79">
        <f>+'2'!G222</f>
        <v>0</v>
      </c>
      <c r="D222" s="87">
        <v>0</v>
      </c>
      <c r="E222" s="47">
        <f t="shared" si="17"/>
        <v>0</v>
      </c>
      <c r="F222" s="87">
        <v>0</v>
      </c>
      <c r="G222" s="47">
        <f t="shared" si="15"/>
        <v>0</v>
      </c>
      <c r="H222" s="88"/>
      <c r="I222" s="20">
        <v>40</v>
      </c>
      <c r="J222" s="82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/>
      <c r="C223" s="79">
        <f>+'2'!G223</f>
        <v>0</v>
      </c>
      <c r="D223" s="87">
        <v>0</v>
      </c>
      <c r="E223" s="47">
        <f t="shared" si="17"/>
        <v>0</v>
      </c>
      <c r="F223" s="87">
        <v>0</v>
      </c>
      <c r="G223" s="47">
        <f t="shared" si="15"/>
        <v>0</v>
      </c>
      <c r="H223" s="88"/>
      <c r="I223" s="20"/>
      <c r="J223" s="82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79">
        <f>+'2'!G224</f>
        <v>0</v>
      </c>
      <c r="D224" s="87">
        <v>0</v>
      </c>
      <c r="E224" s="47">
        <f t="shared" si="17"/>
        <v>0</v>
      </c>
      <c r="F224" s="87">
        <v>0</v>
      </c>
      <c r="G224" s="47">
        <f t="shared" si="15"/>
        <v>0</v>
      </c>
      <c r="H224" s="88"/>
      <c r="I224" s="20"/>
      <c r="J224" s="82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+'2'!G225</f>
        <v>0</v>
      </c>
      <c r="D225" s="87">
        <v>0</v>
      </c>
      <c r="E225" s="47">
        <f t="shared" si="17"/>
        <v>0</v>
      </c>
      <c r="F225" s="87">
        <v>0</v>
      </c>
      <c r="G225" s="47">
        <f t="shared" si="15"/>
        <v>0</v>
      </c>
      <c r="H225" s="88"/>
      <c r="I225" s="20"/>
      <c r="J225" s="82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+'2'!G226</f>
        <v>0</v>
      </c>
      <c r="D226" s="87">
        <v>0</v>
      </c>
      <c r="E226" s="47">
        <f t="shared" si="17"/>
        <v>0</v>
      </c>
      <c r="F226" s="87">
        <v>0</v>
      </c>
      <c r="G226" s="47">
        <f t="shared" si="15"/>
        <v>0</v>
      </c>
      <c r="H226" s="88"/>
      <c r="I226" s="20"/>
      <c r="J226" s="82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+'2'!G227</f>
        <v>0</v>
      </c>
      <c r="D227" s="87">
        <v>0</v>
      </c>
      <c r="E227" s="47">
        <f t="shared" si="17"/>
        <v>0</v>
      </c>
      <c r="F227" s="87">
        <v>0</v>
      </c>
      <c r="G227" s="47">
        <f t="shared" si="15"/>
        <v>0</v>
      </c>
      <c r="H227" s="88"/>
      <c r="I227" s="20"/>
      <c r="J227" s="82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+'2'!G228</f>
        <v>0</v>
      </c>
      <c r="D228" s="87">
        <v>0</v>
      </c>
      <c r="E228" s="47">
        <f t="shared" si="17"/>
        <v>0</v>
      </c>
      <c r="F228" s="87">
        <v>0</v>
      </c>
      <c r="G228" s="47">
        <f t="shared" ref="G228:G254" si="19">+E228-F228-H228</f>
        <v>0</v>
      </c>
      <c r="H228" s="88"/>
      <c r="I228" s="20"/>
      <c r="J228" s="82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+'2'!G229</f>
        <v>0</v>
      </c>
      <c r="D229" s="87">
        <v>0</v>
      </c>
      <c r="E229" s="47">
        <f t="shared" si="17"/>
        <v>0</v>
      </c>
      <c r="F229" s="87">
        <v>0</v>
      </c>
      <c r="G229" s="47">
        <f t="shared" si="19"/>
        <v>0</v>
      </c>
      <c r="H229" s="88"/>
      <c r="I229" s="20"/>
      <c r="J229" s="82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+'2'!G230</f>
        <v>0</v>
      </c>
      <c r="D230" s="87">
        <v>0</v>
      </c>
      <c r="E230" s="47">
        <f t="shared" si="17"/>
        <v>0</v>
      </c>
      <c r="F230" s="87">
        <v>0</v>
      </c>
      <c r="G230" s="47">
        <f t="shared" si="19"/>
        <v>0</v>
      </c>
      <c r="H230" s="88"/>
      <c r="I230" s="20"/>
      <c r="J230" s="82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+'2'!G231</f>
        <v>0</v>
      </c>
      <c r="D231" s="87">
        <v>0</v>
      </c>
      <c r="E231" s="47">
        <f t="shared" si="17"/>
        <v>0</v>
      </c>
      <c r="F231" s="87">
        <v>0</v>
      </c>
      <c r="G231" s="47">
        <f t="shared" si="19"/>
        <v>0</v>
      </c>
      <c r="H231" s="88"/>
      <c r="I231" s="20"/>
      <c r="J231" s="82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+'2'!G232</f>
        <v>0</v>
      </c>
      <c r="D232" s="87">
        <v>0</v>
      </c>
      <c r="E232" s="47">
        <f t="shared" si="17"/>
        <v>0</v>
      </c>
      <c r="F232" s="87">
        <v>0</v>
      </c>
      <c r="G232" s="47">
        <f t="shared" si="19"/>
        <v>0</v>
      </c>
      <c r="H232" s="88"/>
      <c r="I232" s="20"/>
      <c r="J232" s="82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+'2'!G233</f>
        <v>0</v>
      </c>
      <c r="D233" s="87">
        <v>0</v>
      </c>
      <c r="E233" s="47">
        <f t="shared" si="17"/>
        <v>0</v>
      </c>
      <c r="F233" s="87">
        <v>0</v>
      </c>
      <c r="G233" s="47">
        <f t="shared" si="19"/>
        <v>0</v>
      </c>
      <c r="H233" s="88"/>
      <c r="I233" s="20"/>
      <c r="J233" s="82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+'2'!G234</f>
        <v>0</v>
      </c>
      <c r="D234" s="87">
        <v>0</v>
      </c>
      <c r="E234" s="47">
        <f t="shared" si="17"/>
        <v>0</v>
      </c>
      <c r="F234" s="87">
        <v>0</v>
      </c>
      <c r="G234" s="47">
        <f t="shared" si="19"/>
        <v>0</v>
      </c>
      <c r="H234" s="88"/>
      <c r="I234" s="20"/>
      <c r="J234" s="82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+'2'!G235</f>
        <v>0</v>
      </c>
      <c r="D235" s="87">
        <v>0</v>
      </c>
      <c r="E235" s="47">
        <f t="shared" si="17"/>
        <v>0</v>
      </c>
      <c r="F235" s="87">
        <v>0</v>
      </c>
      <c r="G235" s="47">
        <f t="shared" si="19"/>
        <v>0</v>
      </c>
      <c r="H235" s="88"/>
      <c r="I235" s="20"/>
      <c r="J235" s="82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+'2'!G236</f>
        <v>0</v>
      </c>
      <c r="D236" s="87">
        <v>0</v>
      </c>
      <c r="E236" s="47">
        <f t="shared" si="17"/>
        <v>0</v>
      </c>
      <c r="F236" s="87">
        <v>0</v>
      </c>
      <c r="G236" s="47">
        <f t="shared" si="19"/>
        <v>0</v>
      </c>
      <c r="H236" s="88"/>
      <c r="I236" s="20"/>
      <c r="J236" s="82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+'2'!G237</f>
        <v>0</v>
      </c>
      <c r="D237" s="87">
        <v>0</v>
      </c>
      <c r="E237" s="47">
        <f t="shared" si="17"/>
        <v>0</v>
      </c>
      <c r="F237" s="87">
        <v>0</v>
      </c>
      <c r="G237" s="47">
        <f t="shared" si="19"/>
        <v>0</v>
      </c>
      <c r="H237" s="88"/>
      <c r="I237" s="20"/>
      <c r="J237" s="82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+'2'!G238</f>
        <v>0</v>
      </c>
      <c r="D238" s="87">
        <v>0</v>
      </c>
      <c r="E238" s="47">
        <f t="shared" si="17"/>
        <v>0</v>
      </c>
      <c r="F238" s="87">
        <v>0</v>
      </c>
      <c r="G238" s="47">
        <f t="shared" si="19"/>
        <v>0</v>
      </c>
      <c r="H238" s="88"/>
      <c r="I238" s="20"/>
      <c r="J238" s="82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+'2'!G239</f>
        <v>0</v>
      </c>
      <c r="D239" s="87">
        <v>0</v>
      </c>
      <c r="E239" s="47">
        <f t="shared" si="17"/>
        <v>0</v>
      </c>
      <c r="F239" s="87">
        <v>0</v>
      </c>
      <c r="G239" s="47">
        <f t="shared" si="19"/>
        <v>0</v>
      </c>
      <c r="H239" s="88"/>
      <c r="I239" s="20"/>
      <c r="J239" s="82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+'2'!G240</f>
        <v>0</v>
      </c>
      <c r="D240" s="87">
        <v>0</v>
      </c>
      <c r="E240" s="47">
        <f t="shared" si="17"/>
        <v>0</v>
      </c>
      <c r="F240" s="87">
        <v>0</v>
      </c>
      <c r="G240" s="47">
        <f t="shared" si="19"/>
        <v>0</v>
      </c>
      <c r="H240" s="88"/>
      <c r="I240" s="20"/>
      <c r="J240" s="82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+'2'!G241</f>
        <v>0</v>
      </c>
      <c r="D241" s="87">
        <v>0</v>
      </c>
      <c r="E241" s="47">
        <f t="shared" si="17"/>
        <v>0</v>
      </c>
      <c r="F241" s="87">
        <v>0</v>
      </c>
      <c r="G241" s="47">
        <f t="shared" si="19"/>
        <v>0</v>
      </c>
      <c r="H241" s="88"/>
      <c r="I241" s="20"/>
      <c r="J241" s="82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+'2'!G242</f>
        <v>0</v>
      </c>
      <c r="D242" s="87">
        <v>0</v>
      </c>
      <c r="E242" s="47">
        <f t="shared" si="17"/>
        <v>0</v>
      </c>
      <c r="F242" s="87">
        <v>0</v>
      </c>
      <c r="G242" s="47">
        <f t="shared" si="19"/>
        <v>0</v>
      </c>
      <c r="H242" s="88"/>
      <c r="I242" s="20"/>
      <c r="J242" s="82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+'2'!G243</f>
        <v>0</v>
      </c>
      <c r="D243" s="87">
        <v>0</v>
      </c>
      <c r="E243" s="47">
        <f t="shared" si="17"/>
        <v>0</v>
      </c>
      <c r="F243" s="87">
        <v>0</v>
      </c>
      <c r="G243" s="47">
        <f t="shared" si="19"/>
        <v>0</v>
      </c>
      <c r="H243" s="88"/>
      <c r="I243" s="20"/>
      <c r="J243" s="82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+'2'!G244</f>
        <v>0</v>
      </c>
      <c r="D244" s="87">
        <v>0</v>
      </c>
      <c r="E244" s="47">
        <f t="shared" si="17"/>
        <v>0</v>
      </c>
      <c r="F244" s="87">
        <v>0</v>
      </c>
      <c r="G244" s="47">
        <f t="shared" si="19"/>
        <v>0</v>
      </c>
      <c r="H244" s="88"/>
      <c r="I244" s="20"/>
      <c r="J244" s="82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+'2'!G245</f>
        <v>0</v>
      </c>
      <c r="D245" s="87">
        <v>0</v>
      </c>
      <c r="E245" s="47">
        <f t="shared" si="17"/>
        <v>0</v>
      </c>
      <c r="F245" s="87">
        <v>0</v>
      </c>
      <c r="G245" s="47">
        <f t="shared" si="19"/>
        <v>0</v>
      </c>
      <c r="H245" s="88"/>
      <c r="I245" s="20"/>
      <c r="J245" s="82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+'2'!G246</f>
        <v>0</v>
      </c>
      <c r="D246" s="87">
        <v>0</v>
      </c>
      <c r="E246" s="47">
        <f t="shared" si="17"/>
        <v>0</v>
      </c>
      <c r="F246" s="87">
        <v>0</v>
      </c>
      <c r="G246" s="47">
        <f t="shared" si="19"/>
        <v>0</v>
      </c>
      <c r="H246" s="88"/>
      <c r="I246" s="20"/>
      <c r="J246" s="82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+'2'!G247</f>
        <v>0</v>
      </c>
      <c r="D247" s="87">
        <v>0</v>
      </c>
      <c r="E247" s="47">
        <f t="shared" si="17"/>
        <v>0</v>
      </c>
      <c r="F247" s="87">
        <v>0</v>
      </c>
      <c r="G247" s="47">
        <f t="shared" si="19"/>
        <v>0</v>
      </c>
      <c r="H247" s="88"/>
      <c r="I247" s="20"/>
      <c r="J247" s="82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+'2'!G248</f>
        <v>0</v>
      </c>
      <c r="D248" s="87">
        <v>0</v>
      </c>
      <c r="E248" s="47">
        <f t="shared" si="17"/>
        <v>0</v>
      </c>
      <c r="F248" s="87">
        <v>0</v>
      </c>
      <c r="G248" s="47">
        <f t="shared" si="19"/>
        <v>0</v>
      </c>
      <c r="H248" s="88"/>
      <c r="I248" s="20"/>
      <c r="J248" s="82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+'2'!G249</f>
        <v>0</v>
      </c>
      <c r="D249" s="87">
        <v>0</v>
      </c>
      <c r="E249" s="47">
        <f t="shared" si="17"/>
        <v>0</v>
      </c>
      <c r="F249" s="87">
        <v>0</v>
      </c>
      <c r="G249" s="47">
        <f t="shared" si="19"/>
        <v>0</v>
      </c>
      <c r="H249" s="88"/>
      <c r="I249" s="20"/>
      <c r="J249" s="82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+'2'!G250</f>
        <v>0</v>
      </c>
      <c r="D250" s="87">
        <v>0</v>
      </c>
      <c r="E250" s="47">
        <f t="shared" si="17"/>
        <v>0</v>
      </c>
      <c r="F250" s="87">
        <v>0</v>
      </c>
      <c r="G250" s="47">
        <f t="shared" si="19"/>
        <v>0</v>
      </c>
      <c r="H250" s="88"/>
      <c r="I250" s="20"/>
      <c r="J250" s="82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+'2'!G251</f>
        <v>0</v>
      </c>
      <c r="D251" s="87">
        <v>0</v>
      </c>
      <c r="E251" s="47">
        <f t="shared" si="17"/>
        <v>0</v>
      </c>
      <c r="F251" s="87">
        <v>0</v>
      </c>
      <c r="G251" s="47">
        <f t="shared" si="19"/>
        <v>0</v>
      </c>
      <c r="H251" s="88"/>
      <c r="I251" s="20"/>
      <c r="J251" s="82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+'2'!G252</f>
        <v>0</v>
      </c>
      <c r="D252" s="87">
        <v>0</v>
      </c>
      <c r="E252" s="47">
        <f t="shared" si="17"/>
        <v>0</v>
      </c>
      <c r="F252" s="87">
        <v>0</v>
      </c>
      <c r="G252" s="47">
        <f t="shared" si="19"/>
        <v>0</v>
      </c>
      <c r="H252" s="88"/>
      <c r="I252" s="20"/>
      <c r="J252" s="82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+'2'!G253</f>
        <v>0</v>
      </c>
      <c r="D253" s="87">
        <v>0</v>
      </c>
      <c r="E253" s="47">
        <f t="shared" ref="E253:E254" si="21">C253+D253</f>
        <v>0</v>
      </c>
      <c r="F253" s="87">
        <v>0</v>
      </c>
      <c r="G253" s="47">
        <f t="shared" si="19"/>
        <v>0</v>
      </c>
      <c r="H253" s="88"/>
      <c r="I253" s="20"/>
      <c r="J253" s="82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+'2'!G254</f>
        <v>0</v>
      </c>
      <c r="D254" s="87">
        <v>0</v>
      </c>
      <c r="E254" s="47">
        <f t="shared" si="21"/>
        <v>0</v>
      </c>
      <c r="F254" s="87">
        <v>0</v>
      </c>
      <c r="G254" s="47">
        <f t="shared" si="19"/>
        <v>0</v>
      </c>
      <c r="H254" s="88"/>
      <c r="I254" s="20"/>
      <c r="J254" s="82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2330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3" t="s">
        <v>213</v>
      </c>
      <c r="N255" s="143"/>
    </row>
    <row r="256" spans="1:14" ht="25.5" customHeight="1" x14ac:dyDescent="0.5">
      <c r="A256" s="1"/>
      <c r="C256" s="24"/>
      <c r="D256" s="25"/>
      <c r="E256" s="24"/>
      <c r="F256" s="25"/>
      <c r="G256" s="24"/>
      <c r="H256" s="148" t="s">
        <v>212</v>
      </c>
      <c r="I256" s="149"/>
      <c r="J256" s="30">
        <f>+X138</f>
        <v>0</v>
      </c>
      <c r="K256" s="27"/>
      <c r="L256" s="29"/>
    </row>
    <row r="257" spans="1:13" ht="25.5" x14ac:dyDescent="0.55000000000000004">
      <c r="A257" s="1"/>
      <c r="C257" s="31"/>
      <c r="E257" s="31"/>
      <c r="G257" s="31"/>
      <c r="H257" s="32"/>
      <c r="I257" s="150" t="s">
        <v>202</v>
      </c>
      <c r="J257" s="150"/>
      <c r="K257" s="33">
        <f>SUM(J5:J256)</f>
        <v>2480</v>
      </c>
    </row>
    <row r="258" spans="1:13" ht="25.5" x14ac:dyDescent="0.55000000000000004">
      <c r="A258" s="1"/>
      <c r="C258" s="31"/>
      <c r="E258" s="31"/>
      <c r="G258" s="31"/>
      <c r="I258" s="140" t="s">
        <v>203</v>
      </c>
      <c r="J258" s="141"/>
      <c r="K258" s="36">
        <v>15</v>
      </c>
    </row>
    <row r="259" spans="1:13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550</v>
      </c>
      <c r="L259" s="2">
        <v>100</v>
      </c>
      <c r="M259" s="2">
        <v>450</v>
      </c>
    </row>
    <row r="260" spans="1:13" ht="25.5" x14ac:dyDescent="0.55000000000000004">
      <c r="A260" s="1"/>
      <c r="C260" s="31"/>
      <c r="E260" s="31"/>
      <c r="G260" s="31"/>
      <c r="I260" s="140" t="s">
        <v>205</v>
      </c>
      <c r="J260" s="141"/>
      <c r="K260" s="36">
        <v>0</v>
      </c>
    </row>
    <row r="261" spans="1:13" ht="25.5" x14ac:dyDescent="0.55000000000000004">
      <c r="A261" s="1"/>
      <c r="C261" s="31"/>
      <c r="E261" s="31"/>
      <c r="G261" s="31"/>
      <c r="I261" s="140" t="s">
        <v>206</v>
      </c>
      <c r="J261" s="141"/>
      <c r="K261" s="36">
        <v>0</v>
      </c>
    </row>
    <row r="262" spans="1:13" ht="25.5" x14ac:dyDescent="0.55000000000000004">
      <c r="A262" s="1"/>
      <c r="C262" s="31"/>
      <c r="E262" s="31"/>
      <c r="G262" s="31"/>
      <c r="I262" s="140" t="s">
        <v>207</v>
      </c>
      <c r="J262" s="141"/>
      <c r="K262" s="37">
        <f>SUM(L5:L255)</f>
        <v>150</v>
      </c>
    </row>
    <row r="263" spans="1:13" ht="25.5" x14ac:dyDescent="0.55000000000000004">
      <c r="A263" s="1"/>
      <c r="C263" s="31"/>
      <c r="E263" s="31"/>
      <c r="G263" s="31"/>
      <c r="I263" s="140" t="s">
        <v>208</v>
      </c>
      <c r="J263" s="141"/>
      <c r="K263" s="33">
        <f>K257-K258-K259-K261-K262</f>
        <v>1765</v>
      </c>
    </row>
    <row r="264" spans="1:13" ht="25.5" x14ac:dyDescent="0.55000000000000004">
      <c r="A264" s="1"/>
      <c r="C264" s="31"/>
      <c r="E264" s="31"/>
      <c r="G264" s="31"/>
      <c r="I264" s="140" t="s">
        <v>209</v>
      </c>
      <c r="J264" s="141"/>
      <c r="K264" s="37">
        <v>1765</v>
      </c>
    </row>
    <row r="265" spans="1:13" ht="25.5" x14ac:dyDescent="0.55000000000000004">
      <c r="A265" s="1"/>
      <c r="C265" s="31"/>
      <c r="E265" s="31"/>
      <c r="G265" s="31"/>
      <c r="I265" s="140" t="s">
        <v>210</v>
      </c>
      <c r="J265" s="141"/>
      <c r="K265" s="33">
        <f>+K264-K263</f>
        <v>0</v>
      </c>
    </row>
    <row r="266" spans="1:13" ht="25.5" x14ac:dyDescent="0.55000000000000004">
      <c r="G266" s="2"/>
      <c r="I266" s="140" t="s">
        <v>211</v>
      </c>
      <c r="J266" s="141"/>
      <c r="K266" s="33">
        <f>+K264-K263</f>
        <v>0</v>
      </c>
    </row>
    <row r="267" spans="1:13" x14ac:dyDescent="0.5">
      <c r="G267" s="2"/>
      <c r="I267" s="2"/>
    </row>
    <row r="268" spans="1:13" ht="25.5" x14ac:dyDescent="0.55000000000000004">
      <c r="G268" s="2"/>
      <c r="I268" s="105" t="s">
        <v>312</v>
      </c>
    </row>
    <row r="269" spans="1:13" x14ac:dyDescent="0.5">
      <c r="G269" s="2"/>
      <c r="I269" s="2"/>
    </row>
    <row r="270" spans="1:13" x14ac:dyDescent="0.5">
      <c r="G270" s="2"/>
      <c r="I270" s="2"/>
    </row>
    <row r="271" spans="1:13" x14ac:dyDescent="0.5">
      <c r="G271" s="2"/>
      <c r="I271" s="2"/>
    </row>
    <row r="272" spans="1:13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92BA4-26A3-4651-B446-A147BD6B036F}">
  <sheetPr>
    <tabColor theme="7" tint="-0.249977111117893"/>
  </sheetPr>
  <dimension ref="A1:AB341"/>
  <sheetViews>
    <sheetView zoomScaleNormal="100" workbookViewId="0">
      <pane xSplit="7" ySplit="4" topLeftCell="I173" activePane="bottomRight" state="frozen"/>
      <selection activeCell="B20" sqref="B20"/>
      <selection pane="topRight" activeCell="B20" sqref="B20"/>
      <selection pane="bottomLeft" activeCell="B20" sqref="B20"/>
      <selection pane="bottomRight" activeCell="B20" sqref="B20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8" x14ac:dyDescent="0.5">
      <c r="A1" s="1"/>
      <c r="G1" s="2"/>
      <c r="I1" s="2"/>
    </row>
    <row r="2" spans="1:28" s="3" customFormat="1" ht="29.25" x14ac:dyDescent="0.6">
      <c r="A2" s="137" t="s">
        <v>247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8" s="5" customFormat="1" ht="26.25" x14ac:dyDescent="0.55000000000000004">
      <c r="A3" s="139" t="s">
        <v>1</v>
      </c>
      <c r="B3" s="151" t="s">
        <v>2</v>
      </c>
      <c r="C3" s="139" t="s">
        <v>3</v>
      </c>
      <c r="D3" s="139" t="s">
        <v>4</v>
      </c>
      <c r="E3" s="139" t="s">
        <v>5</v>
      </c>
      <c r="F3" s="85" t="s">
        <v>6</v>
      </c>
      <c r="G3" s="139" t="s">
        <v>7</v>
      </c>
      <c r="H3" s="142" t="s">
        <v>8</v>
      </c>
      <c r="I3" s="142"/>
      <c r="J3" s="142"/>
      <c r="K3" s="139" t="s">
        <v>9</v>
      </c>
      <c r="L3" s="144" t="s">
        <v>10</v>
      </c>
      <c r="O3" s="139" t="s">
        <v>1</v>
      </c>
      <c r="P3" s="139" t="s">
        <v>2</v>
      </c>
      <c r="Q3" s="139" t="s">
        <v>3</v>
      </c>
      <c r="R3" s="139" t="s">
        <v>4</v>
      </c>
      <c r="S3" s="139" t="s">
        <v>5</v>
      </c>
      <c r="T3" s="85" t="s">
        <v>6</v>
      </c>
      <c r="U3" s="139" t="s">
        <v>7</v>
      </c>
      <c r="V3" s="142" t="s">
        <v>8</v>
      </c>
      <c r="W3" s="142"/>
      <c r="X3" s="142"/>
      <c r="Y3" s="139" t="s">
        <v>9</v>
      </c>
      <c r="Z3" s="144" t="s">
        <v>10</v>
      </c>
    </row>
    <row r="4" spans="1:28" s="5" customFormat="1" ht="26.25" x14ac:dyDescent="0.55000000000000004">
      <c r="A4" s="139"/>
      <c r="B4" s="151"/>
      <c r="C4" s="139"/>
      <c r="D4" s="139"/>
      <c r="E4" s="139"/>
      <c r="F4" s="85" t="s">
        <v>11</v>
      </c>
      <c r="G4" s="139"/>
      <c r="H4" s="85" t="s">
        <v>12</v>
      </c>
      <c r="I4" s="86" t="s">
        <v>13</v>
      </c>
      <c r="J4" s="85" t="s">
        <v>14</v>
      </c>
      <c r="K4" s="139"/>
      <c r="L4" s="144"/>
      <c r="O4" s="139"/>
      <c r="P4" s="139"/>
      <c r="Q4" s="139"/>
      <c r="R4" s="139"/>
      <c r="S4" s="139"/>
      <c r="T4" s="85" t="s">
        <v>11</v>
      </c>
      <c r="U4" s="139"/>
      <c r="V4" s="85" t="s">
        <v>12</v>
      </c>
      <c r="W4" s="86" t="s">
        <v>13</v>
      </c>
      <c r="X4" s="85" t="s">
        <v>14</v>
      </c>
      <c r="Y4" s="139"/>
      <c r="Z4" s="144"/>
      <c r="AB4" s="5" t="s">
        <v>2</v>
      </c>
    </row>
    <row r="5" spans="1:28" ht="25.5" x14ac:dyDescent="0.55000000000000004">
      <c r="A5" s="10">
        <v>1</v>
      </c>
      <c r="B5" s="19" t="s">
        <v>15</v>
      </c>
      <c r="C5" s="79">
        <f>+'3'!G5</f>
        <v>22</v>
      </c>
      <c r="D5" s="87">
        <v>0</v>
      </c>
      <c r="E5" s="47">
        <f t="shared" ref="E5:E125" si="0">C5+D5</f>
        <v>22</v>
      </c>
      <c r="F5" s="87">
        <v>0</v>
      </c>
      <c r="G5" s="47">
        <f>+E5-F5-H5</f>
        <v>21</v>
      </c>
      <c r="H5" s="88">
        <v>1</v>
      </c>
      <c r="I5" s="15">
        <v>50</v>
      </c>
      <c r="J5" s="82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9"/>
      <c r="Q5" s="47">
        <v>0</v>
      </c>
      <c r="R5" s="87">
        <v>0</v>
      </c>
      <c r="S5" s="47">
        <f t="shared" ref="S5:S14" si="1">Q5+R5</f>
        <v>0</v>
      </c>
      <c r="T5" s="87">
        <v>0</v>
      </c>
      <c r="U5" s="47">
        <f t="shared" ref="U5:U14" si="2">S5-T5-V5</f>
        <v>0</v>
      </c>
      <c r="V5" s="88">
        <v>0</v>
      </c>
      <c r="W5" s="22"/>
      <c r="X5" s="44">
        <f t="shared" ref="X5:X14" si="3">V5*W5</f>
        <v>0</v>
      </c>
      <c r="Y5" s="17" t="s">
        <v>16</v>
      </c>
      <c r="Z5" s="18">
        <v>0</v>
      </c>
      <c r="AB5" s="2" t="s">
        <v>317</v>
      </c>
    </row>
    <row r="6" spans="1:28" ht="25.5" x14ac:dyDescent="0.55000000000000004">
      <c r="A6" s="10">
        <v>2</v>
      </c>
      <c r="B6" s="19" t="s">
        <v>17</v>
      </c>
      <c r="C6" s="79">
        <f>+'3'!G6</f>
        <v>24</v>
      </c>
      <c r="D6" s="87">
        <v>0</v>
      </c>
      <c r="E6" s="47">
        <f t="shared" si="0"/>
        <v>24</v>
      </c>
      <c r="F6" s="87">
        <v>0</v>
      </c>
      <c r="G6" s="47">
        <f t="shared" ref="G6:G100" si="4">+E6-F6-H6</f>
        <v>21</v>
      </c>
      <c r="H6" s="88">
        <v>3</v>
      </c>
      <c r="I6" s="15">
        <v>100</v>
      </c>
      <c r="J6" s="82">
        <f t="shared" ref="J6:J100" si="5">+I6*H6</f>
        <v>300</v>
      </c>
      <c r="K6" s="17" t="s">
        <v>16</v>
      </c>
      <c r="L6" s="18">
        <v>0</v>
      </c>
      <c r="M6" s="23">
        <f t="shared" ref="M6:M69" si="6">SUM(J6-L6)</f>
        <v>300</v>
      </c>
      <c r="O6" s="10">
        <v>2</v>
      </c>
      <c r="P6" s="19"/>
      <c r="Q6" s="47">
        <v>0</v>
      </c>
      <c r="R6" s="87">
        <v>0</v>
      </c>
      <c r="S6" s="47">
        <f t="shared" si="1"/>
        <v>0</v>
      </c>
      <c r="T6" s="87">
        <v>0</v>
      </c>
      <c r="U6" s="47">
        <f t="shared" si="2"/>
        <v>0</v>
      </c>
      <c r="V6" s="88">
        <v>0</v>
      </c>
      <c r="W6" s="22"/>
      <c r="X6" s="44">
        <f t="shared" si="3"/>
        <v>0</v>
      </c>
      <c r="Y6" s="17" t="s">
        <v>16</v>
      </c>
      <c r="Z6" s="18">
        <v>0</v>
      </c>
      <c r="AB6" s="2" t="s">
        <v>318</v>
      </c>
    </row>
    <row r="7" spans="1:28" ht="25.5" x14ac:dyDescent="0.55000000000000004">
      <c r="A7" s="10">
        <v>3</v>
      </c>
      <c r="B7" s="19" t="s">
        <v>18</v>
      </c>
      <c r="C7" s="79">
        <f>+'3'!G7</f>
        <v>0</v>
      </c>
      <c r="D7" s="87">
        <v>0</v>
      </c>
      <c r="E7" s="47">
        <f>C7+D7</f>
        <v>0</v>
      </c>
      <c r="F7" s="87">
        <v>0</v>
      </c>
      <c r="G7" s="47">
        <f t="shared" si="4"/>
        <v>0</v>
      </c>
      <c r="H7" s="88"/>
      <c r="I7" s="15">
        <v>50</v>
      </c>
      <c r="J7" s="8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7">
        <v>0</v>
      </c>
      <c r="S7" s="47">
        <f t="shared" si="1"/>
        <v>0</v>
      </c>
      <c r="T7" s="87">
        <v>0</v>
      </c>
      <c r="U7" s="47">
        <f t="shared" si="2"/>
        <v>0</v>
      </c>
      <c r="V7" s="88">
        <v>0</v>
      </c>
      <c r="W7" s="22"/>
      <c r="X7" s="44">
        <f t="shared" si="3"/>
        <v>0</v>
      </c>
      <c r="Y7" s="17" t="s">
        <v>16</v>
      </c>
      <c r="Z7" s="18">
        <v>0</v>
      </c>
      <c r="AB7" s="2" t="s">
        <v>319</v>
      </c>
    </row>
    <row r="8" spans="1:28" ht="25.5" x14ac:dyDescent="0.55000000000000004">
      <c r="A8" s="10">
        <v>4</v>
      </c>
      <c r="B8" s="19" t="s">
        <v>19</v>
      </c>
      <c r="C8" s="79">
        <f>+'3'!G8</f>
        <v>0</v>
      </c>
      <c r="D8" s="87">
        <v>0</v>
      </c>
      <c r="E8" s="47">
        <f>C8+D8</f>
        <v>0</v>
      </c>
      <c r="F8" s="87">
        <v>0</v>
      </c>
      <c r="G8" s="47">
        <f t="shared" si="4"/>
        <v>0</v>
      </c>
      <c r="H8" s="88"/>
      <c r="I8" s="15">
        <v>100</v>
      </c>
      <c r="J8" s="8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7">
        <v>0</v>
      </c>
      <c r="S8" s="47">
        <f t="shared" si="1"/>
        <v>0</v>
      </c>
      <c r="T8" s="87">
        <v>0</v>
      </c>
      <c r="U8" s="47">
        <f t="shared" si="2"/>
        <v>0</v>
      </c>
      <c r="V8" s="88">
        <v>0</v>
      </c>
      <c r="W8" s="22"/>
      <c r="X8" s="44">
        <f t="shared" si="3"/>
        <v>0</v>
      </c>
      <c r="Y8" s="17" t="s">
        <v>16</v>
      </c>
      <c r="Z8" s="18">
        <v>0</v>
      </c>
      <c r="AB8" s="2" t="s">
        <v>320</v>
      </c>
    </row>
    <row r="9" spans="1:28" ht="25.5" x14ac:dyDescent="0.55000000000000004">
      <c r="A9" s="10">
        <v>5</v>
      </c>
      <c r="B9" s="19" t="s">
        <v>20</v>
      </c>
      <c r="C9" s="79">
        <f>+'3'!G9</f>
        <v>0</v>
      </c>
      <c r="D9" s="87">
        <v>0</v>
      </c>
      <c r="E9" s="47">
        <f>C9+D9</f>
        <v>0</v>
      </c>
      <c r="F9" s="87">
        <v>0</v>
      </c>
      <c r="G9" s="47">
        <f t="shared" si="4"/>
        <v>0</v>
      </c>
      <c r="H9" s="88"/>
      <c r="I9" s="15">
        <v>12</v>
      </c>
      <c r="J9" s="8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7">
        <v>0</v>
      </c>
      <c r="S9" s="47">
        <f t="shared" si="1"/>
        <v>0</v>
      </c>
      <c r="T9" s="87">
        <v>0</v>
      </c>
      <c r="U9" s="47">
        <f t="shared" si="2"/>
        <v>0</v>
      </c>
      <c r="V9" s="88">
        <v>0</v>
      </c>
      <c r="W9" s="22"/>
      <c r="X9" s="44">
        <f t="shared" si="3"/>
        <v>0</v>
      </c>
      <c r="Y9" s="17" t="s">
        <v>16</v>
      </c>
      <c r="Z9" s="18">
        <v>0</v>
      </c>
      <c r="AB9" s="2" t="s">
        <v>307</v>
      </c>
    </row>
    <row r="10" spans="1:28" ht="25.5" x14ac:dyDescent="0.55000000000000004">
      <c r="A10" s="10">
        <v>6</v>
      </c>
      <c r="B10" s="19" t="s">
        <v>21</v>
      </c>
      <c r="C10" s="79">
        <f>+'3'!G10</f>
        <v>0</v>
      </c>
      <c r="D10" s="87">
        <v>0</v>
      </c>
      <c r="E10" s="47">
        <f>C10+D10</f>
        <v>0</v>
      </c>
      <c r="F10" s="87">
        <v>0</v>
      </c>
      <c r="G10" s="47">
        <f t="shared" si="4"/>
        <v>0</v>
      </c>
      <c r="H10" s="88"/>
      <c r="I10" s="15">
        <v>15</v>
      </c>
      <c r="J10" s="8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7">
        <v>0</v>
      </c>
      <c r="S10" s="47">
        <f t="shared" si="1"/>
        <v>0</v>
      </c>
      <c r="T10" s="87">
        <v>0</v>
      </c>
      <c r="U10" s="47">
        <f t="shared" si="2"/>
        <v>0</v>
      </c>
      <c r="V10" s="88">
        <v>0</v>
      </c>
      <c r="W10" s="22"/>
      <c r="X10" s="44">
        <f t="shared" si="3"/>
        <v>0</v>
      </c>
      <c r="Y10" s="17" t="s">
        <v>16</v>
      </c>
      <c r="Z10" s="18">
        <v>0</v>
      </c>
      <c r="AB10" s="2" t="s">
        <v>311</v>
      </c>
    </row>
    <row r="11" spans="1:28" ht="25.5" x14ac:dyDescent="0.55000000000000004">
      <c r="A11" s="10">
        <v>7</v>
      </c>
      <c r="B11" s="19" t="s">
        <v>22</v>
      </c>
      <c r="C11" s="79">
        <f>+'3'!G11</f>
        <v>0</v>
      </c>
      <c r="D11" s="87">
        <v>0</v>
      </c>
      <c r="E11" s="47">
        <f t="shared" si="0"/>
        <v>0</v>
      </c>
      <c r="F11" s="87">
        <v>0</v>
      </c>
      <c r="G11" s="47">
        <f t="shared" si="4"/>
        <v>0</v>
      </c>
      <c r="H11" s="88"/>
      <c r="I11" s="15">
        <v>40</v>
      </c>
      <c r="J11" s="8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7">
        <v>0</v>
      </c>
      <c r="S11" s="47">
        <f t="shared" si="1"/>
        <v>0</v>
      </c>
      <c r="T11" s="87">
        <v>0</v>
      </c>
      <c r="U11" s="47">
        <f t="shared" si="2"/>
        <v>0</v>
      </c>
      <c r="V11" s="88">
        <v>0</v>
      </c>
      <c r="W11" s="22"/>
      <c r="X11" s="44">
        <f t="shared" si="3"/>
        <v>0</v>
      </c>
      <c r="Y11" s="17" t="s">
        <v>16</v>
      </c>
      <c r="Z11" s="18">
        <v>0</v>
      </c>
      <c r="AB11" s="2" t="s">
        <v>321</v>
      </c>
    </row>
    <row r="12" spans="1:28" ht="25.5" x14ac:dyDescent="0.55000000000000004">
      <c r="A12" s="10">
        <v>8</v>
      </c>
      <c r="B12" s="19" t="s">
        <v>23</v>
      </c>
      <c r="C12" s="79">
        <f>+'3'!G12</f>
        <v>5</v>
      </c>
      <c r="D12" s="87">
        <v>0</v>
      </c>
      <c r="E12" s="47">
        <f t="shared" si="0"/>
        <v>5</v>
      </c>
      <c r="F12" s="87">
        <v>0</v>
      </c>
      <c r="G12" s="47">
        <f t="shared" si="4"/>
        <v>5</v>
      </c>
      <c r="H12" s="88"/>
      <c r="I12" s="20">
        <v>50</v>
      </c>
      <c r="J12" s="8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7">
        <v>0</v>
      </c>
      <c r="S12" s="47">
        <f t="shared" si="1"/>
        <v>0</v>
      </c>
      <c r="T12" s="87">
        <v>0</v>
      </c>
      <c r="U12" s="47">
        <f t="shared" si="2"/>
        <v>0</v>
      </c>
      <c r="V12" s="88">
        <v>0</v>
      </c>
      <c r="W12" s="22"/>
      <c r="X12" s="44">
        <f t="shared" si="3"/>
        <v>0</v>
      </c>
      <c r="Y12" s="17" t="s">
        <v>16</v>
      </c>
      <c r="Z12" s="18">
        <v>0</v>
      </c>
      <c r="AB12" s="2" t="s">
        <v>289</v>
      </c>
    </row>
    <row r="13" spans="1:28" ht="25.5" x14ac:dyDescent="0.55000000000000004">
      <c r="A13" s="10">
        <v>9</v>
      </c>
      <c r="B13" s="19" t="s">
        <v>24</v>
      </c>
      <c r="C13" s="79">
        <f>+'3'!G13</f>
        <v>0</v>
      </c>
      <c r="D13" s="87">
        <v>0</v>
      </c>
      <c r="E13" s="47">
        <f>C13+D13</f>
        <v>0</v>
      </c>
      <c r="F13" s="87">
        <v>0</v>
      </c>
      <c r="G13" s="47">
        <f t="shared" si="4"/>
        <v>0</v>
      </c>
      <c r="H13" s="88"/>
      <c r="I13" s="20">
        <v>55</v>
      </c>
      <c r="J13" s="8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7">
        <v>0</v>
      </c>
      <c r="S13" s="47">
        <f t="shared" si="1"/>
        <v>0</v>
      </c>
      <c r="T13" s="87">
        <v>0</v>
      </c>
      <c r="U13" s="47">
        <f t="shared" si="2"/>
        <v>0</v>
      </c>
      <c r="V13" s="88">
        <v>0</v>
      </c>
      <c r="W13" s="22"/>
      <c r="X13" s="44">
        <f t="shared" si="3"/>
        <v>0</v>
      </c>
      <c r="Y13" s="17" t="s">
        <v>16</v>
      </c>
      <c r="Z13" s="18">
        <v>0</v>
      </c>
      <c r="AB13" s="2" t="s">
        <v>322</v>
      </c>
    </row>
    <row r="14" spans="1:28" ht="25.5" x14ac:dyDescent="0.55000000000000004">
      <c r="A14" s="10">
        <v>10</v>
      </c>
      <c r="B14" s="19" t="s">
        <v>25</v>
      </c>
      <c r="C14" s="79">
        <f>+'3'!G14</f>
        <v>4</v>
      </c>
      <c r="D14" s="87">
        <v>0</v>
      </c>
      <c r="E14" s="47">
        <f t="shared" si="0"/>
        <v>4</v>
      </c>
      <c r="F14" s="87">
        <v>0</v>
      </c>
      <c r="G14" s="47">
        <f t="shared" si="4"/>
        <v>3</v>
      </c>
      <c r="H14" s="88">
        <v>1</v>
      </c>
      <c r="I14" s="20">
        <v>65</v>
      </c>
      <c r="J14" s="82">
        <f t="shared" si="5"/>
        <v>65</v>
      </c>
      <c r="K14" s="17" t="s">
        <v>16</v>
      </c>
      <c r="L14" s="18">
        <v>0</v>
      </c>
      <c r="M14" s="23">
        <f t="shared" si="6"/>
        <v>65</v>
      </c>
      <c r="O14" s="10">
        <v>10</v>
      </c>
      <c r="P14" s="19"/>
      <c r="Q14" s="47">
        <v>0</v>
      </c>
      <c r="R14" s="87">
        <v>0</v>
      </c>
      <c r="S14" s="47">
        <f t="shared" si="1"/>
        <v>0</v>
      </c>
      <c r="T14" s="87">
        <v>0</v>
      </c>
      <c r="U14" s="47">
        <f t="shared" si="2"/>
        <v>0</v>
      </c>
      <c r="V14" s="88">
        <v>0</v>
      </c>
      <c r="W14" s="22"/>
      <c r="X14" s="44">
        <f t="shared" si="3"/>
        <v>0</v>
      </c>
      <c r="Y14" s="17" t="s">
        <v>16</v>
      </c>
      <c r="Z14" s="18">
        <v>0</v>
      </c>
      <c r="AB14" s="2" t="s">
        <v>306</v>
      </c>
    </row>
    <row r="15" spans="1:28" ht="25.5" x14ac:dyDescent="0.55000000000000004">
      <c r="A15" s="10">
        <v>11</v>
      </c>
      <c r="B15" s="19" t="s">
        <v>26</v>
      </c>
      <c r="C15" s="79">
        <f>+'3'!G15</f>
        <v>0</v>
      </c>
      <c r="D15" s="87">
        <v>0</v>
      </c>
      <c r="E15" s="47">
        <f t="shared" si="0"/>
        <v>0</v>
      </c>
      <c r="F15" s="87">
        <v>0</v>
      </c>
      <c r="G15" s="47">
        <f t="shared" si="4"/>
        <v>0</v>
      </c>
      <c r="H15" s="88"/>
      <c r="I15" s="20">
        <v>50</v>
      </c>
      <c r="J15" s="8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7">
        <v>0</v>
      </c>
      <c r="S15" s="47">
        <f t="shared" ref="S15:S29" si="7">Q15+R15</f>
        <v>0</v>
      </c>
      <c r="T15" s="87">
        <v>0</v>
      </c>
      <c r="U15" s="47">
        <f t="shared" ref="U15:U29" si="8">S15-T15-V15</f>
        <v>0</v>
      </c>
      <c r="V15" s="88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8" ht="25.5" x14ac:dyDescent="0.55000000000000004">
      <c r="A16" s="10">
        <v>12</v>
      </c>
      <c r="B16" s="19" t="s">
        <v>27</v>
      </c>
      <c r="C16" s="79">
        <f>+'3'!G16</f>
        <v>0</v>
      </c>
      <c r="D16" s="87">
        <v>0</v>
      </c>
      <c r="E16" s="47">
        <f t="shared" si="0"/>
        <v>0</v>
      </c>
      <c r="F16" s="87">
        <v>0</v>
      </c>
      <c r="G16" s="47">
        <f t="shared" si="4"/>
        <v>0</v>
      </c>
      <c r="H16" s="88"/>
      <c r="I16" s="15">
        <v>50</v>
      </c>
      <c r="J16" s="8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7">
        <v>0</v>
      </c>
      <c r="S16" s="47">
        <f t="shared" si="7"/>
        <v>0</v>
      </c>
      <c r="T16" s="87">
        <v>0</v>
      </c>
      <c r="U16" s="47">
        <f t="shared" si="8"/>
        <v>0</v>
      </c>
      <c r="V16" s="88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+'3'!G17</f>
        <v>0</v>
      </c>
      <c r="D17" s="87">
        <v>0</v>
      </c>
      <c r="E17" s="47">
        <f t="shared" si="0"/>
        <v>0</v>
      </c>
      <c r="F17" s="87">
        <v>0</v>
      </c>
      <c r="G17" s="47">
        <f t="shared" si="4"/>
        <v>0</v>
      </c>
      <c r="H17" s="88"/>
      <c r="I17" s="15">
        <v>50</v>
      </c>
      <c r="J17" s="8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7">
        <v>0</v>
      </c>
      <c r="S17" s="47">
        <f t="shared" si="7"/>
        <v>0</v>
      </c>
      <c r="T17" s="87">
        <v>0</v>
      </c>
      <c r="U17" s="47">
        <f t="shared" si="8"/>
        <v>0</v>
      </c>
      <c r="V17" s="88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+'3'!G18</f>
        <v>0</v>
      </c>
      <c r="D18" s="87">
        <v>0</v>
      </c>
      <c r="E18" s="47">
        <f t="shared" si="0"/>
        <v>0</v>
      </c>
      <c r="F18" s="87">
        <v>0</v>
      </c>
      <c r="G18" s="47">
        <f t="shared" si="4"/>
        <v>0</v>
      </c>
      <c r="H18" s="88"/>
      <c r="I18" s="20">
        <v>50</v>
      </c>
      <c r="J18" s="8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7">
        <v>0</v>
      </c>
      <c r="S18" s="47">
        <f t="shared" si="7"/>
        <v>0</v>
      </c>
      <c r="T18" s="87">
        <v>0</v>
      </c>
      <c r="U18" s="47">
        <f t="shared" si="8"/>
        <v>0</v>
      </c>
      <c r="V18" s="88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329</v>
      </c>
      <c r="C19" s="79">
        <f>+'3'!G19</f>
        <v>0</v>
      </c>
      <c r="D19" s="87">
        <v>0</v>
      </c>
      <c r="E19" s="47">
        <f t="shared" si="0"/>
        <v>0</v>
      </c>
      <c r="F19" s="87">
        <v>0</v>
      </c>
      <c r="G19" s="47">
        <f t="shared" si="4"/>
        <v>0</v>
      </c>
      <c r="H19" s="88"/>
      <c r="I19" s="15">
        <v>50</v>
      </c>
      <c r="J19" s="8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7">
        <v>0</v>
      </c>
      <c r="S19" s="47">
        <f t="shared" si="7"/>
        <v>0</v>
      </c>
      <c r="T19" s="87">
        <v>0</v>
      </c>
      <c r="U19" s="47">
        <f t="shared" si="8"/>
        <v>0</v>
      </c>
      <c r="V19" s="88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+'3'!G20</f>
        <v>0</v>
      </c>
      <c r="D20" s="87">
        <v>0</v>
      </c>
      <c r="E20" s="47">
        <f t="shared" si="0"/>
        <v>0</v>
      </c>
      <c r="F20" s="87">
        <v>0</v>
      </c>
      <c r="G20" s="47">
        <f t="shared" si="4"/>
        <v>0</v>
      </c>
      <c r="H20" s="88"/>
      <c r="I20" s="15">
        <v>50</v>
      </c>
      <c r="J20" s="8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7">
        <v>0</v>
      </c>
      <c r="S20" s="47">
        <f t="shared" si="7"/>
        <v>0</v>
      </c>
      <c r="T20" s="87">
        <v>0</v>
      </c>
      <c r="U20" s="47">
        <f t="shared" si="8"/>
        <v>0</v>
      </c>
      <c r="V20" s="88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+'3'!G21</f>
        <v>0</v>
      </c>
      <c r="D21" s="87">
        <v>0</v>
      </c>
      <c r="E21" s="47">
        <f t="shared" si="0"/>
        <v>0</v>
      </c>
      <c r="F21" s="87">
        <v>0</v>
      </c>
      <c r="G21" s="47">
        <f t="shared" si="4"/>
        <v>0</v>
      </c>
      <c r="H21" s="88"/>
      <c r="I21" s="15">
        <v>50</v>
      </c>
      <c r="J21" s="8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7">
        <v>0</v>
      </c>
      <c r="S21" s="47">
        <f t="shared" si="7"/>
        <v>0</v>
      </c>
      <c r="T21" s="87">
        <v>0</v>
      </c>
      <c r="U21" s="47">
        <f t="shared" si="8"/>
        <v>0</v>
      </c>
      <c r="V21" s="88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+'3'!G22</f>
        <v>5</v>
      </c>
      <c r="D22" s="87">
        <v>0</v>
      </c>
      <c r="E22" s="47">
        <f t="shared" si="0"/>
        <v>5</v>
      </c>
      <c r="F22" s="87">
        <v>0</v>
      </c>
      <c r="G22" s="47">
        <f t="shared" si="4"/>
        <v>1</v>
      </c>
      <c r="H22" s="88">
        <v>4</v>
      </c>
      <c r="I22" s="15">
        <v>85</v>
      </c>
      <c r="J22" s="82">
        <f t="shared" si="5"/>
        <v>340</v>
      </c>
      <c r="K22" s="17" t="s">
        <v>16</v>
      </c>
      <c r="L22" s="18">
        <v>0</v>
      </c>
      <c r="M22" s="23">
        <f t="shared" si="6"/>
        <v>340</v>
      </c>
      <c r="O22" s="10">
        <v>18</v>
      </c>
      <c r="P22" s="19"/>
      <c r="Q22" s="47">
        <v>0</v>
      </c>
      <c r="R22" s="87">
        <v>0</v>
      </c>
      <c r="S22" s="47">
        <f t="shared" si="7"/>
        <v>0</v>
      </c>
      <c r="T22" s="87">
        <v>0</v>
      </c>
      <c r="U22" s="47">
        <f t="shared" si="8"/>
        <v>0</v>
      </c>
      <c r="V22" s="88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+'3'!G23</f>
        <v>11</v>
      </c>
      <c r="D23" s="87">
        <v>0</v>
      </c>
      <c r="E23" s="47">
        <f t="shared" si="0"/>
        <v>11</v>
      </c>
      <c r="F23" s="87">
        <v>0</v>
      </c>
      <c r="G23" s="47">
        <f t="shared" si="4"/>
        <v>10</v>
      </c>
      <c r="H23" s="88">
        <v>1</v>
      </c>
      <c r="I23" s="15">
        <v>100</v>
      </c>
      <c r="J23" s="82">
        <f t="shared" si="5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9"/>
      <c r="Q23" s="47">
        <v>0</v>
      </c>
      <c r="R23" s="87">
        <v>0</v>
      </c>
      <c r="S23" s="47">
        <f t="shared" si="7"/>
        <v>0</v>
      </c>
      <c r="T23" s="87">
        <v>0</v>
      </c>
      <c r="U23" s="47">
        <f t="shared" si="8"/>
        <v>0</v>
      </c>
      <c r="V23" s="88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+'3'!G24</f>
        <v>8</v>
      </c>
      <c r="D24" s="87">
        <v>0</v>
      </c>
      <c r="E24" s="47">
        <f t="shared" si="0"/>
        <v>8</v>
      </c>
      <c r="F24" s="87">
        <v>0</v>
      </c>
      <c r="G24" s="47">
        <f t="shared" si="4"/>
        <v>6</v>
      </c>
      <c r="H24" s="88">
        <v>2</v>
      </c>
      <c r="I24" s="21">
        <v>100</v>
      </c>
      <c r="J24" s="82">
        <f t="shared" si="5"/>
        <v>200</v>
      </c>
      <c r="K24" s="17" t="s">
        <v>16</v>
      </c>
      <c r="L24" s="18">
        <v>0</v>
      </c>
      <c r="M24" s="23">
        <f t="shared" si="6"/>
        <v>200</v>
      </c>
      <c r="O24" s="10">
        <v>20</v>
      </c>
      <c r="P24" s="19"/>
      <c r="Q24" s="47">
        <v>0</v>
      </c>
      <c r="R24" s="87">
        <v>0</v>
      </c>
      <c r="S24" s="47">
        <f t="shared" si="7"/>
        <v>0</v>
      </c>
      <c r="T24" s="87">
        <v>0</v>
      </c>
      <c r="U24" s="47">
        <f t="shared" si="8"/>
        <v>0</v>
      </c>
      <c r="V24" s="88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+'3'!G25</f>
        <v>0</v>
      </c>
      <c r="D25" s="87">
        <v>0</v>
      </c>
      <c r="E25" s="47">
        <f t="shared" si="0"/>
        <v>0</v>
      </c>
      <c r="F25" s="87">
        <v>0</v>
      </c>
      <c r="G25" s="47">
        <f t="shared" si="4"/>
        <v>0</v>
      </c>
      <c r="H25" s="88"/>
      <c r="I25" s="21">
        <v>100</v>
      </c>
      <c r="J25" s="8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7">
        <v>0</v>
      </c>
      <c r="S25" s="47">
        <f t="shared" si="7"/>
        <v>0</v>
      </c>
      <c r="T25" s="87">
        <v>0</v>
      </c>
      <c r="U25" s="47">
        <f t="shared" si="8"/>
        <v>0</v>
      </c>
      <c r="V25" s="88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+'3'!G26</f>
        <v>4</v>
      </c>
      <c r="D26" s="87">
        <v>0</v>
      </c>
      <c r="E26" s="47">
        <f t="shared" si="0"/>
        <v>4</v>
      </c>
      <c r="F26" s="87">
        <v>0</v>
      </c>
      <c r="G26" s="47">
        <f t="shared" si="4"/>
        <v>4</v>
      </c>
      <c r="H26" s="88"/>
      <c r="I26" s="21">
        <v>100</v>
      </c>
      <c r="J26" s="8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7">
        <v>0</v>
      </c>
      <c r="S26" s="47">
        <f t="shared" si="7"/>
        <v>0</v>
      </c>
      <c r="T26" s="87">
        <v>0</v>
      </c>
      <c r="U26" s="47">
        <f t="shared" si="8"/>
        <v>0</v>
      </c>
      <c r="V26" s="88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+'3'!G27</f>
        <v>0</v>
      </c>
      <c r="D27" s="87">
        <v>0</v>
      </c>
      <c r="E27" s="47">
        <f t="shared" si="0"/>
        <v>0</v>
      </c>
      <c r="F27" s="87">
        <v>0</v>
      </c>
      <c r="G27" s="47">
        <f t="shared" si="4"/>
        <v>0</v>
      </c>
      <c r="H27" s="88"/>
      <c r="I27" s="20">
        <v>100</v>
      </c>
      <c r="J27" s="8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7">
        <v>0</v>
      </c>
      <c r="S27" s="47">
        <f t="shared" si="7"/>
        <v>0</v>
      </c>
      <c r="T27" s="87">
        <v>0</v>
      </c>
      <c r="U27" s="47">
        <f t="shared" si="8"/>
        <v>0</v>
      </c>
      <c r="V27" s="88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+'3'!G28</f>
        <v>0</v>
      </c>
      <c r="D28" s="87">
        <v>0</v>
      </c>
      <c r="E28" s="47">
        <f t="shared" si="0"/>
        <v>0</v>
      </c>
      <c r="F28" s="87">
        <v>0</v>
      </c>
      <c r="G28" s="47">
        <f t="shared" si="4"/>
        <v>0</v>
      </c>
      <c r="H28" s="88"/>
      <c r="I28" s="20">
        <v>100</v>
      </c>
      <c r="J28" s="8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7">
        <v>0</v>
      </c>
      <c r="S28" s="47">
        <f t="shared" si="7"/>
        <v>0</v>
      </c>
      <c r="T28" s="87">
        <v>0</v>
      </c>
      <c r="U28" s="47">
        <f t="shared" si="8"/>
        <v>0</v>
      </c>
      <c r="V28" s="88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+'3'!G29</f>
        <v>17</v>
      </c>
      <c r="D29" s="87">
        <v>0</v>
      </c>
      <c r="E29" s="47">
        <f t="shared" si="0"/>
        <v>17</v>
      </c>
      <c r="F29" s="87">
        <v>0</v>
      </c>
      <c r="G29" s="47">
        <f t="shared" si="4"/>
        <v>17</v>
      </c>
      <c r="H29" s="88"/>
      <c r="I29" s="15">
        <v>100</v>
      </c>
      <c r="J29" s="8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7">
        <v>0</v>
      </c>
      <c r="S29" s="47">
        <f t="shared" si="7"/>
        <v>0</v>
      </c>
      <c r="T29" s="87">
        <v>0</v>
      </c>
      <c r="U29" s="47">
        <f t="shared" si="8"/>
        <v>0</v>
      </c>
      <c r="V29" s="88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+'3'!G30</f>
        <v>0</v>
      </c>
      <c r="D30" s="87">
        <v>0</v>
      </c>
      <c r="E30" s="47">
        <f t="shared" si="0"/>
        <v>0</v>
      </c>
      <c r="F30" s="87">
        <v>0</v>
      </c>
      <c r="G30" s="47">
        <f t="shared" si="4"/>
        <v>0</v>
      </c>
      <c r="H30" s="88"/>
      <c r="I30" s="15">
        <v>100</v>
      </c>
      <c r="J30" s="8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+'3'!G31</f>
        <v>2</v>
      </c>
      <c r="D31" s="87">
        <v>0</v>
      </c>
      <c r="E31" s="47">
        <f t="shared" si="0"/>
        <v>2</v>
      </c>
      <c r="F31" s="87">
        <v>0</v>
      </c>
      <c r="G31" s="47">
        <f t="shared" si="4"/>
        <v>2</v>
      </c>
      <c r="H31" s="88"/>
      <c r="I31" s="15">
        <v>100</v>
      </c>
      <c r="J31" s="82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+'3'!G32</f>
        <v>0</v>
      </c>
      <c r="D32" s="87">
        <v>0</v>
      </c>
      <c r="E32" s="47">
        <f t="shared" si="0"/>
        <v>0</v>
      </c>
      <c r="F32" s="87">
        <v>0</v>
      </c>
      <c r="G32" s="47">
        <f t="shared" si="4"/>
        <v>0</v>
      </c>
      <c r="H32" s="88"/>
      <c r="I32" s="15">
        <v>130</v>
      </c>
      <c r="J32" s="82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5" t="s">
        <v>119</v>
      </c>
      <c r="Q32" s="146"/>
      <c r="R32" s="146"/>
      <c r="S32" s="146"/>
      <c r="T32" s="146"/>
      <c r="U32" s="146"/>
      <c r="V32" s="146"/>
      <c r="W32" s="147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+'3'!G33</f>
        <v>3</v>
      </c>
      <c r="D33" s="87">
        <v>0</v>
      </c>
      <c r="E33" s="47">
        <f t="shared" si="0"/>
        <v>3</v>
      </c>
      <c r="F33" s="87">
        <v>0</v>
      </c>
      <c r="G33" s="47">
        <f t="shared" si="4"/>
        <v>1</v>
      </c>
      <c r="H33" s="88">
        <v>2</v>
      </c>
      <c r="I33" s="15">
        <v>130</v>
      </c>
      <c r="J33" s="82">
        <f t="shared" si="5"/>
        <v>260</v>
      </c>
      <c r="K33" s="17" t="s">
        <v>16</v>
      </c>
      <c r="L33" s="18">
        <v>0</v>
      </c>
      <c r="M33" s="23">
        <f t="shared" si="6"/>
        <v>260</v>
      </c>
    </row>
    <row r="34" spans="1:13" ht="25.5" x14ac:dyDescent="0.55000000000000004">
      <c r="A34" s="10">
        <v>30</v>
      </c>
      <c r="B34" s="19" t="s">
        <v>45</v>
      </c>
      <c r="C34" s="79">
        <f>+'3'!G34</f>
        <v>2</v>
      </c>
      <c r="D34" s="87">
        <v>0</v>
      </c>
      <c r="E34" s="47">
        <f t="shared" si="0"/>
        <v>2</v>
      </c>
      <c r="F34" s="87">
        <v>0</v>
      </c>
      <c r="G34" s="47">
        <f t="shared" si="4"/>
        <v>2</v>
      </c>
      <c r="H34" s="88"/>
      <c r="I34" s="15">
        <v>130</v>
      </c>
      <c r="J34" s="82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+'3'!G35</f>
        <v>0</v>
      </c>
      <c r="D35" s="87">
        <v>0</v>
      </c>
      <c r="E35" s="47">
        <f t="shared" si="0"/>
        <v>0</v>
      </c>
      <c r="F35" s="87">
        <v>0</v>
      </c>
      <c r="G35" s="47">
        <f t="shared" si="4"/>
        <v>0</v>
      </c>
      <c r="H35" s="88"/>
      <c r="I35" s="15">
        <v>130</v>
      </c>
      <c r="J35" s="82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+'3'!G36</f>
        <v>0</v>
      </c>
      <c r="D36" s="87">
        <v>0</v>
      </c>
      <c r="E36" s="47">
        <f t="shared" si="0"/>
        <v>0</v>
      </c>
      <c r="F36" s="87">
        <v>0</v>
      </c>
      <c r="G36" s="47">
        <f t="shared" si="4"/>
        <v>0</v>
      </c>
      <c r="H36" s="88"/>
      <c r="I36" s="15">
        <v>100</v>
      </c>
      <c r="J36" s="82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+'3'!G37</f>
        <v>24</v>
      </c>
      <c r="D37" s="87">
        <v>0</v>
      </c>
      <c r="E37" s="47">
        <f t="shared" si="0"/>
        <v>24</v>
      </c>
      <c r="F37" s="87">
        <v>0</v>
      </c>
      <c r="G37" s="47">
        <f t="shared" si="4"/>
        <v>24</v>
      </c>
      <c r="H37" s="88"/>
      <c r="I37" s="15">
        <v>100</v>
      </c>
      <c r="J37" s="82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 t="s">
        <v>49</v>
      </c>
      <c r="C38" s="79">
        <f>+'3'!G38</f>
        <v>5</v>
      </c>
      <c r="D38" s="87">
        <v>0</v>
      </c>
      <c r="E38" s="47">
        <f t="shared" si="0"/>
        <v>5</v>
      </c>
      <c r="F38" s="87">
        <v>0</v>
      </c>
      <c r="G38" s="47">
        <f t="shared" si="4"/>
        <v>1</v>
      </c>
      <c r="H38" s="88">
        <v>4</v>
      </c>
      <c r="I38" s="15">
        <v>50</v>
      </c>
      <c r="J38" s="82">
        <f t="shared" si="5"/>
        <v>200</v>
      </c>
      <c r="K38" s="17" t="s">
        <v>16</v>
      </c>
      <c r="L38" s="18">
        <v>0</v>
      </c>
      <c r="M38" s="23">
        <f t="shared" si="6"/>
        <v>200</v>
      </c>
    </row>
    <row r="39" spans="1:13" ht="25.5" x14ac:dyDescent="0.55000000000000004">
      <c r="A39" s="10">
        <v>35</v>
      </c>
      <c r="B39" s="19" t="s">
        <v>50</v>
      </c>
      <c r="C39" s="79">
        <f>+'3'!G39</f>
        <v>9</v>
      </c>
      <c r="D39" s="87">
        <v>0</v>
      </c>
      <c r="E39" s="47">
        <f t="shared" si="0"/>
        <v>9</v>
      </c>
      <c r="F39" s="87">
        <v>0</v>
      </c>
      <c r="G39" s="47">
        <f t="shared" si="4"/>
        <v>9</v>
      </c>
      <c r="H39" s="88"/>
      <c r="I39" s="15">
        <v>50</v>
      </c>
      <c r="J39" s="82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+'3'!G40</f>
        <v>9</v>
      </c>
      <c r="D40" s="87">
        <v>0</v>
      </c>
      <c r="E40" s="47">
        <f t="shared" si="0"/>
        <v>9</v>
      </c>
      <c r="F40" s="87">
        <v>0</v>
      </c>
      <c r="G40" s="47">
        <f t="shared" si="4"/>
        <v>9</v>
      </c>
      <c r="H40" s="88"/>
      <c r="I40" s="15">
        <v>50</v>
      </c>
      <c r="J40" s="82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+'3'!G41</f>
        <v>0</v>
      </c>
      <c r="D41" s="87">
        <v>0</v>
      </c>
      <c r="E41" s="47">
        <f t="shared" si="0"/>
        <v>0</v>
      </c>
      <c r="F41" s="87">
        <v>0</v>
      </c>
      <c r="G41" s="47">
        <f t="shared" si="4"/>
        <v>0</v>
      </c>
      <c r="H41" s="88"/>
      <c r="I41" s="15">
        <v>50</v>
      </c>
      <c r="J41" s="82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285</v>
      </c>
      <c r="C42" s="79">
        <f>+'3'!G42</f>
        <v>1</v>
      </c>
      <c r="D42" s="87">
        <v>0</v>
      </c>
      <c r="E42" s="47">
        <f t="shared" si="0"/>
        <v>1</v>
      </c>
      <c r="F42" s="87">
        <v>0</v>
      </c>
      <c r="G42" s="47">
        <f t="shared" si="4"/>
        <v>1</v>
      </c>
      <c r="H42" s="88"/>
      <c r="I42" s="15">
        <v>50</v>
      </c>
      <c r="J42" s="82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+'3'!G43</f>
        <v>0</v>
      </c>
      <c r="D43" s="87">
        <v>0</v>
      </c>
      <c r="E43" s="47">
        <f t="shared" si="0"/>
        <v>0</v>
      </c>
      <c r="F43" s="87">
        <v>0</v>
      </c>
      <c r="G43" s="47">
        <f t="shared" si="4"/>
        <v>0</v>
      </c>
      <c r="H43" s="88"/>
      <c r="I43" s="15">
        <v>50</v>
      </c>
      <c r="J43" s="82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+'3'!G44</f>
        <v>0</v>
      </c>
      <c r="D44" s="87">
        <v>0</v>
      </c>
      <c r="E44" s="47">
        <f t="shared" si="0"/>
        <v>0</v>
      </c>
      <c r="F44" s="87">
        <v>0</v>
      </c>
      <c r="G44" s="47">
        <f t="shared" si="4"/>
        <v>0</v>
      </c>
      <c r="H44" s="88"/>
      <c r="I44" s="15">
        <v>50</v>
      </c>
      <c r="J44" s="82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+'3'!G45</f>
        <v>0</v>
      </c>
      <c r="D45" s="87">
        <v>0</v>
      </c>
      <c r="E45" s="47">
        <f t="shared" si="0"/>
        <v>0</v>
      </c>
      <c r="F45" s="87">
        <v>0</v>
      </c>
      <c r="G45" s="47">
        <f t="shared" si="4"/>
        <v>0</v>
      </c>
      <c r="H45" s="88"/>
      <c r="I45" s="15">
        <v>50</v>
      </c>
      <c r="J45" s="82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286</v>
      </c>
      <c r="C46" s="79">
        <f>+'3'!G46</f>
        <v>1</v>
      </c>
      <c r="D46" s="87">
        <v>0</v>
      </c>
      <c r="E46" s="47">
        <f t="shared" si="0"/>
        <v>1</v>
      </c>
      <c r="F46" s="87">
        <v>0</v>
      </c>
      <c r="G46" s="47">
        <f t="shared" si="4"/>
        <v>1</v>
      </c>
      <c r="H46" s="88"/>
      <c r="I46" s="15">
        <v>50</v>
      </c>
      <c r="J46" s="82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+'3'!G47</f>
        <v>3</v>
      </c>
      <c r="D47" s="87">
        <v>0</v>
      </c>
      <c r="E47" s="47">
        <f t="shared" si="0"/>
        <v>3</v>
      </c>
      <c r="F47" s="87">
        <v>0</v>
      </c>
      <c r="G47" s="47">
        <f t="shared" si="4"/>
        <v>2</v>
      </c>
      <c r="H47" s="88">
        <v>1</v>
      </c>
      <c r="I47" s="15">
        <v>50</v>
      </c>
      <c r="J47" s="82">
        <f t="shared" si="5"/>
        <v>50</v>
      </c>
      <c r="K47" s="17" t="s">
        <v>16</v>
      </c>
      <c r="L47" s="18">
        <v>0</v>
      </c>
      <c r="M47" s="23">
        <f t="shared" si="6"/>
        <v>50</v>
      </c>
    </row>
    <row r="48" spans="1:13" ht="25.5" x14ac:dyDescent="0.55000000000000004">
      <c r="A48" s="10">
        <v>44</v>
      </c>
      <c r="B48" s="19" t="s">
        <v>59</v>
      </c>
      <c r="C48" s="79">
        <f>+'3'!G48</f>
        <v>2</v>
      </c>
      <c r="D48" s="87">
        <v>0</v>
      </c>
      <c r="E48" s="47">
        <f t="shared" si="0"/>
        <v>2</v>
      </c>
      <c r="F48" s="87">
        <v>0</v>
      </c>
      <c r="G48" s="47">
        <f t="shared" si="4"/>
        <v>1</v>
      </c>
      <c r="H48" s="88">
        <v>1</v>
      </c>
      <c r="I48" s="15">
        <v>50</v>
      </c>
      <c r="J48" s="82">
        <f t="shared" si="5"/>
        <v>50</v>
      </c>
      <c r="K48" s="17" t="s">
        <v>16</v>
      </c>
      <c r="L48" s="18">
        <v>0</v>
      </c>
      <c r="M48" s="23">
        <f t="shared" si="6"/>
        <v>50</v>
      </c>
    </row>
    <row r="49" spans="1:13" ht="25.5" x14ac:dyDescent="0.55000000000000004">
      <c r="A49" s="10">
        <v>45</v>
      </c>
      <c r="B49" s="19" t="s">
        <v>60</v>
      </c>
      <c r="C49" s="79">
        <f>+'3'!G49</f>
        <v>2</v>
      </c>
      <c r="D49" s="87">
        <v>0</v>
      </c>
      <c r="E49" s="47">
        <f t="shared" si="0"/>
        <v>2</v>
      </c>
      <c r="F49" s="87">
        <v>0</v>
      </c>
      <c r="G49" s="47">
        <f t="shared" si="4"/>
        <v>2</v>
      </c>
      <c r="H49" s="88"/>
      <c r="I49" s="15">
        <v>50</v>
      </c>
      <c r="J49" s="82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+'3'!G50</f>
        <v>4</v>
      </c>
      <c r="D50" s="87">
        <v>0</v>
      </c>
      <c r="E50" s="47">
        <f t="shared" si="0"/>
        <v>4</v>
      </c>
      <c r="F50" s="87">
        <v>0</v>
      </c>
      <c r="G50" s="47">
        <f t="shared" si="4"/>
        <v>4</v>
      </c>
      <c r="H50" s="88"/>
      <c r="I50" s="15">
        <v>120</v>
      </c>
      <c r="J50" s="82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+'3'!G51</f>
        <v>3</v>
      </c>
      <c r="D51" s="87">
        <v>0</v>
      </c>
      <c r="E51" s="47">
        <f t="shared" si="0"/>
        <v>3</v>
      </c>
      <c r="F51" s="87">
        <v>0</v>
      </c>
      <c r="G51" s="47">
        <f t="shared" si="4"/>
        <v>3</v>
      </c>
      <c r="H51" s="88"/>
      <c r="I51" s="15">
        <v>120</v>
      </c>
      <c r="J51" s="82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+'3'!G52</f>
        <v>3</v>
      </c>
      <c r="D52" s="87">
        <v>0</v>
      </c>
      <c r="E52" s="47">
        <f t="shared" si="0"/>
        <v>3</v>
      </c>
      <c r="F52" s="87">
        <v>0</v>
      </c>
      <c r="G52" s="47">
        <f t="shared" si="4"/>
        <v>3</v>
      </c>
      <c r="H52" s="88"/>
      <c r="I52" s="21">
        <v>120</v>
      </c>
      <c r="J52" s="82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+'3'!G53</f>
        <v>0</v>
      </c>
      <c r="D53" s="87">
        <v>0</v>
      </c>
      <c r="E53" s="47">
        <f t="shared" si="0"/>
        <v>0</v>
      </c>
      <c r="F53" s="87">
        <v>0</v>
      </c>
      <c r="G53" s="47">
        <f t="shared" si="4"/>
        <v>0</v>
      </c>
      <c r="H53" s="88"/>
      <c r="I53" s="15">
        <v>120</v>
      </c>
      <c r="J53" s="82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+'3'!G54</f>
        <v>0</v>
      </c>
      <c r="D54" s="87">
        <v>0</v>
      </c>
      <c r="E54" s="47">
        <f t="shared" si="0"/>
        <v>0</v>
      </c>
      <c r="F54" s="87">
        <v>0</v>
      </c>
      <c r="G54" s="47">
        <f t="shared" si="4"/>
        <v>0</v>
      </c>
      <c r="H54" s="88"/>
      <c r="I54" s="15">
        <v>120</v>
      </c>
      <c r="J54" s="82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+'3'!G55</f>
        <v>3</v>
      </c>
      <c r="D55" s="87">
        <v>0</v>
      </c>
      <c r="E55" s="47">
        <f t="shared" si="0"/>
        <v>3</v>
      </c>
      <c r="F55" s="87">
        <v>0</v>
      </c>
      <c r="G55" s="47">
        <f t="shared" si="4"/>
        <v>3</v>
      </c>
      <c r="H55" s="88"/>
      <c r="I55" s="21">
        <v>120</v>
      </c>
      <c r="J55" s="82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+'3'!G56</f>
        <v>1</v>
      </c>
      <c r="D56" s="87">
        <v>0</v>
      </c>
      <c r="E56" s="47">
        <f t="shared" si="0"/>
        <v>1</v>
      </c>
      <c r="F56" s="87">
        <v>0</v>
      </c>
      <c r="G56" s="47">
        <f t="shared" si="4"/>
        <v>1</v>
      </c>
      <c r="H56" s="88"/>
      <c r="I56" s="21">
        <v>120</v>
      </c>
      <c r="J56" s="82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+'3'!G57</f>
        <v>4</v>
      </c>
      <c r="D57" s="87">
        <v>0</v>
      </c>
      <c r="E57" s="47">
        <f t="shared" si="0"/>
        <v>4</v>
      </c>
      <c r="F57" s="87">
        <v>0</v>
      </c>
      <c r="G57" s="47">
        <f t="shared" si="4"/>
        <v>4</v>
      </c>
      <c r="H57" s="88"/>
      <c r="I57" s="21">
        <v>120</v>
      </c>
      <c r="J57" s="82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+'3'!G58</f>
        <v>0</v>
      </c>
      <c r="D58" s="87">
        <v>0</v>
      </c>
      <c r="E58" s="47">
        <f t="shared" si="0"/>
        <v>0</v>
      </c>
      <c r="F58" s="87">
        <v>0</v>
      </c>
      <c r="G58" s="47">
        <f t="shared" si="4"/>
        <v>0</v>
      </c>
      <c r="H58" s="88"/>
      <c r="I58" s="21">
        <v>120</v>
      </c>
      <c r="J58" s="82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+'3'!G59</f>
        <v>0</v>
      </c>
      <c r="D59" s="87">
        <v>0</v>
      </c>
      <c r="E59" s="47">
        <f t="shared" si="0"/>
        <v>0</v>
      </c>
      <c r="F59" s="87">
        <v>0</v>
      </c>
      <c r="G59" s="47">
        <f t="shared" si="4"/>
        <v>0</v>
      </c>
      <c r="H59" s="88"/>
      <c r="I59" s="15">
        <v>70</v>
      </c>
      <c r="J59" s="82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+'3'!G60</f>
        <v>0</v>
      </c>
      <c r="D60" s="87">
        <v>0</v>
      </c>
      <c r="E60" s="47">
        <f t="shared" si="0"/>
        <v>0</v>
      </c>
      <c r="F60" s="87">
        <v>0</v>
      </c>
      <c r="G60" s="47">
        <f t="shared" si="4"/>
        <v>0</v>
      </c>
      <c r="H60" s="88"/>
      <c r="I60" s="21">
        <v>80</v>
      </c>
      <c r="J60" s="82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+'3'!G61</f>
        <v>0</v>
      </c>
      <c r="D61" s="87">
        <v>0</v>
      </c>
      <c r="E61" s="47">
        <f t="shared" si="0"/>
        <v>0</v>
      </c>
      <c r="F61" s="87">
        <v>0</v>
      </c>
      <c r="G61" s="47">
        <f t="shared" si="4"/>
        <v>0</v>
      </c>
      <c r="H61" s="88"/>
      <c r="I61" s="15">
        <v>50</v>
      </c>
      <c r="J61" s="82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+'3'!G62</f>
        <v>2</v>
      </c>
      <c r="D62" s="87">
        <v>0</v>
      </c>
      <c r="E62" s="47">
        <f t="shared" si="0"/>
        <v>2</v>
      </c>
      <c r="F62" s="87">
        <v>0</v>
      </c>
      <c r="G62" s="47">
        <f t="shared" si="4"/>
        <v>1</v>
      </c>
      <c r="H62" s="88">
        <v>1</v>
      </c>
      <c r="I62" s="20">
        <v>50</v>
      </c>
      <c r="J62" s="82">
        <f t="shared" si="5"/>
        <v>50</v>
      </c>
      <c r="K62" s="17" t="s">
        <v>16</v>
      </c>
      <c r="L62" s="18">
        <v>0</v>
      </c>
      <c r="M62" s="23">
        <f t="shared" si="6"/>
        <v>50</v>
      </c>
    </row>
    <row r="63" spans="1:13" ht="25.5" x14ac:dyDescent="0.55000000000000004">
      <c r="A63" s="10">
        <v>59</v>
      </c>
      <c r="B63" s="19" t="s">
        <v>74</v>
      </c>
      <c r="C63" s="79">
        <f>+'3'!G63</f>
        <v>0</v>
      </c>
      <c r="D63" s="87">
        <v>0</v>
      </c>
      <c r="E63" s="47">
        <f t="shared" si="0"/>
        <v>0</v>
      </c>
      <c r="F63" s="87">
        <v>0</v>
      </c>
      <c r="G63" s="47">
        <f t="shared" si="4"/>
        <v>0</v>
      </c>
      <c r="H63" s="88"/>
      <c r="I63" s="20">
        <v>50</v>
      </c>
      <c r="J63" s="82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+'3'!G64</f>
        <v>0</v>
      </c>
      <c r="D64" s="87">
        <v>0</v>
      </c>
      <c r="E64" s="47">
        <f t="shared" si="0"/>
        <v>0</v>
      </c>
      <c r="F64" s="87">
        <v>0</v>
      </c>
      <c r="G64" s="47">
        <f t="shared" si="4"/>
        <v>0</v>
      </c>
      <c r="H64" s="88"/>
      <c r="I64" s="21">
        <v>30</v>
      </c>
      <c r="J64" s="82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+'3'!G65</f>
        <v>0</v>
      </c>
      <c r="D65" s="87">
        <v>0</v>
      </c>
      <c r="E65" s="47">
        <f t="shared" si="0"/>
        <v>0</v>
      </c>
      <c r="F65" s="87">
        <v>0</v>
      </c>
      <c r="G65" s="47">
        <f t="shared" si="4"/>
        <v>0</v>
      </c>
      <c r="H65" s="88"/>
      <c r="I65" s="21">
        <v>30</v>
      </c>
      <c r="J65" s="82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+'3'!G66</f>
        <v>14</v>
      </c>
      <c r="D66" s="87">
        <v>0</v>
      </c>
      <c r="E66" s="47">
        <f t="shared" si="0"/>
        <v>14</v>
      </c>
      <c r="F66" s="87">
        <v>0</v>
      </c>
      <c r="G66" s="47">
        <f t="shared" si="4"/>
        <v>13</v>
      </c>
      <c r="H66" s="88">
        <v>1</v>
      </c>
      <c r="I66" s="15">
        <v>50</v>
      </c>
      <c r="J66" s="82">
        <f t="shared" si="5"/>
        <v>50</v>
      </c>
      <c r="K66" s="17" t="s">
        <v>291</v>
      </c>
      <c r="L66" s="18">
        <v>50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+'3'!G67</f>
        <v>2</v>
      </c>
      <c r="D67" s="87">
        <v>0</v>
      </c>
      <c r="E67" s="47">
        <f t="shared" si="0"/>
        <v>2</v>
      </c>
      <c r="F67" s="87">
        <v>0</v>
      </c>
      <c r="G67" s="47">
        <f t="shared" si="4"/>
        <v>1</v>
      </c>
      <c r="H67" s="88">
        <v>1</v>
      </c>
      <c r="I67" s="15">
        <v>50</v>
      </c>
      <c r="J67" s="82">
        <f t="shared" si="5"/>
        <v>50</v>
      </c>
      <c r="K67" s="17" t="s">
        <v>16</v>
      </c>
      <c r="L67" s="18">
        <v>0</v>
      </c>
      <c r="M67" s="23">
        <f t="shared" si="6"/>
        <v>50</v>
      </c>
    </row>
    <row r="68" spans="1:13" ht="25.5" x14ac:dyDescent="0.55000000000000004">
      <c r="A68" s="10">
        <v>64</v>
      </c>
      <c r="B68" s="19" t="s">
        <v>79</v>
      </c>
      <c r="C68" s="79">
        <f>+'3'!G68</f>
        <v>0</v>
      </c>
      <c r="D68" s="87">
        <v>0</v>
      </c>
      <c r="E68" s="47">
        <f t="shared" si="0"/>
        <v>0</v>
      </c>
      <c r="F68" s="87">
        <v>0</v>
      </c>
      <c r="G68" s="47">
        <f t="shared" si="4"/>
        <v>0</v>
      </c>
      <c r="H68" s="88"/>
      <c r="I68" s="20">
        <v>35</v>
      </c>
      <c r="J68" s="82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+'3'!G69</f>
        <v>0</v>
      </c>
      <c r="D69" s="87">
        <v>0</v>
      </c>
      <c r="E69" s="47">
        <f t="shared" si="0"/>
        <v>0</v>
      </c>
      <c r="F69" s="87">
        <v>0</v>
      </c>
      <c r="G69" s="47">
        <f t="shared" si="4"/>
        <v>0</v>
      </c>
      <c r="H69" s="88"/>
      <c r="I69" s="20">
        <v>25</v>
      </c>
      <c r="J69" s="82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+'3'!G70</f>
        <v>6</v>
      </c>
      <c r="D70" s="87">
        <v>0</v>
      </c>
      <c r="E70" s="47">
        <f t="shared" si="0"/>
        <v>6</v>
      </c>
      <c r="F70" s="87">
        <v>0</v>
      </c>
      <c r="G70" s="47">
        <f t="shared" si="4"/>
        <v>5</v>
      </c>
      <c r="H70" s="88">
        <v>1</v>
      </c>
      <c r="I70" s="20">
        <v>50</v>
      </c>
      <c r="J70" s="82">
        <f t="shared" si="5"/>
        <v>50</v>
      </c>
      <c r="K70" s="17" t="s">
        <v>16</v>
      </c>
      <c r="L70" s="18">
        <v>0</v>
      </c>
      <c r="M70" s="23">
        <f t="shared" ref="M70:M134" si="10">SUM(J70-L70)</f>
        <v>50</v>
      </c>
    </row>
    <row r="71" spans="1:13" ht="25.5" x14ac:dyDescent="0.55000000000000004">
      <c r="A71" s="10">
        <v>67</v>
      </c>
      <c r="B71" s="19" t="s">
        <v>82</v>
      </c>
      <c r="C71" s="79">
        <f>+'3'!G71</f>
        <v>2</v>
      </c>
      <c r="D71" s="87">
        <v>0</v>
      </c>
      <c r="E71" s="47">
        <f t="shared" si="0"/>
        <v>2</v>
      </c>
      <c r="F71" s="87">
        <v>0</v>
      </c>
      <c r="G71" s="47">
        <f t="shared" si="4"/>
        <v>2</v>
      </c>
      <c r="H71" s="88"/>
      <c r="I71" s="20">
        <v>60</v>
      </c>
      <c r="J71" s="82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+'3'!G72</f>
        <v>0</v>
      </c>
      <c r="D72" s="87">
        <v>0</v>
      </c>
      <c r="E72" s="47">
        <f t="shared" si="0"/>
        <v>0</v>
      </c>
      <c r="F72" s="87">
        <v>0</v>
      </c>
      <c r="G72" s="47">
        <f t="shared" si="4"/>
        <v>0</v>
      </c>
      <c r="H72" s="88"/>
      <c r="I72" s="22">
        <v>50</v>
      </c>
      <c r="J72" s="82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+'3'!G73</f>
        <v>0</v>
      </c>
      <c r="D73" s="87">
        <v>0</v>
      </c>
      <c r="E73" s="47">
        <f t="shared" si="0"/>
        <v>0</v>
      </c>
      <c r="F73" s="87">
        <v>0</v>
      </c>
      <c r="G73" s="47">
        <f t="shared" si="4"/>
        <v>0</v>
      </c>
      <c r="H73" s="88"/>
      <c r="I73" s="20">
        <v>60</v>
      </c>
      <c r="J73" s="82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+'3'!G74</f>
        <v>0</v>
      </c>
      <c r="D74" s="87">
        <v>0</v>
      </c>
      <c r="E74" s="47">
        <f t="shared" si="0"/>
        <v>0</v>
      </c>
      <c r="F74" s="87">
        <v>0</v>
      </c>
      <c r="G74" s="47">
        <f t="shared" si="4"/>
        <v>0</v>
      </c>
      <c r="H74" s="88"/>
      <c r="I74" s="22">
        <v>120</v>
      </c>
      <c r="J74" s="82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+'3'!G75</f>
        <v>0</v>
      </c>
      <c r="D75" s="87">
        <v>0</v>
      </c>
      <c r="E75" s="47">
        <f t="shared" si="0"/>
        <v>0</v>
      </c>
      <c r="F75" s="87">
        <v>0</v>
      </c>
      <c r="G75" s="47">
        <f t="shared" si="4"/>
        <v>0</v>
      </c>
      <c r="H75" s="88"/>
      <c r="I75" s="22">
        <v>60</v>
      </c>
      <c r="J75" s="82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+'3'!G76</f>
        <v>0</v>
      </c>
      <c r="D76" s="87">
        <v>0</v>
      </c>
      <c r="E76" s="47">
        <f t="shared" si="0"/>
        <v>0</v>
      </c>
      <c r="F76" s="87">
        <v>0</v>
      </c>
      <c r="G76" s="47">
        <f t="shared" si="4"/>
        <v>0</v>
      </c>
      <c r="H76" s="88"/>
      <c r="I76" s="22">
        <v>120</v>
      </c>
      <c r="J76" s="82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272</v>
      </c>
      <c r="C77" s="79">
        <f>+'3'!G77</f>
        <v>4</v>
      </c>
      <c r="D77" s="87">
        <v>0</v>
      </c>
      <c r="E77" s="47">
        <f>C77+D77</f>
        <v>4</v>
      </c>
      <c r="F77" s="87">
        <v>0</v>
      </c>
      <c r="G77" s="47">
        <f>+E77-F77-H77</f>
        <v>4</v>
      </c>
      <c r="H77" s="88"/>
      <c r="I77" s="20">
        <v>50</v>
      </c>
      <c r="J77" s="82">
        <f>+I77*H77</f>
        <v>0</v>
      </c>
      <c r="K77" s="17" t="s">
        <v>16</v>
      </c>
      <c r="L77" s="18">
        <v>0</v>
      </c>
      <c r="M77" s="23">
        <f>SUM(J77-L77)</f>
        <v>0</v>
      </c>
    </row>
    <row r="78" spans="1:13" ht="25.5" x14ac:dyDescent="0.55000000000000004">
      <c r="A78" s="10">
        <v>74</v>
      </c>
      <c r="B78" s="19" t="s">
        <v>277</v>
      </c>
      <c r="C78" s="79">
        <f>+'3'!G78</f>
        <v>3</v>
      </c>
      <c r="D78" s="87">
        <v>0</v>
      </c>
      <c r="E78" s="47">
        <f t="shared" si="0"/>
        <v>3</v>
      </c>
      <c r="F78" s="87">
        <v>0</v>
      </c>
      <c r="G78" s="47">
        <f t="shared" si="4"/>
        <v>1</v>
      </c>
      <c r="H78" s="88">
        <v>2</v>
      </c>
      <c r="I78" s="20">
        <v>50</v>
      </c>
      <c r="J78" s="82">
        <f t="shared" si="5"/>
        <v>100</v>
      </c>
      <c r="K78" s="17" t="s">
        <v>16</v>
      </c>
      <c r="L78" s="18">
        <v>0</v>
      </c>
      <c r="M78" s="23">
        <f t="shared" si="10"/>
        <v>100</v>
      </c>
    </row>
    <row r="79" spans="1:13" ht="25.5" x14ac:dyDescent="0.55000000000000004">
      <c r="A79" s="10">
        <v>75</v>
      </c>
      <c r="B79" s="19" t="s">
        <v>278</v>
      </c>
      <c r="C79" s="79">
        <f>+'3'!G79</f>
        <v>0</v>
      </c>
      <c r="D79" s="87">
        <v>0</v>
      </c>
      <c r="E79" s="47">
        <f t="shared" si="0"/>
        <v>0</v>
      </c>
      <c r="F79" s="87">
        <v>0</v>
      </c>
      <c r="G79" s="47">
        <f t="shared" si="4"/>
        <v>0</v>
      </c>
      <c r="H79" s="88"/>
      <c r="I79" s="22">
        <v>120</v>
      </c>
      <c r="J79" s="82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90</v>
      </c>
      <c r="C80" s="79">
        <f>+'3'!G80</f>
        <v>2</v>
      </c>
      <c r="D80" s="87">
        <v>0</v>
      </c>
      <c r="E80" s="47">
        <f t="shared" si="0"/>
        <v>2</v>
      </c>
      <c r="F80" s="87">
        <v>0</v>
      </c>
      <c r="G80" s="47">
        <f t="shared" si="4"/>
        <v>1</v>
      </c>
      <c r="H80" s="88">
        <v>1</v>
      </c>
      <c r="I80" s="22">
        <v>50</v>
      </c>
      <c r="J80" s="82">
        <f t="shared" si="5"/>
        <v>50</v>
      </c>
      <c r="K80" s="17" t="s">
        <v>16</v>
      </c>
      <c r="L80" s="18">
        <v>0</v>
      </c>
      <c r="M80" s="23">
        <f t="shared" si="10"/>
        <v>50</v>
      </c>
    </row>
    <row r="81" spans="1:13" ht="25.5" x14ac:dyDescent="0.55000000000000004">
      <c r="A81" s="10">
        <v>77</v>
      </c>
      <c r="B81" s="19" t="s">
        <v>91</v>
      </c>
      <c r="C81" s="79">
        <f>+'3'!G81</f>
        <v>0</v>
      </c>
      <c r="D81" s="87">
        <v>0</v>
      </c>
      <c r="E81" s="47">
        <f t="shared" si="0"/>
        <v>0</v>
      </c>
      <c r="F81" s="87">
        <v>0</v>
      </c>
      <c r="G81" s="47">
        <f t="shared" si="4"/>
        <v>0</v>
      </c>
      <c r="H81" s="88"/>
      <c r="I81" s="22">
        <v>50</v>
      </c>
      <c r="J81" s="82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92</v>
      </c>
      <c r="C82" s="79">
        <f>+'3'!G82</f>
        <v>4</v>
      </c>
      <c r="D82" s="87">
        <v>0</v>
      </c>
      <c r="E82" s="47">
        <f t="shared" si="0"/>
        <v>4</v>
      </c>
      <c r="F82" s="87">
        <v>0</v>
      </c>
      <c r="G82" s="47">
        <f t="shared" si="4"/>
        <v>4</v>
      </c>
      <c r="H82" s="88"/>
      <c r="I82" s="20">
        <v>55</v>
      </c>
      <c r="J82" s="82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93</v>
      </c>
      <c r="C83" s="79">
        <f>+'3'!G83</f>
        <v>2</v>
      </c>
      <c r="D83" s="87">
        <v>0</v>
      </c>
      <c r="E83" s="47">
        <f t="shared" si="0"/>
        <v>2</v>
      </c>
      <c r="F83" s="87">
        <v>0</v>
      </c>
      <c r="G83" s="47">
        <f t="shared" si="4"/>
        <v>2</v>
      </c>
      <c r="H83" s="88"/>
      <c r="I83" s="22">
        <v>55</v>
      </c>
      <c r="J83" s="82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94</v>
      </c>
      <c r="C84" s="79">
        <f>+'3'!G84</f>
        <v>0</v>
      </c>
      <c r="D84" s="87">
        <v>0</v>
      </c>
      <c r="E84" s="47">
        <f t="shared" si="0"/>
        <v>0</v>
      </c>
      <c r="F84" s="87">
        <v>0</v>
      </c>
      <c r="G84" s="47">
        <f t="shared" si="4"/>
        <v>0</v>
      </c>
      <c r="H84" s="88"/>
      <c r="I84" s="22">
        <v>55</v>
      </c>
      <c r="J84" s="82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95</v>
      </c>
      <c r="C85" s="79">
        <f>+'3'!G85</f>
        <v>0</v>
      </c>
      <c r="D85" s="87">
        <v>0</v>
      </c>
      <c r="E85" s="47">
        <f t="shared" si="0"/>
        <v>0</v>
      </c>
      <c r="F85" s="87">
        <v>0</v>
      </c>
      <c r="G85" s="47">
        <f t="shared" si="4"/>
        <v>0</v>
      </c>
      <c r="H85" s="88"/>
      <c r="I85" s="22">
        <v>55</v>
      </c>
      <c r="J85" s="82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96</v>
      </c>
      <c r="C86" s="79">
        <f>+'3'!G86</f>
        <v>11</v>
      </c>
      <c r="D86" s="87">
        <v>0</v>
      </c>
      <c r="E86" s="47">
        <f t="shared" si="0"/>
        <v>11</v>
      </c>
      <c r="F86" s="87">
        <v>0</v>
      </c>
      <c r="G86" s="47">
        <f t="shared" si="4"/>
        <v>10</v>
      </c>
      <c r="H86" s="88">
        <v>1</v>
      </c>
      <c r="I86" s="22">
        <v>100</v>
      </c>
      <c r="J86" s="82">
        <f t="shared" si="5"/>
        <v>100</v>
      </c>
      <c r="K86" s="17" t="s">
        <v>16</v>
      </c>
      <c r="L86" s="18">
        <v>0</v>
      </c>
      <c r="M86" s="23">
        <f t="shared" si="10"/>
        <v>100</v>
      </c>
    </row>
    <row r="87" spans="1:13" ht="25.5" x14ac:dyDescent="0.55000000000000004">
      <c r="A87" s="10">
        <v>83</v>
      </c>
      <c r="B87" s="19" t="s">
        <v>97</v>
      </c>
      <c r="C87" s="79">
        <f>+'3'!G87</f>
        <v>11</v>
      </c>
      <c r="D87" s="87">
        <v>0</v>
      </c>
      <c r="E87" s="47">
        <f t="shared" si="0"/>
        <v>11</v>
      </c>
      <c r="F87" s="87">
        <v>0</v>
      </c>
      <c r="G87" s="47">
        <f t="shared" si="4"/>
        <v>11</v>
      </c>
      <c r="H87" s="88"/>
      <c r="I87" s="20">
        <v>55</v>
      </c>
      <c r="J87" s="82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98</v>
      </c>
      <c r="C88" s="79">
        <f>+'3'!G88</f>
        <v>5</v>
      </c>
      <c r="D88" s="87">
        <v>0</v>
      </c>
      <c r="E88" s="47">
        <f t="shared" si="0"/>
        <v>5</v>
      </c>
      <c r="F88" s="87">
        <v>0</v>
      </c>
      <c r="G88" s="47">
        <f t="shared" si="4"/>
        <v>5</v>
      </c>
      <c r="H88" s="88"/>
      <c r="I88" s="20">
        <v>60</v>
      </c>
      <c r="J88" s="82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99</v>
      </c>
      <c r="C89" s="79">
        <f>+'3'!G89</f>
        <v>6</v>
      </c>
      <c r="D89" s="87">
        <v>0</v>
      </c>
      <c r="E89" s="47">
        <f t="shared" si="0"/>
        <v>6</v>
      </c>
      <c r="F89" s="87">
        <v>0</v>
      </c>
      <c r="G89" s="47">
        <f t="shared" si="4"/>
        <v>6</v>
      </c>
      <c r="H89" s="88"/>
      <c r="I89" s="20">
        <v>100</v>
      </c>
      <c r="J89" s="82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100</v>
      </c>
      <c r="C90" s="79">
        <f>+'3'!G90</f>
        <v>10</v>
      </c>
      <c r="D90" s="87">
        <v>0</v>
      </c>
      <c r="E90" s="47">
        <f t="shared" si="0"/>
        <v>10</v>
      </c>
      <c r="F90" s="87">
        <v>0</v>
      </c>
      <c r="G90" s="47">
        <f t="shared" si="4"/>
        <v>10</v>
      </c>
      <c r="H90" s="88"/>
      <c r="I90" s="20">
        <v>55</v>
      </c>
      <c r="J90" s="82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101</v>
      </c>
      <c r="C91" s="79">
        <f>+'3'!G91</f>
        <v>0</v>
      </c>
      <c r="D91" s="87">
        <v>0</v>
      </c>
      <c r="E91" s="47">
        <f t="shared" si="0"/>
        <v>0</v>
      </c>
      <c r="F91" s="87">
        <v>0</v>
      </c>
      <c r="G91" s="47">
        <f t="shared" si="4"/>
        <v>0</v>
      </c>
      <c r="H91" s="88"/>
      <c r="I91" s="20">
        <v>50</v>
      </c>
      <c r="J91" s="82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102</v>
      </c>
      <c r="C92" s="79">
        <f>+'3'!G92</f>
        <v>0</v>
      </c>
      <c r="D92" s="87">
        <v>0</v>
      </c>
      <c r="E92" s="47">
        <f t="shared" si="0"/>
        <v>0</v>
      </c>
      <c r="F92" s="87">
        <v>0</v>
      </c>
      <c r="G92" s="47">
        <f t="shared" si="4"/>
        <v>0</v>
      </c>
      <c r="H92" s="88"/>
      <c r="I92" s="22">
        <v>50</v>
      </c>
      <c r="J92" s="82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248</v>
      </c>
      <c r="C93" s="79">
        <f>+'3'!G93</f>
        <v>0</v>
      </c>
      <c r="D93" s="87">
        <v>0</v>
      </c>
      <c r="E93" s="47">
        <f t="shared" si="0"/>
        <v>0</v>
      </c>
      <c r="F93" s="87">
        <v>0</v>
      </c>
      <c r="G93" s="47">
        <f t="shared" si="4"/>
        <v>0</v>
      </c>
      <c r="H93" s="88"/>
      <c r="I93" s="22">
        <v>120</v>
      </c>
      <c r="J93" s="82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104</v>
      </c>
      <c r="C94" s="79">
        <f>+'3'!G94</f>
        <v>0</v>
      </c>
      <c r="D94" s="87">
        <v>0</v>
      </c>
      <c r="E94" s="47">
        <f t="shared" si="0"/>
        <v>0</v>
      </c>
      <c r="F94" s="87">
        <v>0</v>
      </c>
      <c r="G94" s="47">
        <f t="shared" si="4"/>
        <v>0</v>
      </c>
      <c r="H94" s="88"/>
      <c r="I94" s="20">
        <v>250</v>
      </c>
      <c r="J94" s="82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105</v>
      </c>
      <c r="C95" s="79">
        <f>+'3'!G95</f>
        <v>0</v>
      </c>
      <c r="D95" s="87">
        <v>0</v>
      </c>
      <c r="E95" s="47">
        <f t="shared" si="0"/>
        <v>0</v>
      </c>
      <c r="F95" s="87">
        <v>0</v>
      </c>
      <c r="G95" s="47">
        <f t="shared" si="4"/>
        <v>0</v>
      </c>
      <c r="H95" s="88"/>
      <c r="I95" s="20">
        <v>120</v>
      </c>
      <c r="J95" s="82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106</v>
      </c>
      <c r="C96" s="79">
        <f>+'3'!G96</f>
        <v>0</v>
      </c>
      <c r="D96" s="87">
        <v>0</v>
      </c>
      <c r="E96" s="47">
        <f t="shared" si="0"/>
        <v>0</v>
      </c>
      <c r="F96" s="87">
        <v>0</v>
      </c>
      <c r="G96" s="47">
        <f t="shared" si="4"/>
        <v>0</v>
      </c>
      <c r="H96" s="88"/>
      <c r="I96" s="20">
        <v>120</v>
      </c>
      <c r="J96" s="82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107</v>
      </c>
      <c r="C97" s="79">
        <f>+'3'!G97</f>
        <v>0</v>
      </c>
      <c r="D97" s="87">
        <v>0</v>
      </c>
      <c r="E97" s="47">
        <f t="shared" si="0"/>
        <v>0</v>
      </c>
      <c r="F97" s="87">
        <v>0</v>
      </c>
      <c r="G97" s="47">
        <f t="shared" si="4"/>
        <v>0</v>
      </c>
      <c r="H97" s="88"/>
      <c r="I97" s="20">
        <v>120</v>
      </c>
      <c r="J97" s="82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103</v>
      </c>
      <c r="C98" s="79">
        <f>+'3'!G98</f>
        <v>0</v>
      </c>
      <c r="D98" s="87">
        <v>0</v>
      </c>
      <c r="E98" s="47">
        <f t="shared" si="0"/>
        <v>0</v>
      </c>
      <c r="F98" s="87">
        <v>0</v>
      </c>
      <c r="G98" s="47">
        <f t="shared" si="4"/>
        <v>0</v>
      </c>
      <c r="H98" s="88"/>
      <c r="I98" s="20">
        <v>120</v>
      </c>
      <c r="J98" s="82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109</v>
      </c>
      <c r="C99" s="79">
        <f>+'3'!G99</f>
        <v>0</v>
      </c>
      <c r="D99" s="87">
        <v>0</v>
      </c>
      <c r="E99" s="47">
        <f t="shared" si="0"/>
        <v>0</v>
      </c>
      <c r="F99" s="87">
        <v>0</v>
      </c>
      <c r="G99" s="47">
        <f t="shared" si="4"/>
        <v>0</v>
      </c>
      <c r="H99" s="88"/>
      <c r="I99" s="20">
        <v>50</v>
      </c>
      <c r="J99" s="82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110</v>
      </c>
      <c r="C100" s="79">
        <f>+'3'!G100</f>
        <v>0</v>
      </c>
      <c r="D100" s="87">
        <v>0</v>
      </c>
      <c r="E100" s="47">
        <f t="shared" si="0"/>
        <v>0</v>
      </c>
      <c r="F100" s="87">
        <v>0</v>
      </c>
      <c r="G100" s="47">
        <f t="shared" si="4"/>
        <v>0</v>
      </c>
      <c r="H100" s="88"/>
      <c r="I100" s="20">
        <v>50</v>
      </c>
      <c r="J100" s="82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111</v>
      </c>
      <c r="C101" s="79">
        <f>+'3'!G101</f>
        <v>0</v>
      </c>
      <c r="D101" s="87">
        <v>0</v>
      </c>
      <c r="E101" s="47">
        <f t="shared" si="0"/>
        <v>0</v>
      </c>
      <c r="F101" s="87">
        <v>0</v>
      </c>
      <c r="G101" s="47">
        <f t="shared" ref="G101:G164" si="11">+E101-F101-H101</f>
        <v>0</v>
      </c>
      <c r="H101" s="88"/>
      <c r="I101" s="20">
        <v>60</v>
      </c>
      <c r="J101" s="82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112</v>
      </c>
      <c r="C102" s="79">
        <f>+'3'!G102</f>
        <v>0</v>
      </c>
      <c r="D102" s="87">
        <v>0</v>
      </c>
      <c r="E102" s="47">
        <f t="shared" si="0"/>
        <v>0</v>
      </c>
      <c r="F102" s="87">
        <v>0</v>
      </c>
      <c r="G102" s="47">
        <f t="shared" si="11"/>
        <v>0</v>
      </c>
      <c r="H102" s="88"/>
      <c r="I102" s="20">
        <v>55</v>
      </c>
      <c r="J102" s="82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113</v>
      </c>
      <c r="C103" s="79">
        <f>+'3'!G103</f>
        <v>0</v>
      </c>
      <c r="D103" s="87">
        <v>0</v>
      </c>
      <c r="E103" s="47">
        <f t="shared" si="0"/>
        <v>0</v>
      </c>
      <c r="F103" s="87">
        <v>0</v>
      </c>
      <c r="G103" s="47">
        <f t="shared" si="11"/>
        <v>0</v>
      </c>
      <c r="H103" s="88"/>
      <c r="I103" s="20">
        <v>50</v>
      </c>
      <c r="J103" s="82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114</v>
      </c>
      <c r="C104" s="79">
        <f>+'3'!G104</f>
        <v>0</v>
      </c>
      <c r="D104" s="87">
        <v>0</v>
      </c>
      <c r="E104" s="47">
        <f t="shared" si="0"/>
        <v>0</v>
      </c>
      <c r="F104" s="87">
        <v>0</v>
      </c>
      <c r="G104" s="47">
        <f t="shared" si="11"/>
        <v>0</v>
      </c>
      <c r="H104" s="88"/>
      <c r="I104" s="20">
        <v>100</v>
      </c>
      <c r="J104" s="82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115</v>
      </c>
      <c r="C105" s="79">
        <f>+'3'!G105</f>
        <v>0</v>
      </c>
      <c r="D105" s="87">
        <v>0</v>
      </c>
      <c r="E105" s="47">
        <f t="shared" si="0"/>
        <v>0</v>
      </c>
      <c r="F105" s="87">
        <v>0</v>
      </c>
      <c r="G105" s="47">
        <f t="shared" si="11"/>
        <v>0</v>
      </c>
      <c r="H105" s="88"/>
      <c r="I105" s="20">
        <v>100</v>
      </c>
      <c r="J105" s="82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116</v>
      </c>
      <c r="C106" s="79">
        <f>+'3'!G106</f>
        <v>0</v>
      </c>
      <c r="D106" s="87">
        <v>0</v>
      </c>
      <c r="E106" s="47">
        <f t="shared" si="0"/>
        <v>0</v>
      </c>
      <c r="F106" s="87">
        <v>0</v>
      </c>
      <c r="G106" s="47">
        <f t="shared" si="11"/>
        <v>0</v>
      </c>
      <c r="H106" s="88"/>
      <c r="I106" s="22">
        <v>30</v>
      </c>
      <c r="J106" s="82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117</v>
      </c>
      <c r="C107" s="79">
        <f>+'3'!G107</f>
        <v>0</v>
      </c>
      <c r="D107" s="87">
        <v>0</v>
      </c>
      <c r="E107" s="47">
        <f t="shared" si="0"/>
        <v>0</v>
      </c>
      <c r="F107" s="87">
        <v>0</v>
      </c>
      <c r="G107" s="47">
        <f t="shared" si="11"/>
        <v>0</v>
      </c>
      <c r="H107" s="88"/>
      <c r="I107" s="22">
        <v>20</v>
      </c>
      <c r="J107" s="82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118</v>
      </c>
      <c r="C108" s="79">
        <f>+'3'!G108</f>
        <v>0</v>
      </c>
      <c r="D108" s="87">
        <v>0</v>
      </c>
      <c r="E108" s="47">
        <f t="shared" si="0"/>
        <v>0</v>
      </c>
      <c r="F108" s="87">
        <v>0</v>
      </c>
      <c r="G108" s="47">
        <f t="shared" si="11"/>
        <v>0</v>
      </c>
      <c r="H108" s="88"/>
      <c r="I108" s="20">
        <v>100</v>
      </c>
      <c r="J108" s="82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120</v>
      </c>
      <c r="C109" s="79">
        <f>+'3'!G109</f>
        <v>0</v>
      </c>
      <c r="D109" s="87">
        <v>0</v>
      </c>
      <c r="E109" s="47">
        <f t="shared" si="0"/>
        <v>0</v>
      </c>
      <c r="F109" s="87">
        <v>0</v>
      </c>
      <c r="G109" s="47">
        <f t="shared" si="11"/>
        <v>0</v>
      </c>
      <c r="H109" s="88"/>
      <c r="I109" s="20">
        <v>80</v>
      </c>
      <c r="J109" s="82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121</v>
      </c>
      <c r="C110" s="79">
        <f>+'3'!G110</f>
        <v>0</v>
      </c>
      <c r="D110" s="87">
        <v>0</v>
      </c>
      <c r="E110" s="47">
        <f t="shared" si="0"/>
        <v>0</v>
      </c>
      <c r="F110" s="87">
        <v>0</v>
      </c>
      <c r="G110" s="47">
        <f t="shared" si="11"/>
        <v>0</v>
      </c>
      <c r="H110" s="88"/>
      <c r="I110" s="20">
        <v>60</v>
      </c>
      <c r="J110" s="82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122</v>
      </c>
      <c r="C111" s="79">
        <f>+'3'!G111</f>
        <v>0</v>
      </c>
      <c r="D111" s="87">
        <v>0</v>
      </c>
      <c r="E111" s="47">
        <f t="shared" si="0"/>
        <v>0</v>
      </c>
      <c r="F111" s="87">
        <v>0</v>
      </c>
      <c r="G111" s="47">
        <f t="shared" si="11"/>
        <v>0</v>
      </c>
      <c r="H111" s="88"/>
      <c r="I111" s="20">
        <v>35</v>
      </c>
      <c r="J111" s="82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123</v>
      </c>
      <c r="C112" s="79">
        <f>+'3'!G112</f>
        <v>0</v>
      </c>
      <c r="D112" s="87">
        <v>0</v>
      </c>
      <c r="E112" s="47">
        <f t="shared" si="0"/>
        <v>0</v>
      </c>
      <c r="F112" s="87">
        <v>0</v>
      </c>
      <c r="G112" s="47">
        <f t="shared" si="11"/>
        <v>0</v>
      </c>
      <c r="H112" s="88"/>
      <c r="I112" s="20">
        <v>35</v>
      </c>
      <c r="J112" s="82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124</v>
      </c>
      <c r="C113" s="79">
        <f>+'3'!G113</f>
        <v>0</v>
      </c>
      <c r="D113" s="87">
        <v>0</v>
      </c>
      <c r="E113" s="47">
        <f t="shared" si="0"/>
        <v>0</v>
      </c>
      <c r="F113" s="87">
        <v>0</v>
      </c>
      <c r="G113" s="47">
        <f t="shared" si="11"/>
        <v>0</v>
      </c>
      <c r="H113" s="88"/>
      <c r="I113" s="20">
        <v>35</v>
      </c>
      <c r="J113" s="82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125</v>
      </c>
      <c r="C114" s="79">
        <f>+'3'!G114</f>
        <v>0</v>
      </c>
      <c r="D114" s="87">
        <v>0</v>
      </c>
      <c r="E114" s="47">
        <f t="shared" si="0"/>
        <v>0</v>
      </c>
      <c r="F114" s="87">
        <v>0</v>
      </c>
      <c r="G114" s="47">
        <f t="shared" si="11"/>
        <v>0</v>
      </c>
      <c r="H114" s="88"/>
      <c r="I114" s="20">
        <v>35</v>
      </c>
      <c r="J114" s="82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126</v>
      </c>
      <c r="C115" s="79">
        <f>+'3'!G115</f>
        <v>0</v>
      </c>
      <c r="D115" s="87">
        <v>0</v>
      </c>
      <c r="E115" s="47">
        <f t="shared" si="0"/>
        <v>0</v>
      </c>
      <c r="F115" s="87">
        <v>0</v>
      </c>
      <c r="G115" s="47">
        <f t="shared" si="11"/>
        <v>0</v>
      </c>
      <c r="H115" s="88"/>
      <c r="I115" s="20">
        <v>35</v>
      </c>
      <c r="J115" s="82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127</v>
      </c>
      <c r="C116" s="79">
        <f>+'3'!G116</f>
        <v>0</v>
      </c>
      <c r="D116" s="87">
        <v>0</v>
      </c>
      <c r="E116" s="47">
        <f t="shared" si="0"/>
        <v>0</v>
      </c>
      <c r="F116" s="87">
        <v>0</v>
      </c>
      <c r="G116" s="47">
        <f t="shared" si="11"/>
        <v>0</v>
      </c>
      <c r="H116" s="88"/>
      <c r="I116" s="20">
        <v>30</v>
      </c>
      <c r="J116" s="82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128</v>
      </c>
      <c r="C117" s="79">
        <f>+'3'!G117</f>
        <v>0</v>
      </c>
      <c r="D117" s="87">
        <v>0</v>
      </c>
      <c r="E117" s="47">
        <f t="shared" si="0"/>
        <v>0</v>
      </c>
      <c r="F117" s="87">
        <v>0</v>
      </c>
      <c r="G117" s="47">
        <f t="shared" si="11"/>
        <v>0</v>
      </c>
      <c r="H117" s="88"/>
      <c r="I117" s="20">
        <v>30</v>
      </c>
      <c r="J117" s="82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129</v>
      </c>
      <c r="C118" s="79">
        <f>+'3'!G118</f>
        <v>0</v>
      </c>
      <c r="D118" s="87">
        <v>0</v>
      </c>
      <c r="E118" s="47">
        <f t="shared" si="0"/>
        <v>0</v>
      </c>
      <c r="F118" s="87">
        <v>0</v>
      </c>
      <c r="G118" s="47">
        <f t="shared" si="11"/>
        <v>0</v>
      </c>
      <c r="H118" s="88"/>
      <c r="I118" s="20">
        <v>30</v>
      </c>
      <c r="J118" s="82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130</v>
      </c>
      <c r="C119" s="79">
        <f>+'3'!G119</f>
        <v>0</v>
      </c>
      <c r="D119" s="87">
        <v>0</v>
      </c>
      <c r="E119" s="47">
        <f t="shared" si="0"/>
        <v>0</v>
      </c>
      <c r="F119" s="87">
        <v>0</v>
      </c>
      <c r="G119" s="47">
        <f t="shared" si="11"/>
        <v>0</v>
      </c>
      <c r="H119" s="88"/>
      <c r="I119" s="20">
        <v>30</v>
      </c>
      <c r="J119" s="82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131</v>
      </c>
      <c r="C120" s="79">
        <f>+'3'!G120</f>
        <v>0</v>
      </c>
      <c r="D120" s="87">
        <v>0</v>
      </c>
      <c r="E120" s="47">
        <f t="shared" si="0"/>
        <v>0</v>
      </c>
      <c r="F120" s="87">
        <v>0</v>
      </c>
      <c r="G120" s="47">
        <f t="shared" si="11"/>
        <v>0</v>
      </c>
      <c r="H120" s="88"/>
      <c r="I120" s="20">
        <v>30</v>
      </c>
      <c r="J120" s="82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132</v>
      </c>
      <c r="C121" s="79">
        <f>+'3'!G121</f>
        <v>0</v>
      </c>
      <c r="D121" s="87">
        <v>0</v>
      </c>
      <c r="E121" s="47">
        <f t="shared" si="0"/>
        <v>0</v>
      </c>
      <c r="F121" s="87">
        <v>0</v>
      </c>
      <c r="G121" s="47">
        <f t="shared" si="11"/>
        <v>0</v>
      </c>
      <c r="H121" s="88"/>
      <c r="I121" s="20">
        <v>30</v>
      </c>
      <c r="J121" s="82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133</v>
      </c>
      <c r="C122" s="79">
        <f>+'3'!G122</f>
        <v>0</v>
      </c>
      <c r="D122" s="87">
        <v>0</v>
      </c>
      <c r="E122" s="47">
        <f t="shared" si="0"/>
        <v>0</v>
      </c>
      <c r="F122" s="87">
        <v>0</v>
      </c>
      <c r="G122" s="47">
        <f t="shared" si="11"/>
        <v>0</v>
      </c>
      <c r="H122" s="88"/>
      <c r="I122" s="20">
        <v>40</v>
      </c>
      <c r="J122" s="82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134</v>
      </c>
      <c r="C123" s="79">
        <f>+'3'!G123</f>
        <v>0</v>
      </c>
      <c r="D123" s="87">
        <v>0</v>
      </c>
      <c r="E123" s="47">
        <f t="shared" si="0"/>
        <v>0</v>
      </c>
      <c r="F123" s="87">
        <v>0</v>
      </c>
      <c r="G123" s="47">
        <f t="shared" si="11"/>
        <v>0</v>
      </c>
      <c r="H123" s="88"/>
      <c r="I123" s="20">
        <v>35</v>
      </c>
      <c r="J123" s="82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135</v>
      </c>
      <c r="C124" s="79">
        <f>+'3'!G124</f>
        <v>0</v>
      </c>
      <c r="D124" s="87">
        <v>0</v>
      </c>
      <c r="E124" s="47">
        <f t="shared" si="0"/>
        <v>0</v>
      </c>
      <c r="F124" s="87">
        <v>0</v>
      </c>
      <c r="G124" s="47">
        <f t="shared" si="11"/>
        <v>0</v>
      </c>
      <c r="H124" s="88"/>
      <c r="I124" s="20">
        <v>40</v>
      </c>
      <c r="J124" s="82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136</v>
      </c>
      <c r="C125" s="79">
        <f>+'3'!G125</f>
        <v>0</v>
      </c>
      <c r="D125" s="87">
        <v>0</v>
      </c>
      <c r="E125" s="47">
        <f t="shared" si="0"/>
        <v>0</v>
      </c>
      <c r="F125" s="87">
        <v>0</v>
      </c>
      <c r="G125" s="47">
        <f t="shared" si="11"/>
        <v>0</v>
      </c>
      <c r="H125" s="88"/>
      <c r="I125" s="20">
        <v>40</v>
      </c>
      <c r="J125" s="82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137</v>
      </c>
      <c r="C126" s="79">
        <f>+'3'!G126</f>
        <v>0</v>
      </c>
      <c r="D126" s="87">
        <v>0</v>
      </c>
      <c r="E126" s="47">
        <f t="shared" ref="E126:E189" si="13">C126+D126</f>
        <v>0</v>
      </c>
      <c r="F126" s="87">
        <v>0</v>
      </c>
      <c r="G126" s="47">
        <f t="shared" si="11"/>
        <v>0</v>
      </c>
      <c r="H126" s="88"/>
      <c r="I126" s="20">
        <v>30</v>
      </c>
      <c r="J126" s="82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138</v>
      </c>
      <c r="C127" s="79">
        <f>+'3'!G127</f>
        <v>0</v>
      </c>
      <c r="D127" s="87">
        <v>0</v>
      </c>
      <c r="E127" s="47">
        <f t="shared" si="13"/>
        <v>0</v>
      </c>
      <c r="F127" s="87">
        <v>0</v>
      </c>
      <c r="G127" s="47">
        <f t="shared" si="11"/>
        <v>0</v>
      </c>
      <c r="H127" s="88"/>
      <c r="I127" s="20">
        <v>40</v>
      </c>
      <c r="J127" s="82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139</v>
      </c>
      <c r="C128" s="79">
        <f>+'3'!G128</f>
        <v>87</v>
      </c>
      <c r="D128" s="87">
        <v>0</v>
      </c>
      <c r="E128" s="47">
        <f t="shared" si="13"/>
        <v>87</v>
      </c>
      <c r="F128" s="87">
        <v>0</v>
      </c>
      <c r="G128" s="47">
        <f t="shared" si="11"/>
        <v>87</v>
      </c>
      <c r="H128" s="88"/>
      <c r="I128" s="20">
        <v>10</v>
      </c>
      <c r="J128" s="82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140</v>
      </c>
      <c r="C129" s="79">
        <f>+'3'!G129</f>
        <v>0</v>
      </c>
      <c r="D129" s="87">
        <v>0</v>
      </c>
      <c r="E129" s="47">
        <f t="shared" si="13"/>
        <v>0</v>
      </c>
      <c r="F129" s="87">
        <v>0</v>
      </c>
      <c r="G129" s="47">
        <f t="shared" si="11"/>
        <v>0</v>
      </c>
      <c r="H129" s="88"/>
      <c r="I129" s="20">
        <v>35</v>
      </c>
      <c r="J129" s="82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141</v>
      </c>
      <c r="C130" s="79">
        <f>+'3'!G130</f>
        <v>0</v>
      </c>
      <c r="D130" s="87">
        <v>0</v>
      </c>
      <c r="E130" s="47">
        <f t="shared" si="13"/>
        <v>0</v>
      </c>
      <c r="F130" s="87">
        <v>0</v>
      </c>
      <c r="G130" s="47">
        <f t="shared" si="11"/>
        <v>0</v>
      </c>
      <c r="H130" s="88"/>
      <c r="I130" s="20">
        <v>40</v>
      </c>
      <c r="J130" s="82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142</v>
      </c>
      <c r="C131" s="79">
        <f>+'3'!G131</f>
        <v>0</v>
      </c>
      <c r="D131" s="87">
        <v>0</v>
      </c>
      <c r="E131" s="47">
        <f t="shared" si="13"/>
        <v>0</v>
      </c>
      <c r="F131" s="87">
        <v>0</v>
      </c>
      <c r="G131" s="47">
        <f t="shared" si="11"/>
        <v>0</v>
      </c>
      <c r="H131" s="88"/>
      <c r="I131" s="20">
        <v>50</v>
      </c>
      <c r="J131" s="82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143</v>
      </c>
      <c r="C132" s="79">
        <f>+'3'!G132</f>
        <v>0</v>
      </c>
      <c r="D132" s="87">
        <v>0</v>
      </c>
      <c r="E132" s="47">
        <f t="shared" si="13"/>
        <v>0</v>
      </c>
      <c r="F132" s="87">
        <v>0</v>
      </c>
      <c r="G132" s="47">
        <f t="shared" si="11"/>
        <v>0</v>
      </c>
      <c r="H132" s="88"/>
      <c r="I132" s="20">
        <v>55</v>
      </c>
      <c r="J132" s="82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144</v>
      </c>
      <c r="C133" s="79">
        <f>+'3'!G133</f>
        <v>0</v>
      </c>
      <c r="D133" s="87">
        <v>0</v>
      </c>
      <c r="E133" s="47">
        <f t="shared" si="13"/>
        <v>0</v>
      </c>
      <c r="F133" s="87">
        <v>0</v>
      </c>
      <c r="G133" s="47">
        <f t="shared" si="11"/>
        <v>0</v>
      </c>
      <c r="H133" s="88"/>
      <c r="I133" s="20">
        <v>55</v>
      </c>
      <c r="J133" s="82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145</v>
      </c>
      <c r="C134" s="79">
        <f>+'3'!G134</f>
        <v>0</v>
      </c>
      <c r="D134" s="87">
        <v>0</v>
      </c>
      <c r="E134" s="47">
        <f t="shared" si="13"/>
        <v>0</v>
      </c>
      <c r="F134" s="87">
        <v>0</v>
      </c>
      <c r="G134" s="47">
        <f t="shared" si="11"/>
        <v>0</v>
      </c>
      <c r="H134" s="88"/>
      <c r="I134" s="20">
        <v>45</v>
      </c>
      <c r="J134" s="82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5.5" x14ac:dyDescent="0.55000000000000004">
      <c r="A135" s="10">
        <v>131</v>
      </c>
      <c r="B135" s="19" t="s">
        <v>146</v>
      </c>
      <c r="C135" s="79">
        <f>+'3'!G135</f>
        <v>0</v>
      </c>
      <c r="D135" s="87">
        <v>0</v>
      </c>
      <c r="E135" s="47">
        <f t="shared" si="13"/>
        <v>0</v>
      </c>
      <c r="F135" s="87">
        <v>0</v>
      </c>
      <c r="G135" s="47">
        <f t="shared" si="11"/>
        <v>0</v>
      </c>
      <c r="H135" s="88"/>
      <c r="I135" s="20">
        <v>45</v>
      </c>
      <c r="J135" s="82">
        <f t="shared" si="12"/>
        <v>0</v>
      </c>
      <c r="K135" s="17" t="s">
        <v>16</v>
      </c>
      <c r="L135" s="18">
        <v>0</v>
      </c>
      <c r="M135" s="23">
        <f t="shared" ref="M135:M198" si="14">SUM(J135-L135)</f>
        <v>0</v>
      </c>
    </row>
    <row r="136" spans="1:13" ht="25.5" x14ac:dyDescent="0.55000000000000004">
      <c r="A136" s="10">
        <v>132</v>
      </c>
      <c r="B136" s="19" t="s">
        <v>147</v>
      </c>
      <c r="C136" s="79">
        <f>+'3'!G136</f>
        <v>0</v>
      </c>
      <c r="D136" s="87">
        <v>0</v>
      </c>
      <c r="E136" s="47">
        <f t="shared" si="13"/>
        <v>0</v>
      </c>
      <c r="F136" s="87">
        <v>0</v>
      </c>
      <c r="G136" s="47">
        <f t="shared" si="11"/>
        <v>0</v>
      </c>
      <c r="H136" s="88"/>
      <c r="I136" s="20">
        <v>55</v>
      </c>
      <c r="J136" s="82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148</v>
      </c>
      <c r="C137" s="79">
        <f>+'3'!G137</f>
        <v>0</v>
      </c>
      <c r="D137" s="87">
        <v>0</v>
      </c>
      <c r="E137" s="47">
        <f t="shared" si="13"/>
        <v>0</v>
      </c>
      <c r="F137" s="87">
        <v>0</v>
      </c>
      <c r="G137" s="47">
        <f t="shared" si="11"/>
        <v>0</v>
      </c>
      <c r="H137" s="88"/>
      <c r="I137" s="20">
        <v>45</v>
      </c>
      <c r="J137" s="82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149</v>
      </c>
      <c r="C138" s="79">
        <f>+'3'!G138</f>
        <v>0</v>
      </c>
      <c r="D138" s="87">
        <v>0</v>
      </c>
      <c r="E138" s="47">
        <f t="shared" si="13"/>
        <v>0</v>
      </c>
      <c r="F138" s="87">
        <v>0</v>
      </c>
      <c r="G138" s="47">
        <f t="shared" si="11"/>
        <v>0</v>
      </c>
      <c r="H138" s="88"/>
      <c r="I138" s="20">
        <v>45</v>
      </c>
      <c r="J138" s="82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150</v>
      </c>
      <c r="C139" s="79">
        <f>+'3'!G139</f>
        <v>0</v>
      </c>
      <c r="D139" s="87">
        <v>0</v>
      </c>
      <c r="E139" s="47">
        <f t="shared" si="13"/>
        <v>0</v>
      </c>
      <c r="F139" s="87">
        <v>0</v>
      </c>
      <c r="G139" s="47">
        <f t="shared" si="11"/>
        <v>0</v>
      </c>
      <c r="H139" s="88"/>
      <c r="I139" s="20">
        <v>45</v>
      </c>
      <c r="J139" s="82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151</v>
      </c>
      <c r="C140" s="79">
        <f>+'3'!G140</f>
        <v>0</v>
      </c>
      <c r="D140" s="87">
        <v>0</v>
      </c>
      <c r="E140" s="47">
        <f t="shared" si="13"/>
        <v>0</v>
      </c>
      <c r="F140" s="87">
        <v>0</v>
      </c>
      <c r="G140" s="47">
        <f t="shared" si="11"/>
        <v>0</v>
      </c>
      <c r="H140" s="88"/>
      <c r="I140" s="20">
        <v>45</v>
      </c>
      <c r="J140" s="82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152</v>
      </c>
      <c r="C141" s="79">
        <f>+'3'!G141</f>
        <v>0</v>
      </c>
      <c r="D141" s="87">
        <v>0</v>
      </c>
      <c r="E141" s="47">
        <f t="shared" si="13"/>
        <v>0</v>
      </c>
      <c r="F141" s="87">
        <v>0</v>
      </c>
      <c r="G141" s="47">
        <f t="shared" si="11"/>
        <v>0</v>
      </c>
      <c r="H141" s="88"/>
      <c r="I141" s="20">
        <v>45</v>
      </c>
      <c r="J141" s="82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153</v>
      </c>
      <c r="C142" s="79">
        <f>+'3'!G142</f>
        <v>0</v>
      </c>
      <c r="D142" s="87">
        <v>0</v>
      </c>
      <c r="E142" s="47">
        <f t="shared" si="13"/>
        <v>0</v>
      </c>
      <c r="F142" s="87">
        <v>0</v>
      </c>
      <c r="G142" s="47">
        <f t="shared" si="11"/>
        <v>0</v>
      </c>
      <c r="H142" s="88"/>
      <c r="I142" s="20">
        <v>45</v>
      </c>
      <c r="J142" s="82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154</v>
      </c>
      <c r="C143" s="79">
        <f>+'3'!G143</f>
        <v>0</v>
      </c>
      <c r="D143" s="87">
        <v>0</v>
      </c>
      <c r="E143" s="47">
        <f t="shared" si="13"/>
        <v>0</v>
      </c>
      <c r="F143" s="87">
        <v>0</v>
      </c>
      <c r="G143" s="47">
        <f t="shared" si="11"/>
        <v>0</v>
      </c>
      <c r="H143" s="88"/>
      <c r="I143" s="20">
        <v>120</v>
      </c>
      <c r="J143" s="82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155</v>
      </c>
      <c r="C144" s="79">
        <f>+'3'!G144</f>
        <v>0</v>
      </c>
      <c r="D144" s="87">
        <v>0</v>
      </c>
      <c r="E144" s="47">
        <f t="shared" si="13"/>
        <v>0</v>
      </c>
      <c r="F144" s="87">
        <v>0</v>
      </c>
      <c r="G144" s="47">
        <f t="shared" si="11"/>
        <v>0</v>
      </c>
      <c r="H144" s="88"/>
      <c r="I144" s="20">
        <v>120</v>
      </c>
      <c r="J144" s="82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156</v>
      </c>
      <c r="C145" s="79">
        <f>+'3'!G145</f>
        <v>0</v>
      </c>
      <c r="D145" s="87">
        <v>0</v>
      </c>
      <c r="E145" s="47">
        <f t="shared" si="13"/>
        <v>0</v>
      </c>
      <c r="F145" s="87">
        <v>0</v>
      </c>
      <c r="G145" s="47">
        <f t="shared" si="11"/>
        <v>0</v>
      </c>
      <c r="H145" s="88"/>
      <c r="I145" s="20">
        <v>120</v>
      </c>
      <c r="J145" s="82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157</v>
      </c>
      <c r="C146" s="79">
        <f>+'3'!G146</f>
        <v>0</v>
      </c>
      <c r="D146" s="87">
        <v>0</v>
      </c>
      <c r="E146" s="47">
        <f t="shared" si="13"/>
        <v>0</v>
      </c>
      <c r="F146" s="87">
        <v>0</v>
      </c>
      <c r="G146" s="47">
        <f t="shared" si="11"/>
        <v>0</v>
      </c>
      <c r="H146" s="88"/>
      <c r="I146" s="20">
        <v>120</v>
      </c>
      <c r="J146" s="82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158</v>
      </c>
      <c r="C147" s="79">
        <f>+'3'!G147</f>
        <v>0</v>
      </c>
      <c r="D147" s="87">
        <v>0</v>
      </c>
      <c r="E147" s="47">
        <f t="shared" si="13"/>
        <v>0</v>
      </c>
      <c r="F147" s="87">
        <v>0</v>
      </c>
      <c r="G147" s="47">
        <f t="shared" si="11"/>
        <v>0</v>
      </c>
      <c r="H147" s="88"/>
      <c r="I147" s="20">
        <v>185</v>
      </c>
      <c r="J147" s="82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159</v>
      </c>
      <c r="C148" s="79">
        <f>+'3'!G148</f>
        <v>0</v>
      </c>
      <c r="D148" s="87">
        <v>0</v>
      </c>
      <c r="E148" s="47">
        <f t="shared" si="13"/>
        <v>0</v>
      </c>
      <c r="F148" s="87">
        <v>0</v>
      </c>
      <c r="G148" s="47">
        <f t="shared" si="11"/>
        <v>0</v>
      </c>
      <c r="H148" s="88"/>
      <c r="I148" s="20">
        <v>185</v>
      </c>
      <c r="J148" s="82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160</v>
      </c>
      <c r="C149" s="79">
        <f>+'3'!G149</f>
        <v>0</v>
      </c>
      <c r="D149" s="87">
        <v>0</v>
      </c>
      <c r="E149" s="47">
        <f t="shared" si="13"/>
        <v>0</v>
      </c>
      <c r="F149" s="87">
        <v>0</v>
      </c>
      <c r="G149" s="47">
        <f t="shared" si="11"/>
        <v>0</v>
      </c>
      <c r="H149" s="88"/>
      <c r="I149" s="20">
        <v>185</v>
      </c>
      <c r="J149" s="82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161</v>
      </c>
      <c r="C150" s="79">
        <f>+'3'!G150</f>
        <v>0</v>
      </c>
      <c r="D150" s="87">
        <v>0</v>
      </c>
      <c r="E150" s="47">
        <f t="shared" si="13"/>
        <v>0</v>
      </c>
      <c r="F150" s="87">
        <v>0</v>
      </c>
      <c r="G150" s="47">
        <f t="shared" si="11"/>
        <v>0</v>
      </c>
      <c r="H150" s="88"/>
      <c r="I150" s="20">
        <v>185</v>
      </c>
      <c r="J150" s="82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5.5" x14ac:dyDescent="0.55000000000000004">
      <c r="A151" s="10">
        <v>147</v>
      </c>
      <c r="B151" s="19" t="s">
        <v>279</v>
      </c>
      <c r="C151" s="79">
        <f>+'3'!G151</f>
        <v>0</v>
      </c>
      <c r="D151" s="87">
        <v>0</v>
      </c>
      <c r="E151" s="47">
        <f t="shared" si="13"/>
        <v>0</v>
      </c>
      <c r="F151" s="87">
        <v>0</v>
      </c>
      <c r="G151" s="47">
        <f t="shared" si="11"/>
        <v>0</v>
      </c>
      <c r="H151" s="88"/>
      <c r="I151" s="20">
        <v>150</v>
      </c>
      <c r="J151" s="82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280</v>
      </c>
      <c r="C152" s="79">
        <f>+'3'!G152</f>
        <v>1</v>
      </c>
      <c r="D152" s="87">
        <v>0</v>
      </c>
      <c r="E152" s="47">
        <f t="shared" si="13"/>
        <v>1</v>
      </c>
      <c r="F152" s="87">
        <v>0</v>
      </c>
      <c r="G152" s="47">
        <f t="shared" si="11"/>
        <v>1</v>
      </c>
      <c r="H152" s="88"/>
      <c r="I152" s="20">
        <v>150</v>
      </c>
      <c r="J152" s="82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5.5" x14ac:dyDescent="0.55000000000000004">
      <c r="A153" s="10">
        <v>149</v>
      </c>
      <c r="B153" s="19" t="s">
        <v>281</v>
      </c>
      <c r="C153" s="79">
        <f>+'3'!G153</f>
        <v>2</v>
      </c>
      <c r="D153" s="87">
        <v>0</v>
      </c>
      <c r="E153" s="47">
        <f t="shared" si="13"/>
        <v>2</v>
      </c>
      <c r="F153" s="87">
        <v>0</v>
      </c>
      <c r="G153" s="47">
        <f t="shared" si="11"/>
        <v>2</v>
      </c>
      <c r="H153" s="88"/>
      <c r="I153" s="20">
        <v>150</v>
      </c>
      <c r="J153" s="82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282</v>
      </c>
      <c r="C154" s="79">
        <f>+'3'!G154</f>
        <v>0</v>
      </c>
      <c r="D154" s="87">
        <v>0</v>
      </c>
      <c r="E154" s="47">
        <f t="shared" si="13"/>
        <v>0</v>
      </c>
      <c r="F154" s="87">
        <v>0</v>
      </c>
      <c r="G154" s="47">
        <f t="shared" si="11"/>
        <v>0</v>
      </c>
      <c r="H154" s="88"/>
      <c r="I154" s="20">
        <v>150</v>
      </c>
      <c r="J154" s="82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166</v>
      </c>
      <c r="C155" s="79">
        <f>+'3'!G155</f>
        <v>0</v>
      </c>
      <c r="D155" s="87">
        <v>0</v>
      </c>
      <c r="E155" s="47">
        <f t="shared" si="13"/>
        <v>0</v>
      </c>
      <c r="F155" s="87">
        <v>0</v>
      </c>
      <c r="G155" s="47">
        <f t="shared" si="11"/>
        <v>0</v>
      </c>
      <c r="H155" s="88"/>
      <c r="I155" s="20">
        <v>185</v>
      </c>
      <c r="J155" s="82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167</v>
      </c>
      <c r="C156" s="79">
        <f>+'3'!G156</f>
        <v>0</v>
      </c>
      <c r="D156" s="87">
        <v>0</v>
      </c>
      <c r="E156" s="47">
        <f t="shared" si="13"/>
        <v>0</v>
      </c>
      <c r="F156" s="87">
        <v>0</v>
      </c>
      <c r="G156" s="47">
        <f t="shared" si="11"/>
        <v>0</v>
      </c>
      <c r="H156" s="88"/>
      <c r="I156" s="20">
        <v>185</v>
      </c>
      <c r="J156" s="82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168</v>
      </c>
      <c r="C157" s="79">
        <f>+'3'!G157</f>
        <v>0</v>
      </c>
      <c r="D157" s="87">
        <v>0</v>
      </c>
      <c r="E157" s="47">
        <f t="shared" si="13"/>
        <v>0</v>
      </c>
      <c r="F157" s="87">
        <v>0</v>
      </c>
      <c r="G157" s="47">
        <f t="shared" si="11"/>
        <v>0</v>
      </c>
      <c r="H157" s="88"/>
      <c r="I157" s="20">
        <v>185</v>
      </c>
      <c r="J157" s="82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169</v>
      </c>
      <c r="C158" s="79">
        <f>+'3'!G158</f>
        <v>0</v>
      </c>
      <c r="D158" s="87">
        <v>0</v>
      </c>
      <c r="E158" s="47">
        <f t="shared" si="13"/>
        <v>0</v>
      </c>
      <c r="F158" s="87">
        <v>0</v>
      </c>
      <c r="G158" s="47">
        <f t="shared" si="11"/>
        <v>0</v>
      </c>
      <c r="H158" s="88"/>
      <c r="I158" s="20">
        <v>185</v>
      </c>
      <c r="J158" s="82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170</v>
      </c>
      <c r="C159" s="79">
        <f>+'3'!G159</f>
        <v>0</v>
      </c>
      <c r="D159" s="87">
        <v>0</v>
      </c>
      <c r="E159" s="47">
        <f t="shared" si="13"/>
        <v>0</v>
      </c>
      <c r="F159" s="87">
        <v>0</v>
      </c>
      <c r="G159" s="47">
        <f t="shared" si="11"/>
        <v>0</v>
      </c>
      <c r="H159" s="88"/>
      <c r="I159" s="20">
        <v>135</v>
      </c>
      <c r="J159" s="82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171</v>
      </c>
      <c r="C160" s="79">
        <f>+'3'!G160</f>
        <v>0</v>
      </c>
      <c r="D160" s="87">
        <v>0</v>
      </c>
      <c r="E160" s="47">
        <f t="shared" si="13"/>
        <v>0</v>
      </c>
      <c r="F160" s="87">
        <v>0</v>
      </c>
      <c r="G160" s="47">
        <f t="shared" si="11"/>
        <v>0</v>
      </c>
      <c r="H160" s="88"/>
      <c r="I160" s="20">
        <v>90</v>
      </c>
      <c r="J160" s="82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172</v>
      </c>
      <c r="C161" s="79">
        <f>+'3'!G161</f>
        <v>0</v>
      </c>
      <c r="D161" s="87">
        <v>0</v>
      </c>
      <c r="E161" s="47">
        <f t="shared" si="13"/>
        <v>0</v>
      </c>
      <c r="F161" s="87">
        <v>0</v>
      </c>
      <c r="G161" s="47">
        <f t="shared" si="11"/>
        <v>0</v>
      </c>
      <c r="H161" s="88"/>
      <c r="I161" s="20">
        <v>90</v>
      </c>
      <c r="J161" s="82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173</v>
      </c>
      <c r="C162" s="79">
        <f>+'3'!G162</f>
        <v>0</v>
      </c>
      <c r="D162" s="87">
        <v>0</v>
      </c>
      <c r="E162" s="47">
        <f t="shared" si="13"/>
        <v>0</v>
      </c>
      <c r="F162" s="87">
        <v>0</v>
      </c>
      <c r="G162" s="47">
        <f t="shared" si="11"/>
        <v>0</v>
      </c>
      <c r="H162" s="88"/>
      <c r="I162" s="20">
        <v>90</v>
      </c>
      <c r="J162" s="82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174</v>
      </c>
      <c r="C163" s="79">
        <f>+'3'!G163</f>
        <v>0</v>
      </c>
      <c r="D163" s="87">
        <v>0</v>
      </c>
      <c r="E163" s="47">
        <f t="shared" si="13"/>
        <v>0</v>
      </c>
      <c r="F163" s="87">
        <v>0</v>
      </c>
      <c r="G163" s="47">
        <f t="shared" si="11"/>
        <v>0</v>
      </c>
      <c r="H163" s="88"/>
      <c r="I163" s="20">
        <v>90</v>
      </c>
      <c r="J163" s="82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175</v>
      </c>
      <c r="C164" s="79">
        <f>+'3'!G164</f>
        <v>0</v>
      </c>
      <c r="D164" s="87">
        <v>0</v>
      </c>
      <c r="E164" s="47">
        <f t="shared" si="13"/>
        <v>0</v>
      </c>
      <c r="F164" s="87">
        <v>0</v>
      </c>
      <c r="G164" s="47">
        <f t="shared" si="11"/>
        <v>0</v>
      </c>
      <c r="H164" s="88"/>
      <c r="I164" s="20">
        <v>25</v>
      </c>
      <c r="J164" s="82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176</v>
      </c>
      <c r="C165" s="79">
        <f>+'3'!G165</f>
        <v>0</v>
      </c>
      <c r="D165" s="87">
        <v>0</v>
      </c>
      <c r="E165" s="47">
        <f t="shared" si="13"/>
        <v>0</v>
      </c>
      <c r="F165" s="87">
        <v>0</v>
      </c>
      <c r="G165" s="47">
        <f t="shared" ref="G165:G227" si="15">+E165-F165-H165</f>
        <v>0</v>
      </c>
      <c r="H165" s="88"/>
      <c r="I165" s="20">
        <v>50</v>
      </c>
      <c r="J165" s="82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177</v>
      </c>
      <c r="C166" s="79">
        <f>+'3'!G166</f>
        <v>0</v>
      </c>
      <c r="D166" s="87">
        <v>0</v>
      </c>
      <c r="E166" s="47">
        <f t="shared" si="13"/>
        <v>0</v>
      </c>
      <c r="F166" s="87">
        <v>0</v>
      </c>
      <c r="G166" s="47">
        <f t="shared" si="15"/>
        <v>0</v>
      </c>
      <c r="H166" s="88"/>
      <c r="I166" s="20">
        <v>50</v>
      </c>
      <c r="J166" s="82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178</v>
      </c>
      <c r="C167" s="79">
        <f>+'3'!G167</f>
        <v>0</v>
      </c>
      <c r="D167" s="87">
        <v>0</v>
      </c>
      <c r="E167" s="47">
        <f t="shared" si="13"/>
        <v>0</v>
      </c>
      <c r="F167" s="87">
        <v>0</v>
      </c>
      <c r="G167" s="47">
        <f t="shared" si="15"/>
        <v>0</v>
      </c>
      <c r="H167" s="88"/>
      <c r="I167" s="20">
        <v>50</v>
      </c>
      <c r="J167" s="82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179</v>
      </c>
      <c r="C168" s="79">
        <f>+'3'!G168</f>
        <v>7</v>
      </c>
      <c r="D168" s="87">
        <v>0</v>
      </c>
      <c r="E168" s="47">
        <f t="shared" si="13"/>
        <v>7</v>
      </c>
      <c r="F168" s="87">
        <v>0</v>
      </c>
      <c r="G168" s="47">
        <f t="shared" si="15"/>
        <v>7</v>
      </c>
      <c r="H168" s="88"/>
      <c r="I168" s="20">
        <v>50</v>
      </c>
      <c r="J168" s="82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180</v>
      </c>
      <c r="C169" s="79">
        <f>+'3'!G169</f>
        <v>51</v>
      </c>
      <c r="D169" s="87">
        <v>0</v>
      </c>
      <c r="E169" s="47">
        <f t="shared" si="13"/>
        <v>51</v>
      </c>
      <c r="F169" s="87">
        <v>0</v>
      </c>
      <c r="G169" s="47">
        <f t="shared" si="15"/>
        <v>50</v>
      </c>
      <c r="H169" s="88">
        <v>1</v>
      </c>
      <c r="I169" s="20">
        <v>55</v>
      </c>
      <c r="J169" s="82">
        <f t="shared" si="16"/>
        <v>55</v>
      </c>
      <c r="K169" s="17" t="s">
        <v>16</v>
      </c>
      <c r="L169" s="18">
        <v>0</v>
      </c>
      <c r="M169" s="23">
        <f t="shared" si="14"/>
        <v>55</v>
      </c>
    </row>
    <row r="170" spans="1:13" ht="25.5" x14ac:dyDescent="0.55000000000000004">
      <c r="A170" s="10">
        <v>166</v>
      </c>
      <c r="B170" s="19" t="s">
        <v>181</v>
      </c>
      <c r="C170" s="79">
        <f>+'3'!G170</f>
        <v>0</v>
      </c>
      <c r="D170" s="87">
        <v>0</v>
      </c>
      <c r="E170" s="47">
        <f t="shared" si="13"/>
        <v>0</v>
      </c>
      <c r="F170" s="87">
        <v>0</v>
      </c>
      <c r="G170" s="47">
        <f t="shared" si="15"/>
        <v>0</v>
      </c>
      <c r="H170" s="88"/>
      <c r="I170" s="20">
        <v>85</v>
      </c>
      <c r="J170" s="82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182</v>
      </c>
      <c r="C171" s="79">
        <f>+'3'!G171</f>
        <v>11</v>
      </c>
      <c r="D171" s="87">
        <v>0</v>
      </c>
      <c r="E171" s="47">
        <f t="shared" si="13"/>
        <v>11</v>
      </c>
      <c r="F171" s="87">
        <v>0</v>
      </c>
      <c r="G171" s="47">
        <f t="shared" si="15"/>
        <v>11</v>
      </c>
      <c r="H171" s="88"/>
      <c r="I171" s="20">
        <v>80</v>
      </c>
      <c r="J171" s="82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183</v>
      </c>
      <c r="C172" s="79">
        <f>+'3'!G172</f>
        <v>0</v>
      </c>
      <c r="D172" s="87">
        <v>0</v>
      </c>
      <c r="E172" s="47">
        <f t="shared" si="13"/>
        <v>0</v>
      </c>
      <c r="F172" s="87">
        <v>0</v>
      </c>
      <c r="G172" s="47">
        <f t="shared" si="15"/>
        <v>0</v>
      </c>
      <c r="H172" s="88"/>
      <c r="I172" s="20">
        <v>40</v>
      </c>
      <c r="J172" s="82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184</v>
      </c>
      <c r="C173" s="79">
        <f>+'3'!G173</f>
        <v>0</v>
      </c>
      <c r="D173" s="87">
        <v>0</v>
      </c>
      <c r="E173" s="47">
        <f t="shared" si="13"/>
        <v>0</v>
      </c>
      <c r="F173" s="87">
        <v>0</v>
      </c>
      <c r="G173" s="47">
        <f t="shared" si="15"/>
        <v>0</v>
      </c>
      <c r="H173" s="88"/>
      <c r="I173" s="20">
        <v>120</v>
      </c>
      <c r="J173" s="82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185</v>
      </c>
      <c r="C174" s="79">
        <f>+'3'!G174</f>
        <v>0</v>
      </c>
      <c r="D174" s="87">
        <v>0</v>
      </c>
      <c r="E174" s="47">
        <f t="shared" si="13"/>
        <v>0</v>
      </c>
      <c r="F174" s="87">
        <v>0</v>
      </c>
      <c r="G174" s="47">
        <f t="shared" si="15"/>
        <v>0</v>
      </c>
      <c r="H174" s="88"/>
      <c r="I174" s="20">
        <v>120</v>
      </c>
      <c r="J174" s="82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186</v>
      </c>
      <c r="C175" s="79">
        <f>+'3'!G175</f>
        <v>0</v>
      </c>
      <c r="D175" s="87">
        <v>0</v>
      </c>
      <c r="E175" s="47">
        <f t="shared" si="13"/>
        <v>0</v>
      </c>
      <c r="F175" s="87">
        <v>0</v>
      </c>
      <c r="G175" s="47">
        <f t="shared" si="15"/>
        <v>0</v>
      </c>
      <c r="H175" s="88"/>
      <c r="I175" s="20">
        <v>55</v>
      </c>
      <c r="J175" s="82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187</v>
      </c>
      <c r="C176" s="79">
        <f>+'3'!G176</f>
        <v>0</v>
      </c>
      <c r="D176" s="87">
        <v>0</v>
      </c>
      <c r="E176" s="47">
        <f t="shared" si="13"/>
        <v>0</v>
      </c>
      <c r="F176" s="87">
        <v>0</v>
      </c>
      <c r="G176" s="47">
        <f t="shared" si="15"/>
        <v>0</v>
      </c>
      <c r="H176" s="88"/>
      <c r="I176" s="20">
        <v>50</v>
      </c>
      <c r="J176" s="82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188</v>
      </c>
      <c r="C177" s="79">
        <f>+'3'!G177</f>
        <v>2</v>
      </c>
      <c r="D177" s="87">
        <v>0</v>
      </c>
      <c r="E177" s="47">
        <f t="shared" si="13"/>
        <v>2</v>
      </c>
      <c r="F177" s="87">
        <v>0</v>
      </c>
      <c r="G177" s="47">
        <f t="shared" si="15"/>
        <v>2</v>
      </c>
      <c r="H177" s="88"/>
      <c r="I177" s="20">
        <v>50</v>
      </c>
      <c r="J177" s="82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189</v>
      </c>
      <c r="C178" s="79">
        <f>+'3'!G178</f>
        <v>0</v>
      </c>
      <c r="D178" s="87">
        <v>0</v>
      </c>
      <c r="E178" s="47">
        <f t="shared" si="13"/>
        <v>0</v>
      </c>
      <c r="F178" s="87">
        <v>0</v>
      </c>
      <c r="G178" s="47">
        <f t="shared" si="15"/>
        <v>0</v>
      </c>
      <c r="H178" s="88"/>
      <c r="I178" s="20">
        <v>120</v>
      </c>
      <c r="J178" s="82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190</v>
      </c>
      <c r="C179" s="79">
        <f>+'3'!G179</f>
        <v>3</v>
      </c>
      <c r="D179" s="87">
        <v>0</v>
      </c>
      <c r="E179" s="47">
        <f t="shared" si="13"/>
        <v>3</v>
      </c>
      <c r="F179" s="87">
        <v>0</v>
      </c>
      <c r="G179" s="47">
        <f t="shared" si="15"/>
        <v>3</v>
      </c>
      <c r="H179" s="88"/>
      <c r="I179" s="20">
        <v>120</v>
      </c>
      <c r="J179" s="82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191</v>
      </c>
      <c r="C180" s="79">
        <f>+'3'!G180</f>
        <v>0</v>
      </c>
      <c r="D180" s="87">
        <v>0</v>
      </c>
      <c r="E180" s="47">
        <f t="shared" si="13"/>
        <v>0</v>
      </c>
      <c r="F180" s="87">
        <v>0</v>
      </c>
      <c r="G180" s="47">
        <f t="shared" si="15"/>
        <v>0</v>
      </c>
      <c r="H180" s="88"/>
      <c r="I180" s="20">
        <v>10</v>
      </c>
      <c r="J180" s="82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192</v>
      </c>
      <c r="C181" s="79">
        <f>+'3'!G181</f>
        <v>0</v>
      </c>
      <c r="D181" s="87">
        <v>0</v>
      </c>
      <c r="E181" s="47">
        <f t="shared" si="13"/>
        <v>0</v>
      </c>
      <c r="F181" s="87">
        <v>0</v>
      </c>
      <c r="G181" s="47">
        <f t="shared" si="15"/>
        <v>0</v>
      </c>
      <c r="H181" s="88"/>
      <c r="I181" s="20">
        <v>35</v>
      </c>
      <c r="J181" s="82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193</v>
      </c>
      <c r="C182" s="79">
        <f>+'3'!G182</f>
        <v>0</v>
      </c>
      <c r="D182" s="87">
        <v>0</v>
      </c>
      <c r="E182" s="47">
        <f t="shared" si="13"/>
        <v>0</v>
      </c>
      <c r="F182" s="87">
        <v>0</v>
      </c>
      <c r="G182" s="47">
        <f t="shared" si="15"/>
        <v>0</v>
      </c>
      <c r="H182" s="88"/>
      <c r="I182" s="20">
        <v>10</v>
      </c>
      <c r="J182" s="82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194</v>
      </c>
      <c r="C183" s="79">
        <f>+'3'!G183</f>
        <v>0</v>
      </c>
      <c r="D183" s="87">
        <v>0</v>
      </c>
      <c r="E183" s="47">
        <f t="shared" si="13"/>
        <v>0</v>
      </c>
      <c r="F183" s="87">
        <v>0</v>
      </c>
      <c r="G183" s="47">
        <f t="shared" si="15"/>
        <v>0</v>
      </c>
      <c r="H183" s="88"/>
      <c r="I183" s="20">
        <v>10</v>
      </c>
      <c r="J183" s="82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195</v>
      </c>
      <c r="C184" s="79">
        <f>+'3'!G184</f>
        <v>0</v>
      </c>
      <c r="D184" s="87">
        <v>0</v>
      </c>
      <c r="E184" s="47">
        <f t="shared" si="13"/>
        <v>0</v>
      </c>
      <c r="F184" s="87">
        <v>0</v>
      </c>
      <c r="G184" s="47">
        <f t="shared" si="15"/>
        <v>0</v>
      </c>
      <c r="H184" s="88"/>
      <c r="I184" s="20">
        <v>10</v>
      </c>
      <c r="J184" s="82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196</v>
      </c>
      <c r="C185" s="79">
        <f>+'3'!G185</f>
        <v>0</v>
      </c>
      <c r="D185" s="87">
        <v>0</v>
      </c>
      <c r="E185" s="47">
        <f t="shared" si="13"/>
        <v>0</v>
      </c>
      <c r="F185" s="87">
        <v>0</v>
      </c>
      <c r="G185" s="47">
        <f t="shared" si="15"/>
        <v>0</v>
      </c>
      <c r="H185" s="88"/>
      <c r="I185" s="20">
        <v>10</v>
      </c>
      <c r="J185" s="82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197</v>
      </c>
      <c r="C186" s="79">
        <f>+'3'!G186</f>
        <v>0</v>
      </c>
      <c r="D186" s="87">
        <v>0</v>
      </c>
      <c r="E186" s="47">
        <f t="shared" si="13"/>
        <v>0</v>
      </c>
      <c r="F186" s="87">
        <v>0</v>
      </c>
      <c r="G186" s="47">
        <f t="shared" si="15"/>
        <v>0</v>
      </c>
      <c r="H186" s="88"/>
      <c r="I186" s="20">
        <v>10</v>
      </c>
      <c r="J186" s="82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198</v>
      </c>
      <c r="C187" s="79">
        <f>+'3'!G187</f>
        <v>0</v>
      </c>
      <c r="D187" s="87">
        <v>0</v>
      </c>
      <c r="E187" s="47">
        <f t="shared" si="13"/>
        <v>0</v>
      </c>
      <c r="F187" s="87">
        <v>0</v>
      </c>
      <c r="G187" s="47">
        <f t="shared" si="15"/>
        <v>0</v>
      </c>
      <c r="H187" s="88"/>
      <c r="I187" s="20">
        <v>25</v>
      </c>
      <c r="J187" s="82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249</v>
      </c>
      <c r="C188" s="79">
        <f>+'3'!G188</f>
        <v>0</v>
      </c>
      <c r="D188" s="87">
        <v>0</v>
      </c>
      <c r="E188" s="47">
        <f t="shared" si="13"/>
        <v>0</v>
      </c>
      <c r="F188" s="87">
        <v>0</v>
      </c>
      <c r="G188" s="47">
        <f t="shared" si="15"/>
        <v>0</v>
      </c>
      <c r="H188" s="88"/>
      <c r="I188" s="15">
        <v>50</v>
      </c>
      <c r="J188" s="82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250</v>
      </c>
      <c r="C189" s="79">
        <f>+'3'!G189</f>
        <v>0</v>
      </c>
      <c r="D189" s="87">
        <v>0</v>
      </c>
      <c r="E189" s="47">
        <f t="shared" si="13"/>
        <v>0</v>
      </c>
      <c r="F189" s="87">
        <v>0</v>
      </c>
      <c r="G189" s="47">
        <f t="shared" si="15"/>
        <v>0</v>
      </c>
      <c r="H189" s="88"/>
      <c r="I189" s="15">
        <v>10</v>
      </c>
      <c r="J189" s="82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251</v>
      </c>
      <c r="C190" s="79">
        <f>+'3'!G190</f>
        <v>0</v>
      </c>
      <c r="D190" s="87">
        <v>0</v>
      </c>
      <c r="E190" s="47">
        <f t="shared" ref="E190:E252" si="17">C190+D190</f>
        <v>0</v>
      </c>
      <c r="F190" s="87">
        <v>0</v>
      </c>
      <c r="G190" s="47">
        <f t="shared" si="15"/>
        <v>0</v>
      </c>
      <c r="H190" s="88"/>
      <c r="I190" s="15">
        <v>15</v>
      </c>
      <c r="J190" s="82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252</v>
      </c>
      <c r="C191" s="79">
        <f>+'3'!G191</f>
        <v>0</v>
      </c>
      <c r="D191" s="87">
        <v>0</v>
      </c>
      <c r="E191" s="47">
        <f t="shared" si="17"/>
        <v>0</v>
      </c>
      <c r="F191" s="87">
        <v>0</v>
      </c>
      <c r="G191" s="47">
        <f t="shared" si="15"/>
        <v>0</v>
      </c>
      <c r="H191" s="88"/>
      <c r="I191" s="15">
        <v>25</v>
      </c>
      <c r="J191" s="82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253</v>
      </c>
      <c r="C192" s="79">
        <f>+'3'!G192</f>
        <v>0</v>
      </c>
      <c r="D192" s="87">
        <v>0</v>
      </c>
      <c r="E192" s="47">
        <f t="shared" si="17"/>
        <v>0</v>
      </c>
      <c r="F192" s="87">
        <v>0</v>
      </c>
      <c r="G192" s="47">
        <f t="shared" si="15"/>
        <v>0</v>
      </c>
      <c r="H192" s="88"/>
      <c r="I192" s="15">
        <v>50</v>
      </c>
      <c r="J192" s="82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254</v>
      </c>
      <c r="C193" s="79">
        <f>+'3'!G193</f>
        <v>0</v>
      </c>
      <c r="D193" s="87">
        <v>0</v>
      </c>
      <c r="E193" s="47">
        <f t="shared" si="17"/>
        <v>0</v>
      </c>
      <c r="F193" s="87">
        <v>0</v>
      </c>
      <c r="G193" s="47">
        <f t="shared" si="15"/>
        <v>0</v>
      </c>
      <c r="H193" s="88"/>
      <c r="I193" s="15">
        <v>45</v>
      </c>
      <c r="J193" s="82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255</v>
      </c>
      <c r="C194" s="79">
        <f>+'3'!G194</f>
        <v>0</v>
      </c>
      <c r="D194" s="87">
        <v>0</v>
      </c>
      <c r="E194" s="47">
        <f t="shared" si="17"/>
        <v>0</v>
      </c>
      <c r="F194" s="87">
        <v>0</v>
      </c>
      <c r="G194" s="47">
        <f t="shared" si="15"/>
        <v>0</v>
      </c>
      <c r="H194" s="88"/>
      <c r="I194" s="15">
        <v>50</v>
      </c>
      <c r="J194" s="82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199</v>
      </c>
      <c r="C195" s="79">
        <f>+'3'!G195</f>
        <v>0</v>
      </c>
      <c r="D195" s="87">
        <v>0</v>
      </c>
      <c r="E195" s="47">
        <f t="shared" si="17"/>
        <v>0</v>
      </c>
      <c r="F195" s="87">
        <v>0</v>
      </c>
      <c r="G195" s="47">
        <f t="shared" si="15"/>
        <v>0</v>
      </c>
      <c r="H195" s="88"/>
      <c r="I195" s="15">
        <v>150</v>
      </c>
      <c r="J195" s="82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200</v>
      </c>
      <c r="C196" s="79">
        <f>+'3'!G196</f>
        <v>0</v>
      </c>
      <c r="D196" s="87">
        <v>0</v>
      </c>
      <c r="E196" s="47">
        <f t="shared" si="17"/>
        <v>0</v>
      </c>
      <c r="F196" s="87">
        <v>0</v>
      </c>
      <c r="G196" s="47">
        <f t="shared" si="15"/>
        <v>0</v>
      </c>
      <c r="H196" s="88"/>
      <c r="I196" s="15">
        <v>150</v>
      </c>
      <c r="J196" s="82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201</v>
      </c>
      <c r="C197" s="79">
        <f>+'3'!G197</f>
        <v>0</v>
      </c>
      <c r="D197" s="87">
        <v>0</v>
      </c>
      <c r="E197" s="47">
        <f t="shared" si="17"/>
        <v>0</v>
      </c>
      <c r="F197" s="87">
        <v>0</v>
      </c>
      <c r="G197" s="47">
        <f t="shared" si="15"/>
        <v>0</v>
      </c>
      <c r="H197" s="88"/>
      <c r="I197" s="15">
        <v>150</v>
      </c>
      <c r="J197" s="82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256</v>
      </c>
      <c r="C198" s="79">
        <f>+'3'!G198</f>
        <v>0</v>
      </c>
      <c r="D198" s="87">
        <v>0</v>
      </c>
      <c r="E198" s="47">
        <f t="shared" si="17"/>
        <v>0</v>
      </c>
      <c r="F198" s="87">
        <v>0</v>
      </c>
      <c r="G198" s="47">
        <f t="shared" si="15"/>
        <v>0</v>
      </c>
      <c r="H198" s="88"/>
      <c r="I198" s="15">
        <v>55</v>
      </c>
      <c r="J198" s="82">
        <f t="shared" si="16"/>
        <v>0</v>
      </c>
      <c r="K198" s="17" t="s">
        <v>16</v>
      </c>
      <c r="L198" s="18">
        <v>0</v>
      </c>
      <c r="M198" s="23">
        <f t="shared" si="14"/>
        <v>0</v>
      </c>
    </row>
    <row r="199" spans="1:13" ht="25.5" x14ac:dyDescent="0.55000000000000004">
      <c r="A199" s="10">
        <v>195</v>
      </c>
      <c r="B199" s="19" t="s">
        <v>257</v>
      </c>
      <c r="C199" s="79">
        <f>+'3'!G199</f>
        <v>0</v>
      </c>
      <c r="D199" s="87">
        <v>0</v>
      </c>
      <c r="E199" s="47">
        <f t="shared" si="17"/>
        <v>0</v>
      </c>
      <c r="F199" s="87">
        <v>0</v>
      </c>
      <c r="G199" s="47">
        <f t="shared" si="15"/>
        <v>0</v>
      </c>
      <c r="H199" s="88"/>
      <c r="I199" s="15">
        <v>30</v>
      </c>
      <c r="J199" s="82">
        <f t="shared" si="16"/>
        <v>0</v>
      </c>
      <c r="K199" s="17" t="s">
        <v>16</v>
      </c>
      <c r="L199" s="18">
        <v>0</v>
      </c>
      <c r="M199" s="23">
        <f t="shared" ref="M199:M254" si="18">SUM(J199-L199)</f>
        <v>0</v>
      </c>
    </row>
    <row r="200" spans="1:13" ht="25.5" x14ac:dyDescent="0.55000000000000004">
      <c r="A200" s="10">
        <v>196</v>
      </c>
      <c r="B200" s="19" t="s">
        <v>258</v>
      </c>
      <c r="C200" s="79">
        <f>+'3'!G200</f>
        <v>0</v>
      </c>
      <c r="D200" s="87">
        <v>0</v>
      </c>
      <c r="E200" s="47">
        <f t="shared" si="17"/>
        <v>0</v>
      </c>
      <c r="F200" s="87">
        <v>0</v>
      </c>
      <c r="G200" s="47">
        <f t="shared" si="15"/>
        <v>0</v>
      </c>
      <c r="H200" s="88"/>
      <c r="I200" s="15">
        <v>30</v>
      </c>
      <c r="J200" s="82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259</v>
      </c>
      <c r="C201" s="79">
        <f>+'3'!G201</f>
        <v>0</v>
      </c>
      <c r="D201" s="87">
        <v>0</v>
      </c>
      <c r="E201" s="47">
        <f t="shared" si="17"/>
        <v>0</v>
      </c>
      <c r="F201" s="87">
        <v>0</v>
      </c>
      <c r="G201" s="47">
        <f t="shared" si="15"/>
        <v>0</v>
      </c>
      <c r="H201" s="88"/>
      <c r="I201" s="15">
        <v>30</v>
      </c>
      <c r="J201" s="82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260</v>
      </c>
      <c r="C202" s="79">
        <f>+'3'!G202</f>
        <v>0</v>
      </c>
      <c r="D202" s="87">
        <v>0</v>
      </c>
      <c r="E202" s="47">
        <f t="shared" si="17"/>
        <v>0</v>
      </c>
      <c r="F202" s="87">
        <v>0</v>
      </c>
      <c r="G202" s="47">
        <f t="shared" si="15"/>
        <v>0</v>
      </c>
      <c r="H202" s="88"/>
      <c r="I202" s="15">
        <v>30</v>
      </c>
      <c r="J202" s="82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261</v>
      </c>
      <c r="C203" s="79">
        <f>+'3'!G203</f>
        <v>0</v>
      </c>
      <c r="D203" s="87">
        <v>0</v>
      </c>
      <c r="E203" s="47">
        <f t="shared" si="17"/>
        <v>0</v>
      </c>
      <c r="F203" s="87">
        <v>0</v>
      </c>
      <c r="G203" s="47">
        <f t="shared" si="15"/>
        <v>0</v>
      </c>
      <c r="H203" s="88"/>
      <c r="I203" s="20">
        <v>30</v>
      </c>
      <c r="J203" s="82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262</v>
      </c>
      <c r="C204" s="79">
        <f>+'3'!G204</f>
        <v>0</v>
      </c>
      <c r="D204" s="87">
        <v>0</v>
      </c>
      <c r="E204" s="47">
        <f t="shared" si="17"/>
        <v>0</v>
      </c>
      <c r="F204" s="87">
        <v>0</v>
      </c>
      <c r="G204" s="47">
        <f t="shared" si="15"/>
        <v>0</v>
      </c>
      <c r="H204" s="88"/>
      <c r="I204" s="20">
        <v>30</v>
      </c>
      <c r="J204" s="82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263</v>
      </c>
      <c r="C205" s="79">
        <f>+'3'!G205</f>
        <v>0</v>
      </c>
      <c r="D205" s="87">
        <v>0</v>
      </c>
      <c r="E205" s="47">
        <f t="shared" si="17"/>
        <v>0</v>
      </c>
      <c r="F205" s="87">
        <v>0</v>
      </c>
      <c r="G205" s="47">
        <f t="shared" si="15"/>
        <v>0</v>
      </c>
      <c r="H205" s="88"/>
      <c r="I205" s="20">
        <v>50</v>
      </c>
      <c r="J205" s="82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 t="s">
        <v>264</v>
      </c>
      <c r="C206" s="79">
        <f>+'3'!G206</f>
        <v>0</v>
      </c>
      <c r="D206" s="87">
        <v>0</v>
      </c>
      <c r="E206" s="47">
        <f t="shared" si="17"/>
        <v>0</v>
      </c>
      <c r="F206" s="87">
        <v>0</v>
      </c>
      <c r="G206" s="47">
        <f t="shared" si="15"/>
        <v>0</v>
      </c>
      <c r="H206" s="88"/>
      <c r="I206" s="20">
        <v>100</v>
      </c>
      <c r="J206" s="82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265</v>
      </c>
      <c r="C207" s="79">
        <f>+'3'!G207</f>
        <v>0</v>
      </c>
      <c r="D207" s="87">
        <v>0</v>
      </c>
      <c r="E207" s="47">
        <f t="shared" si="17"/>
        <v>0</v>
      </c>
      <c r="F207" s="87">
        <v>0</v>
      </c>
      <c r="G207" s="47">
        <f t="shared" si="15"/>
        <v>0</v>
      </c>
      <c r="H207" s="88"/>
      <c r="I207" s="20">
        <v>100</v>
      </c>
      <c r="J207" s="82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266</v>
      </c>
      <c r="C208" s="79">
        <f>+'3'!G208</f>
        <v>0</v>
      </c>
      <c r="D208" s="87">
        <v>0</v>
      </c>
      <c r="E208" s="47">
        <f t="shared" si="17"/>
        <v>0</v>
      </c>
      <c r="F208" s="87">
        <v>0</v>
      </c>
      <c r="G208" s="47">
        <f t="shared" si="15"/>
        <v>0</v>
      </c>
      <c r="H208" s="88"/>
      <c r="I208" s="20">
        <v>100</v>
      </c>
      <c r="J208" s="82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 t="s">
        <v>267</v>
      </c>
      <c r="C209" s="79">
        <f>+'3'!G209</f>
        <v>0</v>
      </c>
      <c r="D209" s="87">
        <v>0</v>
      </c>
      <c r="E209" s="47">
        <f t="shared" si="17"/>
        <v>0</v>
      </c>
      <c r="F209" s="87">
        <v>0</v>
      </c>
      <c r="G209" s="47">
        <f t="shared" si="15"/>
        <v>0</v>
      </c>
      <c r="H209" s="88"/>
      <c r="I209" s="20">
        <v>100</v>
      </c>
      <c r="J209" s="82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268</v>
      </c>
      <c r="C210" s="79">
        <f>+'3'!G210</f>
        <v>0</v>
      </c>
      <c r="D210" s="87">
        <v>0</v>
      </c>
      <c r="E210" s="47">
        <f t="shared" si="17"/>
        <v>0</v>
      </c>
      <c r="F210" s="87">
        <v>0</v>
      </c>
      <c r="G210" s="47">
        <f t="shared" si="15"/>
        <v>0</v>
      </c>
      <c r="H210" s="88"/>
      <c r="I210" s="20">
        <v>250</v>
      </c>
      <c r="J210" s="82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 t="s">
        <v>269</v>
      </c>
      <c r="C211" s="79">
        <f>+'3'!G211</f>
        <v>0</v>
      </c>
      <c r="D211" s="87">
        <v>0</v>
      </c>
      <c r="E211" s="47">
        <f t="shared" si="17"/>
        <v>0</v>
      </c>
      <c r="F211" s="87">
        <v>0</v>
      </c>
      <c r="G211" s="47">
        <f t="shared" si="15"/>
        <v>0</v>
      </c>
      <c r="H211" s="88"/>
      <c r="I211" s="20">
        <v>250</v>
      </c>
      <c r="J211" s="82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 t="s">
        <v>270</v>
      </c>
      <c r="C212" s="79">
        <f>+'3'!G212</f>
        <v>0</v>
      </c>
      <c r="D212" s="87">
        <v>0</v>
      </c>
      <c r="E212" s="47">
        <f t="shared" si="17"/>
        <v>0</v>
      </c>
      <c r="F212" s="87">
        <v>0</v>
      </c>
      <c r="G212" s="47">
        <f t="shared" si="15"/>
        <v>0</v>
      </c>
      <c r="H212" s="88"/>
      <c r="I212" s="20">
        <v>250</v>
      </c>
      <c r="J212" s="82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 t="s">
        <v>271</v>
      </c>
      <c r="C213" s="79">
        <f>+'3'!G213</f>
        <v>0</v>
      </c>
      <c r="D213" s="87">
        <v>0</v>
      </c>
      <c r="E213" s="47">
        <f t="shared" si="17"/>
        <v>0</v>
      </c>
      <c r="F213" s="87">
        <v>0</v>
      </c>
      <c r="G213" s="47">
        <f t="shared" si="15"/>
        <v>0</v>
      </c>
      <c r="H213" s="88"/>
      <c r="I213" s="20">
        <v>50</v>
      </c>
      <c r="J213" s="82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 t="s">
        <v>273</v>
      </c>
      <c r="C214" s="79">
        <f>+'3'!G214</f>
        <v>0</v>
      </c>
      <c r="D214" s="87">
        <v>0</v>
      </c>
      <c r="E214" s="47">
        <f t="shared" si="17"/>
        <v>0</v>
      </c>
      <c r="F214" s="87">
        <v>0</v>
      </c>
      <c r="G214" s="47">
        <f t="shared" si="15"/>
        <v>0</v>
      </c>
      <c r="H214" s="88"/>
      <c r="I214" s="20">
        <v>50</v>
      </c>
      <c r="J214" s="82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 t="s">
        <v>274</v>
      </c>
      <c r="C215" s="79">
        <f>+'3'!G215</f>
        <v>0</v>
      </c>
      <c r="D215" s="87">
        <v>0</v>
      </c>
      <c r="E215" s="47">
        <f t="shared" si="17"/>
        <v>0</v>
      </c>
      <c r="F215" s="87">
        <v>0</v>
      </c>
      <c r="G215" s="47">
        <f t="shared" si="15"/>
        <v>0</v>
      </c>
      <c r="H215" s="88"/>
      <c r="I215" s="20">
        <v>50</v>
      </c>
      <c r="J215" s="82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 t="s">
        <v>242</v>
      </c>
      <c r="C216" s="79">
        <f>+'3'!G216</f>
        <v>0</v>
      </c>
      <c r="D216" s="87">
        <v>0</v>
      </c>
      <c r="E216" s="47">
        <f t="shared" si="17"/>
        <v>0</v>
      </c>
      <c r="F216" s="87">
        <v>0</v>
      </c>
      <c r="G216" s="47">
        <f t="shared" si="15"/>
        <v>0</v>
      </c>
      <c r="H216" s="88"/>
      <c r="I216" s="20">
        <v>35</v>
      </c>
      <c r="J216" s="82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 t="s">
        <v>275</v>
      </c>
      <c r="C217" s="79">
        <f>+'3'!G217</f>
        <v>0</v>
      </c>
      <c r="D217" s="87">
        <v>0</v>
      </c>
      <c r="E217" s="47">
        <f t="shared" si="17"/>
        <v>0</v>
      </c>
      <c r="F217" s="87">
        <v>0</v>
      </c>
      <c r="G217" s="47">
        <f t="shared" si="15"/>
        <v>0</v>
      </c>
      <c r="H217" s="88"/>
      <c r="I217" s="20">
        <v>199</v>
      </c>
      <c r="J217" s="82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 t="s">
        <v>283</v>
      </c>
      <c r="C218" s="79">
        <f>+'3'!G218</f>
        <v>1</v>
      </c>
      <c r="D218" s="87">
        <v>0</v>
      </c>
      <c r="E218" s="47">
        <f t="shared" si="17"/>
        <v>1</v>
      </c>
      <c r="F218" s="87">
        <v>1</v>
      </c>
      <c r="G218" s="47">
        <f t="shared" si="15"/>
        <v>0</v>
      </c>
      <c r="H218" s="88"/>
      <c r="I218" s="20">
        <v>25</v>
      </c>
      <c r="J218" s="82">
        <f t="shared" si="16"/>
        <v>0</v>
      </c>
      <c r="K218" s="17" t="s">
        <v>306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 t="s">
        <v>284</v>
      </c>
      <c r="C219" s="79">
        <f>+'3'!G219</f>
        <v>1</v>
      </c>
      <c r="D219" s="87">
        <v>0</v>
      </c>
      <c r="E219" s="47">
        <f t="shared" si="17"/>
        <v>1</v>
      </c>
      <c r="F219" s="87">
        <v>1</v>
      </c>
      <c r="G219" s="47">
        <f t="shared" si="15"/>
        <v>0</v>
      </c>
      <c r="H219" s="88"/>
      <c r="I219" s="20">
        <v>25</v>
      </c>
      <c r="J219" s="82">
        <f t="shared" si="16"/>
        <v>0</v>
      </c>
      <c r="K219" s="17" t="s">
        <v>306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 t="s">
        <v>314</v>
      </c>
      <c r="C220" s="79">
        <f>+'3'!G220</f>
        <v>0</v>
      </c>
      <c r="D220" s="87">
        <v>0</v>
      </c>
      <c r="E220" s="47">
        <f t="shared" si="17"/>
        <v>0</v>
      </c>
      <c r="F220" s="87">
        <v>0</v>
      </c>
      <c r="G220" s="47">
        <f t="shared" si="15"/>
        <v>0</v>
      </c>
      <c r="H220" s="88"/>
      <c r="I220" s="20">
        <v>35</v>
      </c>
      <c r="J220" s="82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 t="s">
        <v>326</v>
      </c>
      <c r="C221" s="79">
        <f>+'3'!G221</f>
        <v>0</v>
      </c>
      <c r="D221" s="87">
        <v>0</v>
      </c>
      <c r="E221" s="47">
        <f t="shared" si="17"/>
        <v>0</v>
      </c>
      <c r="F221" s="87">
        <v>0</v>
      </c>
      <c r="G221" s="47">
        <f t="shared" si="15"/>
        <v>0</v>
      </c>
      <c r="H221" s="88"/>
      <c r="I221" s="20">
        <v>55</v>
      </c>
      <c r="J221" s="82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 t="s">
        <v>327</v>
      </c>
      <c r="C222" s="79">
        <f>+'3'!G222</f>
        <v>0</v>
      </c>
      <c r="D222" s="87">
        <v>0</v>
      </c>
      <c r="E222" s="47">
        <f t="shared" si="17"/>
        <v>0</v>
      </c>
      <c r="F222" s="87">
        <v>0</v>
      </c>
      <c r="G222" s="47">
        <f t="shared" si="15"/>
        <v>0</v>
      </c>
      <c r="H222" s="88"/>
      <c r="I222" s="20">
        <v>40</v>
      </c>
      <c r="J222" s="82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/>
      <c r="C223" s="79">
        <f>+'3'!G223</f>
        <v>0</v>
      </c>
      <c r="D223" s="87">
        <v>0</v>
      </c>
      <c r="E223" s="47">
        <f t="shared" si="17"/>
        <v>0</v>
      </c>
      <c r="F223" s="87">
        <v>0</v>
      </c>
      <c r="G223" s="47">
        <f t="shared" si="15"/>
        <v>0</v>
      </c>
      <c r="H223" s="88"/>
      <c r="I223" s="20"/>
      <c r="J223" s="82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79">
        <f>+'3'!G224</f>
        <v>0</v>
      </c>
      <c r="D224" s="87">
        <v>0</v>
      </c>
      <c r="E224" s="47">
        <f t="shared" si="17"/>
        <v>0</v>
      </c>
      <c r="F224" s="87">
        <v>0</v>
      </c>
      <c r="G224" s="47">
        <f t="shared" si="15"/>
        <v>0</v>
      </c>
      <c r="H224" s="88"/>
      <c r="I224" s="20"/>
      <c r="J224" s="82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+'3'!G225</f>
        <v>0</v>
      </c>
      <c r="D225" s="87">
        <v>0</v>
      </c>
      <c r="E225" s="47">
        <f t="shared" si="17"/>
        <v>0</v>
      </c>
      <c r="F225" s="87">
        <v>0</v>
      </c>
      <c r="G225" s="47">
        <f t="shared" si="15"/>
        <v>0</v>
      </c>
      <c r="H225" s="88"/>
      <c r="I225" s="20"/>
      <c r="J225" s="82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+'3'!G226</f>
        <v>0</v>
      </c>
      <c r="D226" s="87">
        <v>0</v>
      </c>
      <c r="E226" s="47">
        <f t="shared" si="17"/>
        <v>0</v>
      </c>
      <c r="F226" s="87">
        <v>0</v>
      </c>
      <c r="G226" s="47">
        <f t="shared" si="15"/>
        <v>0</v>
      </c>
      <c r="H226" s="88"/>
      <c r="I226" s="20"/>
      <c r="J226" s="82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+'3'!G227</f>
        <v>0</v>
      </c>
      <c r="D227" s="87">
        <v>0</v>
      </c>
      <c r="E227" s="47">
        <f t="shared" si="17"/>
        <v>0</v>
      </c>
      <c r="F227" s="87">
        <v>0</v>
      </c>
      <c r="G227" s="47">
        <f t="shared" si="15"/>
        <v>0</v>
      </c>
      <c r="H227" s="88"/>
      <c r="I227" s="20"/>
      <c r="J227" s="82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+'3'!G228</f>
        <v>0</v>
      </c>
      <c r="D228" s="87">
        <v>0</v>
      </c>
      <c r="E228" s="47">
        <f t="shared" si="17"/>
        <v>0</v>
      </c>
      <c r="F228" s="87">
        <v>0</v>
      </c>
      <c r="G228" s="47">
        <f t="shared" ref="G228:G254" si="19">+E228-F228-H228</f>
        <v>0</v>
      </c>
      <c r="H228" s="88"/>
      <c r="I228" s="20"/>
      <c r="J228" s="82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+'3'!G229</f>
        <v>0</v>
      </c>
      <c r="D229" s="87">
        <v>0</v>
      </c>
      <c r="E229" s="47">
        <f t="shared" si="17"/>
        <v>0</v>
      </c>
      <c r="F229" s="87">
        <v>0</v>
      </c>
      <c r="G229" s="47">
        <f t="shared" si="19"/>
        <v>0</v>
      </c>
      <c r="H229" s="88"/>
      <c r="I229" s="20"/>
      <c r="J229" s="82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+'3'!G230</f>
        <v>0</v>
      </c>
      <c r="D230" s="87">
        <v>0</v>
      </c>
      <c r="E230" s="47">
        <f t="shared" si="17"/>
        <v>0</v>
      </c>
      <c r="F230" s="87">
        <v>0</v>
      </c>
      <c r="G230" s="47">
        <f t="shared" si="19"/>
        <v>0</v>
      </c>
      <c r="H230" s="88"/>
      <c r="I230" s="20"/>
      <c r="J230" s="82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+'3'!G231</f>
        <v>0</v>
      </c>
      <c r="D231" s="87">
        <v>0</v>
      </c>
      <c r="E231" s="47">
        <f t="shared" si="17"/>
        <v>0</v>
      </c>
      <c r="F231" s="87">
        <v>0</v>
      </c>
      <c r="G231" s="47">
        <f t="shared" si="19"/>
        <v>0</v>
      </c>
      <c r="H231" s="88"/>
      <c r="I231" s="20"/>
      <c r="J231" s="82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+'3'!G232</f>
        <v>0</v>
      </c>
      <c r="D232" s="87">
        <v>0</v>
      </c>
      <c r="E232" s="47">
        <f t="shared" si="17"/>
        <v>0</v>
      </c>
      <c r="F232" s="87">
        <v>0</v>
      </c>
      <c r="G232" s="47">
        <f t="shared" si="19"/>
        <v>0</v>
      </c>
      <c r="H232" s="88"/>
      <c r="I232" s="20"/>
      <c r="J232" s="82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+'3'!G233</f>
        <v>0</v>
      </c>
      <c r="D233" s="87">
        <v>0</v>
      </c>
      <c r="E233" s="47">
        <f t="shared" si="17"/>
        <v>0</v>
      </c>
      <c r="F233" s="87">
        <v>0</v>
      </c>
      <c r="G233" s="47">
        <f t="shared" si="19"/>
        <v>0</v>
      </c>
      <c r="H233" s="88"/>
      <c r="I233" s="20"/>
      <c r="J233" s="82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+'3'!G234</f>
        <v>0</v>
      </c>
      <c r="D234" s="87">
        <v>0</v>
      </c>
      <c r="E234" s="47">
        <f t="shared" si="17"/>
        <v>0</v>
      </c>
      <c r="F234" s="87">
        <v>0</v>
      </c>
      <c r="G234" s="47">
        <f t="shared" si="19"/>
        <v>0</v>
      </c>
      <c r="H234" s="88"/>
      <c r="I234" s="20"/>
      <c r="J234" s="82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+'3'!G235</f>
        <v>0</v>
      </c>
      <c r="D235" s="87">
        <v>0</v>
      </c>
      <c r="E235" s="47">
        <f t="shared" si="17"/>
        <v>0</v>
      </c>
      <c r="F235" s="87">
        <v>0</v>
      </c>
      <c r="G235" s="47">
        <f t="shared" si="19"/>
        <v>0</v>
      </c>
      <c r="H235" s="88"/>
      <c r="I235" s="20"/>
      <c r="J235" s="82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+'3'!G236</f>
        <v>0</v>
      </c>
      <c r="D236" s="87">
        <v>0</v>
      </c>
      <c r="E236" s="47">
        <f t="shared" si="17"/>
        <v>0</v>
      </c>
      <c r="F236" s="87">
        <v>0</v>
      </c>
      <c r="G236" s="47">
        <f t="shared" si="19"/>
        <v>0</v>
      </c>
      <c r="H236" s="88"/>
      <c r="I236" s="20"/>
      <c r="J236" s="82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+'3'!G237</f>
        <v>0</v>
      </c>
      <c r="D237" s="87">
        <v>0</v>
      </c>
      <c r="E237" s="47">
        <f t="shared" si="17"/>
        <v>0</v>
      </c>
      <c r="F237" s="87">
        <v>0</v>
      </c>
      <c r="G237" s="47">
        <f t="shared" si="19"/>
        <v>0</v>
      </c>
      <c r="H237" s="88"/>
      <c r="I237" s="20"/>
      <c r="J237" s="82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+'3'!G238</f>
        <v>0</v>
      </c>
      <c r="D238" s="87">
        <v>0</v>
      </c>
      <c r="E238" s="47">
        <f t="shared" si="17"/>
        <v>0</v>
      </c>
      <c r="F238" s="87">
        <v>0</v>
      </c>
      <c r="G238" s="47">
        <f t="shared" si="19"/>
        <v>0</v>
      </c>
      <c r="H238" s="88"/>
      <c r="I238" s="20"/>
      <c r="J238" s="82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+'3'!G239</f>
        <v>0</v>
      </c>
      <c r="D239" s="87">
        <v>0</v>
      </c>
      <c r="E239" s="47">
        <f t="shared" si="17"/>
        <v>0</v>
      </c>
      <c r="F239" s="87">
        <v>0</v>
      </c>
      <c r="G239" s="47">
        <f t="shared" si="19"/>
        <v>0</v>
      </c>
      <c r="H239" s="88"/>
      <c r="I239" s="20"/>
      <c r="J239" s="82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+'3'!G240</f>
        <v>0</v>
      </c>
      <c r="D240" s="87">
        <v>0</v>
      </c>
      <c r="E240" s="47">
        <f t="shared" si="17"/>
        <v>0</v>
      </c>
      <c r="F240" s="87">
        <v>0</v>
      </c>
      <c r="G240" s="47">
        <f t="shared" si="19"/>
        <v>0</v>
      </c>
      <c r="H240" s="88"/>
      <c r="I240" s="20"/>
      <c r="J240" s="82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+'3'!G241</f>
        <v>0</v>
      </c>
      <c r="D241" s="87">
        <v>0</v>
      </c>
      <c r="E241" s="47">
        <f t="shared" si="17"/>
        <v>0</v>
      </c>
      <c r="F241" s="87">
        <v>0</v>
      </c>
      <c r="G241" s="47">
        <f t="shared" si="19"/>
        <v>0</v>
      </c>
      <c r="H241" s="88"/>
      <c r="I241" s="20"/>
      <c r="J241" s="82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+'3'!G242</f>
        <v>0</v>
      </c>
      <c r="D242" s="87">
        <v>0</v>
      </c>
      <c r="E242" s="47">
        <f t="shared" si="17"/>
        <v>0</v>
      </c>
      <c r="F242" s="87">
        <v>0</v>
      </c>
      <c r="G242" s="47">
        <f t="shared" si="19"/>
        <v>0</v>
      </c>
      <c r="H242" s="88"/>
      <c r="I242" s="20"/>
      <c r="J242" s="82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+'3'!G243</f>
        <v>0</v>
      </c>
      <c r="D243" s="87">
        <v>0</v>
      </c>
      <c r="E243" s="47">
        <f t="shared" si="17"/>
        <v>0</v>
      </c>
      <c r="F243" s="87">
        <v>0</v>
      </c>
      <c r="G243" s="47">
        <f t="shared" si="19"/>
        <v>0</v>
      </c>
      <c r="H243" s="88"/>
      <c r="I243" s="20"/>
      <c r="J243" s="82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+'3'!G244</f>
        <v>0</v>
      </c>
      <c r="D244" s="87">
        <v>0</v>
      </c>
      <c r="E244" s="47">
        <f t="shared" si="17"/>
        <v>0</v>
      </c>
      <c r="F244" s="87">
        <v>0</v>
      </c>
      <c r="G244" s="47">
        <f t="shared" si="19"/>
        <v>0</v>
      </c>
      <c r="H244" s="88"/>
      <c r="I244" s="20"/>
      <c r="J244" s="82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+'3'!G245</f>
        <v>0</v>
      </c>
      <c r="D245" s="87">
        <v>0</v>
      </c>
      <c r="E245" s="47">
        <f t="shared" si="17"/>
        <v>0</v>
      </c>
      <c r="F245" s="87">
        <v>0</v>
      </c>
      <c r="G245" s="47">
        <f t="shared" si="19"/>
        <v>0</v>
      </c>
      <c r="H245" s="88"/>
      <c r="I245" s="20"/>
      <c r="J245" s="82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+'3'!G246</f>
        <v>0</v>
      </c>
      <c r="D246" s="87">
        <v>0</v>
      </c>
      <c r="E246" s="47">
        <f t="shared" si="17"/>
        <v>0</v>
      </c>
      <c r="F246" s="87">
        <v>0</v>
      </c>
      <c r="G246" s="47">
        <f t="shared" si="19"/>
        <v>0</v>
      </c>
      <c r="H246" s="88"/>
      <c r="I246" s="20"/>
      <c r="J246" s="82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+'3'!G247</f>
        <v>0</v>
      </c>
      <c r="D247" s="87">
        <v>0</v>
      </c>
      <c r="E247" s="47">
        <f t="shared" si="17"/>
        <v>0</v>
      </c>
      <c r="F247" s="87">
        <v>0</v>
      </c>
      <c r="G247" s="47">
        <f t="shared" si="19"/>
        <v>0</v>
      </c>
      <c r="H247" s="88"/>
      <c r="I247" s="20"/>
      <c r="J247" s="82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+'3'!G248</f>
        <v>0</v>
      </c>
      <c r="D248" s="87">
        <v>0</v>
      </c>
      <c r="E248" s="47">
        <f t="shared" si="17"/>
        <v>0</v>
      </c>
      <c r="F248" s="87">
        <v>0</v>
      </c>
      <c r="G248" s="47">
        <f t="shared" si="19"/>
        <v>0</v>
      </c>
      <c r="H248" s="88"/>
      <c r="I248" s="20"/>
      <c r="J248" s="82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+'3'!G249</f>
        <v>0</v>
      </c>
      <c r="D249" s="87">
        <v>0</v>
      </c>
      <c r="E249" s="47">
        <f t="shared" si="17"/>
        <v>0</v>
      </c>
      <c r="F249" s="87">
        <v>0</v>
      </c>
      <c r="G249" s="47">
        <f t="shared" si="19"/>
        <v>0</v>
      </c>
      <c r="H249" s="88"/>
      <c r="I249" s="20"/>
      <c r="J249" s="82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+'3'!G250</f>
        <v>0</v>
      </c>
      <c r="D250" s="87">
        <v>0</v>
      </c>
      <c r="E250" s="47">
        <f t="shared" si="17"/>
        <v>0</v>
      </c>
      <c r="F250" s="87">
        <v>0</v>
      </c>
      <c r="G250" s="47">
        <f t="shared" si="19"/>
        <v>0</v>
      </c>
      <c r="H250" s="88"/>
      <c r="I250" s="20"/>
      <c r="J250" s="82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+'3'!G251</f>
        <v>0</v>
      </c>
      <c r="D251" s="87">
        <v>0</v>
      </c>
      <c r="E251" s="47">
        <f t="shared" si="17"/>
        <v>0</v>
      </c>
      <c r="F251" s="87">
        <v>0</v>
      </c>
      <c r="G251" s="47">
        <f t="shared" si="19"/>
        <v>0</v>
      </c>
      <c r="H251" s="88"/>
      <c r="I251" s="20"/>
      <c r="J251" s="82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+'3'!G252</f>
        <v>0</v>
      </c>
      <c r="D252" s="87">
        <v>0</v>
      </c>
      <c r="E252" s="47">
        <f t="shared" si="17"/>
        <v>0</v>
      </c>
      <c r="F252" s="87">
        <v>0</v>
      </c>
      <c r="G252" s="47">
        <f t="shared" si="19"/>
        <v>0</v>
      </c>
      <c r="H252" s="88"/>
      <c r="I252" s="20"/>
      <c r="J252" s="82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+'3'!G253</f>
        <v>0</v>
      </c>
      <c r="D253" s="87">
        <v>0</v>
      </c>
      <c r="E253" s="47">
        <f t="shared" ref="E253:E254" si="21">C253+D253</f>
        <v>0</v>
      </c>
      <c r="F253" s="87">
        <v>0</v>
      </c>
      <c r="G253" s="47">
        <f t="shared" si="19"/>
        <v>0</v>
      </c>
      <c r="H253" s="88"/>
      <c r="I253" s="20"/>
      <c r="J253" s="82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+'3'!G254</f>
        <v>0</v>
      </c>
      <c r="D254" s="87">
        <v>0</v>
      </c>
      <c r="E254" s="47">
        <f t="shared" si="21"/>
        <v>0</v>
      </c>
      <c r="F254" s="87">
        <v>0</v>
      </c>
      <c r="G254" s="47">
        <f t="shared" si="19"/>
        <v>0</v>
      </c>
      <c r="H254" s="88"/>
      <c r="I254" s="20"/>
      <c r="J254" s="82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2070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3" t="s">
        <v>213</v>
      </c>
      <c r="N255" s="143"/>
    </row>
    <row r="256" spans="1:14" ht="25.5" customHeight="1" x14ac:dyDescent="0.5">
      <c r="A256" s="1"/>
      <c r="C256" s="24"/>
      <c r="D256" s="25"/>
      <c r="E256" s="24"/>
      <c r="F256" s="25"/>
      <c r="G256" s="24"/>
      <c r="H256" s="148" t="s">
        <v>212</v>
      </c>
      <c r="I256" s="149"/>
      <c r="J256" s="30">
        <f>+X138</f>
        <v>0</v>
      </c>
      <c r="K256" s="27"/>
      <c r="L256" s="29"/>
    </row>
    <row r="257" spans="1:19" ht="25.5" x14ac:dyDescent="0.55000000000000004">
      <c r="A257" s="1"/>
      <c r="C257" s="31"/>
      <c r="E257" s="31"/>
      <c r="G257" s="31"/>
      <c r="H257" s="32"/>
      <c r="I257" s="150" t="s">
        <v>202</v>
      </c>
      <c r="J257" s="150"/>
      <c r="K257" s="33">
        <f>SUM(J5:J256)</f>
        <v>2120</v>
      </c>
    </row>
    <row r="258" spans="1:19" ht="25.5" x14ac:dyDescent="0.55000000000000004">
      <c r="A258" s="1"/>
      <c r="C258" s="31"/>
      <c r="E258" s="31"/>
      <c r="G258" s="31"/>
      <c r="I258" s="140" t="s">
        <v>203</v>
      </c>
      <c r="J258" s="141"/>
      <c r="K258" s="36">
        <v>15</v>
      </c>
    </row>
    <row r="259" spans="1:19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1270</v>
      </c>
      <c r="L259" s="2">
        <v>100</v>
      </c>
      <c r="M259" s="2">
        <v>500</v>
      </c>
      <c r="N259" s="2">
        <v>150</v>
      </c>
      <c r="O259" s="2">
        <v>130</v>
      </c>
      <c r="P259" s="2">
        <v>50</v>
      </c>
      <c r="Q259" s="2">
        <v>90</v>
      </c>
      <c r="R259" s="2">
        <v>50</v>
      </c>
      <c r="S259" s="2">
        <v>200</v>
      </c>
    </row>
    <row r="260" spans="1:19" ht="25.5" x14ac:dyDescent="0.55000000000000004">
      <c r="A260" s="1"/>
      <c r="C260" s="31"/>
      <c r="E260" s="31"/>
      <c r="G260" s="31"/>
      <c r="I260" s="140" t="s">
        <v>205</v>
      </c>
      <c r="J260" s="141"/>
      <c r="K260" s="36">
        <v>0</v>
      </c>
    </row>
    <row r="261" spans="1:19" ht="25.5" x14ac:dyDescent="0.55000000000000004">
      <c r="A261" s="1"/>
      <c r="C261" s="31"/>
      <c r="E261" s="31"/>
      <c r="G261" s="31"/>
      <c r="I261" s="140" t="s">
        <v>206</v>
      </c>
      <c r="J261" s="141"/>
      <c r="K261" s="36">
        <v>0</v>
      </c>
    </row>
    <row r="262" spans="1:19" ht="25.5" x14ac:dyDescent="0.55000000000000004">
      <c r="A262" s="1"/>
      <c r="C262" s="31"/>
      <c r="E262" s="31"/>
      <c r="G262" s="31"/>
      <c r="I262" s="140" t="s">
        <v>207</v>
      </c>
      <c r="J262" s="141"/>
      <c r="K262" s="37">
        <f>SUM(L5:L255)</f>
        <v>50</v>
      </c>
    </row>
    <row r="263" spans="1:19" ht="25.5" x14ac:dyDescent="0.55000000000000004">
      <c r="A263" s="1"/>
      <c r="C263" s="31"/>
      <c r="E263" s="31"/>
      <c r="G263" s="31"/>
      <c r="I263" s="140" t="s">
        <v>208</v>
      </c>
      <c r="J263" s="141"/>
      <c r="K263" s="33">
        <f>K257-K258-K259-K261-K262</f>
        <v>785</v>
      </c>
    </row>
    <row r="264" spans="1:19" ht="25.5" x14ac:dyDescent="0.55000000000000004">
      <c r="A264" s="1"/>
      <c r="C264" s="31"/>
      <c r="E264" s="31"/>
      <c r="G264" s="31"/>
      <c r="I264" s="140" t="s">
        <v>209</v>
      </c>
      <c r="J264" s="141"/>
      <c r="K264" s="37">
        <v>785</v>
      </c>
    </row>
    <row r="265" spans="1:19" ht="25.5" x14ac:dyDescent="0.55000000000000004">
      <c r="A265" s="1"/>
      <c r="C265" s="31"/>
      <c r="E265" s="31"/>
      <c r="G265" s="31"/>
      <c r="I265" s="140" t="s">
        <v>210</v>
      </c>
      <c r="J265" s="141"/>
      <c r="K265" s="33">
        <f>+K264-K263</f>
        <v>0</v>
      </c>
    </row>
    <row r="266" spans="1:19" ht="25.5" x14ac:dyDescent="0.55000000000000004">
      <c r="G266" s="2"/>
      <c r="I266" s="140" t="s">
        <v>211</v>
      </c>
      <c r="J266" s="141"/>
      <c r="K266" s="33">
        <f>+K264-K263</f>
        <v>0</v>
      </c>
    </row>
    <row r="267" spans="1:19" x14ac:dyDescent="0.5">
      <c r="G267" s="2"/>
      <c r="I267" s="2"/>
    </row>
    <row r="268" spans="1:19" ht="25.5" x14ac:dyDescent="0.55000000000000004">
      <c r="G268" s="2"/>
      <c r="I268" s="105" t="s">
        <v>312</v>
      </c>
    </row>
    <row r="269" spans="1:19" x14ac:dyDescent="0.5">
      <c r="G269" s="2"/>
      <c r="I269" s="2"/>
    </row>
    <row r="270" spans="1:19" x14ac:dyDescent="0.5">
      <c r="G270" s="2"/>
      <c r="I270" s="2"/>
    </row>
    <row r="271" spans="1:19" x14ac:dyDescent="0.5">
      <c r="G271" s="2"/>
      <c r="I271" s="2"/>
    </row>
    <row r="272" spans="1:19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C6701-BDD1-440C-9F2A-10A5091D595D}">
  <sheetPr>
    <tabColor theme="7" tint="-0.249977111117893"/>
  </sheetPr>
  <dimension ref="A1:AB341"/>
  <sheetViews>
    <sheetView zoomScaleNormal="100" zoomScaleSheetLayoutView="145" workbookViewId="0">
      <pane xSplit="7" ySplit="4" topLeftCell="H251" activePane="bottomRight" state="frozen"/>
      <selection activeCell="B20" sqref="B20"/>
      <selection pane="topRight" activeCell="B20" sqref="B20"/>
      <selection pane="bottomLeft" activeCell="B20" sqref="B20"/>
      <selection pane="bottomRight" activeCell="B20" sqref="B20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8" x14ac:dyDescent="0.5">
      <c r="A1" s="1"/>
      <c r="G1" s="2"/>
      <c r="I1" s="2"/>
    </row>
    <row r="2" spans="1:28" s="3" customFormat="1" ht="29.25" x14ac:dyDescent="0.6">
      <c r="A2" s="137" t="s">
        <v>247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8" s="5" customFormat="1" ht="26.25" x14ac:dyDescent="0.55000000000000004">
      <c r="A3" s="139" t="s">
        <v>1</v>
      </c>
      <c r="B3" s="151" t="s">
        <v>2</v>
      </c>
      <c r="C3" s="139" t="s">
        <v>3</v>
      </c>
      <c r="D3" s="139" t="s">
        <v>4</v>
      </c>
      <c r="E3" s="139" t="s">
        <v>5</v>
      </c>
      <c r="F3" s="85" t="s">
        <v>6</v>
      </c>
      <c r="G3" s="139" t="s">
        <v>7</v>
      </c>
      <c r="H3" s="142" t="s">
        <v>8</v>
      </c>
      <c r="I3" s="142"/>
      <c r="J3" s="142"/>
      <c r="K3" s="139" t="s">
        <v>9</v>
      </c>
      <c r="L3" s="144" t="s">
        <v>10</v>
      </c>
      <c r="O3" s="139" t="s">
        <v>1</v>
      </c>
      <c r="P3" s="139" t="s">
        <v>2</v>
      </c>
      <c r="Q3" s="139" t="s">
        <v>3</v>
      </c>
      <c r="R3" s="139" t="s">
        <v>4</v>
      </c>
      <c r="S3" s="139" t="s">
        <v>5</v>
      </c>
      <c r="T3" s="85" t="s">
        <v>6</v>
      </c>
      <c r="U3" s="139" t="s">
        <v>7</v>
      </c>
      <c r="V3" s="142" t="s">
        <v>8</v>
      </c>
      <c r="W3" s="142"/>
      <c r="X3" s="142"/>
      <c r="Y3" s="139" t="s">
        <v>9</v>
      </c>
      <c r="Z3" s="144" t="s">
        <v>10</v>
      </c>
    </row>
    <row r="4" spans="1:28" s="5" customFormat="1" ht="26.25" x14ac:dyDescent="0.55000000000000004">
      <c r="A4" s="139"/>
      <c r="B4" s="151"/>
      <c r="C4" s="139"/>
      <c r="D4" s="139"/>
      <c r="E4" s="139"/>
      <c r="F4" s="85" t="s">
        <v>11</v>
      </c>
      <c r="G4" s="139"/>
      <c r="H4" s="85" t="s">
        <v>12</v>
      </c>
      <c r="I4" s="86" t="s">
        <v>13</v>
      </c>
      <c r="J4" s="85" t="s">
        <v>14</v>
      </c>
      <c r="K4" s="139"/>
      <c r="L4" s="144"/>
      <c r="O4" s="139"/>
      <c r="P4" s="139"/>
      <c r="Q4" s="139"/>
      <c r="R4" s="139"/>
      <c r="S4" s="139"/>
      <c r="T4" s="85" t="s">
        <v>11</v>
      </c>
      <c r="U4" s="139"/>
      <c r="V4" s="85" t="s">
        <v>12</v>
      </c>
      <c r="W4" s="86" t="s">
        <v>13</v>
      </c>
      <c r="X4" s="85" t="s">
        <v>14</v>
      </c>
      <c r="Y4" s="139"/>
      <c r="Z4" s="144"/>
      <c r="AB4" s="5" t="s">
        <v>2</v>
      </c>
    </row>
    <row r="5" spans="1:28" ht="25.5" x14ac:dyDescent="0.55000000000000004">
      <c r="A5" s="10">
        <v>1</v>
      </c>
      <c r="B5" s="19" t="s">
        <v>15</v>
      </c>
      <c r="C5" s="79">
        <f>+'4'!G5</f>
        <v>21</v>
      </c>
      <c r="D5" s="87">
        <v>0</v>
      </c>
      <c r="E5" s="47">
        <f t="shared" ref="E5:E125" si="0">C5+D5</f>
        <v>21</v>
      </c>
      <c r="F5" s="87">
        <v>0</v>
      </c>
      <c r="G5" s="47">
        <f>+E5-F5-H5</f>
        <v>19</v>
      </c>
      <c r="H5" s="88">
        <v>2</v>
      </c>
      <c r="I5" s="15">
        <v>50</v>
      </c>
      <c r="J5" s="82">
        <f>+I5*H5</f>
        <v>100</v>
      </c>
      <c r="K5" s="17" t="s">
        <v>16</v>
      </c>
      <c r="L5" s="18">
        <v>50</v>
      </c>
      <c r="M5" s="104">
        <f>SUM(J5-L5)</f>
        <v>50</v>
      </c>
      <c r="O5" s="10">
        <v>1</v>
      </c>
      <c r="P5" s="19"/>
      <c r="Q5" s="47">
        <v>0</v>
      </c>
      <c r="R5" s="87">
        <v>0</v>
      </c>
      <c r="S5" s="47">
        <f t="shared" ref="S5:S14" si="1">Q5+R5</f>
        <v>0</v>
      </c>
      <c r="T5" s="87">
        <v>0</v>
      </c>
      <c r="U5" s="47">
        <f t="shared" ref="U5:U14" si="2">S5-T5-V5</f>
        <v>0</v>
      </c>
      <c r="V5" s="88">
        <v>0</v>
      </c>
      <c r="W5" s="22"/>
      <c r="X5" s="44">
        <f t="shared" ref="X5:X14" si="3">V5*W5</f>
        <v>0</v>
      </c>
      <c r="Y5" s="17" t="s">
        <v>16</v>
      </c>
      <c r="Z5" s="18">
        <v>0</v>
      </c>
      <c r="AB5" s="2" t="s">
        <v>317</v>
      </c>
    </row>
    <row r="6" spans="1:28" ht="25.5" x14ac:dyDescent="0.55000000000000004">
      <c r="A6" s="10">
        <v>2</v>
      </c>
      <c r="B6" s="19" t="s">
        <v>17</v>
      </c>
      <c r="C6" s="79">
        <f>+'4'!G6</f>
        <v>21</v>
      </c>
      <c r="D6" s="87">
        <v>0</v>
      </c>
      <c r="E6" s="47">
        <f t="shared" si="0"/>
        <v>21</v>
      </c>
      <c r="F6" s="87">
        <v>0</v>
      </c>
      <c r="G6" s="103">
        <f t="shared" ref="G6:G100" si="4">+E6-F6-H6</f>
        <v>18</v>
      </c>
      <c r="H6" s="88">
        <v>3</v>
      </c>
      <c r="I6" s="15">
        <v>100</v>
      </c>
      <c r="J6" s="82">
        <f t="shared" ref="J6:J100" si="5">+I6*H6</f>
        <v>300</v>
      </c>
      <c r="K6" s="17" t="s">
        <v>16</v>
      </c>
      <c r="L6" s="18">
        <v>0</v>
      </c>
      <c r="M6" s="104">
        <f t="shared" ref="M6:M69" si="6">SUM(J6-L6)</f>
        <v>300</v>
      </c>
      <c r="O6" s="10">
        <v>2</v>
      </c>
      <c r="P6" s="19"/>
      <c r="Q6" s="47">
        <v>0</v>
      </c>
      <c r="R6" s="87">
        <v>0</v>
      </c>
      <c r="S6" s="47">
        <f t="shared" si="1"/>
        <v>0</v>
      </c>
      <c r="T6" s="87">
        <v>0</v>
      </c>
      <c r="U6" s="47">
        <f t="shared" si="2"/>
        <v>0</v>
      </c>
      <c r="V6" s="88">
        <v>0</v>
      </c>
      <c r="W6" s="22"/>
      <c r="X6" s="44">
        <f t="shared" si="3"/>
        <v>0</v>
      </c>
      <c r="Y6" s="17" t="s">
        <v>16</v>
      </c>
      <c r="Z6" s="18">
        <v>0</v>
      </c>
      <c r="AB6" s="2" t="s">
        <v>318</v>
      </c>
    </row>
    <row r="7" spans="1:28" ht="25.5" x14ac:dyDescent="0.55000000000000004">
      <c r="A7" s="10">
        <v>3</v>
      </c>
      <c r="B7" s="19" t="s">
        <v>18</v>
      </c>
      <c r="C7" s="79">
        <f>+'4'!G7</f>
        <v>0</v>
      </c>
      <c r="D7" s="87">
        <v>0</v>
      </c>
      <c r="E7" s="47">
        <f>C7+D7</f>
        <v>0</v>
      </c>
      <c r="F7" s="87">
        <v>0</v>
      </c>
      <c r="G7" s="47">
        <f t="shared" si="4"/>
        <v>0</v>
      </c>
      <c r="H7" s="88"/>
      <c r="I7" s="15">
        <v>50</v>
      </c>
      <c r="J7" s="8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7">
        <v>0</v>
      </c>
      <c r="S7" s="47">
        <f t="shared" si="1"/>
        <v>0</v>
      </c>
      <c r="T7" s="87">
        <v>0</v>
      </c>
      <c r="U7" s="47">
        <f t="shared" si="2"/>
        <v>0</v>
      </c>
      <c r="V7" s="88">
        <v>0</v>
      </c>
      <c r="W7" s="22"/>
      <c r="X7" s="44">
        <f t="shared" si="3"/>
        <v>0</v>
      </c>
      <c r="Y7" s="17" t="s">
        <v>16</v>
      </c>
      <c r="Z7" s="18">
        <v>0</v>
      </c>
      <c r="AB7" s="2" t="s">
        <v>319</v>
      </c>
    </row>
    <row r="8" spans="1:28" ht="25.5" x14ac:dyDescent="0.55000000000000004">
      <c r="A8" s="10">
        <v>4</v>
      </c>
      <c r="B8" s="19" t="s">
        <v>19</v>
      </c>
      <c r="C8" s="79">
        <f>+'4'!G8</f>
        <v>0</v>
      </c>
      <c r="D8" s="87">
        <v>0</v>
      </c>
      <c r="E8" s="47">
        <f>C8+D8</f>
        <v>0</v>
      </c>
      <c r="F8" s="87">
        <v>0</v>
      </c>
      <c r="G8" s="47">
        <f t="shared" si="4"/>
        <v>0</v>
      </c>
      <c r="H8" s="88"/>
      <c r="I8" s="15">
        <v>100</v>
      </c>
      <c r="J8" s="8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7">
        <v>0</v>
      </c>
      <c r="S8" s="47">
        <f t="shared" si="1"/>
        <v>0</v>
      </c>
      <c r="T8" s="87">
        <v>0</v>
      </c>
      <c r="U8" s="47">
        <f t="shared" si="2"/>
        <v>0</v>
      </c>
      <c r="V8" s="88">
        <v>0</v>
      </c>
      <c r="W8" s="22"/>
      <c r="X8" s="44">
        <f t="shared" si="3"/>
        <v>0</v>
      </c>
      <c r="Y8" s="17" t="s">
        <v>16</v>
      </c>
      <c r="Z8" s="18">
        <v>0</v>
      </c>
      <c r="AB8" s="2" t="s">
        <v>320</v>
      </c>
    </row>
    <row r="9" spans="1:28" ht="25.5" x14ac:dyDescent="0.55000000000000004">
      <c r="A9" s="10">
        <v>5</v>
      </c>
      <c r="B9" s="19" t="s">
        <v>20</v>
      </c>
      <c r="C9" s="79">
        <f>+'4'!G9</f>
        <v>0</v>
      </c>
      <c r="D9" s="87">
        <v>0</v>
      </c>
      <c r="E9" s="47">
        <f>C9+D9</f>
        <v>0</v>
      </c>
      <c r="F9" s="87">
        <v>0</v>
      </c>
      <c r="G9" s="47">
        <f t="shared" si="4"/>
        <v>0</v>
      </c>
      <c r="H9" s="88"/>
      <c r="I9" s="15">
        <v>12</v>
      </c>
      <c r="J9" s="8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7">
        <v>0</v>
      </c>
      <c r="S9" s="47">
        <f t="shared" si="1"/>
        <v>0</v>
      </c>
      <c r="T9" s="87">
        <v>0</v>
      </c>
      <c r="U9" s="47">
        <f t="shared" si="2"/>
        <v>0</v>
      </c>
      <c r="V9" s="88">
        <v>0</v>
      </c>
      <c r="W9" s="22"/>
      <c r="X9" s="44">
        <f t="shared" si="3"/>
        <v>0</v>
      </c>
      <c r="Y9" s="17" t="s">
        <v>16</v>
      </c>
      <c r="Z9" s="18">
        <v>0</v>
      </c>
      <c r="AB9" s="2" t="s">
        <v>307</v>
      </c>
    </row>
    <row r="10" spans="1:28" ht="25.5" x14ac:dyDescent="0.55000000000000004">
      <c r="A10" s="10">
        <v>6</v>
      </c>
      <c r="B10" s="19" t="s">
        <v>21</v>
      </c>
      <c r="C10" s="79">
        <f>+'4'!G10</f>
        <v>0</v>
      </c>
      <c r="D10" s="87">
        <v>0</v>
      </c>
      <c r="E10" s="47">
        <f>C10+D10</f>
        <v>0</v>
      </c>
      <c r="F10" s="87">
        <v>0</v>
      </c>
      <c r="G10" s="47">
        <f t="shared" si="4"/>
        <v>0</v>
      </c>
      <c r="H10" s="88"/>
      <c r="I10" s="15">
        <v>15</v>
      </c>
      <c r="J10" s="8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7">
        <v>0</v>
      </c>
      <c r="S10" s="47">
        <f t="shared" si="1"/>
        <v>0</v>
      </c>
      <c r="T10" s="87">
        <v>0</v>
      </c>
      <c r="U10" s="47">
        <f t="shared" si="2"/>
        <v>0</v>
      </c>
      <c r="V10" s="88">
        <v>0</v>
      </c>
      <c r="W10" s="22"/>
      <c r="X10" s="44">
        <f t="shared" si="3"/>
        <v>0</v>
      </c>
      <c r="Y10" s="17" t="s">
        <v>16</v>
      </c>
      <c r="Z10" s="18">
        <v>0</v>
      </c>
      <c r="AB10" s="2" t="s">
        <v>311</v>
      </c>
    </row>
    <row r="11" spans="1:28" ht="25.5" x14ac:dyDescent="0.55000000000000004">
      <c r="A11" s="10">
        <v>7</v>
      </c>
      <c r="B11" s="19" t="s">
        <v>22</v>
      </c>
      <c r="C11" s="79">
        <f>+'4'!G11</f>
        <v>0</v>
      </c>
      <c r="D11" s="87">
        <v>0</v>
      </c>
      <c r="E11" s="47">
        <f t="shared" si="0"/>
        <v>0</v>
      </c>
      <c r="F11" s="87">
        <v>0</v>
      </c>
      <c r="G11" s="47">
        <f t="shared" si="4"/>
        <v>0</v>
      </c>
      <c r="H11" s="88"/>
      <c r="I11" s="15">
        <v>40</v>
      </c>
      <c r="J11" s="8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7">
        <v>0</v>
      </c>
      <c r="S11" s="47">
        <f t="shared" si="1"/>
        <v>0</v>
      </c>
      <c r="T11" s="87">
        <v>0</v>
      </c>
      <c r="U11" s="47">
        <f t="shared" si="2"/>
        <v>0</v>
      </c>
      <c r="V11" s="88">
        <v>0</v>
      </c>
      <c r="W11" s="22"/>
      <c r="X11" s="44">
        <f t="shared" si="3"/>
        <v>0</v>
      </c>
      <c r="Y11" s="17" t="s">
        <v>16</v>
      </c>
      <c r="Z11" s="18">
        <v>0</v>
      </c>
      <c r="AB11" s="2" t="s">
        <v>321</v>
      </c>
    </row>
    <row r="12" spans="1:28" ht="25.5" x14ac:dyDescent="0.55000000000000004">
      <c r="A12" s="10">
        <v>8</v>
      </c>
      <c r="B12" s="19" t="s">
        <v>23</v>
      </c>
      <c r="C12" s="79">
        <f>+'4'!G12</f>
        <v>5</v>
      </c>
      <c r="D12" s="87">
        <v>0</v>
      </c>
      <c r="E12" s="47">
        <f t="shared" si="0"/>
        <v>5</v>
      </c>
      <c r="F12" s="87">
        <v>0</v>
      </c>
      <c r="G12" s="47">
        <f t="shared" si="4"/>
        <v>4</v>
      </c>
      <c r="H12" s="88">
        <v>1</v>
      </c>
      <c r="I12" s="20">
        <v>50</v>
      </c>
      <c r="J12" s="82">
        <f t="shared" si="5"/>
        <v>50</v>
      </c>
      <c r="K12" s="17" t="s">
        <v>16</v>
      </c>
      <c r="L12" s="18">
        <v>0</v>
      </c>
      <c r="M12" s="104">
        <f t="shared" si="6"/>
        <v>50</v>
      </c>
      <c r="O12" s="10">
        <v>8</v>
      </c>
      <c r="P12" s="19"/>
      <c r="Q12" s="47">
        <v>0</v>
      </c>
      <c r="R12" s="87">
        <v>0</v>
      </c>
      <c r="S12" s="47">
        <f t="shared" si="1"/>
        <v>0</v>
      </c>
      <c r="T12" s="87">
        <v>0</v>
      </c>
      <c r="U12" s="47">
        <f t="shared" si="2"/>
        <v>0</v>
      </c>
      <c r="V12" s="88">
        <v>0</v>
      </c>
      <c r="W12" s="22"/>
      <c r="X12" s="44">
        <f t="shared" si="3"/>
        <v>0</v>
      </c>
      <c r="Y12" s="17" t="s">
        <v>16</v>
      </c>
      <c r="Z12" s="18">
        <v>0</v>
      </c>
      <c r="AB12" s="2" t="s">
        <v>289</v>
      </c>
    </row>
    <row r="13" spans="1:28" ht="25.5" x14ac:dyDescent="0.55000000000000004">
      <c r="A13" s="10">
        <v>9</v>
      </c>
      <c r="B13" s="19" t="s">
        <v>24</v>
      </c>
      <c r="C13" s="79">
        <f>+'4'!G13</f>
        <v>0</v>
      </c>
      <c r="D13" s="87">
        <v>0</v>
      </c>
      <c r="E13" s="47">
        <f>C13+D13</f>
        <v>0</v>
      </c>
      <c r="F13" s="87">
        <v>0</v>
      </c>
      <c r="G13" s="47">
        <f t="shared" si="4"/>
        <v>0</v>
      </c>
      <c r="H13" s="88"/>
      <c r="I13" s="20">
        <v>55</v>
      </c>
      <c r="J13" s="8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7">
        <v>0</v>
      </c>
      <c r="S13" s="47">
        <f t="shared" si="1"/>
        <v>0</v>
      </c>
      <c r="T13" s="87">
        <v>0</v>
      </c>
      <c r="U13" s="47">
        <f t="shared" si="2"/>
        <v>0</v>
      </c>
      <c r="V13" s="88">
        <v>0</v>
      </c>
      <c r="W13" s="22"/>
      <c r="X13" s="44">
        <f t="shared" si="3"/>
        <v>0</v>
      </c>
      <c r="Y13" s="17" t="s">
        <v>16</v>
      </c>
      <c r="Z13" s="18">
        <v>0</v>
      </c>
      <c r="AB13" s="2" t="s">
        <v>322</v>
      </c>
    </row>
    <row r="14" spans="1:28" ht="25.5" x14ac:dyDescent="0.55000000000000004">
      <c r="A14" s="10">
        <v>10</v>
      </c>
      <c r="B14" s="19" t="s">
        <v>25</v>
      </c>
      <c r="C14" s="79">
        <f>+'4'!G14</f>
        <v>3</v>
      </c>
      <c r="D14" s="87">
        <v>0</v>
      </c>
      <c r="E14" s="47">
        <f t="shared" si="0"/>
        <v>3</v>
      </c>
      <c r="F14" s="87">
        <v>0</v>
      </c>
      <c r="G14" s="47">
        <f t="shared" si="4"/>
        <v>3</v>
      </c>
      <c r="H14" s="88"/>
      <c r="I14" s="20">
        <v>65</v>
      </c>
      <c r="J14" s="8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7">
        <v>0</v>
      </c>
      <c r="S14" s="47">
        <f t="shared" si="1"/>
        <v>0</v>
      </c>
      <c r="T14" s="87">
        <v>0</v>
      </c>
      <c r="U14" s="47">
        <f t="shared" si="2"/>
        <v>0</v>
      </c>
      <c r="V14" s="88">
        <v>0</v>
      </c>
      <c r="W14" s="22"/>
      <c r="X14" s="44">
        <f t="shared" si="3"/>
        <v>0</v>
      </c>
      <c r="Y14" s="17" t="s">
        <v>16</v>
      </c>
      <c r="Z14" s="18">
        <v>0</v>
      </c>
      <c r="AB14" s="2" t="s">
        <v>306</v>
      </c>
    </row>
    <row r="15" spans="1:28" ht="25.5" x14ac:dyDescent="0.55000000000000004">
      <c r="A15" s="10">
        <v>11</v>
      </c>
      <c r="B15" s="19" t="s">
        <v>26</v>
      </c>
      <c r="C15" s="79">
        <f>+'4'!G15</f>
        <v>0</v>
      </c>
      <c r="D15" s="87">
        <v>0</v>
      </c>
      <c r="E15" s="47">
        <f t="shared" si="0"/>
        <v>0</v>
      </c>
      <c r="F15" s="87">
        <v>0</v>
      </c>
      <c r="G15" s="47">
        <f t="shared" si="4"/>
        <v>0</v>
      </c>
      <c r="H15" s="88"/>
      <c r="I15" s="20">
        <v>50</v>
      </c>
      <c r="J15" s="8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7">
        <v>0</v>
      </c>
      <c r="S15" s="47">
        <f t="shared" ref="S15:S29" si="7">Q15+R15</f>
        <v>0</v>
      </c>
      <c r="T15" s="87">
        <v>0</v>
      </c>
      <c r="U15" s="47">
        <f t="shared" ref="U15:U29" si="8">S15-T15-V15</f>
        <v>0</v>
      </c>
      <c r="V15" s="88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8" ht="25.5" x14ac:dyDescent="0.55000000000000004">
      <c r="A16" s="10">
        <v>12</v>
      </c>
      <c r="B16" s="19" t="s">
        <v>27</v>
      </c>
      <c r="C16" s="79">
        <f>+'4'!G16</f>
        <v>0</v>
      </c>
      <c r="D16" s="87">
        <v>0</v>
      </c>
      <c r="E16" s="47">
        <f t="shared" si="0"/>
        <v>0</v>
      </c>
      <c r="F16" s="87">
        <v>0</v>
      </c>
      <c r="G16" s="47">
        <f t="shared" si="4"/>
        <v>0</v>
      </c>
      <c r="H16" s="88"/>
      <c r="I16" s="15">
        <v>50</v>
      </c>
      <c r="J16" s="8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7">
        <v>0</v>
      </c>
      <c r="S16" s="47">
        <f t="shared" si="7"/>
        <v>0</v>
      </c>
      <c r="T16" s="87">
        <v>0</v>
      </c>
      <c r="U16" s="47">
        <f t="shared" si="8"/>
        <v>0</v>
      </c>
      <c r="V16" s="88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+'4'!G17</f>
        <v>0</v>
      </c>
      <c r="D17" s="87">
        <v>0</v>
      </c>
      <c r="E17" s="47">
        <f t="shared" si="0"/>
        <v>0</v>
      </c>
      <c r="F17" s="87">
        <v>0</v>
      </c>
      <c r="G17" s="47">
        <f t="shared" si="4"/>
        <v>0</v>
      </c>
      <c r="H17" s="88"/>
      <c r="I17" s="15">
        <v>50</v>
      </c>
      <c r="J17" s="8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7">
        <v>0</v>
      </c>
      <c r="S17" s="47">
        <f t="shared" si="7"/>
        <v>0</v>
      </c>
      <c r="T17" s="87">
        <v>0</v>
      </c>
      <c r="U17" s="47">
        <f t="shared" si="8"/>
        <v>0</v>
      </c>
      <c r="V17" s="88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+'4'!G18</f>
        <v>0</v>
      </c>
      <c r="D18" s="87">
        <v>0</v>
      </c>
      <c r="E18" s="47">
        <f t="shared" si="0"/>
        <v>0</v>
      </c>
      <c r="F18" s="87">
        <v>0</v>
      </c>
      <c r="G18" s="47">
        <f t="shared" si="4"/>
        <v>0</v>
      </c>
      <c r="H18" s="88"/>
      <c r="I18" s="20">
        <v>50</v>
      </c>
      <c r="J18" s="8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7">
        <v>0</v>
      </c>
      <c r="S18" s="47">
        <f t="shared" si="7"/>
        <v>0</v>
      </c>
      <c r="T18" s="87">
        <v>0</v>
      </c>
      <c r="U18" s="47">
        <f t="shared" si="8"/>
        <v>0</v>
      </c>
      <c r="V18" s="88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329</v>
      </c>
      <c r="C19" s="79">
        <f>+'4'!G19</f>
        <v>0</v>
      </c>
      <c r="D19" s="87">
        <v>0</v>
      </c>
      <c r="E19" s="47">
        <f t="shared" si="0"/>
        <v>0</v>
      </c>
      <c r="F19" s="87">
        <v>0</v>
      </c>
      <c r="G19" s="47">
        <f t="shared" si="4"/>
        <v>0</v>
      </c>
      <c r="H19" s="88"/>
      <c r="I19" s="15">
        <v>50</v>
      </c>
      <c r="J19" s="8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7">
        <v>0</v>
      </c>
      <c r="S19" s="47">
        <f t="shared" si="7"/>
        <v>0</v>
      </c>
      <c r="T19" s="87">
        <v>0</v>
      </c>
      <c r="U19" s="47">
        <f t="shared" si="8"/>
        <v>0</v>
      </c>
      <c r="V19" s="88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+'4'!G20</f>
        <v>0</v>
      </c>
      <c r="D20" s="87">
        <v>0</v>
      </c>
      <c r="E20" s="47">
        <f t="shared" si="0"/>
        <v>0</v>
      </c>
      <c r="F20" s="87">
        <v>0</v>
      </c>
      <c r="G20" s="47">
        <f t="shared" si="4"/>
        <v>0</v>
      </c>
      <c r="H20" s="88"/>
      <c r="I20" s="15">
        <v>50</v>
      </c>
      <c r="J20" s="8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7">
        <v>0</v>
      </c>
      <c r="S20" s="47">
        <f t="shared" si="7"/>
        <v>0</v>
      </c>
      <c r="T20" s="87">
        <v>0</v>
      </c>
      <c r="U20" s="47">
        <f t="shared" si="8"/>
        <v>0</v>
      </c>
      <c r="V20" s="88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+'4'!G21</f>
        <v>0</v>
      </c>
      <c r="D21" s="87">
        <v>0</v>
      </c>
      <c r="E21" s="47">
        <f t="shared" si="0"/>
        <v>0</v>
      </c>
      <c r="F21" s="87">
        <v>0</v>
      </c>
      <c r="G21" s="47">
        <f t="shared" si="4"/>
        <v>0</v>
      </c>
      <c r="H21" s="88"/>
      <c r="I21" s="15">
        <v>50</v>
      </c>
      <c r="J21" s="8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7">
        <v>0</v>
      </c>
      <c r="S21" s="47">
        <f t="shared" si="7"/>
        <v>0</v>
      </c>
      <c r="T21" s="87">
        <v>0</v>
      </c>
      <c r="U21" s="47">
        <f t="shared" si="8"/>
        <v>0</v>
      </c>
      <c r="V21" s="88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+'4'!G22</f>
        <v>1</v>
      </c>
      <c r="D22" s="87">
        <v>0</v>
      </c>
      <c r="E22" s="47">
        <f t="shared" si="0"/>
        <v>1</v>
      </c>
      <c r="F22" s="87">
        <v>0</v>
      </c>
      <c r="G22" s="47">
        <f t="shared" si="4"/>
        <v>0</v>
      </c>
      <c r="H22" s="88">
        <v>1</v>
      </c>
      <c r="I22" s="15">
        <v>85</v>
      </c>
      <c r="J22" s="82">
        <f t="shared" si="5"/>
        <v>85</v>
      </c>
      <c r="K22" s="17" t="s">
        <v>16</v>
      </c>
      <c r="L22" s="18">
        <v>0</v>
      </c>
      <c r="M22" s="104">
        <f t="shared" si="6"/>
        <v>85</v>
      </c>
      <c r="O22" s="10">
        <v>18</v>
      </c>
      <c r="P22" s="19"/>
      <c r="Q22" s="47">
        <v>0</v>
      </c>
      <c r="R22" s="87">
        <v>0</v>
      </c>
      <c r="S22" s="47">
        <f t="shared" si="7"/>
        <v>0</v>
      </c>
      <c r="T22" s="87">
        <v>0</v>
      </c>
      <c r="U22" s="47">
        <f t="shared" si="8"/>
        <v>0</v>
      </c>
      <c r="V22" s="88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+'4'!G23</f>
        <v>10</v>
      </c>
      <c r="D23" s="87">
        <v>0</v>
      </c>
      <c r="E23" s="47">
        <f t="shared" si="0"/>
        <v>10</v>
      </c>
      <c r="F23" s="87">
        <v>0</v>
      </c>
      <c r="G23" s="47">
        <f t="shared" si="4"/>
        <v>9</v>
      </c>
      <c r="H23" s="88">
        <v>1</v>
      </c>
      <c r="I23" s="15">
        <v>100</v>
      </c>
      <c r="J23" s="82">
        <f t="shared" si="5"/>
        <v>100</v>
      </c>
      <c r="K23" s="17" t="s">
        <v>16</v>
      </c>
      <c r="L23" s="18">
        <v>0</v>
      </c>
      <c r="M23" s="104">
        <f t="shared" si="6"/>
        <v>100</v>
      </c>
      <c r="O23" s="10">
        <v>19</v>
      </c>
      <c r="P23" s="19"/>
      <c r="Q23" s="47">
        <v>0</v>
      </c>
      <c r="R23" s="87">
        <v>0</v>
      </c>
      <c r="S23" s="47">
        <f t="shared" si="7"/>
        <v>0</v>
      </c>
      <c r="T23" s="87">
        <v>0</v>
      </c>
      <c r="U23" s="47">
        <f t="shared" si="8"/>
        <v>0</v>
      </c>
      <c r="V23" s="88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+'4'!G24</f>
        <v>6</v>
      </c>
      <c r="D24" s="87">
        <v>0</v>
      </c>
      <c r="E24" s="47">
        <f t="shared" si="0"/>
        <v>6</v>
      </c>
      <c r="F24" s="87">
        <v>0</v>
      </c>
      <c r="G24" s="47">
        <f t="shared" si="4"/>
        <v>6</v>
      </c>
      <c r="H24" s="88"/>
      <c r="I24" s="21">
        <v>100</v>
      </c>
      <c r="J24" s="8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7">
        <v>0</v>
      </c>
      <c r="S24" s="47">
        <f t="shared" si="7"/>
        <v>0</v>
      </c>
      <c r="T24" s="87">
        <v>0</v>
      </c>
      <c r="U24" s="47">
        <f t="shared" si="8"/>
        <v>0</v>
      </c>
      <c r="V24" s="88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+'4'!G25</f>
        <v>0</v>
      </c>
      <c r="D25" s="87">
        <v>0</v>
      </c>
      <c r="E25" s="47">
        <f t="shared" si="0"/>
        <v>0</v>
      </c>
      <c r="F25" s="87">
        <v>0</v>
      </c>
      <c r="G25" s="47">
        <f t="shared" si="4"/>
        <v>0</v>
      </c>
      <c r="H25" s="88"/>
      <c r="I25" s="21">
        <v>100</v>
      </c>
      <c r="J25" s="8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7">
        <v>0</v>
      </c>
      <c r="S25" s="47">
        <f t="shared" si="7"/>
        <v>0</v>
      </c>
      <c r="T25" s="87">
        <v>0</v>
      </c>
      <c r="U25" s="47">
        <f t="shared" si="8"/>
        <v>0</v>
      </c>
      <c r="V25" s="88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+'4'!G26</f>
        <v>4</v>
      </c>
      <c r="D26" s="87">
        <v>0</v>
      </c>
      <c r="E26" s="47">
        <f t="shared" si="0"/>
        <v>4</v>
      </c>
      <c r="F26" s="87">
        <v>0</v>
      </c>
      <c r="G26" s="47">
        <f t="shared" si="4"/>
        <v>4</v>
      </c>
      <c r="H26" s="88"/>
      <c r="I26" s="21">
        <v>100</v>
      </c>
      <c r="J26" s="8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7">
        <v>0</v>
      </c>
      <c r="S26" s="47">
        <f t="shared" si="7"/>
        <v>0</v>
      </c>
      <c r="T26" s="87">
        <v>0</v>
      </c>
      <c r="U26" s="47">
        <f t="shared" si="8"/>
        <v>0</v>
      </c>
      <c r="V26" s="88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+'4'!G27</f>
        <v>0</v>
      </c>
      <c r="D27" s="87">
        <v>0</v>
      </c>
      <c r="E27" s="47">
        <f t="shared" si="0"/>
        <v>0</v>
      </c>
      <c r="F27" s="87">
        <v>0</v>
      </c>
      <c r="G27" s="47">
        <f t="shared" si="4"/>
        <v>0</v>
      </c>
      <c r="H27" s="88"/>
      <c r="I27" s="20">
        <v>100</v>
      </c>
      <c r="J27" s="8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7">
        <v>0</v>
      </c>
      <c r="S27" s="47">
        <f t="shared" si="7"/>
        <v>0</v>
      </c>
      <c r="T27" s="87">
        <v>0</v>
      </c>
      <c r="U27" s="47">
        <f t="shared" si="8"/>
        <v>0</v>
      </c>
      <c r="V27" s="88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+'4'!G28</f>
        <v>0</v>
      </c>
      <c r="D28" s="87">
        <v>0</v>
      </c>
      <c r="E28" s="47">
        <f t="shared" si="0"/>
        <v>0</v>
      </c>
      <c r="F28" s="87">
        <v>0</v>
      </c>
      <c r="G28" s="47">
        <f t="shared" si="4"/>
        <v>0</v>
      </c>
      <c r="H28" s="88"/>
      <c r="I28" s="20">
        <v>100</v>
      </c>
      <c r="J28" s="8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7">
        <v>0</v>
      </c>
      <c r="S28" s="47">
        <f t="shared" si="7"/>
        <v>0</v>
      </c>
      <c r="T28" s="87">
        <v>0</v>
      </c>
      <c r="U28" s="47">
        <f t="shared" si="8"/>
        <v>0</v>
      </c>
      <c r="V28" s="88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+'4'!G29</f>
        <v>17</v>
      </c>
      <c r="D29" s="87">
        <v>0</v>
      </c>
      <c r="E29" s="47">
        <f t="shared" si="0"/>
        <v>17</v>
      </c>
      <c r="F29" s="87">
        <v>2</v>
      </c>
      <c r="G29" s="47">
        <f t="shared" si="4"/>
        <v>10</v>
      </c>
      <c r="H29" s="88">
        <v>5</v>
      </c>
      <c r="I29" s="15">
        <v>100</v>
      </c>
      <c r="J29" s="82">
        <f t="shared" si="5"/>
        <v>500</v>
      </c>
      <c r="K29" s="17" t="s">
        <v>309</v>
      </c>
      <c r="L29" s="18">
        <v>250</v>
      </c>
      <c r="M29" s="104">
        <f t="shared" si="6"/>
        <v>250</v>
      </c>
      <c r="O29" s="10">
        <v>25</v>
      </c>
      <c r="P29" s="19"/>
      <c r="Q29" s="47">
        <v>0</v>
      </c>
      <c r="R29" s="87">
        <v>0</v>
      </c>
      <c r="S29" s="47">
        <f t="shared" si="7"/>
        <v>0</v>
      </c>
      <c r="T29" s="87">
        <v>0</v>
      </c>
      <c r="U29" s="47">
        <f t="shared" si="8"/>
        <v>0</v>
      </c>
      <c r="V29" s="88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+'4'!G30</f>
        <v>0</v>
      </c>
      <c r="D30" s="87">
        <v>0</v>
      </c>
      <c r="E30" s="47">
        <f t="shared" si="0"/>
        <v>0</v>
      </c>
      <c r="F30" s="87">
        <v>0</v>
      </c>
      <c r="G30" s="47">
        <f t="shared" si="4"/>
        <v>0</v>
      </c>
      <c r="H30" s="88"/>
      <c r="I30" s="15">
        <v>100</v>
      </c>
      <c r="J30" s="8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+'4'!G31</f>
        <v>2</v>
      </c>
      <c r="D31" s="87">
        <v>0</v>
      </c>
      <c r="E31" s="47">
        <f t="shared" si="0"/>
        <v>2</v>
      </c>
      <c r="F31" s="87">
        <v>0</v>
      </c>
      <c r="G31" s="47">
        <f t="shared" si="4"/>
        <v>2</v>
      </c>
      <c r="H31" s="88"/>
      <c r="I31" s="15">
        <v>100</v>
      </c>
      <c r="J31" s="82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+'4'!G32</f>
        <v>0</v>
      </c>
      <c r="D32" s="87">
        <v>0</v>
      </c>
      <c r="E32" s="47">
        <f t="shared" si="0"/>
        <v>0</v>
      </c>
      <c r="F32" s="87">
        <v>0</v>
      </c>
      <c r="G32" s="47">
        <f t="shared" si="4"/>
        <v>0</v>
      </c>
      <c r="H32" s="88"/>
      <c r="I32" s="15">
        <v>130</v>
      </c>
      <c r="J32" s="82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5" t="s">
        <v>119</v>
      </c>
      <c r="Q32" s="146"/>
      <c r="R32" s="146"/>
      <c r="S32" s="146"/>
      <c r="T32" s="146"/>
      <c r="U32" s="146"/>
      <c r="V32" s="146"/>
      <c r="W32" s="147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+'4'!G33</f>
        <v>1</v>
      </c>
      <c r="D33" s="87">
        <v>0</v>
      </c>
      <c r="E33" s="47">
        <f t="shared" si="0"/>
        <v>1</v>
      </c>
      <c r="F33" s="87">
        <v>0</v>
      </c>
      <c r="G33" s="47">
        <f t="shared" si="4"/>
        <v>0</v>
      </c>
      <c r="H33" s="88">
        <v>1</v>
      </c>
      <c r="I33" s="15">
        <v>130</v>
      </c>
      <c r="J33" s="82">
        <f t="shared" si="5"/>
        <v>130</v>
      </c>
      <c r="K33" s="17" t="s">
        <v>16</v>
      </c>
      <c r="L33" s="18">
        <v>0</v>
      </c>
      <c r="M33" s="104">
        <f t="shared" si="6"/>
        <v>130</v>
      </c>
    </row>
    <row r="34" spans="1:13" ht="25.5" x14ac:dyDescent="0.55000000000000004">
      <c r="A34" s="10">
        <v>30</v>
      </c>
      <c r="B34" s="19" t="s">
        <v>45</v>
      </c>
      <c r="C34" s="79">
        <f>+'4'!G34</f>
        <v>2</v>
      </c>
      <c r="D34" s="87">
        <v>0</v>
      </c>
      <c r="E34" s="47">
        <f t="shared" si="0"/>
        <v>2</v>
      </c>
      <c r="F34" s="87">
        <v>0</v>
      </c>
      <c r="G34" s="47">
        <f t="shared" si="4"/>
        <v>0</v>
      </c>
      <c r="H34" s="88">
        <v>2</v>
      </c>
      <c r="I34" s="15">
        <v>130</v>
      </c>
      <c r="J34" s="82">
        <f t="shared" si="5"/>
        <v>260</v>
      </c>
      <c r="K34" s="17" t="s">
        <v>16</v>
      </c>
      <c r="L34" s="18">
        <v>0</v>
      </c>
      <c r="M34" s="104">
        <f t="shared" si="6"/>
        <v>260</v>
      </c>
    </row>
    <row r="35" spans="1:13" ht="25.5" x14ac:dyDescent="0.55000000000000004">
      <c r="A35" s="10">
        <v>31</v>
      </c>
      <c r="B35" s="19" t="s">
        <v>46</v>
      </c>
      <c r="C35" s="79">
        <f>+'4'!G35</f>
        <v>0</v>
      </c>
      <c r="D35" s="87">
        <v>0</v>
      </c>
      <c r="E35" s="47">
        <f t="shared" si="0"/>
        <v>0</v>
      </c>
      <c r="F35" s="87">
        <v>0</v>
      </c>
      <c r="G35" s="47">
        <f t="shared" si="4"/>
        <v>0</v>
      </c>
      <c r="H35" s="88"/>
      <c r="I35" s="15">
        <v>130</v>
      </c>
      <c r="J35" s="82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+'4'!G36</f>
        <v>0</v>
      </c>
      <c r="D36" s="87">
        <v>0</v>
      </c>
      <c r="E36" s="47">
        <f t="shared" si="0"/>
        <v>0</v>
      </c>
      <c r="F36" s="87">
        <v>0</v>
      </c>
      <c r="G36" s="47">
        <f t="shared" si="4"/>
        <v>0</v>
      </c>
      <c r="H36" s="88"/>
      <c r="I36" s="15">
        <v>100</v>
      </c>
      <c r="J36" s="82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+'4'!G37</f>
        <v>24</v>
      </c>
      <c r="D37" s="87">
        <v>0</v>
      </c>
      <c r="E37" s="47">
        <f t="shared" si="0"/>
        <v>24</v>
      </c>
      <c r="F37" s="87">
        <v>2</v>
      </c>
      <c r="G37" s="47">
        <f t="shared" si="4"/>
        <v>17</v>
      </c>
      <c r="H37" s="88">
        <v>5</v>
      </c>
      <c r="I37" s="15">
        <v>100</v>
      </c>
      <c r="J37" s="82">
        <f t="shared" si="5"/>
        <v>500</v>
      </c>
      <c r="K37" s="17" t="s">
        <v>16</v>
      </c>
      <c r="L37" s="18">
        <v>0</v>
      </c>
      <c r="M37" s="104">
        <f t="shared" si="6"/>
        <v>500</v>
      </c>
    </row>
    <row r="38" spans="1:13" ht="25.5" x14ac:dyDescent="0.55000000000000004">
      <c r="A38" s="10">
        <v>34</v>
      </c>
      <c r="B38" s="19" t="s">
        <v>49</v>
      </c>
      <c r="C38" s="79">
        <f>+'4'!G38</f>
        <v>1</v>
      </c>
      <c r="D38" s="87">
        <v>0</v>
      </c>
      <c r="E38" s="47">
        <f t="shared" si="0"/>
        <v>1</v>
      </c>
      <c r="F38" s="87">
        <v>0</v>
      </c>
      <c r="G38" s="47">
        <f t="shared" si="4"/>
        <v>0</v>
      </c>
      <c r="H38" s="88">
        <v>1</v>
      </c>
      <c r="I38" s="15">
        <v>50</v>
      </c>
      <c r="J38" s="82">
        <f t="shared" si="5"/>
        <v>50</v>
      </c>
      <c r="K38" s="17" t="s">
        <v>307</v>
      </c>
      <c r="L38" s="18">
        <v>10</v>
      </c>
      <c r="M38" s="104">
        <f t="shared" si="6"/>
        <v>40</v>
      </c>
    </row>
    <row r="39" spans="1:13" ht="25.5" x14ac:dyDescent="0.55000000000000004">
      <c r="A39" s="10">
        <v>35</v>
      </c>
      <c r="B39" s="19" t="s">
        <v>50</v>
      </c>
      <c r="C39" s="79">
        <f>+'4'!G39</f>
        <v>9</v>
      </c>
      <c r="D39" s="87">
        <v>0</v>
      </c>
      <c r="E39" s="47">
        <f t="shared" si="0"/>
        <v>9</v>
      </c>
      <c r="F39" s="87">
        <v>4</v>
      </c>
      <c r="G39" s="47">
        <f t="shared" si="4"/>
        <v>2</v>
      </c>
      <c r="H39" s="88">
        <v>3</v>
      </c>
      <c r="I39" s="15">
        <v>50</v>
      </c>
      <c r="J39" s="82">
        <f t="shared" si="5"/>
        <v>150</v>
      </c>
      <c r="K39" s="17" t="s">
        <v>308</v>
      </c>
      <c r="L39" s="18">
        <v>110</v>
      </c>
      <c r="M39" s="104">
        <f t="shared" si="6"/>
        <v>40</v>
      </c>
    </row>
    <row r="40" spans="1:13" ht="25.5" x14ac:dyDescent="0.55000000000000004">
      <c r="A40" s="10">
        <v>36</v>
      </c>
      <c r="B40" s="19" t="s">
        <v>51</v>
      </c>
      <c r="C40" s="79">
        <f>+'4'!G40</f>
        <v>9</v>
      </c>
      <c r="D40" s="87">
        <v>0</v>
      </c>
      <c r="E40" s="47">
        <f t="shared" si="0"/>
        <v>9</v>
      </c>
      <c r="F40" s="87">
        <v>5</v>
      </c>
      <c r="G40" s="47">
        <f t="shared" si="4"/>
        <v>1</v>
      </c>
      <c r="H40" s="88">
        <v>3</v>
      </c>
      <c r="I40" s="15">
        <v>50</v>
      </c>
      <c r="J40" s="82">
        <f t="shared" si="5"/>
        <v>150</v>
      </c>
      <c r="K40" s="17" t="s">
        <v>308</v>
      </c>
      <c r="L40" s="18">
        <v>110</v>
      </c>
      <c r="M40" s="104">
        <f t="shared" si="6"/>
        <v>40</v>
      </c>
    </row>
    <row r="41" spans="1:13" ht="25.5" x14ac:dyDescent="0.55000000000000004">
      <c r="A41" s="10">
        <v>37</v>
      </c>
      <c r="B41" s="19" t="s">
        <v>52</v>
      </c>
      <c r="C41" s="79">
        <f>+'4'!G41</f>
        <v>0</v>
      </c>
      <c r="D41" s="87">
        <v>0</v>
      </c>
      <c r="E41" s="47">
        <f t="shared" si="0"/>
        <v>0</v>
      </c>
      <c r="F41" s="87">
        <v>0</v>
      </c>
      <c r="G41" s="47">
        <f t="shared" si="4"/>
        <v>0</v>
      </c>
      <c r="H41" s="88"/>
      <c r="I41" s="15">
        <v>50</v>
      </c>
      <c r="J41" s="82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285</v>
      </c>
      <c r="C42" s="79">
        <f>+'4'!G42</f>
        <v>1</v>
      </c>
      <c r="D42" s="87">
        <v>0</v>
      </c>
      <c r="E42" s="47">
        <f t="shared" si="0"/>
        <v>1</v>
      </c>
      <c r="F42" s="87">
        <v>0</v>
      </c>
      <c r="G42" s="47">
        <f t="shared" si="4"/>
        <v>1</v>
      </c>
      <c r="H42" s="88"/>
      <c r="I42" s="15">
        <v>50</v>
      </c>
      <c r="J42" s="82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+'4'!G43</f>
        <v>0</v>
      </c>
      <c r="D43" s="87">
        <v>0</v>
      </c>
      <c r="E43" s="47">
        <f t="shared" si="0"/>
        <v>0</v>
      </c>
      <c r="F43" s="87">
        <v>0</v>
      </c>
      <c r="G43" s="47">
        <f t="shared" si="4"/>
        <v>0</v>
      </c>
      <c r="H43" s="88"/>
      <c r="I43" s="15">
        <v>50</v>
      </c>
      <c r="J43" s="82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+'4'!G44</f>
        <v>0</v>
      </c>
      <c r="D44" s="87">
        <v>0</v>
      </c>
      <c r="E44" s="47">
        <f t="shared" si="0"/>
        <v>0</v>
      </c>
      <c r="F44" s="87">
        <v>0</v>
      </c>
      <c r="G44" s="47">
        <f t="shared" si="4"/>
        <v>0</v>
      </c>
      <c r="H44" s="88"/>
      <c r="I44" s="15">
        <v>50</v>
      </c>
      <c r="J44" s="82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+'4'!G45</f>
        <v>0</v>
      </c>
      <c r="D45" s="87">
        <v>0</v>
      </c>
      <c r="E45" s="47">
        <f t="shared" si="0"/>
        <v>0</v>
      </c>
      <c r="F45" s="87">
        <v>0</v>
      </c>
      <c r="G45" s="47">
        <f t="shared" si="4"/>
        <v>0</v>
      </c>
      <c r="H45" s="88"/>
      <c r="I45" s="15">
        <v>50</v>
      </c>
      <c r="J45" s="82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286</v>
      </c>
      <c r="C46" s="79">
        <f>+'4'!G46</f>
        <v>1</v>
      </c>
      <c r="D46" s="87">
        <v>0</v>
      </c>
      <c r="E46" s="47">
        <f t="shared" si="0"/>
        <v>1</v>
      </c>
      <c r="F46" s="87">
        <v>0</v>
      </c>
      <c r="G46" s="47">
        <f t="shared" si="4"/>
        <v>1</v>
      </c>
      <c r="H46" s="88"/>
      <c r="I46" s="15">
        <v>50</v>
      </c>
      <c r="J46" s="82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+'4'!G47</f>
        <v>2</v>
      </c>
      <c r="D47" s="87">
        <v>0</v>
      </c>
      <c r="E47" s="47">
        <f t="shared" si="0"/>
        <v>2</v>
      </c>
      <c r="F47" s="87">
        <v>0</v>
      </c>
      <c r="G47" s="47">
        <f t="shared" si="4"/>
        <v>2</v>
      </c>
      <c r="H47" s="88"/>
      <c r="I47" s="15">
        <v>50</v>
      </c>
      <c r="J47" s="82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+'4'!G48</f>
        <v>1</v>
      </c>
      <c r="D48" s="87">
        <v>0</v>
      </c>
      <c r="E48" s="47">
        <f t="shared" si="0"/>
        <v>1</v>
      </c>
      <c r="F48" s="87">
        <v>0</v>
      </c>
      <c r="G48" s="47">
        <f t="shared" si="4"/>
        <v>1</v>
      </c>
      <c r="H48" s="88"/>
      <c r="I48" s="15">
        <v>50</v>
      </c>
      <c r="J48" s="82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+'4'!G49</f>
        <v>2</v>
      </c>
      <c r="D49" s="87">
        <v>0</v>
      </c>
      <c r="E49" s="47">
        <f t="shared" si="0"/>
        <v>2</v>
      </c>
      <c r="F49" s="87">
        <v>0</v>
      </c>
      <c r="G49" s="47">
        <f t="shared" si="4"/>
        <v>2</v>
      </c>
      <c r="H49" s="88"/>
      <c r="I49" s="15">
        <v>50</v>
      </c>
      <c r="J49" s="82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+'4'!G50</f>
        <v>4</v>
      </c>
      <c r="D50" s="87">
        <v>0</v>
      </c>
      <c r="E50" s="47">
        <f t="shared" si="0"/>
        <v>4</v>
      </c>
      <c r="F50" s="87">
        <v>0</v>
      </c>
      <c r="G50" s="47">
        <f t="shared" si="4"/>
        <v>4</v>
      </c>
      <c r="H50" s="88"/>
      <c r="I50" s="15">
        <v>120</v>
      </c>
      <c r="J50" s="82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+'4'!G51</f>
        <v>3</v>
      </c>
      <c r="D51" s="87">
        <v>0</v>
      </c>
      <c r="E51" s="47">
        <f t="shared" si="0"/>
        <v>3</v>
      </c>
      <c r="F51" s="87">
        <v>0</v>
      </c>
      <c r="G51" s="47">
        <f t="shared" si="4"/>
        <v>3</v>
      </c>
      <c r="H51" s="88"/>
      <c r="I51" s="15">
        <v>120</v>
      </c>
      <c r="J51" s="82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+'4'!G52</f>
        <v>3</v>
      </c>
      <c r="D52" s="87">
        <v>0</v>
      </c>
      <c r="E52" s="47">
        <f t="shared" si="0"/>
        <v>3</v>
      </c>
      <c r="F52" s="87">
        <v>3</v>
      </c>
      <c r="G52" s="47">
        <f t="shared" si="4"/>
        <v>0</v>
      </c>
      <c r="H52" s="88"/>
      <c r="I52" s="21">
        <v>120</v>
      </c>
      <c r="J52" s="82">
        <f t="shared" si="5"/>
        <v>0</v>
      </c>
      <c r="K52" s="17" t="s">
        <v>309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+'4'!G53</f>
        <v>0</v>
      </c>
      <c r="D53" s="87">
        <v>0</v>
      </c>
      <c r="E53" s="47">
        <f t="shared" si="0"/>
        <v>0</v>
      </c>
      <c r="F53" s="87">
        <v>0</v>
      </c>
      <c r="G53" s="47">
        <f t="shared" si="4"/>
        <v>0</v>
      </c>
      <c r="H53" s="88"/>
      <c r="I53" s="15">
        <v>120</v>
      </c>
      <c r="J53" s="82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+'4'!G54</f>
        <v>0</v>
      </c>
      <c r="D54" s="87">
        <v>0</v>
      </c>
      <c r="E54" s="47">
        <f t="shared" si="0"/>
        <v>0</v>
      </c>
      <c r="F54" s="87">
        <v>0</v>
      </c>
      <c r="G54" s="47">
        <f t="shared" si="4"/>
        <v>0</v>
      </c>
      <c r="H54" s="88"/>
      <c r="I54" s="15">
        <v>120</v>
      </c>
      <c r="J54" s="82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+'4'!G55</f>
        <v>3</v>
      </c>
      <c r="D55" s="87">
        <v>0</v>
      </c>
      <c r="E55" s="47">
        <f t="shared" si="0"/>
        <v>3</v>
      </c>
      <c r="F55" s="87">
        <v>0</v>
      </c>
      <c r="G55" s="47">
        <f t="shared" si="4"/>
        <v>1</v>
      </c>
      <c r="H55" s="88">
        <v>2</v>
      </c>
      <c r="I55" s="21">
        <v>120</v>
      </c>
      <c r="J55" s="82">
        <f t="shared" si="5"/>
        <v>240</v>
      </c>
      <c r="K55" s="17" t="s">
        <v>310</v>
      </c>
      <c r="L55" s="18">
        <v>70</v>
      </c>
      <c r="M55" s="104">
        <f t="shared" si="6"/>
        <v>170</v>
      </c>
    </row>
    <row r="56" spans="1:13" ht="25.5" x14ac:dyDescent="0.55000000000000004">
      <c r="A56" s="10">
        <v>52</v>
      </c>
      <c r="B56" s="19" t="s">
        <v>67</v>
      </c>
      <c r="C56" s="79">
        <f>+'4'!G56</f>
        <v>1</v>
      </c>
      <c r="D56" s="87">
        <v>0</v>
      </c>
      <c r="E56" s="47">
        <f t="shared" si="0"/>
        <v>1</v>
      </c>
      <c r="F56" s="87">
        <v>0</v>
      </c>
      <c r="G56" s="47">
        <f t="shared" si="4"/>
        <v>1</v>
      </c>
      <c r="H56" s="88"/>
      <c r="I56" s="21">
        <v>120</v>
      </c>
      <c r="J56" s="82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+'4'!G57</f>
        <v>4</v>
      </c>
      <c r="D57" s="87">
        <v>0</v>
      </c>
      <c r="E57" s="47">
        <f t="shared" si="0"/>
        <v>4</v>
      </c>
      <c r="F57" s="87">
        <v>0</v>
      </c>
      <c r="G57" s="47">
        <f t="shared" si="4"/>
        <v>4</v>
      </c>
      <c r="H57" s="88"/>
      <c r="I57" s="21">
        <v>120</v>
      </c>
      <c r="J57" s="82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+'4'!G58</f>
        <v>0</v>
      </c>
      <c r="D58" s="87">
        <v>0</v>
      </c>
      <c r="E58" s="47">
        <f t="shared" si="0"/>
        <v>0</v>
      </c>
      <c r="F58" s="87">
        <v>0</v>
      </c>
      <c r="G58" s="47">
        <f t="shared" si="4"/>
        <v>0</v>
      </c>
      <c r="H58" s="88"/>
      <c r="I58" s="21">
        <v>120</v>
      </c>
      <c r="J58" s="82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+'4'!G59</f>
        <v>0</v>
      </c>
      <c r="D59" s="87">
        <v>0</v>
      </c>
      <c r="E59" s="47">
        <f t="shared" si="0"/>
        <v>0</v>
      </c>
      <c r="F59" s="87">
        <v>0</v>
      </c>
      <c r="G59" s="47">
        <f t="shared" si="4"/>
        <v>0</v>
      </c>
      <c r="H59" s="88"/>
      <c r="I59" s="15">
        <v>70</v>
      </c>
      <c r="J59" s="82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+'4'!G60</f>
        <v>0</v>
      </c>
      <c r="D60" s="87">
        <v>0</v>
      </c>
      <c r="E60" s="47">
        <f t="shared" si="0"/>
        <v>0</v>
      </c>
      <c r="F60" s="87">
        <v>0</v>
      </c>
      <c r="G60" s="47">
        <f t="shared" si="4"/>
        <v>0</v>
      </c>
      <c r="H60" s="88"/>
      <c r="I60" s="21">
        <v>80</v>
      </c>
      <c r="J60" s="82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+'4'!G61</f>
        <v>0</v>
      </c>
      <c r="D61" s="87">
        <v>0</v>
      </c>
      <c r="E61" s="47">
        <f t="shared" si="0"/>
        <v>0</v>
      </c>
      <c r="F61" s="87">
        <v>0</v>
      </c>
      <c r="G61" s="47">
        <f t="shared" si="4"/>
        <v>0</v>
      </c>
      <c r="H61" s="88"/>
      <c r="I61" s="15">
        <v>50</v>
      </c>
      <c r="J61" s="82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+'4'!G62</f>
        <v>1</v>
      </c>
      <c r="D62" s="87">
        <v>0</v>
      </c>
      <c r="E62" s="47">
        <f t="shared" si="0"/>
        <v>1</v>
      </c>
      <c r="F62" s="87">
        <v>0</v>
      </c>
      <c r="G62" s="47">
        <f t="shared" si="4"/>
        <v>0</v>
      </c>
      <c r="H62" s="88">
        <v>1</v>
      </c>
      <c r="I62" s="20">
        <v>50</v>
      </c>
      <c r="J62" s="82">
        <f t="shared" si="5"/>
        <v>50</v>
      </c>
      <c r="K62" s="17" t="s">
        <v>16</v>
      </c>
      <c r="L62" s="18">
        <v>0</v>
      </c>
      <c r="M62" s="104">
        <f t="shared" si="6"/>
        <v>50</v>
      </c>
    </row>
    <row r="63" spans="1:13" ht="25.5" x14ac:dyDescent="0.55000000000000004">
      <c r="A63" s="10">
        <v>59</v>
      </c>
      <c r="B63" s="19" t="s">
        <v>74</v>
      </c>
      <c r="C63" s="79">
        <f>+'4'!G63</f>
        <v>0</v>
      </c>
      <c r="D63" s="87">
        <v>0</v>
      </c>
      <c r="E63" s="47">
        <f t="shared" si="0"/>
        <v>0</v>
      </c>
      <c r="F63" s="87">
        <v>0</v>
      </c>
      <c r="G63" s="47">
        <f t="shared" si="4"/>
        <v>0</v>
      </c>
      <c r="H63" s="88"/>
      <c r="I63" s="20">
        <v>50</v>
      </c>
      <c r="J63" s="82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+'4'!G64</f>
        <v>0</v>
      </c>
      <c r="D64" s="87">
        <v>0</v>
      </c>
      <c r="E64" s="47">
        <f t="shared" si="0"/>
        <v>0</v>
      </c>
      <c r="F64" s="87">
        <v>0</v>
      </c>
      <c r="G64" s="47">
        <f t="shared" si="4"/>
        <v>0</v>
      </c>
      <c r="H64" s="88"/>
      <c r="I64" s="21">
        <v>30</v>
      </c>
      <c r="J64" s="82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+'4'!G65</f>
        <v>0</v>
      </c>
      <c r="D65" s="87">
        <v>0</v>
      </c>
      <c r="E65" s="47">
        <f t="shared" si="0"/>
        <v>0</v>
      </c>
      <c r="F65" s="87">
        <v>0</v>
      </c>
      <c r="G65" s="47">
        <f t="shared" si="4"/>
        <v>0</v>
      </c>
      <c r="H65" s="88"/>
      <c r="I65" s="21">
        <v>30</v>
      </c>
      <c r="J65" s="82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+'4'!G66</f>
        <v>13</v>
      </c>
      <c r="D66" s="87">
        <v>0</v>
      </c>
      <c r="E66" s="47">
        <f t="shared" si="0"/>
        <v>13</v>
      </c>
      <c r="F66" s="87">
        <v>0</v>
      </c>
      <c r="G66" s="47">
        <f t="shared" si="4"/>
        <v>9</v>
      </c>
      <c r="H66" s="88">
        <v>4</v>
      </c>
      <c r="I66" s="15">
        <v>50</v>
      </c>
      <c r="J66" s="82">
        <f t="shared" si="5"/>
        <v>200</v>
      </c>
      <c r="K66" s="17" t="s">
        <v>287</v>
      </c>
      <c r="L66" s="18">
        <v>50</v>
      </c>
      <c r="M66" s="104">
        <f t="shared" si="6"/>
        <v>150</v>
      </c>
    </row>
    <row r="67" spans="1:13" ht="25.5" x14ac:dyDescent="0.55000000000000004">
      <c r="A67" s="10">
        <v>63</v>
      </c>
      <c r="B67" s="19" t="s">
        <v>78</v>
      </c>
      <c r="C67" s="79">
        <f>+'4'!G67</f>
        <v>1</v>
      </c>
      <c r="D67" s="87">
        <v>0</v>
      </c>
      <c r="E67" s="47">
        <f t="shared" si="0"/>
        <v>1</v>
      </c>
      <c r="F67" s="87">
        <v>0</v>
      </c>
      <c r="G67" s="47">
        <f t="shared" si="4"/>
        <v>1</v>
      </c>
      <c r="H67" s="88"/>
      <c r="I67" s="15">
        <v>50</v>
      </c>
      <c r="J67" s="82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+'4'!G68</f>
        <v>0</v>
      </c>
      <c r="D68" s="87">
        <v>0</v>
      </c>
      <c r="E68" s="47">
        <f t="shared" si="0"/>
        <v>0</v>
      </c>
      <c r="F68" s="87">
        <v>0</v>
      </c>
      <c r="G68" s="47">
        <f t="shared" si="4"/>
        <v>0</v>
      </c>
      <c r="H68" s="88"/>
      <c r="I68" s="20">
        <v>35</v>
      </c>
      <c r="J68" s="82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+'4'!G69</f>
        <v>0</v>
      </c>
      <c r="D69" s="87">
        <v>0</v>
      </c>
      <c r="E69" s="47">
        <f t="shared" si="0"/>
        <v>0</v>
      </c>
      <c r="F69" s="87">
        <v>0</v>
      </c>
      <c r="G69" s="47">
        <f t="shared" si="4"/>
        <v>0</v>
      </c>
      <c r="H69" s="88"/>
      <c r="I69" s="20">
        <v>25</v>
      </c>
      <c r="J69" s="82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+'4'!G70</f>
        <v>5</v>
      </c>
      <c r="D70" s="87">
        <v>0</v>
      </c>
      <c r="E70" s="47">
        <f t="shared" si="0"/>
        <v>5</v>
      </c>
      <c r="F70" s="87">
        <v>0</v>
      </c>
      <c r="G70" s="47">
        <f t="shared" si="4"/>
        <v>5</v>
      </c>
      <c r="H70" s="88"/>
      <c r="I70" s="20">
        <v>50</v>
      </c>
      <c r="J70" s="82">
        <f t="shared" si="5"/>
        <v>0</v>
      </c>
      <c r="K70" s="17" t="s">
        <v>16</v>
      </c>
      <c r="L70" s="18">
        <v>0</v>
      </c>
      <c r="M70" s="23">
        <f t="shared" ref="M70:M134" si="10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+'4'!G71</f>
        <v>2</v>
      </c>
      <c r="D71" s="87">
        <v>0</v>
      </c>
      <c r="E71" s="47">
        <f t="shared" si="0"/>
        <v>2</v>
      </c>
      <c r="F71" s="87">
        <v>0</v>
      </c>
      <c r="G71" s="47">
        <f t="shared" si="4"/>
        <v>1</v>
      </c>
      <c r="H71" s="88">
        <v>1</v>
      </c>
      <c r="I71" s="20">
        <v>60</v>
      </c>
      <c r="J71" s="82">
        <f t="shared" si="5"/>
        <v>60</v>
      </c>
      <c r="K71" s="17" t="s">
        <v>311</v>
      </c>
      <c r="L71" s="18">
        <v>30</v>
      </c>
      <c r="M71" s="104">
        <f t="shared" si="10"/>
        <v>30</v>
      </c>
    </row>
    <row r="72" spans="1:13" ht="25.5" x14ac:dyDescent="0.55000000000000004">
      <c r="A72" s="10">
        <v>68</v>
      </c>
      <c r="B72" s="19" t="s">
        <v>83</v>
      </c>
      <c r="C72" s="79">
        <f>+'4'!G72</f>
        <v>0</v>
      </c>
      <c r="D72" s="87">
        <v>0</v>
      </c>
      <c r="E72" s="47">
        <f t="shared" si="0"/>
        <v>0</v>
      </c>
      <c r="F72" s="87">
        <v>0</v>
      </c>
      <c r="G72" s="47">
        <f t="shared" si="4"/>
        <v>0</v>
      </c>
      <c r="H72" s="88"/>
      <c r="I72" s="22">
        <v>50</v>
      </c>
      <c r="J72" s="82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+'4'!G73</f>
        <v>0</v>
      </c>
      <c r="D73" s="87">
        <v>0</v>
      </c>
      <c r="E73" s="47">
        <f t="shared" si="0"/>
        <v>0</v>
      </c>
      <c r="F73" s="87">
        <v>0</v>
      </c>
      <c r="G73" s="47">
        <f t="shared" si="4"/>
        <v>0</v>
      </c>
      <c r="H73" s="88"/>
      <c r="I73" s="20">
        <v>60</v>
      </c>
      <c r="J73" s="82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+'4'!G74</f>
        <v>0</v>
      </c>
      <c r="D74" s="87">
        <v>0</v>
      </c>
      <c r="E74" s="47">
        <f t="shared" si="0"/>
        <v>0</v>
      </c>
      <c r="F74" s="87">
        <v>0</v>
      </c>
      <c r="G74" s="47">
        <f t="shared" si="4"/>
        <v>0</v>
      </c>
      <c r="H74" s="88"/>
      <c r="I74" s="22">
        <v>120</v>
      </c>
      <c r="J74" s="82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+'4'!G75</f>
        <v>0</v>
      </c>
      <c r="D75" s="87">
        <v>0</v>
      </c>
      <c r="E75" s="47">
        <f t="shared" si="0"/>
        <v>0</v>
      </c>
      <c r="F75" s="87">
        <v>0</v>
      </c>
      <c r="G75" s="47">
        <f t="shared" si="4"/>
        <v>0</v>
      </c>
      <c r="H75" s="88"/>
      <c r="I75" s="22">
        <v>60</v>
      </c>
      <c r="J75" s="82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+'4'!G76</f>
        <v>0</v>
      </c>
      <c r="D76" s="87">
        <v>0</v>
      </c>
      <c r="E76" s="47">
        <f t="shared" si="0"/>
        <v>0</v>
      </c>
      <c r="F76" s="87">
        <v>0</v>
      </c>
      <c r="G76" s="47">
        <f t="shared" si="4"/>
        <v>0</v>
      </c>
      <c r="H76" s="88"/>
      <c r="I76" s="22">
        <v>120</v>
      </c>
      <c r="J76" s="82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272</v>
      </c>
      <c r="C77" s="79">
        <f>+'4'!G77</f>
        <v>4</v>
      </c>
      <c r="D77" s="87">
        <v>0</v>
      </c>
      <c r="E77" s="47">
        <f>C77+D77</f>
        <v>4</v>
      </c>
      <c r="F77" s="87">
        <v>0</v>
      </c>
      <c r="G77" s="47">
        <f>+E77-F77-H77</f>
        <v>1</v>
      </c>
      <c r="H77" s="88">
        <v>3</v>
      </c>
      <c r="I77" s="20">
        <v>50</v>
      </c>
      <c r="J77" s="82">
        <f>+I77*H77</f>
        <v>150</v>
      </c>
      <c r="K77" s="17" t="s">
        <v>16</v>
      </c>
      <c r="L77" s="18">
        <v>0</v>
      </c>
      <c r="M77" s="104">
        <f>SUM(J77-L77)</f>
        <v>150</v>
      </c>
    </row>
    <row r="78" spans="1:13" ht="25.5" x14ac:dyDescent="0.55000000000000004">
      <c r="A78" s="10">
        <v>74</v>
      </c>
      <c r="B78" s="19" t="s">
        <v>277</v>
      </c>
      <c r="C78" s="79">
        <f>+'4'!G78</f>
        <v>1</v>
      </c>
      <c r="D78" s="87">
        <v>0</v>
      </c>
      <c r="E78" s="47">
        <f t="shared" si="0"/>
        <v>1</v>
      </c>
      <c r="F78" s="87">
        <v>0</v>
      </c>
      <c r="G78" s="47">
        <f t="shared" si="4"/>
        <v>0</v>
      </c>
      <c r="H78" s="88">
        <v>1</v>
      </c>
      <c r="I78" s="20">
        <v>50</v>
      </c>
      <c r="J78" s="82">
        <f t="shared" si="5"/>
        <v>50</v>
      </c>
      <c r="K78" s="17" t="s">
        <v>16</v>
      </c>
      <c r="L78" s="18">
        <v>0</v>
      </c>
      <c r="M78" s="104">
        <f t="shared" si="10"/>
        <v>50</v>
      </c>
    </row>
    <row r="79" spans="1:13" ht="25.5" x14ac:dyDescent="0.55000000000000004">
      <c r="A79" s="10">
        <v>75</v>
      </c>
      <c r="B79" s="19" t="s">
        <v>278</v>
      </c>
      <c r="C79" s="79">
        <f>+'4'!G79</f>
        <v>0</v>
      </c>
      <c r="D79" s="87">
        <v>0</v>
      </c>
      <c r="E79" s="47">
        <f t="shared" si="0"/>
        <v>0</v>
      </c>
      <c r="F79" s="87">
        <v>0</v>
      </c>
      <c r="G79" s="47">
        <f t="shared" si="4"/>
        <v>0</v>
      </c>
      <c r="H79" s="88"/>
      <c r="I79" s="22">
        <v>120</v>
      </c>
      <c r="J79" s="82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90</v>
      </c>
      <c r="C80" s="79">
        <f>+'4'!G80</f>
        <v>1</v>
      </c>
      <c r="D80" s="87">
        <v>0</v>
      </c>
      <c r="E80" s="47">
        <f t="shared" si="0"/>
        <v>1</v>
      </c>
      <c r="F80" s="87">
        <v>0</v>
      </c>
      <c r="G80" s="47">
        <f t="shared" si="4"/>
        <v>1</v>
      </c>
      <c r="H80" s="88"/>
      <c r="I80" s="22">
        <v>50</v>
      </c>
      <c r="J80" s="82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91</v>
      </c>
      <c r="C81" s="79">
        <f>+'4'!G81</f>
        <v>0</v>
      </c>
      <c r="D81" s="87">
        <v>0</v>
      </c>
      <c r="E81" s="47">
        <f t="shared" si="0"/>
        <v>0</v>
      </c>
      <c r="F81" s="87">
        <v>0</v>
      </c>
      <c r="G81" s="47">
        <f t="shared" si="4"/>
        <v>0</v>
      </c>
      <c r="H81" s="88"/>
      <c r="I81" s="22">
        <v>50</v>
      </c>
      <c r="J81" s="82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92</v>
      </c>
      <c r="C82" s="79">
        <f>+'4'!G82</f>
        <v>4</v>
      </c>
      <c r="D82" s="87">
        <v>0</v>
      </c>
      <c r="E82" s="47">
        <f t="shared" si="0"/>
        <v>4</v>
      </c>
      <c r="F82" s="87">
        <v>0</v>
      </c>
      <c r="G82" s="47">
        <f t="shared" si="4"/>
        <v>4</v>
      </c>
      <c r="H82" s="88"/>
      <c r="I82" s="20">
        <v>55</v>
      </c>
      <c r="J82" s="82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93</v>
      </c>
      <c r="C83" s="79">
        <f>+'4'!G83</f>
        <v>2</v>
      </c>
      <c r="D83" s="87">
        <v>0</v>
      </c>
      <c r="E83" s="47">
        <f t="shared" si="0"/>
        <v>2</v>
      </c>
      <c r="F83" s="87">
        <v>0</v>
      </c>
      <c r="G83" s="47">
        <f t="shared" si="4"/>
        <v>2</v>
      </c>
      <c r="H83" s="88"/>
      <c r="I83" s="22">
        <v>55</v>
      </c>
      <c r="J83" s="82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94</v>
      </c>
      <c r="C84" s="79">
        <f>+'4'!G84</f>
        <v>0</v>
      </c>
      <c r="D84" s="87">
        <v>0</v>
      </c>
      <c r="E84" s="47">
        <f t="shared" si="0"/>
        <v>0</v>
      </c>
      <c r="F84" s="87">
        <v>0</v>
      </c>
      <c r="G84" s="47">
        <f t="shared" si="4"/>
        <v>0</v>
      </c>
      <c r="H84" s="88"/>
      <c r="I84" s="22">
        <v>55</v>
      </c>
      <c r="J84" s="82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95</v>
      </c>
      <c r="C85" s="79">
        <f>+'4'!G85</f>
        <v>0</v>
      </c>
      <c r="D85" s="87">
        <v>0</v>
      </c>
      <c r="E85" s="47">
        <f t="shared" si="0"/>
        <v>0</v>
      </c>
      <c r="F85" s="87">
        <v>0</v>
      </c>
      <c r="G85" s="47">
        <f t="shared" si="4"/>
        <v>0</v>
      </c>
      <c r="H85" s="88"/>
      <c r="I85" s="22">
        <v>55</v>
      </c>
      <c r="J85" s="82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96</v>
      </c>
      <c r="C86" s="79">
        <f>+'4'!G86</f>
        <v>10</v>
      </c>
      <c r="D86" s="87">
        <v>0</v>
      </c>
      <c r="E86" s="47">
        <f t="shared" si="0"/>
        <v>10</v>
      </c>
      <c r="F86" s="87">
        <v>0</v>
      </c>
      <c r="G86" s="47">
        <f t="shared" si="4"/>
        <v>10</v>
      </c>
      <c r="H86" s="88"/>
      <c r="I86" s="22">
        <v>100</v>
      </c>
      <c r="J86" s="82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97</v>
      </c>
      <c r="C87" s="79">
        <f>+'4'!G87</f>
        <v>11</v>
      </c>
      <c r="D87" s="87">
        <v>0</v>
      </c>
      <c r="E87" s="47">
        <f t="shared" si="0"/>
        <v>11</v>
      </c>
      <c r="F87" s="87">
        <v>0</v>
      </c>
      <c r="G87" s="47">
        <f t="shared" si="4"/>
        <v>8</v>
      </c>
      <c r="H87" s="88">
        <v>3</v>
      </c>
      <c r="I87" s="20">
        <v>55</v>
      </c>
      <c r="J87" s="82">
        <f t="shared" si="5"/>
        <v>165</v>
      </c>
      <c r="K87" s="17" t="s">
        <v>16</v>
      </c>
      <c r="L87" s="18">
        <v>0</v>
      </c>
      <c r="M87" s="104">
        <f t="shared" si="10"/>
        <v>165</v>
      </c>
    </row>
    <row r="88" spans="1:13" ht="25.5" x14ac:dyDescent="0.55000000000000004">
      <c r="A88" s="10">
        <v>84</v>
      </c>
      <c r="B88" s="19" t="s">
        <v>98</v>
      </c>
      <c r="C88" s="79">
        <f>+'4'!G88</f>
        <v>5</v>
      </c>
      <c r="D88" s="87">
        <v>0</v>
      </c>
      <c r="E88" s="47">
        <f t="shared" si="0"/>
        <v>5</v>
      </c>
      <c r="F88" s="87">
        <v>0</v>
      </c>
      <c r="G88" s="47">
        <f t="shared" si="4"/>
        <v>5</v>
      </c>
      <c r="H88" s="88"/>
      <c r="I88" s="20">
        <v>60</v>
      </c>
      <c r="J88" s="82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99</v>
      </c>
      <c r="C89" s="79">
        <f>+'4'!G89</f>
        <v>6</v>
      </c>
      <c r="D89" s="87">
        <v>0</v>
      </c>
      <c r="E89" s="47">
        <f t="shared" si="0"/>
        <v>6</v>
      </c>
      <c r="F89" s="87">
        <v>0</v>
      </c>
      <c r="G89" s="47">
        <f t="shared" si="4"/>
        <v>6</v>
      </c>
      <c r="H89" s="88"/>
      <c r="I89" s="20">
        <v>100</v>
      </c>
      <c r="J89" s="82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100</v>
      </c>
      <c r="C90" s="79">
        <f>+'4'!G90</f>
        <v>10</v>
      </c>
      <c r="D90" s="87">
        <v>0</v>
      </c>
      <c r="E90" s="47">
        <f t="shared" si="0"/>
        <v>10</v>
      </c>
      <c r="F90" s="87">
        <v>0</v>
      </c>
      <c r="G90" s="47">
        <f t="shared" si="4"/>
        <v>10</v>
      </c>
      <c r="H90" s="88"/>
      <c r="I90" s="20">
        <v>55</v>
      </c>
      <c r="J90" s="82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101</v>
      </c>
      <c r="C91" s="79">
        <f>+'4'!G91</f>
        <v>0</v>
      </c>
      <c r="D91" s="87">
        <v>0</v>
      </c>
      <c r="E91" s="47">
        <f t="shared" si="0"/>
        <v>0</v>
      </c>
      <c r="F91" s="87">
        <v>0</v>
      </c>
      <c r="G91" s="47">
        <f t="shared" si="4"/>
        <v>0</v>
      </c>
      <c r="H91" s="88"/>
      <c r="I91" s="20">
        <v>50</v>
      </c>
      <c r="J91" s="82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102</v>
      </c>
      <c r="C92" s="79">
        <f>+'4'!G92</f>
        <v>0</v>
      </c>
      <c r="D92" s="87">
        <v>0</v>
      </c>
      <c r="E92" s="47">
        <f t="shared" si="0"/>
        <v>0</v>
      </c>
      <c r="F92" s="87">
        <v>0</v>
      </c>
      <c r="G92" s="47">
        <f t="shared" si="4"/>
        <v>0</v>
      </c>
      <c r="H92" s="88"/>
      <c r="I92" s="22">
        <v>50</v>
      </c>
      <c r="J92" s="82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248</v>
      </c>
      <c r="C93" s="79">
        <f>+'4'!G93</f>
        <v>0</v>
      </c>
      <c r="D93" s="87">
        <v>0</v>
      </c>
      <c r="E93" s="47">
        <f t="shared" si="0"/>
        <v>0</v>
      </c>
      <c r="F93" s="87">
        <v>0</v>
      </c>
      <c r="G93" s="47">
        <f t="shared" si="4"/>
        <v>0</v>
      </c>
      <c r="H93" s="88"/>
      <c r="I93" s="22">
        <v>120</v>
      </c>
      <c r="J93" s="82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104</v>
      </c>
      <c r="C94" s="79">
        <f>+'4'!G94</f>
        <v>0</v>
      </c>
      <c r="D94" s="87">
        <v>0</v>
      </c>
      <c r="E94" s="47">
        <f t="shared" si="0"/>
        <v>0</v>
      </c>
      <c r="F94" s="87">
        <v>0</v>
      </c>
      <c r="G94" s="47">
        <f t="shared" si="4"/>
        <v>0</v>
      </c>
      <c r="H94" s="88"/>
      <c r="I94" s="20">
        <v>250</v>
      </c>
      <c r="J94" s="82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105</v>
      </c>
      <c r="C95" s="79">
        <f>+'4'!G95</f>
        <v>0</v>
      </c>
      <c r="D95" s="87">
        <v>0</v>
      </c>
      <c r="E95" s="47">
        <f t="shared" si="0"/>
        <v>0</v>
      </c>
      <c r="F95" s="87">
        <v>0</v>
      </c>
      <c r="G95" s="47">
        <f t="shared" si="4"/>
        <v>0</v>
      </c>
      <c r="H95" s="88"/>
      <c r="I95" s="20">
        <v>120</v>
      </c>
      <c r="J95" s="82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106</v>
      </c>
      <c r="C96" s="79">
        <f>+'4'!G96</f>
        <v>0</v>
      </c>
      <c r="D96" s="87">
        <v>0</v>
      </c>
      <c r="E96" s="47">
        <f t="shared" si="0"/>
        <v>0</v>
      </c>
      <c r="F96" s="87">
        <v>0</v>
      </c>
      <c r="G96" s="47">
        <f t="shared" si="4"/>
        <v>0</v>
      </c>
      <c r="H96" s="88"/>
      <c r="I96" s="20">
        <v>120</v>
      </c>
      <c r="J96" s="82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107</v>
      </c>
      <c r="C97" s="79">
        <f>+'4'!G97</f>
        <v>0</v>
      </c>
      <c r="D97" s="87">
        <v>0</v>
      </c>
      <c r="E97" s="47">
        <f t="shared" si="0"/>
        <v>0</v>
      </c>
      <c r="F97" s="87">
        <v>0</v>
      </c>
      <c r="G97" s="47">
        <f t="shared" si="4"/>
        <v>0</v>
      </c>
      <c r="H97" s="88"/>
      <c r="I97" s="20">
        <v>120</v>
      </c>
      <c r="J97" s="82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103</v>
      </c>
      <c r="C98" s="79">
        <f>+'4'!G98</f>
        <v>0</v>
      </c>
      <c r="D98" s="87">
        <v>0</v>
      </c>
      <c r="E98" s="47">
        <f t="shared" si="0"/>
        <v>0</v>
      </c>
      <c r="F98" s="87">
        <v>0</v>
      </c>
      <c r="G98" s="47">
        <f t="shared" si="4"/>
        <v>0</v>
      </c>
      <c r="H98" s="88"/>
      <c r="I98" s="20">
        <v>120</v>
      </c>
      <c r="J98" s="82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109</v>
      </c>
      <c r="C99" s="79">
        <f>+'4'!G99</f>
        <v>0</v>
      </c>
      <c r="D99" s="87">
        <v>0</v>
      </c>
      <c r="E99" s="47">
        <f t="shared" si="0"/>
        <v>0</v>
      </c>
      <c r="F99" s="87">
        <v>0</v>
      </c>
      <c r="G99" s="47">
        <f t="shared" si="4"/>
        <v>0</v>
      </c>
      <c r="H99" s="88"/>
      <c r="I99" s="20">
        <v>50</v>
      </c>
      <c r="J99" s="82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110</v>
      </c>
      <c r="C100" s="79">
        <f>+'4'!G100</f>
        <v>0</v>
      </c>
      <c r="D100" s="87">
        <v>0</v>
      </c>
      <c r="E100" s="47">
        <f t="shared" si="0"/>
        <v>0</v>
      </c>
      <c r="F100" s="87">
        <v>0</v>
      </c>
      <c r="G100" s="47">
        <f t="shared" si="4"/>
        <v>0</v>
      </c>
      <c r="H100" s="88"/>
      <c r="I100" s="20">
        <v>50</v>
      </c>
      <c r="J100" s="82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111</v>
      </c>
      <c r="C101" s="79">
        <f>+'4'!G101</f>
        <v>0</v>
      </c>
      <c r="D101" s="87">
        <v>0</v>
      </c>
      <c r="E101" s="47">
        <f t="shared" si="0"/>
        <v>0</v>
      </c>
      <c r="F101" s="87">
        <v>0</v>
      </c>
      <c r="G101" s="47">
        <f t="shared" ref="G101:G164" si="11">+E101-F101-H101</f>
        <v>0</v>
      </c>
      <c r="H101" s="88"/>
      <c r="I101" s="20">
        <v>60</v>
      </c>
      <c r="J101" s="82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112</v>
      </c>
      <c r="C102" s="79">
        <f>+'4'!G102</f>
        <v>0</v>
      </c>
      <c r="D102" s="87">
        <v>0</v>
      </c>
      <c r="E102" s="47">
        <f t="shared" si="0"/>
        <v>0</v>
      </c>
      <c r="F102" s="87">
        <v>0</v>
      </c>
      <c r="G102" s="47">
        <f t="shared" si="11"/>
        <v>0</v>
      </c>
      <c r="H102" s="88"/>
      <c r="I102" s="20">
        <v>55</v>
      </c>
      <c r="J102" s="82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113</v>
      </c>
      <c r="C103" s="79">
        <f>+'4'!G103</f>
        <v>0</v>
      </c>
      <c r="D103" s="87">
        <v>0</v>
      </c>
      <c r="E103" s="47">
        <f t="shared" si="0"/>
        <v>0</v>
      </c>
      <c r="F103" s="87">
        <v>0</v>
      </c>
      <c r="G103" s="47">
        <f t="shared" si="11"/>
        <v>0</v>
      </c>
      <c r="H103" s="88"/>
      <c r="I103" s="20">
        <v>50</v>
      </c>
      <c r="J103" s="82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114</v>
      </c>
      <c r="C104" s="79">
        <f>+'4'!G104</f>
        <v>0</v>
      </c>
      <c r="D104" s="87">
        <v>0</v>
      </c>
      <c r="E104" s="47">
        <f t="shared" si="0"/>
        <v>0</v>
      </c>
      <c r="F104" s="87">
        <v>0</v>
      </c>
      <c r="G104" s="47">
        <f t="shared" si="11"/>
        <v>0</v>
      </c>
      <c r="H104" s="88"/>
      <c r="I104" s="20">
        <v>100</v>
      </c>
      <c r="J104" s="82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115</v>
      </c>
      <c r="C105" s="79">
        <f>+'4'!G105</f>
        <v>0</v>
      </c>
      <c r="D105" s="87">
        <v>0</v>
      </c>
      <c r="E105" s="47">
        <f t="shared" si="0"/>
        <v>0</v>
      </c>
      <c r="F105" s="87">
        <v>0</v>
      </c>
      <c r="G105" s="47">
        <f t="shared" si="11"/>
        <v>0</v>
      </c>
      <c r="H105" s="88"/>
      <c r="I105" s="20">
        <v>100</v>
      </c>
      <c r="J105" s="82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116</v>
      </c>
      <c r="C106" s="79">
        <f>+'4'!G106</f>
        <v>0</v>
      </c>
      <c r="D106" s="87">
        <v>0</v>
      </c>
      <c r="E106" s="47">
        <f t="shared" si="0"/>
        <v>0</v>
      </c>
      <c r="F106" s="87">
        <v>0</v>
      </c>
      <c r="G106" s="47">
        <f t="shared" si="11"/>
        <v>0</v>
      </c>
      <c r="H106" s="88"/>
      <c r="I106" s="22">
        <v>30</v>
      </c>
      <c r="J106" s="82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117</v>
      </c>
      <c r="C107" s="79">
        <f>+'4'!G107</f>
        <v>0</v>
      </c>
      <c r="D107" s="87">
        <v>0</v>
      </c>
      <c r="E107" s="47">
        <f t="shared" si="0"/>
        <v>0</v>
      </c>
      <c r="F107" s="87">
        <v>0</v>
      </c>
      <c r="G107" s="47">
        <f t="shared" si="11"/>
        <v>0</v>
      </c>
      <c r="H107" s="88"/>
      <c r="I107" s="22">
        <v>20</v>
      </c>
      <c r="J107" s="82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118</v>
      </c>
      <c r="C108" s="79">
        <f>+'4'!G108</f>
        <v>0</v>
      </c>
      <c r="D108" s="87">
        <v>0</v>
      </c>
      <c r="E108" s="47">
        <f t="shared" si="0"/>
        <v>0</v>
      </c>
      <c r="F108" s="87">
        <v>0</v>
      </c>
      <c r="G108" s="47">
        <f t="shared" si="11"/>
        <v>0</v>
      </c>
      <c r="H108" s="88"/>
      <c r="I108" s="20">
        <v>100</v>
      </c>
      <c r="J108" s="82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120</v>
      </c>
      <c r="C109" s="79">
        <f>+'4'!G109</f>
        <v>0</v>
      </c>
      <c r="D109" s="87">
        <v>0</v>
      </c>
      <c r="E109" s="47">
        <f t="shared" si="0"/>
        <v>0</v>
      </c>
      <c r="F109" s="87">
        <v>0</v>
      </c>
      <c r="G109" s="47">
        <f t="shared" si="11"/>
        <v>0</v>
      </c>
      <c r="H109" s="88"/>
      <c r="I109" s="20">
        <v>80</v>
      </c>
      <c r="J109" s="82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121</v>
      </c>
      <c r="C110" s="79">
        <f>+'4'!G110</f>
        <v>0</v>
      </c>
      <c r="D110" s="87">
        <v>0</v>
      </c>
      <c r="E110" s="47">
        <f t="shared" si="0"/>
        <v>0</v>
      </c>
      <c r="F110" s="87">
        <v>0</v>
      </c>
      <c r="G110" s="47">
        <f t="shared" si="11"/>
        <v>0</v>
      </c>
      <c r="H110" s="88"/>
      <c r="I110" s="20">
        <v>60</v>
      </c>
      <c r="J110" s="82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122</v>
      </c>
      <c r="C111" s="79">
        <f>+'4'!G111</f>
        <v>0</v>
      </c>
      <c r="D111" s="87">
        <v>0</v>
      </c>
      <c r="E111" s="47">
        <f t="shared" si="0"/>
        <v>0</v>
      </c>
      <c r="F111" s="87">
        <v>0</v>
      </c>
      <c r="G111" s="47">
        <f t="shared" si="11"/>
        <v>0</v>
      </c>
      <c r="H111" s="88"/>
      <c r="I111" s="20">
        <v>35</v>
      </c>
      <c r="J111" s="82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123</v>
      </c>
      <c r="C112" s="79">
        <f>+'4'!G112</f>
        <v>0</v>
      </c>
      <c r="D112" s="87">
        <v>0</v>
      </c>
      <c r="E112" s="47">
        <f t="shared" si="0"/>
        <v>0</v>
      </c>
      <c r="F112" s="87">
        <v>0</v>
      </c>
      <c r="G112" s="47">
        <f t="shared" si="11"/>
        <v>0</v>
      </c>
      <c r="H112" s="88"/>
      <c r="I112" s="20">
        <v>35</v>
      </c>
      <c r="J112" s="82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124</v>
      </c>
      <c r="C113" s="79">
        <f>+'4'!G113</f>
        <v>0</v>
      </c>
      <c r="D113" s="87">
        <v>0</v>
      </c>
      <c r="E113" s="47">
        <f t="shared" si="0"/>
        <v>0</v>
      </c>
      <c r="F113" s="87">
        <v>0</v>
      </c>
      <c r="G113" s="47">
        <f t="shared" si="11"/>
        <v>0</v>
      </c>
      <c r="H113" s="88"/>
      <c r="I113" s="20">
        <v>35</v>
      </c>
      <c r="J113" s="82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125</v>
      </c>
      <c r="C114" s="79">
        <f>+'4'!G114</f>
        <v>0</v>
      </c>
      <c r="D114" s="87">
        <v>0</v>
      </c>
      <c r="E114" s="47">
        <f t="shared" si="0"/>
        <v>0</v>
      </c>
      <c r="F114" s="87">
        <v>0</v>
      </c>
      <c r="G114" s="47">
        <f t="shared" si="11"/>
        <v>0</v>
      </c>
      <c r="H114" s="88"/>
      <c r="I114" s="20">
        <v>35</v>
      </c>
      <c r="J114" s="82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126</v>
      </c>
      <c r="C115" s="79">
        <f>+'4'!G115</f>
        <v>0</v>
      </c>
      <c r="D115" s="87">
        <v>0</v>
      </c>
      <c r="E115" s="47">
        <f t="shared" si="0"/>
        <v>0</v>
      </c>
      <c r="F115" s="87">
        <v>0</v>
      </c>
      <c r="G115" s="47">
        <f t="shared" si="11"/>
        <v>0</v>
      </c>
      <c r="H115" s="88"/>
      <c r="I115" s="20">
        <v>35</v>
      </c>
      <c r="J115" s="82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127</v>
      </c>
      <c r="C116" s="79">
        <f>+'4'!G116</f>
        <v>0</v>
      </c>
      <c r="D116" s="87">
        <v>0</v>
      </c>
      <c r="E116" s="47">
        <f t="shared" si="0"/>
        <v>0</v>
      </c>
      <c r="F116" s="87">
        <v>0</v>
      </c>
      <c r="G116" s="47">
        <f t="shared" si="11"/>
        <v>0</v>
      </c>
      <c r="H116" s="88"/>
      <c r="I116" s="20">
        <v>30</v>
      </c>
      <c r="J116" s="82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128</v>
      </c>
      <c r="C117" s="79">
        <f>+'4'!G117</f>
        <v>0</v>
      </c>
      <c r="D117" s="87">
        <v>0</v>
      </c>
      <c r="E117" s="47">
        <f t="shared" si="0"/>
        <v>0</v>
      </c>
      <c r="F117" s="87">
        <v>0</v>
      </c>
      <c r="G117" s="47">
        <f t="shared" si="11"/>
        <v>0</v>
      </c>
      <c r="H117" s="88"/>
      <c r="I117" s="20">
        <v>30</v>
      </c>
      <c r="J117" s="82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129</v>
      </c>
      <c r="C118" s="79">
        <f>+'4'!G118</f>
        <v>0</v>
      </c>
      <c r="D118" s="87">
        <v>0</v>
      </c>
      <c r="E118" s="47">
        <f t="shared" si="0"/>
        <v>0</v>
      </c>
      <c r="F118" s="87">
        <v>0</v>
      </c>
      <c r="G118" s="47">
        <f t="shared" si="11"/>
        <v>0</v>
      </c>
      <c r="H118" s="88"/>
      <c r="I118" s="20">
        <v>30</v>
      </c>
      <c r="J118" s="82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130</v>
      </c>
      <c r="C119" s="79">
        <f>+'4'!G119</f>
        <v>0</v>
      </c>
      <c r="D119" s="87">
        <v>0</v>
      </c>
      <c r="E119" s="47">
        <f t="shared" si="0"/>
        <v>0</v>
      </c>
      <c r="F119" s="87">
        <v>0</v>
      </c>
      <c r="G119" s="47">
        <f t="shared" si="11"/>
        <v>0</v>
      </c>
      <c r="H119" s="88"/>
      <c r="I119" s="20">
        <v>30</v>
      </c>
      <c r="J119" s="82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131</v>
      </c>
      <c r="C120" s="79">
        <f>+'4'!G120</f>
        <v>0</v>
      </c>
      <c r="D120" s="87">
        <v>0</v>
      </c>
      <c r="E120" s="47">
        <f t="shared" si="0"/>
        <v>0</v>
      </c>
      <c r="F120" s="87">
        <v>0</v>
      </c>
      <c r="G120" s="47">
        <f t="shared" si="11"/>
        <v>0</v>
      </c>
      <c r="H120" s="88"/>
      <c r="I120" s="20">
        <v>30</v>
      </c>
      <c r="J120" s="82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132</v>
      </c>
      <c r="C121" s="79">
        <f>+'4'!G121</f>
        <v>0</v>
      </c>
      <c r="D121" s="87">
        <v>0</v>
      </c>
      <c r="E121" s="47">
        <f t="shared" si="0"/>
        <v>0</v>
      </c>
      <c r="F121" s="87">
        <v>0</v>
      </c>
      <c r="G121" s="47">
        <f t="shared" si="11"/>
        <v>0</v>
      </c>
      <c r="H121" s="88"/>
      <c r="I121" s="20">
        <v>30</v>
      </c>
      <c r="J121" s="82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133</v>
      </c>
      <c r="C122" s="79">
        <f>+'4'!G122</f>
        <v>0</v>
      </c>
      <c r="D122" s="87">
        <v>0</v>
      </c>
      <c r="E122" s="47">
        <f t="shared" si="0"/>
        <v>0</v>
      </c>
      <c r="F122" s="87">
        <v>0</v>
      </c>
      <c r="G122" s="47">
        <f t="shared" si="11"/>
        <v>0</v>
      </c>
      <c r="H122" s="88"/>
      <c r="I122" s="20">
        <v>40</v>
      </c>
      <c r="J122" s="82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134</v>
      </c>
      <c r="C123" s="79">
        <f>+'4'!G123</f>
        <v>0</v>
      </c>
      <c r="D123" s="87">
        <v>0</v>
      </c>
      <c r="E123" s="47">
        <f t="shared" si="0"/>
        <v>0</v>
      </c>
      <c r="F123" s="87">
        <v>0</v>
      </c>
      <c r="G123" s="47">
        <f t="shared" si="11"/>
        <v>0</v>
      </c>
      <c r="H123" s="88"/>
      <c r="I123" s="20">
        <v>35</v>
      </c>
      <c r="J123" s="82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135</v>
      </c>
      <c r="C124" s="79">
        <f>+'4'!G124</f>
        <v>0</v>
      </c>
      <c r="D124" s="87">
        <v>0</v>
      </c>
      <c r="E124" s="47">
        <f t="shared" si="0"/>
        <v>0</v>
      </c>
      <c r="F124" s="87">
        <v>0</v>
      </c>
      <c r="G124" s="47">
        <f t="shared" si="11"/>
        <v>0</v>
      </c>
      <c r="H124" s="88"/>
      <c r="I124" s="20">
        <v>40</v>
      </c>
      <c r="J124" s="82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136</v>
      </c>
      <c r="C125" s="79">
        <f>+'4'!G125</f>
        <v>0</v>
      </c>
      <c r="D125" s="87">
        <v>0</v>
      </c>
      <c r="E125" s="47">
        <f t="shared" si="0"/>
        <v>0</v>
      </c>
      <c r="F125" s="87">
        <v>0</v>
      </c>
      <c r="G125" s="47">
        <f t="shared" si="11"/>
        <v>0</v>
      </c>
      <c r="H125" s="88"/>
      <c r="I125" s="20">
        <v>40</v>
      </c>
      <c r="J125" s="82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137</v>
      </c>
      <c r="C126" s="79">
        <f>+'4'!G126</f>
        <v>0</v>
      </c>
      <c r="D126" s="87">
        <v>0</v>
      </c>
      <c r="E126" s="47">
        <f t="shared" ref="E126:E189" si="13">C126+D126</f>
        <v>0</v>
      </c>
      <c r="F126" s="87">
        <v>0</v>
      </c>
      <c r="G126" s="47">
        <f t="shared" si="11"/>
        <v>0</v>
      </c>
      <c r="H126" s="88"/>
      <c r="I126" s="20">
        <v>30</v>
      </c>
      <c r="J126" s="82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138</v>
      </c>
      <c r="C127" s="79">
        <f>+'4'!G127</f>
        <v>0</v>
      </c>
      <c r="D127" s="87">
        <v>0</v>
      </c>
      <c r="E127" s="47">
        <f t="shared" si="13"/>
        <v>0</v>
      </c>
      <c r="F127" s="87">
        <v>0</v>
      </c>
      <c r="G127" s="47">
        <f t="shared" si="11"/>
        <v>0</v>
      </c>
      <c r="H127" s="88"/>
      <c r="I127" s="20">
        <v>40</v>
      </c>
      <c r="J127" s="82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139</v>
      </c>
      <c r="C128" s="79">
        <f>+'4'!G128</f>
        <v>87</v>
      </c>
      <c r="D128" s="87">
        <v>0</v>
      </c>
      <c r="E128" s="47">
        <f t="shared" si="13"/>
        <v>87</v>
      </c>
      <c r="F128" s="87">
        <v>0</v>
      </c>
      <c r="G128" s="47">
        <f t="shared" si="11"/>
        <v>87</v>
      </c>
      <c r="H128" s="88"/>
      <c r="I128" s="20">
        <v>10</v>
      </c>
      <c r="J128" s="82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140</v>
      </c>
      <c r="C129" s="79">
        <f>+'4'!G129</f>
        <v>0</v>
      </c>
      <c r="D129" s="87">
        <v>0</v>
      </c>
      <c r="E129" s="47">
        <f t="shared" si="13"/>
        <v>0</v>
      </c>
      <c r="F129" s="87">
        <v>0</v>
      </c>
      <c r="G129" s="47">
        <f t="shared" si="11"/>
        <v>0</v>
      </c>
      <c r="H129" s="88"/>
      <c r="I129" s="20">
        <v>35</v>
      </c>
      <c r="J129" s="82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141</v>
      </c>
      <c r="C130" s="79">
        <f>+'4'!G130</f>
        <v>0</v>
      </c>
      <c r="D130" s="87">
        <v>0</v>
      </c>
      <c r="E130" s="47">
        <f t="shared" si="13"/>
        <v>0</v>
      </c>
      <c r="F130" s="87">
        <v>0</v>
      </c>
      <c r="G130" s="47">
        <f t="shared" si="11"/>
        <v>0</v>
      </c>
      <c r="H130" s="88"/>
      <c r="I130" s="20">
        <v>40</v>
      </c>
      <c r="J130" s="82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142</v>
      </c>
      <c r="C131" s="79">
        <f>+'4'!G131</f>
        <v>0</v>
      </c>
      <c r="D131" s="87">
        <v>0</v>
      </c>
      <c r="E131" s="47">
        <f t="shared" si="13"/>
        <v>0</v>
      </c>
      <c r="F131" s="87">
        <v>0</v>
      </c>
      <c r="G131" s="47">
        <f t="shared" si="11"/>
        <v>0</v>
      </c>
      <c r="H131" s="88"/>
      <c r="I131" s="20">
        <v>50</v>
      </c>
      <c r="J131" s="82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143</v>
      </c>
      <c r="C132" s="79">
        <f>+'4'!G132</f>
        <v>0</v>
      </c>
      <c r="D132" s="87">
        <v>0</v>
      </c>
      <c r="E132" s="47">
        <f t="shared" si="13"/>
        <v>0</v>
      </c>
      <c r="F132" s="87">
        <v>0</v>
      </c>
      <c r="G132" s="47">
        <f t="shared" si="11"/>
        <v>0</v>
      </c>
      <c r="H132" s="88"/>
      <c r="I132" s="20">
        <v>55</v>
      </c>
      <c r="J132" s="82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144</v>
      </c>
      <c r="C133" s="79">
        <f>+'4'!G133</f>
        <v>0</v>
      </c>
      <c r="D133" s="87">
        <v>0</v>
      </c>
      <c r="E133" s="47">
        <f t="shared" si="13"/>
        <v>0</v>
      </c>
      <c r="F133" s="87">
        <v>0</v>
      </c>
      <c r="G133" s="47">
        <f t="shared" si="11"/>
        <v>0</v>
      </c>
      <c r="H133" s="88"/>
      <c r="I133" s="20">
        <v>55</v>
      </c>
      <c r="J133" s="82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145</v>
      </c>
      <c r="C134" s="79">
        <f>+'4'!G134</f>
        <v>0</v>
      </c>
      <c r="D134" s="87">
        <v>0</v>
      </c>
      <c r="E134" s="47">
        <f t="shared" si="13"/>
        <v>0</v>
      </c>
      <c r="F134" s="87">
        <v>0</v>
      </c>
      <c r="G134" s="47">
        <f t="shared" si="11"/>
        <v>0</v>
      </c>
      <c r="H134" s="88"/>
      <c r="I134" s="20">
        <v>45</v>
      </c>
      <c r="J134" s="82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5.5" x14ac:dyDescent="0.55000000000000004">
      <c r="A135" s="10">
        <v>131</v>
      </c>
      <c r="B135" s="19" t="s">
        <v>146</v>
      </c>
      <c r="C135" s="79">
        <f>+'4'!G135</f>
        <v>0</v>
      </c>
      <c r="D135" s="87">
        <v>0</v>
      </c>
      <c r="E135" s="47">
        <f t="shared" si="13"/>
        <v>0</v>
      </c>
      <c r="F135" s="87">
        <v>0</v>
      </c>
      <c r="G135" s="47">
        <f t="shared" si="11"/>
        <v>0</v>
      </c>
      <c r="H135" s="88"/>
      <c r="I135" s="20">
        <v>45</v>
      </c>
      <c r="J135" s="82">
        <f t="shared" si="12"/>
        <v>0</v>
      </c>
      <c r="K135" s="17" t="s">
        <v>16</v>
      </c>
      <c r="L135" s="18">
        <v>0</v>
      </c>
      <c r="M135" s="23">
        <f t="shared" ref="M135:M198" si="14">SUM(J135-L135)</f>
        <v>0</v>
      </c>
    </row>
    <row r="136" spans="1:13" ht="25.5" x14ac:dyDescent="0.55000000000000004">
      <c r="A136" s="10">
        <v>132</v>
      </c>
      <c r="B136" s="19" t="s">
        <v>147</v>
      </c>
      <c r="C136" s="79">
        <f>+'4'!G136</f>
        <v>0</v>
      </c>
      <c r="D136" s="87">
        <v>0</v>
      </c>
      <c r="E136" s="47">
        <f t="shared" si="13"/>
        <v>0</v>
      </c>
      <c r="F136" s="87">
        <v>0</v>
      </c>
      <c r="G136" s="47">
        <f t="shared" si="11"/>
        <v>0</v>
      </c>
      <c r="H136" s="88"/>
      <c r="I136" s="20">
        <v>55</v>
      </c>
      <c r="J136" s="82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148</v>
      </c>
      <c r="C137" s="79">
        <f>+'4'!G137</f>
        <v>0</v>
      </c>
      <c r="D137" s="87">
        <v>0</v>
      </c>
      <c r="E137" s="47">
        <f t="shared" si="13"/>
        <v>0</v>
      </c>
      <c r="F137" s="87">
        <v>0</v>
      </c>
      <c r="G137" s="47">
        <f t="shared" si="11"/>
        <v>0</v>
      </c>
      <c r="H137" s="88"/>
      <c r="I137" s="20">
        <v>45</v>
      </c>
      <c r="J137" s="82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149</v>
      </c>
      <c r="C138" s="79">
        <f>+'4'!G138</f>
        <v>0</v>
      </c>
      <c r="D138" s="87">
        <v>0</v>
      </c>
      <c r="E138" s="47">
        <f t="shared" si="13"/>
        <v>0</v>
      </c>
      <c r="F138" s="87">
        <v>0</v>
      </c>
      <c r="G138" s="47">
        <f t="shared" si="11"/>
        <v>0</v>
      </c>
      <c r="H138" s="88"/>
      <c r="I138" s="20">
        <v>45</v>
      </c>
      <c r="J138" s="82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150</v>
      </c>
      <c r="C139" s="79">
        <f>+'4'!G139</f>
        <v>0</v>
      </c>
      <c r="D139" s="87">
        <v>0</v>
      </c>
      <c r="E139" s="47">
        <f t="shared" si="13"/>
        <v>0</v>
      </c>
      <c r="F139" s="87">
        <v>0</v>
      </c>
      <c r="G139" s="47">
        <f t="shared" si="11"/>
        <v>0</v>
      </c>
      <c r="H139" s="88"/>
      <c r="I139" s="20">
        <v>45</v>
      </c>
      <c r="J139" s="82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151</v>
      </c>
      <c r="C140" s="79">
        <f>+'4'!G140</f>
        <v>0</v>
      </c>
      <c r="D140" s="87">
        <v>0</v>
      </c>
      <c r="E140" s="47">
        <f t="shared" si="13"/>
        <v>0</v>
      </c>
      <c r="F140" s="87">
        <v>0</v>
      </c>
      <c r="G140" s="47">
        <f t="shared" si="11"/>
        <v>0</v>
      </c>
      <c r="H140" s="88"/>
      <c r="I140" s="20">
        <v>45</v>
      </c>
      <c r="J140" s="82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152</v>
      </c>
      <c r="C141" s="79">
        <f>+'4'!G141</f>
        <v>0</v>
      </c>
      <c r="D141" s="87">
        <v>0</v>
      </c>
      <c r="E141" s="47">
        <f t="shared" si="13"/>
        <v>0</v>
      </c>
      <c r="F141" s="87">
        <v>0</v>
      </c>
      <c r="G141" s="47">
        <f t="shared" si="11"/>
        <v>0</v>
      </c>
      <c r="H141" s="88"/>
      <c r="I141" s="20">
        <v>45</v>
      </c>
      <c r="J141" s="82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153</v>
      </c>
      <c r="C142" s="79">
        <f>+'4'!G142</f>
        <v>0</v>
      </c>
      <c r="D142" s="87">
        <v>0</v>
      </c>
      <c r="E142" s="47">
        <f t="shared" si="13"/>
        <v>0</v>
      </c>
      <c r="F142" s="87">
        <v>0</v>
      </c>
      <c r="G142" s="47">
        <f t="shared" si="11"/>
        <v>0</v>
      </c>
      <c r="H142" s="88"/>
      <c r="I142" s="20">
        <v>45</v>
      </c>
      <c r="J142" s="82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154</v>
      </c>
      <c r="C143" s="79">
        <f>+'4'!G143</f>
        <v>0</v>
      </c>
      <c r="D143" s="87">
        <v>0</v>
      </c>
      <c r="E143" s="47">
        <f t="shared" si="13"/>
        <v>0</v>
      </c>
      <c r="F143" s="87">
        <v>0</v>
      </c>
      <c r="G143" s="47">
        <f t="shared" si="11"/>
        <v>0</v>
      </c>
      <c r="H143" s="88"/>
      <c r="I143" s="20">
        <v>120</v>
      </c>
      <c r="J143" s="82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155</v>
      </c>
      <c r="C144" s="79">
        <f>+'4'!G144</f>
        <v>0</v>
      </c>
      <c r="D144" s="87">
        <v>0</v>
      </c>
      <c r="E144" s="47">
        <f t="shared" si="13"/>
        <v>0</v>
      </c>
      <c r="F144" s="87">
        <v>0</v>
      </c>
      <c r="G144" s="47">
        <f t="shared" si="11"/>
        <v>0</v>
      </c>
      <c r="H144" s="88"/>
      <c r="I144" s="20">
        <v>120</v>
      </c>
      <c r="J144" s="82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156</v>
      </c>
      <c r="C145" s="79">
        <f>+'4'!G145</f>
        <v>0</v>
      </c>
      <c r="D145" s="87">
        <v>0</v>
      </c>
      <c r="E145" s="47">
        <f t="shared" si="13"/>
        <v>0</v>
      </c>
      <c r="F145" s="87">
        <v>0</v>
      </c>
      <c r="G145" s="47">
        <f t="shared" si="11"/>
        <v>0</v>
      </c>
      <c r="H145" s="88"/>
      <c r="I145" s="20">
        <v>120</v>
      </c>
      <c r="J145" s="82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157</v>
      </c>
      <c r="C146" s="79">
        <f>+'4'!G146</f>
        <v>0</v>
      </c>
      <c r="D146" s="87">
        <v>0</v>
      </c>
      <c r="E146" s="47">
        <f t="shared" si="13"/>
        <v>0</v>
      </c>
      <c r="F146" s="87">
        <v>0</v>
      </c>
      <c r="G146" s="47">
        <f t="shared" si="11"/>
        <v>0</v>
      </c>
      <c r="H146" s="88"/>
      <c r="I146" s="20">
        <v>120</v>
      </c>
      <c r="J146" s="82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158</v>
      </c>
      <c r="C147" s="79">
        <f>+'4'!G147</f>
        <v>0</v>
      </c>
      <c r="D147" s="87">
        <v>0</v>
      </c>
      <c r="E147" s="47">
        <f t="shared" si="13"/>
        <v>0</v>
      </c>
      <c r="F147" s="87">
        <v>0</v>
      </c>
      <c r="G147" s="47">
        <f t="shared" si="11"/>
        <v>0</v>
      </c>
      <c r="H147" s="88"/>
      <c r="I147" s="20">
        <v>185</v>
      </c>
      <c r="J147" s="82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159</v>
      </c>
      <c r="C148" s="79">
        <f>+'4'!G148</f>
        <v>0</v>
      </c>
      <c r="D148" s="87">
        <v>0</v>
      </c>
      <c r="E148" s="47">
        <f t="shared" si="13"/>
        <v>0</v>
      </c>
      <c r="F148" s="87">
        <v>0</v>
      </c>
      <c r="G148" s="47">
        <f t="shared" si="11"/>
        <v>0</v>
      </c>
      <c r="H148" s="88"/>
      <c r="I148" s="20">
        <v>185</v>
      </c>
      <c r="J148" s="82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160</v>
      </c>
      <c r="C149" s="79">
        <f>+'4'!G149</f>
        <v>0</v>
      </c>
      <c r="D149" s="87">
        <v>0</v>
      </c>
      <c r="E149" s="47">
        <f t="shared" si="13"/>
        <v>0</v>
      </c>
      <c r="F149" s="87">
        <v>0</v>
      </c>
      <c r="G149" s="47">
        <f t="shared" si="11"/>
        <v>0</v>
      </c>
      <c r="H149" s="88"/>
      <c r="I149" s="20">
        <v>185</v>
      </c>
      <c r="J149" s="82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161</v>
      </c>
      <c r="C150" s="79">
        <f>+'4'!G150</f>
        <v>0</v>
      </c>
      <c r="D150" s="87">
        <v>0</v>
      </c>
      <c r="E150" s="47">
        <f t="shared" si="13"/>
        <v>0</v>
      </c>
      <c r="F150" s="87">
        <v>0</v>
      </c>
      <c r="G150" s="47">
        <f t="shared" si="11"/>
        <v>0</v>
      </c>
      <c r="H150" s="88"/>
      <c r="I150" s="20">
        <v>185</v>
      </c>
      <c r="J150" s="82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5.5" x14ac:dyDescent="0.55000000000000004">
      <c r="A151" s="10">
        <v>147</v>
      </c>
      <c r="B151" s="19" t="s">
        <v>279</v>
      </c>
      <c r="C151" s="79">
        <f>+'4'!G151</f>
        <v>0</v>
      </c>
      <c r="D151" s="87">
        <v>0</v>
      </c>
      <c r="E151" s="47">
        <f t="shared" si="13"/>
        <v>0</v>
      </c>
      <c r="F151" s="87">
        <v>0</v>
      </c>
      <c r="G151" s="47">
        <f t="shared" si="11"/>
        <v>0</v>
      </c>
      <c r="H151" s="88"/>
      <c r="I151" s="20">
        <v>150</v>
      </c>
      <c r="J151" s="82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280</v>
      </c>
      <c r="C152" s="79">
        <f>+'4'!G152</f>
        <v>1</v>
      </c>
      <c r="D152" s="87">
        <v>0</v>
      </c>
      <c r="E152" s="47">
        <f t="shared" si="13"/>
        <v>1</v>
      </c>
      <c r="F152" s="87">
        <v>0</v>
      </c>
      <c r="G152" s="47">
        <f t="shared" si="11"/>
        <v>1</v>
      </c>
      <c r="H152" s="88"/>
      <c r="I152" s="20">
        <v>150</v>
      </c>
      <c r="J152" s="82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5.5" x14ac:dyDescent="0.55000000000000004">
      <c r="A153" s="10">
        <v>149</v>
      </c>
      <c r="B153" s="19" t="s">
        <v>281</v>
      </c>
      <c r="C153" s="79">
        <f>+'4'!G153</f>
        <v>2</v>
      </c>
      <c r="D153" s="87">
        <v>0</v>
      </c>
      <c r="E153" s="47">
        <f t="shared" si="13"/>
        <v>2</v>
      </c>
      <c r="F153" s="87">
        <v>0</v>
      </c>
      <c r="G153" s="47">
        <f t="shared" si="11"/>
        <v>2</v>
      </c>
      <c r="H153" s="88"/>
      <c r="I153" s="20">
        <v>150</v>
      </c>
      <c r="J153" s="82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282</v>
      </c>
      <c r="C154" s="79">
        <f>+'4'!G154</f>
        <v>0</v>
      </c>
      <c r="D154" s="87">
        <v>0</v>
      </c>
      <c r="E154" s="47">
        <f t="shared" si="13"/>
        <v>0</v>
      </c>
      <c r="F154" s="87">
        <v>0</v>
      </c>
      <c r="G154" s="47">
        <f t="shared" si="11"/>
        <v>0</v>
      </c>
      <c r="H154" s="88"/>
      <c r="I154" s="20">
        <v>150</v>
      </c>
      <c r="J154" s="82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166</v>
      </c>
      <c r="C155" s="79">
        <f>+'4'!G155</f>
        <v>0</v>
      </c>
      <c r="D155" s="87">
        <v>0</v>
      </c>
      <c r="E155" s="47">
        <f t="shared" si="13"/>
        <v>0</v>
      </c>
      <c r="F155" s="87">
        <v>0</v>
      </c>
      <c r="G155" s="47">
        <f t="shared" si="11"/>
        <v>0</v>
      </c>
      <c r="H155" s="88"/>
      <c r="I155" s="20">
        <v>185</v>
      </c>
      <c r="J155" s="82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167</v>
      </c>
      <c r="C156" s="79">
        <f>+'4'!G156</f>
        <v>0</v>
      </c>
      <c r="D156" s="87">
        <v>0</v>
      </c>
      <c r="E156" s="47">
        <f t="shared" si="13"/>
        <v>0</v>
      </c>
      <c r="F156" s="87">
        <v>0</v>
      </c>
      <c r="G156" s="47">
        <f t="shared" si="11"/>
        <v>0</v>
      </c>
      <c r="H156" s="88"/>
      <c r="I156" s="20">
        <v>185</v>
      </c>
      <c r="J156" s="82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168</v>
      </c>
      <c r="C157" s="79">
        <f>+'4'!G157</f>
        <v>0</v>
      </c>
      <c r="D157" s="87">
        <v>0</v>
      </c>
      <c r="E157" s="47">
        <f t="shared" si="13"/>
        <v>0</v>
      </c>
      <c r="F157" s="87">
        <v>0</v>
      </c>
      <c r="G157" s="47">
        <f t="shared" si="11"/>
        <v>0</v>
      </c>
      <c r="H157" s="88"/>
      <c r="I157" s="20">
        <v>185</v>
      </c>
      <c r="J157" s="82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169</v>
      </c>
      <c r="C158" s="79">
        <f>+'4'!G158</f>
        <v>0</v>
      </c>
      <c r="D158" s="87">
        <v>0</v>
      </c>
      <c r="E158" s="47">
        <f t="shared" si="13"/>
        <v>0</v>
      </c>
      <c r="F158" s="87">
        <v>0</v>
      </c>
      <c r="G158" s="47">
        <f t="shared" si="11"/>
        <v>0</v>
      </c>
      <c r="H158" s="88"/>
      <c r="I158" s="20">
        <v>185</v>
      </c>
      <c r="J158" s="82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170</v>
      </c>
      <c r="C159" s="79">
        <f>+'4'!G159</f>
        <v>0</v>
      </c>
      <c r="D159" s="87">
        <v>0</v>
      </c>
      <c r="E159" s="47">
        <f t="shared" si="13"/>
        <v>0</v>
      </c>
      <c r="F159" s="87">
        <v>0</v>
      </c>
      <c r="G159" s="47">
        <f t="shared" si="11"/>
        <v>0</v>
      </c>
      <c r="H159" s="88"/>
      <c r="I159" s="20">
        <v>135</v>
      </c>
      <c r="J159" s="82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171</v>
      </c>
      <c r="C160" s="79">
        <f>+'4'!G160</f>
        <v>0</v>
      </c>
      <c r="D160" s="87">
        <v>0</v>
      </c>
      <c r="E160" s="47">
        <f t="shared" si="13"/>
        <v>0</v>
      </c>
      <c r="F160" s="87">
        <v>0</v>
      </c>
      <c r="G160" s="47">
        <f t="shared" si="11"/>
        <v>0</v>
      </c>
      <c r="H160" s="88"/>
      <c r="I160" s="20">
        <v>90</v>
      </c>
      <c r="J160" s="82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172</v>
      </c>
      <c r="C161" s="79">
        <f>+'4'!G161</f>
        <v>0</v>
      </c>
      <c r="D161" s="87">
        <v>0</v>
      </c>
      <c r="E161" s="47">
        <f t="shared" si="13"/>
        <v>0</v>
      </c>
      <c r="F161" s="87">
        <v>0</v>
      </c>
      <c r="G161" s="47">
        <f t="shared" si="11"/>
        <v>0</v>
      </c>
      <c r="H161" s="88"/>
      <c r="I161" s="20">
        <v>90</v>
      </c>
      <c r="J161" s="82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173</v>
      </c>
      <c r="C162" s="79">
        <f>+'4'!G162</f>
        <v>0</v>
      </c>
      <c r="D162" s="87">
        <v>0</v>
      </c>
      <c r="E162" s="47">
        <f t="shared" si="13"/>
        <v>0</v>
      </c>
      <c r="F162" s="87">
        <v>0</v>
      </c>
      <c r="G162" s="47">
        <f t="shared" si="11"/>
        <v>0</v>
      </c>
      <c r="H162" s="88"/>
      <c r="I162" s="20">
        <v>90</v>
      </c>
      <c r="J162" s="82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174</v>
      </c>
      <c r="C163" s="79">
        <f>+'4'!G163</f>
        <v>0</v>
      </c>
      <c r="D163" s="87">
        <v>0</v>
      </c>
      <c r="E163" s="47">
        <f t="shared" si="13"/>
        <v>0</v>
      </c>
      <c r="F163" s="87">
        <v>0</v>
      </c>
      <c r="G163" s="47">
        <f t="shared" si="11"/>
        <v>0</v>
      </c>
      <c r="H163" s="88"/>
      <c r="I163" s="20">
        <v>90</v>
      </c>
      <c r="J163" s="82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175</v>
      </c>
      <c r="C164" s="79">
        <f>+'4'!G164</f>
        <v>0</v>
      </c>
      <c r="D164" s="87">
        <v>0</v>
      </c>
      <c r="E164" s="47">
        <f t="shared" si="13"/>
        <v>0</v>
      </c>
      <c r="F164" s="87">
        <v>0</v>
      </c>
      <c r="G164" s="47">
        <f t="shared" si="11"/>
        <v>0</v>
      </c>
      <c r="H164" s="88"/>
      <c r="I164" s="20">
        <v>25</v>
      </c>
      <c r="J164" s="82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176</v>
      </c>
      <c r="C165" s="79">
        <f>+'4'!G165</f>
        <v>0</v>
      </c>
      <c r="D165" s="87">
        <v>0</v>
      </c>
      <c r="E165" s="47">
        <f t="shared" si="13"/>
        <v>0</v>
      </c>
      <c r="F165" s="87">
        <v>0</v>
      </c>
      <c r="G165" s="47">
        <f t="shared" ref="G165:G227" si="15">+E165-F165-H165</f>
        <v>0</v>
      </c>
      <c r="H165" s="88"/>
      <c r="I165" s="20">
        <v>50</v>
      </c>
      <c r="J165" s="82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177</v>
      </c>
      <c r="C166" s="79">
        <f>+'4'!G166</f>
        <v>0</v>
      </c>
      <c r="D166" s="87">
        <v>0</v>
      </c>
      <c r="E166" s="47">
        <f t="shared" si="13"/>
        <v>0</v>
      </c>
      <c r="F166" s="87">
        <v>0</v>
      </c>
      <c r="G166" s="47">
        <f t="shared" si="15"/>
        <v>0</v>
      </c>
      <c r="H166" s="88"/>
      <c r="I166" s="20">
        <v>50</v>
      </c>
      <c r="J166" s="82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178</v>
      </c>
      <c r="C167" s="79">
        <f>+'4'!G167</f>
        <v>0</v>
      </c>
      <c r="D167" s="87">
        <v>0</v>
      </c>
      <c r="E167" s="47">
        <f t="shared" si="13"/>
        <v>0</v>
      </c>
      <c r="F167" s="87">
        <v>0</v>
      </c>
      <c r="G167" s="47">
        <f t="shared" si="15"/>
        <v>0</v>
      </c>
      <c r="H167" s="88"/>
      <c r="I167" s="20">
        <v>50</v>
      </c>
      <c r="J167" s="82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179</v>
      </c>
      <c r="C168" s="79">
        <f>+'4'!G168</f>
        <v>7</v>
      </c>
      <c r="D168" s="87">
        <v>0</v>
      </c>
      <c r="E168" s="47">
        <f t="shared" si="13"/>
        <v>7</v>
      </c>
      <c r="F168" s="87">
        <v>0</v>
      </c>
      <c r="G168" s="47">
        <f t="shared" si="15"/>
        <v>7</v>
      </c>
      <c r="H168" s="88"/>
      <c r="I168" s="20">
        <v>50</v>
      </c>
      <c r="J168" s="82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180</v>
      </c>
      <c r="C169" s="79">
        <f>+'4'!G169</f>
        <v>50</v>
      </c>
      <c r="D169" s="87">
        <v>0</v>
      </c>
      <c r="E169" s="47">
        <f t="shared" si="13"/>
        <v>50</v>
      </c>
      <c r="F169" s="87">
        <v>0</v>
      </c>
      <c r="G169" s="47">
        <f t="shared" si="15"/>
        <v>49</v>
      </c>
      <c r="H169" s="88">
        <v>1</v>
      </c>
      <c r="I169" s="20">
        <v>55</v>
      </c>
      <c r="J169" s="82">
        <f t="shared" si="16"/>
        <v>55</v>
      </c>
      <c r="K169" s="17" t="s">
        <v>16</v>
      </c>
      <c r="L169" s="18">
        <v>0</v>
      </c>
      <c r="M169" s="104">
        <f t="shared" si="14"/>
        <v>55</v>
      </c>
    </row>
    <row r="170" spans="1:13" ht="25.5" x14ac:dyDescent="0.55000000000000004">
      <c r="A170" s="10">
        <v>166</v>
      </c>
      <c r="B170" s="19" t="s">
        <v>181</v>
      </c>
      <c r="C170" s="79">
        <f>+'4'!G170</f>
        <v>0</v>
      </c>
      <c r="D170" s="87">
        <v>0</v>
      </c>
      <c r="E170" s="47">
        <f t="shared" si="13"/>
        <v>0</v>
      </c>
      <c r="F170" s="87">
        <v>0</v>
      </c>
      <c r="G170" s="47">
        <f t="shared" si="15"/>
        <v>0</v>
      </c>
      <c r="H170" s="88"/>
      <c r="I170" s="20">
        <v>85</v>
      </c>
      <c r="J170" s="82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182</v>
      </c>
      <c r="C171" s="79">
        <f>+'4'!G171</f>
        <v>11</v>
      </c>
      <c r="D171" s="87">
        <v>0</v>
      </c>
      <c r="E171" s="47">
        <f t="shared" si="13"/>
        <v>11</v>
      </c>
      <c r="F171" s="87">
        <v>0</v>
      </c>
      <c r="G171" s="47">
        <f t="shared" si="15"/>
        <v>11</v>
      </c>
      <c r="H171" s="88"/>
      <c r="I171" s="20">
        <v>80</v>
      </c>
      <c r="J171" s="82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183</v>
      </c>
      <c r="C172" s="79">
        <f>+'4'!G172</f>
        <v>0</v>
      </c>
      <c r="D172" s="87">
        <v>0</v>
      </c>
      <c r="E172" s="47">
        <f t="shared" si="13"/>
        <v>0</v>
      </c>
      <c r="F172" s="87">
        <v>0</v>
      </c>
      <c r="G172" s="47">
        <f t="shared" si="15"/>
        <v>0</v>
      </c>
      <c r="H172" s="88"/>
      <c r="I172" s="20">
        <v>40</v>
      </c>
      <c r="J172" s="82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184</v>
      </c>
      <c r="C173" s="79">
        <f>+'4'!G173</f>
        <v>0</v>
      </c>
      <c r="D173" s="87">
        <v>0</v>
      </c>
      <c r="E173" s="47">
        <f t="shared" si="13"/>
        <v>0</v>
      </c>
      <c r="F173" s="87">
        <v>0</v>
      </c>
      <c r="G173" s="47">
        <f t="shared" si="15"/>
        <v>0</v>
      </c>
      <c r="H173" s="88"/>
      <c r="I173" s="20">
        <v>120</v>
      </c>
      <c r="J173" s="82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185</v>
      </c>
      <c r="C174" s="79">
        <f>+'4'!G174</f>
        <v>0</v>
      </c>
      <c r="D174" s="87">
        <v>0</v>
      </c>
      <c r="E174" s="47">
        <f t="shared" si="13"/>
        <v>0</v>
      </c>
      <c r="F174" s="87">
        <v>0</v>
      </c>
      <c r="G174" s="47">
        <f t="shared" si="15"/>
        <v>0</v>
      </c>
      <c r="H174" s="88"/>
      <c r="I174" s="20">
        <v>120</v>
      </c>
      <c r="J174" s="82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186</v>
      </c>
      <c r="C175" s="79">
        <f>+'4'!G175</f>
        <v>0</v>
      </c>
      <c r="D175" s="87">
        <v>0</v>
      </c>
      <c r="E175" s="47">
        <f t="shared" si="13"/>
        <v>0</v>
      </c>
      <c r="F175" s="87">
        <v>0</v>
      </c>
      <c r="G175" s="47">
        <f t="shared" si="15"/>
        <v>0</v>
      </c>
      <c r="H175" s="88"/>
      <c r="I175" s="20">
        <v>55</v>
      </c>
      <c r="J175" s="82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187</v>
      </c>
      <c r="C176" s="79">
        <f>+'4'!G176</f>
        <v>0</v>
      </c>
      <c r="D176" s="87">
        <v>0</v>
      </c>
      <c r="E176" s="47">
        <f t="shared" si="13"/>
        <v>0</v>
      </c>
      <c r="F176" s="87">
        <v>0</v>
      </c>
      <c r="G176" s="47">
        <f t="shared" si="15"/>
        <v>0</v>
      </c>
      <c r="H176" s="88"/>
      <c r="I176" s="20">
        <v>50</v>
      </c>
      <c r="J176" s="82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188</v>
      </c>
      <c r="C177" s="79">
        <f>+'4'!G177</f>
        <v>2</v>
      </c>
      <c r="D177" s="87">
        <v>0</v>
      </c>
      <c r="E177" s="47">
        <f t="shared" si="13"/>
        <v>2</v>
      </c>
      <c r="F177" s="87">
        <v>0</v>
      </c>
      <c r="G177" s="47">
        <f t="shared" si="15"/>
        <v>2</v>
      </c>
      <c r="H177" s="88"/>
      <c r="I177" s="20">
        <v>50</v>
      </c>
      <c r="J177" s="82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189</v>
      </c>
      <c r="C178" s="79">
        <f>+'4'!G178</f>
        <v>0</v>
      </c>
      <c r="D178" s="87">
        <v>0</v>
      </c>
      <c r="E178" s="47">
        <f t="shared" si="13"/>
        <v>0</v>
      </c>
      <c r="F178" s="87">
        <v>0</v>
      </c>
      <c r="G178" s="47">
        <f t="shared" si="15"/>
        <v>0</v>
      </c>
      <c r="H178" s="88"/>
      <c r="I178" s="20">
        <v>120</v>
      </c>
      <c r="J178" s="82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190</v>
      </c>
      <c r="C179" s="79">
        <f>+'4'!G179</f>
        <v>3</v>
      </c>
      <c r="D179" s="87">
        <v>0</v>
      </c>
      <c r="E179" s="47">
        <f t="shared" si="13"/>
        <v>3</v>
      </c>
      <c r="F179" s="87">
        <v>0</v>
      </c>
      <c r="G179" s="47">
        <f t="shared" si="15"/>
        <v>0</v>
      </c>
      <c r="H179" s="88">
        <v>3</v>
      </c>
      <c r="I179" s="20">
        <v>120</v>
      </c>
      <c r="J179" s="82">
        <f t="shared" si="16"/>
        <v>360</v>
      </c>
      <c r="K179" s="17" t="s">
        <v>289</v>
      </c>
      <c r="L179" s="18">
        <v>180</v>
      </c>
      <c r="M179" s="23">
        <f t="shared" si="14"/>
        <v>180</v>
      </c>
    </row>
    <row r="180" spans="1:13" ht="25.5" x14ac:dyDescent="0.55000000000000004">
      <c r="A180" s="10">
        <v>176</v>
      </c>
      <c r="B180" s="19" t="s">
        <v>191</v>
      </c>
      <c r="C180" s="79">
        <f>+'4'!G180</f>
        <v>0</v>
      </c>
      <c r="D180" s="87">
        <v>0</v>
      </c>
      <c r="E180" s="47">
        <f t="shared" si="13"/>
        <v>0</v>
      </c>
      <c r="F180" s="87">
        <v>0</v>
      </c>
      <c r="G180" s="47">
        <f t="shared" si="15"/>
        <v>0</v>
      </c>
      <c r="H180" s="88"/>
      <c r="I180" s="20">
        <v>10</v>
      </c>
      <c r="J180" s="82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192</v>
      </c>
      <c r="C181" s="79">
        <f>+'4'!G181</f>
        <v>0</v>
      </c>
      <c r="D181" s="87">
        <v>0</v>
      </c>
      <c r="E181" s="47">
        <f t="shared" si="13"/>
        <v>0</v>
      </c>
      <c r="F181" s="87">
        <v>0</v>
      </c>
      <c r="G181" s="47">
        <f t="shared" si="15"/>
        <v>0</v>
      </c>
      <c r="H181" s="88"/>
      <c r="I181" s="20">
        <v>35</v>
      </c>
      <c r="J181" s="82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193</v>
      </c>
      <c r="C182" s="79">
        <f>+'4'!G182</f>
        <v>0</v>
      </c>
      <c r="D182" s="87">
        <v>0</v>
      </c>
      <c r="E182" s="47">
        <f t="shared" si="13"/>
        <v>0</v>
      </c>
      <c r="F182" s="87">
        <v>0</v>
      </c>
      <c r="G182" s="47">
        <f t="shared" si="15"/>
        <v>0</v>
      </c>
      <c r="H182" s="88"/>
      <c r="I182" s="20">
        <v>10</v>
      </c>
      <c r="J182" s="82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194</v>
      </c>
      <c r="C183" s="79">
        <f>+'4'!G183</f>
        <v>0</v>
      </c>
      <c r="D183" s="87">
        <v>0</v>
      </c>
      <c r="E183" s="47">
        <f t="shared" si="13"/>
        <v>0</v>
      </c>
      <c r="F183" s="87">
        <v>0</v>
      </c>
      <c r="G183" s="47">
        <f t="shared" si="15"/>
        <v>0</v>
      </c>
      <c r="H183" s="88"/>
      <c r="I183" s="20">
        <v>10</v>
      </c>
      <c r="J183" s="82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195</v>
      </c>
      <c r="C184" s="79">
        <f>+'4'!G184</f>
        <v>0</v>
      </c>
      <c r="D184" s="87">
        <v>0</v>
      </c>
      <c r="E184" s="47">
        <f t="shared" si="13"/>
        <v>0</v>
      </c>
      <c r="F184" s="87">
        <v>0</v>
      </c>
      <c r="G184" s="47">
        <f t="shared" si="15"/>
        <v>0</v>
      </c>
      <c r="H184" s="88"/>
      <c r="I184" s="20">
        <v>10</v>
      </c>
      <c r="J184" s="82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196</v>
      </c>
      <c r="C185" s="79">
        <f>+'4'!G185</f>
        <v>0</v>
      </c>
      <c r="D185" s="87">
        <v>0</v>
      </c>
      <c r="E185" s="47">
        <f t="shared" si="13"/>
        <v>0</v>
      </c>
      <c r="F185" s="87">
        <v>0</v>
      </c>
      <c r="G185" s="47">
        <f t="shared" si="15"/>
        <v>0</v>
      </c>
      <c r="H185" s="88"/>
      <c r="I185" s="20">
        <v>10</v>
      </c>
      <c r="J185" s="82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197</v>
      </c>
      <c r="C186" s="79">
        <f>+'4'!G186</f>
        <v>0</v>
      </c>
      <c r="D186" s="87">
        <v>0</v>
      </c>
      <c r="E186" s="47">
        <f t="shared" si="13"/>
        <v>0</v>
      </c>
      <c r="F186" s="87">
        <v>0</v>
      </c>
      <c r="G186" s="47">
        <f t="shared" si="15"/>
        <v>0</v>
      </c>
      <c r="H186" s="88"/>
      <c r="I186" s="20">
        <v>10</v>
      </c>
      <c r="J186" s="82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198</v>
      </c>
      <c r="C187" s="79">
        <f>+'4'!G187</f>
        <v>0</v>
      </c>
      <c r="D187" s="87">
        <v>0</v>
      </c>
      <c r="E187" s="47">
        <f t="shared" si="13"/>
        <v>0</v>
      </c>
      <c r="F187" s="87">
        <v>0</v>
      </c>
      <c r="G187" s="47">
        <f t="shared" si="15"/>
        <v>0</v>
      </c>
      <c r="H187" s="88"/>
      <c r="I187" s="20">
        <v>25</v>
      </c>
      <c r="J187" s="82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249</v>
      </c>
      <c r="C188" s="79">
        <f>+'4'!G188</f>
        <v>0</v>
      </c>
      <c r="D188" s="87">
        <v>0</v>
      </c>
      <c r="E188" s="47">
        <f t="shared" si="13"/>
        <v>0</v>
      </c>
      <c r="F188" s="87">
        <v>0</v>
      </c>
      <c r="G188" s="47">
        <f t="shared" si="15"/>
        <v>0</v>
      </c>
      <c r="H188" s="88"/>
      <c r="I188" s="15">
        <v>50</v>
      </c>
      <c r="J188" s="82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250</v>
      </c>
      <c r="C189" s="79">
        <f>+'4'!G189</f>
        <v>0</v>
      </c>
      <c r="D189" s="87">
        <v>0</v>
      </c>
      <c r="E189" s="47">
        <f t="shared" si="13"/>
        <v>0</v>
      </c>
      <c r="F189" s="87">
        <v>0</v>
      </c>
      <c r="G189" s="47">
        <f t="shared" si="15"/>
        <v>0</v>
      </c>
      <c r="H189" s="88"/>
      <c r="I189" s="15">
        <v>10</v>
      </c>
      <c r="J189" s="82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251</v>
      </c>
      <c r="C190" s="79">
        <f>+'4'!G190</f>
        <v>0</v>
      </c>
      <c r="D190" s="87">
        <v>0</v>
      </c>
      <c r="E190" s="47">
        <f t="shared" ref="E190:E252" si="17">C190+D190</f>
        <v>0</v>
      </c>
      <c r="F190" s="87">
        <v>0</v>
      </c>
      <c r="G190" s="47">
        <f t="shared" si="15"/>
        <v>0</v>
      </c>
      <c r="H190" s="88"/>
      <c r="I190" s="15">
        <v>15</v>
      </c>
      <c r="J190" s="82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252</v>
      </c>
      <c r="C191" s="79">
        <f>+'4'!G191</f>
        <v>0</v>
      </c>
      <c r="D191" s="87">
        <v>0</v>
      </c>
      <c r="E191" s="47">
        <f t="shared" si="17"/>
        <v>0</v>
      </c>
      <c r="F191" s="87">
        <v>0</v>
      </c>
      <c r="G191" s="47">
        <f t="shared" si="15"/>
        <v>0</v>
      </c>
      <c r="H191" s="88"/>
      <c r="I191" s="15">
        <v>25</v>
      </c>
      <c r="J191" s="82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253</v>
      </c>
      <c r="C192" s="79">
        <f>+'4'!G192</f>
        <v>0</v>
      </c>
      <c r="D192" s="87">
        <v>0</v>
      </c>
      <c r="E192" s="47">
        <f t="shared" si="17"/>
        <v>0</v>
      </c>
      <c r="F192" s="87">
        <v>0</v>
      </c>
      <c r="G192" s="47">
        <f t="shared" si="15"/>
        <v>0</v>
      </c>
      <c r="H192" s="88"/>
      <c r="I192" s="15">
        <v>50</v>
      </c>
      <c r="J192" s="82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254</v>
      </c>
      <c r="C193" s="79">
        <f>+'4'!G193</f>
        <v>0</v>
      </c>
      <c r="D193" s="87">
        <v>0</v>
      </c>
      <c r="E193" s="47">
        <f t="shared" si="17"/>
        <v>0</v>
      </c>
      <c r="F193" s="87">
        <v>0</v>
      </c>
      <c r="G193" s="47">
        <f t="shared" si="15"/>
        <v>0</v>
      </c>
      <c r="H193" s="88"/>
      <c r="I193" s="15">
        <v>45</v>
      </c>
      <c r="J193" s="82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255</v>
      </c>
      <c r="C194" s="79">
        <f>+'4'!G194</f>
        <v>0</v>
      </c>
      <c r="D194" s="87">
        <v>0</v>
      </c>
      <c r="E194" s="47">
        <f t="shared" si="17"/>
        <v>0</v>
      </c>
      <c r="F194" s="87">
        <v>0</v>
      </c>
      <c r="G194" s="47">
        <f t="shared" si="15"/>
        <v>0</v>
      </c>
      <c r="H194" s="88"/>
      <c r="I194" s="15">
        <v>50</v>
      </c>
      <c r="J194" s="82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199</v>
      </c>
      <c r="C195" s="79">
        <f>+'4'!G195</f>
        <v>0</v>
      </c>
      <c r="D195" s="87">
        <v>0</v>
      </c>
      <c r="E195" s="47">
        <f t="shared" si="17"/>
        <v>0</v>
      </c>
      <c r="F195" s="87">
        <v>0</v>
      </c>
      <c r="G195" s="47">
        <f t="shared" si="15"/>
        <v>0</v>
      </c>
      <c r="H195" s="88"/>
      <c r="I195" s="15">
        <v>150</v>
      </c>
      <c r="J195" s="82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200</v>
      </c>
      <c r="C196" s="79">
        <f>+'4'!G196</f>
        <v>0</v>
      </c>
      <c r="D196" s="87">
        <v>0</v>
      </c>
      <c r="E196" s="47">
        <f t="shared" si="17"/>
        <v>0</v>
      </c>
      <c r="F196" s="87">
        <v>0</v>
      </c>
      <c r="G196" s="47">
        <f t="shared" si="15"/>
        <v>0</v>
      </c>
      <c r="H196" s="88"/>
      <c r="I196" s="15">
        <v>150</v>
      </c>
      <c r="J196" s="82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201</v>
      </c>
      <c r="C197" s="79">
        <f>+'4'!G197</f>
        <v>0</v>
      </c>
      <c r="D197" s="87">
        <v>0</v>
      </c>
      <c r="E197" s="47">
        <f t="shared" si="17"/>
        <v>0</v>
      </c>
      <c r="F197" s="87">
        <v>0</v>
      </c>
      <c r="G197" s="47">
        <f t="shared" si="15"/>
        <v>0</v>
      </c>
      <c r="H197" s="88"/>
      <c r="I197" s="15">
        <v>150</v>
      </c>
      <c r="J197" s="82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256</v>
      </c>
      <c r="C198" s="79">
        <f>+'4'!G198</f>
        <v>0</v>
      </c>
      <c r="D198" s="87">
        <v>0</v>
      </c>
      <c r="E198" s="47">
        <f t="shared" si="17"/>
        <v>0</v>
      </c>
      <c r="F198" s="87">
        <v>0</v>
      </c>
      <c r="G198" s="47">
        <f t="shared" si="15"/>
        <v>0</v>
      </c>
      <c r="H198" s="88"/>
      <c r="I198" s="15">
        <v>55</v>
      </c>
      <c r="J198" s="82">
        <f t="shared" si="16"/>
        <v>0</v>
      </c>
      <c r="K198" s="17" t="s">
        <v>16</v>
      </c>
      <c r="L198" s="18">
        <v>0</v>
      </c>
      <c r="M198" s="23">
        <f t="shared" si="14"/>
        <v>0</v>
      </c>
    </row>
    <row r="199" spans="1:13" ht="25.5" x14ac:dyDescent="0.55000000000000004">
      <c r="A199" s="10">
        <v>195</v>
      </c>
      <c r="B199" s="19" t="s">
        <v>257</v>
      </c>
      <c r="C199" s="79">
        <f>+'4'!G199</f>
        <v>0</v>
      </c>
      <c r="D199" s="87">
        <v>0</v>
      </c>
      <c r="E199" s="47">
        <f t="shared" si="17"/>
        <v>0</v>
      </c>
      <c r="F199" s="87">
        <v>0</v>
      </c>
      <c r="G199" s="47">
        <f t="shared" si="15"/>
        <v>0</v>
      </c>
      <c r="H199" s="88"/>
      <c r="I199" s="15">
        <v>30</v>
      </c>
      <c r="J199" s="82">
        <f t="shared" si="16"/>
        <v>0</v>
      </c>
      <c r="K199" s="17" t="s">
        <v>16</v>
      </c>
      <c r="L199" s="18">
        <v>0</v>
      </c>
      <c r="M199" s="23">
        <f t="shared" ref="M199:M254" si="18">SUM(J199-L199)</f>
        <v>0</v>
      </c>
    </row>
    <row r="200" spans="1:13" ht="25.5" x14ac:dyDescent="0.55000000000000004">
      <c r="A200" s="10">
        <v>196</v>
      </c>
      <c r="B200" s="19" t="s">
        <v>258</v>
      </c>
      <c r="C200" s="79">
        <f>+'4'!G200</f>
        <v>0</v>
      </c>
      <c r="D200" s="87">
        <v>0</v>
      </c>
      <c r="E200" s="47">
        <f t="shared" si="17"/>
        <v>0</v>
      </c>
      <c r="F200" s="87">
        <v>0</v>
      </c>
      <c r="G200" s="47">
        <f t="shared" si="15"/>
        <v>0</v>
      </c>
      <c r="H200" s="88"/>
      <c r="I200" s="15">
        <v>30</v>
      </c>
      <c r="J200" s="82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259</v>
      </c>
      <c r="C201" s="79">
        <f>+'4'!G201</f>
        <v>0</v>
      </c>
      <c r="D201" s="87">
        <v>0</v>
      </c>
      <c r="E201" s="47">
        <f t="shared" si="17"/>
        <v>0</v>
      </c>
      <c r="F201" s="87">
        <v>0</v>
      </c>
      <c r="G201" s="47">
        <f t="shared" si="15"/>
        <v>0</v>
      </c>
      <c r="H201" s="88"/>
      <c r="I201" s="15">
        <v>30</v>
      </c>
      <c r="J201" s="82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260</v>
      </c>
      <c r="C202" s="79">
        <f>+'4'!G202</f>
        <v>0</v>
      </c>
      <c r="D202" s="87">
        <v>0</v>
      </c>
      <c r="E202" s="47">
        <f t="shared" si="17"/>
        <v>0</v>
      </c>
      <c r="F202" s="87">
        <v>0</v>
      </c>
      <c r="G202" s="47">
        <f t="shared" si="15"/>
        <v>0</v>
      </c>
      <c r="H202" s="88"/>
      <c r="I202" s="15">
        <v>30</v>
      </c>
      <c r="J202" s="82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261</v>
      </c>
      <c r="C203" s="79">
        <f>+'4'!G203</f>
        <v>0</v>
      </c>
      <c r="D203" s="87">
        <v>0</v>
      </c>
      <c r="E203" s="47">
        <f t="shared" si="17"/>
        <v>0</v>
      </c>
      <c r="F203" s="87">
        <v>0</v>
      </c>
      <c r="G203" s="47">
        <f t="shared" si="15"/>
        <v>0</v>
      </c>
      <c r="H203" s="88"/>
      <c r="I203" s="20">
        <v>30</v>
      </c>
      <c r="J203" s="82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262</v>
      </c>
      <c r="C204" s="79">
        <f>+'4'!G204</f>
        <v>0</v>
      </c>
      <c r="D204" s="87">
        <v>0</v>
      </c>
      <c r="E204" s="47">
        <f t="shared" si="17"/>
        <v>0</v>
      </c>
      <c r="F204" s="87">
        <v>0</v>
      </c>
      <c r="G204" s="47">
        <f t="shared" si="15"/>
        <v>0</v>
      </c>
      <c r="H204" s="88"/>
      <c r="I204" s="20">
        <v>30</v>
      </c>
      <c r="J204" s="82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263</v>
      </c>
      <c r="C205" s="79">
        <f>+'4'!G205</f>
        <v>0</v>
      </c>
      <c r="D205" s="87">
        <v>0</v>
      </c>
      <c r="E205" s="47">
        <f t="shared" si="17"/>
        <v>0</v>
      </c>
      <c r="F205" s="87">
        <v>0</v>
      </c>
      <c r="G205" s="47">
        <f t="shared" si="15"/>
        <v>0</v>
      </c>
      <c r="H205" s="88"/>
      <c r="I205" s="20">
        <v>50</v>
      </c>
      <c r="J205" s="82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 t="s">
        <v>264</v>
      </c>
      <c r="C206" s="79">
        <f>+'4'!G206</f>
        <v>0</v>
      </c>
      <c r="D206" s="87">
        <v>0</v>
      </c>
      <c r="E206" s="47">
        <f t="shared" si="17"/>
        <v>0</v>
      </c>
      <c r="F206" s="87">
        <v>0</v>
      </c>
      <c r="G206" s="47">
        <f t="shared" si="15"/>
        <v>0</v>
      </c>
      <c r="H206" s="88"/>
      <c r="I206" s="20">
        <v>100</v>
      </c>
      <c r="J206" s="82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265</v>
      </c>
      <c r="C207" s="79">
        <f>+'4'!G207</f>
        <v>0</v>
      </c>
      <c r="D207" s="87">
        <v>0</v>
      </c>
      <c r="E207" s="47">
        <f t="shared" si="17"/>
        <v>0</v>
      </c>
      <c r="F207" s="87">
        <v>0</v>
      </c>
      <c r="G207" s="47">
        <f t="shared" si="15"/>
        <v>0</v>
      </c>
      <c r="H207" s="88"/>
      <c r="I207" s="20">
        <v>100</v>
      </c>
      <c r="J207" s="82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266</v>
      </c>
      <c r="C208" s="79">
        <f>+'4'!G208</f>
        <v>0</v>
      </c>
      <c r="D208" s="87">
        <v>0</v>
      </c>
      <c r="E208" s="47">
        <f t="shared" si="17"/>
        <v>0</v>
      </c>
      <c r="F208" s="87">
        <v>0</v>
      </c>
      <c r="G208" s="47">
        <f t="shared" si="15"/>
        <v>0</v>
      </c>
      <c r="H208" s="88"/>
      <c r="I208" s="20">
        <v>100</v>
      </c>
      <c r="J208" s="82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 t="s">
        <v>267</v>
      </c>
      <c r="C209" s="79">
        <f>+'4'!G209</f>
        <v>0</v>
      </c>
      <c r="D209" s="87">
        <v>0</v>
      </c>
      <c r="E209" s="47">
        <f t="shared" si="17"/>
        <v>0</v>
      </c>
      <c r="F209" s="87">
        <v>0</v>
      </c>
      <c r="G209" s="47">
        <f t="shared" si="15"/>
        <v>0</v>
      </c>
      <c r="H209" s="88"/>
      <c r="I209" s="20">
        <v>100</v>
      </c>
      <c r="J209" s="82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268</v>
      </c>
      <c r="C210" s="79">
        <f>+'4'!G210</f>
        <v>0</v>
      </c>
      <c r="D210" s="87">
        <v>0</v>
      </c>
      <c r="E210" s="47">
        <f t="shared" si="17"/>
        <v>0</v>
      </c>
      <c r="F210" s="87">
        <v>0</v>
      </c>
      <c r="G210" s="47">
        <f t="shared" si="15"/>
        <v>0</v>
      </c>
      <c r="H210" s="88"/>
      <c r="I210" s="20">
        <v>250</v>
      </c>
      <c r="J210" s="82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 t="s">
        <v>269</v>
      </c>
      <c r="C211" s="79">
        <f>+'4'!G211</f>
        <v>0</v>
      </c>
      <c r="D211" s="87">
        <v>0</v>
      </c>
      <c r="E211" s="47">
        <f t="shared" si="17"/>
        <v>0</v>
      </c>
      <c r="F211" s="87">
        <v>0</v>
      </c>
      <c r="G211" s="47">
        <f t="shared" si="15"/>
        <v>0</v>
      </c>
      <c r="H211" s="88"/>
      <c r="I211" s="20">
        <v>250</v>
      </c>
      <c r="J211" s="82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 t="s">
        <v>270</v>
      </c>
      <c r="C212" s="79">
        <f>+'4'!G212</f>
        <v>0</v>
      </c>
      <c r="D212" s="87">
        <v>0</v>
      </c>
      <c r="E212" s="47">
        <f t="shared" si="17"/>
        <v>0</v>
      </c>
      <c r="F212" s="87">
        <v>0</v>
      </c>
      <c r="G212" s="47">
        <f t="shared" si="15"/>
        <v>0</v>
      </c>
      <c r="H212" s="88"/>
      <c r="I212" s="20">
        <v>250</v>
      </c>
      <c r="J212" s="82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 t="s">
        <v>271</v>
      </c>
      <c r="C213" s="79">
        <f>+'4'!G213</f>
        <v>0</v>
      </c>
      <c r="D213" s="87">
        <v>0</v>
      </c>
      <c r="E213" s="47">
        <f t="shared" si="17"/>
        <v>0</v>
      </c>
      <c r="F213" s="87">
        <v>0</v>
      </c>
      <c r="G213" s="47">
        <f t="shared" si="15"/>
        <v>0</v>
      </c>
      <c r="H213" s="88"/>
      <c r="I213" s="20">
        <v>50</v>
      </c>
      <c r="J213" s="82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 t="s">
        <v>273</v>
      </c>
      <c r="C214" s="79">
        <f>+'4'!G214</f>
        <v>0</v>
      </c>
      <c r="D214" s="87">
        <v>0</v>
      </c>
      <c r="E214" s="47">
        <f t="shared" si="17"/>
        <v>0</v>
      </c>
      <c r="F214" s="87">
        <v>0</v>
      </c>
      <c r="G214" s="47">
        <f t="shared" si="15"/>
        <v>0</v>
      </c>
      <c r="H214" s="88"/>
      <c r="I214" s="20">
        <v>50</v>
      </c>
      <c r="J214" s="82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 t="s">
        <v>274</v>
      </c>
      <c r="C215" s="79">
        <f>+'4'!G215</f>
        <v>0</v>
      </c>
      <c r="D215" s="87">
        <v>0</v>
      </c>
      <c r="E215" s="47">
        <f t="shared" si="17"/>
        <v>0</v>
      </c>
      <c r="F215" s="87">
        <v>0</v>
      </c>
      <c r="G215" s="47">
        <f t="shared" si="15"/>
        <v>0</v>
      </c>
      <c r="H215" s="88"/>
      <c r="I215" s="20">
        <v>50</v>
      </c>
      <c r="J215" s="82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 t="s">
        <v>242</v>
      </c>
      <c r="C216" s="79">
        <f>+'4'!G216</f>
        <v>0</v>
      </c>
      <c r="D216" s="87">
        <v>0</v>
      </c>
      <c r="E216" s="47">
        <f t="shared" si="17"/>
        <v>0</v>
      </c>
      <c r="F216" s="87">
        <v>0</v>
      </c>
      <c r="G216" s="47">
        <f t="shared" si="15"/>
        <v>0</v>
      </c>
      <c r="H216" s="88"/>
      <c r="I216" s="20">
        <v>35</v>
      </c>
      <c r="J216" s="82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 t="s">
        <v>275</v>
      </c>
      <c r="C217" s="79">
        <f>+'4'!G217</f>
        <v>0</v>
      </c>
      <c r="D217" s="87">
        <v>0</v>
      </c>
      <c r="E217" s="47">
        <f t="shared" si="17"/>
        <v>0</v>
      </c>
      <c r="F217" s="87">
        <v>0</v>
      </c>
      <c r="G217" s="47">
        <f t="shared" si="15"/>
        <v>0</v>
      </c>
      <c r="H217" s="88"/>
      <c r="I217" s="20">
        <v>199</v>
      </c>
      <c r="J217" s="82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 t="s">
        <v>283</v>
      </c>
      <c r="C218" s="79"/>
      <c r="D218" s="87">
        <v>0</v>
      </c>
      <c r="E218" s="47">
        <f t="shared" si="17"/>
        <v>0</v>
      </c>
      <c r="F218" s="87">
        <v>0</v>
      </c>
      <c r="G218" s="47">
        <f t="shared" si="15"/>
        <v>0</v>
      </c>
      <c r="H218" s="88"/>
      <c r="I218" s="20">
        <v>25</v>
      </c>
      <c r="J218" s="82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 t="s">
        <v>284</v>
      </c>
      <c r="C219" s="79"/>
      <c r="D219" s="87">
        <v>0</v>
      </c>
      <c r="E219" s="47">
        <f t="shared" si="17"/>
        <v>0</v>
      </c>
      <c r="F219" s="87">
        <v>0</v>
      </c>
      <c r="G219" s="47">
        <f t="shared" si="15"/>
        <v>0</v>
      </c>
      <c r="H219" s="88"/>
      <c r="I219" s="20">
        <v>25</v>
      </c>
      <c r="J219" s="82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 t="s">
        <v>314</v>
      </c>
      <c r="C220" s="79">
        <f>+'4'!G220</f>
        <v>0</v>
      </c>
      <c r="D220" s="87">
        <v>0</v>
      </c>
      <c r="E220" s="47">
        <f t="shared" si="17"/>
        <v>0</v>
      </c>
      <c r="F220" s="87">
        <v>0</v>
      </c>
      <c r="G220" s="47">
        <f t="shared" si="15"/>
        <v>0</v>
      </c>
      <c r="H220" s="88"/>
      <c r="I220" s="20">
        <v>35</v>
      </c>
      <c r="J220" s="82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 t="s">
        <v>326</v>
      </c>
      <c r="C221" s="79">
        <f>+'4'!G221</f>
        <v>0</v>
      </c>
      <c r="D221" s="87">
        <v>0</v>
      </c>
      <c r="E221" s="47">
        <f t="shared" si="17"/>
        <v>0</v>
      </c>
      <c r="F221" s="87">
        <v>0</v>
      </c>
      <c r="G221" s="47">
        <f t="shared" si="15"/>
        <v>0</v>
      </c>
      <c r="H221" s="88"/>
      <c r="I221" s="20">
        <v>55</v>
      </c>
      <c r="J221" s="82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 t="s">
        <v>327</v>
      </c>
      <c r="C222" s="79">
        <f>+'4'!G222</f>
        <v>0</v>
      </c>
      <c r="D222" s="87">
        <v>0</v>
      </c>
      <c r="E222" s="47">
        <f t="shared" si="17"/>
        <v>0</v>
      </c>
      <c r="F222" s="87">
        <v>0</v>
      </c>
      <c r="G222" s="47">
        <f t="shared" si="15"/>
        <v>0</v>
      </c>
      <c r="H222" s="88"/>
      <c r="I222" s="20">
        <v>40</v>
      </c>
      <c r="J222" s="82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/>
      <c r="C223" s="79">
        <f>+'4'!G223</f>
        <v>0</v>
      </c>
      <c r="D223" s="87">
        <v>0</v>
      </c>
      <c r="E223" s="47">
        <f t="shared" si="17"/>
        <v>0</v>
      </c>
      <c r="F223" s="87">
        <v>0</v>
      </c>
      <c r="G223" s="47">
        <f t="shared" si="15"/>
        <v>0</v>
      </c>
      <c r="H223" s="88"/>
      <c r="I223" s="20"/>
      <c r="J223" s="82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79">
        <f>+'4'!G224</f>
        <v>0</v>
      </c>
      <c r="D224" s="87">
        <v>0</v>
      </c>
      <c r="E224" s="47">
        <f t="shared" si="17"/>
        <v>0</v>
      </c>
      <c r="F224" s="87">
        <v>0</v>
      </c>
      <c r="G224" s="47">
        <f t="shared" si="15"/>
        <v>0</v>
      </c>
      <c r="H224" s="88"/>
      <c r="I224" s="20"/>
      <c r="J224" s="82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+'4'!G225</f>
        <v>0</v>
      </c>
      <c r="D225" s="87">
        <v>0</v>
      </c>
      <c r="E225" s="47">
        <f t="shared" si="17"/>
        <v>0</v>
      </c>
      <c r="F225" s="87">
        <v>0</v>
      </c>
      <c r="G225" s="47">
        <f t="shared" si="15"/>
        <v>0</v>
      </c>
      <c r="H225" s="88"/>
      <c r="I225" s="20"/>
      <c r="J225" s="82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+'4'!G226</f>
        <v>0</v>
      </c>
      <c r="D226" s="87">
        <v>0</v>
      </c>
      <c r="E226" s="47">
        <f t="shared" si="17"/>
        <v>0</v>
      </c>
      <c r="F226" s="87">
        <v>0</v>
      </c>
      <c r="G226" s="47">
        <f t="shared" si="15"/>
        <v>0</v>
      </c>
      <c r="H226" s="88"/>
      <c r="I226" s="20"/>
      <c r="J226" s="82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+'4'!G227</f>
        <v>0</v>
      </c>
      <c r="D227" s="87">
        <v>0</v>
      </c>
      <c r="E227" s="47">
        <f t="shared" si="17"/>
        <v>0</v>
      </c>
      <c r="F227" s="87">
        <v>0</v>
      </c>
      <c r="G227" s="47">
        <f t="shared" si="15"/>
        <v>0</v>
      </c>
      <c r="H227" s="88"/>
      <c r="I227" s="20"/>
      <c r="J227" s="82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+'4'!G228</f>
        <v>0</v>
      </c>
      <c r="D228" s="87">
        <v>0</v>
      </c>
      <c r="E228" s="47">
        <f t="shared" si="17"/>
        <v>0</v>
      </c>
      <c r="F228" s="87">
        <v>0</v>
      </c>
      <c r="G228" s="47">
        <f t="shared" ref="G228:G254" si="19">+E228-F228-H228</f>
        <v>0</v>
      </c>
      <c r="H228" s="88"/>
      <c r="I228" s="20"/>
      <c r="J228" s="82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+'4'!G229</f>
        <v>0</v>
      </c>
      <c r="D229" s="87">
        <v>0</v>
      </c>
      <c r="E229" s="47">
        <f t="shared" si="17"/>
        <v>0</v>
      </c>
      <c r="F229" s="87">
        <v>0</v>
      </c>
      <c r="G229" s="47">
        <f t="shared" si="19"/>
        <v>0</v>
      </c>
      <c r="H229" s="88"/>
      <c r="I229" s="20"/>
      <c r="J229" s="82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+'4'!G230</f>
        <v>0</v>
      </c>
      <c r="D230" s="87">
        <v>0</v>
      </c>
      <c r="E230" s="47">
        <f t="shared" si="17"/>
        <v>0</v>
      </c>
      <c r="F230" s="87">
        <v>0</v>
      </c>
      <c r="G230" s="47">
        <f t="shared" si="19"/>
        <v>0</v>
      </c>
      <c r="H230" s="88"/>
      <c r="I230" s="20"/>
      <c r="J230" s="82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+'4'!G231</f>
        <v>0</v>
      </c>
      <c r="D231" s="87">
        <v>0</v>
      </c>
      <c r="E231" s="47">
        <f t="shared" si="17"/>
        <v>0</v>
      </c>
      <c r="F231" s="87">
        <v>0</v>
      </c>
      <c r="G231" s="47">
        <f t="shared" si="19"/>
        <v>0</v>
      </c>
      <c r="H231" s="88"/>
      <c r="I231" s="20"/>
      <c r="J231" s="82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+'4'!G232</f>
        <v>0</v>
      </c>
      <c r="D232" s="87">
        <v>0</v>
      </c>
      <c r="E232" s="47">
        <f t="shared" si="17"/>
        <v>0</v>
      </c>
      <c r="F232" s="87">
        <v>0</v>
      </c>
      <c r="G232" s="47">
        <f t="shared" si="19"/>
        <v>0</v>
      </c>
      <c r="H232" s="88"/>
      <c r="I232" s="20"/>
      <c r="J232" s="82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+'4'!G233</f>
        <v>0</v>
      </c>
      <c r="D233" s="87">
        <v>0</v>
      </c>
      <c r="E233" s="47">
        <f t="shared" si="17"/>
        <v>0</v>
      </c>
      <c r="F233" s="87">
        <v>0</v>
      </c>
      <c r="G233" s="47">
        <f t="shared" si="19"/>
        <v>0</v>
      </c>
      <c r="H233" s="88"/>
      <c r="I233" s="20"/>
      <c r="J233" s="82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+'4'!G234</f>
        <v>0</v>
      </c>
      <c r="D234" s="87">
        <v>0</v>
      </c>
      <c r="E234" s="47">
        <f t="shared" si="17"/>
        <v>0</v>
      </c>
      <c r="F234" s="87">
        <v>0</v>
      </c>
      <c r="G234" s="47">
        <f t="shared" si="19"/>
        <v>0</v>
      </c>
      <c r="H234" s="88"/>
      <c r="I234" s="20"/>
      <c r="J234" s="82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+'4'!G235</f>
        <v>0</v>
      </c>
      <c r="D235" s="87">
        <v>0</v>
      </c>
      <c r="E235" s="47">
        <f t="shared" si="17"/>
        <v>0</v>
      </c>
      <c r="F235" s="87">
        <v>0</v>
      </c>
      <c r="G235" s="47">
        <f t="shared" si="19"/>
        <v>0</v>
      </c>
      <c r="H235" s="88"/>
      <c r="I235" s="20"/>
      <c r="J235" s="82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+'4'!G236</f>
        <v>0</v>
      </c>
      <c r="D236" s="87">
        <v>0</v>
      </c>
      <c r="E236" s="47">
        <f t="shared" si="17"/>
        <v>0</v>
      </c>
      <c r="F236" s="87">
        <v>0</v>
      </c>
      <c r="G236" s="47">
        <f t="shared" si="19"/>
        <v>0</v>
      </c>
      <c r="H236" s="88"/>
      <c r="I236" s="20"/>
      <c r="J236" s="82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+'4'!G237</f>
        <v>0</v>
      </c>
      <c r="D237" s="87">
        <v>0</v>
      </c>
      <c r="E237" s="47">
        <f t="shared" si="17"/>
        <v>0</v>
      </c>
      <c r="F237" s="87">
        <v>0</v>
      </c>
      <c r="G237" s="47">
        <f t="shared" si="19"/>
        <v>0</v>
      </c>
      <c r="H237" s="88"/>
      <c r="I237" s="20"/>
      <c r="J237" s="82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+'4'!G238</f>
        <v>0</v>
      </c>
      <c r="D238" s="87">
        <v>0</v>
      </c>
      <c r="E238" s="47">
        <f t="shared" si="17"/>
        <v>0</v>
      </c>
      <c r="F238" s="87">
        <v>0</v>
      </c>
      <c r="G238" s="47">
        <f t="shared" si="19"/>
        <v>0</v>
      </c>
      <c r="H238" s="88"/>
      <c r="I238" s="20"/>
      <c r="J238" s="82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+'4'!G239</f>
        <v>0</v>
      </c>
      <c r="D239" s="87">
        <v>0</v>
      </c>
      <c r="E239" s="47">
        <f t="shared" si="17"/>
        <v>0</v>
      </c>
      <c r="F239" s="87">
        <v>0</v>
      </c>
      <c r="G239" s="47">
        <f t="shared" si="19"/>
        <v>0</v>
      </c>
      <c r="H239" s="88"/>
      <c r="I239" s="20"/>
      <c r="J239" s="82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+'4'!G240</f>
        <v>0</v>
      </c>
      <c r="D240" s="87">
        <v>0</v>
      </c>
      <c r="E240" s="47">
        <f t="shared" si="17"/>
        <v>0</v>
      </c>
      <c r="F240" s="87">
        <v>0</v>
      </c>
      <c r="G240" s="47">
        <f t="shared" si="19"/>
        <v>0</v>
      </c>
      <c r="H240" s="88"/>
      <c r="I240" s="20"/>
      <c r="J240" s="82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+'4'!G241</f>
        <v>0</v>
      </c>
      <c r="D241" s="87">
        <v>0</v>
      </c>
      <c r="E241" s="47">
        <f t="shared" si="17"/>
        <v>0</v>
      </c>
      <c r="F241" s="87">
        <v>0</v>
      </c>
      <c r="G241" s="47">
        <f t="shared" si="19"/>
        <v>0</v>
      </c>
      <c r="H241" s="88"/>
      <c r="I241" s="20"/>
      <c r="J241" s="82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+'4'!G242</f>
        <v>0</v>
      </c>
      <c r="D242" s="87">
        <v>0</v>
      </c>
      <c r="E242" s="47">
        <f t="shared" si="17"/>
        <v>0</v>
      </c>
      <c r="F242" s="87">
        <v>0</v>
      </c>
      <c r="G242" s="47">
        <f t="shared" si="19"/>
        <v>0</v>
      </c>
      <c r="H242" s="88"/>
      <c r="I242" s="20"/>
      <c r="J242" s="82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+'4'!G243</f>
        <v>0</v>
      </c>
      <c r="D243" s="87">
        <v>0</v>
      </c>
      <c r="E243" s="47">
        <f t="shared" si="17"/>
        <v>0</v>
      </c>
      <c r="F243" s="87">
        <v>0</v>
      </c>
      <c r="G243" s="47">
        <f t="shared" si="19"/>
        <v>0</v>
      </c>
      <c r="H243" s="88"/>
      <c r="I243" s="20"/>
      <c r="J243" s="82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+'4'!G244</f>
        <v>0</v>
      </c>
      <c r="D244" s="87">
        <v>0</v>
      </c>
      <c r="E244" s="47">
        <f t="shared" si="17"/>
        <v>0</v>
      </c>
      <c r="F244" s="87">
        <v>0</v>
      </c>
      <c r="G244" s="47">
        <f t="shared" si="19"/>
        <v>0</v>
      </c>
      <c r="H244" s="88"/>
      <c r="I244" s="20"/>
      <c r="J244" s="82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+'4'!G245</f>
        <v>0</v>
      </c>
      <c r="D245" s="87">
        <v>0</v>
      </c>
      <c r="E245" s="47">
        <f t="shared" si="17"/>
        <v>0</v>
      </c>
      <c r="F245" s="87">
        <v>0</v>
      </c>
      <c r="G245" s="47">
        <f t="shared" si="19"/>
        <v>0</v>
      </c>
      <c r="H245" s="88"/>
      <c r="I245" s="20"/>
      <c r="J245" s="82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+'4'!G246</f>
        <v>0</v>
      </c>
      <c r="D246" s="87">
        <v>0</v>
      </c>
      <c r="E246" s="47">
        <f t="shared" si="17"/>
        <v>0</v>
      </c>
      <c r="F246" s="87">
        <v>0</v>
      </c>
      <c r="G246" s="47">
        <f t="shared" si="19"/>
        <v>0</v>
      </c>
      <c r="H246" s="88"/>
      <c r="I246" s="20"/>
      <c r="J246" s="82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+'4'!G247</f>
        <v>0</v>
      </c>
      <c r="D247" s="87">
        <v>0</v>
      </c>
      <c r="E247" s="47">
        <f t="shared" si="17"/>
        <v>0</v>
      </c>
      <c r="F247" s="87">
        <v>0</v>
      </c>
      <c r="G247" s="47">
        <f t="shared" si="19"/>
        <v>0</v>
      </c>
      <c r="H247" s="88"/>
      <c r="I247" s="20"/>
      <c r="J247" s="82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+'4'!G248</f>
        <v>0</v>
      </c>
      <c r="D248" s="87">
        <v>0</v>
      </c>
      <c r="E248" s="47">
        <f t="shared" si="17"/>
        <v>0</v>
      </c>
      <c r="F248" s="87">
        <v>0</v>
      </c>
      <c r="G248" s="47">
        <f t="shared" si="19"/>
        <v>0</v>
      </c>
      <c r="H248" s="88"/>
      <c r="I248" s="20"/>
      <c r="J248" s="82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+'4'!G249</f>
        <v>0</v>
      </c>
      <c r="D249" s="87">
        <v>0</v>
      </c>
      <c r="E249" s="47">
        <f t="shared" si="17"/>
        <v>0</v>
      </c>
      <c r="F249" s="87">
        <v>0</v>
      </c>
      <c r="G249" s="47">
        <f t="shared" si="19"/>
        <v>0</v>
      </c>
      <c r="H249" s="88"/>
      <c r="I249" s="20"/>
      <c r="J249" s="82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+'4'!G250</f>
        <v>0</v>
      </c>
      <c r="D250" s="87">
        <v>0</v>
      </c>
      <c r="E250" s="47">
        <f t="shared" si="17"/>
        <v>0</v>
      </c>
      <c r="F250" s="87">
        <v>0</v>
      </c>
      <c r="G250" s="47">
        <f t="shared" si="19"/>
        <v>0</v>
      </c>
      <c r="H250" s="88"/>
      <c r="I250" s="20"/>
      <c r="J250" s="82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+'4'!G251</f>
        <v>0</v>
      </c>
      <c r="D251" s="87">
        <v>0</v>
      </c>
      <c r="E251" s="47">
        <f t="shared" si="17"/>
        <v>0</v>
      </c>
      <c r="F251" s="87">
        <v>0</v>
      </c>
      <c r="G251" s="47">
        <f t="shared" si="19"/>
        <v>0</v>
      </c>
      <c r="H251" s="88"/>
      <c r="I251" s="20"/>
      <c r="J251" s="82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+'4'!G252</f>
        <v>0</v>
      </c>
      <c r="D252" s="87">
        <v>0</v>
      </c>
      <c r="E252" s="47">
        <f t="shared" si="17"/>
        <v>0</v>
      </c>
      <c r="F252" s="87">
        <v>0</v>
      </c>
      <c r="G252" s="47">
        <f t="shared" si="19"/>
        <v>0</v>
      </c>
      <c r="H252" s="88"/>
      <c r="I252" s="20"/>
      <c r="J252" s="82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+'4'!G253</f>
        <v>0</v>
      </c>
      <c r="D253" s="87">
        <v>0</v>
      </c>
      <c r="E253" s="47">
        <f t="shared" ref="E253:E254" si="21">C253+D253</f>
        <v>0</v>
      </c>
      <c r="F253" s="87">
        <v>0</v>
      </c>
      <c r="G253" s="47">
        <f t="shared" si="19"/>
        <v>0</v>
      </c>
      <c r="H253" s="88"/>
      <c r="I253" s="20"/>
      <c r="J253" s="82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+'4'!G254</f>
        <v>0</v>
      </c>
      <c r="D254" s="87">
        <v>0</v>
      </c>
      <c r="E254" s="47">
        <f t="shared" si="21"/>
        <v>0</v>
      </c>
      <c r="F254" s="87">
        <v>0</v>
      </c>
      <c r="G254" s="47">
        <f t="shared" si="19"/>
        <v>0</v>
      </c>
      <c r="H254" s="88"/>
      <c r="I254" s="20"/>
      <c r="J254" s="82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2845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3" t="s">
        <v>213</v>
      </c>
      <c r="N255" s="143"/>
    </row>
    <row r="256" spans="1:14" ht="25.5" customHeight="1" x14ac:dyDescent="0.5">
      <c r="A256" s="1"/>
      <c r="C256" s="24"/>
      <c r="D256" s="25"/>
      <c r="E256" s="24"/>
      <c r="F256" s="25"/>
      <c r="G256" s="24"/>
      <c r="H256" s="148" t="s">
        <v>212</v>
      </c>
      <c r="I256" s="149"/>
      <c r="J256" s="30">
        <f>+X138</f>
        <v>0</v>
      </c>
      <c r="K256" s="27"/>
      <c r="L256" s="29"/>
    </row>
    <row r="257" spans="1:15" ht="25.5" x14ac:dyDescent="0.55000000000000004">
      <c r="A257" s="1"/>
      <c r="C257" s="31"/>
      <c r="E257" s="31"/>
      <c r="G257" s="31"/>
      <c r="H257" s="32"/>
      <c r="I257" s="150" t="s">
        <v>202</v>
      </c>
      <c r="J257" s="150"/>
      <c r="K257" s="33">
        <f>SUM(J5:J256)</f>
        <v>3705</v>
      </c>
    </row>
    <row r="258" spans="1:15" ht="25.5" x14ac:dyDescent="0.55000000000000004">
      <c r="A258" s="1"/>
      <c r="C258" s="31"/>
      <c r="E258" s="31"/>
      <c r="G258" s="31"/>
      <c r="I258" s="140" t="s">
        <v>203</v>
      </c>
      <c r="J258" s="141"/>
      <c r="K258" s="36">
        <v>15</v>
      </c>
    </row>
    <row r="259" spans="1:15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810</v>
      </c>
      <c r="L259" s="2">
        <v>185</v>
      </c>
      <c r="M259" s="2">
        <v>265</v>
      </c>
      <c r="N259" s="2">
        <v>100</v>
      </c>
      <c r="O259" s="2">
        <v>260</v>
      </c>
    </row>
    <row r="260" spans="1:15" ht="25.5" x14ac:dyDescent="0.55000000000000004">
      <c r="A260" s="1"/>
      <c r="C260" s="31"/>
      <c r="E260" s="31"/>
      <c r="G260" s="31"/>
      <c r="I260" s="140" t="s">
        <v>205</v>
      </c>
      <c r="J260" s="141"/>
      <c r="K260" s="36">
        <v>0</v>
      </c>
    </row>
    <row r="261" spans="1:15" ht="25.5" x14ac:dyDescent="0.55000000000000004">
      <c r="A261" s="1"/>
      <c r="C261" s="31"/>
      <c r="E261" s="31"/>
      <c r="G261" s="31"/>
      <c r="I261" s="140" t="s">
        <v>206</v>
      </c>
      <c r="J261" s="141"/>
      <c r="K261" s="36">
        <v>0</v>
      </c>
    </row>
    <row r="262" spans="1:15" ht="25.5" x14ac:dyDescent="0.55000000000000004">
      <c r="A262" s="1"/>
      <c r="C262" s="31"/>
      <c r="E262" s="31"/>
      <c r="G262" s="31"/>
      <c r="I262" s="140" t="s">
        <v>207</v>
      </c>
      <c r="J262" s="141"/>
      <c r="K262" s="37">
        <f>SUM(L5:L255)</f>
        <v>860</v>
      </c>
    </row>
    <row r="263" spans="1:15" ht="25.5" x14ac:dyDescent="0.55000000000000004">
      <c r="A263" s="1"/>
      <c r="C263" s="31"/>
      <c r="E263" s="31"/>
      <c r="G263" s="31"/>
      <c r="I263" s="140" t="s">
        <v>208</v>
      </c>
      <c r="J263" s="141"/>
      <c r="K263" s="33">
        <f>K257-K258-K259-K261-K262</f>
        <v>2020</v>
      </c>
    </row>
    <row r="264" spans="1:15" ht="25.5" x14ac:dyDescent="0.55000000000000004">
      <c r="A264" s="1"/>
      <c r="C264" s="31"/>
      <c r="E264" s="31"/>
      <c r="G264" s="31"/>
      <c r="I264" s="140" t="s">
        <v>209</v>
      </c>
      <c r="J264" s="141"/>
      <c r="K264" s="37">
        <v>2090</v>
      </c>
    </row>
    <row r="265" spans="1:15" ht="25.5" x14ac:dyDescent="0.55000000000000004">
      <c r="A265" s="1"/>
      <c r="C265" s="31"/>
      <c r="E265" s="31"/>
      <c r="G265" s="31"/>
      <c r="I265" s="140" t="s">
        <v>210</v>
      </c>
      <c r="J265" s="141"/>
      <c r="K265" s="33">
        <f>+K264-K263</f>
        <v>70</v>
      </c>
    </row>
    <row r="266" spans="1:15" ht="25.5" x14ac:dyDescent="0.55000000000000004">
      <c r="G266" s="2"/>
      <c r="I266" s="140" t="s">
        <v>211</v>
      </c>
      <c r="J266" s="141"/>
      <c r="K266" s="33">
        <f>+K264-K263</f>
        <v>70</v>
      </c>
    </row>
    <row r="267" spans="1:15" x14ac:dyDescent="0.5">
      <c r="G267" s="2"/>
      <c r="I267" s="2"/>
    </row>
    <row r="268" spans="1:15" ht="25.5" x14ac:dyDescent="0.55000000000000004">
      <c r="G268" s="2"/>
      <c r="I268" s="105" t="s">
        <v>312</v>
      </c>
    </row>
    <row r="269" spans="1:15" x14ac:dyDescent="0.5">
      <c r="G269" s="2"/>
      <c r="I269" s="2"/>
    </row>
    <row r="270" spans="1:15" x14ac:dyDescent="0.5">
      <c r="G270" s="2"/>
      <c r="I270" s="2"/>
    </row>
    <row r="271" spans="1:15" x14ac:dyDescent="0.5">
      <c r="G271" s="2"/>
      <c r="I271" s="2"/>
    </row>
    <row r="272" spans="1:15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10E23-B078-4D7A-87A1-BC66447566F5}">
  <sheetPr>
    <tabColor theme="7" tint="-0.249977111117893"/>
  </sheetPr>
  <dimension ref="A1:AB341"/>
  <sheetViews>
    <sheetView zoomScaleNormal="100" workbookViewId="0">
      <pane xSplit="7" ySplit="4" topLeftCell="H44" activePane="bottomRight" state="frozen"/>
      <selection activeCell="B20" sqref="B20"/>
      <selection pane="topRight" activeCell="B20" sqref="B20"/>
      <selection pane="bottomLeft" activeCell="B20" sqref="B20"/>
      <selection pane="bottomRight" activeCell="B20" sqref="B20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8" x14ac:dyDescent="0.5">
      <c r="A1" s="1"/>
      <c r="G1" s="2"/>
      <c r="I1" s="2"/>
    </row>
    <row r="2" spans="1:28" s="3" customFormat="1" ht="29.25" x14ac:dyDescent="0.6">
      <c r="A2" s="137" t="s">
        <v>247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8" s="5" customFormat="1" ht="26.25" x14ac:dyDescent="0.55000000000000004">
      <c r="A3" s="139" t="s">
        <v>1</v>
      </c>
      <c r="B3" s="151" t="s">
        <v>2</v>
      </c>
      <c r="C3" s="139" t="s">
        <v>3</v>
      </c>
      <c r="D3" s="139" t="s">
        <v>4</v>
      </c>
      <c r="E3" s="139" t="s">
        <v>5</v>
      </c>
      <c r="F3" s="85" t="s">
        <v>6</v>
      </c>
      <c r="G3" s="139" t="s">
        <v>7</v>
      </c>
      <c r="H3" s="142" t="s">
        <v>8</v>
      </c>
      <c r="I3" s="142"/>
      <c r="J3" s="142"/>
      <c r="K3" s="139" t="s">
        <v>9</v>
      </c>
      <c r="L3" s="144" t="s">
        <v>10</v>
      </c>
      <c r="O3" s="139" t="s">
        <v>1</v>
      </c>
      <c r="P3" s="139" t="s">
        <v>2</v>
      </c>
      <c r="Q3" s="139" t="s">
        <v>3</v>
      </c>
      <c r="R3" s="139" t="s">
        <v>4</v>
      </c>
      <c r="S3" s="139" t="s">
        <v>5</v>
      </c>
      <c r="T3" s="85" t="s">
        <v>6</v>
      </c>
      <c r="U3" s="139" t="s">
        <v>7</v>
      </c>
      <c r="V3" s="142" t="s">
        <v>8</v>
      </c>
      <c r="W3" s="142"/>
      <c r="X3" s="142"/>
      <c r="Y3" s="139" t="s">
        <v>9</v>
      </c>
      <c r="Z3" s="144" t="s">
        <v>10</v>
      </c>
    </row>
    <row r="4" spans="1:28" s="5" customFormat="1" ht="26.25" x14ac:dyDescent="0.55000000000000004">
      <c r="A4" s="139"/>
      <c r="B4" s="151"/>
      <c r="C4" s="139"/>
      <c r="D4" s="139"/>
      <c r="E4" s="139"/>
      <c r="F4" s="85" t="s">
        <v>11</v>
      </c>
      <c r="G4" s="139"/>
      <c r="H4" s="85" t="s">
        <v>12</v>
      </c>
      <c r="I4" s="86" t="s">
        <v>13</v>
      </c>
      <c r="J4" s="85" t="s">
        <v>14</v>
      </c>
      <c r="K4" s="139"/>
      <c r="L4" s="144"/>
      <c r="O4" s="139"/>
      <c r="P4" s="139"/>
      <c r="Q4" s="139"/>
      <c r="R4" s="139"/>
      <c r="S4" s="139"/>
      <c r="T4" s="85" t="s">
        <v>11</v>
      </c>
      <c r="U4" s="139"/>
      <c r="V4" s="85" t="s">
        <v>12</v>
      </c>
      <c r="W4" s="86" t="s">
        <v>13</v>
      </c>
      <c r="X4" s="85" t="s">
        <v>14</v>
      </c>
      <c r="Y4" s="139"/>
      <c r="Z4" s="144"/>
      <c r="AB4" s="5" t="s">
        <v>2</v>
      </c>
    </row>
    <row r="5" spans="1:28" ht="25.5" x14ac:dyDescent="0.55000000000000004">
      <c r="A5" s="10">
        <v>1</v>
      </c>
      <c r="B5" s="19" t="s">
        <v>15</v>
      </c>
      <c r="C5" s="79">
        <f>+'5'!G5</f>
        <v>19</v>
      </c>
      <c r="D5" s="87">
        <v>10</v>
      </c>
      <c r="E5" s="47">
        <f t="shared" ref="E5:E125" si="0">C5+D5</f>
        <v>29</v>
      </c>
      <c r="F5" s="87">
        <v>0</v>
      </c>
      <c r="G5" s="47">
        <f>+E5-F5-H5</f>
        <v>23</v>
      </c>
      <c r="H5" s="88">
        <v>6</v>
      </c>
      <c r="I5" s="15">
        <v>50</v>
      </c>
      <c r="J5" s="82">
        <f>+I5*H5</f>
        <v>300</v>
      </c>
      <c r="K5" s="17" t="s">
        <v>16</v>
      </c>
      <c r="L5" s="18">
        <v>100</v>
      </c>
      <c r="M5" s="23">
        <f>SUM(J5-L5)</f>
        <v>200</v>
      </c>
      <c r="O5" s="10">
        <v>1</v>
      </c>
      <c r="P5" s="19"/>
      <c r="Q5" s="47">
        <v>0</v>
      </c>
      <c r="R5" s="87">
        <v>0</v>
      </c>
      <c r="S5" s="47">
        <f t="shared" ref="S5:S14" si="1">Q5+R5</f>
        <v>0</v>
      </c>
      <c r="T5" s="87">
        <v>0</v>
      </c>
      <c r="U5" s="47">
        <f t="shared" ref="U5:U14" si="2">S5-T5-V5</f>
        <v>0</v>
      </c>
      <c r="V5" s="88">
        <v>0</v>
      </c>
      <c r="W5" s="22"/>
      <c r="X5" s="44">
        <f t="shared" ref="X5:X14" si="3">V5*W5</f>
        <v>0</v>
      </c>
      <c r="Y5" s="17" t="s">
        <v>16</v>
      </c>
      <c r="Z5" s="18">
        <v>0</v>
      </c>
      <c r="AB5" s="2" t="s">
        <v>317</v>
      </c>
    </row>
    <row r="6" spans="1:28" ht="25.5" x14ac:dyDescent="0.55000000000000004">
      <c r="A6" s="10">
        <v>2</v>
      </c>
      <c r="B6" s="19" t="s">
        <v>17</v>
      </c>
      <c r="C6" s="79">
        <f>+'5'!G6</f>
        <v>18</v>
      </c>
      <c r="D6" s="87">
        <v>10</v>
      </c>
      <c r="E6" s="47">
        <f t="shared" si="0"/>
        <v>28</v>
      </c>
      <c r="F6" s="87">
        <v>0</v>
      </c>
      <c r="G6" s="103">
        <f t="shared" ref="G6:G100" si="4">+E6-F6-H6</f>
        <v>24</v>
      </c>
      <c r="H6" s="88">
        <v>4</v>
      </c>
      <c r="I6" s="15">
        <v>100</v>
      </c>
      <c r="J6" s="82">
        <f t="shared" ref="J6:J100" si="5">+I6*H6</f>
        <v>400</v>
      </c>
      <c r="K6" s="17" t="s">
        <v>16</v>
      </c>
      <c r="L6" s="18">
        <v>0</v>
      </c>
      <c r="M6" s="23">
        <f t="shared" ref="M6:M69" si="6">SUM(J6-L6)</f>
        <v>400</v>
      </c>
      <c r="O6" s="10">
        <v>2</v>
      </c>
      <c r="P6" s="19"/>
      <c r="Q6" s="47">
        <v>0</v>
      </c>
      <c r="R6" s="87">
        <v>0</v>
      </c>
      <c r="S6" s="47">
        <f t="shared" si="1"/>
        <v>0</v>
      </c>
      <c r="T6" s="87">
        <v>0</v>
      </c>
      <c r="U6" s="47">
        <f t="shared" si="2"/>
        <v>0</v>
      </c>
      <c r="V6" s="88">
        <v>0</v>
      </c>
      <c r="W6" s="22"/>
      <c r="X6" s="44">
        <f t="shared" si="3"/>
        <v>0</v>
      </c>
      <c r="Y6" s="17" t="s">
        <v>16</v>
      </c>
      <c r="Z6" s="18">
        <v>0</v>
      </c>
      <c r="AB6" s="2" t="s">
        <v>318</v>
      </c>
    </row>
    <row r="7" spans="1:28" ht="25.5" x14ac:dyDescent="0.55000000000000004">
      <c r="A7" s="10">
        <v>3</v>
      </c>
      <c r="B7" s="19" t="s">
        <v>18</v>
      </c>
      <c r="C7" s="79">
        <f>+'5'!G7</f>
        <v>0</v>
      </c>
      <c r="D7" s="87">
        <v>0</v>
      </c>
      <c r="E7" s="47">
        <f>C7+D7</f>
        <v>0</v>
      </c>
      <c r="F7" s="87">
        <v>0</v>
      </c>
      <c r="G7" s="47">
        <f t="shared" si="4"/>
        <v>0</v>
      </c>
      <c r="H7" s="88"/>
      <c r="I7" s="15">
        <v>50</v>
      </c>
      <c r="J7" s="8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7">
        <v>0</v>
      </c>
      <c r="S7" s="47">
        <f t="shared" si="1"/>
        <v>0</v>
      </c>
      <c r="T7" s="87">
        <v>0</v>
      </c>
      <c r="U7" s="47">
        <f t="shared" si="2"/>
        <v>0</v>
      </c>
      <c r="V7" s="88">
        <v>0</v>
      </c>
      <c r="W7" s="22"/>
      <c r="X7" s="44">
        <f t="shared" si="3"/>
        <v>0</v>
      </c>
      <c r="Y7" s="17" t="s">
        <v>16</v>
      </c>
      <c r="Z7" s="18">
        <v>0</v>
      </c>
      <c r="AB7" s="2" t="s">
        <v>319</v>
      </c>
    </row>
    <row r="8" spans="1:28" ht="25.5" x14ac:dyDescent="0.55000000000000004">
      <c r="A8" s="10">
        <v>4</v>
      </c>
      <c r="B8" s="19" t="s">
        <v>19</v>
      </c>
      <c r="C8" s="79">
        <f>+'5'!G8</f>
        <v>0</v>
      </c>
      <c r="D8" s="87">
        <v>0</v>
      </c>
      <c r="E8" s="47">
        <f>C8+D8</f>
        <v>0</v>
      </c>
      <c r="F8" s="87">
        <v>0</v>
      </c>
      <c r="G8" s="47">
        <f t="shared" si="4"/>
        <v>0</v>
      </c>
      <c r="H8" s="88"/>
      <c r="I8" s="15">
        <v>100</v>
      </c>
      <c r="J8" s="8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7">
        <v>0</v>
      </c>
      <c r="S8" s="47">
        <f t="shared" si="1"/>
        <v>0</v>
      </c>
      <c r="T8" s="87">
        <v>0</v>
      </c>
      <c r="U8" s="47">
        <f t="shared" si="2"/>
        <v>0</v>
      </c>
      <c r="V8" s="88">
        <v>0</v>
      </c>
      <c r="W8" s="22"/>
      <c r="X8" s="44">
        <f t="shared" si="3"/>
        <v>0</v>
      </c>
      <c r="Y8" s="17" t="s">
        <v>16</v>
      </c>
      <c r="Z8" s="18">
        <v>0</v>
      </c>
      <c r="AB8" s="2" t="s">
        <v>320</v>
      </c>
    </row>
    <row r="9" spans="1:28" ht="25.5" x14ac:dyDescent="0.55000000000000004">
      <c r="A9" s="10">
        <v>5</v>
      </c>
      <c r="B9" s="19" t="s">
        <v>20</v>
      </c>
      <c r="C9" s="79">
        <f>+'5'!G9</f>
        <v>0</v>
      </c>
      <c r="D9" s="87">
        <v>0</v>
      </c>
      <c r="E9" s="47">
        <f>C9+D9</f>
        <v>0</v>
      </c>
      <c r="F9" s="87">
        <v>0</v>
      </c>
      <c r="G9" s="47">
        <f t="shared" si="4"/>
        <v>0</v>
      </c>
      <c r="H9" s="88"/>
      <c r="I9" s="15">
        <v>12</v>
      </c>
      <c r="J9" s="8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7">
        <v>0</v>
      </c>
      <c r="S9" s="47">
        <f t="shared" si="1"/>
        <v>0</v>
      </c>
      <c r="T9" s="87">
        <v>0</v>
      </c>
      <c r="U9" s="47">
        <f t="shared" si="2"/>
        <v>0</v>
      </c>
      <c r="V9" s="88">
        <v>0</v>
      </c>
      <c r="W9" s="22"/>
      <c r="X9" s="44">
        <f t="shared" si="3"/>
        <v>0</v>
      </c>
      <c r="Y9" s="17" t="s">
        <v>16</v>
      </c>
      <c r="Z9" s="18">
        <v>0</v>
      </c>
      <c r="AB9" s="2" t="s">
        <v>307</v>
      </c>
    </row>
    <row r="10" spans="1:28" ht="25.5" x14ac:dyDescent="0.55000000000000004">
      <c r="A10" s="10">
        <v>6</v>
      </c>
      <c r="B10" s="19" t="s">
        <v>21</v>
      </c>
      <c r="C10" s="79">
        <f>+'5'!G10</f>
        <v>0</v>
      </c>
      <c r="D10" s="87">
        <v>0</v>
      </c>
      <c r="E10" s="47">
        <f>C10+D10</f>
        <v>0</v>
      </c>
      <c r="F10" s="87">
        <v>0</v>
      </c>
      <c r="G10" s="47">
        <f t="shared" si="4"/>
        <v>0</v>
      </c>
      <c r="H10" s="88"/>
      <c r="I10" s="15">
        <v>15</v>
      </c>
      <c r="J10" s="8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7">
        <v>0</v>
      </c>
      <c r="S10" s="47">
        <f t="shared" si="1"/>
        <v>0</v>
      </c>
      <c r="T10" s="87">
        <v>0</v>
      </c>
      <c r="U10" s="47">
        <f t="shared" si="2"/>
        <v>0</v>
      </c>
      <c r="V10" s="88">
        <v>0</v>
      </c>
      <c r="W10" s="22"/>
      <c r="X10" s="44">
        <f t="shared" si="3"/>
        <v>0</v>
      </c>
      <c r="Y10" s="17" t="s">
        <v>16</v>
      </c>
      <c r="Z10" s="18">
        <v>0</v>
      </c>
      <c r="AB10" s="2" t="s">
        <v>311</v>
      </c>
    </row>
    <row r="11" spans="1:28" ht="25.5" x14ac:dyDescent="0.55000000000000004">
      <c r="A11" s="10">
        <v>7</v>
      </c>
      <c r="B11" s="19" t="s">
        <v>22</v>
      </c>
      <c r="C11" s="79">
        <f>+'5'!G11</f>
        <v>0</v>
      </c>
      <c r="D11" s="87">
        <v>0</v>
      </c>
      <c r="E11" s="47">
        <f t="shared" si="0"/>
        <v>0</v>
      </c>
      <c r="F11" s="87">
        <v>0</v>
      </c>
      <c r="G11" s="47">
        <f t="shared" si="4"/>
        <v>0</v>
      </c>
      <c r="H11" s="88"/>
      <c r="I11" s="15">
        <v>40</v>
      </c>
      <c r="J11" s="8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7">
        <v>0</v>
      </c>
      <c r="S11" s="47">
        <f t="shared" si="1"/>
        <v>0</v>
      </c>
      <c r="T11" s="87">
        <v>0</v>
      </c>
      <c r="U11" s="47">
        <f t="shared" si="2"/>
        <v>0</v>
      </c>
      <c r="V11" s="88">
        <v>0</v>
      </c>
      <c r="W11" s="22"/>
      <c r="X11" s="44">
        <f t="shared" si="3"/>
        <v>0</v>
      </c>
      <c r="Y11" s="17" t="s">
        <v>16</v>
      </c>
      <c r="Z11" s="18">
        <v>0</v>
      </c>
      <c r="AB11" s="2" t="s">
        <v>321</v>
      </c>
    </row>
    <row r="12" spans="1:28" ht="25.5" x14ac:dyDescent="0.55000000000000004">
      <c r="A12" s="10">
        <v>8</v>
      </c>
      <c r="B12" s="19" t="s">
        <v>23</v>
      </c>
      <c r="C12" s="79">
        <f>+'5'!G12</f>
        <v>4</v>
      </c>
      <c r="D12" s="87">
        <v>0</v>
      </c>
      <c r="E12" s="47">
        <f t="shared" si="0"/>
        <v>4</v>
      </c>
      <c r="F12" s="87">
        <v>0</v>
      </c>
      <c r="G12" s="47">
        <f t="shared" si="4"/>
        <v>0</v>
      </c>
      <c r="H12" s="88">
        <v>4</v>
      </c>
      <c r="I12" s="20">
        <v>50</v>
      </c>
      <c r="J12" s="82">
        <f t="shared" si="5"/>
        <v>200</v>
      </c>
      <c r="K12" s="17" t="s">
        <v>16</v>
      </c>
      <c r="L12" s="18">
        <v>0</v>
      </c>
      <c r="M12" s="23">
        <f t="shared" si="6"/>
        <v>200</v>
      </c>
      <c r="O12" s="10">
        <v>8</v>
      </c>
      <c r="P12" s="19"/>
      <c r="Q12" s="47">
        <v>0</v>
      </c>
      <c r="R12" s="87">
        <v>0</v>
      </c>
      <c r="S12" s="47">
        <f t="shared" si="1"/>
        <v>0</v>
      </c>
      <c r="T12" s="87">
        <v>0</v>
      </c>
      <c r="U12" s="47">
        <f t="shared" si="2"/>
        <v>0</v>
      </c>
      <c r="V12" s="88">
        <v>0</v>
      </c>
      <c r="W12" s="22"/>
      <c r="X12" s="44">
        <f t="shared" si="3"/>
        <v>0</v>
      </c>
      <c r="Y12" s="17" t="s">
        <v>16</v>
      </c>
      <c r="Z12" s="18">
        <v>0</v>
      </c>
      <c r="AB12" s="2" t="s">
        <v>289</v>
      </c>
    </row>
    <row r="13" spans="1:28" ht="25.5" x14ac:dyDescent="0.55000000000000004">
      <c r="A13" s="10">
        <v>9</v>
      </c>
      <c r="B13" s="19" t="s">
        <v>24</v>
      </c>
      <c r="C13" s="79">
        <f>+'5'!G13</f>
        <v>0</v>
      </c>
      <c r="D13" s="87">
        <v>0</v>
      </c>
      <c r="E13" s="47">
        <f>C13+D13</f>
        <v>0</v>
      </c>
      <c r="F13" s="87">
        <v>0</v>
      </c>
      <c r="G13" s="47">
        <f t="shared" si="4"/>
        <v>0</v>
      </c>
      <c r="H13" s="88"/>
      <c r="I13" s="20">
        <v>55</v>
      </c>
      <c r="J13" s="8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7">
        <v>0</v>
      </c>
      <c r="S13" s="47">
        <f t="shared" si="1"/>
        <v>0</v>
      </c>
      <c r="T13" s="87">
        <v>0</v>
      </c>
      <c r="U13" s="47">
        <f t="shared" si="2"/>
        <v>0</v>
      </c>
      <c r="V13" s="88">
        <v>0</v>
      </c>
      <c r="W13" s="22"/>
      <c r="X13" s="44">
        <f t="shared" si="3"/>
        <v>0</v>
      </c>
      <c r="Y13" s="17" t="s">
        <v>16</v>
      </c>
      <c r="Z13" s="18">
        <v>0</v>
      </c>
      <c r="AB13" s="2" t="s">
        <v>322</v>
      </c>
    </row>
    <row r="14" spans="1:28" ht="25.5" x14ac:dyDescent="0.55000000000000004">
      <c r="A14" s="10">
        <v>10</v>
      </c>
      <c r="B14" s="19" t="s">
        <v>25</v>
      </c>
      <c r="C14" s="79">
        <f>+'5'!G14</f>
        <v>3</v>
      </c>
      <c r="D14" s="87">
        <v>5</v>
      </c>
      <c r="E14" s="47">
        <f t="shared" si="0"/>
        <v>8</v>
      </c>
      <c r="F14" s="87">
        <v>0</v>
      </c>
      <c r="G14" s="47">
        <f t="shared" si="4"/>
        <v>8</v>
      </c>
      <c r="H14" s="88"/>
      <c r="I14" s="20">
        <v>65</v>
      </c>
      <c r="J14" s="8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7">
        <v>0</v>
      </c>
      <c r="S14" s="47">
        <f t="shared" si="1"/>
        <v>0</v>
      </c>
      <c r="T14" s="87">
        <v>0</v>
      </c>
      <c r="U14" s="47">
        <f t="shared" si="2"/>
        <v>0</v>
      </c>
      <c r="V14" s="88">
        <v>0</v>
      </c>
      <c r="W14" s="22"/>
      <c r="X14" s="44">
        <f t="shared" si="3"/>
        <v>0</v>
      </c>
      <c r="Y14" s="17" t="s">
        <v>16</v>
      </c>
      <c r="Z14" s="18">
        <v>0</v>
      </c>
      <c r="AB14" s="2" t="s">
        <v>306</v>
      </c>
    </row>
    <row r="15" spans="1:28" ht="25.5" x14ac:dyDescent="0.55000000000000004">
      <c r="A15" s="10">
        <v>11</v>
      </c>
      <c r="B15" s="19" t="s">
        <v>26</v>
      </c>
      <c r="C15" s="79">
        <f>+'5'!G15</f>
        <v>0</v>
      </c>
      <c r="D15" s="87">
        <v>0</v>
      </c>
      <c r="E15" s="47">
        <f t="shared" si="0"/>
        <v>0</v>
      </c>
      <c r="F15" s="87">
        <v>0</v>
      </c>
      <c r="G15" s="47">
        <f t="shared" si="4"/>
        <v>0</v>
      </c>
      <c r="H15" s="88"/>
      <c r="I15" s="20">
        <v>50</v>
      </c>
      <c r="J15" s="8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7">
        <v>0</v>
      </c>
      <c r="S15" s="47">
        <f t="shared" ref="S15:S29" si="7">Q15+R15</f>
        <v>0</v>
      </c>
      <c r="T15" s="87">
        <v>0</v>
      </c>
      <c r="U15" s="47">
        <f t="shared" ref="U15:U29" si="8">S15-T15-V15</f>
        <v>0</v>
      </c>
      <c r="V15" s="88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8" ht="25.5" x14ac:dyDescent="0.55000000000000004">
      <c r="A16" s="10">
        <v>12</v>
      </c>
      <c r="B16" s="19" t="s">
        <v>27</v>
      </c>
      <c r="C16" s="79">
        <f>+'5'!G16</f>
        <v>0</v>
      </c>
      <c r="D16" s="87">
        <v>0</v>
      </c>
      <c r="E16" s="47">
        <f t="shared" si="0"/>
        <v>0</v>
      </c>
      <c r="F16" s="87">
        <v>0</v>
      </c>
      <c r="G16" s="47">
        <f t="shared" si="4"/>
        <v>0</v>
      </c>
      <c r="H16" s="88"/>
      <c r="I16" s="15">
        <v>50</v>
      </c>
      <c r="J16" s="8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7">
        <v>0</v>
      </c>
      <c r="S16" s="47">
        <f t="shared" si="7"/>
        <v>0</v>
      </c>
      <c r="T16" s="87">
        <v>0</v>
      </c>
      <c r="U16" s="47">
        <f t="shared" si="8"/>
        <v>0</v>
      </c>
      <c r="V16" s="88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+'5'!G17</f>
        <v>0</v>
      </c>
      <c r="D17" s="87">
        <v>0</v>
      </c>
      <c r="E17" s="47">
        <f t="shared" si="0"/>
        <v>0</v>
      </c>
      <c r="F17" s="87">
        <v>0</v>
      </c>
      <c r="G17" s="47">
        <f t="shared" si="4"/>
        <v>0</v>
      </c>
      <c r="H17" s="88"/>
      <c r="I17" s="15">
        <v>50</v>
      </c>
      <c r="J17" s="8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7">
        <v>0</v>
      </c>
      <c r="S17" s="47">
        <f t="shared" si="7"/>
        <v>0</v>
      </c>
      <c r="T17" s="87">
        <v>0</v>
      </c>
      <c r="U17" s="47">
        <f t="shared" si="8"/>
        <v>0</v>
      </c>
      <c r="V17" s="88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+'5'!G18</f>
        <v>0</v>
      </c>
      <c r="D18" s="87">
        <v>0</v>
      </c>
      <c r="E18" s="47">
        <f t="shared" si="0"/>
        <v>0</v>
      </c>
      <c r="F18" s="87">
        <v>0</v>
      </c>
      <c r="G18" s="47">
        <f t="shared" si="4"/>
        <v>0</v>
      </c>
      <c r="H18" s="88"/>
      <c r="I18" s="20">
        <v>50</v>
      </c>
      <c r="J18" s="8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7">
        <v>0</v>
      </c>
      <c r="S18" s="47">
        <f t="shared" si="7"/>
        <v>0</v>
      </c>
      <c r="T18" s="87">
        <v>0</v>
      </c>
      <c r="U18" s="47">
        <f t="shared" si="8"/>
        <v>0</v>
      </c>
      <c r="V18" s="88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329</v>
      </c>
      <c r="C19" s="79">
        <f>+'5'!G19</f>
        <v>0</v>
      </c>
      <c r="D19" s="87">
        <v>0</v>
      </c>
      <c r="E19" s="47">
        <f t="shared" si="0"/>
        <v>0</v>
      </c>
      <c r="F19" s="87">
        <v>0</v>
      </c>
      <c r="G19" s="47">
        <f t="shared" si="4"/>
        <v>0</v>
      </c>
      <c r="H19" s="88"/>
      <c r="I19" s="15">
        <v>50</v>
      </c>
      <c r="J19" s="8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7">
        <v>0</v>
      </c>
      <c r="S19" s="47">
        <f t="shared" si="7"/>
        <v>0</v>
      </c>
      <c r="T19" s="87">
        <v>0</v>
      </c>
      <c r="U19" s="47">
        <f t="shared" si="8"/>
        <v>0</v>
      </c>
      <c r="V19" s="88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+'5'!G20</f>
        <v>0</v>
      </c>
      <c r="D20" s="87">
        <v>0</v>
      </c>
      <c r="E20" s="47">
        <f t="shared" si="0"/>
        <v>0</v>
      </c>
      <c r="F20" s="87">
        <v>0</v>
      </c>
      <c r="G20" s="47">
        <f t="shared" si="4"/>
        <v>0</v>
      </c>
      <c r="H20" s="88"/>
      <c r="I20" s="15">
        <v>50</v>
      </c>
      <c r="J20" s="8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7">
        <v>0</v>
      </c>
      <c r="S20" s="47">
        <f t="shared" si="7"/>
        <v>0</v>
      </c>
      <c r="T20" s="87">
        <v>0</v>
      </c>
      <c r="U20" s="47">
        <f t="shared" si="8"/>
        <v>0</v>
      </c>
      <c r="V20" s="88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+'5'!G21</f>
        <v>0</v>
      </c>
      <c r="D21" s="87">
        <v>0</v>
      </c>
      <c r="E21" s="47">
        <f t="shared" si="0"/>
        <v>0</v>
      </c>
      <c r="F21" s="87">
        <v>0</v>
      </c>
      <c r="G21" s="47">
        <f t="shared" si="4"/>
        <v>0</v>
      </c>
      <c r="H21" s="88"/>
      <c r="I21" s="15">
        <v>50</v>
      </c>
      <c r="J21" s="8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7">
        <v>0</v>
      </c>
      <c r="S21" s="47">
        <f t="shared" si="7"/>
        <v>0</v>
      </c>
      <c r="T21" s="87">
        <v>0</v>
      </c>
      <c r="U21" s="47">
        <f t="shared" si="8"/>
        <v>0</v>
      </c>
      <c r="V21" s="88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+'5'!G22</f>
        <v>0</v>
      </c>
      <c r="D22" s="87">
        <v>5</v>
      </c>
      <c r="E22" s="47">
        <f t="shared" si="0"/>
        <v>5</v>
      </c>
      <c r="F22" s="87">
        <v>0</v>
      </c>
      <c r="G22" s="47">
        <f t="shared" si="4"/>
        <v>4</v>
      </c>
      <c r="H22" s="88">
        <v>1</v>
      </c>
      <c r="I22" s="15">
        <v>85</v>
      </c>
      <c r="J22" s="82">
        <f t="shared" si="5"/>
        <v>85</v>
      </c>
      <c r="K22" s="17" t="s">
        <v>16</v>
      </c>
      <c r="L22" s="18">
        <v>0</v>
      </c>
      <c r="M22" s="23">
        <f t="shared" si="6"/>
        <v>85</v>
      </c>
      <c r="O22" s="10">
        <v>18</v>
      </c>
      <c r="P22" s="19"/>
      <c r="Q22" s="47">
        <v>0</v>
      </c>
      <c r="R22" s="87">
        <v>0</v>
      </c>
      <c r="S22" s="47">
        <f t="shared" si="7"/>
        <v>0</v>
      </c>
      <c r="T22" s="87">
        <v>0</v>
      </c>
      <c r="U22" s="47">
        <f t="shared" si="8"/>
        <v>0</v>
      </c>
      <c r="V22" s="88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+'5'!G23</f>
        <v>9</v>
      </c>
      <c r="D23" s="87">
        <v>5</v>
      </c>
      <c r="E23" s="47">
        <f t="shared" si="0"/>
        <v>14</v>
      </c>
      <c r="F23" s="87">
        <v>0</v>
      </c>
      <c r="G23" s="47">
        <f t="shared" si="4"/>
        <v>12</v>
      </c>
      <c r="H23" s="88">
        <v>2</v>
      </c>
      <c r="I23" s="15">
        <v>100</v>
      </c>
      <c r="J23" s="82">
        <f t="shared" si="5"/>
        <v>200</v>
      </c>
      <c r="K23" s="17" t="s">
        <v>16</v>
      </c>
      <c r="L23" s="18">
        <v>0</v>
      </c>
      <c r="M23" s="23">
        <f t="shared" si="6"/>
        <v>200</v>
      </c>
      <c r="O23" s="10">
        <v>19</v>
      </c>
      <c r="P23" s="19"/>
      <c r="Q23" s="47">
        <v>0</v>
      </c>
      <c r="R23" s="87">
        <v>0</v>
      </c>
      <c r="S23" s="47">
        <f t="shared" si="7"/>
        <v>0</v>
      </c>
      <c r="T23" s="87">
        <v>0</v>
      </c>
      <c r="U23" s="47">
        <f t="shared" si="8"/>
        <v>0</v>
      </c>
      <c r="V23" s="88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+'5'!G24</f>
        <v>6</v>
      </c>
      <c r="D24" s="87">
        <v>0</v>
      </c>
      <c r="E24" s="47">
        <f t="shared" si="0"/>
        <v>6</v>
      </c>
      <c r="F24" s="87">
        <v>0</v>
      </c>
      <c r="G24" s="47">
        <f t="shared" si="4"/>
        <v>6</v>
      </c>
      <c r="H24" s="88"/>
      <c r="I24" s="21">
        <v>100</v>
      </c>
      <c r="J24" s="8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7">
        <v>0</v>
      </c>
      <c r="S24" s="47">
        <f t="shared" si="7"/>
        <v>0</v>
      </c>
      <c r="T24" s="87">
        <v>0</v>
      </c>
      <c r="U24" s="47">
        <f t="shared" si="8"/>
        <v>0</v>
      </c>
      <c r="V24" s="88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+'5'!G25</f>
        <v>0</v>
      </c>
      <c r="D25" s="87">
        <v>0</v>
      </c>
      <c r="E25" s="47">
        <f t="shared" si="0"/>
        <v>0</v>
      </c>
      <c r="F25" s="87">
        <v>0</v>
      </c>
      <c r="G25" s="47">
        <f t="shared" si="4"/>
        <v>0</v>
      </c>
      <c r="H25" s="88"/>
      <c r="I25" s="21">
        <v>100</v>
      </c>
      <c r="J25" s="8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7">
        <v>0</v>
      </c>
      <c r="S25" s="47">
        <f t="shared" si="7"/>
        <v>0</v>
      </c>
      <c r="T25" s="87">
        <v>0</v>
      </c>
      <c r="U25" s="47">
        <f t="shared" si="8"/>
        <v>0</v>
      </c>
      <c r="V25" s="88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+'5'!G26</f>
        <v>4</v>
      </c>
      <c r="D26" s="87">
        <v>0</v>
      </c>
      <c r="E26" s="47">
        <f t="shared" si="0"/>
        <v>4</v>
      </c>
      <c r="F26" s="87">
        <v>0</v>
      </c>
      <c r="G26" s="47">
        <f t="shared" si="4"/>
        <v>3</v>
      </c>
      <c r="H26" s="88">
        <v>1</v>
      </c>
      <c r="I26" s="21">
        <v>100</v>
      </c>
      <c r="J26" s="82">
        <f t="shared" si="5"/>
        <v>100</v>
      </c>
      <c r="K26" s="17" t="s">
        <v>289</v>
      </c>
      <c r="L26" s="18">
        <v>50</v>
      </c>
      <c r="M26" s="23">
        <f t="shared" si="6"/>
        <v>50</v>
      </c>
      <c r="O26" s="10">
        <v>22</v>
      </c>
      <c r="P26" s="19"/>
      <c r="Q26" s="47">
        <v>0</v>
      </c>
      <c r="R26" s="87">
        <v>0</v>
      </c>
      <c r="S26" s="47">
        <f t="shared" si="7"/>
        <v>0</v>
      </c>
      <c r="T26" s="87">
        <v>0</v>
      </c>
      <c r="U26" s="47">
        <f t="shared" si="8"/>
        <v>0</v>
      </c>
      <c r="V26" s="88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+'5'!G27</f>
        <v>0</v>
      </c>
      <c r="D27" s="87">
        <v>0</v>
      </c>
      <c r="E27" s="47">
        <f t="shared" si="0"/>
        <v>0</v>
      </c>
      <c r="F27" s="87">
        <v>0</v>
      </c>
      <c r="G27" s="47">
        <f t="shared" si="4"/>
        <v>0</v>
      </c>
      <c r="H27" s="88"/>
      <c r="I27" s="20">
        <v>100</v>
      </c>
      <c r="J27" s="8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7">
        <v>0</v>
      </c>
      <c r="S27" s="47">
        <f t="shared" si="7"/>
        <v>0</v>
      </c>
      <c r="T27" s="87">
        <v>0</v>
      </c>
      <c r="U27" s="47">
        <f t="shared" si="8"/>
        <v>0</v>
      </c>
      <c r="V27" s="88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+'5'!G28</f>
        <v>0</v>
      </c>
      <c r="D28" s="87">
        <v>0</v>
      </c>
      <c r="E28" s="47">
        <f t="shared" si="0"/>
        <v>0</v>
      </c>
      <c r="F28" s="87">
        <v>0</v>
      </c>
      <c r="G28" s="47">
        <f t="shared" si="4"/>
        <v>0</v>
      </c>
      <c r="H28" s="88"/>
      <c r="I28" s="20">
        <v>100</v>
      </c>
      <c r="J28" s="8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7">
        <v>0</v>
      </c>
      <c r="S28" s="47">
        <f t="shared" si="7"/>
        <v>0</v>
      </c>
      <c r="T28" s="87">
        <v>0</v>
      </c>
      <c r="U28" s="47">
        <f t="shared" si="8"/>
        <v>0</v>
      </c>
      <c r="V28" s="88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+'5'!G29</f>
        <v>10</v>
      </c>
      <c r="D29" s="87">
        <v>0</v>
      </c>
      <c r="E29" s="47">
        <f t="shared" si="0"/>
        <v>10</v>
      </c>
      <c r="F29" s="87">
        <v>0</v>
      </c>
      <c r="G29" s="47">
        <f t="shared" si="4"/>
        <v>9</v>
      </c>
      <c r="H29" s="88">
        <v>1</v>
      </c>
      <c r="I29" s="15">
        <v>100</v>
      </c>
      <c r="J29" s="82">
        <f t="shared" si="5"/>
        <v>100</v>
      </c>
      <c r="K29" s="17" t="s">
        <v>289</v>
      </c>
      <c r="L29" s="18">
        <v>50</v>
      </c>
      <c r="M29" s="23">
        <f t="shared" si="6"/>
        <v>50</v>
      </c>
      <c r="O29" s="10">
        <v>25</v>
      </c>
      <c r="P29" s="19"/>
      <c r="Q29" s="47">
        <v>0</v>
      </c>
      <c r="R29" s="87">
        <v>0</v>
      </c>
      <c r="S29" s="47">
        <f t="shared" si="7"/>
        <v>0</v>
      </c>
      <c r="T29" s="87">
        <v>0</v>
      </c>
      <c r="U29" s="47">
        <f t="shared" si="8"/>
        <v>0</v>
      </c>
      <c r="V29" s="88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+'5'!G30</f>
        <v>0</v>
      </c>
      <c r="D30" s="87">
        <v>0</v>
      </c>
      <c r="E30" s="47">
        <f t="shared" si="0"/>
        <v>0</v>
      </c>
      <c r="F30" s="87">
        <v>0</v>
      </c>
      <c r="G30" s="47">
        <f t="shared" si="4"/>
        <v>0</v>
      </c>
      <c r="H30" s="88"/>
      <c r="I30" s="15">
        <v>100</v>
      </c>
      <c r="J30" s="8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+'5'!G31</f>
        <v>2</v>
      </c>
      <c r="D31" s="87">
        <v>0</v>
      </c>
      <c r="E31" s="47">
        <f t="shared" si="0"/>
        <v>2</v>
      </c>
      <c r="F31" s="87">
        <v>0</v>
      </c>
      <c r="G31" s="47">
        <f t="shared" si="4"/>
        <v>2</v>
      </c>
      <c r="H31" s="88"/>
      <c r="I31" s="15">
        <v>100</v>
      </c>
      <c r="J31" s="82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+'5'!G32</f>
        <v>0</v>
      </c>
      <c r="D32" s="87">
        <v>0</v>
      </c>
      <c r="E32" s="47">
        <f t="shared" si="0"/>
        <v>0</v>
      </c>
      <c r="F32" s="87">
        <v>0</v>
      </c>
      <c r="G32" s="47">
        <f t="shared" si="4"/>
        <v>0</v>
      </c>
      <c r="H32" s="88"/>
      <c r="I32" s="15">
        <v>130</v>
      </c>
      <c r="J32" s="82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5" t="s">
        <v>119</v>
      </c>
      <c r="Q32" s="146"/>
      <c r="R32" s="146"/>
      <c r="S32" s="146"/>
      <c r="T32" s="146"/>
      <c r="U32" s="146"/>
      <c r="V32" s="146"/>
      <c r="W32" s="147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+'5'!G33</f>
        <v>0</v>
      </c>
      <c r="D33" s="87">
        <v>0</v>
      </c>
      <c r="E33" s="47">
        <f t="shared" si="0"/>
        <v>0</v>
      </c>
      <c r="F33" s="87">
        <v>0</v>
      </c>
      <c r="G33" s="47">
        <f t="shared" si="4"/>
        <v>0</v>
      </c>
      <c r="H33" s="88"/>
      <c r="I33" s="15">
        <v>130</v>
      </c>
      <c r="J33" s="82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+'5'!G34</f>
        <v>0</v>
      </c>
      <c r="D34" s="87">
        <v>5</v>
      </c>
      <c r="E34" s="47">
        <f t="shared" si="0"/>
        <v>5</v>
      </c>
      <c r="F34" s="87">
        <v>0</v>
      </c>
      <c r="G34" s="47">
        <f t="shared" si="4"/>
        <v>5</v>
      </c>
      <c r="H34" s="88"/>
      <c r="I34" s="15">
        <v>130</v>
      </c>
      <c r="J34" s="82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+'5'!G35</f>
        <v>0</v>
      </c>
      <c r="D35" s="87">
        <v>5</v>
      </c>
      <c r="E35" s="47">
        <f t="shared" si="0"/>
        <v>5</v>
      </c>
      <c r="F35" s="87">
        <v>0</v>
      </c>
      <c r="G35" s="47">
        <f t="shared" si="4"/>
        <v>5</v>
      </c>
      <c r="H35" s="88"/>
      <c r="I35" s="15">
        <v>130</v>
      </c>
      <c r="J35" s="82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+'5'!G36</f>
        <v>0</v>
      </c>
      <c r="D36" s="87">
        <v>0</v>
      </c>
      <c r="E36" s="47">
        <f t="shared" si="0"/>
        <v>0</v>
      </c>
      <c r="F36" s="87">
        <v>0</v>
      </c>
      <c r="G36" s="47">
        <f t="shared" si="4"/>
        <v>0</v>
      </c>
      <c r="H36" s="88"/>
      <c r="I36" s="15">
        <v>100</v>
      </c>
      <c r="J36" s="82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+'5'!G37</f>
        <v>17</v>
      </c>
      <c r="D37" s="87">
        <v>5</v>
      </c>
      <c r="E37" s="47">
        <f t="shared" si="0"/>
        <v>22</v>
      </c>
      <c r="F37" s="87">
        <v>0</v>
      </c>
      <c r="G37" s="47">
        <f t="shared" si="4"/>
        <v>21</v>
      </c>
      <c r="H37" s="88">
        <v>1</v>
      </c>
      <c r="I37" s="15">
        <v>100</v>
      </c>
      <c r="J37" s="82">
        <f t="shared" si="5"/>
        <v>100</v>
      </c>
      <c r="K37" s="17" t="s">
        <v>16</v>
      </c>
      <c r="L37" s="18">
        <v>0</v>
      </c>
      <c r="M37" s="23">
        <f t="shared" si="6"/>
        <v>100</v>
      </c>
    </row>
    <row r="38" spans="1:13" ht="25.5" x14ac:dyDescent="0.55000000000000004">
      <c r="A38" s="10">
        <v>34</v>
      </c>
      <c r="B38" s="19" t="s">
        <v>49</v>
      </c>
      <c r="C38" s="79">
        <f>+'5'!G38</f>
        <v>0</v>
      </c>
      <c r="D38" s="87">
        <v>0</v>
      </c>
      <c r="E38" s="47">
        <f t="shared" si="0"/>
        <v>0</v>
      </c>
      <c r="F38" s="87">
        <v>0</v>
      </c>
      <c r="G38" s="47">
        <f t="shared" si="4"/>
        <v>0</v>
      </c>
      <c r="H38" s="88"/>
      <c r="I38" s="15">
        <v>50</v>
      </c>
      <c r="J38" s="82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+'5'!G39</f>
        <v>2</v>
      </c>
      <c r="D39" s="87">
        <v>0</v>
      </c>
      <c r="E39" s="47">
        <f t="shared" si="0"/>
        <v>2</v>
      </c>
      <c r="F39" s="87">
        <v>0</v>
      </c>
      <c r="G39" s="47">
        <f t="shared" si="4"/>
        <v>0</v>
      </c>
      <c r="H39" s="88">
        <v>2</v>
      </c>
      <c r="I39" s="15">
        <v>50</v>
      </c>
      <c r="J39" s="82">
        <f t="shared" si="5"/>
        <v>100</v>
      </c>
      <c r="K39" s="17" t="s">
        <v>289</v>
      </c>
      <c r="L39" s="18">
        <v>50</v>
      </c>
      <c r="M39" s="23">
        <f t="shared" si="6"/>
        <v>50</v>
      </c>
    </row>
    <row r="40" spans="1:13" ht="25.5" x14ac:dyDescent="0.55000000000000004">
      <c r="A40" s="10">
        <v>36</v>
      </c>
      <c r="B40" s="19" t="s">
        <v>51</v>
      </c>
      <c r="C40" s="79">
        <f>+'5'!G40</f>
        <v>1</v>
      </c>
      <c r="D40" s="87">
        <v>0</v>
      </c>
      <c r="E40" s="47">
        <f t="shared" si="0"/>
        <v>1</v>
      </c>
      <c r="F40" s="87">
        <v>0</v>
      </c>
      <c r="G40" s="47">
        <f t="shared" si="4"/>
        <v>1</v>
      </c>
      <c r="H40" s="88"/>
      <c r="I40" s="15">
        <v>50</v>
      </c>
      <c r="J40" s="82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+'5'!G41</f>
        <v>0</v>
      </c>
      <c r="D41" s="87">
        <v>0</v>
      </c>
      <c r="E41" s="47">
        <f t="shared" si="0"/>
        <v>0</v>
      </c>
      <c r="F41" s="87">
        <v>0</v>
      </c>
      <c r="G41" s="47">
        <f t="shared" si="4"/>
        <v>0</v>
      </c>
      <c r="H41" s="88"/>
      <c r="I41" s="15">
        <v>50</v>
      </c>
      <c r="J41" s="82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285</v>
      </c>
      <c r="C42" s="79">
        <f>+'5'!G42</f>
        <v>1</v>
      </c>
      <c r="D42" s="87">
        <v>2</v>
      </c>
      <c r="E42" s="47">
        <f t="shared" si="0"/>
        <v>3</v>
      </c>
      <c r="F42" s="87">
        <v>0</v>
      </c>
      <c r="G42" s="47">
        <f t="shared" si="4"/>
        <v>2</v>
      </c>
      <c r="H42" s="88">
        <v>1</v>
      </c>
      <c r="I42" s="15">
        <v>50</v>
      </c>
      <c r="J42" s="82">
        <f t="shared" si="5"/>
        <v>50</v>
      </c>
      <c r="K42" s="17" t="s">
        <v>16</v>
      </c>
      <c r="L42" s="18">
        <v>0</v>
      </c>
      <c r="M42" s="23">
        <f t="shared" si="6"/>
        <v>50</v>
      </c>
    </row>
    <row r="43" spans="1:13" ht="25.5" x14ac:dyDescent="0.55000000000000004">
      <c r="A43" s="10">
        <v>39</v>
      </c>
      <c r="B43" s="19" t="s">
        <v>54</v>
      </c>
      <c r="C43" s="79">
        <f>+'5'!G43</f>
        <v>0</v>
      </c>
      <c r="D43" s="87">
        <v>2</v>
      </c>
      <c r="E43" s="47">
        <f t="shared" si="0"/>
        <v>2</v>
      </c>
      <c r="F43" s="87">
        <v>0</v>
      </c>
      <c r="G43" s="47">
        <f t="shared" si="4"/>
        <v>2</v>
      </c>
      <c r="H43" s="88"/>
      <c r="I43" s="15">
        <v>50</v>
      </c>
      <c r="J43" s="82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+'5'!G44</f>
        <v>0</v>
      </c>
      <c r="D44" s="87">
        <v>0</v>
      </c>
      <c r="E44" s="47">
        <f t="shared" si="0"/>
        <v>0</v>
      </c>
      <c r="F44" s="87">
        <v>0</v>
      </c>
      <c r="G44" s="47">
        <f t="shared" si="4"/>
        <v>0</v>
      </c>
      <c r="H44" s="88"/>
      <c r="I44" s="15">
        <v>50</v>
      </c>
      <c r="J44" s="82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+'5'!G45</f>
        <v>0</v>
      </c>
      <c r="D45" s="87">
        <v>0</v>
      </c>
      <c r="E45" s="47">
        <f t="shared" si="0"/>
        <v>0</v>
      </c>
      <c r="F45" s="87">
        <v>0</v>
      </c>
      <c r="G45" s="47">
        <f t="shared" si="4"/>
        <v>0</v>
      </c>
      <c r="H45" s="88"/>
      <c r="I45" s="15">
        <v>50</v>
      </c>
      <c r="J45" s="82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286</v>
      </c>
      <c r="C46" s="79">
        <f>+'5'!G46</f>
        <v>1</v>
      </c>
      <c r="D46" s="87">
        <v>4</v>
      </c>
      <c r="E46" s="47">
        <f t="shared" si="0"/>
        <v>5</v>
      </c>
      <c r="F46" s="87">
        <v>0</v>
      </c>
      <c r="G46" s="47">
        <f t="shared" si="4"/>
        <v>4</v>
      </c>
      <c r="H46" s="88">
        <v>1</v>
      </c>
      <c r="I46" s="15">
        <v>50</v>
      </c>
      <c r="J46" s="82">
        <f t="shared" si="5"/>
        <v>50</v>
      </c>
      <c r="K46" s="17" t="s">
        <v>16</v>
      </c>
      <c r="L46" s="18">
        <v>0</v>
      </c>
      <c r="M46" s="23">
        <f t="shared" si="6"/>
        <v>50</v>
      </c>
    </row>
    <row r="47" spans="1:13" ht="25.5" x14ac:dyDescent="0.55000000000000004">
      <c r="A47" s="10">
        <v>43</v>
      </c>
      <c r="B47" s="19" t="s">
        <v>58</v>
      </c>
      <c r="C47" s="79">
        <f>+'5'!G47</f>
        <v>2</v>
      </c>
      <c r="D47" s="87">
        <v>2</v>
      </c>
      <c r="E47" s="47">
        <f t="shared" si="0"/>
        <v>4</v>
      </c>
      <c r="F47" s="87">
        <v>0</v>
      </c>
      <c r="G47" s="47">
        <f t="shared" si="4"/>
        <v>3</v>
      </c>
      <c r="H47" s="88">
        <v>1</v>
      </c>
      <c r="I47" s="15">
        <v>50</v>
      </c>
      <c r="J47" s="82">
        <f t="shared" si="5"/>
        <v>50</v>
      </c>
      <c r="K47" s="17" t="s">
        <v>16</v>
      </c>
      <c r="L47" s="18">
        <v>0</v>
      </c>
      <c r="M47" s="23">
        <f t="shared" si="6"/>
        <v>50</v>
      </c>
    </row>
    <row r="48" spans="1:13" ht="25.5" x14ac:dyDescent="0.55000000000000004">
      <c r="A48" s="10">
        <v>44</v>
      </c>
      <c r="B48" s="19" t="s">
        <v>59</v>
      </c>
      <c r="C48" s="79">
        <f>+'5'!G48</f>
        <v>1</v>
      </c>
      <c r="D48" s="87">
        <v>2</v>
      </c>
      <c r="E48" s="47">
        <f t="shared" si="0"/>
        <v>3</v>
      </c>
      <c r="F48" s="87">
        <v>0</v>
      </c>
      <c r="G48" s="47">
        <f t="shared" si="4"/>
        <v>3</v>
      </c>
      <c r="H48" s="88"/>
      <c r="I48" s="15">
        <v>50</v>
      </c>
      <c r="J48" s="82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+'5'!G49</f>
        <v>2</v>
      </c>
      <c r="D49" s="87">
        <v>1</v>
      </c>
      <c r="E49" s="47">
        <f t="shared" si="0"/>
        <v>3</v>
      </c>
      <c r="F49" s="87">
        <v>0</v>
      </c>
      <c r="G49" s="47">
        <f t="shared" si="4"/>
        <v>3</v>
      </c>
      <c r="H49" s="88"/>
      <c r="I49" s="15">
        <v>50</v>
      </c>
      <c r="J49" s="82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+'5'!G50</f>
        <v>4</v>
      </c>
      <c r="D50" s="87">
        <v>2</v>
      </c>
      <c r="E50" s="47">
        <f t="shared" si="0"/>
        <v>6</v>
      </c>
      <c r="F50" s="87">
        <v>0</v>
      </c>
      <c r="G50" s="47">
        <f t="shared" si="4"/>
        <v>5</v>
      </c>
      <c r="H50" s="88">
        <v>1</v>
      </c>
      <c r="I50" s="15">
        <v>120</v>
      </c>
      <c r="J50" s="82">
        <f t="shared" si="5"/>
        <v>120</v>
      </c>
      <c r="K50" s="17" t="s">
        <v>310</v>
      </c>
      <c r="L50" s="18">
        <v>35</v>
      </c>
      <c r="M50" s="23">
        <f t="shared" si="6"/>
        <v>85</v>
      </c>
    </row>
    <row r="51" spans="1:13" ht="25.5" x14ac:dyDescent="0.55000000000000004">
      <c r="A51" s="10">
        <v>47</v>
      </c>
      <c r="B51" s="19" t="s">
        <v>62</v>
      </c>
      <c r="C51" s="79">
        <f>+'5'!G51</f>
        <v>3</v>
      </c>
      <c r="D51" s="87">
        <v>1</v>
      </c>
      <c r="E51" s="47">
        <f t="shared" si="0"/>
        <v>4</v>
      </c>
      <c r="F51" s="87">
        <v>0</v>
      </c>
      <c r="G51" s="47">
        <f t="shared" si="4"/>
        <v>3</v>
      </c>
      <c r="H51" s="88">
        <v>1</v>
      </c>
      <c r="I51" s="15">
        <v>120</v>
      </c>
      <c r="J51" s="82">
        <f t="shared" si="5"/>
        <v>120</v>
      </c>
      <c r="K51" s="17" t="s">
        <v>310</v>
      </c>
      <c r="L51" s="18">
        <v>35</v>
      </c>
      <c r="M51" s="23">
        <f t="shared" si="6"/>
        <v>85</v>
      </c>
    </row>
    <row r="52" spans="1:13" ht="25.5" x14ac:dyDescent="0.55000000000000004">
      <c r="A52" s="10">
        <v>48</v>
      </c>
      <c r="B52" s="19" t="s">
        <v>63</v>
      </c>
      <c r="C52" s="79">
        <f>+'5'!G52</f>
        <v>0</v>
      </c>
      <c r="D52" s="87">
        <v>0</v>
      </c>
      <c r="E52" s="47">
        <f t="shared" si="0"/>
        <v>0</v>
      </c>
      <c r="F52" s="87">
        <v>0</v>
      </c>
      <c r="G52" s="47">
        <f t="shared" si="4"/>
        <v>0</v>
      </c>
      <c r="H52" s="88"/>
      <c r="I52" s="21">
        <v>120</v>
      </c>
      <c r="J52" s="82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+'5'!G53</f>
        <v>0</v>
      </c>
      <c r="D53" s="87">
        <v>0</v>
      </c>
      <c r="E53" s="47">
        <f t="shared" si="0"/>
        <v>0</v>
      </c>
      <c r="F53" s="87">
        <v>0</v>
      </c>
      <c r="G53" s="47">
        <f t="shared" si="4"/>
        <v>0</v>
      </c>
      <c r="H53" s="88"/>
      <c r="I53" s="15">
        <v>120</v>
      </c>
      <c r="J53" s="82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+'5'!G54</f>
        <v>0</v>
      </c>
      <c r="D54" s="87">
        <v>0</v>
      </c>
      <c r="E54" s="47">
        <f t="shared" si="0"/>
        <v>0</v>
      </c>
      <c r="F54" s="87">
        <v>0</v>
      </c>
      <c r="G54" s="47">
        <f t="shared" si="4"/>
        <v>0</v>
      </c>
      <c r="H54" s="88"/>
      <c r="I54" s="15">
        <v>120</v>
      </c>
      <c r="J54" s="82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+'5'!G55</f>
        <v>1</v>
      </c>
      <c r="D55" s="87">
        <v>0</v>
      </c>
      <c r="E55" s="47">
        <f t="shared" si="0"/>
        <v>1</v>
      </c>
      <c r="F55" s="87">
        <v>0</v>
      </c>
      <c r="G55" s="47">
        <f t="shared" si="4"/>
        <v>1</v>
      </c>
      <c r="H55" s="88"/>
      <c r="I55" s="21">
        <v>120</v>
      </c>
      <c r="J55" s="82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+'5'!G56</f>
        <v>1</v>
      </c>
      <c r="D56" s="87">
        <v>2</v>
      </c>
      <c r="E56" s="47">
        <f t="shared" si="0"/>
        <v>3</v>
      </c>
      <c r="F56" s="87">
        <v>0</v>
      </c>
      <c r="G56" s="47">
        <f t="shared" si="4"/>
        <v>3</v>
      </c>
      <c r="H56" s="88"/>
      <c r="I56" s="21">
        <v>120</v>
      </c>
      <c r="J56" s="82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+'5'!G57</f>
        <v>4</v>
      </c>
      <c r="D57" s="87">
        <v>0</v>
      </c>
      <c r="E57" s="47">
        <f t="shared" si="0"/>
        <v>4</v>
      </c>
      <c r="F57" s="87">
        <v>0</v>
      </c>
      <c r="G57" s="47">
        <f t="shared" si="4"/>
        <v>4</v>
      </c>
      <c r="H57" s="88"/>
      <c r="I57" s="21">
        <v>120</v>
      </c>
      <c r="J57" s="82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+'5'!G58</f>
        <v>0</v>
      </c>
      <c r="D58" s="87">
        <v>0</v>
      </c>
      <c r="E58" s="47">
        <f t="shared" si="0"/>
        <v>0</v>
      </c>
      <c r="F58" s="87">
        <v>0</v>
      </c>
      <c r="G58" s="47">
        <f t="shared" si="4"/>
        <v>0</v>
      </c>
      <c r="H58" s="88"/>
      <c r="I58" s="21">
        <v>120</v>
      </c>
      <c r="J58" s="82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+'5'!G59</f>
        <v>0</v>
      </c>
      <c r="D59" s="87">
        <v>0</v>
      </c>
      <c r="E59" s="47">
        <f t="shared" si="0"/>
        <v>0</v>
      </c>
      <c r="F59" s="87">
        <v>0</v>
      </c>
      <c r="G59" s="47">
        <f t="shared" si="4"/>
        <v>0</v>
      </c>
      <c r="H59" s="88"/>
      <c r="I59" s="15">
        <v>70</v>
      </c>
      <c r="J59" s="82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+'5'!G60</f>
        <v>0</v>
      </c>
      <c r="D60" s="87">
        <v>0</v>
      </c>
      <c r="E60" s="47">
        <f t="shared" si="0"/>
        <v>0</v>
      </c>
      <c r="F60" s="87">
        <v>0</v>
      </c>
      <c r="G60" s="47">
        <f t="shared" si="4"/>
        <v>0</v>
      </c>
      <c r="H60" s="88"/>
      <c r="I60" s="21">
        <v>80</v>
      </c>
      <c r="J60" s="82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+'5'!G61</f>
        <v>0</v>
      </c>
      <c r="D61" s="87">
        <v>0</v>
      </c>
      <c r="E61" s="47">
        <f t="shared" si="0"/>
        <v>0</v>
      </c>
      <c r="F61" s="87">
        <v>0</v>
      </c>
      <c r="G61" s="47">
        <f t="shared" si="4"/>
        <v>0</v>
      </c>
      <c r="H61" s="88"/>
      <c r="I61" s="15">
        <v>50</v>
      </c>
      <c r="J61" s="82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+'5'!G62</f>
        <v>0</v>
      </c>
      <c r="D62" s="87">
        <v>2</v>
      </c>
      <c r="E62" s="47">
        <f t="shared" si="0"/>
        <v>2</v>
      </c>
      <c r="F62" s="87">
        <v>0</v>
      </c>
      <c r="G62" s="47">
        <f t="shared" si="4"/>
        <v>2</v>
      </c>
      <c r="H62" s="88"/>
      <c r="I62" s="20">
        <v>50</v>
      </c>
      <c r="J62" s="82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+'5'!G63</f>
        <v>0</v>
      </c>
      <c r="D63" s="87">
        <v>0</v>
      </c>
      <c r="E63" s="47">
        <f t="shared" si="0"/>
        <v>0</v>
      </c>
      <c r="F63" s="87">
        <v>0</v>
      </c>
      <c r="G63" s="47">
        <f t="shared" si="4"/>
        <v>0</v>
      </c>
      <c r="H63" s="88"/>
      <c r="I63" s="20">
        <v>50</v>
      </c>
      <c r="J63" s="82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+'5'!G64</f>
        <v>0</v>
      </c>
      <c r="D64" s="87">
        <v>0</v>
      </c>
      <c r="E64" s="47">
        <f t="shared" si="0"/>
        <v>0</v>
      </c>
      <c r="F64" s="87">
        <v>0</v>
      </c>
      <c r="G64" s="47">
        <f t="shared" si="4"/>
        <v>0</v>
      </c>
      <c r="H64" s="88"/>
      <c r="I64" s="21">
        <v>30</v>
      </c>
      <c r="J64" s="82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+'5'!G65</f>
        <v>0</v>
      </c>
      <c r="D65" s="87">
        <v>0</v>
      </c>
      <c r="E65" s="47">
        <f t="shared" si="0"/>
        <v>0</v>
      </c>
      <c r="F65" s="87">
        <v>0</v>
      </c>
      <c r="G65" s="47">
        <f t="shared" si="4"/>
        <v>0</v>
      </c>
      <c r="H65" s="88"/>
      <c r="I65" s="21">
        <v>30</v>
      </c>
      <c r="J65" s="82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+'5'!G66</f>
        <v>9</v>
      </c>
      <c r="D66" s="87">
        <v>0</v>
      </c>
      <c r="E66" s="47">
        <f t="shared" si="0"/>
        <v>9</v>
      </c>
      <c r="F66" s="87">
        <v>0</v>
      </c>
      <c r="G66" s="103">
        <f t="shared" si="4"/>
        <v>6</v>
      </c>
      <c r="H66" s="88">
        <v>3</v>
      </c>
      <c r="I66" s="15">
        <v>50</v>
      </c>
      <c r="J66" s="82">
        <f t="shared" si="5"/>
        <v>150</v>
      </c>
      <c r="K66" s="17" t="s">
        <v>16</v>
      </c>
      <c r="L66" s="18">
        <v>0</v>
      </c>
      <c r="M66" s="23">
        <f t="shared" si="6"/>
        <v>150</v>
      </c>
    </row>
    <row r="67" spans="1:13" ht="25.5" x14ac:dyDescent="0.55000000000000004">
      <c r="A67" s="10">
        <v>63</v>
      </c>
      <c r="B67" s="19" t="s">
        <v>78</v>
      </c>
      <c r="C67" s="79">
        <f>+'5'!G67</f>
        <v>1</v>
      </c>
      <c r="D67" s="87">
        <v>3</v>
      </c>
      <c r="E67" s="47">
        <f t="shared" si="0"/>
        <v>4</v>
      </c>
      <c r="F67" s="87">
        <v>0</v>
      </c>
      <c r="G67" s="47">
        <f t="shared" si="4"/>
        <v>2</v>
      </c>
      <c r="H67" s="88">
        <v>2</v>
      </c>
      <c r="I67" s="15">
        <v>50</v>
      </c>
      <c r="J67" s="82">
        <f t="shared" si="5"/>
        <v>100</v>
      </c>
      <c r="K67" s="17" t="s">
        <v>16</v>
      </c>
      <c r="L67" s="18">
        <v>0</v>
      </c>
      <c r="M67" s="23">
        <f t="shared" si="6"/>
        <v>100</v>
      </c>
    </row>
    <row r="68" spans="1:13" ht="25.5" x14ac:dyDescent="0.55000000000000004">
      <c r="A68" s="10">
        <v>64</v>
      </c>
      <c r="B68" s="19" t="s">
        <v>79</v>
      </c>
      <c r="C68" s="79">
        <f>+'5'!G68</f>
        <v>0</v>
      </c>
      <c r="D68" s="87">
        <v>0</v>
      </c>
      <c r="E68" s="47">
        <f t="shared" si="0"/>
        <v>0</v>
      </c>
      <c r="F68" s="87">
        <v>0</v>
      </c>
      <c r="G68" s="47">
        <f t="shared" si="4"/>
        <v>0</v>
      </c>
      <c r="H68" s="88"/>
      <c r="I68" s="20">
        <v>35</v>
      </c>
      <c r="J68" s="82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+'5'!G69</f>
        <v>0</v>
      </c>
      <c r="D69" s="87">
        <v>0</v>
      </c>
      <c r="E69" s="47">
        <f t="shared" si="0"/>
        <v>0</v>
      </c>
      <c r="F69" s="87">
        <v>0</v>
      </c>
      <c r="G69" s="47">
        <f t="shared" si="4"/>
        <v>0</v>
      </c>
      <c r="H69" s="88"/>
      <c r="I69" s="20">
        <v>25</v>
      </c>
      <c r="J69" s="82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+'5'!G70</f>
        <v>5</v>
      </c>
      <c r="D70" s="87">
        <v>5</v>
      </c>
      <c r="E70" s="47">
        <f t="shared" si="0"/>
        <v>10</v>
      </c>
      <c r="F70" s="87">
        <v>0</v>
      </c>
      <c r="G70" s="47">
        <f t="shared" si="4"/>
        <v>10</v>
      </c>
      <c r="H70" s="88"/>
      <c r="I70" s="20">
        <v>50</v>
      </c>
      <c r="J70" s="82">
        <f t="shared" si="5"/>
        <v>0</v>
      </c>
      <c r="K70" s="17" t="s">
        <v>16</v>
      </c>
      <c r="L70" s="18">
        <v>0</v>
      </c>
      <c r="M70" s="23">
        <f t="shared" ref="M70:M134" si="10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+'5'!G71</f>
        <v>1</v>
      </c>
      <c r="D71" s="87">
        <v>5</v>
      </c>
      <c r="E71" s="47">
        <f t="shared" si="0"/>
        <v>6</v>
      </c>
      <c r="F71" s="87">
        <v>0</v>
      </c>
      <c r="G71" s="47">
        <f t="shared" si="4"/>
        <v>6</v>
      </c>
      <c r="H71" s="88"/>
      <c r="I71" s="20">
        <v>60</v>
      </c>
      <c r="J71" s="82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+'5'!G72</f>
        <v>0</v>
      </c>
      <c r="D72" s="87">
        <v>0</v>
      </c>
      <c r="E72" s="47">
        <f t="shared" si="0"/>
        <v>0</v>
      </c>
      <c r="F72" s="87">
        <v>0</v>
      </c>
      <c r="G72" s="47">
        <f t="shared" si="4"/>
        <v>0</v>
      </c>
      <c r="H72" s="88"/>
      <c r="I72" s="22">
        <v>50</v>
      </c>
      <c r="J72" s="82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+'5'!G73</f>
        <v>0</v>
      </c>
      <c r="D73" s="87">
        <v>0</v>
      </c>
      <c r="E73" s="47">
        <f t="shared" si="0"/>
        <v>0</v>
      </c>
      <c r="F73" s="87">
        <v>0</v>
      </c>
      <c r="G73" s="47">
        <f t="shared" si="4"/>
        <v>0</v>
      </c>
      <c r="H73" s="88"/>
      <c r="I73" s="20">
        <v>60</v>
      </c>
      <c r="J73" s="82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+'5'!G74</f>
        <v>0</v>
      </c>
      <c r="D74" s="87">
        <v>0</v>
      </c>
      <c r="E74" s="47">
        <f t="shared" si="0"/>
        <v>0</v>
      </c>
      <c r="F74" s="87">
        <v>0</v>
      </c>
      <c r="G74" s="47">
        <f t="shared" si="4"/>
        <v>0</v>
      </c>
      <c r="H74" s="88"/>
      <c r="I74" s="22">
        <v>120</v>
      </c>
      <c r="J74" s="82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+'5'!G75</f>
        <v>0</v>
      </c>
      <c r="D75" s="87">
        <v>0</v>
      </c>
      <c r="E75" s="47">
        <f t="shared" si="0"/>
        <v>0</v>
      </c>
      <c r="F75" s="87">
        <v>0</v>
      </c>
      <c r="G75" s="47">
        <f t="shared" si="4"/>
        <v>0</v>
      </c>
      <c r="H75" s="88"/>
      <c r="I75" s="22">
        <v>60</v>
      </c>
      <c r="J75" s="82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+'5'!G76</f>
        <v>0</v>
      </c>
      <c r="D76" s="87">
        <v>0</v>
      </c>
      <c r="E76" s="47">
        <f t="shared" si="0"/>
        <v>0</v>
      </c>
      <c r="F76" s="87">
        <v>0</v>
      </c>
      <c r="G76" s="47">
        <f t="shared" si="4"/>
        <v>0</v>
      </c>
      <c r="H76" s="88"/>
      <c r="I76" s="22">
        <v>120</v>
      </c>
      <c r="J76" s="82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272</v>
      </c>
      <c r="C77" s="79">
        <f>+'5'!G77</f>
        <v>1</v>
      </c>
      <c r="D77" s="87">
        <v>1</v>
      </c>
      <c r="E77" s="47">
        <f>C77+D77</f>
        <v>2</v>
      </c>
      <c r="F77" s="87">
        <v>0</v>
      </c>
      <c r="G77" s="47">
        <f>+E77-F77-H77</f>
        <v>2</v>
      </c>
      <c r="H77" s="88"/>
      <c r="I77" s="20">
        <v>50</v>
      </c>
      <c r="J77" s="82">
        <f>+I77*H77</f>
        <v>0</v>
      </c>
      <c r="K77" s="17" t="s">
        <v>16</v>
      </c>
      <c r="L77" s="18">
        <v>0</v>
      </c>
      <c r="M77" s="23">
        <f>SUM(J77-L77)</f>
        <v>0</v>
      </c>
    </row>
    <row r="78" spans="1:13" ht="25.5" x14ac:dyDescent="0.55000000000000004">
      <c r="A78" s="10">
        <v>74</v>
      </c>
      <c r="B78" s="19" t="s">
        <v>277</v>
      </c>
      <c r="C78" s="79">
        <f>+'5'!G78</f>
        <v>0</v>
      </c>
      <c r="D78" s="87">
        <v>1</v>
      </c>
      <c r="E78" s="47">
        <f t="shared" si="0"/>
        <v>1</v>
      </c>
      <c r="F78" s="87">
        <v>0</v>
      </c>
      <c r="G78" s="47">
        <f t="shared" si="4"/>
        <v>1</v>
      </c>
      <c r="H78" s="88"/>
      <c r="I78" s="20">
        <v>50</v>
      </c>
      <c r="J78" s="82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278</v>
      </c>
      <c r="C79" s="79">
        <f>+'5'!G79</f>
        <v>0</v>
      </c>
      <c r="D79" s="87">
        <v>0</v>
      </c>
      <c r="E79" s="47">
        <f t="shared" si="0"/>
        <v>0</v>
      </c>
      <c r="F79" s="87">
        <v>0</v>
      </c>
      <c r="G79" s="47">
        <f t="shared" si="4"/>
        <v>0</v>
      </c>
      <c r="H79" s="88"/>
      <c r="I79" s="22">
        <v>120</v>
      </c>
      <c r="J79" s="82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90</v>
      </c>
      <c r="C80" s="79">
        <f>+'5'!G80</f>
        <v>1</v>
      </c>
      <c r="D80" s="87">
        <v>5</v>
      </c>
      <c r="E80" s="47">
        <f t="shared" si="0"/>
        <v>6</v>
      </c>
      <c r="F80" s="87">
        <v>0</v>
      </c>
      <c r="G80" s="47">
        <f t="shared" si="4"/>
        <v>6</v>
      </c>
      <c r="H80" s="88"/>
      <c r="I80" s="22">
        <v>50</v>
      </c>
      <c r="J80" s="82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91</v>
      </c>
      <c r="C81" s="79">
        <f>+'5'!G81</f>
        <v>0</v>
      </c>
      <c r="D81" s="87">
        <v>0</v>
      </c>
      <c r="E81" s="47">
        <f t="shared" si="0"/>
        <v>0</v>
      </c>
      <c r="F81" s="87">
        <v>0</v>
      </c>
      <c r="G81" s="47">
        <f t="shared" si="4"/>
        <v>0</v>
      </c>
      <c r="H81" s="88"/>
      <c r="I81" s="22">
        <v>50</v>
      </c>
      <c r="J81" s="82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92</v>
      </c>
      <c r="C82" s="79">
        <f>+'5'!G82</f>
        <v>4</v>
      </c>
      <c r="D82" s="87">
        <v>2</v>
      </c>
      <c r="E82" s="47">
        <f t="shared" si="0"/>
        <v>6</v>
      </c>
      <c r="F82" s="87">
        <v>0</v>
      </c>
      <c r="G82" s="47">
        <f t="shared" si="4"/>
        <v>6</v>
      </c>
      <c r="H82" s="88"/>
      <c r="I82" s="20">
        <v>55</v>
      </c>
      <c r="J82" s="82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93</v>
      </c>
      <c r="C83" s="79">
        <f>+'5'!G83</f>
        <v>2</v>
      </c>
      <c r="D83" s="87">
        <v>2</v>
      </c>
      <c r="E83" s="47">
        <f t="shared" si="0"/>
        <v>4</v>
      </c>
      <c r="F83" s="87">
        <v>0</v>
      </c>
      <c r="G83" s="47">
        <f t="shared" si="4"/>
        <v>4</v>
      </c>
      <c r="H83" s="88"/>
      <c r="I83" s="22">
        <v>55</v>
      </c>
      <c r="J83" s="82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94</v>
      </c>
      <c r="C84" s="79">
        <f>+'5'!G84</f>
        <v>0</v>
      </c>
      <c r="D84" s="87">
        <v>0</v>
      </c>
      <c r="E84" s="47">
        <f t="shared" si="0"/>
        <v>0</v>
      </c>
      <c r="F84" s="87">
        <v>0</v>
      </c>
      <c r="G84" s="47">
        <f t="shared" si="4"/>
        <v>0</v>
      </c>
      <c r="H84" s="88"/>
      <c r="I84" s="22">
        <v>55</v>
      </c>
      <c r="J84" s="82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95</v>
      </c>
      <c r="C85" s="79">
        <f>+'5'!G85</f>
        <v>0</v>
      </c>
      <c r="D85" s="87">
        <v>0</v>
      </c>
      <c r="E85" s="47">
        <f t="shared" si="0"/>
        <v>0</v>
      </c>
      <c r="F85" s="87">
        <v>0</v>
      </c>
      <c r="G85" s="47">
        <f t="shared" si="4"/>
        <v>0</v>
      </c>
      <c r="H85" s="88"/>
      <c r="I85" s="22">
        <v>55</v>
      </c>
      <c r="J85" s="82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96</v>
      </c>
      <c r="C86" s="79">
        <f>+'5'!G86</f>
        <v>10</v>
      </c>
      <c r="D86" s="87">
        <v>0</v>
      </c>
      <c r="E86" s="47">
        <f t="shared" si="0"/>
        <v>10</v>
      </c>
      <c r="F86" s="87">
        <v>0</v>
      </c>
      <c r="G86" s="47">
        <f t="shared" si="4"/>
        <v>10</v>
      </c>
      <c r="H86" s="88"/>
      <c r="I86" s="22">
        <v>100</v>
      </c>
      <c r="J86" s="82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97</v>
      </c>
      <c r="C87" s="79">
        <f>+'5'!G87</f>
        <v>8</v>
      </c>
      <c r="D87" s="87">
        <v>0</v>
      </c>
      <c r="E87" s="47">
        <f t="shared" si="0"/>
        <v>8</v>
      </c>
      <c r="F87" s="87">
        <v>0</v>
      </c>
      <c r="G87" s="47">
        <f t="shared" si="4"/>
        <v>7</v>
      </c>
      <c r="H87" s="88">
        <v>1</v>
      </c>
      <c r="I87" s="20">
        <v>55</v>
      </c>
      <c r="J87" s="82">
        <f t="shared" si="5"/>
        <v>55</v>
      </c>
      <c r="K87" s="17" t="s">
        <v>16</v>
      </c>
      <c r="L87" s="18">
        <v>0</v>
      </c>
      <c r="M87" s="23">
        <f t="shared" si="10"/>
        <v>55</v>
      </c>
    </row>
    <row r="88" spans="1:13" ht="25.5" x14ac:dyDescent="0.55000000000000004">
      <c r="A88" s="10">
        <v>84</v>
      </c>
      <c r="B88" s="19" t="s">
        <v>98</v>
      </c>
      <c r="C88" s="79">
        <f>+'5'!G88</f>
        <v>5</v>
      </c>
      <c r="D88" s="87">
        <v>0</v>
      </c>
      <c r="E88" s="47">
        <f t="shared" si="0"/>
        <v>5</v>
      </c>
      <c r="F88" s="87">
        <v>0</v>
      </c>
      <c r="G88" s="47">
        <f t="shared" si="4"/>
        <v>5</v>
      </c>
      <c r="H88" s="88"/>
      <c r="I88" s="20">
        <v>60</v>
      </c>
      <c r="J88" s="82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99</v>
      </c>
      <c r="C89" s="79">
        <f>+'5'!G89</f>
        <v>6</v>
      </c>
      <c r="D89" s="87">
        <v>0</v>
      </c>
      <c r="E89" s="47">
        <f t="shared" si="0"/>
        <v>6</v>
      </c>
      <c r="F89" s="87">
        <v>0</v>
      </c>
      <c r="G89" s="47">
        <f t="shared" si="4"/>
        <v>5</v>
      </c>
      <c r="H89" s="88">
        <v>1</v>
      </c>
      <c r="I89" s="20">
        <v>100</v>
      </c>
      <c r="J89" s="82">
        <f t="shared" si="5"/>
        <v>100</v>
      </c>
      <c r="K89" s="17" t="s">
        <v>16</v>
      </c>
      <c r="L89" s="18">
        <v>0</v>
      </c>
      <c r="M89" s="23">
        <f t="shared" si="10"/>
        <v>100</v>
      </c>
    </row>
    <row r="90" spans="1:13" ht="25.5" x14ac:dyDescent="0.55000000000000004">
      <c r="A90" s="10">
        <v>86</v>
      </c>
      <c r="B90" s="19" t="s">
        <v>100</v>
      </c>
      <c r="C90" s="79">
        <f>+'5'!G90</f>
        <v>10</v>
      </c>
      <c r="D90" s="87">
        <v>0</v>
      </c>
      <c r="E90" s="47">
        <f t="shared" si="0"/>
        <v>10</v>
      </c>
      <c r="F90" s="87">
        <v>0</v>
      </c>
      <c r="G90" s="47">
        <f t="shared" si="4"/>
        <v>10</v>
      </c>
      <c r="H90" s="88"/>
      <c r="I90" s="20">
        <v>55</v>
      </c>
      <c r="J90" s="82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101</v>
      </c>
      <c r="C91" s="79">
        <f>+'5'!G91</f>
        <v>0</v>
      </c>
      <c r="D91" s="87">
        <v>0</v>
      </c>
      <c r="E91" s="47">
        <f t="shared" si="0"/>
        <v>0</v>
      </c>
      <c r="F91" s="87">
        <v>0</v>
      </c>
      <c r="G91" s="47">
        <f t="shared" si="4"/>
        <v>0</v>
      </c>
      <c r="H91" s="88"/>
      <c r="I91" s="20">
        <v>50</v>
      </c>
      <c r="J91" s="82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102</v>
      </c>
      <c r="C92" s="79">
        <f>+'5'!G92</f>
        <v>0</v>
      </c>
      <c r="D92" s="87">
        <v>0</v>
      </c>
      <c r="E92" s="47">
        <f t="shared" si="0"/>
        <v>0</v>
      </c>
      <c r="F92" s="87">
        <v>0</v>
      </c>
      <c r="G92" s="47">
        <f t="shared" si="4"/>
        <v>0</v>
      </c>
      <c r="H92" s="88"/>
      <c r="I92" s="22">
        <v>50</v>
      </c>
      <c r="J92" s="82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248</v>
      </c>
      <c r="C93" s="79">
        <f>+'5'!G93</f>
        <v>0</v>
      </c>
      <c r="D93" s="87">
        <v>0</v>
      </c>
      <c r="E93" s="47">
        <f t="shared" si="0"/>
        <v>0</v>
      </c>
      <c r="F93" s="87">
        <v>0</v>
      </c>
      <c r="G93" s="47">
        <f t="shared" si="4"/>
        <v>0</v>
      </c>
      <c r="H93" s="88"/>
      <c r="I93" s="22">
        <v>120</v>
      </c>
      <c r="J93" s="82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104</v>
      </c>
      <c r="C94" s="79">
        <f>+'5'!G94</f>
        <v>0</v>
      </c>
      <c r="D94" s="87">
        <v>0</v>
      </c>
      <c r="E94" s="47">
        <f t="shared" si="0"/>
        <v>0</v>
      </c>
      <c r="F94" s="87">
        <v>0</v>
      </c>
      <c r="G94" s="47">
        <f t="shared" si="4"/>
        <v>0</v>
      </c>
      <c r="H94" s="88"/>
      <c r="I94" s="20">
        <v>250</v>
      </c>
      <c r="J94" s="82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105</v>
      </c>
      <c r="C95" s="79">
        <f>+'5'!G95</f>
        <v>0</v>
      </c>
      <c r="D95" s="87">
        <v>0</v>
      </c>
      <c r="E95" s="47">
        <f t="shared" si="0"/>
        <v>0</v>
      </c>
      <c r="F95" s="87">
        <v>0</v>
      </c>
      <c r="G95" s="47">
        <f t="shared" si="4"/>
        <v>0</v>
      </c>
      <c r="H95" s="88"/>
      <c r="I95" s="20">
        <v>120</v>
      </c>
      <c r="J95" s="82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106</v>
      </c>
      <c r="C96" s="79">
        <f>+'5'!G96</f>
        <v>0</v>
      </c>
      <c r="D96" s="87">
        <v>0</v>
      </c>
      <c r="E96" s="47">
        <f t="shared" si="0"/>
        <v>0</v>
      </c>
      <c r="F96" s="87">
        <v>0</v>
      </c>
      <c r="G96" s="47">
        <f t="shared" si="4"/>
        <v>0</v>
      </c>
      <c r="H96" s="88"/>
      <c r="I96" s="20">
        <v>120</v>
      </c>
      <c r="J96" s="82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107</v>
      </c>
      <c r="C97" s="79">
        <f>+'5'!G97</f>
        <v>0</v>
      </c>
      <c r="D97" s="87">
        <v>0</v>
      </c>
      <c r="E97" s="47">
        <f t="shared" si="0"/>
        <v>0</v>
      </c>
      <c r="F97" s="87">
        <v>0</v>
      </c>
      <c r="G97" s="47">
        <f t="shared" si="4"/>
        <v>0</v>
      </c>
      <c r="H97" s="88"/>
      <c r="I97" s="20">
        <v>120</v>
      </c>
      <c r="J97" s="82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103</v>
      </c>
      <c r="C98" s="79">
        <f>+'5'!G98</f>
        <v>0</v>
      </c>
      <c r="D98" s="87">
        <v>0</v>
      </c>
      <c r="E98" s="47">
        <f t="shared" si="0"/>
        <v>0</v>
      </c>
      <c r="F98" s="87">
        <v>0</v>
      </c>
      <c r="G98" s="47">
        <f t="shared" si="4"/>
        <v>0</v>
      </c>
      <c r="H98" s="88"/>
      <c r="I98" s="20">
        <v>120</v>
      </c>
      <c r="J98" s="82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109</v>
      </c>
      <c r="C99" s="79">
        <f>+'5'!G99</f>
        <v>0</v>
      </c>
      <c r="D99" s="87">
        <v>0</v>
      </c>
      <c r="E99" s="47">
        <f t="shared" si="0"/>
        <v>0</v>
      </c>
      <c r="F99" s="87">
        <v>0</v>
      </c>
      <c r="G99" s="47">
        <f t="shared" si="4"/>
        <v>0</v>
      </c>
      <c r="H99" s="88"/>
      <c r="I99" s="20">
        <v>50</v>
      </c>
      <c r="J99" s="82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110</v>
      </c>
      <c r="C100" s="79">
        <f>+'5'!G100</f>
        <v>0</v>
      </c>
      <c r="D100" s="87">
        <v>0</v>
      </c>
      <c r="E100" s="47">
        <f t="shared" si="0"/>
        <v>0</v>
      </c>
      <c r="F100" s="87">
        <v>0</v>
      </c>
      <c r="G100" s="47">
        <f t="shared" si="4"/>
        <v>0</v>
      </c>
      <c r="H100" s="88"/>
      <c r="I100" s="20">
        <v>50</v>
      </c>
      <c r="J100" s="82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111</v>
      </c>
      <c r="C101" s="79">
        <f>+'5'!G101</f>
        <v>0</v>
      </c>
      <c r="D101" s="87">
        <v>0</v>
      </c>
      <c r="E101" s="47">
        <f t="shared" si="0"/>
        <v>0</v>
      </c>
      <c r="F101" s="87">
        <v>0</v>
      </c>
      <c r="G101" s="47">
        <f t="shared" ref="G101:G164" si="11">+E101-F101-H101</f>
        <v>0</v>
      </c>
      <c r="H101" s="88"/>
      <c r="I101" s="20">
        <v>60</v>
      </c>
      <c r="J101" s="82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112</v>
      </c>
      <c r="C102" s="79">
        <f>+'5'!G102</f>
        <v>0</v>
      </c>
      <c r="D102" s="87">
        <v>0</v>
      </c>
      <c r="E102" s="47">
        <f t="shared" si="0"/>
        <v>0</v>
      </c>
      <c r="F102" s="87">
        <v>0</v>
      </c>
      <c r="G102" s="47">
        <f t="shared" si="11"/>
        <v>0</v>
      </c>
      <c r="H102" s="88"/>
      <c r="I102" s="20">
        <v>55</v>
      </c>
      <c r="J102" s="82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113</v>
      </c>
      <c r="C103" s="79">
        <f>+'5'!G103</f>
        <v>0</v>
      </c>
      <c r="D103" s="87">
        <v>0</v>
      </c>
      <c r="E103" s="47">
        <f t="shared" si="0"/>
        <v>0</v>
      </c>
      <c r="F103" s="87">
        <v>0</v>
      </c>
      <c r="G103" s="47">
        <f t="shared" si="11"/>
        <v>0</v>
      </c>
      <c r="H103" s="88"/>
      <c r="I103" s="20">
        <v>50</v>
      </c>
      <c r="J103" s="82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114</v>
      </c>
      <c r="C104" s="79">
        <f>+'5'!G104</f>
        <v>0</v>
      </c>
      <c r="D104" s="87">
        <v>0</v>
      </c>
      <c r="E104" s="47">
        <f t="shared" si="0"/>
        <v>0</v>
      </c>
      <c r="F104" s="87">
        <v>0</v>
      </c>
      <c r="G104" s="47">
        <f t="shared" si="11"/>
        <v>0</v>
      </c>
      <c r="H104" s="88"/>
      <c r="I104" s="20">
        <v>100</v>
      </c>
      <c r="J104" s="82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115</v>
      </c>
      <c r="C105" s="79">
        <f>+'5'!G105</f>
        <v>0</v>
      </c>
      <c r="D105" s="87">
        <v>0</v>
      </c>
      <c r="E105" s="47">
        <f t="shared" si="0"/>
        <v>0</v>
      </c>
      <c r="F105" s="87">
        <v>0</v>
      </c>
      <c r="G105" s="47">
        <f t="shared" si="11"/>
        <v>0</v>
      </c>
      <c r="H105" s="88"/>
      <c r="I105" s="20">
        <v>100</v>
      </c>
      <c r="J105" s="82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116</v>
      </c>
      <c r="C106" s="79">
        <f>+'5'!G106</f>
        <v>0</v>
      </c>
      <c r="D106" s="87">
        <v>0</v>
      </c>
      <c r="E106" s="47">
        <f t="shared" si="0"/>
        <v>0</v>
      </c>
      <c r="F106" s="87">
        <v>0</v>
      </c>
      <c r="G106" s="47">
        <f t="shared" si="11"/>
        <v>0</v>
      </c>
      <c r="H106" s="88"/>
      <c r="I106" s="22">
        <v>30</v>
      </c>
      <c r="J106" s="82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117</v>
      </c>
      <c r="C107" s="79">
        <f>+'5'!G107</f>
        <v>0</v>
      </c>
      <c r="D107" s="87">
        <v>0</v>
      </c>
      <c r="E107" s="47">
        <f t="shared" si="0"/>
        <v>0</v>
      </c>
      <c r="F107" s="87">
        <v>0</v>
      </c>
      <c r="G107" s="47">
        <f t="shared" si="11"/>
        <v>0</v>
      </c>
      <c r="H107" s="88"/>
      <c r="I107" s="22">
        <v>20</v>
      </c>
      <c r="J107" s="82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118</v>
      </c>
      <c r="C108" s="79">
        <f>+'5'!G108</f>
        <v>0</v>
      </c>
      <c r="D108" s="87">
        <v>0</v>
      </c>
      <c r="E108" s="47">
        <f t="shared" si="0"/>
        <v>0</v>
      </c>
      <c r="F108" s="87">
        <v>0</v>
      </c>
      <c r="G108" s="47">
        <f t="shared" si="11"/>
        <v>0</v>
      </c>
      <c r="H108" s="88"/>
      <c r="I108" s="20">
        <v>100</v>
      </c>
      <c r="J108" s="82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120</v>
      </c>
      <c r="C109" s="79">
        <f>+'5'!G109</f>
        <v>0</v>
      </c>
      <c r="D109" s="87">
        <v>0</v>
      </c>
      <c r="E109" s="47">
        <f t="shared" si="0"/>
        <v>0</v>
      </c>
      <c r="F109" s="87">
        <v>0</v>
      </c>
      <c r="G109" s="47">
        <f t="shared" si="11"/>
        <v>0</v>
      </c>
      <c r="H109" s="88"/>
      <c r="I109" s="20">
        <v>80</v>
      </c>
      <c r="J109" s="82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121</v>
      </c>
      <c r="C110" s="79">
        <f>+'5'!G110</f>
        <v>0</v>
      </c>
      <c r="D110" s="87">
        <v>0</v>
      </c>
      <c r="E110" s="47">
        <f t="shared" si="0"/>
        <v>0</v>
      </c>
      <c r="F110" s="87">
        <v>0</v>
      </c>
      <c r="G110" s="47">
        <f t="shared" si="11"/>
        <v>0</v>
      </c>
      <c r="H110" s="88"/>
      <c r="I110" s="20">
        <v>60</v>
      </c>
      <c r="J110" s="82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122</v>
      </c>
      <c r="C111" s="79">
        <f>+'5'!G111</f>
        <v>0</v>
      </c>
      <c r="D111" s="87">
        <v>0</v>
      </c>
      <c r="E111" s="47">
        <f t="shared" si="0"/>
        <v>0</v>
      </c>
      <c r="F111" s="87">
        <v>0</v>
      </c>
      <c r="G111" s="47">
        <f t="shared" si="11"/>
        <v>0</v>
      </c>
      <c r="H111" s="88"/>
      <c r="I111" s="20">
        <v>35</v>
      </c>
      <c r="J111" s="82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123</v>
      </c>
      <c r="C112" s="79">
        <f>+'5'!G112</f>
        <v>0</v>
      </c>
      <c r="D112" s="87">
        <v>0</v>
      </c>
      <c r="E112" s="47">
        <f t="shared" si="0"/>
        <v>0</v>
      </c>
      <c r="F112" s="87">
        <v>0</v>
      </c>
      <c r="G112" s="47">
        <f t="shared" si="11"/>
        <v>0</v>
      </c>
      <c r="H112" s="88"/>
      <c r="I112" s="20">
        <v>35</v>
      </c>
      <c r="J112" s="82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124</v>
      </c>
      <c r="C113" s="79">
        <f>+'5'!G113</f>
        <v>0</v>
      </c>
      <c r="D113" s="87">
        <v>0</v>
      </c>
      <c r="E113" s="47">
        <f t="shared" si="0"/>
        <v>0</v>
      </c>
      <c r="F113" s="87">
        <v>0</v>
      </c>
      <c r="G113" s="47">
        <f t="shared" si="11"/>
        <v>0</v>
      </c>
      <c r="H113" s="88"/>
      <c r="I113" s="20">
        <v>35</v>
      </c>
      <c r="J113" s="82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125</v>
      </c>
      <c r="C114" s="79">
        <f>+'5'!G114</f>
        <v>0</v>
      </c>
      <c r="D114" s="87">
        <v>0</v>
      </c>
      <c r="E114" s="47">
        <f t="shared" si="0"/>
        <v>0</v>
      </c>
      <c r="F114" s="87">
        <v>0</v>
      </c>
      <c r="G114" s="47">
        <f t="shared" si="11"/>
        <v>0</v>
      </c>
      <c r="H114" s="88"/>
      <c r="I114" s="20">
        <v>35</v>
      </c>
      <c r="J114" s="82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126</v>
      </c>
      <c r="C115" s="79">
        <f>+'5'!G115</f>
        <v>0</v>
      </c>
      <c r="D115" s="87">
        <v>0</v>
      </c>
      <c r="E115" s="47">
        <f t="shared" si="0"/>
        <v>0</v>
      </c>
      <c r="F115" s="87">
        <v>0</v>
      </c>
      <c r="G115" s="47">
        <f t="shared" si="11"/>
        <v>0</v>
      </c>
      <c r="H115" s="88"/>
      <c r="I115" s="20">
        <v>35</v>
      </c>
      <c r="J115" s="82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127</v>
      </c>
      <c r="C116" s="79">
        <f>+'5'!G116</f>
        <v>0</v>
      </c>
      <c r="D116" s="87">
        <v>0</v>
      </c>
      <c r="E116" s="47">
        <f t="shared" si="0"/>
        <v>0</v>
      </c>
      <c r="F116" s="87">
        <v>0</v>
      </c>
      <c r="G116" s="47">
        <f t="shared" si="11"/>
        <v>0</v>
      </c>
      <c r="H116" s="88"/>
      <c r="I116" s="20">
        <v>30</v>
      </c>
      <c r="J116" s="82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128</v>
      </c>
      <c r="C117" s="79">
        <f>+'5'!G117</f>
        <v>0</v>
      </c>
      <c r="D117" s="87">
        <v>0</v>
      </c>
      <c r="E117" s="47">
        <f t="shared" si="0"/>
        <v>0</v>
      </c>
      <c r="F117" s="87">
        <v>0</v>
      </c>
      <c r="G117" s="47">
        <f t="shared" si="11"/>
        <v>0</v>
      </c>
      <c r="H117" s="88"/>
      <c r="I117" s="20">
        <v>30</v>
      </c>
      <c r="J117" s="82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129</v>
      </c>
      <c r="C118" s="79">
        <f>+'5'!G118</f>
        <v>0</v>
      </c>
      <c r="D118" s="87">
        <v>0</v>
      </c>
      <c r="E118" s="47">
        <f t="shared" si="0"/>
        <v>0</v>
      </c>
      <c r="F118" s="87">
        <v>0</v>
      </c>
      <c r="G118" s="47">
        <f t="shared" si="11"/>
        <v>0</v>
      </c>
      <c r="H118" s="88"/>
      <c r="I118" s="20">
        <v>30</v>
      </c>
      <c r="J118" s="82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130</v>
      </c>
      <c r="C119" s="79">
        <f>+'5'!G119</f>
        <v>0</v>
      </c>
      <c r="D119" s="87">
        <v>0</v>
      </c>
      <c r="E119" s="47">
        <f t="shared" si="0"/>
        <v>0</v>
      </c>
      <c r="F119" s="87">
        <v>0</v>
      </c>
      <c r="G119" s="47">
        <f t="shared" si="11"/>
        <v>0</v>
      </c>
      <c r="H119" s="88"/>
      <c r="I119" s="20">
        <v>30</v>
      </c>
      <c r="J119" s="82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131</v>
      </c>
      <c r="C120" s="79">
        <f>+'5'!G120</f>
        <v>0</v>
      </c>
      <c r="D120" s="87">
        <v>0</v>
      </c>
      <c r="E120" s="47">
        <f t="shared" si="0"/>
        <v>0</v>
      </c>
      <c r="F120" s="87">
        <v>0</v>
      </c>
      <c r="G120" s="47">
        <f t="shared" si="11"/>
        <v>0</v>
      </c>
      <c r="H120" s="88"/>
      <c r="I120" s="20">
        <v>30</v>
      </c>
      <c r="J120" s="82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132</v>
      </c>
      <c r="C121" s="79">
        <f>+'5'!G121</f>
        <v>0</v>
      </c>
      <c r="D121" s="87">
        <v>0</v>
      </c>
      <c r="E121" s="47">
        <f t="shared" si="0"/>
        <v>0</v>
      </c>
      <c r="F121" s="87">
        <v>0</v>
      </c>
      <c r="G121" s="47">
        <f t="shared" si="11"/>
        <v>0</v>
      </c>
      <c r="H121" s="88"/>
      <c r="I121" s="20">
        <v>30</v>
      </c>
      <c r="J121" s="82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133</v>
      </c>
      <c r="C122" s="79">
        <f>+'5'!G122</f>
        <v>0</v>
      </c>
      <c r="D122" s="87">
        <v>0</v>
      </c>
      <c r="E122" s="47">
        <f t="shared" si="0"/>
        <v>0</v>
      </c>
      <c r="F122" s="87">
        <v>0</v>
      </c>
      <c r="G122" s="47">
        <f t="shared" si="11"/>
        <v>0</v>
      </c>
      <c r="H122" s="88"/>
      <c r="I122" s="20">
        <v>40</v>
      </c>
      <c r="J122" s="82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134</v>
      </c>
      <c r="C123" s="79">
        <f>+'5'!G123</f>
        <v>0</v>
      </c>
      <c r="D123" s="87">
        <v>0</v>
      </c>
      <c r="E123" s="47">
        <f t="shared" si="0"/>
        <v>0</v>
      </c>
      <c r="F123" s="87">
        <v>0</v>
      </c>
      <c r="G123" s="47">
        <f t="shared" si="11"/>
        <v>0</v>
      </c>
      <c r="H123" s="88"/>
      <c r="I123" s="20">
        <v>35</v>
      </c>
      <c r="J123" s="82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135</v>
      </c>
      <c r="C124" s="79">
        <f>+'5'!G124</f>
        <v>0</v>
      </c>
      <c r="D124" s="87">
        <v>0</v>
      </c>
      <c r="E124" s="47">
        <f t="shared" si="0"/>
        <v>0</v>
      </c>
      <c r="F124" s="87">
        <v>0</v>
      </c>
      <c r="G124" s="47">
        <f t="shared" si="11"/>
        <v>0</v>
      </c>
      <c r="H124" s="88"/>
      <c r="I124" s="20">
        <v>40</v>
      </c>
      <c r="J124" s="82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136</v>
      </c>
      <c r="C125" s="79">
        <f>+'5'!G125</f>
        <v>0</v>
      </c>
      <c r="D125" s="87">
        <v>0</v>
      </c>
      <c r="E125" s="47">
        <f t="shared" si="0"/>
        <v>0</v>
      </c>
      <c r="F125" s="87">
        <v>0</v>
      </c>
      <c r="G125" s="47">
        <f t="shared" si="11"/>
        <v>0</v>
      </c>
      <c r="H125" s="88"/>
      <c r="I125" s="20">
        <v>40</v>
      </c>
      <c r="J125" s="82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137</v>
      </c>
      <c r="C126" s="79">
        <f>+'5'!G126</f>
        <v>0</v>
      </c>
      <c r="D126" s="87">
        <v>0</v>
      </c>
      <c r="E126" s="47">
        <f t="shared" ref="E126:E189" si="13">C126+D126</f>
        <v>0</v>
      </c>
      <c r="F126" s="87">
        <v>0</v>
      </c>
      <c r="G126" s="47">
        <f t="shared" si="11"/>
        <v>0</v>
      </c>
      <c r="H126" s="88"/>
      <c r="I126" s="20">
        <v>30</v>
      </c>
      <c r="J126" s="82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138</v>
      </c>
      <c r="C127" s="79">
        <f>+'5'!G127</f>
        <v>0</v>
      </c>
      <c r="D127" s="87">
        <v>0</v>
      </c>
      <c r="E127" s="47">
        <f t="shared" si="13"/>
        <v>0</v>
      </c>
      <c r="F127" s="87">
        <v>0</v>
      </c>
      <c r="G127" s="47">
        <f t="shared" si="11"/>
        <v>0</v>
      </c>
      <c r="H127" s="88"/>
      <c r="I127" s="20">
        <v>40</v>
      </c>
      <c r="J127" s="82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139</v>
      </c>
      <c r="C128" s="79">
        <f>+'5'!G128</f>
        <v>87</v>
      </c>
      <c r="D128" s="87">
        <v>0</v>
      </c>
      <c r="E128" s="47">
        <f t="shared" si="13"/>
        <v>87</v>
      </c>
      <c r="F128" s="87">
        <v>0</v>
      </c>
      <c r="G128" s="47">
        <f t="shared" si="11"/>
        <v>87</v>
      </c>
      <c r="H128" s="88"/>
      <c r="I128" s="20">
        <v>10</v>
      </c>
      <c r="J128" s="82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140</v>
      </c>
      <c r="C129" s="79">
        <f>+'5'!G129</f>
        <v>0</v>
      </c>
      <c r="D129" s="87">
        <v>0</v>
      </c>
      <c r="E129" s="47">
        <f t="shared" si="13"/>
        <v>0</v>
      </c>
      <c r="F129" s="87">
        <v>0</v>
      </c>
      <c r="G129" s="47">
        <f t="shared" si="11"/>
        <v>0</v>
      </c>
      <c r="H129" s="88"/>
      <c r="I129" s="20">
        <v>35</v>
      </c>
      <c r="J129" s="82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141</v>
      </c>
      <c r="C130" s="79">
        <f>+'5'!G130</f>
        <v>0</v>
      </c>
      <c r="D130" s="87">
        <v>0</v>
      </c>
      <c r="E130" s="47">
        <f t="shared" si="13"/>
        <v>0</v>
      </c>
      <c r="F130" s="87">
        <v>0</v>
      </c>
      <c r="G130" s="47">
        <f t="shared" si="11"/>
        <v>0</v>
      </c>
      <c r="H130" s="88"/>
      <c r="I130" s="20">
        <v>40</v>
      </c>
      <c r="J130" s="82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142</v>
      </c>
      <c r="C131" s="79">
        <f>+'5'!G131</f>
        <v>0</v>
      </c>
      <c r="D131" s="87">
        <v>0</v>
      </c>
      <c r="E131" s="47">
        <f t="shared" si="13"/>
        <v>0</v>
      </c>
      <c r="F131" s="87">
        <v>0</v>
      </c>
      <c r="G131" s="47">
        <f t="shared" si="11"/>
        <v>0</v>
      </c>
      <c r="H131" s="88"/>
      <c r="I131" s="20">
        <v>50</v>
      </c>
      <c r="J131" s="82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143</v>
      </c>
      <c r="C132" s="79">
        <f>+'5'!G132</f>
        <v>0</v>
      </c>
      <c r="D132" s="87">
        <v>0</v>
      </c>
      <c r="E132" s="47">
        <f t="shared" si="13"/>
        <v>0</v>
      </c>
      <c r="F132" s="87">
        <v>0</v>
      </c>
      <c r="G132" s="47">
        <f t="shared" si="11"/>
        <v>0</v>
      </c>
      <c r="H132" s="88"/>
      <c r="I132" s="20">
        <v>55</v>
      </c>
      <c r="J132" s="82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144</v>
      </c>
      <c r="C133" s="79">
        <f>+'5'!G133</f>
        <v>0</v>
      </c>
      <c r="D133" s="87">
        <v>0</v>
      </c>
      <c r="E133" s="47">
        <f t="shared" si="13"/>
        <v>0</v>
      </c>
      <c r="F133" s="87">
        <v>0</v>
      </c>
      <c r="G133" s="47">
        <f t="shared" si="11"/>
        <v>0</v>
      </c>
      <c r="H133" s="88"/>
      <c r="I133" s="20">
        <v>55</v>
      </c>
      <c r="J133" s="82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145</v>
      </c>
      <c r="C134" s="79">
        <f>+'5'!G134</f>
        <v>0</v>
      </c>
      <c r="D134" s="87">
        <v>0</v>
      </c>
      <c r="E134" s="47">
        <f t="shared" si="13"/>
        <v>0</v>
      </c>
      <c r="F134" s="87">
        <v>0</v>
      </c>
      <c r="G134" s="47">
        <f t="shared" si="11"/>
        <v>0</v>
      </c>
      <c r="H134" s="88"/>
      <c r="I134" s="20">
        <v>45</v>
      </c>
      <c r="J134" s="82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5.5" x14ac:dyDescent="0.55000000000000004">
      <c r="A135" s="10">
        <v>131</v>
      </c>
      <c r="B135" s="19" t="s">
        <v>146</v>
      </c>
      <c r="C135" s="79">
        <f>+'5'!G135</f>
        <v>0</v>
      </c>
      <c r="D135" s="87">
        <v>0</v>
      </c>
      <c r="E135" s="47">
        <f t="shared" si="13"/>
        <v>0</v>
      </c>
      <c r="F135" s="87">
        <v>0</v>
      </c>
      <c r="G135" s="47">
        <f t="shared" si="11"/>
        <v>0</v>
      </c>
      <c r="H135" s="88"/>
      <c r="I135" s="20">
        <v>45</v>
      </c>
      <c r="J135" s="82">
        <f t="shared" si="12"/>
        <v>0</v>
      </c>
      <c r="K135" s="17" t="s">
        <v>16</v>
      </c>
      <c r="L135" s="18">
        <v>0</v>
      </c>
      <c r="M135" s="23">
        <f t="shared" ref="M135:M198" si="14">SUM(J135-L135)</f>
        <v>0</v>
      </c>
    </row>
    <row r="136" spans="1:13" ht="25.5" x14ac:dyDescent="0.55000000000000004">
      <c r="A136" s="10">
        <v>132</v>
      </c>
      <c r="B136" s="19" t="s">
        <v>147</v>
      </c>
      <c r="C136" s="79">
        <f>+'5'!G136</f>
        <v>0</v>
      </c>
      <c r="D136" s="87">
        <v>0</v>
      </c>
      <c r="E136" s="47">
        <f t="shared" si="13"/>
        <v>0</v>
      </c>
      <c r="F136" s="87">
        <v>0</v>
      </c>
      <c r="G136" s="47">
        <f t="shared" si="11"/>
        <v>0</v>
      </c>
      <c r="H136" s="88"/>
      <c r="I136" s="20">
        <v>55</v>
      </c>
      <c r="J136" s="82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148</v>
      </c>
      <c r="C137" s="79">
        <f>+'5'!G137</f>
        <v>0</v>
      </c>
      <c r="D137" s="87">
        <v>0</v>
      </c>
      <c r="E137" s="47">
        <f t="shared" si="13"/>
        <v>0</v>
      </c>
      <c r="F137" s="87">
        <v>0</v>
      </c>
      <c r="G137" s="47">
        <f t="shared" si="11"/>
        <v>0</v>
      </c>
      <c r="H137" s="88"/>
      <c r="I137" s="20">
        <v>45</v>
      </c>
      <c r="J137" s="82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149</v>
      </c>
      <c r="C138" s="79">
        <f>+'5'!G138</f>
        <v>0</v>
      </c>
      <c r="D138" s="87">
        <v>0</v>
      </c>
      <c r="E138" s="47">
        <f t="shared" si="13"/>
        <v>0</v>
      </c>
      <c r="F138" s="87">
        <v>0</v>
      </c>
      <c r="G138" s="47">
        <f t="shared" si="11"/>
        <v>0</v>
      </c>
      <c r="H138" s="88"/>
      <c r="I138" s="20">
        <v>45</v>
      </c>
      <c r="J138" s="82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150</v>
      </c>
      <c r="C139" s="79">
        <f>+'5'!G139</f>
        <v>0</v>
      </c>
      <c r="D139" s="87">
        <v>0</v>
      </c>
      <c r="E139" s="47">
        <f t="shared" si="13"/>
        <v>0</v>
      </c>
      <c r="F139" s="87">
        <v>0</v>
      </c>
      <c r="G139" s="47">
        <f t="shared" si="11"/>
        <v>0</v>
      </c>
      <c r="H139" s="88"/>
      <c r="I139" s="20">
        <v>45</v>
      </c>
      <c r="J139" s="82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151</v>
      </c>
      <c r="C140" s="79">
        <f>+'5'!G140</f>
        <v>0</v>
      </c>
      <c r="D140" s="87">
        <v>0</v>
      </c>
      <c r="E140" s="47">
        <f t="shared" si="13"/>
        <v>0</v>
      </c>
      <c r="F140" s="87">
        <v>0</v>
      </c>
      <c r="G140" s="47">
        <f t="shared" si="11"/>
        <v>0</v>
      </c>
      <c r="H140" s="88"/>
      <c r="I140" s="20">
        <v>45</v>
      </c>
      <c r="J140" s="82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152</v>
      </c>
      <c r="C141" s="79">
        <f>+'5'!G141</f>
        <v>0</v>
      </c>
      <c r="D141" s="87">
        <v>0</v>
      </c>
      <c r="E141" s="47">
        <f t="shared" si="13"/>
        <v>0</v>
      </c>
      <c r="F141" s="87">
        <v>0</v>
      </c>
      <c r="G141" s="47">
        <f t="shared" si="11"/>
        <v>0</v>
      </c>
      <c r="H141" s="88"/>
      <c r="I141" s="20">
        <v>45</v>
      </c>
      <c r="J141" s="82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153</v>
      </c>
      <c r="C142" s="79">
        <f>+'5'!G142</f>
        <v>0</v>
      </c>
      <c r="D142" s="87">
        <v>0</v>
      </c>
      <c r="E142" s="47">
        <f t="shared" si="13"/>
        <v>0</v>
      </c>
      <c r="F142" s="87">
        <v>0</v>
      </c>
      <c r="G142" s="47">
        <f t="shared" si="11"/>
        <v>0</v>
      </c>
      <c r="H142" s="88"/>
      <c r="I142" s="20">
        <v>45</v>
      </c>
      <c r="J142" s="82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154</v>
      </c>
      <c r="C143" s="79">
        <f>+'5'!G143</f>
        <v>0</v>
      </c>
      <c r="D143" s="87">
        <v>0</v>
      </c>
      <c r="E143" s="47">
        <f t="shared" si="13"/>
        <v>0</v>
      </c>
      <c r="F143" s="87">
        <v>0</v>
      </c>
      <c r="G143" s="47">
        <f t="shared" si="11"/>
        <v>0</v>
      </c>
      <c r="H143" s="88"/>
      <c r="I143" s="20">
        <v>120</v>
      </c>
      <c r="J143" s="82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155</v>
      </c>
      <c r="C144" s="79">
        <f>+'5'!G144</f>
        <v>0</v>
      </c>
      <c r="D144" s="87">
        <v>0</v>
      </c>
      <c r="E144" s="47">
        <f t="shared" si="13"/>
        <v>0</v>
      </c>
      <c r="F144" s="87">
        <v>0</v>
      </c>
      <c r="G144" s="47">
        <f t="shared" si="11"/>
        <v>0</v>
      </c>
      <c r="H144" s="88"/>
      <c r="I144" s="20">
        <v>120</v>
      </c>
      <c r="J144" s="82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156</v>
      </c>
      <c r="C145" s="79">
        <f>+'5'!G145</f>
        <v>0</v>
      </c>
      <c r="D145" s="87">
        <v>0</v>
      </c>
      <c r="E145" s="47">
        <f t="shared" si="13"/>
        <v>0</v>
      </c>
      <c r="F145" s="87">
        <v>0</v>
      </c>
      <c r="G145" s="47">
        <f t="shared" si="11"/>
        <v>0</v>
      </c>
      <c r="H145" s="88"/>
      <c r="I145" s="20">
        <v>120</v>
      </c>
      <c r="J145" s="82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157</v>
      </c>
      <c r="C146" s="79">
        <f>+'5'!G146</f>
        <v>0</v>
      </c>
      <c r="D146" s="87">
        <v>0</v>
      </c>
      <c r="E146" s="47">
        <f t="shared" si="13"/>
        <v>0</v>
      </c>
      <c r="F146" s="87">
        <v>0</v>
      </c>
      <c r="G146" s="47">
        <f t="shared" si="11"/>
        <v>0</v>
      </c>
      <c r="H146" s="88"/>
      <c r="I146" s="20">
        <v>120</v>
      </c>
      <c r="J146" s="82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158</v>
      </c>
      <c r="C147" s="79">
        <f>+'5'!G147</f>
        <v>0</v>
      </c>
      <c r="D147" s="87">
        <v>0</v>
      </c>
      <c r="E147" s="47">
        <f t="shared" si="13"/>
        <v>0</v>
      </c>
      <c r="F147" s="87">
        <v>0</v>
      </c>
      <c r="G147" s="47">
        <f t="shared" si="11"/>
        <v>0</v>
      </c>
      <c r="H147" s="88"/>
      <c r="I147" s="20">
        <v>185</v>
      </c>
      <c r="J147" s="82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159</v>
      </c>
      <c r="C148" s="79">
        <f>+'5'!G148</f>
        <v>0</v>
      </c>
      <c r="D148" s="87">
        <v>0</v>
      </c>
      <c r="E148" s="47">
        <f t="shared" si="13"/>
        <v>0</v>
      </c>
      <c r="F148" s="87">
        <v>0</v>
      </c>
      <c r="G148" s="47">
        <f t="shared" si="11"/>
        <v>0</v>
      </c>
      <c r="H148" s="88"/>
      <c r="I148" s="20">
        <v>185</v>
      </c>
      <c r="J148" s="82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160</v>
      </c>
      <c r="C149" s="79">
        <f>+'5'!G149</f>
        <v>0</v>
      </c>
      <c r="D149" s="87">
        <v>0</v>
      </c>
      <c r="E149" s="47">
        <f t="shared" si="13"/>
        <v>0</v>
      </c>
      <c r="F149" s="87">
        <v>0</v>
      </c>
      <c r="G149" s="47">
        <f t="shared" si="11"/>
        <v>0</v>
      </c>
      <c r="H149" s="88"/>
      <c r="I149" s="20">
        <v>185</v>
      </c>
      <c r="J149" s="82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161</v>
      </c>
      <c r="C150" s="79">
        <f>+'5'!G150</f>
        <v>0</v>
      </c>
      <c r="D150" s="87">
        <v>0</v>
      </c>
      <c r="E150" s="47">
        <f t="shared" si="13"/>
        <v>0</v>
      </c>
      <c r="F150" s="87">
        <v>0</v>
      </c>
      <c r="G150" s="47">
        <f t="shared" si="11"/>
        <v>0</v>
      </c>
      <c r="H150" s="88"/>
      <c r="I150" s="20">
        <v>185</v>
      </c>
      <c r="J150" s="82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5.5" x14ac:dyDescent="0.55000000000000004">
      <c r="A151" s="10">
        <v>147</v>
      </c>
      <c r="B151" s="19" t="s">
        <v>279</v>
      </c>
      <c r="C151" s="79">
        <f>+'5'!G151</f>
        <v>0</v>
      </c>
      <c r="D151" s="87">
        <v>0</v>
      </c>
      <c r="E151" s="47">
        <f t="shared" si="13"/>
        <v>0</v>
      </c>
      <c r="F151" s="87">
        <v>0</v>
      </c>
      <c r="G151" s="47">
        <f t="shared" si="11"/>
        <v>0</v>
      </c>
      <c r="H151" s="88"/>
      <c r="I151" s="20">
        <v>150</v>
      </c>
      <c r="J151" s="82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280</v>
      </c>
      <c r="C152" s="79">
        <f>+'5'!G152</f>
        <v>1</v>
      </c>
      <c r="D152" s="87">
        <v>0</v>
      </c>
      <c r="E152" s="47">
        <f t="shared" si="13"/>
        <v>1</v>
      </c>
      <c r="F152" s="87">
        <v>0</v>
      </c>
      <c r="G152" s="47">
        <f t="shared" si="11"/>
        <v>1</v>
      </c>
      <c r="H152" s="88"/>
      <c r="I152" s="20">
        <v>150</v>
      </c>
      <c r="J152" s="82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5.5" x14ac:dyDescent="0.55000000000000004">
      <c r="A153" s="10">
        <v>149</v>
      </c>
      <c r="B153" s="19" t="s">
        <v>281</v>
      </c>
      <c r="C153" s="79">
        <f>+'5'!G153</f>
        <v>2</v>
      </c>
      <c r="D153" s="87">
        <v>0</v>
      </c>
      <c r="E153" s="47">
        <f t="shared" si="13"/>
        <v>2</v>
      </c>
      <c r="F153" s="87">
        <v>0</v>
      </c>
      <c r="G153" s="47">
        <f t="shared" si="11"/>
        <v>2</v>
      </c>
      <c r="H153" s="88"/>
      <c r="I153" s="20">
        <v>150</v>
      </c>
      <c r="J153" s="82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282</v>
      </c>
      <c r="C154" s="79">
        <f>+'5'!G154</f>
        <v>0</v>
      </c>
      <c r="D154" s="87">
        <v>0</v>
      </c>
      <c r="E154" s="47">
        <f t="shared" si="13"/>
        <v>0</v>
      </c>
      <c r="F154" s="87">
        <v>0</v>
      </c>
      <c r="G154" s="47">
        <f t="shared" si="11"/>
        <v>0</v>
      </c>
      <c r="H154" s="88"/>
      <c r="I154" s="20">
        <v>150</v>
      </c>
      <c r="J154" s="82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166</v>
      </c>
      <c r="C155" s="79">
        <f>+'5'!G155</f>
        <v>0</v>
      </c>
      <c r="D155" s="87">
        <v>0</v>
      </c>
      <c r="E155" s="47">
        <f t="shared" si="13"/>
        <v>0</v>
      </c>
      <c r="F155" s="87">
        <v>0</v>
      </c>
      <c r="G155" s="47">
        <f t="shared" si="11"/>
        <v>0</v>
      </c>
      <c r="H155" s="88"/>
      <c r="I155" s="20">
        <v>185</v>
      </c>
      <c r="J155" s="82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167</v>
      </c>
      <c r="C156" s="79">
        <f>+'5'!G156</f>
        <v>0</v>
      </c>
      <c r="D156" s="87">
        <v>0</v>
      </c>
      <c r="E156" s="47">
        <f t="shared" si="13"/>
        <v>0</v>
      </c>
      <c r="F156" s="87">
        <v>0</v>
      </c>
      <c r="G156" s="47">
        <f t="shared" si="11"/>
        <v>0</v>
      </c>
      <c r="H156" s="88"/>
      <c r="I156" s="20">
        <v>185</v>
      </c>
      <c r="J156" s="82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168</v>
      </c>
      <c r="C157" s="79">
        <f>+'5'!G157</f>
        <v>0</v>
      </c>
      <c r="D157" s="87">
        <v>0</v>
      </c>
      <c r="E157" s="47">
        <f t="shared" si="13"/>
        <v>0</v>
      </c>
      <c r="F157" s="87">
        <v>0</v>
      </c>
      <c r="G157" s="47">
        <f t="shared" si="11"/>
        <v>0</v>
      </c>
      <c r="H157" s="88"/>
      <c r="I157" s="20">
        <v>185</v>
      </c>
      <c r="J157" s="82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169</v>
      </c>
      <c r="C158" s="79">
        <f>+'5'!G158</f>
        <v>0</v>
      </c>
      <c r="D158" s="87">
        <v>0</v>
      </c>
      <c r="E158" s="47">
        <f t="shared" si="13"/>
        <v>0</v>
      </c>
      <c r="F158" s="87">
        <v>0</v>
      </c>
      <c r="G158" s="47">
        <f t="shared" si="11"/>
        <v>0</v>
      </c>
      <c r="H158" s="88"/>
      <c r="I158" s="20">
        <v>185</v>
      </c>
      <c r="J158" s="82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170</v>
      </c>
      <c r="C159" s="79">
        <f>+'5'!G159</f>
        <v>0</v>
      </c>
      <c r="D159" s="87">
        <v>0</v>
      </c>
      <c r="E159" s="47">
        <f t="shared" si="13"/>
        <v>0</v>
      </c>
      <c r="F159" s="87">
        <v>0</v>
      </c>
      <c r="G159" s="47">
        <f t="shared" si="11"/>
        <v>0</v>
      </c>
      <c r="H159" s="88"/>
      <c r="I159" s="20">
        <v>135</v>
      </c>
      <c r="J159" s="82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171</v>
      </c>
      <c r="C160" s="79">
        <f>+'5'!G160</f>
        <v>0</v>
      </c>
      <c r="D160" s="87">
        <v>0</v>
      </c>
      <c r="E160" s="47">
        <f t="shared" si="13"/>
        <v>0</v>
      </c>
      <c r="F160" s="87">
        <v>0</v>
      </c>
      <c r="G160" s="47">
        <f t="shared" si="11"/>
        <v>0</v>
      </c>
      <c r="H160" s="88"/>
      <c r="I160" s="20">
        <v>90</v>
      </c>
      <c r="J160" s="82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172</v>
      </c>
      <c r="C161" s="79">
        <f>+'5'!G161</f>
        <v>0</v>
      </c>
      <c r="D161" s="87">
        <v>0</v>
      </c>
      <c r="E161" s="47">
        <f t="shared" si="13"/>
        <v>0</v>
      </c>
      <c r="F161" s="87">
        <v>0</v>
      </c>
      <c r="G161" s="47">
        <f t="shared" si="11"/>
        <v>0</v>
      </c>
      <c r="H161" s="88"/>
      <c r="I161" s="20">
        <v>90</v>
      </c>
      <c r="J161" s="82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173</v>
      </c>
      <c r="C162" s="79">
        <f>+'5'!G162</f>
        <v>0</v>
      </c>
      <c r="D162" s="87">
        <v>0</v>
      </c>
      <c r="E162" s="47">
        <f t="shared" si="13"/>
        <v>0</v>
      </c>
      <c r="F162" s="87">
        <v>0</v>
      </c>
      <c r="G162" s="47">
        <f t="shared" si="11"/>
        <v>0</v>
      </c>
      <c r="H162" s="88"/>
      <c r="I162" s="20">
        <v>90</v>
      </c>
      <c r="J162" s="82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174</v>
      </c>
      <c r="C163" s="79">
        <f>+'5'!G163</f>
        <v>0</v>
      </c>
      <c r="D163" s="87">
        <v>0</v>
      </c>
      <c r="E163" s="47">
        <f t="shared" si="13"/>
        <v>0</v>
      </c>
      <c r="F163" s="87">
        <v>0</v>
      </c>
      <c r="G163" s="47">
        <f t="shared" si="11"/>
        <v>0</v>
      </c>
      <c r="H163" s="88"/>
      <c r="I163" s="20">
        <v>90</v>
      </c>
      <c r="J163" s="82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175</v>
      </c>
      <c r="C164" s="79">
        <f>+'5'!G164</f>
        <v>0</v>
      </c>
      <c r="D164" s="87">
        <v>0</v>
      </c>
      <c r="E164" s="47">
        <f t="shared" si="13"/>
        <v>0</v>
      </c>
      <c r="F164" s="87">
        <v>0</v>
      </c>
      <c r="G164" s="47">
        <f t="shared" si="11"/>
        <v>0</v>
      </c>
      <c r="H164" s="88"/>
      <c r="I164" s="20">
        <v>25</v>
      </c>
      <c r="J164" s="82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176</v>
      </c>
      <c r="C165" s="79">
        <f>+'5'!G165</f>
        <v>0</v>
      </c>
      <c r="D165" s="87">
        <v>0</v>
      </c>
      <c r="E165" s="47">
        <f t="shared" si="13"/>
        <v>0</v>
      </c>
      <c r="F165" s="87">
        <v>0</v>
      </c>
      <c r="G165" s="47">
        <f t="shared" ref="G165:G227" si="15">+E165-F165-H165</f>
        <v>0</v>
      </c>
      <c r="H165" s="88"/>
      <c r="I165" s="20">
        <v>50</v>
      </c>
      <c r="J165" s="82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177</v>
      </c>
      <c r="C166" s="79">
        <f>+'5'!G166</f>
        <v>0</v>
      </c>
      <c r="D166" s="87">
        <v>0</v>
      </c>
      <c r="E166" s="47">
        <f t="shared" si="13"/>
        <v>0</v>
      </c>
      <c r="F166" s="87">
        <v>0</v>
      </c>
      <c r="G166" s="47">
        <f t="shared" si="15"/>
        <v>0</v>
      </c>
      <c r="H166" s="88"/>
      <c r="I166" s="20">
        <v>50</v>
      </c>
      <c r="J166" s="82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178</v>
      </c>
      <c r="C167" s="79">
        <f>+'5'!G167</f>
        <v>0</v>
      </c>
      <c r="D167" s="87">
        <v>0</v>
      </c>
      <c r="E167" s="47">
        <f t="shared" si="13"/>
        <v>0</v>
      </c>
      <c r="F167" s="87">
        <v>0</v>
      </c>
      <c r="G167" s="47">
        <f t="shared" si="15"/>
        <v>0</v>
      </c>
      <c r="H167" s="88"/>
      <c r="I167" s="20">
        <v>50</v>
      </c>
      <c r="J167" s="82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179</v>
      </c>
      <c r="C168" s="79">
        <f>+'5'!G168</f>
        <v>7</v>
      </c>
      <c r="D168" s="87">
        <v>0</v>
      </c>
      <c r="E168" s="47">
        <f t="shared" si="13"/>
        <v>7</v>
      </c>
      <c r="F168" s="87">
        <v>0</v>
      </c>
      <c r="G168" s="47">
        <f t="shared" si="15"/>
        <v>7</v>
      </c>
      <c r="H168" s="88"/>
      <c r="I168" s="20">
        <v>50</v>
      </c>
      <c r="J168" s="82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180</v>
      </c>
      <c r="C169" s="79">
        <f>+'5'!G169</f>
        <v>49</v>
      </c>
      <c r="D169" s="87">
        <v>0</v>
      </c>
      <c r="E169" s="47">
        <f t="shared" si="13"/>
        <v>49</v>
      </c>
      <c r="F169" s="87">
        <v>0</v>
      </c>
      <c r="G169" s="47">
        <f t="shared" si="15"/>
        <v>49</v>
      </c>
      <c r="H169" s="88"/>
      <c r="I169" s="20">
        <v>55</v>
      </c>
      <c r="J169" s="82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181</v>
      </c>
      <c r="C170" s="79">
        <f>+'5'!G170</f>
        <v>0</v>
      </c>
      <c r="D170" s="87">
        <v>0</v>
      </c>
      <c r="E170" s="47">
        <f t="shared" si="13"/>
        <v>0</v>
      </c>
      <c r="F170" s="87">
        <v>0</v>
      </c>
      <c r="G170" s="47">
        <f t="shared" si="15"/>
        <v>0</v>
      </c>
      <c r="H170" s="88"/>
      <c r="I170" s="20">
        <v>85</v>
      </c>
      <c r="J170" s="82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182</v>
      </c>
      <c r="C171" s="79">
        <f>+'5'!G171</f>
        <v>11</v>
      </c>
      <c r="D171" s="87">
        <v>0</v>
      </c>
      <c r="E171" s="47">
        <f t="shared" si="13"/>
        <v>11</v>
      </c>
      <c r="F171" s="87">
        <v>0</v>
      </c>
      <c r="G171" s="47">
        <f t="shared" si="15"/>
        <v>11</v>
      </c>
      <c r="H171" s="88"/>
      <c r="I171" s="20">
        <v>80</v>
      </c>
      <c r="J171" s="82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183</v>
      </c>
      <c r="C172" s="79">
        <f>+'5'!G172</f>
        <v>0</v>
      </c>
      <c r="D172" s="87">
        <v>0</v>
      </c>
      <c r="E172" s="47">
        <f t="shared" si="13"/>
        <v>0</v>
      </c>
      <c r="F172" s="87">
        <v>0</v>
      </c>
      <c r="G172" s="47">
        <f t="shared" si="15"/>
        <v>0</v>
      </c>
      <c r="H172" s="88"/>
      <c r="I172" s="20">
        <v>40</v>
      </c>
      <c r="J172" s="82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184</v>
      </c>
      <c r="C173" s="79">
        <f>+'5'!G173</f>
        <v>0</v>
      </c>
      <c r="D173" s="87">
        <v>0</v>
      </c>
      <c r="E173" s="47">
        <f t="shared" si="13"/>
        <v>0</v>
      </c>
      <c r="F173" s="87">
        <v>0</v>
      </c>
      <c r="G173" s="47">
        <f t="shared" si="15"/>
        <v>0</v>
      </c>
      <c r="H173" s="88"/>
      <c r="I173" s="20">
        <v>120</v>
      </c>
      <c r="J173" s="82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185</v>
      </c>
      <c r="C174" s="79">
        <f>+'5'!G174</f>
        <v>0</v>
      </c>
      <c r="D174" s="87">
        <v>0</v>
      </c>
      <c r="E174" s="47">
        <f t="shared" si="13"/>
        <v>0</v>
      </c>
      <c r="F174" s="87">
        <v>0</v>
      </c>
      <c r="G174" s="47">
        <f t="shared" si="15"/>
        <v>0</v>
      </c>
      <c r="H174" s="88"/>
      <c r="I174" s="20">
        <v>120</v>
      </c>
      <c r="J174" s="82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186</v>
      </c>
      <c r="C175" s="79">
        <f>+'5'!G175</f>
        <v>0</v>
      </c>
      <c r="D175" s="87">
        <v>0</v>
      </c>
      <c r="E175" s="47">
        <f t="shared" si="13"/>
        <v>0</v>
      </c>
      <c r="F175" s="87">
        <v>0</v>
      </c>
      <c r="G175" s="47">
        <f t="shared" si="15"/>
        <v>0</v>
      </c>
      <c r="H175" s="88"/>
      <c r="I175" s="20">
        <v>55</v>
      </c>
      <c r="J175" s="82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187</v>
      </c>
      <c r="C176" s="79">
        <f>+'5'!G176</f>
        <v>0</v>
      </c>
      <c r="D176" s="87">
        <v>0</v>
      </c>
      <c r="E176" s="47">
        <f t="shared" si="13"/>
        <v>0</v>
      </c>
      <c r="F176" s="87">
        <v>0</v>
      </c>
      <c r="G176" s="47">
        <f t="shared" si="15"/>
        <v>0</v>
      </c>
      <c r="H176" s="88"/>
      <c r="I176" s="20">
        <v>50</v>
      </c>
      <c r="J176" s="82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188</v>
      </c>
      <c r="C177" s="79">
        <f>+'5'!G177</f>
        <v>2</v>
      </c>
      <c r="D177" s="87">
        <v>5</v>
      </c>
      <c r="E177" s="47">
        <f t="shared" si="13"/>
        <v>7</v>
      </c>
      <c r="F177" s="87">
        <v>0</v>
      </c>
      <c r="G177" s="47">
        <f t="shared" si="15"/>
        <v>6</v>
      </c>
      <c r="H177" s="88">
        <v>1</v>
      </c>
      <c r="I177" s="20">
        <v>50</v>
      </c>
      <c r="J177" s="82">
        <f t="shared" si="16"/>
        <v>50</v>
      </c>
      <c r="K177" s="17" t="s">
        <v>16</v>
      </c>
      <c r="L177" s="18">
        <v>0</v>
      </c>
      <c r="M177" s="23">
        <f t="shared" si="14"/>
        <v>50</v>
      </c>
    </row>
    <row r="178" spans="1:13" ht="25.5" x14ac:dyDescent="0.55000000000000004">
      <c r="A178" s="10">
        <v>174</v>
      </c>
      <c r="B178" s="19" t="s">
        <v>189</v>
      </c>
      <c r="C178" s="79">
        <f>+'5'!G178</f>
        <v>0</v>
      </c>
      <c r="D178" s="87">
        <v>5</v>
      </c>
      <c r="E178" s="47">
        <f t="shared" si="13"/>
        <v>5</v>
      </c>
      <c r="F178" s="87">
        <v>0</v>
      </c>
      <c r="G178" s="47">
        <f t="shared" si="15"/>
        <v>5</v>
      </c>
      <c r="H178" s="88"/>
      <c r="I178" s="20">
        <v>120</v>
      </c>
      <c r="J178" s="82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190</v>
      </c>
      <c r="C179" s="79">
        <f>+'5'!G179</f>
        <v>0</v>
      </c>
      <c r="D179" s="87">
        <v>0</v>
      </c>
      <c r="E179" s="47">
        <f t="shared" si="13"/>
        <v>0</v>
      </c>
      <c r="F179" s="87">
        <v>0</v>
      </c>
      <c r="G179" s="47">
        <f t="shared" si="15"/>
        <v>0</v>
      </c>
      <c r="H179" s="88"/>
      <c r="I179" s="20">
        <v>120</v>
      </c>
      <c r="J179" s="82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191</v>
      </c>
      <c r="C180" s="79">
        <f>+'5'!G180</f>
        <v>0</v>
      </c>
      <c r="D180" s="87">
        <v>0</v>
      </c>
      <c r="E180" s="47">
        <f t="shared" si="13"/>
        <v>0</v>
      </c>
      <c r="F180" s="87">
        <v>0</v>
      </c>
      <c r="G180" s="47">
        <f t="shared" si="15"/>
        <v>0</v>
      </c>
      <c r="H180" s="88"/>
      <c r="I180" s="20">
        <v>10</v>
      </c>
      <c r="J180" s="82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192</v>
      </c>
      <c r="C181" s="79">
        <f>+'5'!G181</f>
        <v>0</v>
      </c>
      <c r="D181" s="87">
        <v>0</v>
      </c>
      <c r="E181" s="47">
        <f t="shared" si="13"/>
        <v>0</v>
      </c>
      <c r="F181" s="87">
        <v>0</v>
      </c>
      <c r="G181" s="47">
        <f t="shared" si="15"/>
        <v>0</v>
      </c>
      <c r="H181" s="88"/>
      <c r="I181" s="20">
        <v>35</v>
      </c>
      <c r="J181" s="82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193</v>
      </c>
      <c r="C182" s="79">
        <f>+'5'!G182</f>
        <v>0</v>
      </c>
      <c r="D182" s="87">
        <v>0</v>
      </c>
      <c r="E182" s="47">
        <f t="shared" si="13"/>
        <v>0</v>
      </c>
      <c r="F182" s="87">
        <v>0</v>
      </c>
      <c r="G182" s="47">
        <f t="shared" si="15"/>
        <v>0</v>
      </c>
      <c r="H182" s="88"/>
      <c r="I182" s="20">
        <v>10</v>
      </c>
      <c r="J182" s="82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194</v>
      </c>
      <c r="C183" s="79">
        <f>+'5'!G183</f>
        <v>0</v>
      </c>
      <c r="D183" s="87">
        <v>0</v>
      </c>
      <c r="E183" s="47">
        <f t="shared" si="13"/>
        <v>0</v>
      </c>
      <c r="F183" s="87">
        <v>0</v>
      </c>
      <c r="G183" s="47">
        <f t="shared" si="15"/>
        <v>0</v>
      </c>
      <c r="H183" s="88"/>
      <c r="I183" s="20">
        <v>10</v>
      </c>
      <c r="J183" s="82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195</v>
      </c>
      <c r="C184" s="79">
        <f>+'5'!G184</f>
        <v>0</v>
      </c>
      <c r="D184" s="87">
        <v>0</v>
      </c>
      <c r="E184" s="47">
        <f t="shared" si="13"/>
        <v>0</v>
      </c>
      <c r="F184" s="87">
        <v>0</v>
      </c>
      <c r="G184" s="47">
        <f t="shared" si="15"/>
        <v>0</v>
      </c>
      <c r="H184" s="88"/>
      <c r="I184" s="20">
        <v>10</v>
      </c>
      <c r="J184" s="82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196</v>
      </c>
      <c r="C185" s="79">
        <f>+'5'!G185</f>
        <v>0</v>
      </c>
      <c r="D185" s="87">
        <v>0</v>
      </c>
      <c r="E185" s="47">
        <f t="shared" si="13"/>
        <v>0</v>
      </c>
      <c r="F185" s="87">
        <v>0</v>
      </c>
      <c r="G185" s="47">
        <f t="shared" si="15"/>
        <v>0</v>
      </c>
      <c r="H185" s="88"/>
      <c r="I185" s="20">
        <v>10</v>
      </c>
      <c r="J185" s="82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197</v>
      </c>
      <c r="C186" s="79">
        <f>+'5'!G186</f>
        <v>0</v>
      </c>
      <c r="D186" s="87">
        <v>0</v>
      </c>
      <c r="E186" s="47">
        <f t="shared" si="13"/>
        <v>0</v>
      </c>
      <c r="F186" s="87">
        <v>0</v>
      </c>
      <c r="G186" s="47">
        <f t="shared" si="15"/>
        <v>0</v>
      </c>
      <c r="H186" s="88"/>
      <c r="I186" s="20">
        <v>10</v>
      </c>
      <c r="J186" s="82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198</v>
      </c>
      <c r="C187" s="79">
        <f>+'5'!G187</f>
        <v>0</v>
      </c>
      <c r="D187" s="87">
        <v>0</v>
      </c>
      <c r="E187" s="47">
        <f t="shared" si="13"/>
        <v>0</v>
      </c>
      <c r="F187" s="87">
        <v>0</v>
      </c>
      <c r="G187" s="47">
        <f t="shared" si="15"/>
        <v>0</v>
      </c>
      <c r="H187" s="88"/>
      <c r="I187" s="20">
        <v>25</v>
      </c>
      <c r="J187" s="82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249</v>
      </c>
      <c r="C188" s="79">
        <f>+'5'!G188</f>
        <v>0</v>
      </c>
      <c r="D188" s="87">
        <v>0</v>
      </c>
      <c r="E188" s="47">
        <f t="shared" si="13"/>
        <v>0</v>
      </c>
      <c r="F188" s="87">
        <v>0</v>
      </c>
      <c r="G188" s="47">
        <f t="shared" si="15"/>
        <v>0</v>
      </c>
      <c r="H188" s="88"/>
      <c r="I188" s="15">
        <v>50</v>
      </c>
      <c r="J188" s="82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250</v>
      </c>
      <c r="C189" s="79">
        <f>+'5'!G189</f>
        <v>0</v>
      </c>
      <c r="D189" s="87">
        <v>0</v>
      </c>
      <c r="E189" s="47">
        <f t="shared" si="13"/>
        <v>0</v>
      </c>
      <c r="F189" s="87">
        <v>0</v>
      </c>
      <c r="G189" s="47">
        <f t="shared" si="15"/>
        <v>0</v>
      </c>
      <c r="H189" s="88"/>
      <c r="I189" s="15">
        <v>10</v>
      </c>
      <c r="J189" s="82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251</v>
      </c>
      <c r="C190" s="79">
        <f>+'5'!G190</f>
        <v>0</v>
      </c>
      <c r="D190" s="87">
        <v>0</v>
      </c>
      <c r="E190" s="47">
        <f t="shared" ref="E190:E252" si="17">C190+D190</f>
        <v>0</v>
      </c>
      <c r="F190" s="87">
        <v>0</v>
      </c>
      <c r="G190" s="47">
        <f t="shared" si="15"/>
        <v>0</v>
      </c>
      <c r="H190" s="88"/>
      <c r="I190" s="15">
        <v>15</v>
      </c>
      <c r="J190" s="82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252</v>
      </c>
      <c r="C191" s="79">
        <f>+'5'!G191</f>
        <v>0</v>
      </c>
      <c r="D191" s="87">
        <v>0</v>
      </c>
      <c r="E191" s="47">
        <f t="shared" si="17"/>
        <v>0</v>
      </c>
      <c r="F191" s="87">
        <v>0</v>
      </c>
      <c r="G191" s="47">
        <f t="shared" si="15"/>
        <v>0</v>
      </c>
      <c r="H191" s="88"/>
      <c r="I191" s="15">
        <v>25</v>
      </c>
      <c r="J191" s="82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253</v>
      </c>
      <c r="C192" s="79">
        <f>+'5'!G192</f>
        <v>0</v>
      </c>
      <c r="D192" s="87">
        <v>0</v>
      </c>
      <c r="E192" s="47">
        <f t="shared" si="17"/>
        <v>0</v>
      </c>
      <c r="F192" s="87">
        <v>0</v>
      </c>
      <c r="G192" s="47">
        <f t="shared" si="15"/>
        <v>0</v>
      </c>
      <c r="H192" s="88"/>
      <c r="I192" s="15">
        <v>50</v>
      </c>
      <c r="J192" s="82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254</v>
      </c>
      <c r="C193" s="79">
        <f>+'5'!G193</f>
        <v>0</v>
      </c>
      <c r="D193" s="87">
        <v>0</v>
      </c>
      <c r="E193" s="47">
        <f t="shared" si="17"/>
        <v>0</v>
      </c>
      <c r="F193" s="87">
        <v>0</v>
      </c>
      <c r="G193" s="47">
        <f t="shared" si="15"/>
        <v>0</v>
      </c>
      <c r="H193" s="88"/>
      <c r="I193" s="15">
        <v>45</v>
      </c>
      <c r="J193" s="82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255</v>
      </c>
      <c r="C194" s="79">
        <f>+'5'!G194</f>
        <v>0</v>
      </c>
      <c r="D194" s="87">
        <v>0</v>
      </c>
      <c r="E194" s="47">
        <f t="shared" si="17"/>
        <v>0</v>
      </c>
      <c r="F194" s="87">
        <v>0</v>
      </c>
      <c r="G194" s="47">
        <f t="shared" si="15"/>
        <v>0</v>
      </c>
      <c r="H194" s="88"/>
      <c r="I194" s="15">
        <v>50</v>
      </c>
      <c r="J194" s="82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199</v>
      </c>
      <c r="C195" s="79">
        <f>+'5'!G195</f>
        <v>0</v>
      </c>
      <c r="D195" s="87">
        <v>0</v>
      </c>
      <c r="E195" s="47">
        <f t="shared" si="17"/>
        <v>0</v>
      </c>
      <c r="F195" s="87">
        <v>0</v>
      </c>
      <c r="G195" s="47">
        <f t="shared" si="15"/>
        <v>0</v>
      </c>
      <c r="H195" s="88"/>
      <c r="I195" s="15">
        <v>150</v>
      </c>
      <c r="J195" s="82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200</v>
      </c>
      <c r="C196" s="79">
        <f>+'5'!G196</f>
        <v>0</v>
      </c>
      <c r="D196" s="87">
        <v>0</v>
      </c>
      <c r="E196" s="47">
        <f t="shared" si="17"/>
        <v>0</v>
      </c>
      <c r="F196" s="87">
        <v>0</v>
      </c>
      <c r="G196" s="47">
        <f t="shared" si="15"/>
        <v>0</v>
      </c>
      <c r="H196" s="88"/>
      <c r="I196" s="15">
        <v>150</v>
      </c>
      <c r="J196" s="82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201</v>
      </c>
      <c r="C197" s="79">
        <f>+'5'!G197</f>
        <v>0</v>
      </c>
      <c r="D197" s="87">
        <v>0</v>
      </c>
      <c r="E197" s="47">
        <f t="shared" si="17"/>
        <v>0</v>
      </c>
      <c r="F197" s="87">
        <v>0</v>
      </c>
      <c r="G197" s="47">
        <f t="shared" si="15"/>
        <v>0</v>
      </c>
      <c r="H197" s="88"/>
      <c r="I197" s="15">
        <v>150</v>
      </c>
      <c r="J197" s="82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256</v>
      </c>
      <c r="C198" s="79">
        <f>+'5'!G198</f>
        <v>0</v>
      </c>
      <c r="D198" s="87">
        <v>0</v>
      </c>
      <c r="E198" s="47">
        <f t="shared" si="17"/>
        <v>0</v>
      </c>
      <c r="F198" s="87">
        <v>0</v>
      </c>
      <c r="G198" s="47">
        <f t="shared" si="15"/>
        <v>0</v>
      </c>
      <c r="H198" s="88"/>
      <c r="I198" s="15">
        <v>55</v>
      </c>
      <c r="J198" s="82">
        <f t="shared" si="16"/>
        <v>0</v>
      </c>
      <c r="K198" s="17" t="s">
        <v>16</v>
      </c>
      <c r="L198" s="18">
        <v>0</v>
      </c>
      <c r="M198" s="23">
        <f t="shared" si="14"/>
        <v>0</v>
      </c>
    </row>
    <row r="199" spans="1:13" ht="25.5" x14ac:dyDescent="0.55000000000000004">
      <c r="A199" s="10">
        <v>195</v>
      </c>
      <c r="B199" s="19" t="s">
        <v>257</v>
      </c>
      <c r="C199" s="79">
        <f>+'5'!G199</f>
        <v>0</v>
      </c>
      <c r="D199" s="87">
        <v>0</v>
      </c>
      <c r="E199" s="47">
        <f t="shared" si="17"/>
        <v>0</v>
      </c>
      <c r="F199" s="87">
        <v>0</v>
      </c>
      <c r="G199" s="47">
        <f t="shared" si="15"/>
        <v>0</v>
      </c>
      <c r="H199" s="88"/>
      <c r="I199" s="15">
        <v>30</v>
      </c>
      <c r="J199" s="82">
        <f t="shared" si="16"/>
        <v>0</v>
      </c>
      <c r="K199" s="17" t="s">
        <v>16</v>
      </c>
      <c r="L199" s="18">
        <v>0</v>
      </c>
      <c r="M199" s="23">
        <f t="shared" ref="M199:M254" si="18">SUM(J199-L199)</f>
        <v>0</v>
      </c>
    </row>
    <row r="200" spans="1:13" ht="25.5" x14ac:dyDescent="0.55000000000000004">
      <c r="A200" s="10">
        <v>196</v>
      </c>
      <c r="B200" s="19" t="s">
        <v>258</v>
      </c>
      <c r="C200" s="79">
        <f>+'5'!G200</f>
        <v>0</v>
      </c>
      <c r="D200" s="87">
        <v>0</v>
      </c>
      <c r="E200" s="47">
        <f t="shared" si="17"/>
        <v>0</v>
      </c>
      <c r="F200" s="87">
        <v>0</v>
      </c>
      <c r="G200" s="47">
        <f t="shared" si="15"/>
        <v>0</v>
      </c>
      <c r="H200" s="88"/>
      <c r="I200" s="15">
        <v>30</v>
      </c>
      <c r="J200" s="82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259</v>
      </c>
      <c r="C201" s="79">
        <f>+'5'!G201</f>
        <v>0</v>
      </c>
      <c r="D201" s="87">
        <v>0</v>
      </c>
      <c r="E201" s="47">
        <f t="shared" si="17"/>
        <v>0</v>
      </c>
      <c r="F201" s="87">
        <v>0</v>
      </c>
      <c r="G201" s="47">
        <f t="shared" si="15"/>
        <v>0</v>
      </c>
      <c r="H201" s="88"/>
      <c r="I201" s="15">
        <v>30</v>
      </c>
      <c r="J201" s="82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260</v>
      </c>
      <c r="C202" s="79">
        <f>+'5'!G202</f>
        <v>0</v>
      </c>
      <c r="D202" s="87">
        <v>0</v>
      </c>
      <c r="E202" s="47">
        <f t="shared" si="17"/>
        <v>0</v>
      </c>
      <c r="F202" s="87">
        <v>0</v>
      </c>
      <c r="G202" s="47">
        <f t="shared" si="15"/>
        <v>0</v>
      </c>
      <c r="H202" s="88"/>
      <c r="I202" s="15">
        <v>30</v>
      </c>
      <c r="J202" s="82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261</v>
      </c>
      <c r="C203" s="79">
        <f>+'5'!G203</f>
        <v>0</v>
      </c>
      <c r="D203" s="87">
        <v>0</v>
      </c>
      <c r="E203" s="47">
        <f t="shared" si="17"/>
        <v>0</v>
      </c>
      <c r="F203" s="87">
        <v>0</v>
      </c>
      <c r="G203" s="47">
        <f t="shared" si="15"/>
        <v>0</v>
      </c>
      <c r="H203" s="88"/>
      <c r="I203" s="20">
        <v>30</v>
      </c>
      <c r="J203" s="82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262</v>
      </c>
      <c r="C204" s="79">
        <f>+'5'!G204</f>
        <v>0</v>
      </c>
      <c r="D204" s="87">
        <v>0</v>
      </c>
      <c r="E204" s="47">
        <f t="shared" si="17"/>
        <v>0</v>
      </c>
      <c r="F204" s="87">
        <v>0</v>
      </c>
      <c r="G204" s="47">
        <f t="shared" si="15"/>
        <v>0</v>
      </c>
      <c r="H204" s="88"/>
      <c r="I204" s="20">
        <v>30</v>
      </c>
      <c r="J204" s="82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263</v>
      </c>
      <c r="C205" s="79">
        <f>+'5'!G205</f>
        <v>0</v>
      </c>
      <c r="D205" s="87">
        <v>0</v>
      </c>
      <c r="E205" s="47">
        <f t="shared" si="17"/>
        <v>0</v>
      </c>
      <c r="F205" s="87">
        <v>0</v>
      </c>
      <c r="G205" s="47">
        <f t="shared" si="15"/>
        <v>0</v>
      </c>
      <c r="H205" s="88"/>
      <c r="I205" s="20">
        <v>50</v>
      </c>
      <c r="J205" s="82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 t="s">
        <v>264</v>
      </c>
      <c r="C206" s="79">
        <f>+'5'!G206</f>
        <v>0</v>
      </c>
      <c r="D206" s="87">
        <v>0</v>
      </c>
      <c r="E206" s="47">
        <f t="shared" si="17"/>
        <v>0</v>
      </c>
      <c r="F206" s="87">
        <v>0</v>
      </c>
      <c r="G206" s="47">
        <f t="shared" si="15"/>
        <v>0</v>
      </c>
      <c r="H206" s="88"/>
      <c r="I206" s="20">
        <v>100</v>
      </c>
      <c r="J206" s="82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265</v>
      </c>
      <c r="C207" s="79">
        <f>+'5'!G207</f>
        <v>0</v>
      </c>
      <c r="D207" s="87">
        <v>0</v>
      </c>
      <c r="E207" s="47">
        <f t="shared" si="17"/>
        <v>0</v>
      </c>
      <c r="F207" s="87">
        <v>0</v>
      </c>
      <c r="G207" s="47">
        <f t="shared" si="15"/>
        <v>0</v>
      </c>
      <c r="H207" s="88"/>
      <c r="I207" s="20">
        <v>100</v>
      </c>
      <c r="J207" s="82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266</v>
      </c>
      <c r="C208" s="79">
        <f>+'5'!G208</f>
        <v>0</v>
      </c>
      <c r="D208" s="87">
        <v>0</v>
      </c>
      <c r="E208" s="47">
        <f t="shared" si="17"/>
        <v>0</v>
      </c>
      <c r="F208" s="87">
        <v>0</v>
      </c>
      <c r="G208" s="47">
        <f t="shared" si="15"/>
        <v>0</v>
      </c>
      <c r="H208" s="88"/>
      <c r="I208" s="20">
        <v>100</v>
      </c>
      <c r="J208" s="82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 t="s">
        <v>267</v>
      </c>
      <c r="C209" s="79">
        <f>+'5'!G209</f>
        <v>0</v>
      </c>
      <c r="D209" s="87">
        <v>0</v>
      </c>
      <c r="E209" s="47">
        <f t="shared" si="17"/>
        <v>0</v>
      </c>
      <c r="F209" s="87">
        <v>0</v>
      </c>
      <c r="G209" s="47">
        <f t="shared" si="15"/>
        <v>0</v>
      </c>
      <c r="H209" s="88"/>
      <c r="I209" s="20">
        <v>100</v>
      </c>
      <c r="J209" s="82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268</v>
      </c>
      <c r="C210" s="79">
        <f>+'5'!G210</f>
        <v>0</v>
      </c>
      <c r="D210" s="87">
        <v>0</v>
      </c>
      <c r="E210" s="47">
        <f t="shared" si="17"/>
        <v>0</v>
      </c>
      <c r="F210" s="87">
        <v>0</v>
      </c>
      <c r="G210" s="47">
        <f t="shared" si="15"/>
        <v>0</v>
      </c>
      <c r="H210" s="88"/>
      <c r="I210" s="20">
        <v>250</v>
      </c>
      <c r="J210" s="82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 t="s">
        <v>269</v>
      </c>
      <c r="C211" s="79">
        <f>+'5'!G211</f>
        <v>0</v>
      </c>
      <c r="D211" s="87">
        <v>0</v>
      </c>
      <c r="E211" s="47">
        <f t="shared" si="17"/>
        <v>0</v>
      </c>
      <c r="F211" s="87">
        <v>0</v>
      </c>
      <c r="G211" s="47">
        <f t="shared" si="15"/>
        <v>0</v>
      </c>
      <c r="H211" s="88"/>
      <c r="I211" s="20">
        <v>250</v>
      </c>
      <c r="J211" s="82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 t="s">
        <v>270</v>
      </c>
      <c r="C212" s="79">
        <f>+'5'!G212</f>
        <v>0</v>
      </c>
      <c r="D212" s="87">
        <v>0</v>
      </c>
      <c r="E212" s="47">
        <f t="shared" si="17"/>
        <v>0</v>
      </c>
      <c r="F212" s="87">
        <v>0</v>
      </c>
      <c r="G212" s="47">
        <f t="shared" si="15"/>
        <v>0</v>
      </c>
      <c r="H212" s="88"/>
      <c r="I212" s="20">
        <v>250</v>
      </c>
      <c r="J212" s="82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 t="s">
        <v>271</v>
      </c>
      <c r="C213" s="79">
        <f>+'5'!G213</f>
        <v>0</v>
      </c>
      <c r="D213" s="87">
        <v>0</v>
      </c>
      <c r="E213" s="47">
        <f t="shared" si="17"/>
        <v>0</v>
      </c>
      <c r="F213" s="87">
        <v>0</v>
      </c>
      <c r="G213" s="47">
        <f t="shared" si="15"/>
        <v>0</v>
      </c>
      <c r="H213" s="88"/>
      <c r="I213" s="20">
        <v>50</v>
      </c>
      <c r="J213" s="82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 t="s">
        <v>273</v>
      </c>
      <c r="C214" s="79">
        <f>+'5'!G214</f>
        <v>0</v>
      </c>
      <c r="D214" s="87">
        <v>0</v>
      </c>
      <c r="E214" s="47">
        <f t="shared" si="17"/>
        <v>0</v>
      </c>
      <c r="F214" s="87">
        <v>0</v>
      </c>
      <c r="G214" s="47">
        <f t="shared" si="15"/>
        <v>0</v>
      </c>
      <c r="H214" s="88"/>
      <c r="I214" s="20">
        <v>50</v>
      </c>
      <c r="J214" s="82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 t="s">
        <v>274</v>
      </c>
      <c r="C215" s="79">
        <f>+'5'!G215</f>
        <v>0</v>
      </c>
      <c r="D215" s="87">
        <v>0</v>
      </c>
      <c r="E215" s="47">
        <f t="shared" si="17"/>
        <v>0</v>
      </c>
      <c r="F215" s="87">
        <v>0</v>
      </c>
      <c r="G215" s="47">
        <f t="shared" si="15"/>
        <v>0</v>
      </c>
      <c r="H215" s="88"/>
      <c r="I215" s="20">
        <v>50</v>
      </c>
      <c r="J215" s="82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 t="s">
        <v>242</v>
      </c>
      <c r="C216" s="79">
        <f>+'5'!G216</f>
        <v>0</v>
      </c>
      <c r="D216" s="87">
        <v>0</v>
      </c>
      <c r="E216" s="47">
        <f t="shared" si="17"/>
        <v>0</v>
      </c>
      <c r="F216" s="87">
        <v>0</v>
      </c>
      <c r="G216" s="47">
        <f t="shared" si="15"/>
        <v>0</v>
      </c>
      <c r="H216" s="88"/>
      <c r="I216" s="20">
        <v>35</v>
      </c>
      <c r="J216" s="82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 t="s">
        <v>275</v>
      </c>
      <c r="C217" s="79">
        <f>+'5'!G217</f>
        <v>0</v>
      </c>
      <c r="D217" s="87">
        <v>0</v>
      </c>
      <c r="E217" s="47">
        <f t="shared" si="17"/>
        <v>0</v>
      </c>
      <c r="F217" s="87">
        <v>0</v>
      </c>
      <c r="G217" s="47">
        <f t="shared" si="15"/>
        <v>0</v>
      </c>
      <c r="H217" s="88"/>
      <c r="I217" s="20">
        <v>199</v>
      </c>
      <c r="J217" s="82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 t="s">
        <v>283</v>
      </c>
      <c r="C218" s="79"/>
      <c r="D218" s="87">
        <v>0</v>
      </c>
      <c r="E218" s="47">
        <f t="shared" si="17"/>
        <v>0</v>
      </c>
      <c r="F218" s="87">
        <v>0</v>
      </c>
      <c r="G218" s="47">
        <f t="shared" si="15"/>
        <v>0</v>
      </c>
      <c r="H218" s="88"/>
      <c r="I218" s="20">
        <v>25</v>
      </c>
      <c r="J218" s="82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 t="s">
        <v>284</v>
      </c>
      <c r="C219" s="79"/>
      <c r="D219" s="87">
        <v>0</v>
      </c>
      <c r="E219" s="47">
        <f t="shared" si="17"/>
        <v>0</v>
      </c>
      <c r="F219" s="87">
        <v>0</v>
      </c>
      <c r="G219" s="47">
        <f t="shared" si="15"/>
        <v>0</v>
      </c>
      <c r="H219" s="88"/>
      <c r="I219" s="20">
        <v>25</v>
      </c>
      <c r="J219" s="82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 t="s">
        <v>314</v>
      </c>
      <c r="C220" s="79">
        <f>+'5'!G220</f>
        <v>0</v>
      </c>
      <c r="D220" s="87">
        <v>0</v>
      </c>
      <c r="E220" s="47">
        <f t="shared" si="17"/>
        <v>0</v>
      </c>
      <c r="F220" s="87">
        <v>0</v>
      </c>
      <c r="G220" s="47">
        <f t="shared" si="15"/>
        <v>-3</v>
      </c>
      <c r="H220" s="88">
        <v>3</v>
      </c>
      <c r="I220" s="20">
        <v>35</v>
      </c>
      <c r="J220" s="82">
        <f t="shared" si="16"/>
        <v>105</v>
      </c>
      <c r="K220" s="17" t="s">
        <v>310</v>
      </c>
      <c r="L220" s="18">
        <v>5</v>
      </c>
      <c r="M220" s="23">
        <f t="shared" si="18"/>
        <v>100</v>
      </c>
    </row>
    <row r="221" spans="1:13" ht="25.5" x14ac:dyDescent="0.55000000000000004">
      <c r="A221" s="10">
        <v>217</v>
      </c>
      <c r="B221" s="19" t="s">
        <v>326</v>
      </c>
      <c r="C221" s="79">
        <f>+'5'!G221</f>
        <v>0</v>
      </c>
      <c r="D221" s="87">
        <v>0</v>
      </c>
      <c r="E221" s="47">
        <f t="shared" si="17"/>
        <v>0</v>
      </c>
      <c r="F221" s="87">
        <v>0</v>
      </c>
      <c r="G221" s="47">
        <f t="shared" si="15"/>
        <v>0</v>
      </c>
      <c r="H221" s="88"/>
      <c r="I221" s="20">
        <v>55</v>
      </c>
      <c r="J221" s="82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 t="s">
        <v>327</v>
      </c>
      <c r="C222" s="79">
        <f>+'5'!G222</f>
        <v>0</v>
      </c>
      <c r="D222" s="87">
        <v>0</v>
      </c>
      <c r="E222" s="47">
        <f t="shared" si="17"/>
        <v>0</v>
      </c>
      <c r="F222" s="87">
        <v>0</v>
      </c>
      <c r="G222" s="47">
        <f t="shared" si="15"/>
        <v>0</v>
      </c>
      <c r="H222" s="88"/>
      <c r="I222" s="20">
        <v>40</v>
      </c>
      <c r="J222" s="82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/>
      <c r="C223" s="79">
        <f>+'5'!G223</f>
        <v>0</v>
      </c>
      <c r="D223" s="87">
        <v>0</v>
      </c>
      <c r="E223" s="47">
        <f t="shared" si="17"/>
        <v>0</v>
      </c>
      <c r="F223" s="87">
        <v>0</v>
      </c>
      <c r="G223" s="47">
        <f t="shared" si="15"/>
        <v>0</v>
      </c>
      <c r="H223" s="88"/>
      <c r="I223" s="20"/>
      <c r="J223" s="82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79">
        <f>+'5'!G224</f>
        <v>0</v>
      </c>
      <c r="D224" s="87">
        <v>0</v>
      </c>
      <c r="E224" s="47">
        <f t="shared" si="17"/>
        <v>0</v>
      </c>
      <c r="F224" s="87">
        <v>0</v>
      </c>
      <c r="G224" s="47">
        <f t="shared" si="15"/>
        <v>0</v>
      </c>
      <c r="H224" s="88"/>
      <c r="I224" s="20"/>
      <c r="J224" s="82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+'5'!G225</f>
        <v>0</v>
      </c>
      <c r="D225" s="87">
        <v>0</v>
      </c>
      <c r="E225" s="47">
        <f t="shared" si="17"/>
        <v>0</v>
      </c>
      <c r="F225" s="87">
        <v>0</v>
      </c>
      <c r="G225" s="47">
        <f t="shared" si="15"/>
        <v>0</v>
      </c>
      <c r="H225" s="88"/>
      <c r="I225" s="20"/>
      <c r="J225" s="82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+'5'!G226</f>
        <v>0</v>
      </c>
      <c r="D226" s="87">
        <v>0</v>
      </c>
      <c r="E226" s="47">
        <f t="shared" si="17"/>
        <v>0</v>
      </c>
      <c r="F226" s="87">
        <v>0</v>
      </c>
      <c r="G226" s="47">
        <f t="shared" si="15"/>
        <v>0</v>
      </c>
      <c r="H226" s="88"/>
      <c r="I226" s="20"/>
      <c r="J226" s="82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+'5'!G227</f>
        <v>0</v>
      </c>
      <c r="D227" s="87">
        <v>0</v>
      </c>
      <c r="E227" s="47">
        <f t="shared" si="17"/>
        <v>0</v>
      </c>
      <c r="F227" s="87">
        <v>0</v>
      </c>
      <c r="G227" s="47">
        <f t="shared" si="15"/>
        <v>0</v>
      </c>
      <c r="H227" s="88"/>
      <c r="I227" s="20"/>
      <c r="J227" s="82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+'5'!G228</f>
        <v>0</v>
      </c>
      <c r="D228" s="87">
        <v>0</v>
      </c>
      <c r="E228" s="47">
        <f t="shared" si="17"/>
        <v>0</v>
      </c>
      <c r="F228" s="87">
        <v>0</v>
      </c>
      <c r="G228" s="47">
        <f t="shared" ref="G228:G254" si="19">+E228-F228-H228</f>
        <v>0</v>
      </c>
      <c r="H228" s="88"/>
      <c r="I228" s="20"/>
      <c r="J228" s="82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+'5'!G229</f>
        <v>0</v>
      </c>
      <c r="D229" s="87">
        <v>0</v>
      </c>
      <c r="E229" s="47">
        <f t="shared" si="17"/>
        <v>0</v>
      </c>
      <c r="F229" s="87">
        <v>0</v>
      </c>
      <c r="G229" s="47">
        <f t="shared" si="19"/>
        <v>0</v>
      </c>
      <c r="H229" s="88"/>
      <c r="I229" s="20"/>
      <c r="J229" s="82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+'5'!G230</f>
        <v>0</v>
      </c>
      <c r="D230" s="87">
        <v>0</v>
      </c>
      <c r="E230" s="47">
        <f t="shared" si="17"/>
        <v>0</v>
      </c>
      <c r="F230" s="87">
        <v>0</v>
      </c>
      <c r="G230" s="47">
        <f t="shared" si="19"/>
        <v>0</v>
      </c>
      <c r="H230" s="88"/>
      <c r="I230" s="20"/>
      <c r="J230" s="82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+'5'!G231</f>
        <v>0</v>
      </c>
      <c r="D231" s="87">
        <v>0</v>
      </c>
      <c r="E231" s="47">
        <f t="shared" si="17"/>
        <v>0</v>
      </c>
      <c r="F231" s="87">
        <v>0</v>
      </c>
      <c r="G231" s="47">
        <f t="shared" si="19"/>
        <v>0</v>
      </c>
      <c r="H231" s="88"/>
      <c r="I231" s="20"/>
      <c r="J231" s="82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+'5'!G232</f>
        <v>0</v>
      </c>
      <c r="D232" s="87">
        <v>0</v>
      </c>
      <c r="E232" s="47">
        <f t="shared" si="17"/>
        <v>0</v>
      </c>
      <c r="F232" s="87">
        <v>0</v>
      </c>
      <c r="G232" s="47">
        <f t="shared" si="19"/>
        <v>0</v>
      </c>
      <c r="H232" s="88"/>
      <c r="I232" s="20"/>
      <c r="J232" s="82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+'5'!G233</f>
        <v>0</v>
      </c>
      <c r="D233" s="87">
        <v>0</v>
      </c>
      <c r="E233" s="47">
        <f t="shared" si="17"/>
        <v>0</v>
      </c>
      <c r="F233" s="87">
        <v>0</v>
      </c>
      <c r="G233" s="47">
        <f t="shared" si="19"/>
        <v>0</v>
      </c>
      <c r="H233" s="88"/>
      <c r="I233" s="20"/>
      <c r="J233" s="82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+'5'!G234</f>
        <v>0</v>
      </c>
      <c r="D234" s="87">
        <v>0</v>
      </c>
      <c r="E234" s="47">
        <f t="shared" si="17"/>
        <v>0</v>
      </c>
      <c r="F234" s="87">
        <v>0</v>
      </c>
      <c r="G234" s="47">
        <f t="shared" si="19"/>
        <v>0</v>
      </c>
      <c r="H234" s="88"/>
      <c r="I234" s="20"/>
      <c r="J234" s="82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+'5'!G235</f>
        <v>0</v>
      </c>
      <c r="D235" s="87">
        <v>0</v>
      </c>
      <c r="E235" s="47">
        <f t="shared" si="17"/>
        <v>0</v>
      </c>
      <c r="F235" s="87">
        <v>0</v>
      </c>
      <c r="G235" s="47">
        <f t="shared" si="19"/>
        <v>0</v>
      </c>
      <c r="H235" s="88"/>
      <c r="I235" s="20"/>
      <c r="J235" s="82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+'5'!G236</f>
        <v>0</v>
      </c>
      <c r="D236" s="87">
        <v>0</v>
      </c>
      <c r="E236" s="47">
        <f t="shared" si="17"/>
        <v>0</v>
      </c>
      <c r="F236" s="87">
        <v>0</v>
      </c>
      <c r="G236" s="47">
        <f t="shared" si="19"/>
        <v>0</v>
      </c>
      <c r="H236" s="88"/>
      <c r="I236" s="20"/>
      <c r="J236" s="82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+'5'!G237</f>
        <v>0</v>
      </c>
      <c r="D237" s="87">
        <v>0</v>
      </c>
      <c r="E237" s="47">
        <f t="shared" si="17"/>
        <v>0</v>
      </c>
      <c r="F237" s="87">
        <v>0</v>
      </c>
      <c r="G237" s="47">
        <f t="shared" si="19"/>
        <v>0</v>
      </c>
      <c r="H237" s="88"/>
      <c r="I237" s="20"/>
      <c r="J237" s="82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+'5'!G238</f>
        <v>0</v>
      </c>
      <c r="D238" s="87">
        <v>0</v>
      </c>
      <c r="E238" s="47">
        <f t="shared" si="17"/>
        <v>0</v>
      </c>
      <c r="F238" s="87">
        <v>0</v>
      </c>
      <c r="G238" s="47">
        <f t="shared" si="19"/>
        <v>0</v>
      </c>
      <c r="H238" s="88"/>
      <c r="I238" s="20"/>
      <c r="J238" s="82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+'5'!G239</f>
        <v>0</v>
      </c>
      <c r="D239" s="87">
        <v>0</v>
      </c>
      <c r="E239" s="47">
        <f t="shared" si="17"/>
        <v>0</v>
      </c>
      <c r="F239" s="87">
        <v>0</v>
      </c>
      <c r="G239" s="47">
        <f t="shared" si="19"/>
        <v>0</v>
      </c>
      <c r="H239" s="88"/>
      <c r="I239" s="20"/>
      <c r="J239" s="82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+'5'!G240</f>
        <v>0</v>
      </c>
      <c r="D240" s="87">
        <v>0</v>
      </c>
      <c r="E240" s="47">
        <f t="shared" si="17"/>
        <v>0</v>
      </c>
      <c r="F240" s="87">
        <v>0</v>
      </c>
      <c r="G240" s="47">
        <f t="shared" si="19"/>
        <v>0</v>
      </c>
      <c r="H240" s="88"/>
      <c r="I240" s="20"/>
      <c r="J240" s="82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+'5'!G241</f>
        <v>0</v>
      </c>
      <c r="D241" s="87">
        <v>0</v>
      </c>
      <c r="E241" s="47">
        <f t="shared" si="17"/>
        <v>0</v>
      </c>
      <c r="F241" s="87">
        <v>0</v>
      </c>
      <c r="G241" s="47">
        <f t="shared" si="19"/>
        <v>0</v>
      </c>
      <c r="H241" s="88"/>
      <c r="I241" s="20"/>
      <c r="J241" s="82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+'5'!G242</f>
        <v>0</v>
      </c>
      <c r="D242" s="87">
        <v>0</v>
      </c>
      <c r="E242" s="47">
        <f t="shared" si="17"/>
        <v>0</v>
      </c>
      <c r="F242" s="87">
        <v>0</v>
      </c>
      <c r="G242" s="47">
        <f t="shared" si="19"/>
        <v>0</v>
      </c>
      <c r="H242" s="88"/>
      <c r="I242" s="20"/>
      <c r="J242" s="82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+'5'!G243</f>
        <v>0</v>
      </c>
      <c r="D243" s="87">
        <v>0</v>
      </c>
      <c r="E243" s="47">
        <f t="shared" si="17"/>
        <v>0</v>
      </c>
      <c r="F243" s="87">
        <v>0</v>
      </c>
      <c r="G243" s="47">
        <f t="shared" si="19"/>
        <v>0</v>
      </c>
      <c r="H243" s="88"/>
      <c r="I243" s="20"/>
      <c r="J243" s="82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+'5'!G244</f>
        <v>0</v>
      </c>
      <c r="D244" s="87">
        <v>0</v>
      </c>
      <c r="E244" s="47">
        <f t="shared" si="17"/>
        <v>0</v>
      </c>
      <c r="F244" s="87">
        <v>0</v>
      </c>
      <c r="G244" s="47">
        <f t="shared" si="19"/>
        <v>0</v>
      </c>
      <c r="H244" s="88"/>
      <c r="I244" s="20"/>
      <c r="J244" s="82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+'5'!G245</f>
        <v>0</v>
      </c>
      <c r="D245" s="87">
        <v>0</v>
      </c>
      <c r="E245" s="47">
        <f t="shared" si="17"/>
        <v>0</v>
      </c>
      <c r="F245" s="87">
        <v>0</v>
      </c>
      <c r="G245" s="47">
        <f t="shared" si="19"/>
        <v>0</v>
      </c>
      <c r="H245" s="88"/>
      <c r="I245" s="20"/>
      <c r="J245" s="82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+'5'!G246</f>
        <v>0</v>
      </c>
      <c r="D246" s="87">
        <v>0</v>
      </c>
      <c r="E246" s="47">
        <f t="shared" si="17"/>
        <v>0</v>
      </c>
      <c r="F246" s="87">
        <v>0</v>
      </c>
      <c r="G246" s="47">
        <f t="shared" si="19"/>
        <v>0</v>
      </c>
      <c r="H246" s="88"/>
      <c r="I246" s="20"/>
      <c r="J246" s="82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+'5'!G247</f>
        <v>0</v>
      </c>
      <c r="D247" s="87">
        <v>0</v>
      </c>
      <c r="E247" s="47">
        <f t="shared" si="17"/>
        <v>0</v>
      </c>
      <c r="F247" s="87">
        <v>0</v>
      </c>
      <c r="G247" s="47">
        <f t="shared" si="19"/>
        <v>0</v>
      </c>
      <c r="H247" s="88"/>
      <c r="I247" s="20"/>
      <c r="J247" s="82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+'5'!G248</f>
        <v>0</v>
      </c>
      <c r="D248" s="87">
        <v>0</v>
      </c>
      <c r="E248" s="47">
        <f t="shared" si="17"/>
        <v>0</v>
      </c>
      <c r="F248" s="87">
        <v>0</v>
      </c>
      <c r="G248" s="47">
        <f t="shared" si="19"/>
        <v>0</v>
      </c>
      <c r="H248" s="88"/>
      <c r="I248" s="20"/>
      <c r="J248" s="82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+'5'!G249</f>
        <v>0</v>
      </c>
      <c r="D249" s="87">
        <v>0</v>
      </c>
      <c r="E249" s="47">
        <f t="shared" si="17"/>
        <v>0</v>
      </c>
      <c r="F249" s="87">
        <v>0</v>
      </c>
      <c r="G249" s="47">
        <f t="shared" si="19"/>
        <v>0</v>
      </c>
      <c r="H249" s="88"/>
      <c r="I249" s="20"/>
      <c r="J249" s="82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+'5'!G250</f>
        <v>0</v>
      </c>
      <c r="D250" s="87">
        <v>0</v>
      </c>
      <c r="E250" s="47">
        <f t="shared" si="17"/>
        <v>0</v>
      </c>
      <c r="F250" s="87">
        <v>0</v>
      </c>
      <c r="G250" s="47">
        <f t="shared" si="19"/>
        <v>0</v>
      </c>
      <c r="H250" s="88"/>
      <c r="I250" s="20"/>
      <c r="J250" s="82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+'5'!G251</f>
        <v>0</v>
      </c>
      <c r="D251" s="87">
        <v>0</v>
      </c>
      <c r="E251" s="47">
        <f t="shared" si="17"/>
        <v>0</v>
      </c>
      <c r="F251" s="87">
        <v>0</v>
      </c>
      <c r="G251" s="47">
        <f t="shared" si="19"/>
        <v>0</v>
      </c>
      <c r="H251" s="88"/>
      <c r="I251" s="20"/>
      <c r="J251" s="82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+'5'!G252</f>
        <v>0</v>
      </c>
      <c r="D252" s="87">
        <v>0</v>
      </c>
      <c r="E252" s="47">
        <f t="shared" si="17"/>
        <v>0</v>
      </c>
      <c r="F252" s="87">
        <v>0</v>
      </c>
      <c r="G252" s="47">
        <f t="shared" si="19"/>
        <v>0</v>
      </c>
      <c r="H252" s="88"/>
      <c r="I252" s="20"/>
      <c r="J252" s="82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+'5'!G253</f>
        <v>0</v>
      </c>
      <c r="D253" s="87">
        <v>0</v>
      </c>
      <c r="E253" s="47">
        <f t="shared" ref="E253:E254" si="21">C253+D253</f>
        <v>0</v>
      </c>
      <c r="F253" s="87">
        <v>0</v>
      </c>
      <c r="G253" s="47">
        <f t="shared" si="19"/>
        <v>0</v>
      </c>
      <c r="H253" s="88"/>
      <c r="I253" s="20"/>
      <c r="J253" s="82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+'5'!G254</f>
        <v>0</v>
      </c>
      <c r="D254" s="87">
        <v>0</v>
      </c>
      <c r="E254" s="47">
        <f t="shared" si="21"/>
        <v>0</v>
      </c>
      <c r="F254" s="87">
        <v>0</v>
      </c>
      <c r="G254" s="47">
        <f t="shared" si="19"/>
        <v>0</v>
      </c>
      <c r="H254" s="88"/>
      <c r="I254" s="20"/>
      <c r="J254" s="82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2210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3" t="s">
        <v>213</v>
      </c>
      <c r="N255" s="143"/>
    </row>
    <row r="256" spans="1:14" ht="25.5" customHeight="1" x14ac:dyDescent="0.5">
      <c r="A256" s="1"/>
      <c r="C256" s="24"/>
      <c r="D256" s="25"/>
      <c r="E256" s="24"/>
      <c r="F256" s="25"/>
      <c r="G256" s="24"/>
      <c r="H256" s="148" t="s">
        <v>212</v>
      </c>
      <c r="I256" s="149"/>
      <c r="J256" s="30">
        <f>+X138</f>
        <v>0</v>
      </c>
      <c r="K256" s="27"/>
      <c r="L256" s="29"/>
    </row>
    <row r="257" spans="1:15" ht="25.5" x14ac:dyDescent="0.55000000000000004">
      <c r="A257" s="1"/>
      <c r="C257" s="31"/>
      <c r="E257" s="31"/>
      <c r="G257" s="31"/>
      <c r="H257" s="32"/>
      <c r="I257" s="150" t="s">
        <v>202</v>
      </c>
      <c r="J257" s="150"/>
      <c r="K257" s="33">
        <f>SUM(J5:J256)</f>
        <v>2535</v>
      </c>
    </row>
    <row r="258" spans="1:15" ht="25.5" x14ac:dyDescent="0.55000000000000004">
      <c r="A258" s="1"/>
      <c r="C258" s="31"/>
      <c r="E258" s="31"/>
      <c r="G258" s="31"/>
      <c r="I258" s="140" t="s">
        <v>203</v>
      </c>
      <c r="J258" s="141"/>
      <c r="K258" s="36">
        <v>15</v>
      </c>
    </row>
    <row r="259" spans="1:15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495</v>
      </c>
      <c r="L259" s="2">
        <v>85</v>
      </c>
      <c r="M259" s="2">
        <v>250</v>
      </c>
      <c r="N259" s="2">
        <v>100</v>
      </c>
      <c r="O259" s="2">
        <v>60</v>
      </c>
    </row>
    <row r="260" spans="1:15" ht="25.5" x14ac:dyDescent="0.55000000000000004">
      <c r="A260" s="1"/>
      <c r="C260" s="31"/>
      <c r="E260" s="31"/>
      <c r="G260" s="31"/>
      <c r="I260" s="140" t="s">
        <v>205</v>
      </c>
      <c r="J260" s="141"/>
      <c r="K260" s="36">
        <v>0</v>
      </c>
    </row>
    <row r="261" spans="1:15" ht="25.5" x14ac:dyDescent="0.55000000000000004">
      <c r="A261" s="1"/>
      <c r="C261" s="31"/>
      <c r="E261" s="31"/>
      <c r="G261" s="31"/>
      <c r="I261" s="140" t="s">
        <v>206</v>
      </c>
      <c r="J261" s="141"/>
      <c r="K261" s="36">
        <v>0</v>
      </c>
    </row>
    <row r="262" spans="1:15" ht="25.5" x14ac:dyDescent="0.55000000000000004">
      <c r="A262" s="1"/>
      <c r="C262" s="31"/>
      <c r="E262" s="31"/>
      <c r="G262" s="31"/>
      <c r="I262" s="140" t="s">
        <v>207</v>
      </c>
      <c r="J262" s="141"/>
      <c r="K262" s="37">
        <f>SUM(L5:L255)</f>
        <v>325</v>
      </c>
    </row>
    <row r="263" spans="1:15" ht="25.5" x14ac:dyDescent="0.55000000000000004">
      <c r="A263" s="1"/>
      <c r="C263" s="31"/>
      <c r="E263" s="31"/>
      <c r="G263" s="31"/>
      <c r="I263" s="140" t="s">
        <v>208</v>
      </c>
      <c r="J263" s="141"/>
      <c r="K263" s="33">
        <f>K257-K258-K259-K261-K262</f>
        <v>1700</v>
      </c>
    </row>
    <row r="264" spans="1:15" ht="25.5" x14ac:dyDescent="0.55000000000000004">
      <c r="A264" s="1"/>
      <c r="C264" s="31"/>
      <c r="E264" s="31"/>
      <c r="G264" s="31"/>
      <c r="I264" s="140" t="s">
        <v>209</v>
      </c>
      <c r="J264" s="141"/>
      <c r="K264" s="37">
        <v>1705</v>
      </c>
    </row>
    <row r="265" spans="1:15" ht="25.5" x14ac:dyDescent="0.55000000000000004">
      <c r="A265" s="1"/>
      <c r="C265" s="31"/>
      <c r="E265" s="31"/>
      <c r="G265" s="31"/>
      <c r="I265" s="140" t="s">
        <v>210</v>
      </c>
      <c r="J265" s="141"/>
      <c r="K265" s="33">
        <f>+K264-K263</f>
        <v>5</v>
      </c>
    </row>
    <row r="266" spans="1:15" ht="25.5" x14ac:dyDescent="0.55000000000000004">
      <c r="G266" s="2"/>
      <c r="I266" s="140" t="s">
        <v>211</v>
      </c>
      <c r="J266" s="141"/>
      <c r="K266" s="33">
        <f>+K264-K263</f>
        <v>5</v>
      </c>
    </row>
    <row r="267" spans="1:15" x14ac:dyDescent="0.5">
      <c r="G267" s="2"/>
      <c r="I267" s="2"/>
    </row>
    <row r="268" spans="1:15" ht="25.5" x14ac:dyDescent="0.55000000000000004">
      <c r="G268" s="2"/>
      <c r="I268" s="59" t="s">
        <v>312</v>
      </c>
      <c r="J268" s="2" t="s">
        <v>313</v>
      </c>
    </row>
    <row r="269" spans="1:15" x14ac:dyDescent="0.5">
      <c r="G269" s="2"/>
      <c r="I269" s="2"/>
      <c r="J269" s="2" t="s">
        <v>315</v>
      </c>
    </row>
    <row r="270" spans="1:15" x14ac:dyDescent="0.5">
      <c r="G270" s="2"/>
      <c r="I270" s="2"/>
    </row>
    <row r="271" spans="1:15" x14ac:dyDescent="0.5">
      <c r="G271" s="2"/>
      <c r="I271" s="2"/>
    </row>
    <row r="272" spans="1:15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CFFA-4DFD-4719-A380-16A413E1EB9E}">
  <sheetPr>
    <tabColor theme="7" tint="-0.249977111117893"/>
  </sheetPr>
  <dimension ref="A1:AB341"/>
  <sheetViews>
    <sheetView zoomScaleNormal="100" workbookViewId="0">
      <pane xSplit="7" ySplit="4" topLeftCell="H260" activePane="bottomRight" state="frozen"/>
      <selection activeCell="B20" sqref="B20"/>
      <selection pane="topRight" activeCell="B20" sqref="B20"/>
      <selection pane="bottomLeft" activeCell="B20" sqref="B20"/>
      <selection pane="bottomRight" activeCell="B20" sqref="B20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8" x14ac:dyDescent="0.5">
      <c r="A1" s="1"/>
      <c r="G1" s="2"/>
      <c r="I1" s="2"/>
    </row>
    <row r="2" spans="1:28" s="3" customFormat="1" ht="29.25" x14ac:dyDescent="0.6">
      <c r="A2" s="137" t="s">
        <v>247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8" s="5" customFormat="1" ht="26.25" x14ac:dyDescent="0.55000000000000004">
      <c r="A3" s="139" t="s">
        <v>1</v>
      </c>
      <c r="B3" s="151" t="s">
        <v>2</v>
      </c>
      <c r="C3" s="139" t="s">
        <v>3</v>
      </c>
      <c r="D3" s="139" t="s">
        <v>4</v>
      </c>
      <c r="E3" s="139" t="s">
        <v>5</v>
      </c>
      <c r="F3" s="85" t="s">
        <v>6</v>
      </c>
      <c r="G3" s="139" t="s">
        <v>7</v>
      </c>
      <c r="H3" s="142" t="s">
        <v>8</v>
      </c>
      <c r="I3" s="142"/>
      <c r="J3" s="142"/>
      <c r="K3" s="139" t="s">
        <v>9</v>
      </c>
      <c r="L3" s="144" t="s">
        <v>10</v>
      </c>
      <c r="O3" s="139" t="s">
        <v>1</v>
      </c>
      <c r="P3" s="139" t="s">
        <v>2</v>
      </c>
      <c r="Q3" s="139" t="s">
        <v>3</v>
      </c>
      <c r="R3" s="139" t="s">
        <v>4</v>
      </c>
      <c r="S3" s="139" t="s">
        <v>5</v>
      </c>
      <c r="T3" s="85" t="s">
        <v>6</v>
      </c>
      <c r="U3" s="139" t="s">
        <v>7</v>
      </c>
      <c r="V3" s="142" t="s">
        <v>8</v>
      </c>
      <c r="W3" s="142"/>
      <c r="X3" s="142"/>
      <c r="Y3" s="139" t="s">
        <v>9</v>
      </c>
      <c r="Z3" s="144" t="s">
        <v>10</v>
      </c>
    </row>
    <row r="4" spans="1:28" s="5" customFormat="1" ht="26.25" x14ac:dyDescent="0.55000000000000004">
      <c r="A4" s="139"/>
      <c r="B4" s="151"/>
      <c r="C4" s="139"/>
      <c r="D4" s="139"/>
      <c r="E4" s="139"/>
      <c r="F4" s="85" t="s">
        <v>11</v>
      </c>
      <c r="G4" s="139"/>
      <c r="H4" s="85" t="s">
        <v>12</v>
      </c>
      <c r="I4" s="86" t="s">
        <v>13</v>
      </c>
      <c r="J4" s="85" t="s">
        <v>14</v>
      </c>
      <c r="K4" s="139"/>
      <c r="L4" s="144"/>
      <c r="O4" s="139"/>
      <c r="P4" s="139"/>
      <c r="Q4" s="139"/>
      <c r="R4" s="139"/>
      <c r="S4" s="139"/>
      <c r="T4" s="85" t="s">
        <v>11</v>
      </c>
      <c r="U4" s="139"/>
      <c r="V4" s="85" t="s">
        <v>12</v>
      </c>
      <c r="W4" s="86" t="s">
        <v>13</v>
      </c>
      <c r="X4" s="85" t="s">
        <v>14</v>
      </c>
      <c r="Y4" s="139"/>
      <c r="Z4" s="144"/>
      <c r="AB4" s="5" t="s">
        <v>2</v>
      </c>
    </row>
    <row r="5" spans="1:28" ht="25.5" x14ac:dyDescent="0.55000000000000004">
      <c r="A5" s="10">
        <v>1</v>
      </c>
      <c r="B5" s="19" t="s">
        <v>15</v>
      </c>
      <c r="C5" s="79">
        <f>+'6'!G5</f>
        <v>23</v>
      </c>
      <c r="D5" s="87">
        <v>0</v>
      </c>
      <c r="E5" s="47">
        <f t="shared" ref="E5:E125" si="0">C5+D5</f>
        <v>23</v>
      </c>
      <c r="F5" s="87">
        <v>0</v>
      </c>
      <c r="G5" s="47">
        <f>+E5-F5-H5</f>
        <v>18</v>
      </c>
      <c r="H5" s="88">
        <v>5</v>
      </c>
      <c r="I5" s="15">
        <v>50</v>
      </c>
      <c r="J5" s="82">
        <f>+I5*H5</f>
        <v>250</v>
      </c>
      <c r="K5" s="17" t="s">
        <v>306</v>
      </c>
      <c r="L5" s="18">
        <v>0</v>
      </c>
      <c r="M5" s="104">
        <f>SUM(J5-L5)</f>
        <v>250</v>
      </c>
      <c r="O5" s="10">
        <v>1</v>
      </c>
      <c r="P5" s="19"/>
      <c r="Q5" s="47">
        <v>0</v>
      </c>
      <c r="R5" s="87">
        <v>0</v>
      </c>
      <c r="S5" s="47">
        <f t="shared" ref="S5:S14" si="1">Q5+R5</f>
        <v>0</v>
      </c>
      <c r="T5" s="87">
        <v>0</v>
      </c>
      <c r="U5" s="47">
        <f t="shared" ref="U5:U14" si="2">S5-T5-V5</f>
        <v>0</v>
      </c>
      <c r="V5" s="88">
        <v>0</v>
      </c>
      <c r="W5" s="22"/>
      <c r="X5" s="44">
        <f t="shared" ref="X5:X14" si="3">V5*W5</f>
        <v>0</v>
      </c>
      <c r="Y5" s="17" t="s">
        <v>16</v>
      </c>
      <c r="Z5" s="18">
        <v>0</v>
      </c>
      <c r="AB5" s="2" t="s">
        <v>317</v>
      </c>
    </row>
    <row r="6" spans="1:28" ht="25.5" x14ac:dyDescent="0.55000000000000004">
      <c r="A6" s="10">
        <v>2</v>
      </c>
      <c r="B6" s="19" t="s">
        <v>17</v>
      </c>
      <c r="C6" s="79">
        <f>+'6'!G6</f>
        <v>24</v>
      </c>
      <c r="D6" s="87">
        <v>0</v>
      </c>
      <c r="E6" s="47">
        <f t="shared" si="0"/>
        <v>24</v>
      </c>
      <c r="F6" s="87">
        <v>5</v>
      </c>
      <c r="G6" s="103">
        <f t="shared" ref="G6:G100" si="4">+E6-F6-H6</f>
        <v>17</v>
      </c>
      <c r="H6" s="88">
        <v>2</v>
      </c>
      <c r="I6" s="15">
        <v>100</v>
      </c>
      <c r="J6" s="82">
        <f t="shared" ref="J6:J100" si="5">+I6*H6</f>
        <v>200</v>
      </c>
      <c r="K6" s="17" t="s">
        <v>16</v>
      </c>
      <c r="L6" s="18">
        <v>0</v>
      </c>
      <c r="M6" s="104">
        <f t="shared" ref="M6:M69" si="6">SUM(J6-L6)</f>
        <v>200</v>
      </c>
      <c r="O6" s="10">
        <v>2</v>
      </c>
      <c r="P6" s="19"/>
      <c r="Q6" s="47">
        <v>0</v>
      </c>
      <c r="R6" s="87">
        <v>0</v>
      </c>
      <c r="S6" s="47">
        <f t="shared" si="1"/>
        <v>0</v>
      </c>
      <c r="T6" s="87">
        <v>0</v>
      </c>
      <c r="U6" s="47">
        <f t="shared" si="2"/>
        <v>0</v>
      </c>
      <c r="V6" s="88">
        <v>0</v>
      </c>
      <c r="W6" s="22"/>
      <c r="X6" s="44">
        <f t="shared" si="3"/>
        <v>0</v>
      </c>
      <c r="Y6" s="17" t="s">
        <v>16</v>
      </c>
      <c r="Z6" s="18">
        <v>0</v>
      </c>
      <c r="AB6" s="2" t="s">
        <v>318</v>
      </c>
    </row>
    <row r="7" spans="1:28" ht="25.5" x14ac:dyDescent="0.55000000000000004">
      <c r="A7" s="10">
        <v>3</v>
      </c>
      <c r="B7" s="19" t="s">
        <v>18</v>
      </c>
      <c r="C7" s="79">
        <f>+'6'!G7</f>
        <v>0</v>
      </c>
      <c r="D7" s="87">
        <v>0</v>
      </c>
      <c r="E7" s="47">
        <f>C7+D7</f>
        <v>0</v>
      </c>
      <c r="F7" s="87">
        <v>0</v>
      </c>
      <c r="G7" s="47">
        <f t="shared" si="4"/>
        <v>0</v>
      </c>
      <c r="H7" s="88"/>
      <c r="I7" s="15">
        <v>50</v>
      </c>
      <c r="J7" s="8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7">
        <v>0</v>
      </c>
      <c r="S7" s="47">
        <f t="shared" si="1"/>
        <v>0</v>
      </c>
      <c r="T7" s="87">
        <v>0</v>
      </c>
      <c r="U7" s="47">
        <f t="shared" si="2"/>
        <v>0</v>
      </c>
      <c r="V7" s="88">
        <v>0</v>
      </c>
      <c r="W7" s="22"/>
      <c r="X7" s="44">
        <f t="shared" si="3"/>
        <v>0</v>
      </c>
      <c r="Y7" s="17" t="s">
        <v>16</v>
      </c>
      <c r="Z7" s="18">
        <v>0</v>
      </c>
      <c r="AB7" s="2" t="s">
        <v>319</v>
      </c>
    </row>
    <row r="8" spans="1:28" ht="25.5" x14ac:dyDescent="0.55000000000000004">
      <c r="A8" s="10">
        <v>4</v>
      </c>
      <c r="B8" s="19" t="s">
        <v>19</v>
      </c>
      <c r="C8" s="79">
        <f>+'6'!G8</f>
        <v>0</v>
      </c>
      <c r="D8" s="87">
        <v>0</v>
      </c>
      <c r="E8" s="47">
        <f>C8+D8</f>
        <v>0</v>
      </c>
      <c r="F8" s="87">
        <v>0</v>
      </c>
      <c r="G8" s="47">
        <f t="shared" si="4"/>
        <v>0</v>
      </c>
      <c r="H8" s="88"/>
      <c r="I8" s="15">
        <v>100</v>
      </c>
      <c r="J8" s="8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7">
        <v>0</v>
      </c>
      <c r="S8" s="47">
        <f t="shared" si="1"/>
        <v>0</v>
      </c>
      <c r="T8" s="87">
        <v>0</v>
      </c>
      <c r="U8" s="47">
        <f t="shared" si="2"/>
        <v>0</v>
      </c>
      <c r="V8" s="88">
        <v>0</v>
      </c>
      <c r="W8" s="22"/>
      <c r="X8" s="44">
        <f t="shared" si="3"/>
        <v>0</v>
      </c>
      <c r="Y8" s="17" t="s">
        <v>16</v>
      </c>
      <c r="Z8" s="18">
        <v>0</v>
      </c>
      <c r="AB8" s="2" t="s">
        <v>320</v>
      </c>
    </row>
    <row r="9" spans="1:28" ht="25.5" x14ac:dyDescent="0.55000000000000004">
      <c r="A9" s="10">
        <v>5</v>
      </c>
      <c r="B9" s="19" t="s">
        <v>20</v>
      </c>
      <c r="C9" s="79">
        <f>+'6'!G9</f>
        <v>0</v>
      </c>
      <c r="D9" s="87">
        <v>0</v>
      </c>
      <c r="E9" s="47">
        <f>C9+D9</f>
        <v>0</v>
      </c>
      <c r="F9" s="87">
        <v>0</v>
      </c>
      <c r="G9" s="47">
        <f t="shared" si="4"/>
        <v>0</v>
      </c>
      <c r="H9" s="88"/>
      <c r="I9" s="15">
        <v>12</v>
      </c>
      <c r="J9" s="8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7">
        <v>0</v>
      </c>
      <c r="S9" s="47">
        <f t="shared" si="1"/>
        <v>0</v>
      </c>
      <c r="T9" s="87">
        <v>0</v>
      </c>
      <c r="U9" s="47">
        <f t="shared" si="2"/>
        <v>0</v>
      </c>
      <c r="V9" s="88">
        <v>0</v>
      </c>
      <c r="W9" s="22"/>
      <c r="X9" s="44">
        <f t="shared" si="3"/>
        <v>0</v>
      </c>
      <c r="Y9" s="17" t="s">
        <v>16</v>
      </c>
      <c r="Z9" s="18">
        <v>0</v>
      </c>
      <c r="AB9" s="2" t="s">
        <v>307</v>
      </c>
    </row>
    <row r="10" spans="1:28" ht="25.5" x14ac:dyDescent="0.55000000000000004">
      <c r="A10" s="10">
        <v>6</v>
      </c>
      <c r="B10" s="19" t="s">
        <v>21</v>
      </c>
      <c r="C10" s="79">
        <f>+'6'!G10</f>
        <v>0</v>
      </c>
      <c r="D10" s="87">
        <v>0</v>
      </c>
      <c r="E10" s="47">
        <f>C10+D10</f>
        <v>0</v>
      </c>
      <c r="F10" s="87">
        <v>0</v>
      </c>
      <c r="G10" s="47">
        <f t="shared" si="4"/>
        <v>0</v>
      </c>
      <c r="H10" s="88"/>
      <c r="I10" s="15">
        <v>15</v>
      </c>
      <c r="J10" s="8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7">
        <v>0</v>
      </c>
      <c r="S10" s="47">
        <f t="shared" si="1"/>
        <v>0</v>
      </c>
      <c r="T10" s="87">
        <v>0</v>
      </c>
      <c r="U10" s="47">
        <f t="shared" si="2"/>
        <v>0</v>
      </c>
      <c r="V10" s="88">
        <v>0</v>
      </c>
      <c r="W10" s="22"/>
      <c r="X10" s="44">
        <f t="shared" si="3"/>
        <v>0</v>
      </c>
      <c r="Y10" s="17" t="s">
        <v>16</v>
      </c>
      <c r="Z10" s="18">
        <v>0</v>
      </c>
      <c r="AB10" s="2" t="s">
        <v>311</v>
      </c>
    </row>
    <row r="11" spans="1:28" ht="25.5" x14ac:dyDescent="0.55000000000000004">
      <c r="A11" s="10">
        <v>7</v>
      </c>
      <c r="B11" s="19" t="s">
        <v>22</v>
      </c>
      <c r="C11" s="79">
        <f>+'6'!G11</f>
        <v>0</v>
      </c>
      <c r="D11" s="87">
        <v>0</v>
      </c>
      <c r="E11" s="47">
        <f t="shared" si="0"/>
        <v>0</v>
      </c>
      <c r="F11" s="87">
        <v>0</v>
      </c>
      <c r="G11" s="47">
        <f t="shared" si="4"/>
        <v>0</v>
      </c>
      <c r="H11" s="88"/>
      <c r="I11" s="15">
        <v>40</v>
      </c>
      <c r="J11" s="8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7">
        <v>0</v>
      </c>
      <c r="S11" s="47">
        <f t="shared" si="1"/>
        <v>0</v>
      </c>
      <c r="T11" s="87">
        <v>0</v>
      </c>
      <c r="U11" s="47">
        <f t="shared" si="2"/>
        <v>0</v>
      </c>
      <c r="V11" s="88">
        <v>0</v>
      </c>
      <c r="W11" s="22"/>
      <c r="X11" s="44">
        <f t="shared" si="3"/>
        <v>0</v>
      </c>
      <c r="Y11" s="17" t="s">
        <v>16</v>
      </c>
      <c r="Z11" s="18">
        <v>0</v>
      </c>
      <c r="AB11" s="2" t="s">
        <v>321</v>
      </c>
    </row>
    <row r="12" spans="1:28" ht="25.5" x14ac:dyDescent="0.55000000000000004">
      <c r="A12" s="10">
        <v>8</v>
      </c>
      <c r="B12" s="19" t="s">
        <v>23</v>
      </c>
      <c r="C12" s="79">
        <f>+'6'!G12</f>
        <v>0</v>
      </c>
      <c r="D12" s="87">
        <v>0</v>
      </c>
      <c r="E12" s="47">
        <f t="shared" si="0"/>
        <v>0</v>
      </c>
      <c r="F12" s="87">
        <v>0</v>
      </c>
      <c r="G12" s="47">
        <f t="shared" si="4"/>
        <v>0</v>
      </c>
      <c r="H12" s="88"/>
      <c r="I12" s="20">
        <v>50</v>
      </c>
      <c r="J12" s="8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7">
        <v>0</v>
      </c>
      <c r="S12" s="47">
        <f t="shared" si="1"/>
        <v>0</v>
      </c>
      <c r="T12" s="87">
        <v>0</v>
      </c>
      <c r="U12" s="47">
        <f t="shared" si="2"/>
        <v>0</v>
      </c>
      <c r="V12" s="88">
        <v>0</v>
      </c>
      <c r="W12" s="22"/>
      <c r="X12" s="44">
        <f t="shared" si="3"/>
        <v>0</v>
      </c>
      <c r="Y12" s="17" t="s">
        <v>16</v>
      </c>
      <c r="Z12" s="18">
        <v>0</v>
      </c>
      <c r="AB12" s="2" t="s">
        <v>289</v>
      </c>
    </row>
    <row r="13" spans="1:28" ht="25.5" x14ac:dyDescent="0.55000000000000004">
      <c r="A13" s="10">
        <v>9</v>
      </c>
      <c r="B13" s="19" t="s">
        <v>24</v>
      </c>
      <c r="C13" s="79">
        <f>+'6'!G13</f>
        <v>0</v>
      </c>
      <c r="D13" s="87">
        <v>0</v>
      </c>
      <c r="E13" s="47">
        <f>C13+D13</f>
        <v>0</v>
      </c>
      <c r="F13" s="87">
        <v>0</v>
      </c>
      <c r="G13" s="47">
        <f t="shared" si="4"/>
        <v>0</v>
      </c>
      <c r="H13" s="88"/>
      <c r="I13" s="20">
        <v>55</v>
      </c>
      <c r="J13" s="8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7">
        <v>0</v>
      </c>
      <c r="S13" s="47">
        <f t="shared" si="1"/>
        <v>0</v>
      </c>
      <c r="T13" s="87">
        <v>0</v>
      </c>
      <c r="U13" s="47">
        <f t="shared" si="2"/>
        <v>0</v>
      </c>
      <c r="V13" s="88">
        <v>0</v>
      </c>
      <c r="W13" s="22"/>
      <c r="X13" s="44">
        <f t="shared" si="3"/>
        <v>0</v>
      </c>
      <c r="Y13" s="17" t="s">
        <v>16</v>
      </c>
      <c r="Z13" s="18">
        <v>0</v>
      </c>
      <c r="AB13" s="2" t="s">
        <v>322</v>
      </c>
    </row>
    <row r="14" spans="1:28" ht="25.5" x14ac:dyDescent="0.55000000000000004">
      <c r="A14" s="10">
        <v>10</v>
      </c>
      <c r="B14" s="19" t="s">
        <v>25</v>
      </c>
      <c r="C14" s="79">
        <f>+'6'!G14</f>
        <v>8</v>
      </c>
      <c r="D14" s="87">
        <v>0</v>
      </c>
      <c r="E14" s="47">
        <f t="shared" si="0"/>
        <v>8</v>
      </c>
      <c r="F14" s="87">
        <v>0</v>
      </c>
      <c r="G14" s="47">
        <f t="shared" si="4"/>
        <v>7</v>
      </c>
      <c r="H14" s="88">
        <v>1</v>
      </c>
      <c r="I14" s="20">
        <v>65</v>
      </c>
      <c r="J14" s="82">
        <f t="shared" si="5"/>
        <v>65</v>
      </c>
      <c r="K14" s="17" t="s">
        <v>16</v>
      </c>
      <c r="L14" s="18">
        <v>0</v>
      </c>
      <c r="M14" s="104">
        <f t="shared" si="6"/>
        <v>65</v>
      </c>
      <c r="O14" s="10">
        <v>10</v>
      </c>
      <c r="P14" s="19"/>
      <c r="Q14" s="47">
        <v>0</v>
      </c>
      <c r="R14" s="87">
        <v>0</v>
      </c>
      <c r="S14" s="47">
        <f t="shared" si="1"/>
        <v>0</v>
      </c>
      <c r="T14" s="87">
        <v>0</v>
      </c>
      <c r="U14" s="47">
        <f t="shared" si="2"/>
        <v>0</v>
      </c>
      <c r="V14" s="88">
        <v>0</v>
      </c>
      <c r="W14" s="22"/>
      <c r="X14" s="44">
        <f t="shared" si="3"/>
        <v>0</v>
      </c>
      <c r="Y14" s="17" t="s">
        <v>16</v>
      </c>
      <c r="Z14" s="18">
        <v>0</v>
      </c>
      <c r="AB14" s="2" t="s">
        <v>306</v>
      </c>
    </row>
    <row r="15" spans="1:28" ht="25.5" x14ac:dyDescent="0.55000000000000004">
      <c r="A15" s="10">
        <v>11</v>
      </c>
      <c r="B15" s="19" t="s">
        <v>26</v>
      </c>
      <c r="C15" s="79">
        <f>+'6'!G15</f>
        <v>0</v>
      </c>
      <c r="D15" s="87">
        <v>0</v>
      </c>
      <c r="E15" s="47">
        <f t="shared" si="0"/>
        <v>0</v>
      </c>
      <c r="F15" s="87">
        <v>0</v>
      </c>
      <c r="G15" s="47">
        <f t="shared" si="4"/>
        <v>0</v>
      </c>
      <c r="H15" s="88"/>
      <c r="I15" s="20">
        <v>50</v>
      </c>
      <c r="J15" s="8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7">
        <v>0</v>
      </c>
      <c r="S15" s="47">
        <f t="shared" ref="S15:S29" si="7">Q15+R15</f>
        <v>0</v>
      </c>
      <c r="T15" s="87">
        <v>0</v>
      </c>
      <c r="U15" s="47">
        <f t="shared" ref="U15:U29" si="8">S15-T15-V15</f>
        <v>0</v>
      </c>
      <c r="V15" s="88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8" ht="25.5" x14ac:dyDescent="0.55000000000000004">
      <c r="A16" s="10">
        <v>12</v>
      </c>
      <c r="B16" s="19" t="s">
        <v>27</v>
      </c>
      <c r="C16" s="79">
        <f>+'6'!G16</f>
        <v>0</v>
      </c>
      <c r="D16" s="87">
        <v>0</v>
      </c>
      <c r="E16" s="47">
        <f t="shared" si="0"/>
        <v>0</v>
      </c>
      <c r="F16" s="87">
        <v>0</v>
      </c>
      <c r="G16" s="47">
        <f t="shared" si="4"/>
        <v>0</v>
      </c>
      <c r="H16" s="88"/>
      <c r="I16" s="15">
        <v>50</v>
      </c>
      <c r="J16" s="8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7">
        <v>0</v>
      </c>
      <c r="S16" s="47">
        <f t="shared" si="7"/>
        <v>0</v>
      </c>
      <c r="T16" s="87">
        <v>0</v>
      </c>
      <c r="U16" s="47">
        <f t="shared" si="8"/>
        <v>0</v>
      </c>
      <c r="V16" s="88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+'6'!G17</f>
        <v>0</v>
      </c>
      <c r="D17" s="87">
        <v>0</v>
      </c>
      <c r="E17" s="47">
        <f t="shared" si="0"/>
        <v>0</v>
      </c>
      <c r="F17" s="87">
        <v>0</v>
      </c>
      <c r="G17" s="47">
        <f t="shared" si="4"/>
        <v>0</v>
      </c>
      <c r="H17" s="88"/>
      <c r="I17" s="15">
        <v>50</v>
      </c>
      <c r="J17" s="8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7">
        <v>0</v>
      </c>
      <c r="S17" s="47">
        <f t="shared" si="7"/>
        <v>0</v>
      </c>
      <c r="T17" s="87">
        <v>0</v>
      </c>
      <c r="U17" s="47">
        <f t="shared" si="8"/>
        <v>0</v>
      </c>
      <c r="V17" s="88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+'6'!G18</f>
        <v>0</v>
      </c>
      <c r="D18" s="87">
        <v>0</v>
      </c>
      <c r="E18" s="47">
        <f t="shared" si="0"/>
        <v>0</v>
      </c>
      <c r="F18" s="87">
        <v>0</v>
      </c>
      <c r="G18" s="47">
        <f t="shared" si="4"/>
        <v>0</v>
      </c>
      <c r="H18" s="88"/>
      <c r="I18" s="20">
        <v>50</v>
      </c>
      <c r="J18" s="8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7">
        <v>0</v>
      </c>
      <c r="S18" s="47">
        <f t="shared" si="7"/>
        <v>0</v>
      </c>
      <c r="T18" s="87">
        <v>0</v>
      </c>
      <c r="U18" s="47">
        <f t="shared" si="8"/>
        <v>0</v>
      </c>
      <c r="V18" s="88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329</v>
      </c>
      <c r="C19" s="79">
        <f>+'6'!G19</f>
        <v>0</v>
      </c>
      <c r="D19" s="87">
        <v>0</v>
      </c>
      <c r="E19" s="47">
        <f t="shared" si="0"/>
        <v>0</v>
      </c>
      <c r="F19" s="87">
        <v>0</v>
      </c>
      <c r="G19" s="47">
        <f t="shared" si="4"/>
        <v>0</v>
      </c>
      <c r="H19" s="88"/>
      <c r="I19" s="15">
        <v>50</v>
      </c>
      <c r="J19" s="8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7">
        <v>0</v>
      </c>
      <c r="S19" s="47">
        <f t="shared" si="7"/>
        <v>0</v>
      </c>
      <c r="T19" s="87">
        <v>0</v>
      </c>
      <c r="U19" s="47">
        <f t="shared" si="8"/>
        <v>0</v>
      </c>
      <c r="V19" s="88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+'6'!G20</f>
        <v>0</v>
      </c>
      <c r="D20" s="87">
        <v>0</v>
      </c>
      <c r="E20" s="47">
        <f t="shared" si="0"/>
        <v>0</v>
      </c>
      <c r="F20" s="87">
        <v>0</v>
      </c>
      <c r="G20" s="47">
        <f t="shared" si="4"/>
        <v>0</v>
      </c>
      <c r="H20" s="88"/>
      <c r="I20" s="15">
        <v>50</v>
      </c>
      <c r="J20" s="8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7">
        <v>0</v>
      </c>
      <c r="S20" s="47">
        <f t="shared" si="7"/>
        <v>0</v>
      </c>
      <c r="T20" s="87">
        <v>0</v>
      </c>
      <c r="U20" s="47">
        <f t="shared" si="8"/>
        <v>0</v>
      </c>
      <c r="V20" s="88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+'6'!G21</f>
        <v>0</v>
      </c>
      <c r="D21" s="87">
        <v>0</v>
      </c>
      <c r="E21" s="47">
        <f t="shared" si="0"/>
        <v>0</v>
      </c>
      <c r="F21" s="87">
        <v>0</v>
      </c>
      <c r="G21" s="47">
        <f t="shared" si="4"/>
        <v>0</v>
      </c>
      <c r="H21" s="88"/>
      <c r="I21" s="15">
        <v>50</v>
      </c>
      <c r="J21" s="8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7">
        <v>0</v>
      </c>
      <c r="S21" s="47">
        <f t="shared" si="7"/>
        <v>0</v>
      </c>
      <c r="T21" s="87">
        <v>0</v>
      </c>
      <c r="U21" s="47">
        <f t="shared" si="8"/>
        <v>0</v>
      </c>
      <c r="V21" s="88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+'6'!G22</f>
        <v>4</v>
      </c>
      <c r="D22" s="87">
        <v>0</v>
      </c>
      <c r="E22" s="47">
        <f t="shared" si="0"/>
        <v>4</v>
      </c>
      <c r="F22" s="87">
        <v>0</v>
      </c>
      <c r="G22" s="47">
        <f t="shared" si="4"/>
        <v>0</v>
      </c>
      <c r="H22" s="88">
        <v>4</v>
      </c>
      <c r="I22" s="15">
        <v>85</v>
      </c>
      <c r="J22" s="82">
        <f t="shared" si="5"/>
        <v>340</v>
      </c>
      <c r="K22" s="17" t="s">
        <v>16</v>
      </c>
      <c r="L22" s="18">
        <v>0</v>
      </c>
      <c r="M22" s="104">
        <f t="shared" si="6"/>
        <v>340</v>
      </c>
      <c r="O22" s="10">
        <v>18</v>
      </c>
      <c r="P22" s="19"/>
      <c r="Q22" s="47">
        <v>0</v>
      </c>
      <c r="R22" s="87">
        <v>0</v>
      </c>
      <c r="S22" s="47">
        <f t="shared" si="7"/>
        <v>0</v>
      </c>
      <c r="T22" s="87">
        <v>0</v>
      </c>
      <c r="U22" s="47">
        <f t="shared" si="8"/>
        <v>0</v>
      </c>
      <c r="V22" s="88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+'6'!G23</f>
        <v>12</v>
      </c>
      <c r="D23" s="87">
        <v>0</v>
      </c>
      <c r="E23" s="47">
        <f t="shared" si="0"/>
        <v>12</v>
      </c>
      <c r="F23" s="87">
        <v>0</v>
      </c>
      <c r="G23" s="47">
        <f t="shared" si="4"/>
        <v>5</v>
      </c>
      <c r="H23" s="88">
        <v>7</v>
      </c>
      <c r="I23" s="15">
        <v>100</v>
      </c>
      <c r="J23" s="82">
        <f t="shared" si="5"/>
        <v>700</v>
      </c>
      <c r="K23" s="17" t="s">
        <v>16</v>
      </c>
      <c r="L23" s="18">
        <v>0</v>
      </c>
      <c r="M23" s="104">
        <f t="shared" si="6"/>
        <v>700</v>
      </c>
      <c r="O23" s="10">
        <v>19</v>
      </c>
      <c r="P23" s="19"/>
      <c r="Q23" s="47">
        <v>0</v>
      </c>
      <c r="R23" s="87">
        <v>0</v>
      </c>
      <c r="S23" s="47">
        <f t="shared" si="7"/>
        <v>0</v>
      </c>
      <c r="T23" s="87">
        <v>0</v>
      </c>
      <c r="U23" s="47">
        <f t="shared" si="8"/>
        <v>0</v>
      </c>
      <c r="V23" s="88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+'6'!G24</f>
        <v>6</v>
      </c>
      <c r="D24" s="87">
        <v>0</v>
      </c>
      <c r="E24" s="47">
        <f t="shared" si="0"/>
        <v>6</v>
      </c>
      <c r="F24" s="87">
        <v>0</v>
      </c>
      <c r="G24" s="47">
        <f t="shared" si="4"/>
        <v>3</v>
      </c>
      <c r="H24" s="88">
        <v>3</v>
      </c>
      <c r="I24" s="21">
        <v>100</v>
      </c>
      <c r="J24" s="82">
        <f t="shared" si="5"/>
        <v>300</v>
      </c>
      <c r="K24" s="17" t="s">
        <v>16</v>
      </c>
      <c r="L24" s="18">
        <v>0</v>
      </c>
      <c r="M24" s="104">
        <f t="shared" si="6"/>
        <v>300</v>
      </c>
      <c r="O24" s="10">
        <v>20</v>
      </c>
      <c r="P24" s="19"/>
      <c r="Q24" s="47">
        <v>0</v>
      </c>
      <c r="R24" s="87">
        <v>0</v>
      </c>
      <c r="S24" s="47">
        <f t="shared" si="7"/>
        <v>0</v>
      </c>
      <c r="T24" s="87">
        <v>0</v>
      </c>
      <c r="U24" s="47">
        <f t="shared" si="8"/>
        <v>0</v>
      </c>
      <c r="V24" s="88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+'6'!G25</f>
        <v>0</v>
      </c>
      <c r="D25" s="87">
        <v>0</v>
      </c>
      <c r="E25" s="47">
        <f t="shared" si="0"/>
        <v>0</v>
      </c>
      <c r="F25" s="87">
        <v>0</v>
      </c>
      <c r="G25" s="47">
        <f t="shared" si="4"/>
        <v>0</v>
      </c>
      <c r="H25" s="88"/>
      <c r="I25" s="21">
        <v>100</v>
      </c>
      <c r="J25" s="8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7">
        <v>0</v>
      </c>
      <c r="S25" s="47">
        <f t="shared" si="7"/>
        <v>0</v>
      </c>
      <c r="T25" s="87">
        <v>0</v>
      </c>
      <c r="U25" s="47">
        <f t="shared" si="8"/>
        <v>0</v>
      </c>
      <c r="V25" s="88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+'6'!G26</f>
        <v>3</v>
      </c>
      <c r="D26" s="87">
        <v>0</v>
      </c>
      <c r="E26" s="47">
        <f t="shared" si="0"/>
        <v>3</v>
      </c>
      <c r="F26" s="87">
        <v>0</v>
      </c>
      <c r="G26" s="47">
        <f t="shared" si="4"/>
        <v>1</v>
      </c>
      <c r="H26" s="88">
        <v>2</v>
      </c>
      <c r="I26" s="21">
        <v>100</v>
      </c>
      <c r="J26" s="82">
        <f t="shared" si="5"/>
        <v>200</v>
      </c>
      <c r="K26" s="17" t="s">
        <v>289</v>
      </c>
      <c r="L26" s="18">
        <v>100</v>
      </c>
      <c r="M26" s="104">
        <f t="shared" si="6"/>
        <v>100</v>
      </c>
      <c r="O26" s="10">
        <v>22</v>
      </c>
      <c r="P26" s="19"/>
      <c r="Q26" s="47">
        <v>0</v>
      </c>
      <c r="R26" s="87">
        <v>0</v>
      </c>
      <c r="S26" s="47">
        <f t="shared" si="7"/>
        <v>0</v>
      </c>
      <c r="T26" s="87">
        <v>0</v>
      </c>
      <c r="U26" s="47">
        <f t="shared" si="8"/>
        <v>0</v>
      </c>
      <c r="V26" s="88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+'6'!G27</f>
        <v>0</v>
      </c>
      <c r="D27" s="87">
        <v>0</v>
      </c>
      <c r="E27" s="47">
        <f t="shared" si="0"/>
        <v>0</v>
      </c>
      <c r="F27" s="87">
        <v>0</v>
      </c>
      <c r="G27" s="47">
        <f t="shared" si="4"/>
        <v>0</v>
      </c>
      <c r="H27" s="88"/>
      <c r="I27" s="20">
        <v>100</v>
      </c>
      <c r="J27" s="8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7">
        <v>0</v>
      </c>
      <c r="S27" s="47">
        <f t="shared" si="7"/>
        <v>0</v>
      </c>
      <c r="T27" s="87">
        <v>0</v>
      </c>
      <c r="U27" s="47">
        <f t="shared" si="8"/>
        <v>0</v>
      </c>
      <c r="V27" s="88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+'6'!G28</f>
        <v>0</v>
      </c>
      <c r="D28" s="87">
        <v>0</v>
      </c>
      <c r="E28" s="47">
        <f t="shared" si="0"/>
        <v>0</v>
      </c>
      <c r="F28" s="87">
        <v>0</v>
      </c>
      <c r="G28" s="47">
        <f t="shared" si="4"/>
        <v>0</v>
      </c>
      <c r="H28" s="88"/>
      <c r="I28" s="20">
        <v>100</v>
      </c>
      <c r="J28" s="8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7">
        <v>0</v>
      </c>
      <c r="S28" s="47">
        <f t="shared" si="7"/>
        <v>0</v>
      </c>
      <c r="T28" s="87">
        <v>0</v>
      </c>
      <c r="U28" s="47">
        <f t="shared" si="8"/>
        <v>0</v>
      </c>
      <c r="V28" s="88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+'6'!G29</f>
        <v>9</v>
      </c>
      <c r="D29" s="87">
        <v>0</v>
      </c>
      <c r="E29" s="47">
        <f t="shared" si="0"/>
        <v>9</v>
      </c>
      <c r="F29" s="87">
        <v>0</v>
      </c>
      <c r="G29" s="47">
        <f t="shared" si="4"/>
        <v>7</v>
      </c>
      <c r="H29" s="88">
        <v>2</v>
      </c>
      <c r="I29" s="15">
        <v>100</v>
      </c>
      <c r="J29" s="82">
        <f t="shared" si="5"/>
        <v>200</v>
      </c>
      <c r="K29" s="17" t="s">
        <v>289</v>
      </c>
      <c r="L29" s="18">
        <v>100</v>
      </c>
      <c r="M29" s="104">
        <f t="shared" si="6"/>
        <v>100</v>
      </c>
      <c r="O29" s="10">
        <v>25</v>
      </c>
      <c r="P29" s="19"/>
      <c r="Q29" s="47">
        <v>0</v>
      </c>
      <c r="R29" s="87">
        <v>0</v>
      </c>
      <c r="S29" s="47">
        <f t="shared" si="7"/>
        <v>0</v>
      </c>
      <c r="T29" s="87">
        <v>0</v>
      </c>
      <c r="U29" s="47">
        <f t="shared" si="8"/>
        <v>0</v>
      </c>
      <c r="V29" s="88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+'6'!G30</f>
        <v>0</v>
      </c>
      <c r="D30" s="87">
        <v>0</v>
      </c>
      <c r="E30" s="47">
        <f t="shared" si="0"/>
        <v>0</v>
      </c>
      <c r="F30" s="87">
        <v>0</v>
      </c>
      <c r="G30" s="47">
        <f t="shared" si="4"/>
        <v>0</v>
      </c>
      <c r="H30" s="88"/>
      <c r="I30" s="15">
        <v>100</v>
      </c>
      <c r="J30" s="8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+'6'!G31</f>
        <v>2</v>
      </c>
      <c r="D31" s="87">
        <v>0</v>
      </c>
      <c r="E31" s="47">
        <f t="shared" si="0"/>
        <v>2</v>
      </c>
      <c r="F31" s="87">
        <v>0</v>
      </c>
      <c r="G31" s="47">
        <f t="shared" si="4"/>
        <v>2</v>
      </c>
      <c r="H31" s="88"/>
      <c r="I31" s="15">
        <v>100</v>
      </c>
      <c r="J31" s="82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+'6'!G32</f>
        <v>0</v>
      </c>
      <c r="D32" s="87">
        <v>0</v>
      </c>
      <c r="E32" s="47">
        <f t="shared" si="0"/>
        <v>0</v>
      </c>
      <c r="F32" s="87">
        <v>0</v>
      </c>
      <c r="G32" s="47">
        <f t="shared" si="4"/>
        <v>0</v>
      </c>
      <c r="H32" s="88"/>
      <c r="I32" s="15">
        <v>130</v>
      </c>
      <c r="J32" s="82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5" t="s">
        <v>119</v>
      </c>
      <c r="Q32" s="146"/>
      <c r="R32" s="146"/>
      <c r="S32" s="146"/>
      <c r="T32" s="146"/>
      <c r="U32" s="146"/>
      <c r="V32" s="146"/>
      <c r="W32" s="147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+'6'!G33</f>
        <v>0</v>
      </c>
      <c r="D33" s="87">
        <v>0</v>
      </c>
      <c r="E33" s="47">
        <f t="shared" si="0"/>
        <v>0</v>
      </c>
      <c r="F33" s="87">
        <v>0</v>
      </c>
      <c r="G33" s="47">
        <f t="shared" si="4"/>
        <v>0</v>
      </c>
      <c r="H33" s="88"/>
      <c r="I33" s="15">
        <v>130</v>
      </c>
      <c r="J33" s="82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+'6'!G34</f>
        <v>5</v>
      </c>
      <c r="D34" s="87">
        <v>0</v>
      </c>
      <c r="E34" s="47">
        <f t="shared" si="0"/>
        <v>5</v>
      </c>
      <c r="F34" s="87">
        <v>0</v>
      </c>
      <c r="G34" s="47">
        <f t="shared" si="4"/>
        <v>5</v>
      </c>
      <c r="H34" s="88"/>
      <c r="I34" s="15">
        <v>130</v>
      </c>
      <c r="J34" s="82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+'6'!G35</f>
        <v>5</v>
      </c>
      <c r="D35" s="87">
        <v>0</v>
      </c>
      <c r="E35" s="47">
        <f t="shared" si="0"/>
        <v>5</v>
      </c>
      <c r="F35" s="87">
        <v>0</v>
      </c>
      <c r="G35" s="47">
        <f t="shared" si="4"/>
        <v>0</v>
      </c>
      <c r="H35" s="88">
        <v>5</v>
      </c>
      <c r="I35" s="15">
        <v>130</v>
      </c>
      <c r="J35" s="82">
        <f t="shared" si="5"/>
        <v>650</v>
      </c>
      <c r="K35" s="17" t="s">
        <v>16</v>
      </c>
      <c r="L35" s="18">
        <v>0</v>
      </c>
      <c r="M35" s="104">
        <f t="shared" si="6"/>
        <v>650</v>
      </c>
    </row>
    <row r="36" spans="1:13" ht="25.5" x14ac:dyDescent="0.55000000000000004">
      <c r="A36" s="10">
        <v>32</v>
      </c>
      <c r="B36" s="19" t="s">
        <v>47</v>
      </c>
      <c r="C36" s="79">
        <f>+'6'!G36</f>
        <v>0</v>
      </c>
      <c r="D36" s="87">
        <v>0</v>
      </c>
      <c r="E36" s="47">
        <f t="shared" si="0"/>
        <v>0</v>
      </c>
      <c r="F36" s="87">
        <v>0</v>
      </c>
      <c r="G36" s="47">
        <f t="shared" si="4"/>
        <v>0</v>
      </c>
      <c r="H36" s="88"/>
      <c r="I36" s="15">
        <v>100</v>
      </c>
      <c r="J36" s="82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+'6'!G37</f>
        <v>21</v>
      </c>
      <c r="D37" s="87">
        <v>0</v>
      </c>
      <c r="E37" s="47">
        <f t="shared" si="0"/>
        <v>21</v>
      </c>
      <c r="F37" s="87">
        <v>0</v>
      </c>
      <c r="G37" s="47">
        <f t="shared" si="4"/>
        <v>15</v>
      </c>
      <c r="H37" s="88">
        <v>6</v>
      </c>
      <c r="I37" s="15">
        <v>100</v>
      </c>
      <c r="J37" s="82">
        <f t="shared" si="5"/>
        <v>600</v>
      </c>
      <c r="K37" s="17" t="s">
        <v>16</v>
      </c>
      <c r="L37" s="18">
        <v>0</v>
      </c>
      <c r="M37" s="104">
        <f t="shared" si="6"/>
        <v>600</v>
      </c>
    </row>
    <row r="38" spans="1:13" ht="25.5" x14ac:dyDescent="0.55000000000000004">
      <c r="A38" s="10">
        <v>34</v>
      </c>
      <c r="B38" s="19" t="s">
        <v>49</v>
      </c>
      <c r="C38" s="79">
        <f>+'6'!G38</f>
        <v>0</v>
      </c>
      <c r="D38" s="87">
        <v>0</v>
      </c>
      <c r="E38" s="47">
        <f t="shared" si="0"/>
        <v>0</v>
      </c>
      <c r="F38" s="87">
        <v>0</v>
      </c>
      <c r="G38" s="47">
        <f t="shared" si="4"/>
        <v>0</v>
      </c>
      <c r="H38" s="88"/>
      <c r="I38" s="15">
        <v>50</v>
      </c>
      <c r="J38" s="82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+'6'!G39</f>
        <v>0</v>
      </c>
      <c r="D39" s="87">
        <v>0</v>
      </c>
      <c r="E39" s="47">
        <f t="shared" si="0"/>
        <v>0</v>
      </c>
      <c r="F39" s="87">
        <v>0</v>
      </c>
      <c r="G39" s="47">
        <f t="shared" si="4"/>
        <v>0</v>
      </c>
      <c r="H39" s="88"/>
      <c r="I39" s="15">
        <v>50</v>
      </c>
      <c r="J39" s="82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+'6'!G40</f>
        <v>1</v>
      </c>
      <c r="D40" s="87">
        <v>0</v>
      </c>
      <c r="E40" s="47">
        <f t="shared" si="0"/>
        <v>1</v>
      </c>
      <c r="F40" s="87">
        <v>0</v>
      </c>
      <c r="G40" s="47">
        <f t="shared" si="4"/>
        <v>1</v>
      </c>
      <c r="H40" s="88"/>
      <c r="I40" s="15">
        <v>50</v>
      </c>
      <c r="J40" s="82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+'6'!G41</f>
        <v>0</v>
      </c>
      <c r="D41" s="87">
        <v>0</v>
      </c>
      <c r="E41" s="47">
        <f t="shared" si="0"/>
        <v>0</v>
      </c>
      <c r="F41" s="87">
        <v>0</v>
      </c>
      <c r="G41" s="47">
        <f t="shared" si="4"/>
        <v>0</v>
      </c>
      <c r="H41" s="88"/>
      <c r="I41" s="15">
        <v>50</v>
      </c>
      <c r="J41" s="82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285</v>
      </c>
      <c r="C42" s="79">
        <f>+'6'!G42</f>
        <v>2</v>
      </c>
      <c r="D42" s="87">
        <v>0</v>
      </c>
      <c r="E42" s="47">
        <f t="shared" si="0"/>
        <v>2</v>
      </c>
      <c r="F42" s="87">
        <v>0</v>
      </c>
      <c r="G42" s="79">
        <f t="shared" si="4"/>
        <v>2</v>
      </c>
      <c r="H42" s="88"/>
      <c r="I42" s="15">
        <v>50</v>
      </c>
      <c r="J42" s="82">
        <f t="shared" si="5"/>
        <v>0</v>
      </c>
      <c r="K42" s="17" t="s">
        <v>16</v>
      </c>
      <c r="L42" s="18">
        <v>0</v>
      </c>
      <c r="M42" s="104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+'6'!G43</f>
        <v>2</v>
      </c>
      <c r="D43" s="87">
        <v>0</v>
      </c>
      <c r="E43" s="47">
        <f t="shared" si="0"/>
        <v>2</v>
      </c>
      <c r="F43" s="87">
        <v>0</v>
      </c>
      <c r="G43" s="79">
        <f t="shared" si="4"/>
        <v>1</v>
      </c>
      <c r="H43" s="88">
        <v>1</v>
      </c>
      <c r="I43" s="15">
        <v>50</v>
      </c>
      <c r="J43" s="82">
        <f t="shared" si="5"/>
        <v>50</v>
      </c>
      <c r="K43" s="17" t="s">
        <v>287</v>
      </c>
      <c r="L43" s="18">
        <v>50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+'6'!G44</f>
        <v>0</v>
      </c>
      <c r="D44" s="87">
        <v>0</v>
      </c>
      <c r="E44" s="47">
        <f t="shared" si="0"/>
        <v>0</v>
      </c>
      <c r="F44" s="87">
        <v>0</v>
      </c>
      <c r="G44" s="79">
        <f t="shared" si="4"/>
        <v>0</v>
      </c>
      <c r="H44" s="88"/>
      <c r="I44" s="15">
        <v>50</v>
      </c>
      <c r="J44" s="82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+'6'!G45</f>
        <v>0</v>
      </c>
      <c r="D45" s="87">
        <v>0</v>
      </c>
      <c r="E45" s="47">
        <f t="shared" si="0"/>
        <v>0</v>
      </c>
      <c r="F45" s="87">
        <v>0</v>
      </c>
      <c r="G45" s="79">
        <f t="shared" si="4"/>
        <v>0</v>
      </c>
      <c r="H45" s="88"/>
      <c r="I45" s="15">
        <v>50</v>
      </c>
      <c r="J45" s="82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286</v>
      </c>
      <c r="C46" s="79">
        <f>+'6'!G46</f>
        <v>4</v>
      </c>
      <c r="D46" s="87">
        <v>0</v>
      </c>
      <c r="E46" s="47">
        <f t="shared" si="0"/>
        <v>4</v>
      </c>
      <c r="F46" s="87">
        <v>0</v>
      </c>
      <c r="G46" s="79">
        <f t="shared" si="4"/>
        <v>2</v>
      </c>
      <c r="H46" s="88">
        <v>2</v>
      </c>
      <c r="I46" s="15">
        <v>50</v>
      </c>
      <c r="J46" s="82">
        <f t="shared" si="5"/>
        <v>100</v>
      </c>
      <c r="K46" s="17" t="s">
        <v>16</v>
      </c>
      <c r="L46" s="18">
        <v>0</v>
      </c>
      <c r="M46" s="23">
        <f t="shared" si="6"/>
        <v>100</v>
      </c>
    </row>
    <row r="47" spans="1:13" ht="25.5" x14ac:dyDescent="0.55000000000000004">
      <c r="A47" s="10">
        <v>43</v>
      </c>
      <c r="B47" s="19" t="s">
        <v>58</v>
      </c>
      <c r="C47" s="79">
        <f>+'6'!G47</f>
        <v>3</v>
      </c>
      <c r="D47" s="87">
        <v>0</v>
      </c>
      <c r="E47" s="47">
        <f t="shared" si="0"/>
        <v>3</v>
      </c>
      <c r="F47" s="87">
        <v>0</v>
      </c>
      <c r="G47" s="47">
        <f t="shared" si="4"/>
        <v>2</v>
      </c>
      <c r="H47" s="88">
        <v>1</v>
      </c>
      <c r="I47" s="15">
        <v>50</v>
      </c>
      <c r="J47" s="82">
        <f t="shared" si="5"/>
        <v>50</v>
      </c>
      <c r="K47" s="17" t="s">
        <v>287</v>
      </c>
      <c r="L47" s="18">
        <v>50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+'6'!G48</f>
        <v>3</v>
      </c>
      <c r="D48" s="87">
        <v>0</v>
      </c>
      <c r="E48" s="47">
        <f t="shared" si="0"/>
        <v>3</v>
      </c>
      <c r="F48" s="87">
        <v>0</v>
      </c>
      <c r="G48" s="47">
        <f t="shared" si="4"/>
        <v>2</v>
      </c>
      <c r="H48" s="88">
        <v>1</v>
      </c>
      <c r="I48" s="15">
        <v>50</v>
      </c>
      <c r="J48" s="82">
        <f t="shared" si="5"/>
        <v>50</v>
      </c>
      <c r="K48" s="17" t="s">
        <v>287</v>
      </c>
      <c r="L48" s="18">
        <v>50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+'6'!G49</f>
        <v>3</v>
      </c>
      <c r="D49" s="87">
        <v>0</v>
      </c>
      <c r="E49" s="47">
        <f t="shared" si="0"/>
        <v>3</v>
      </c>
      <c r="F49" s="87">
        <v>0</v>
      </c>
      <c r="G49" s="47">
        <f t="shared" si="4"/>
        <v>2</v>
      </c>
      <c r="H49" s="88">
        <v>1</v>
      </c>
      <c r="I49" s="15">
        <v>50</v>
      </c>
      <c r="J49" s="82">
        <f t="shared" si="5"/>
        <v>50</v>
      </c>
      <c r="K49" s="17" t="s">
        <v>16</v>
      </c>
      <c r="L49" s="18">
        <v>0</v>
      </c>
      <c r="M49" s="104">
        <f t="shared" si="6"/>
        <v>50</v>
      </c>
    </row>
    <row r="50" spans="1:13" ht="25.5" x14ac:dyDescent="0.55000000000000004">
      <c r="A50" s="10">
        <v>46</v>
      </c>
      <c r="B50" s="19" t="s">
        <v>61</v>
      </c>
      <c r="C50" s="79">
        <f>+'6'!G50</f>
        <v>5</v>
      </c>
      <c r="D50" s="87">
        <v>0</v>
      </c>
      <c r="E50" s="47">
        <f t="shared" si="0"/>
        <v>5</v>
      </c>
      <c r="F50" s="87">
        <v>0</v>
      </c>
      <c r="G50" s="47">
        <f t="shared" si="4"/>
        <v>5</v>
      </c>
      <c r="H50" s="88"/>
      <c r="I50" s="15">
        <v>120</v>
      </c>
      <c r="J50" s="82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+'6'!G51</f>
        <v>3</v>
      </c>
      <c r="D51" s="87">
        <v>0</v>
      </c>
      <c r="E51" s="47">
        <f t="shared" si="0"/>
        <v>3</v>
      </c>
      <c r="F51" s="87">
        <v>1</v>
      </c>
      <c r="G51" s="47">
        <f t="shared" si="4"/>
        <v>2</v>
      </c>
      <c r="H51" s="88"/>
      <c r="I51" s="15">
        <v>120</v>
      </c>
      <c r="J51" s="82">
        <f t="shared" si="5"/>
        <v>0</v>
      </c>
      <c r="K51" s="17" t="s">
        <v>306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+'6'!G52</f>
        <v>0</v>
      </c>
      <c r="D52" s="87">
        <v>0</v>
      </c>
      <c r="E52" s="47">
        <f t="shared" si="0"/>
        <v>0</v>
      </c>
      <c r="F52" s="87">
        <v>0</v>
      </c>
      <c r="G52" s="47">
        <f t="shared" si="4"/>
        <v>0</v>
      </c>
      <c r="H52" s="88"/>
      <c r="I52" s="21">
        <v>120</v>
      </c>
      <c r="J52" s="82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+'6'!G53</f>
        <v>0</v>
      </c>
      <c r="D53" s="87">
        <v>0</v>
      </c>
      <c r="E53" s="47">
        <f t="shared" si="0"/>
        <v>0</v>
      </c>
      <c r="F53" s="87">
        <v>0</v>
      </c>
      <c r="G53" s="47">
        <f t="shared" si="4"/>
        <v>0</v>
      </c>
      <c r="H53" s="88"/>
      <c r="I53" s="15">
        <v>120</v>
      </c>
      <c r="J53" s="82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+'6'!G54</f>
        <v>0</v>
      </c>
      <c r="D54" s="87">
        <v>0</v>
      </c>
      <c r="E54" s="47">
        <f t="shared" si="0"/>
        <v>0</v>
      </c>
      <c r="F54" s="87">
        <v>0</v>
      </c>
      <c r="G54" s="47">
        <f t="shared" si="4"/>
        <v>0</v>
      </c>
      <c r="H54" s="88"/>
      <c r="I54" s="15">
        <v>120</v>
      </c>
      <c r="J54" s="82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+'6'!G55</f>
        <v>1</v>
      </c>
      <c r="D55" s="87">
        <v>0</v>
      </c>
      <c r="E55" s="47">
        <f t="shared" si="0"/>
        <v>1</v>
      </c>
      <c r="F55" s="87">
        <v>0</v>
      </c>
      <c r="G55" s="47">
        <f t="shared" si="4"/>
        <v>1</v>
      </c>
      <c r="H55" s="88"/>
      <c r="I55" s="21">
        <v>120</v>
      </c>
      <c r="J55" s="82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+'6'!G56</f>
        <v>3</v>
      </c>
      <c r="D56" s="87">
        <v>0</v>
      </c>
      <c r="E56" s="47">
        <f t="shared" si="0"/>
        <v>3</v>
      </c>
      <c r="F56" s="87">
        <v>0</v>
      </c>
      <c r="G56" s="47">
        <f t="shared" si="4"/>
        <v>3</v>
      </c>
      <c r="H56" s="88"/>
      <c r="I56" s="21">
        <v>120</v>
      </c>
      <c r="J56" s="82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+'6'!G57</f>
        <v>4</v>
      </c>
      <c r="D57" s="87">
        <v>0</v>
      </c>
      <c r="E57" s="47">
        <f t="shared" si="0"/>
        <v>4</v>
      </c>
      <c r="F57" s="87">
        <v>0</v>
      </c>
      <c r="G57" s="47">
        <f t="shared" si="4"/>
        <v>4</v>
      </c>
      <c r="H57" s="88"/>
      <c r="I57" s="21">
        <v>120</v>
      </c>
      <c r="J57" s="82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+'6'!G58</f>
        <v>0</v>
      </c>
      <c r="D58" s="87">
        <v>0</v>
      </c>
      <c r="E58" s="47">
        <f t="shared" si="0"/>
        <v>0</v>
      </c>
      <c r="F58" s="87">
        <v>0</v>
      </c>
      <c r="G58" s="47">
        <f t="shared" si="4"/>
        <v>0</v>
      </c>
      <c r="H58" s="88"/>
      <c r="I58" s="21">
        <v>120</v>
      </c>
      <c r="J58" s="82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+'6'!G59</f>
        <v>0</v>
      </c>
      <c r="D59" s="87">
        <v>0</v>
      </c>
      <c r="E59" s="47">
        <f t="shared" si="0"/>
        <v>0</v>
      </c>
      <c r="F59" s="87">
        <v>0</v>
      </c>
      <c r="G59" s="47">
        <f t="shared" si="4"/>
        <v>0</v>
      </c>
      <c r="H59" s="88"/>
      <c r="I59" s="15">
        <v>70</v>
      </c>
      <c r="J59" s="82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+'6'!G60</f>
        <v>0</v>
      </c>
      <c r="D60" s="87">
        <v>0</v>
      </c>
      <c r="E60" s="47">
        <f t="shared" si="0"/>
        <v>0</v>
      </c>
      <c r="F60" s="87">
        <v>0</v>
      </c>
      <c r="G60" s="47">
        <f t="shared" si="4"/>
        <v>0</v>
      </c>
      <c r="H60" s="88"/>
      <c r="I60" s="21">
        <v>80</v>
      </c>
      <c r="J60" s="82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+'6'!G61</f>
        <v>0</v>
      </c>
      <c r="D61" s="87">
        <v>0</v>
      </c>
      <c r="E61" s="47">
        <f t="shared" si="0"/>
        <v>0</v>
      </c>
      <c r="F61" s="87">
        <v>0</v>
      </c>
      <c r="G61" s="47">
        <f t="shared" si="4"/>
        <v>0</v>
      </c>
      <c r="H61" s="88"/>
      <c r="I61" s="15">
        <v>50</v>
      </c>
      <c r="J61" s="82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+'6'!G62</f>
        <v>2</v>
      </c>
      <c r="D62" s="87">
        <v>0</v>
      </c>
      <c r="E62" s="47">
        <f t="shared" si="0"/>
        <v>2</v>
      </c>
      <c r="F62" s="87">
        <v>0</v>
      </c>
      <c r="G62" s="47">
        <f t="shared" si="4"/>
        <v>0</v>
      </c>
      <c r="H62" s="88">
        <v>2</v>
      </c>
      <c r="I62" s="20">
        <v>50</v>
      </c>
      <c r="J62" s="82">
        <f t="shared" si="5"/>
        <v>100</v>
      </c>
      <c r="K62" s="17" t="s">
        <v>16</v>
      </c>
      <c r="L62" s="18">
        <v>0</v>
      </c>
      <c r="M62" s="104">
        <f t="shared" si="6"/>
        <v>100</v>
      </c>
    </row>
    <row r="63" spans="1:13" ht="25.5" x14ac:dyDescent="0.55000000000000004">
      <c r="A63" s="10">
        <v>59</v>
      </c>
      <c r="B63" s="19" t="s">
        <v>74</v>
      </c>
      <c r="C63" s="79">
        <f>+'6'!G63</f>
        <v>0</v>
      </c>
      <c r="D63" s="87">
        <v>0</v>
      </c>
      <c r="E63" s="47">
        <f t="shared" si="0"/>
        <v>0</v>
      </c>
      <c r="F63" s="87">
        <v>0</v>
      </c>
      <c r="G63" s="47">
        <f t="shared" si="4"/>
        <v>0</v>
      </c>
      <c r="H63" s="88"/>
      <c r="I63" s="20">
        <v>50</v>
      </c>
      <c r="J63" s="82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+'6'!G64</f>
        <v>0</v>
      </c>
      <c r="D64" s="87">
        <v>0</v>
      </c>
      <c r="E64" s="47">
        <f t="shared" si="0"/>
        <v>0</v>
      </c>
      <c r="F64" s="87">
        <v>0</v>
      </c>
      <c r="G64" s="47">
        <f t="shared" si="4"/>
        <v>0</v>
      </c>
      <c r="H64" s="88"/>
      <c r="I64" s="21">
        <v>30</v>
      </c>
      <c r="J64" s="82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+'6'!G65</f>
        <v>0</v>
      </c>
      <c r="D65" s="87">
        <v>0</v>
      </c>
      <c r="E65" s="47">
        <f t="shared" si="0"/>
        <v>0</v>
      </c>
      <c r="F65" s="87">
        <v>0</v>
      </c>
      <c r="G65" s="47">
        <f t="shared" si="4"/>
        <v>0</v>
      </c>
      <c r="H65" s="88"/>
      <c r="I65" s="21">
        <v>30</v>
      </c>
      <c r="J65" s="82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+'6'!G66</f>
        <v>6</v>
      </c>
      <c r="D66" s="87">
        <v>0</v>
      </c>
      <c r="E66" s="47">
        <f t="shared" si="0"/>
        <v>6</v>
      </c>
      <c r="F66" s="87">
        <v>0</v>
      </c>
      <c r="G66" s="47">
        <f t="shared" si="4"/>
        <v>3</v>
      </c>
      <c r="H66" s="88">
        <v>3</v>
      </c>
      <c r="I66" s="15">
        <v>50</v>
      </c>
      <c r="J66" s="82">
        <f t="shared" si="5"/>
        <v>150</v>
      </c>
      <c r="K66" s="17" t="s">
        <v>16</v>
      </c>
      <c r="L66" s="18">
        <v>0</v>
      </c>
      <c r="M66" s="104">
        <f t="shared" si="6"/>
        <v>150</v>
      </c>
    </row>
    <row r="67" spans="1:13" ht="25.5" x14ac:dyDescent="0.55000000000000004">
      <c r="A67" s="10">
        <v>63</v>
      </c>
      <c r="B67" s="19" t="s">
        <v>78</v>
      </c>
      <c r="C67" s="79">
        <f>+'6'!G67</f>
        <v>2</v>
      </c>
      <c r="D67" s="87">
        <v>0</v>
      </c>
      <c r="E67" s="47">
        <f t="shared" si="0"/>
        <v>2</v>
      </c>
      <c r="F67" s="87">
        <v>0</v>
      </c>
      <c r="G67" s="47">
        <f t="shared" si="4"/>
        <v>2</v>
      </c>
      <c r="H67" s="88"/>
      <c r="I67" s="15">
        <v>50</v>
      </c>
      <c r="J67" s="82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+'6'!G68</f>
        <v>0</v>
      </c>
      <c r="D68" s="87">
        <v>0</v>
      </c>
      <c r="E68" s="47">
        <f t="shared" si="0"/>
        <v>0</v>
      </c>
      <c r="F68" s="87">
        <v>0</v>
      </c>
      <c r="G68" s="47">
        <f t="shared" si="4"/>
        <v>0</v>
      </c>
      <c r="H68" s="88"/>
      <c r="I68" s="20">
        <v>35</v>
      </c>
      <c r="J68" s="82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+'6'!G69</f>
        <v>0</v>
      </c>
      <c r="D69" s="87">
        <v>0</v>
      </c>
      <c r="E69" s="47">
        <f t="shared" si="0"/>
        <v>0</v>
      </c>
      <c r="F69" s="87">
        <v>0</v>
      </c>
      <c r="G69" s="47">
        <f t="shared" si="4"/>
        <v>0</v>
      </c>
      <c r="H69" s="88"/>
      <c r="I69" s="20">
        <v>25</v>
      </c>
      <c r="J69" s="82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+'6'!G70</f>
        <v>10</v>
      </c>
      <c r="D70" s="87">
        <v>0</v>
      </c>
      <c r="E70" s="47">
        <f t="shared" si="0"/>
        <v>10</v>
      </c>
      <c r="F70" s="87">
        <v>3</v>
      </c>
      <c r="G70" s="47">
        <f t="shared" si="4"/>
        <v>4</v>
      </c>
      <c r="H70" s="88">
        <v>3</v>
      </c>
      <c r="I70" s="20">
        <v>50</v>
      </c>
      <c r="J70" s="82">
        <f t="shared" si="5"/>
        <v>150</v>
      </c>
      <c r="K70" s="17" t="s">
        <v>289</v>
      </c>
      <c r="L70" s="18">
        <v>50</v>
      </c>
      <c r="M70" s="104">
        <f t="shared" ref="M70:M134" si="10">SUM(J70-L70)</f>
        <v>100</v>
      </c>
    </row>
    <row r="71" spans="1:13" ht="25.5" x14ac:dyDescent="0.55000000000000004">
      <c r="A71" s="10">
        <v>67</v>
      </c>
      <c r="B71" s="19" t="s">
        <v>82</v>
      </c>
      <c r="C71" s="79">
        <f>+'6'!G71</f>
        <v>6</v>
      </c>
      <c r="D71" s="87">
        <v>0</v>
      </c>
      <c r="E71" s="47">
        <f t="shared" si="0"/>
        <v>6</v>
      </c>
      <c r="F71" s="87">
        <v>0</v>
      </c>
      <c r="G71" s="47">
        <f t="shared" si="4"/>
        <v>3</v>
      </c>
      <c r="H71" s="88">
        <v>3</v>
      </c>
      <c r="I71" s="20">
        <v>60</v>
      </c>
      <c r="J71" s="82">
        <f t="shared" si="5"/>
        <v>180</v>
      </c>
      <c r="K71" s="17" t="s">
        <v>289</v>
      </c>
      <c r="L71" s="18">
        <v>30</v>
      </c>
      <c r="M71" s="104">
        <f t="shared" si="10"/>
        <v>150</v>
      </c>
    </row>
    <row r="72" spans="1:13" ht="25.5" x14ac:dyDescent="0.55000000000000004">
      <c r="A72" s="10">
        <v>68</v>
      </c>
      <c r="B72" s="19" t="s">
        <v>83</v>
      </c>
      <c r="C72" s="79">
        <f>+'6'!G72</f>
        <v>0</v>
      </c>
      <c r="D72" s="87">
        <v>0</v>
      </c>
      <c r="E72" s="47">
        <f t="shared" si="0"/>
        <v>0</v>
      </c>
      <c r="F72" s="87">
        <v>0</v>
      </c>
      <c r="G72" s="47">
        <f t="shared" si="4"/>
        <v>0</v>
      </c>
      <c r="H72" s="88"/>
      <c r="I72" s="22">
        <v>50</v>
      </c>
      <c r="J72" s="82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+'6'!G73</f>
        <v>0</v>
      </c>
      <c r="D73" s="87">
        <v>0</v>
      </c>
      <c r="E73" s="47">
        <f t="shared" si="0"/>
        <v>0</v>
      </c>
      <c r="F73" s="87">
        <v>0</v>
      </c>
      <c r="G73" s="47">
        <f t="shared" si="4"/>
        <v>0</v>
      </c>
      <c r="H73" s="88"/>
      <c r="I73" s="20">
        <v>60</v>
      </c>
      <c r="J73" s="82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+'6'!G74</f>
        <v>0</v>
      </c>
      <c r="D74" s="87">
        <v>0</v>
      </c>
      <c r="E74" s="47">
        <f t="shared" si="0"/>
        <v>0</v>
      </c>
      <c r="F74" s="87">
        <v>0</v>
      </c>
      <c r="G74" s="47">
        <f t="shared" si="4"/>
        <v>0</v>
      </c>
      <c r="H74" s="88"/>
      <c r="I74" s="22">
        <v>120</v>
      </c>
      <c r="J74" s="82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+'6'!G75</f>
        <v>0</v>
      </c>
      <c r="D75" s="87">
        <v>0</v>
      </c>
      <c r="E75" s="47">
        <f t="shared" si="0"/>
        <v>0</v>
      </c>
      <c r="F75" s="87">
        <v>0</v>
      </c>
      <c r="G75" s="47">
        <f t="shared" si="4"/>
        <v>0</v>
      </c>
      <c r="H75" s="88"/>
      <c r="I75" s="22">
        <v>60</v>
      </c>
      <c r="J75" s="82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+'6'!G76</f>
        <v>0</v>
      </c>
      <c r="D76" s="87">
        <v>0</v>
      </c>
      <c r="E76" s="47">
        <f t="shared" si="0"/>
        <v>0</v>
      </c>
      <c r="F76" s="87">
        <v>0</v>
      </c>
      <c r="G76" s="47">
        <f t="shared" si="4"/>
        <v>0</v>
      </c>
      <c r="H76" s="88"/>
      <c r="I76" s="22">
        <v>120</v>
      </c>
      <c r="J76" s="82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272</v>
      </c>
      <c r="C77" s="79">
        <f>+'6'!G77</f>
        <v>2</v>
      </c>
      <c r="D77" s="87">
        <v>0</v>
      </c>
      <c r="E77" s="47">
        <f>C77+D77</f>
        <v>2</v>
      </c>
      <c r="F77" s="87">
        <v>0</v>
      </c>
      <c r="G77" s="47">
        <f>+E77-F77-H77</f>
        <v>1</v>
      </c>
      <c r="H77" s="88">
        <v>1</v>
      </c>
      <c r="I77" s="20">
        <v>50</v>
      </c>
      <c r="J77" s="82">
        <f>+I77*H77</f>
        <v>50</v>
      </c>
      <c r="K77" s="17" t="s">
        <v>16</v>
      </c>
      <c r="L77" s="18">
        <v>0</v>
      </c>
      <c r="M77" s="104">
        <f>SUM(J77-L77)</f>
        <v>50</v>
      </c>
    </row>
    <row r="78" spans="1:13" ht="25.5" x14ac:dyDescent="0.55000000000000004">
      <c r="A78" s="10">
        <v>74</v>
      </c>
      <c r="B78" s="19" t="s">
        <v>277</v>
      </c>
      <c r="C78" s="79">
        <f>+'6'!G78</f>
        <v>1</v>
      </c>
      <c r="D78" s="87">
        <v>0</v>
      </c>
      <c r="E78" s="47">
        <f t="shared" si="0"/>
        <v>1</v>
      </c>
      <c r="F78" s="87">
        <v>0</v>
      </c>
      <c r="G78" s="47">
        <f t="shared" si="4"/>
        <v>0</v>
      </c>
      <c r="H78" s="88">
        <v>1</v>
      </c>
      <c r="I78" s="20">
        <v>50</v>
      </c>
      <c r="J78" s="82">
        <f t="shared" si="5"/>
        <v>50</v>
      </c>
      <c r="K78" s="17" t="s">
        <v>16</v>
      </c>
      <c r="L78" s="18">
        <v>0</v>
      </c>
      <c r="M78" s="104">
        <f t="shared" si="10"/>
        <v>50</v>
      </c>
    </row>
    <row r="79" spans="1:13" ht="25.5" x14ac:dyDescent="0.55000000000000004">
      <c r="A79" s="10">
        <v>75</v>
      </c>
      <c r="B79" s="19" t="s">
        <v>278</v>
      </c>
      <c r="C79" s="79">
        <f>+'6'!G79</f>
        <v>0</v>
      </c>
      <c r="D79" s="87">
        <v>0</v>
      </c>
      <c r="E79" s="47">
        <f t="shared" si="0"/>
        <v>0</v>
      </c>
      <c r="F79" s="87">
        <v>0</v>
      </c>
      <c r="G79" s="47">
        <f t="shared" si="4"/>
        <v>0</v>
      </c>
      <c r="H79" s="88"/>
      <c r="I79" s="22">
        <v>120</v>
      </c>
      <c r="J79" s="82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90</v>
      </c>
      <c r="C80" s="79">
        <f>+'6'!G80</f>
        <v>6</v>
      </c>
      <c r="D80" s="87">
        <v>0</v>
      </c>
      <c r="E80" s="47">
        <f t="shared" si="0"/>
        <v>6</v>
      </c>
      <c r="F80" s="87">
        <v>0</v>
      </c>
      <c r="G80" s="47">
        <f t="shared" si="4"/>
        <v>6</v>
      </c>
      <c r="H80" s="88"/>
      <c r="I80" s="22">
        <v>50</v>
      </c>
      <c r="J80" s="82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91</v>
      </c>
      <c r="C81" s="79">
        <f>+'6'!G81</f>
        <v>0</v>
      </c>
      <c r="D81" s="87">
        <v>0</v>
      </c>
      <c r="E81" s="47">
        <f t="shared" si="0"/>
        <v>0</v>
      </c>
      <c r="F81" s="87">
        <v>0</v>
      </c>
      <c r="G81" s="47">
        <f t="shared" si="4"/>
        <v>0</v>
      </c>
      <c r="H81" s="88"/>
      <c r="I81" s="22">
        <v>50</v>
      </c>
      <c r="J81" s="82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92</v>
      </c>
      <c r="C82" s="79">
        <f>+'6'!G82</f>
        <v>6</v>
      </c>
      <c r="D82" s="87">
        <v>0</v>
      </c>
      <c r="E82" s="47">
        <f t="shared" si="0"/>
        <v>6</v>
      </c>
      <c r="F82" s="87">
        <v>0</v>
      </c>
      <c r="G82" s="47">
        <f t="shared" si="4"/>
        <v>5</v>
      </c>
      <c r="H82" s="88">
        <v>1</v>
      </c>
      <c r="I82" s="20">
        <v>55</v>
      </c>
      <c r="J82" s="82">
        <f t="shared" si="5"/>
        <v>55</v>
      </c>
      <c r="K82" s="17" t="s">
        <v>16</v>
      </c>
      <c r="L82" s="18">
        <v>0</v>
      </c>
      <c r="M82" s="104">
        <f t="shared" si="10"/>
        <v>55</v>
      </c>
    </row>
    <row r="83" spans="1:13" ht="25.5" x14ac:dyDescent="0.55000000000000004">
      <c r="A83" s="10">
        <v>79</v>
      </c>
      <c r="B83" s="19" t="s">
        <v>93</v>
      </c>
      <c r="C83" s="79">
        <f>+'6'!G83</f>
        <v>4</v>
      </c>
      <c r="D83" s="87">
        <v>0</v>
      </c>
      <c r="E83" s="47">
        <f t="shared" si="0"/>
        <v>4</v>
      </c>
      <c r="F83" s="87">
        <v>0</v>
      </c>
      <c r="G83" s="47">
        <f t="shared" si="4"/>
        <v>4</v>
      </c>
      <c r="H83" s="88"/>
      <c r="I83" s="22">
        <v>55</v>
      </c>
      <c r="J83" s="82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94</v>
      </c>
      <c r="C84" s="79">
        <f>+'6'!G84</f>
        <v>0</v>
      </c>
      <c r="D84" s="87">
        <v>0</v>
      </c>
      <c r="E84" s="47">
        <f t="shared" si="0"/>
        <v>0</v>
      </c>
      <c r="F84" s="87">
        <v>0</v>
      </c>
      <c r="G84" s="47">
        <f t="shared" si="4"/>
        <v>0</v>
      </c>
      <c r="H84" s="88"/>
      <c r="I84" s="22">
        <v>55</v>
      </c>
      <c r="J84" s="82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95</v>
      </c>
      <c r="C85" s="79">
        <f>+'6'!G85</f>
        <v>0</v>
      </c>
      <c r="D85" s="87">
        <v>0</v>
      </c>
      <c r="E85" s="47">
        <f t="shared" si="0"/>
        <v>0</v>
      </c>
      <c r="F85" s="87">
        <v>0</v>
      </c>
      <c r="G85" s="47">
        <f t="shared" si="4"/>
        <v>0</v>
      </c>
      <c r="H85" s="88"/>
      <c r="I85" s="22">
        <v>55</v>
      </c>
      <c r="J85" s="82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96</v>
      </c>
      <c r="C86" s="79">
        <f>+'6'!G86</f>
        <v>10</v>
      </c>
      <c r="D86" s="87">
        <v>0</v>
      </c>
      <c r="E86" s="47">
        <f t="shared" si="0"/>
        <v>10</v>
      </c>
      <c r="F86" s="87">
        <v>0</v>
      </c>
      <c r="G86" s="47">
        <f t="shared" si="4"/>
        <v>10</v>
      </c>
      <c r="H86" s="88"/>
      <c r="I86" s="22">
        <v>100</v>
      </c>
      <c r="J86" s="82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97</v>
      </c>
      <c r="C87" s="79">
        <f>+'6'!G87</f>
        <v>7</v>
      </c>
      <c r="D87" s="87">
        <v>0</v>
      </c>
      <c r="E87" s="47">
        <f t="shared" si="0"/>
        <v>7</v>
      </c>
      <c r="F87" s="87">
        <v>0</v>
      </c>
      <c r="G87" s="47">
        <f t="shared" si="4"/>
        <v>7</v>
      </c>
      <c r="H87" s="88"/>
      <c r="I87" s="20">
        <v>55</v>
      </c>
      <c r="J87" s="82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98</v>
      </c>
      <c r="C88" s="79">
        <f>+'6'!G88</f>
        <v>5</v>
      </c>
      <c r="D88" s="87">
        <v>0</v>
      </c>
      <c r="E88" s="47">
        <f t="shared" si="0"/>
        <v>5</v>
      </c>
      <c r="F88" s="87">
        <v>0</v>
      </c>
      <c r="G88" s="47">
        <f t="shared" si="4"/>
        <v>5</v>
      </c>
      <c r="H88" s="88"/>
      <c r="I88" s="20">
        <v>60</v>
      </c>
      <c r="J88" s="82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99</v>
      </c>
      <c r="C89" s="79">
        <f>+'6'!G89</f>
        <v>5</v>
      </c>
      <c r="D89" s="87">
        <v>0</v>
      </c>
      <c r="E89" s="47">
        <f t="shared" si="0"/>
        <v>5</v>
      </c>
      <c r="F89" s="87">
        <v>0</v>
      </c>
      <c r="G89" s="47">
        <f t="shared" si="4"/>
        <v>5</v>
      </c>
      <c r="H89" s="88"/>
      <c r="I89" s="20">
        <v>100</v>
      </c>
      <c r="J89" s="82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100</v>
      </c>
      <c r="C90" s="79">
        <f>+'6'!G90</f>
        <v>10</v>
      </c>
      <c r="D90" s="87">
        <v>0</v>
      </c>
      <c r="E90" s="47">
        <f t="shared" si="0"/>
        <v>10</v>
      </c>
      <c r="F90" s="87">
        <v>0</v>
      </c>
      <c r="G90" s="47">
        <f t="shared" si="4"/>
        <v>10</v>
      </c>
      <c r="H90" s="88"/>
      <c r="I90" s="20">
        <v>55</v>
      </c>
      <c r="J90" s="82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101</v>
      </c>
      <c r="C91" s="79">
        <f>+'6'!G91</f>
        <v>0</v>
      </c>
      <c r="D91" s="87">
        <v>0</v>
      </c>
      <c r="E91" s="47">
        <f t="shared" si="0"/>
        <v>0</v>
      </c>
      <c r="F91" s="87">
        <v>0</v>
      </c>
      <c r="G91" s="47">
        <f t="shared" si="4"/>
        <v>0</v>
      </c>
      <c r="H91" s="88"/>
      <c r="I91" s="20">
        <v>50</v>
      </c>
      <c r="J91" s="82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102</v>
      </c>
      <c r="C92" s="79">
        <f>+'6'!G92</f>
        <v>0</v>
      </c>
      <c r="D92" s="87">
        <v>0</v>
      </c>
      <c r="E92" s="47">
        <f t="shared" si="0"/>
        <v>0</v>
      </c>
      <c r="F92" s="87">
        <v>0</v>
      </c>
      <c r="G92" s="47">
        <f t="shared" si="4"/>
        <v>0</v>
      </c>
      <c r="H92" s="88"/>
      <c r="I92" s="22">
        <v>50</v>
      </c>
      <c r="J92" s="82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248</v>
      </c>
      <c r="C93" s="79">
        <f>+'6'!G93</f>
        <v>0</v>
      </c>
      <c r="D93" s="87">
        <v>0</v>
      </c>
      <c r="E93" s="47">
        <f t="shared" si="0"/>
        <v>0</v>
      </c>
      <c r="F93" s="87">
        <v>0</v>
      </c>
      <c r="G93" s="47">
        <f t="shared" si="4"/>
        <v>0</v>
      </c>
      <c r="H93" s="88"/>
      <c r="I93" s="22">
        <v>120</v>
      </c>
      <c r="J93" s="82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104</v>
      </c>
      <c r="C94" s="79">
        <f>+'6'!G94</f>
        <v>0</v>
      </c>
      <c r="D94" s="87">
        <v>0</v>
      </c>
      <c r="E94" s="47">
        <f t="shared" si="0"/>
        <v>0</v>
      </c>
      <c r="F94" s="87">
        <v>0</v>
      </c>
      <c r="G94" s="47">
        <f t="shared" si="4"/>
        <v>0</v>
      </c>
      <c r="H94" s="88"/>
      <c r="I94" s="20">
        <v>250</v>
      </c>
      <c r="J94" s="82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105</v>
      </c>
      <c r="C95" s="79">
        <f>+'6'!G95</f>
        <v>0</v>
      </c>
      <c r="D95" s="87">
        <v>0</v>
      </c>
      <c r="E95" s="47">
        <f t="shared" si="0"/>
        <v>0</v>
      </c>
      <c r="F95" s="87">
        <v>0</v>
      </c>
      <c r="G95" s="47">
        <f t="shared" si="4"/>
        <v>0</v>
      </c>
      <c r="H95" s="88"/>
      <c r="I95" s="20">
        <v>120</v>
      </c>
      <c r="J95" s="82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106</v>
      </c>
      <c r="C96" s="79">
        <f>+'6'!G96</f>
        <v>0</v>
      </c>
      <c r="D96" s="87">
        <v>0</v>
      </c>
      <c r="E96" s="47">
        <f t="shared" si="0"/>
        <v>0</v>
      </c>
      <c r="F96" s="87">
        <v>0</v>
      </c>
      <c r="G96" s="47">
        <f t="shared" si="4"/>
        <v>0</v>
      </c>
      <c r="H96" s="88"/>
      <c r="I96" s="20">
        <v>120</v>
      </c>
      <c r="J96" s="82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107</v>
      </c>
      <c r="C97" s="79">
        <f>+'6'!G97</f>
        <v>0</v>
      </c>
      <c r="D97" s="87">
        <v>0</v>
      </c>
      <c r="E97" s="47">
        <f t="shared" si="0"/>
        <v>0</v>
      </c>
      <c r="F97" s="87">
        <v>0</v>
      </c>
      <c r="G97" s="47">
        <f t="shared" si="4"/>
        <v>0</v>
      </c>
      <c r="H97" s="88"/>
      <c r="I97" s="20">
        <v>120</v>
      </c>
      <c r="J97" s="82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103</v>
      </c>
      <c r="C98" s="79">
        <f>+'6'!G98</f>
        <v>0</v>
      </c>
      <c r="D98" s="87">
        <v>0</v>
      </c>
      <c r="E98" s="47">
        <f t="shared" si="0"/>
        <v>0</v>
      </c>
      <c r="F98" s="87">
        <v>0</v>
      </c>
      <c r="G98" s="47">
        <f t="shared" si="4"/>
        <v>0</v>
      </c>
      <c r="H98" s="88"/>
      <c r="I98" s="20">
        <v>120</v>
      </c>
      <c r="J98" s="82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109</v>
      </c>
      <c r="C99" s="79">
        <f>+'6'!G99</f>
        <v>0</v>
      </c>
      <c r="D99" s="87">
        <v>0</v>
      </c>
      <c r="E99" s="47">
        <f t="shared" si="0"/>
        <v>0</v>
      </c>
      <c r="F99" s="87">
        <v>0</v>
      </c>
      <c r="G99" s="47">
        <f t="shared" si="4"/>
        <v>0</v>
      </c>
      <c r="H99" s="88"/>
      <c r="I99" s="20">
        <v>50</v>
      </c>
      <c r="J99" s="82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110</v>
      </c>
      <c r="C100" s="79">
        <f>+'6'!G100</f>
        <v>0</v>
      </c>
      <c r="D100" s="87">
        <v>0</v>
      </c>
      <c r="E100" s="47">
        <f t="shared" si="0"/>
        <v>0</v>
      </c>
      <c r="F100" s="87">
        <v>0</v>
      </c>
      <c r="G100" s="47">
        <f t="shared" si="4"/>
        <v>0</v>
      </c>
      <c r="H100" s="88"/>
      <c r="I100" s="20">
        <v>50</v>
      </c>
      <c r="J100" s="82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111</v>
      </c>
      <c r="C101" s="79">
        <f>+'6'!G101</f>
        <v>0</v>
      </c>
      <c r="D101" s="87">
        <v>0</v>
      </c>
      <c r="E101" s="47">
        <f t="shared" si="0"/>
        <v>0</v>
      </c>
      <c r="F101" s="87">
        <v>0</v>
      </c>
      <c r="G101" s="47">
        <f t="shared" ref="G101:G164" si="11">+E101-F101-H101</f>
        <v>0</v>
      </c>
      <c r="H101" s="88"/>
      <c r="I101" s="20">
        <v>60</v>
      </c>
      <c r="J101" s="82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112</v>
      </c>
      <c r="C102" s="79">
        <f>+'6'!G102</f>
        <v>0</v>
      </c>
      <c r="D102" s="87">
        <v>0</v>
      </c>
      <c r="E102" s="47">
        <f t="shared" si="0"/>
        <v>0</v>
      </c>
      <c r="F102" s="87">
        <v>0</v>
      </c>
      <c r="G102" s="47">
        <f t="shared" si="11"/>
        <v>0</v>
      </c>
      <c r="H102" s="88"/>
      <c r="I102" s="20">
        <v>55</v>
      </c>
      <c r="J102" s="82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113</v>
      </c>
      <c r="C103" s="79">
        <f>+'6'!G103</f>
        <v>0</v>
      </c>
      <c r="D103" s="87">
        <v>0</v>
      </c>
      <c r="E103" s="47">
        <f t="shared" si="0"/>
        <v>0</v>
      </c>
      <c r="F103" s="87">
        <v>0</v>
      </c>
      <c r="G103" s="47">
        <f t="shared" si="11"/>
        <v>0</v>
      </c>
      <c r="H103" s="88"/>
      <c r="I103" s="20">
        <v>50</v>
      </c>
      <c r="J103" s="82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114</v>
      </c>
      <c r="C104" s="79">
        <f>+'6'!G104</f>
        <v>0</v>
      </c>
      <c r="D104" s="87">
        <v>0</v>
      </c>
      <c r="E104" s="47">
        <f t="shared" si="0"/>
        <v>0</v>
      </c>
      <c r="F104" s="87">
        <v>0</v>
      </c>
      <c r="G104" s="47">
        <f t="shared" si="11"/>
        <v>0</v>
      </c>
      <c r="H104" s="88"/>
      <c r="I104" s="20">
        <v>100</v>
      </c>
      <c r="J104" s="82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115</v>
      </c>
      <c r="C105" s="79">
        <f>+'6'!G105</f>
        <v>0</v>
      </c>
      <c r="D105" s="87">
        <v>0</v>
      </c>
      <c r="E105" s="47">
        <f t="shared" si="0"/>
        <v>0</v>
      </c>
      <c r="F105" s="87">
        <v>0</v>
      </c>
      <c r="G105" s="47">
        <f t="shared" si="11"/>
        <v>0</v>
      </c>
      <c r="H105" s="88"/>
      <c r="I105" s="20">
        <v>100</v>
      </c>
      <c r="J105" s="82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116</v>
      </c>
      <c r="C106" s="79">
        <f>+'6'!G106</f>
        <v>0</v>
      </c>
      <c r="D106" s="87">
        <v>0</v>
      </c>
      <c r="E106" s="47">
        <f t="shared" si="0"/>
        <v>0</v>
      </c>
      <c r="F106" s="87">
        <v>0</v>
      </c>
      <c r="G106" s="47">
        <f t="shared" si="11"/>
        <v>0</v>
      </c>
      <c r="H106" s="88"/>
      <c r="I106" s="22">
        <v>30</v>
      </c>
      <c r="J106" s="82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117</v>
      </c>
      <c r="C107" s="79">
        <f>+'6'!G107</f>
        <v>0</v>
      </c>
      <c r="D107" s="87">
        <v>0</v>
      </c>
      <c r="E107" s="47">
        <f t="shared" si="0"/>
        <v>0</v>
      </c>
      <c r="F107" s="87">
        <v>0</v>
      </c>
      <c r="G107" s="47">
        <f t="shared" si="11"/>
        <v>0</v>
      </c>
      <c r="H107" s="88"/>
      <c r="I107" s="22">
        <v>20</v>
      </c>
      <c r="J107" s="82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118</v>
      </c>
      <c r="C108" s="79">
        <f>+'6'!G108</f>
        <v>0</v>
      </c>
      <c r="D108" s="87">
        <v>0</v>
      </c>
      <c r="E108" s="47">
        <f t="shared" si="0"/>
        <v>0</v>
      </c>
      <c r="F108" s="87">
        <v>0</v>
      </c>
      <c r="G108" s="47">
        <f t="shared" si="11"/>
        <v>0</v>
      </c>
      <c r="H108" s="88"/>
      <c r="I108" s="20">
        <v>100</v>
      </c>
      <c r="J108" s="82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120</v>
      </c>
      <c r="C109" s="79">
        <f>+'6'!G109</f>
        <v>0</v>
      </c>
      <c r="D109" s="87">
        <v>0</v>
      </c>
      <c r="E109" s="47">
        <f t="shared" si="0"/>
        <v>0</v>
      </c>
      <c r="F109" s="87">
        <v>0</v>
      </c>
      <c r="G109" s="47">
        <f t="shared" si="11"/>
        <v>0</v>
      </c>
      <c r="H109" s="88"/>
      <c r="I109" s="20">
        <v>80</v>
      </c>
      <c r="J109" s="82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121</v>
      </c>
      <c r="C110" s="79">
        <f>+'6'!G110</f>
        <v>0</v>
      </c>
      <c r="D110" s="87">
        <v>0</v>
      </c>
      <c r="E110" s="47">
        <f t="shared" si="0"/>
        <v>0</v>
      </c>
      <c r="F110" s="87">
        <v>0</v>
      </c>
      <c r="G110" s="47">
        <f t="shared" si="11"/>
        <v>0</v>
      </c>
      <c r="H110" s="88"/>
      <c r="I110" s="20">
        <v>60</v>
      </c>
      <c r="J110" s="82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122</v>
      </c>
      <c r="C111" s="79">
        <f>+'6'!G111</f>
        <v>0</v>
      </c>
      <c r="D111" s="87">
        <v>0</v>
      </c>
      <c r="E111" s="47">
        <f t="shared" si="0"/>
        <v>0</v>
      </c>
      <c r="F111" s="87">
        <v>0</v>
      </c>
      <c r="G111" s="47">
        <f t="shared" si="11"/>
        <v>0</v>
      </c>
      <c r="H111" s="88"/>
      <c r="I111" s="20">
        <v>35</v>
      </c>
      <c r="J111" s="82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123</v>
      </c>
      <c r="C112" s="79">
        <f>+'6'!G112</f>
        <v>0</v>
      </c>
      <c r="D112" s="87">
        <v>0</v>
      </c>
      <c r="E112" s="47">
        <f t="shared" si="0"/>
        <v>0</v>
      </c>
      <c r="F112" s="87">
        <v>0</v>
      </c>
      <c r="G112" s="47">
        <f t="shared" si="11"/>
        <v>0</v>
      </c>
      <c r="H112" s="88"/>
      <c r="I112" s="20">
        <v>35</v>
      </c>
      <c r="J112" s="82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124</v>
      </c>
      <c r="C113" s="79">
        <f>+'6'!G113</f>
        <v>0</v>
      </c>
      <c r="D113" s="87">
        <v>0</v>
      </c>
      <c r="E113" s="47">
        <f t="shared" si="0"/>
        <v>0</v>
      </c>
      <c r="F113" s="87">
        <v>0</v>
      </c>
      <c r="G113" s="47">
        <f t="shared" si="11"/>
        <v>0</v>
      </c>
      <c r="H113" s="88"/>
      <c r="I113" s="20">
        <v>35</v>
      </c>
      <c r="J113" s="82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125</v>
      </c>
      <c r="C114" s="79">
        <f>+'6'!G114</f>
        <v>0</v>
      </c>
      <c r="D114" s="87">
        <v>0</v>
      </c>
      <c r="E114" s="47">
        <f t="shared" si="0"/>
        <v>0</v>
      </c>
      <c r="F114" s="87">
        <v>0</v>
      </c>
      <c r="G114" s="47">
        <f t="shared" si="11"/>
        <v>0</v>
      </c>
      <c r="H114" s="88"/>
      <c r="I114" s="20">
        <v>35</v>
      </c>
      <c r="J114" s="82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126</v>
      </c>
      <c r="C115" s="79">
        <f>+'6'!G115</f>
        <v>0</v>
      </c>
      <c r="D115" s="87">
        <v>0</v>
      </c>
      <c r="E115" s="47">
        <f t="shared" si="0"/>
        <v>0</v>
      </c>
      <c r="F115" s="87">
        <v>0</v>
      </c>
      <c r="G115" s="47">
        <f t="shared" si="11"/>
        <v>0</v>
      </c>
      <c r="H115" s="88"/>
      <c r="I115" s="20">
        <v>35</v>
      </c>
      <c r="J115" s="82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127</v>
      </c>
      <c r="C116" s="79">
        <f>+'6'!G116</f>
        <v>0</v>
      </c>
      <c r="D116" s="87">
        <v>0</v>
      </c>
      <c r="E116" s="47">
        <f t="shared" si="0"/>
        <v>0</v>
      </c>
      <c r="F116" s="87">
        <v>0</v>
      </c>
      <c r="G116" s="47">
        <f t="shared" si="11"/>
        <v>0</v>
      </c>
      <c r="H116" s="88"/>
      <c r="I116" s="20">
        <v>30</v>
      </c>
      <c r="J116" s="82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128</v>
      </c>
      <c r="C117" s="79">
        <f>+'6'!G117</f>
        <v>0</v>
      </c>
      <c r="D117" s="87">
        <v>0</v>
      </c>
      <c r="E117" s="47">
        <f t="shared" si="0"/>
        <v>0</v>
      </c>
      <c r="F117" s="87">
        <v>0</v>
      </c>
      <c r="G117" s="47">
        <f t="shared" si="11"/>
        <v>0</v>
      </c>
      <c r="H117" s="88"/>
      <c r="I117" s="20">
        <v>30</v>
      </c>
      <c r="J117" s="82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129</v>
      </c>
      <c r="C118" s="79">
        <f>+'6'!G118</f>
        <v>0</v>
      </c>
      <c r="D118" s="87">
        <v>0</v>
      </c>
      <c r="E118" s="47">
        <f t="shared" si="0"/>
        <v>0</v>
      </c>
      <c r="F118" s="87">
        <v>0</v>
      </c>
      <c r="G118" s="47">
        <f t="shared" si="11"/>
        <v>0</v>
      </c>
      <c r="H118" s="88"/>
      <c r="I118" s="20">
        <v>30</v>
      </c>
      <c r="J118" s="82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130</v>
      </c>
      <c r="C119" s="79">
        <f>+'6'!G119</f>
        <v>0</v>
      </c>
      <c r="D119" s="87">
        <v>0</v>
      </c>
      <c r="E119" s="47">
        <f t="shared" si="0"/>
        <v>0</v>
      </c>
      <c r="F119" s="87">
        <v>0</v>
      </c>
      <c r="G119" s="47">
        <f t="shared" si="11"/>
        <v>0</v>
      </c>
      <c r="H119" s="88"/>
      <c r="I119" s="20">
        <v>30</v>
      </c>
      <c r="J119" s="82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131</v>
      </c>
      <c r="C120" s="79">
        <f>+'6'!G120</f>
        <v>0</v>
      </c>
      <c r="D120" s="87">
        <v>0</v>
      </c>
      <c r="E120" s="47">
        <f t="shared" si="0"/>
        <v>0</v>
      </c>
      <c r="F120" s="87">
        <v>0</v>
      </c>
      <c r="G120" s="47">
        <f t="shared" si="11"/>
        <v>0</v>
      </c>
      <c r="H120" s="88"/>
      <c r="I120" s="20">
        <v>30</v>
      </c>
      <c r="J120" s="82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132</v>
      </c>
      <c r="C121" s="79">
        <f>+'6'!G121</f>
        <v>0</v>
      </c>
      <c r="D121" s="87">
        <v>0</v>
      </c>
      <c r="E121" s="47">
        <f t="shared" si="0"/>
        <v>0</v>
      </c>
      <c r="F121" s="87">
        <v>0</v>
      </c>
      <c r="G121" s="47">
        <f t="shared" si="11"/>
        <v>0</v>
      </c>
      <c r="H121" s="88"/>
      <c r="I121" s="20">
        <v>30</v>
      </c>
      <c r="J121" s="82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133</v>
      </c>
      <c r="C122" s="79">
        <f>+'6'!G122</f>
        <v>0</v>
      </c>
      <c r="D122" s="87">
        <v>0</v>
      </c>
      <c r="E122" s="47">
        <f t="shared" si="0"/>
        <v>0</v>
      </c>
      <c r="F122" s="87">
        <v>0</v>
      </c>
      <c r="G122" s="47">
        <f t="shared" si="11"/>
        <v>0</v>
      </c>
      <c r="H122" s="88"/>
      <c r="I122" s="20">
        <v>40</v>
      </c>
      <c r="J122" s="82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134</v>
      </c>
      <c r="C123" s="79">
        <f>+'6'!G123</f>
        <v>0</v>
      </c>
      <c r="D123" s="87">
        <v>0</v>
      </c>
      <c r="E123" s="47">
        <f t="shared" si="0"/>
        <v>0</v>
      </c>
      <c r="F123" s="87">
        <v>0</v>
      </c>
      <c r="G123" s="47">
        <f t="shared" si="11"/>
        <v>0</v>
      </c>
      <c r="H123" s="88"/>
      <c r="I123" s="20">
        <v>35</v>
      </c>
      <c r="J123" s="82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135</v>
      </c>
      <c r="C124" s="79">
        <f>+'6'!G124</f>
        <v>0</v>
      </c>
      <c r="D124" s="87">
        <v>0</v>
      </c>
      <c r="E124" s="47">
        <f t="shared" si="0"/>
        <v>0</v>
      </c>
      <c r="F124" s="87">
        <v>0</v>
      </c>
      <c r="G124" s="47">
        <f t="shared" si="11"/>
        <v>0</v>
      </c>
      <c r="H124" s="88"/>
      <c r="I124" s="20">
        <v>40</v>
      </c>
      <c r="J124" s="82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136</v>
      </c>
      <c r="C125" s="79">
        <f>+'6'!G125</f>
        <v>0</v>
      </c>
      <c r="D125" s="87">
        <v>0</v>
      </c>
      <c r="E125" s="47">
        <f t="shared" si="0"/>
        <v>0</v>
      </c>
      <c r="F125" s="87">
        <v>0</v>
      </c>
      <c r="G125" s="47">
        <f t="shared" si="11"/>
        <v>0</v>
      </c>
      <c r="H125" s="88"/>
      <c r="I125" s="20">
        <v>40</v>
      </c>
      <c r="J125" s="82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137</v>
      </c>
      <c r="C126" s="79">
        <f>+'6'!G126</f>
        <v>0</v>
      </c>
      <c r="D126" s="87">
        <v>0</v>
      </c>
      <c r="E126" s="47">
        <f t="shared" ref="E126:E189" si="13">C126+D126</f>
        <v>0</v>
      </c>
      <c r="F126" s="87">
        <v>0</v>
      </c>
      <c r="G126" s="47">
        <f t="shared" si="11"/>
        <v>0</v>
      </c>
      <c r="H126" s="88"/>
      <c r="I126" s="20">
        <v>30</v>
      </c>
      <c r="J126" s="82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138</v>
      </c>
      <c r="C127" s="79">
        <f>+'6'!G127</f>
        <v>0</v>
      </c>
      <c r="D127" s="87">
        <v>0</v>
      </c>
      <c r="E127" s="47">
        <f t="shared" si="13"/>
        <v>0</v>
      </c>
      <c r="F127" s="87">
        <v>0</v>
      </c>
      <c r="G127" s="47">
        <f t="shared" si="11"/>
        <v>0</v>
      </c>
      <c r="H127" s="88"/>
      <c r="I127" s="20">
        <v>40</v>
      </c>
      <c r="J127" s="82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139</v>
      </c>
      <c r="C128" s="79">
        <f>+'6'!G128</f>
        <v>87</v>
      </c>
      <c r="D128" s="87">
        <v>0</v>
      </c>
      <c r="E128" s="47">
        <f t="shared" si="13"/>
        <v>87</v>
      </c>
      <c r="F128" s="87">
        <v>0</v>
      </c>
      <c r="G128" s="47">
        <f t="shared" si="11"/>
        <v>87</v>
      </c>
      <c r="H128" s="88"/>
      <c r="I128" s="20">
        <v>10</v>
      </c>
      <c r="J128" s="82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140</v>
      </c>
      <c r="C129" s="79">
        <f>+'6'!G129</f>
        <v>0</v>
      </c>
      <c r="D129" s="87">
        <v>0</v>
      </c>
      <c r="E129" s="47">
        <f t="shared" si="13"/>
        <v>0</v>
      </c>
      <c r="F129" s="87">
        <v>0</v>
      </c>
      <c r="G129" s="47">
        <f t="shared" si="11"/>
        <v>0</v>
      </c>
      <c r="H129" s="88"/>
      <c r="I129" s="20">
        <v>35</v>
      </c>
      <c r="J129" s="82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141</v>
      </c>
      <c r="C130" s="79">
        <f>+'6'!G130</f>
        <v>0</v>
      </c>
      <c r="D130" s="87">
        <v>0</v>
      </c>
      <c r="E130" s="47">
        <f t="shared" si="13"/>
        <v>0</v>
      </c>
      <c r="F130" s="87">
        <v>0</v>
      </c>
      <c r="G130" s="47">
        <f t="shared" si="11"/>
        <v>0</v>
      </c>
      <c r="H130" s="88"/>
      <c r="I130" s="20">
        <v>40</v>
      </c>
      <c r="J130" s="82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142</v>
      </c>
      <c r="C131" s="79">
        <f>+'6'!G131</f>
        <v>0</v>
      </c>
      <c r="D131" s="87">
        <v>0</v>
      </c>
      <c r="E131" s="47">
        <f t="shared" si="13"/>
        <v>0</v>
      </c>
      <c r="F131" s="87">
        <v>0</v>
      </c>
      <c r="G131" s="47">
        <f t="shared" si="11"/>
        <v>0</v>
      </c>
      <c r="H131" s="88"/>
      <c r="I131" s="20">
        <v>50</v>
      </c>
      <c r="J131" s="82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143</v>
      </c>
      <c r="C132" s="79">
        <f>+'6'!G132</f>
        <v>0</v>
      </c>
      <c r="D132" s="87">
        <v>0</v>
      </c>
      <c r="E132" s="47">
        <f t="shared" si="13"/>
        <v>0</v>
      </c>
      <c r="F132" s="87">
        <v>0</v>
      </c>
      <c r="G132" s="47">
        <f t="shared" si="11"/>
        <v>0</v>
      </c>
      <c r="H132" s="88"/>
      <c r="I132" s="20">
        <v>55</v>
      </c>
      <c r="J132" s="82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144</v>
      </c>
      <c r="C133" s="79">
        <f>+'6'!G133</f>
        <v>0</v>
      </c>
      <c r="D133" s="87">
        <v>0</v>
      </c>
      <c r="E133" s="47">
        <f t="shared" si="13"/>
        <v>0</v>
      </c>
      <c r="F133" s="87">
        <v>0</v>
      </c>
      <c r="G133" s="47">
        <f t="shared" si="11"/>
        <v>0</v>
      </c>
      <c r="H133" s="88"/>
      <c r="I133" s="20">
        <v>55</v>
      </c>
      <c r="J133" s="82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145</v>
      </c>
      <c r="C134" s="79">
        <f>+'6'!G134</f>
        <v>0</v>
      </c>
      <c r="D134" s="87">
        <v>0</v>
      </c>
      <c r="E134" s="47">
        <f t="shared" si="13"/>
        <v>0</v>
      </c>
      <c r="F134" s="87">
        <v>0</v>
      </c>
      <c r="G134" s="47">
        <f t="shared" si="11"/>
        <v>0</v>
      </c>
      <c r="H134" s="88"/>
      <c r="I134" s="20">
        <v>45</v>
      </c>
      <c r="J134" s="82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5.5" x14ac:dyDescent="0.55000000000000004">
      <c r="A135" s="10">
        <v>131</v>
      </c>
      <c r="B135" s="19" t="s">
        <v>146</v>
      </c>
      <c r="C135" s="79">
        <f>+'6'!G135</f>
        <v>0</v>
      </c>
      <c r="D135" s="87">
        <v>0</v>
      </c>
      <c r="E135" s="47">
        <f t="shared" si="13"/>
        <v>0</v>
      </c>
      <c r="F135" s="87">
        <v>0</v>
      </c>
      <c r="G135" s="47">
        <f t="shared" si="11"/>
        <v>0</v>
      </c>
      <c r="H135" s="88"/>
      <c r="I135" s="20">
        <v>45</v>
      </c>
      <c r="J135" s="82">
        <f t="shared" si="12"/>
        <v>0</v>
      </c>
      <c r="K135" s="17" t="s">
        <v>16</v>
      </c>
      <c r="L135" s="18">
        <v>0</v>
      </c>
      <c r="M135" s="23">
        <f t="shared" ref="M135:M198" si="14">SUM(J135-L135)</f>
        <v>0</v>
      </c>
    </row>
    <row r="136" spans="1:13" ht="25.5" x14ac:dyDescent="0.55000000000000004">
      <c r="A136" s="10">
        <v>132</v>
      </c>
      <c r="B136" s="19" t="s">
        <v>147</v>
      </c>
      <c r="C136" s="79">
        <f>+'6'!G136</f>
        <v>0</v>
      </c>
      <c r="D136" s="87">
        <v>0</v>
      </c>
      <c r="E136" s="47">
        <f t="shared" si="13"/>
        <v>0</v>
      </c>
      <c r="F136" s="87">
        <v>0</v>
      </c>
      <c r="G136" s="47">
        <f t="shared" si="11"/>
        <v>0</v>
      </c>
      <c r="H136" s="88"/>
      <c r="I136" s="20">
        <v>55</v>
      </c>
      <c r="J136" s="82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148</v>
      </c>
      <c r="C137" s="79">
        <f>+'6'!G137</f>
        <v>0</v>
      </c>
      <c r="D137" s="87">
        <v>0</v>
      </c>
      <c r="E137" s="47">
        <f t="shared" si="13"/>
        <v>0</v>
      </c>
      <c r="F137" s="87">
        <v>0</v>
      </c>
      <c r="G137" s="47">
        <f t="shared" si="11"/>
        <v>0</v>
      </c>
      <c r="H137" s="88"/>
      <c r="I137" s="20">
        <v>45</v>
      </c>
      <c r="J137" s="82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149</v>
      </c>
      <c r="C138" s="79">
        <f>+'6'!G138</f>
        <v>0</v>
      </c>
      <c r="D138" s="87">
        <v>0</v>
      </c>
      <c r="E138" s="47">
        <f t="shared" si="13"/>
        <v>0</v>
      </c>
      <c r="F138" s="87">
        <v>0</v>
      </c>
      <c r="G138" s="47">
        <f t="shared" si="11"/>
        <v>0</v>
      </c>
      <c r="H138" s="88"/>
      <c r="I138" s="20">
        <v>45</v>
      </c>
      <c r="J138" s="82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150</v>
      </c>
      <c r="C139" s="79">
        <f>+'6'!G139</f>
        <v>0</v>
      </c>
      <c r="D139" s="87">
        <v>0</v>
      </c>
      <c r="E139" s="47">
        <f t="shared" si="13"/>
        <v>0</v>
      </c>
      <c r="F139" s="87">
        <v>0</v>
      </c>
      <c r="G139" s="47">
        <f t="shared" si="11"/>
        <v>0</v>
      </c>
      <c r="H139" s="88"/>
      <c r="I139" s="20">
        <v>45</v>
      </c>
      <c r="J139" s="82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151</v>
      </c>
      <c r="C140" s="79">
        <f>+'6'!G140</f>
        <v>0</v>
      </c>
      <c r="D140" s="87">
        <v>0</v>
      </c>
      <c r="E140" s="47">
        <f t="shared" si="13"/>
        <v>0</v>
      </c>
      <c r="F140" s="87">
        <v>0</v>
      </c>
      <c r="G140" s="47">
        <f t="shared" si="11"/>
        <v>0</v>
      </c>
      <c r="H140" s="88"/>
      <c r="I140" s="20">
        <v>45</v>
      </c>
      <c r="J140" s="82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152</v>
      </c>
      <c r="C141" s="79">
        <f>+'6'!G141</f>
        <v>0</v>
      </c>
      <c r="D141" s="87">
        <v>0</v>
      </c>
      <c r="E141" s="47">
        <f t="shared" si="13"/>
        <v>0</v>
      </c>
      <c r="F141" s="87">
        <v>0</v>
      </c>
      <c r="G141" s="47">
        <f t="shared" si="11"/>
        <v>0</v>
      </c>
      <c r="H141" s="88"/>
      <c r="I141" s="20">
        <v>45</v>
      </c>
      <c r="J141" s="82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153</v>
      </c>
      <c r="C142" s="79">
        <f>+'6'!G142</f>
        <v>0</v>
      </c>
      <c r="D142" s="87">
        <v>0</v>
      </c>
      <c r="E142" s="47">
        <f t="shared" si="13"/>
        <v>0</v>
      </c>
      <c r="F142" s="87">
        <v>0</v>
      </c>
      <c r="G142" s="47">
        <f t="shared" si="11"/>
        <v>0</v>
      </c>
      <c r="H142" s="88"/>
      <c r="I142" s="20">
        <v>45</v>
      </c>
      <c r="J142" s="82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154</v>
      </c>
      <c r="C143" s="79">
        <f>+'6'!G143</f>
        <v>0</v>
      </c>
      <c r="D143" s="87">
        <v>0</v>
      </c>
      <c r="E143" s="47">
        <f t="shared" si="13"/>
        <v>0</v>
      </c>
      <c r="F143" s="87">
        <v>0</v>
      </c>
      <c r="G143" s="47">
        <f t="shared" si="11"/>
        <v>0</v>
      </c>
      <c r="H143" s="88"/>
      <c r="I143" s="20">
        <v>120</v>
      </c>
      <c r="J143" s="82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155</v>
      </c>
      <c r="C144" s="79">
        <f>+'6'!G144</f>
        <v>0</v>
      </c>
      <c r="D144" s="87">
        <v>0</v>
      </c>
      <c r="E144" s="47">
        <f t="shared" si="13"/>
        <v>0</v>
      </c>
      <c r="F144" s="87">
        <v>0</v>
      </c>
      <c r="G144" s="47">
        <f t="shared" si="11"/>
        <v>0</v>
      </c>
      <c r="H144" s="88"/>
      <c r="I144" s="20">
        <v>120</v>
      </c>
      <c r="J144" s="82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156</v>
      </c>
      <c r="C145" s="79">
        <f>+'6'!G145</f>
        <v>0</v>
      </c>
      <c r="D145" s="87">
        <v>0</v>
      </c>
      <c r="E145" s="47">
        <f t="shared" si="13"/>
        <v>0</v>
      </c>
      <c r="F145" s="87">
        <v>0</v>
      </c>
      <c r="G145" s="47">
        <f t="shared" si="11"/>
        <v>0</v>
      </c>
      <c r="H145" s="88"/>
      <c r="I145" s="20">
        <v>120</v>
      </c>
      <c r="J145" s="82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157</v>
      </c>
      <c r="C146" s="79">
        <f>+'6'!G146</f>
        <v>0</v>
      </c>
      <c r="D146" s="87">
        <v>0</v>
      </c>
      <c r="E146" s="47">
        <f t="shared" si="13"/>
        <v>0</v>
      </c>
      <c r="F146" s="87">
        <v>0</v>
      </c>
      <c r="G146" s="47">
        <f t="shared" si="11"/>
        <v>0</v>
      </c>
      <c r="H146" s="88"/>
      <c r="I146" s="20">
        <v>120</v>
      </c>
      <c r="J146" s="82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158</v>
      </c>
      <c r="C147" s="79">
        <f>+'6'!G147</f>
        <v>0</v>
      </c>
      <c r="D147" s="87">
        <v>0</v>
      </c>
      <c r="E147" s="47">
        <f t="shared" si="13"/>
        <v>0</v>
      </c>
      <c r="F147" s="87">
        <v>0</v>
      </c>
      <c r="G147" s="47">
        <f t="shared" si="11"/>
        <v>0</v>
      </c>
      <c r="H147" s="88"/>
      <c r="I147" s="20">
        <v>185</v>
      </c>
      <c r="J147" s="82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159</v>
      </c>
      <c r="C148" s="79">
        <f>+'6'!G148</f>
        <v>0</v>
      </c>
      <c r="D148" s="87">
        <v>0</v>
      </c>
      <c r="E148" s="47">
        <f t="shared" si="13"/>
        <v>0</v>
      </c>
      <c r="F148" s="87">
        <v>0</v>
      </c>
      <c r="G148" s="47">
        <f t="shared" si="11"/>
        <v>0</v>
      </c>
      <c r="H148" s="88"/>
      <c r="I148" s="20">
        <v>185</v>
      </c>
      <c r="J148" s="82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160</v>
      </c>
      <c r="C149" s="79">
        <f>+'6'!G149</f>
        <v>0</v>
      </c>
      <c r="D149" s="87">
        <v>0</v>
      </c>
      <c r="E149" s="47">
        <f t="shared" si="13"/>
        <v>0</v>
      </c>
      <c r="F149" s="87">
        <v>0</v>
      </c>
      <c r="G149" s="47">
        <f t="shared" si="11"/>
        <v>0</v>
      </c>
      <c r="H149" s="88"/>
      <c r="I149" s="20">
        <v>185</v>
      </c>
      <c r="J149" s="82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161</v>
      </c>
      <c r="C150" s="79">
        <f>+'6'!G150</f>
        <v>0</v>
      </c>
      <c r="D150" s="87">
        <v>0</v>
      </c>
      <c r="E150" s="47">
        <f t="shared" si="13"/>
        <v>0</v>
      </c>
      <c r="F150" s="87">
        <v>0</v>
      </c>
      <c r="G150" s="47">
        <f t="shared" si="11"/>
        <v>0</v>
      </c>
      <c r="H150" s="88"/>
      <c r="I150" s="20">
        <v>185</v>
      </c>
      <c r="J150" s="82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5.5" x14ac:dyDescent="0.55000000000000004">
      <c r="A151" s="10">
        <v>147</v>
      </c>
      <c r="B151" s="19" t="s">
        <v>279</v>
      </c>
      <c r="C151" s="79">
        <f>+'6'!G151</f>
        <v>0</v>
      </c>
      <c r="D151" s="87">
        <v>0</v>
      </c>
      <c r="E151" s="47">
        <f t="shared" si="13"/>
        <v>0</v>
      </c>
      <c r="F151" s="87">
        <v>0</v>
      </c>
      <c r="G151" s="47">
        <f t="shared" si="11"/>
        <v>0</v>
      </c>
      <c r="H151" s="88"/>
      <c r="I151" s="20">
        <v>150</v>
      </c>
      <c r="J151" s="82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280</v>
      </c>
      <c r="C152" s="79">
        <f>+'6'!G152</f>
        <v>1</v>
      </c>
      <c r="D152" s="87">
        <v>0</v>
      </c>
      <c r="E152" s="47">
        <f t="shared" si="13"/>
        <v>1</v>
      </c>
      <c r="F152" s="87">
        <v>0</v>
      </c>
      <c r="G152" s="47">
        <f t="shared" si="11"/>
        <v>1</v>
      </c>
      <c r="H152" s="88"/>
      <c r="I152" s="20">
        <v>150</v>
      </c>
      <c r="J152" s="82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5.5" x14ac:dyDescent="0.55000000000000004">
      <c r="A153" s="10">
        <v>149</v>
      </c>
      <c r="B153" s="19" t="s">
        <v>281</v>
      </c>
      <c r="C153" s="79">
        <f>+'6'!G153</f>
        <v>2</v>
      </c>
      <c r="D153" s="87">
        <v>0</v>
      </c>
      <c r="E153" s="47">
        <f t="shared" si="13"/>
        <v>2</v>
      </c>
      <c r="F153" s="87">
        <v>0</v>
      </c>
      <c r="G153" s="47">
        <f t="shared" si="11"/>
        <v>1</v>
      </c>
      <c r="H153" s="88">
        <v>1</v>
      </c>
      <c r="I153" s="20">
        <v>150</v>
      </c>
      <c r="J153" s="82">
        <f t="shared" si="12"/>
        <v>150</v>
      </c>
      <c r="K153" s="17" t="s">
        <v>289</v>
      </c>
      <c r="L153" s="18">
        <v>70</v>
      </c>
      <c r="M153" s="104">
        <f t="shared" si="14"/>
        <v>80</v>
      </c>
    </row>
    <row r="154" spans="1:26" ht="25.5" x14ac:dyDescent="0.55000000000000004">
      <c r="A154" s="10">
        <v>150</v>
      </c>
      <c r="B154" s="19" t="s">
        <v>282</v>
      </c>
      <c r="C154" s="79">
        <f>+'6'!G154</f>
        <v>0</v>
      </c>
      <c r="D154" s="87">
        <v>0</v>
      </c>
      <c r="E154" s="47">
        <f t="shared" si="13"/>
        <v>0</v>
      </c>
      <c r="F154" s="87">
        <v>0</v>
      </c>
      <c r="G154" s="47">
        <f t="shared" si="11"/>
        <v>0</v>
      </c>
      <c r="H154" s="88"/>
      <c r="I154" s="20">
        <v>150</v>
      </c>
      <c r="J154" s="82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166</v>
      </c>
      <c r="C155" s="79">
        <f>+'6'!G155</f>
        <v>0</v>
      </c>
      <c r="D155" s="87">
        <v>0</v>
      </c>
      <c r="E155" s="47">
        <f t="shared" si="13"/>
        <v>0</v>
      </c>
      <c r="F155" s="87">
        <v>0</v>
      </c>
      <c r="G155" s="47">
        <f t="shared" si="11"/>
        <v>0</v>
      </c>
      <c r="H155" s="88"/>
      <c r="I155" s="20">
        <v>185</v>
      </c>
      <c r="J155" s="82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167</v>
      </c>
      <c r="C156" s="79">
        <f>+'6'!G156</f>
        <v>0</v>
      </c>
      <c r="D156" s="87">
        <v>0</v>
      </c>
      <c r="E156" s="47">
        <f t="shared" si="13"/>
        <v>0</v>
      </c>
      <c r="F156" s="87">
        <v>0</v>
      </c>
      <c r="G156" s="47">
        <f t="shared" si="11"/>
        <v>0</v>
      </c>
      <c r="H156" s="88"/>
      <c r="I156" s="20">
        <v>185</v>
      </c>
      <c r="J156" s="82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168</v>
      </c>
      <c r="C157" s="79">
        <f>+'6'!G157</f>
        <v>0</v>
      </c>
      <c r="D157" s="87">
        <v>0</v>
      </c>
      <c r="E157" s="47">
        <f t="shared" si="13"/>
        <v>0</v>
      </c>
      <c r="F157" s="87">
        <v>0</v>
      </c>
      <c r="G157" s="47">
        <f t="shared" si="11"/>
        <v>0</v>
      </c>
      <c r="H157" s="88"/>
      <c r="I157" s="20">
        <v>185</v>
      </c>
      <c r="J157" s="82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169</v>
      </c>
      <c r="C158" s="79">
        <f>+'6'!G158</f>
        <v>0</v>
      </c>
      <c r="D158" s="87">
        <v>0</v>
      </c>
      <c r="E158" s="47">
        <f t="shared" si="13"/>
        <v>0</v>
      </c>
      <c r="F158" s="87">
        <v>0</v>
      </c>
      <c r="G158" s="47">
        <f t="shared" si="11"/>
        <v>0</v>
      </c>
      <c r="H158" s="88"/>
      <c r="I158" s="20">
        <v>185</v>
      </c>
      <c r="J158" s="82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170</v>
      </c>
      <c r="C159" s="79">
        <f>+'6'!G159</f>
        <v>0</v>
      </c>
      <c r="D159" s="87">
        <v>0</v>
      </c>
      <c r="E159" s="47">
        <f t="shared" si="13"/>
        <v>0</v>
      </c>
      <c r="F159" s="87">
        <v>0</v>
      </c>
      <c r="G159" s="47">
        <f t="shared" si="11"/>
        <v>0</v>
      </c>
      <c r="H159" s="88"/>
      <c r="I159" s="20">
        <v>135</v>
      </c>
      <c r="J159" s="82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171</v>
      </c>
      <c r="C160" s="79">
        <f>+'6'!G160</f>
        <v>0</v>
      </c>
      <c r="D160" s="87">
        <v>0</v>
      </c>
      <c r="E160" s="47">
        <f t="shared" si="13"/>
        <v>0</v>
      </c>
      <c r="F160" s="87">
        <v>0</v>
      </c>
      <c r="G160" s="47">
        <f t="shared" si="11"/>
        <v>0</v>
      </c>
      <c r="H160" s="88"/>
      <c r="I160" s="20">
        <v>90</v>
      </c>
      <c r="J160" s="82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172</v>
      </c>
      <c r="C161" s="79">
        <f>+'6'!G161</f>
        <v>0</v>
      </c>
      <c r="D161" s="87">
        <v>0</v>
      </c>
      <c r="E161" s="47">
        <f t="shared" si="13"/>
        <v>0</v>
      </c>
      <c r="F161" s="87">
        <v>0</v>
      </c>
      <c r="G161" s="47">
        <f t="shared" si="11"/>
        <v>0</v>
      </c>
      <c r="H161" s="88"/>
      <c r="I161" s="20">
        <v>90</v>
      </c>
      <c r="J161" s="82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173</v>
      </c>
      <c r="C162" s="79">
        <f>+'6'!G162</f>
        <v>0</v>
      </c>
      <c r="D162" s="87">
        <v>0</v>
      </c>
      <c r="E162" s="47">
        <f t="shared" si="13"/>
        <v>0</v>
      </c>
      <c r="F162" s="87">
        <v>0</v>
      </c>
      <c r="G162" s="47">
        <f t="shared" si="11"/>
        <v>0</v>
      </c>
      <c r="H162" s="88"/>
      <c r="I162" s="20">
        <v>90</v>
      </c>
      <c r="J162" s="82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174</v>
      </c>
      <c r="C163" s="79">
        <f>+'6'!G163</f>
        <v>0</v>
      </c>
      <c r="D163" s="87">
        <v>0</v>
      </c>
      <c r="E163" s="47">
        <f t="shared" si="13"/>
        <v>0</v>
      </c>
      <c r="F163" s="87">
        <v>0</v>
      </c>
      <c r="G163" s="47">
        <f t="shared" si="11"/>
        <v>0</v>
      </c>
      <c r="H163" s="88"/>
      <c r="I163" s="20">
        <v>90</v>
      </c>
      <c r="J163" s="82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175</v>
      </c>
      <c r="C164" s="79">
        <f>+'6'!G164</f>
        <v>0</v>
      </c>
      <c r="D164" s="87">
        <v>0</v>
      </c>
      <c r="E164" s="47">
        <f t="shared" si="13"/>
        <v>0</v>
      </c>
      <c r="F164" s="87">
        <v>0</v>
      </c>
      <c r="G164" s="47">
        <f t="shared" si="11"/>
        <v>0</v>
      </c>
      <c r="H164" s="88"/>
      <c r="I164" s="20">
        <v>25</v>
      </c>
      <c r="J164" s="82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176</v>
      </c>
      <c r="C165" s="79">
        <f>+'6'!G165</f>
        <v>0</v>
      </c>
      <c r="D165" s="87">
        <v>0</v>
      </c>
      <c r="E165" s="47">
        <f t="shared" si="13"/>
        <v>0</v>
      </c>
      <c r="F165" s="87">
        <v>0</v>
      </c>
      <c r="G165" s="47">
        <f t="shared" ref="G165:G227" si="15">+E165-F165-H165</f>
        <v>0</v>
      </c>
      <c r="H165" s="88"/>
      <c r="I165" s="20">
        <v>50</v>
      </c>
      <c r="J165" s="82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177</v>
      </c>
      <c r="C166" s="79">
        <f>+'6'!G166</f>
        <v>0</v>
      </c>
      <c r="D166" s="87">
        <v>0</v>
      </c>
      <c r="E166" s="47">
        <f t="shared" si="13"/>
        <v>0</v>
      </c>
      <c r="F166" s="87">
        <v>0</v>
      </c>
      <c r="G166" s="47">
        <f t="shared" si="15"/>
        <v>0</v>
      </c>
      <c r="H166" s="88"/>
      <c r="I166" s="20">
        <v>50</v>
      </c>
      <c r="J166" s="82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178</v>
      </c>
      <c r="C167" s="79">
        <f>+'6'!G167</f>
        <v>0</v>
      </c>
      <c r="D167" s="87">
        <v>0</v>
      </c>
      <c r="E167" s="47">
        <f t="shared" si="13"/>
        <v>0</v>
      </c>
      <c r="F167" s="87">
        <v>0</v>
      </c>
      <c r="G167" s="47">
        <f t="shared" si="15"/>
        <v>0</v>
      </c>
      <c r="H167" s="88"/>
      <c r="I167" s="20">
        <v>50</v>
      </c>
      <c r="J167" s="82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179</v>
      </c>
      <c r="C168" s="79">
        <f>+'6'!G168</f>
        <v>7</v>
      </c>
      <c r="D168" s="87">
        <v>0</v>
      </c>
      <c r="E168" s="47">
        <f t="shared" si="13"/>
        <v>7</v>
      </c>
      <c r="F168" s="87">
        <v>0</v>
      </c>
      <c r="G168" s="47">
        <f t="shared" si="15"/>
        <v>7</v>
      </c>
      <c r="H168" s="88"/>
      <c r="I168" s="20">
        <v>50</v>
      </c>
      <c r="J168" s="82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180</v>
      </c>
      <c r="C169" s="79">
        <f>+'6'!G169</f>
        <v>49</v>
      </c>
      <c r="D169" s="87">
        <v>0</v>
      </c>
      <c r="E169" s="47">
        <f t="shared" si="13"/>
        <v>49</v>
      </c>
      <c r="F169" s="87">
        <v>0</v>
      </c>
      <c r="G169" s="47">
        <f t="shared" si="15"/>
        <v>45</v>
      </c>
      <c r="H169" s="88">
        <v>4</v>
      </c>
      <c r="I169" s="20">
        <v>55</v>
      </c>
      <c r="J169" s="82">
        <f t="shared" si="16"/>
        <v>220</v>
      </c>
      <c r="K169" s="17" t="s">
        <v>16</v>
      </c>
      <c r="L169" s="18">
        <v>0</v>
      </c>
      <c r="M169" s="104">
        <f t="shared" si="14"/>
        <v>220</v>
      </c>
    </row>
    <row r="170" spans="1:13" ht="25.5" x14ac:dyDescent="0.55000000000000004">
      <c r="A170" s="10">
        <v>166</v>
      </c>
      <c r="B170" s="19" t="s">
        <v>181</v>
      </c>
      <c r="C170" s="79">
        <f>+'6'!G170</f>
        <v>0</v>
      </c>
      <c r="D170" s="87">
        <v>0</v>
      </c>
      <c r="E170" s="47">
        <f t="shared" si="13"/>
        <v>0</v>
      </c>
      <c r="F170" s="87">
        <v>0</v>
      </c>
      <c r="G170" s="47">
        <f t="shared" si="15"/>
        <v>0</v>
      </c>
      <c r="H170" s="88"/>
      <c r="I170" s="20">
        <v>85</v>
      </c>
      <c r="J170" s="82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182</v>
      </c>
      <c r="C171" s="79">
        <f>+'6'!G171</f>
        <v>11</v>
      </c>
      <c r="D171" s="87">
        <v>0</v>
      </c>
      <c r="E171" s="47">
        <f t="shared" si="13"/>
        <v>11</v>
      </c>
      <c r="F171" s="87">
        <v>0</v>
      </c>
      <c r="G171" s="47">
        <f t="shared" si="15"/>
        <v>11</v>
      </c>
      <c r="H171" s="88"/>
      <c r="I171" s="20">
        <v>80</v>
      </c>
      <c r="J171" s="82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183</v>
      </c>
      <c r="C172" s="79">
        <f>+'6'!G172</f>
        <v>0</v>
      </c>
      <c r="D172" s="87">
        <v>0</v>
      </c>
      <c r="E172" s="47">
        <f t="shared" si="13"/>
        <v>0</v>
      </c>
      <c r="F172" s="87">
        <v>0</v>
      </c>
      <c r="G172" s="47">
        <f t="shared" si="15"/>
        <v>0</v>
      </c>
      <c r="H172" s="88"/>
      <c r="I172" s="20">
        <v>40</v>
      </c>
      <c r="J172" s="82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184</v>
      </c>
      <c r="C173" s="79">
        <f>+'6'!G173</f>
        <v>0</v>
      </c>
      <c r="D173" s="87">
        <v>0</v>
      </c>
      <c r="E173" s="47">
        <f t="shared" si="13"/>
        <v>0</v>
      </c>
      <c r="F173" s="87">
        <v>0</v>
      </c>
      <c r="G173" s="47">
        <f t="shared" si="15"/>
        <v>0</v>
      </c>
      <c r="H173" s="88"/>
      <c r="I173" s="20">
        <v>120</v>
      </c>
      <c r="J173" s="82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185</v>
      </c>
      <c r="C174" s="79">
        <f>+'6'!G174</f>
        <v>0</v>
      </c>
      <c r="D174" s="87">
        <v>0</v>
      </c>
      <c r="E174" s="47">
        <f t="shared" si="13"/>
        <v>0</v>
      </c>
      <c r="F174" s="87">
        <v>0</v>
      </c>
      <c r="G174" s="47">
        <f t="shared" si="15"/>
        <v>0</v>
      </c>
      <c r="H174" s="88"/>
      <c r="I174" s="20">
        <v>120</v>
      </c>
      <c r="J174" s="82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186</v>
      </c>
      <c r="C175" s="79">
        <f>+'6'!G175</f>
        <v>0</v>
      </c>
      <c r="D175" s="87">
        <v>0</v>
      </c>
      <c r="E175" s="47">
        <f t="shared" si="13"/>
        <v>0</v>
      </c>
      <c r="F175" s="87">
        <v>0</v>
      </c>
      <c r="G175" s="47">
        <f t="shared" si="15"/>
        <v>0</v>
      </c>
      <c r="H175" s="88"/>
      <c r="I175" s="20">
        <v>55</v>
      </c>
      <c r="J175" s="82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187</v>
      </c>
      <c r="C176" s="79">
        <f>+'6'!G176</f>
        <v>0</v>
      </c>
      <c r="D176" s="87">
        <v>0</v>
      </c>
      <c r="E176" s="47">
        <f t="shared" si="13"/>
        <v>0</v>
      </c>
      <c r="F176" s="87">
        <v>0</v>
      </c>
      <c r="G176" s="47">
        <f t="shared" si="15"/>
        <v>0</v>
      </c>
      <c r="H176" s="88"/>
      <c r="I176" s="20">
        <v>50</v>
      </c>
      <c r="J176" s="82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188</v>
      </c>
      <c r="C177" s="79">
        <f>+'6'!G177</f>
        <v>6</v>
      </c>
      <c r="D177" s="87">
        <v>0</v>
      </c>
      <c r="E177" s="47">
        <f t="shared" si="13"/>
        <v>6</v>
      </c>
      <c r="F177" s="87">
        <v>0</v>
      </c>
      <c r="G177" s="47">
        <f t="shared" si="15"/>
        <v>4</v>
      </c>
      <c r="H177" s="88">
        <v>2</v>
      </c>
      <c r="I177" s="20">
        <v>50</v>
      </c>
      <c r="J177" s="82">
        <f t="shared" si="16"/>
        <v>100</v>
      </c>
      <c r="K177" s="17" t="s">
        <v>16</v>
      </c>
      <c r="L177" s="18">
        <v>0</v>
      </c>
      <c r="M177" s="104">
        <f t="shared" si="14"/>
        <v>100</v>
      </c>
    </row>
    <row r="178" spans="1:13" ht="25.5" x14ac:dyDescent="0.55000000000000004">
      <c r="A178" s="10">
        <v>174</v>
      </c>
      <c r="B178" s="19" t="s">
        <v>189</v>
      </c>
      <c r="C178" s="79">
        <f>+'6'!G178</f>
        <v>5</v>
      </c>
      <c r="D178" s="87">
        <v>0</v>
      </c>
      <c r="E178" s="47">
        <f t="shared" si="13"/>
        <v>5</v>
      </c>
      <c r="F178" s="87">
        <v>0</v>
      </c>
      <c r="G178" s="47">
        <f t="shared" si="15"/>
        <v>3</v>
      </c>
      <c r="H178" s="88">
        <v>2</v>
      </c>
      <c r="I178" s="20">
        <v>120</v>
      </c>
      <c r="J178" s="82">
        <f t="shared" si="16"/>
        <v>240</v>
      </c>
      <c r="K178" s="17" t="s">
        <v>16</v>
      </c>
      <c r="L178" s="18">
        <v>0</v>
      </c>
      <c r="M178" s="104">
        <f t="shared" si="14"/>
        <v>240</v>
      </c>
    </row>
    <row r="179" spans="1:13" ht="25.5" x14ac:dyDescent="0.55000000000000004">
      <c r="A179" s="10">
        <v>175</v>
      </c>
      <c r="B179" s="19" t="s">
        <v>190</v>
      </c>
      <c r="C179" s="79">
        <f>+'6'!G179</f>
        <v>0</v>
      </c>
      <c r="D179" s="87">
        <v>0</v>
      </c>
      <c r="E179" s="47">
        <f t="shared" si="13"/>
        <v>0</v>
      </c>
      <c r="F179" s="87">
        <v>0</v>
      </c>
      <c r="G179" s="47">
        <f t="shared" si="15"/>
        <v>0</v>
      </c>
      <c r="H179" s="88"/>
      <c r="I179" s="20">
        <v>120</v>
      </c>
      <c r="J179" s="82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191</v>
      </c>
      <c r="C180" s="79">
        <f>+'6'!G180</f>
        <v>0</v>
      </c>
      <c r="D180" s="87">
        <v>0</v>
      </c>
      <c r="E180" s="47">
        <f t="shared" si="13"/>
        <v>0</v>
      </c>
      <c r="F180" s="87">
        <v>0</v>
      </c>
      <c r="G180" s="47">
        <f t="shared" si="15"/>
        <v>0</v>
      </c>
      <c r="H180" s="88"/>
      <c r="I180" s="20">
        <v>10</v>
      </c>
      <c r="J180" s="82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192</v>
      </c>
      <c r="C181" s="79">
        <f>+'6'!G181</f>
        <v>0</v>
      </c>
      <c r="D181" s="87">
        <v>0</v>
      </c>
      <c r="E181" s="47">
        <f t="shared" si="13"/>
        <v>0</v>
      </c>
      <c r="F181" s="87">
        <v>0</v>
      </c>
      <c r="G181" s="47">
        <f t="shared" si="15"/>
        <v>0</v>
      </c>
      <c r="H181" s="88"/>
      <c r="I181" s="20">
        <v>35</v>
      </c>
      <c r="J181" s="82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193</v>
      </c>
      <c r="C182" s="79">
        <f>+'6'!G182</f>
        <v>0</v>
      </c>
      <c r="D182" s="87">
        <v>0</v>
      </c>
      <c r="E182" s="47">
        <f t="shared" si="13"/>
        <v>0</v>
      </c>
      <c r="F182" s="87">
        <v>0</v>
      </c>
      <c r="G182" s="47">
        <f t="shared" si="15"/>
        <v>0</v>
      </c>
      <c r="H182" s="88"/>
      <c r="I182" s="20">
        <v>10</v>
      </c>
      <c r="J182" s="82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194</v>
      </c>
      <c r="C183" s="79">
        <f>+'6'!G183</f>
        <v>0</v>
      </c>
      <c r="D183" s="87">
        <v>0</v>
      </c>
      <c r="E183" s="47">
        <f t="shared" si="13"/>
        <v>0</v>
      </c>
      <c r="F183" s="87">
        <v>0</v>
      </c>
      <c r="G183" s="47">
        <f t="shared" si="15"/>
        <v>0</v>
      </c>
      <c r="H183" s="88"/>
      <c r="I183" s="20">
        <v>10</v>
      </c>
      <c r="J183" s="82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195</v>
      </c>
      <c r="C184" s="79">
        <f>+'6'!G184</f>
        <v>0</v>
      </c>
      <c r="D184" s="87">
        <v>0</v>
      </c>
      <c r="E184" s="47">
        <f t="shared" si="13"/>
        <v>0</v>
      </c>
      <c r="F184" s="87">
        <v>0</v>
      </c>
      <c r="G184" s="47">
        <f t="shared" si="15"/>
        <v>0</v>
      </c>
      <c r="H184" s="88"/>
      <c r="I184" s="20">
        <v>10</v>
      </c>
      <c r="J184" s="82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196</v>
      </c>
      <c r="C185" s="79">
        <f>+'6'!G185</f>
        <v>0</v>
      </c>
      <c r="D185" s="87">
        <v>0</v>
      </c>
      <c r="E185" s="47">
        <f t="shared" si="13"/>
        <v>0</v>
      </c>
      <c r="F185" s="87">
        <v>0</v>
      </c>
      <c r="G185" s="47">
        <f t="shared" si="15"/>
        <v>0</v>
      </c>
      <c r="H185" s="88"/>
      <c r="I185" s="20">
        <v>10</v>
      </c>
      <c r="J185" s="82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197</v>
      </c>
      <c r="C186" s="79">
        <f>+'6'!G186</f>
        <v>0</v>
      </c>
      <c r="D186" s="87">
        <v>0</v>
      </c>
      <c r="E186" s="47">
        <f t="shared" si="13"/>
        <v>0</v>
      </c>
      <c r="F186" s="87">
        <v>0</v>
      </c>
      <c r="G186" s="47">
        <f t="shared" si="15"/>
        <v>0</v>
      </c>
      <c r="H186" s="88"/>
      <c r="I186" s="20">
        <v>10</v>
      </c>
      <c r="J186" s="82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198</v>
      </c>
      <c r="C187" s="79">
        <f>+'6'!G187</f>
        <v>0</v>
      </c>
      <c r="D187" s="87">
        <v>0</v>
      </c>
      <c r="E187" s="47">
        <f t="shared" si="13"/>
        <v>0</v>
      </c>
      <c r="F187" s="87">
        <v>0</v>
      </c>
      <c r="G187" s="47">
        <f t="shared" si="15"/>
        <v>0</v>
      </c>
      <c r="H187" s="88"/>
      <c r="I187" s="20">
        <v>25</v>
      </c>
      <c r="J187" s="82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249</v>
      </c>
      <c r="C188" s="79">
        <f>+'6'!G188</f>
        <v>0</v>
      </c>
      <c r="D188" s="87">
        <v>0</v>
      </c>
      <c r="E188" s="47">
        <f t="shared" si="13"/>
        <v>0</v>
      </c>
      <c r="F188" s="87">
        <v>0</v>
      </c>
      <c r="G188" s="47">
        <f t="shared" si="15"/>
        <v>0</v>
      </c>
      <c r="H188" s="88"/>
      <c r="I188" s="15">
        <v>50</v>
      </c>
      <c r="J188" s="82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250</v>
      </c>
      <c r="C189" s="79">
        <f>+'6'!G189</f>
        <v>0</v>
      </c>
      <c r="D189" s="87">
        <v>0</v>
      </c>
      <c r="E189" s="47">
        <f t="shared" si="13"/>
        <v>0</v>
      </c>
      <c r="F189" s="87">
        <v>0</v>
      </c>
      <c r="G189" s="47">
        <f t="shared" si="15"/>
        <v>0</v>
      </c>
      <c r="H189" s="88"/>
      <c r="I189" s="15">
        <v>10</v>
      </c>
      <c r="J189" s="82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251</v>
      </c>
      <c r="C190" s="79">
        <f>+'6'!G190</f>
        <v>0</v>
      </c>
      <c r="D190" s="87">
        <v>0</v>
      </c>
      <c r="E190" s="47">
        <f t="shared" ref="E190:E252" si="17">C190+D190</f>
        <v>0</v>
      </c>
      <c r="F190" s="87">
        <v>0</v>
      </c>
      <c r="G190" s="47">
        <f t="shared" si="15"/>
        <v>0</v>
      </c>
      <c r="H190" s="88"/>
      <c r="I190" s="15">
        <v>15</v>
      </c>
      <c r="J190" s="82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252</v>
      </c>
      <c r="C191" s="79">
        <f>+'6'!G191</f>
        <v>0</v>
      </c>
      <c r="D191" s="87">
        <v>0</v>
      </c>
      <c r="E191" s="47">
        <f t="shared" si="17"/>
        <v>0</v>
      </c>
      <c r="F191" s="87">
        <v>0</v>
      </c>
      <c r="G191" s="47">
        <f t="shared" si="15"/>
        <v>0</v>
      </c>
      <c r="H191" s="88"/>
      <c r="I191" s="15">
        <v>25</v>
      </c>
      <c r="J191" s="82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253</v>
      </c>
      <c r="C192" s="79">
        <f>+'6'!G192</f>
        <v>0</v>
      </c>
      <c r="D192" s="87">
        <v>0</v>
      </c>
      <c r="E192" s="47">
        <f t="shared" si="17"/>
        <v>0</v>
      </c>
      <c r="F192" s="87">
        <v>0</v>
      </c>
      <c r="G192" s="47">
        <f t="shared" si="15"/>
        <v>0</v>
      </c>
      <c r="H192" s="88"/>
      <c r="I192" s="15">
        <v>50</v>
      </c>
      <c r="J192" s="82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254</v>
      </c>
      <c r="C193" s="79">
        <f>+'6'!G193</f>
        <v>0</v>
      </c>
      <c r="D193" s="87">
        <v>0</v>
      </c>
      <c r="E193" s="47">
        <f t="shared" si="17"/>
        <v>0</v>
      </c>
      <c r="F193" s="87">
        <v>0</v>
      </c>
      <c r="G193" s="47">
        <f t="shared" si="15"/>
        <v>0</v>
      </c>
      <c r="H193" s="88"/>
      <c r="I193" s="15">
        <v>45</v>
      </c>
      <c r="J193" s="82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255</v>
      </c>
      <c r="C194" s="79">
        <f>+'6'!G194</f>
        <v>0</v>
      </c>
      <c r="D194" s="87">
        <v>0</v>
      </c>
      <c r="E194" s="47">
        <f t="shared" si="17"/>
        <v>0</v>
      </c>
      <c r="F194" s="87">
        <v>0</v>
      </c>
      <c r="G194" s="47">
        <f t="shared" si="15"/>
        <v>0</v>
      </c>
      <c r="H194" s="88"/>
      <c r="I194" s="15">
        <v>50</v>
      </c>
      <c r="J194" s="82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199</v>
      </c>
      <c r="C195" s="79">
        <f>+'6'!G195</f>
        <v>0</v>
      </c>
      <c r="D195" s="87">
        <v>0</v>
      </c>
      <c r="E195" s="47">
        <f t="shared" si="17"/>
        <v>0</v>
      </c>
      <c r="F195" s="87">
        <v>0</v>
      </c>
      <c r="G195" s="47">
        <f t="shared" si="15"/>
        <v>0</v>
      </c>
      <c r="H195" s="88"/>
      <c r="I195" s="15">
        <v>150</v>
      </c>
      <c r="J195" s="82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200</v>
      </c>
      <c r="C196" s="79">
        <f>+'6'!G196</f>
        <v>0</v>
      </c>
      <c r="D196" s="87">
        <v>0</v>
      </c>
      <c r="E196" s="47">
        <f t="shared" si="17"/>
        <v>0</v>
      </c>
      <c r="F196" s="87">
        <v>0</v>
      </c>
      <c r="G196" s="47">
        <f t="shared" si="15"/>
        <v>0</v>
      </c>
      <c r="H196" s="88"/>
      <c r="I196" s="15">
        <v>150</v>
      </c>
      <c r="J196" s="82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201</v>
      </c>
      <c r="C197" s="79">
        <f>+'6'!G197</f>
        <v>0</v>
      </c>
      <c r="D197" s="87">
        <v>0</v>
      </c>
      <c r="E197" s="47">
        <f t="shared" si="17"/>
        <v>0</v>
      </c>
      <c r="F197" s="87">
        <v>0</v>
      </c>
      <c r="G197" s="47">
        <f t="shared" si="15"/>
        <v>0</v>
      </c>
      <c r="H197" s="88"/>
      <c r="I197" s="15">
        <v>150</v>
      </c>
      <c r="J197" s="82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256</v>
      </c>
      <c r="C198" s="79">
        <f>+'6'!G198</f>
        <v>0</v>
      </c>
      <c r="D198" s="87">
        <v>0</v>
      </c>
      <c r="E198" s="47">
        <f t="shared" si="17"/>
        <v>0</v>
      </c>
      <c r="F198" s="87">
        <v>0</v>
      </c>
      <c r="G198" s="47">
        <f t="shared" si="15"/>
        <v>0</v>
      </c>
      <c r="H198" s="88"/>
      <c r="I198" s="15">
        <v>55</v>
      </c>
      <c r="J198" s="82">
        <f t="shared" si="16"/>
        <v>0</v>
      </c>
      <c r="K198" s="17" t="s">
        <v>16</v>
      </c>
      <c r="L198" s="18">
        <v>0</v>
      </c>
      <c r="M198" s="23">
        <f t="shared" si="14"/>
        <v>0</v>
      </c>
    </row>
    <row r="199" spans="1:13" ht="25.5" x14ac:dyDescent="0.55000000000000004">
      <c r="A199" s="10">
        <v>195</v>
      </c>
      <c r="B199" s="19" t="s">
        <v>257</v>
      </c>
      <c r="C199" s="79">
        <f>+'6'!G199</f>
        <v>0</v>
      </c>
      <c r="D199" s="87">
        <v>0</v>
      </c>
      <c r="E199" s="47">
        <f t="shared" si="17"/>
        <v>0</v>
      </c>
      <c r="F199" s="87">
        <v>0</v>
      </c>
      <c r="G199" s="47">
        <f t="shared" si="15"/>
        <v>0</v>
      </c>
      <c r="H199" s="88"/>
      <c r="I199" s="15">
        <v>30</v>
      </c>
      <c r="J199" s="82">
        <f t="shared" si="16"/>
        <v>0</v>
      </c>
      <c r="K199" s="17" t="s">
        <v>16</v>
      </c>
      <c r="L199" s="18">
        <v>0</v>
      </c>
      <c r="M199" s="23">
        <f t="shared" ref="M199:M254" si="18">SUM(J199-L199)</f>
        <v>0</v>
      </c>
    </row>
    <row r="200" spans="1:13" ht="25.5" x14ac:dyDescent="0.55000000000000004">
      <c r="A200" s="10">
        <v>196</v>
      </c>
      <c r="B200" s="19" t="s">
        <v>258</v>
      </c>
      <c r="C200" s="79">
        <f>+'6'!G200</f>
        <v>0</v>
      </c>
      <c r="D200" s="87">
        <v>0</v>
      </c>
      <c r="E200" s="47">
        <f t="shared" si="17"/>
        <v>0</v>
      </c>
      <c r="F200" s="87">
        <v>0</v>
      </c>
      <c r="G200" s="47">
        <f t="shared" si="15"/>
        <v>0</v>
      </c>
      <c r="H200" s="88"/>
      <c r="I200" s="15">
        <v>30</v>
      </c>
      <c r="J200" s="82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259</v>
      </c>
      <c r="C201" s="79">
        <f>+'6'!G201</f>
        <v>0</v>
      </c>
      <c r="D201" s="87">
        <v>0</v>
      </c>
      <c r="E201" s="47">
        <f t="shared" si="17"/>
        <v>0</v>
      </c>
      <c r="F201" s="87">
        <v>0</v>
      </c>
      <c r="G201" s="47">
        <f t="shared" si="15"/>
        <v>0</v>
      </c>
      <c r="H201" s="88"/>
      <c r="I201" s="15">
        <v>30</v>
      </c>
      <c r="J201" s="82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260</v>
      </c>
      <c r="C202" s="79">
        <f>+'6'!G202</f>
        <v>0</v>
      </c>
      <c r="D202" s="87">
        <v>0</v>
      </c>
      <c r="E202" s="47">
        <f t="shared" si="17"/>
        <v>0</v>
      </c>
      <c r="F202" s="87">
        <v>0</v>
      </c>
      <c r="G202" s="47">
        <f t="shared" si="15"/>
        <v>0</v>
      </c>
      <c r="H202" s="88"/>
      <c r="I202" s="15">
        <v>30</v>
      </c>
      <c r="J202" s="82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261</v>
      </c>
      <c r="C203" s="79">
        <f>+'6'!G203</f>
        <v>0</v>
      </c>
      <c r="D203" s="87">
        <v>0</v>
      </c>
      <c r="E203" s="47">
        <f t="shared" si="17"/>
        <v>0</v>
      </c>
      <c r="F203" s="87">
        <v>0</v>
      </c>
      <c r="G203" s="47">
        <f t="shared" si="15"/>
        <v>0</v>
      </c>
      <c r="H203" s="88"/>
      <c r="I203" s="20">
        <v>30</v>
      </c>
      <c r="J203" s="82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262</v>
      </c>
      <c r="C204" s="79">
        <f>+'6'!G204</f>
        <v>0</v>
      </c>
      <c r="D204" s="87">
        <v>0</v>
      </c>
      <c r="E204" s="47">
        <f t="shared" si="17"/>
        <v>0</v>
      </c>
      <c r="F204" s="87">
        <v>0</v>
      </c>
      <c r="G204" s="47">
        <f t="shared" si="15"/>
        <v>0</v>
      </c>
      <c r="H204" s="88"/>
      <c r="I204" s="20">
        <v>30</v>
      </c>
      <c r="J204" s="82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263</v>
      </c>
      <c r="C205" s="79">
        <f>+'6'!G205</f>
        <v>0</v>
      </c>
      <c r="D205" s="87">
        <v>0</v>
      </c>
      <c r="E205" s="47">
        <f t="shared" si="17"/>
        <v>0</v>
      </c>
      <c r="F205" s="87">
        <v>0</v>
      </c>
      <c r="G205" s="47">
        <f t="shared" si="15"/>
        <v>0</v>
      </c>
      <c r="H205" s="88"/>
      <c r="I205" s="20">
        <v>50</v>
      </c>
      <c r="J205" s="82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 t="s">
        <v>264</v>
      </c>
      <c r="C206" s="79">
        <f>+'6'!G206</f>
        <v>0</v>
      </c>
      <c r="D206" s="87">
        <v>0</v>
      </c>
      <c r="E206" s="47">
        <f t="shared" si="17"/>
        <v>0</v>
      </c>
      <c r="F206" s="87">
        <v>0</v>
      </c>
      <c r="G206" s="47">
        <f t="shared" si="15"/>
        <v>0</v>
      </c>
      <c r="H206" s="88"/>
      <c r="I206" s="20">
        <v>100</v>
      </c>
      <c r="J206" s="82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265</v>
      </c>
      <c r="C207" s="79">
        <f>+'6'!G207</f>
        <v>0</v>
      </c>
      <c r="D207" s="87">
        <v>0</v>
      </c>
      <c r="E207" s="47">
        <f t="shared" si="17"/>
        <v>0</v>
      </c>
      <c r="F207" s="87">
        <v>0</v>
      </c>
      <c r="G207" s="47">
        <f t="shared" si="15"/>
        <v>0</v>
      </c>
      <c r="H207" s="88"/>
      <c r="I207" s="20">
        <v>100</v>
      </c>
      <c r="J207" s="82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266</v>
      </c>
      <c r="C208" s="79">
        <f>+'6'!G208</f>
        <v>0</v>
      </c>
      <c r="D208" s="87">
        <v>0</v>
      </c>
      <c r="E208" s="47">
        <f t="shared" si="17"/>
        <v>0</v>
      </c>
      <c r="F208" s="87">
        <v>0</v>
      </c>
      <c r="G208" s="47">
        <f t="shared" si="15"/>
        <v>0</v>
      </c>
      <c r="H208" s="88"/>
      <c r="I208" s="20">
        <v>100</v>
      </c>
      <c r="J208" s="82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 t="s">
        <v>267</v>
      </c>
      <c r="C209" s="79">
        <f>+'6'!G209</f>
        <v>0</v>
      </c>
      <c r="D209" s="87">
        <v>0</v>
      </c>
      <c r="E209" s="47">
        <f t="shared" si="17"/>
        <v>0</v>
      </c>
      <c r="F209" s="87">
        <v>0</v>
      </c>
      <c r="G209" s="47">
        <f t="shared" si="15"/>
        <v>0</v>
      </c>
      <c r="H209" s="88"/>
      <c r="I209" s="20">
        <v>100</v>
      </c>
      <c r="J209" s="82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268</v>
      </c>
      <c r="C210" s="79">
        <f>+'6'!G210</f>
        <v>0</v>
      </c>
      <c r="D210" s="87">
        <v>0</v>
      </c>
      <c r="E210" s="47">
        <f t="shared" si="17"/>
        <v>0</v>
      </c>
      <c r="F210" s="87">
        <v>0</v>
      </c>
      <c r="G210" s="47">
        <f t="shared" si="15"/>
        <v>0</v>
      </c>
      <c r="H210" s="88"/>
      <c r="I210" s="20">
        <v>250</v>
      </c>
      <c r="J210" s="82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 t="s">
        <v>269</v>
      </c>
      <c r="C211" s="79">
        <f>+'6'!G211</f>
        <v>0</v>
      </c>
      <c r="D211" s="87">
        <v>0</v>
      </c>
      <c r="E211" s="47">
        <f t="shared" si="17"/>
        <v>0</v>
      </c>
      <c r="F211" s="87">
        <v>0</v>
      </c>
      <c r="G211" s="47">
        <f t="shared" si="15"/>
        <v>0</v>
      </c>
      <c r="H211" s="88"/>
      <c r="I211" s="20">
        <v>250</v>
      </c>
      <c r="J211" s="82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 t="s">
        <v>270</v>
      </c>
      <c r="C212" s="79">
        <f>+'6'!G212</f>
        <v>0</v>
      </c>
      <c r="D212" s="87">
        <v>0</v>
      </c>
      <c r="E212" s="47">
        <f t="shared" si="17"/>
        <v>0</v>
      </c>
      <c r="F212" s="87">
        <v>0</v>
      </c>
      <c r="G212" s="47">
        <f t="shared" si="15"/>
        <v>0</v>
      </c>
      <c r="H212" s="88"/>
      <c r="I212" s="20">
        <v>250</v>
      </c>
      <c r="J212" s="82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 t="s">
        <v>271</v>
      </c>
      <c r="C213" s="79">
        <f>+'6'!G213</f>
        <v>0</v>
      </c>
      <c r="D213" s="87">
        <v>0</v>
      </c>
      <c r="E213" s="47">
        <f t="shared" si="17"/>
        <v>0</v>
      </c>
      <c r="F213" s="87">
        <v>0</v>
      </c>
      <c r="G213" s="47">
        <f t="shared" si="15"/>
        <v>0</v>
      </c>
      <c r="H213" s="88"/>
      <c r="I213" s="20">
        <v>50</v>
      </c>
      <c r="J213" s="82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 t="s">
        <v>273</v>
      </c>
      <c r="C214" s="79">
        <f>+'6'!G214</f>
        <v>0</v>
      </c>
      <c r="D214" s="87">
        <v>0</v>
      </c>
      <c r="E214" s="47">
        <f t="shared" si="17"/>
        <v>0</v>
      </c>
      <c r="F214" s="87">
        <v>0</v>
      </c>
      <c r="G214" s="47">
        <f t="shared" si="15"/>
        <v>0</v>
      </c>
      <c r="H214" s="88"/>
      <c r="I214" s="20">
        <v>50</v>
      </c>
      <c r="J214" s="82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 t="s">
        <v>274</v>
      </c>
      <c r="C215" s="79">
        <f>+'6'!G215</f>
        <v>0</v>
      </c>
      <c r="D215" s="87">
        <v>0</v>
      </c>
      <c r="E215" s="47">
        <f t="shared" si="17"/>
        <v>0</v>
      </c>
      <c r="F215" s="87">
        <v>0</v>
      </c>
      <c r="G215" s="47">
        <f t="shared" si="15"/>
        <v>0</v>
      </c>
      <c r="H215" s="88"/>
      <c r="I215" s="20">
        <v>50</v>
      </c>
      <c r="J215" s="82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 t="s">
        <v>242</v>
      </c>
      <c r="C216" s="79">
        <f>+'6'!G216</f>
        <v>0</v>
      </c>
      <c r="D216" s="87">
        <v>0</v>
      </c>
      <c r="E216" s="47">
        <f t="shared" si="17"/>
        <v>0</v>
      </c>
      <c r="F216" s="87">
        <v>0</v>
      </c>
      <c r="G216" s="47">
        <f t="shared" si="15"/>
        <v>0</v>
      </c>
      <c r="H216" s="88"/>
      <c r="I216" s="20">
        <v>35</v>
      </c>
      <c r="J216" s="82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 t="s">
        <v>275</v>
      </c>
      <c r="C217" s="79">
        <f>+'6'!G217</f>
        <v>0</v>
      </c>
      <c r="D217" s="87">
        <v>0</v>
      </c>
      <c r="E217" s="47">
        <f t="shared" si="17"/>
        <v>0</v>
      </c>
      <c r="F217" s="87">
        <v>0</v>
      </c>
      <c r="G217" s="47">
        <f t="shared" si="15"/>
        <v>0</v>
      </c>
      <c r="H217" s="88"/>
      <c r="I217" s="20">
        <v>199</v>
      </c>
      <c r="J217" s="82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 t="s">
        <v>283</v>
      </c>
      <c r="C218" s="79"/>
      <c r="D218" s="87">
        <v>0</v>
      </c>
      <c r="E218" s="47">
        <f t="shared" si="17"/>
        <v>0</v>
      </c>
      <c r="F218" s="87">
        <v>0</v>
      </c>
      <c r="G218" s="47">
        <f t="shared" si="15"/>
        <v>0</v>
      </c>
      <c r="H218" s="88"/>
      <c r="I218" s="20">
        <v>25</v>
      </c>
      <c r="J218" s="82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 t="s">
        <v>284</v>
      </c>
      <c r="C219" s="79"/>
      <c r="D219" s="87">
        <v>0</v>
      </c>
      <c r="E219" s="47">
        <f t="shared" si="17"/>
        <v>0</v>
      </c>
      <c r="F219" s="87">
        <v>0</v>
      </c>
      <c r="G219" s="47">
        <f t="shared" si="15"/>
        <v>0</v>
      </c>
      <c r="H219" s="88"/>
      <c r="I219" s="20">
        <v>25</v>
      </c>
      <c r="J219" s="82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 t="s">
        <v>314</v>
      </c>
      <c r="C220" s="79">
        <f>+'6'!G220</f>
        <v>-3</v>
      </c>
      <c r="D220" s="87">
        <v>0</v>
      </c>
      <c r="E220" s="47">
        <f t="shared" si="17"/>
        <v>-3</v>
      </c>
      <c r="F220" s="87">
        <v>0</v>
      </c>
      <c r="G220" s="47">
        <f t="shared" si="15"/>
        <v>-3</v>
      </c>
      <c r="H220" s="88"/>
      <c r="I220" s="20">
        <v>35</v>
      </c>
      <c r="J220" s="82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 t="s">
        <v>326</v>
      </c>
      <c r="C221" s="79">
        <f>+'6'!G221</f>
        <v>0</v>
      </c>
      <c r="D221" s="87">
        <v>0</v>
      </c>
      <c r="E221" s="47">
        <f t="shared" si="17"/>
        <v>0</v>
      </c>
      <c r="F221" s="87">
        <v>0</v>
      </c>
      <c r="G221" s="47">
        <f t="shared" si="15"/>
        <v>0</v>
      </c>
      <c r="H221" s="88"/>
      <c r="I221" s="20">
        <v>55</v>
      </c>
      <c r="J221" s="82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 t="s">
        <v>327</v>
      </c>
      <c r="C222" s="79">
        <f>+'6'!G222</f>
        <v>0</v>
      </c>
      <c r="D222" s="87">
        <v>0</v>
      </c>
      <c r="E222" s="47">
        <f t="shared" si="17"/>
        <v>0</v>
      </c>
      <c r="F222" s="87">
        <v>0</v>
      </c>
      <c r="G222" s="47">
        <f t="shared" si="15"/>
        <v>0</v>
      </c>
      <c r="H222" s="88"/>
      <c r="I222" s="20">
        <v>40</v>
      </c>
      <c r="J222" s="82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/>
      <c r="C223" s="79">
        <f>+'6'!G223</f>
        <v>0</v>
      </c>
      <c r="D223" s="87">
        <v>0</v>
      </c>
      <c r="E223" s="47">
        <f t="shared" si="17"/>
        <v>0</v>
      </c>
      <c r="F223" s="87">
        <v>0</v>
      </c>
      <c r="G223" s="47">
        <f t="shared" si="15"/>
        <v>0</v>
      </c>
      <c r="H223" s="88"/>
      <c r="I223" s="20"/>
      <c r="J223" s="82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79">
        <f>+'6'!G224</f>
        <v>0</v>
      </c>
      <c r="D224" s="87">
        <v>0</v>
      </c>
      <c r="E224" s="47">
        <f t="shared" si="17"/>
        <v>0</v>
      </c>
      <c r="F224" s="87">
        <v>0</v>
      </c>
      <c r="G224" s="47">
        <f t="shared" si="15"/>
        <v>0</v>
      </c>
      <c r="H224" s="88"/>
      <c r="I224" s="20"/>
      <c r="J224" s="82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+'6'!G225</f>
        <v>0</v>
      </c>
      <c r="D225" s="87">
        <v>0</v>
      </c>
      <c r="E225" s="47">
        <f t="shared" si="17"/>
        <v>0</v>
      </c>
      <c r="F225" s="87">
        <v>0</v>
      </c>
      <c r="G225" s="47">
        <f t="shared" si="15"/>
        <v>0</v>
      </c>
      <c r="H225" s="88"/>
      <c r="I225" s="20"/>
      <c r="J225" s="82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+'6'!G226</f>
        <v>0</v>
      </c>
      <c r="D226" s="87">
        <v>0</v>
      </c>
      <c r="E226" s="47">
        <f t="shared" si="17"/>
        <v>0</v>
      </c>
      <c r="F226" s="87">
        <v>0</v>
      </c>
      <c r="G226" s="47">
        <f t="shared" si="15"/>
        <v>0</v>
      </c>
      <c r="H226" s="88"/>
      <c r="I226" s="20"/>
      <c r="J226" s="82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+'6'!G227</f>
        <v>0</v>
      </c>
      <c r="D227" s="87">
        <v>0</v>
      </c>
      <c r="E227" s="47">
        <f t="shared" si="17"/>
        <v>0</v>
      </c>
      <c r="F227" s="87">
        <v>0</v>
      </c>
      <c r="G227" s="47">
        <f t="shared" si="15"/>
        <v>0</v>
      </c>
      <c r="H227" s="88"/>
      <c r="I227" s="20"/>
      <c r="J227" s="82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+'6'!G228</f>
        <v>0</v>
      </c>
      <c r="D228" s="87">
        <v>0</v>
      </c>
      <c r="E228" s="47">
        <f t="shared" si="17"/>
        <v>0</v>
      </c>
      <c r="F228" s="87">
        <v>0</v>
      </c>
      <c r="G228" s="47">
        <f t="shared" ref="G228:G254" si="19">+E228-F228-H228</f>
        <v>0</v>
      </c>
      <c r="H228" s="88"/>
      <c r="I228" s="20"/>
      <c r="J228" s="82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+'6'!G229</f>
        <v>0</v>
      </c>
      <c r="D229" s="87">
        <v>0</v>
      </c>
      <c r="E229" s="47">
        <f t="shared" si="17"/>
        <v>0</v>
      </c>
      <c r="F229" s="87">
        <v>0</v>
      </c>
      <c r="G229" s="47">
        <f t="shared" si="19"/>
        <v>0</v>
      </c>
      <c r="H229" s="88"/>
      <c r="I229" s="20"/>
      <c r="J229" s="82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+'6'!G230</f>
        <v>0</v>
      </c>
      <c r="D230" s="87">
        <v>0</v>
      </c>
      <c r="E230" s="47">
        <f t="shared" si="17"/>
        <v>0</v>
      </c>
      <c r="F230" s="87">
        <v>0</v>
      </c>
      <c r="G230" s="47">
        <f t="shared" si="19"/>
        <v>0</v>
      </c>
      <c r="H230" s="88"/>
      <c r="I230" s="20"/>
      <c r="J230" s="82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+'6'!G231</f>
        <v>0</v>
      </c>
      <c r="D231" s="87">
        <v>0</v>
      </c>
      <c r="E231" s="47">
        <f t="shared" si="17"/>
        <v>0</v>
      </c>
      <c r="F231" s="87">
        <v>0</v>
      </c>
      <c r="G231" s="47">
        <f t="shared" si="19"/>
        <v>0</v>
      </c>
      <c r="H231" s="88"/>
      <c r="I231" s="20"/>
      <c r="J231" s="82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+'6'!G232</f>
        <v>0</v>
      </c>
      <c r="D232" s="87">
        <v>0</v>
      </c>
      <c r="E232" s="47">
        <f t="shared" si="17"/>
        <v>0</v>
      </c>
      <c r="F232" s="87">
        <v>0</v>
      </c>
      <c r="G232" s="47">
        <f t="shared" si="19"/>
        <v>0</v>
      </c>
      <c r="H232" s="88"/>
      <c r="I232" s="20"/>
      <c r="J232" s="82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+'6'!G233</f>
        <v>0</v>
      </c>
      <c r="D233" s="87">
        <v>0</v>
      </c>
      <c r="E233" s="47">
        <f t="shared" si="17"/>
        <v>0</v>
      </c>
      <c r="F233" s="87">
        <v>0</v>
      </c>
      <c r="G233" s="47">
        <f t="shared" si="19"/>
        <v>0</v>
      </c>
      <c r="H233" s="88"/>
      <c r="I233" s="20"/>
      <c r="J233" s="82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+'6'!G234</f>
        <v>0</v>
      </c>
      <c r="D234" s="87">
        <v>0</v>
      </c>
      <c r="E234" s="47">
        <f t="shared" si="17"/>
        <v>0</v>
      </c>
      <c r="F234" s="87">
        <v>0</v>
      </c>
      <c r="G234" s="47">
        <f t="shared" si="19"/>
        <v>0</v>
      </c>
      <c r="H234" s="88"/>
      <c r="I234" s="20"/>
      <c r="J234" s="82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+'6'!G235</f>
        <v>0</v>
      </c>
      <c r="D235" s="87">
        <v>0</v>
      </c>
      <c r="E235" s="47">
        <f t="shared" si="17"/>
        <v>0</v>
      </c>
      <c r="F235" s="87">
        <v>0</v>
      </c>
      <c r="G235" s="47">
        <f t="shared" si="19"/>
        <v>0</v>
      </c>
      <c r="H235" s="88"/>
      <c r="I235" s="20"/>
      <c r="J235" s="82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+'6'!G236</f>
        <v>0</v>
      </c>
      <c r="D236" s="87">
        <v>0</v>
      </c>
      <c r="E236" s="47">
        <f t="shared" si="17"/>
        <v>0</v>
      </c>
      <c r="F236" s="87">
        <v>0</v>
      </c>
      <c r="G236" s="47">
        <f t="shared" si="19"/>
        <v>0</v>
      </c>
      <c r="H236" s="88"/>
      <c r="I236" s="20"/>
      <c r="J236" s="82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+'6'!G237</f>
        <v>0</v>
      </c>
      <c r="D237" s="87">
        <v>0</v>
      </c>
      <c r="E237" s="47">
        <f t="shared" si="17"/>
        <v>0</v>
      </c>
      <c r="F237" s="87">
        <v>0</v>
      </c>
      <c r="G237" s="47">
        <f t="shared" si="19"/>
        <v>0</v>
      </c>
      <c r="H237" s="88"/>
      <c r="I237" s="20"/>
      <c r="J237" s="82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+'6'!G238</f>
        <v>0</v>
      </c>
      <c r="D238" s="87">
        <v>0</v>
      </c>
      <c r="E238" s="47">
        <f t="shared" si="17"/>
        <v>0</v>
      </c>
      <c r="F238" s="87">
        <v>0</v>
      </c>
      <c r="G238" s="47">
        <f t="shared" si="19"/>
        <v>0</v>
      </c>
      <c r="H238" s="88"/>
      <c r="I238" s="20"/>
      <c r="J238" s="82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+'6'!G239</f>
        <v>0</v>
      </c>
      <c r="D239" s="87">
        <v>0</v>
      </c>
      <c r="E239" s="47">
        <f t="shared" si="17"/>
        <v>0</v>
      </c>
      <c r="F239" s="87">
        <v>0</v>
      </c>
      <c r="G239" s="47">
        <f t="shared" si="19"/>
        <v>0</v>
      </c>
      <c r="H239" s="88"/>
      <c r="I239" s="20"/>
      <c r="J239" s="82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+'6'!G240</f>
        <v>0</v>
      </c>
      <c r="D240" s="87">
        <v>0</v>
      </c>
      <c r="E240" s="47">
        <f t="shared" si="17"/>
        <v>0</v>
      </c>
      <c r="F240" s="87">
        <v>0</v>
      </c>
      <c r="G240" s="47">
        <f t="shared" si="19"/>
        <v>0</v>
      </c>
      <c r="H240" s="88"/>
      <c r="I240" s="20"/>
      <c r="J240" s="82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+'6'!G241</f>
        <v>0</v>
      </c>
      <c r="D241" s="87">
        <v>0</v>
      </c>
      <c r="E241" s="47">
        <f t="shared" si="17"/>
        <v>0</v>
      </c>
      <c r="F241" s="87">
        <v>0</v>
      </c>
      <c r="G241" s="47">
        <f t="shared" si="19"/>
        <v>0</v>
      </c>
      <c r="H241" s="88"/>
      <c r="I241" s="20"/>
      <c r="J241" s="82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+'6'!G242</f>
        <v>0</v>
      </c>
      <c r="D242" s="87">
        <v>0</v>
      </c>
      <c r="E242" s="47">
        <f t="shared" si="17"/>
        <v>0</v>
      </c>
      <c r="F242" s="87">
        <v>0</v>
      </c>
      <c r="G242" s="47">
        <f t="shared" si="19"/>
        <v>0</v>
      </c>
      <c r="H242" s="88"/>
      <c r="I242" s="20"/>
      <c r="J242" s="82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+'6'!G243</f>
        <v>0</v>
      </c>
      <c r="D243" s="87">
        <v>0</v>
      </c>
      <c r="E243" s="47">
        <f t="shared" si="17"/>
        <v>0</v>
      </c>
      <c r="F243" s="87">
        <v>0</v>
      </c>
      <c r="G243" s="47">
        <f t="shared" si="19"/>
        <v>0</v>
      </c>
      <c r="H243" s="88"/>
      <c r="I243" s="20"/>
      <c r="J243" s="82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+'6'!G244</f>
        <v>0</v>
      </c>
      <c r="D244" s="87">
        <v>0</v>
      </c>
      <c r="E244" s="47">
        <f t="shared" si="17"/>
        <v>0</v>
      </c>
      <c r="F244" s="87">
        <v>0</v>
      </c>
      <c r="G244" s="47">
        <f t="shared" si="19"/>
        <v>0</v>
      </c>
      <c r="H244" s="88"/>
      <c r="I244" s="20"/>
      <c r="J244" s="82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+'6'!G245</f>
        <v>0</v>
      </c>
      <c r="D245" s="87">
        <v>0</v>
      </c>
      <c r="E245" s="47">
        <f t="shared" si="17"/>
        <v>0</v>
      </c>
      <c r="F245" s="87">
        <v>0</v>
      </c>
      <c r="G245" s="47">
        <f t="shared" si="19"/>
        <v>0</v>
      </c>
      <c r="H245" s="88"/>
      <c r="I245" s="20"/>
      <c r="J245" s="82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+'6'!G246</f>
        <v>0</v>
      </c>
      <c r="D246" s="87">
        <v>0</v>
      </c>
      <c r="E246" s="47">
        <f t="shared" si="17"/>
        <v>0</v>
      </c>
      <c r="F246" s="87">
        <v>0</v>
      </c>
      <c r="G246" s="47">
        <f t="shared" si="19"/>
        <v>0</v>
      </c>
      <c r="H246" s="88"/>
      <c r="I246" s="20"/>
      <c r="J246" s="82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+'6'!G247</f>
        <v>0</v>
      </c>
      <c r="D247" s="87">
        <v>0</v>
      </c>
      <c r="E247" s="47">
        <f t="shared" si="17"/>
        <v>0</v>
      </c>
      <c r="F247" s="87">
        <v>0</v>
      </c>
      <c r="G247" s="47">
        <f t="shared" si="19"/>
        <v>0</v>
      </c>
      <c r="H247" s="88"/>
      <c r="I247" s="20"/>
      <c r="J247" s="82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+'6'!G248</f>
        <v>0</v>
      </c>
      <c r="D248" s="87">
        <v>0</v>
      </c>
      <c r="E248" s="47">
        <f t="shared" si="17"/>
        <v>0</v>
      </c>
      <c r="F248" s="87">
        <v>0</v>
      </c>
      <c r="G248" s="47">
        <f t="shared" si="19"/>
        <v>0</v>
      </c>
      <c r="H248" s="88"/>
      <c r="I248" s="20"/>
      <c r="J248" s="82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+'6'!G249</f>
        <v>0</v>
      </c>
      <c r="D249" s="87">
        <v>0</v>
      </c>
      <c r="E249" s="47">
        <f t="shared" si="17"/>
        <v>0</v>
      </c>
      <c r="F249" s="87">
        <v>0</v>
      </c>
      <c r="G249" s="47">
        <f t="shared" si="19"/>
        <v>0</v>
      </c>
      <c r="H249" s="88"/>
      <c r="I249" s="20"/>
      <c r="J249" s="82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+'6'!G250</f>
        <v>0</v>
      </c>
      <c r="D250" s="87">
        <v>0</v>
      </c>
      <c r="E250" s="47">
        <f t="shared" si="17"/>
        <v>0</v>
      </c>
      <c r="F250" s="87">
        <v>0</v>
      </c>
      <c r="G250" s="47">
        <f t="shared" si="19"/>
        <v>0</v>
      </c>
      <c r="H250" s="88"/>
      <c r="I250" s="20"/>
      <c r="J250" s="82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+'6'!G251</f>
        <v>0</v>
      </c>
      <c r="D251" s="87">
        <v>0</v>
      </c>
      <c r="E251" s="47">
        <f t="shared" si="17"/>
        <v>0</v>
      </c>
      <c r="F251" s="87">
        <v>0</v>
      </c>
      <c r="G251" s="47">
        <f t="shared" si="19"/>
        <v>0</v>
      </c>
      <c r="H251" s="88"/>
      <c r="I251" s="20"/>
      <c r="J251" s="82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+'6'!G252</f>
        <v>0</v>
      </c>
      <c r="D252" s="87">
        <v>0</v>
      </c>
      <c r="E252" s="47">
        <f t="shared" si="17"/>
        <v>0</v>
      </c>
      <c r="F252" s="87">
        <v>0</v>
      </c>
      <c r="G252" s="47">
        <f t="shared" si="19"/>
        <v>0</v>
      </c>
      <c r="H252" s="88"/>
      <c r="I252" s="20"/>
      <c r="J252" s="82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+'6'!G253</f>
        <v>0</v>
      </c>
      <c r="D253" s="87">
        <v>0</v>
      </c>
      <c r="E253" s="47">
        <f t="shared" ref="E253:E254" si="21">C253+D253</f>
        <v>0</v>
      </c>
      <c r="F253" s="87">
        <v>0</v>
      </c>
      <c r="G253" s="47">
        <f t="shared" si="19"/>
        <v>0</v>
      </c>
      <c r="H253" s="88"/>
      <c r="I253" s="20"/>
      <c r="J253" s="82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+'6'!G254</f>
        <v>0</v>
      </c>
      <c r="D254" s="87">
        <v>0</v>
      </c>
      <c r="E254" s="47">
        <f t="shared" si="21"/>
        <v>0</v>
      </c>
      <c r="F254" s="87">
        <v>0</v>
      </c>
      <c r="G254" s="47">
        <f t="shared" si="19"/>
        <v>0</v>
      </c>
      <c r="H254" s="88"/>
      <c r="I254" s="20"/>
      <c r="J254" s="82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4750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3" t="s">
        <v>213</v>
      </c>
      <c r="N255" s="143"/>
    </row>
    <row r="256" spans="1:14" ht="25.5" customHeight="1" x14ac:dyDescent="0.5">
      <c r="A256" s="1"/>
      <c r="C256" s="24"/>
      <c r="D256" s="25"/>
      <c r="E256" s="24"/>
      <c r="F256" s="25"/>
      <c r="G256" s="24"/>
      <c r="H256" s="148" t="s">
        <v>212</v>
      </c>
      <c r="I256" s="149"/>
      <c r="J256" s="30">
        <f>+X138</f>
        <v>0</v>
      </c>
      <c r="K256" s="27"/>
      <c r="L256" s="29"/>
    </row>
    <row r="257" spans="1:16" ht="25.5" x14ac:dyDescent="0.55000000000000004">
      <c r="A257" s="1"/>
      <c r="C257" s="31"/>
      <c r="E257" s="31"/>
      <c r="G257" s="31"/>
      <c r="H257" s="32"/>
      <c r="I257" s="150" t="s">
        <v>202</v>
      </c>
      <c r="J257" s="150"/>
      <c r="K257" s="33">
        <f>SUM(J5:J256)</f>
        <v>5250</v>
      </c>
    </row>
    <row r="258" spans="1:16" ht="25.5" x14ac:dyDescent="0.55000000000000004">
      <c r="A258" s="1"/>
      <c r="C258" s="31"/>
      <c r="E258" s="31"/>
      <c r="G258" s="31"/>
      <c r="I258" s="140" t="s">
        <v>203</v>
      </c>
      <c r="J258" s="141"/>
      <c r="K258" s="36">
        <v>15</v>
      </c>
    </row>
    <row r="259" spans="1:16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650</v>
      </c>
      <c r="L259" s="2">
        <v>250</v>
      </c>
      <c r="M259" s="2">
        <v>100</v>
      </c>
      <c r="N259" s="2">
        <v>130</v>
      </c>
      <c r="O259" s="2">
        <v>60</v>
      </c>
      <c r="P259" s="2">
        <v>110</v>
      </c>
    </row>
    <row r="260" spans="1:16" ht="25.5" x14ac:dyDescent="0.55000000000000004">
      <c r="A260" s="1"/>
      <c r="C260" s="31"/>
      <c r="E260" s="31"/>
      <c r="G260" s="31"/>
      <c r="I260" s="140" t="s">
        <v>205</v>
      </c>
      <c r="J260" s="141"/>
      <c r="K260" s="36">
        <v>0</v>
      </c>
    </row>
    <row r="261" spans="1:16" ht="25.5" x14ac:dyDescent="0.55000000000000004">
      <c r="A261" s="1"/>
      <c r="C261" s="31"/>
      <c r="E261" s="31"/>
      <c r="G261" s="31"/>
      <c r="I261" s="140" t="s">
        <v>206</v>
      </c>
      <c r="J261" s="141"/>
      <c r="K261" s="36">
        <v>0</v>
      </c>
    </row>
    <row r="262" spans="1:16" ht="25.5" x14ac:dyDescent="0.55000000000000004">
      <c r="A262" s="1"/>
      <c r="C262" s="31"/>
      <c r="E262" s="31"/>
      <c r="G262" s="31"/>
      <c r="I262" s="140" t="s">
        <v>207</v>
      </c>
      <c r="J262" s="141"/>
      <c r="K262" s="37">
        <f>SUM(L5:L255)</f>
        <v>500</v>
      </c>
    </row>
    <row r="263" spans="1:16" ht="25.5" x14ac:dyDescent="0.55000000000000004">
      <c r="A263" s="1"/>
      <c r="C263" s="31"/>
      <c r="E263" s="31"/>
      <c r="G263" s="31"/>
      <c r="I263" s="140" t="s">
        <v>208</v>
      </c>
      <c r="J263" s="141"/>
      <c r="K263" s="33">
        <f>K257-K258-K259-K261-K262</f>
        <v>4085</v>
      </c>
    </row>
    <row r="264" spans="1:16" ht="25.5" x14ac:dyDescent="0.55000000000000004">
      <c r="A264" s="1"/>
      <c r="C264" s="31"/>
      <c r="E264" s="31"/>
      <c r="G264" s="31"/>
      <c r="I264" s="140" t="s">
        <v>209</v>
      </c>
      <c r="J264" s="141"/>
      <c r="K264" s="37">
        <v>4085</v>
      </c>
    </row>
    <row r="265" spans="1:16" ht="25.5" x14ac:dyDescent="0.55000000000000004">
      <c r="A265" s="1"/>
      <c r="C265" s="31"/>
      <c r="E265" s="31"/>
      <c r="G265" s="31"/>
      <c r="I265" s="140" t="s">
        <v>210</v>
      </c>
      <c r="J265" s="141"/>
      <c r="K265" s="33">
        <f>+K264-K263</f>
        <v>0</v>
      </c>
    </row>
    <row r="266" spans="1:16" ht="25.5" x14ac:dyDescent="0.55000000000000004">
      <c r="G266" s="2"/>
      <c r="I266" s="140" t="s">
        <v>211</v>
      </c>
      <c r="J266" s="141"/>
      <c r="K266" s="33">
        <f>+K264-K263</f>
        <v>0</v>
      </c>
    </row>
    <row r="267" spans="1:16" x14ac:dyDescent="0.5">
      <c r="G267" s="2"/>
      <c r="I267" s="2"/>
    </row>
    <row r="268" spans="1:16" ht="25.5" x14ac:dyDescent="0.55000000000000004">
      <c r="G268" s="2"/>
      <c r="I268" s="105" t="s">
        <v>312</v>
      </c>
    </row>
    <row r="269" spans="1:16" x14ac:dyDescent="0.5">
      <c r="G269" s="2"/>
      <c r="I269" s="2"/>
    </row>
    <row r="270" spans="1:16" x14ac:dyDescent="0.5">
      <c r="G270" s="2"/>
      <c r="I270" s="2"/>
    </row>
    <row r="271" spans="1:16" x14ac:dyDescent="0.5">
      <c r="G271" s="2"/>
      <c r="I271" s="2"/>
    </row>
    <row r="272" spans="1:16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B4F18-2661-4A8B-AE7C-425B83AFC5AE}">
  <sheetPr>
    <tabColor theme="7" tint="-0.249977111117893"/>
  </sheetPr>
  <dimension ref="A1:AB341"/>
  <sheetViews>
    <sheetView zoomScale="85" zoomScaleNormal="85" workbookViewId="0">
      <pane xSplit="7" ySplit="4" topLeftCell="H256" activePane="bottomRight" state="frozen"/>
      <selection activeCell="B20" sqref="B20"/>
      <selection pane="topRight" activeCell="B20" sqref="B20"/>
      <selection pane="bottomLeft" activeCell="B20" sqref="B20"/>
      <selection pane="bottomRight" activeCell="B20" sqref="B20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8" x14ac:dyDescent="0.5">
      <c r="A1" s="1"/>
      <c r="G1" s="2"/>
      <c r="I1" s="2"/>
    </row>
    <row r="2" spans="1:28" s="3" customFormat="1" ht="29.25" x14ac:dyDescent="0.6">
      <c r="A2" s="137" t="s">
        <v>247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8" s="5" customFormat="1" ht="26.25" x14ac:dyDescent="0.55000000000000004">
      <c r="A3" s="139" t="s">
        <v>1</v>
      </c>
      <c r="B3" s="151" t="s">
        <v>2</v>
      </c>
      <c r="C3" s="139" t="s">
        <v>3</v>
      </c>
      <c r="D3" s="139" t="s">
        <v>4</v>
      </c>
      <c r="E3" s="139" t="s">
        <v>5</v>
      </c>
      <c r="F3" s="85" t="s">
        <v>6</v>
      </c>
      <c r="G3" s="139" t="s">
        <v>7</v>
      </c>
      <c r="H3" s="142" t="s">
        <v>8</v>
      </c>
      <c r="I3" s="142"/>
      <c r="J3" s="142"/>
      <c r="K3" s="139" t="s">
        <v>9</v>
      </c>
      <c r="L3" s="144" t="s">
        <v>10</v>
      </c>
      <c r="O3" s="139" t="s">
        <v>1</v>
      </c>
      <c r="P3" s="139" t="s">
        <v>2</v>
      </c>
      <c r="Q3" s="139" t="s">
        <v>3</v>
      </c>
      <c r="R3" s="139" t="s">
        <v>4</v>
      </c>
      <c r="S3" s="139" t="s">
        <v>5</v>
      </c>
      <c r="T3" s="85" t="s">
        <v>6</v>
      </c>
      <c r="U3" s="139" t="s">
        <v>7</v>
      </c>
      <c r="V3" s="142" t="s">
        <v>8</v>
      </c>
      <c r="W3" s="142"/>
      <c r="X3" s="142"/>
      <c r="Y3" s="139" t="s">
        <v>9</v>
      </c>
      <c r="Z3" s="144" t="s">
        <v>10</v>
      </c>
    </row>
    <row r="4" spans="1:28" s="5" customFormat="1" ht="26.25" x14ac:dyDescent="0.55000000000000004">
      <c r="A4" s="139"/>
      <c r="B4" s="151"/>
      <c r="C4" s="139"/>
      <c r="D4" s="139"/>
      <c r="E4" s="139"/>
      <c r="F4" s="85" t="s">
        <v>11</v>
      </c>
      <c r="G4" s="139"/>
      <c r="H4" s="85" t="s">
        <v>12</v>
      </c>
      <c r="I4" s="86" t="s">
        <v>13</v>
      </c>
      <c r="J4" s="85" t="s">
        <v>14</v>
      </c>
      <c r="K4" s="139"/>
      <c r="L4" s="144"/>
      <c r="O4" s="139"/>
      <c r="P4" s="139"/>
      <c r="Q4" s="139"/>
      <c r="R4" s="139"/>
      <c r="S4" s="139"/>
      <c r="T4" s="85" t="s">
        <v>11</v>
      </c>
      <c r="U4" s="139"/>
      <c r="V4" s="85" t="s">
        <v>12</v>
      </c>
      <c r="W4" s="86" t="s">
        <v>13</v>
      </c>
      <c r="X4" s="85" t="s">
        <v>14</v>
      </c>
      <c r="Y4" s="139"/>
      <c r="Z4" s="144"/>
      <c r="AB4" s="5" t="s">
        <v>2</v>
      </c>
    </row>
    <row r="5" spans="1:28" ht="25.5" x14ac:dyDescent="0.55000000000000004">
      <c r="A5" s="10">
        <v>1</v>
      </c>
      <c r="B5" s="19" t="s">
        <v>15</v>
      </c>
      <c r="C5" s="79">
        <f>+'7'!G5</f>
        <v>18</v>
      </c>
      <c r="D5" s="87">
        <v>0</v>
      </c>
      <c r="E5" s="47">
        <f t="shared" ref="E5:E125" si="0">C5+D5</f>
        <v>18</v>
      </c>
      <c r="F5" s="87">
        <v>0</v>
      </c>
      <c r="G5" s="47">
        <f>+E5-F5-H5</f>
        <v>6</v>
      </c>
      <c r="H5" s="88">
        <v>12</v>
      </c>
      <c r="I5" s="15">
        <v>50</v>
      </c>
      <c r="J5" s="82">
        <f>+I5*H5</f>
        <v>600</v>
      </c>
      <c r="K5" s="17" t="s">
        <v>16</v>
      </c>
      <c r="L5" s="18">
        <v>0</v>
      </c>
      <c r="M5" s="104">
        <f>SUM(J5-L5)</f>
        <v>600</v>
      </c>
      <c r="O5" s="10">
        <v>1</v>
      </c>
      <c r="P5" s="19"/>
      <c r="Q5" s="47">
        <v>0</v>
      </c>
      <c r="R5" s="87">
        <v>0</v>
      </c>
      <c r="S5" s="47">
        <f t="shared" ref="S5:S14" si="1">Q5+R5</f>
        <v>0</v>
      </c>
      <c r="T5" s="87">
        <v>0</v>
      </c>
      <c r="U5" s="47">
        <f t="shared" ref="U5:U14" si="2">S5-T5-V5</f>
        <v>0</v>
      </c>
      <c r="V5" s="88">
        <v>0</v>
      </c>
      <c r="W5" s="22"/>
      <c r="X5" s="44">
        <f t="shared" ref="X5:X14" si="3">V5*W5</f>
        <v>0</v>
      </c>
      <c r="Y5" s="17" t="s">
        <v>16</v>
      </c>
      <c r="Z5" s="18">
        <v>0</v>
      </c>
      <c r="AB5" s="2" t="s">
        <v>317</v>
      </c>
    </row>
    <row r="6" spans="1:28" ht="25.5" x14ac:dyDescent="0.55000000000000004">
      <c r="A6" s="10">
        <v>2</v>
      </c>
      <c r="B6" s="19" t="s">
        <v>17</v>
      </c>
      <c r="C6" s="79">
        <f>+'7'!G6</f>
        <v>17</v>
      </c>
      <c r="D6" s="87">
        <v>0</v>
      </c>
      <c r="E6" s="47">
        <f t="shared" si="0"/>
        <v>17</v>
      </c>
      <c r="F6" s="87">
        <v>0</v>
      </c>
      <c r="G6" s="47">
        <f t="shared" ref="G6:G100" si="4">+E6-F6-H6</f>
        <v>11</v>
      </c>
      <c r="H6" s="88">
        <v>6</v>
      </c>
      <c r="I6" s="15">
        <v>100</v>
      </c>
      <c r="J6" s="82">
        <f t="shared" ref="J6:J100" si="5">+I6*H6</f>
        <v>600</v>
      </c>
      <c r="K6" s="17" t="s">
        <v>16</v>
      </c>
      <c r="L6" s="18">
        <v>0</v>
      </c>
      <c r="M6" s="104">
        <f t="shared" ref="M6:M69" si="6">SUM(J6-L6)</f>
        <v>600</v>
      </c>
      <c r="O6" s="10">
        <v>2</v>
      </c>
      <c r="P6" s="19"/>
      <c r="Q6" s="47">
        <v>0</v>
      </c>
      <c r="R6" s="87">
        <v>0</v>
      </c>
      <c r="S6" s="47">
        <f t="shared" si="1"/>
        <v>0</v>
      </c>
      <c r="T6" s="87">
        <v>0</v>
      </c>
      <c r="U6" s="47">
        <f t="shared" si="2"/>
        <v>0</v>
      </c>
      <c r="V6" s="88">
        <v>0</v>
      </c>
      <c r="W6" s="22"/>
      <c r="X6" s="44">
        <f t="shared" si="3"/>
        <v>0</v>
      </c>
      <c r="Y6" s="17" t="s">
        <v>16</v>
      </c>
      <c r="Z6" s="18">
        <v>0</v>
      </c>
      <c r="AB6" s="2" t="s">
        <v>318</v>
      </c>
    </row>
    <row r="7" spans="1:28" ht="25.5" x14ac:dyDescent="0.55000000000000004">
      <c r="A7" s="10">
        <v>3</v>
      </c>
      <c r="B7" s="19" t="s">
        <v>18</v>
      </c>
      <c r="C7" s="79">
        <f>+'7'!G7</f>
        <v>0</v>
      </c>
      <c r="D7" s="87">
        <v>0</v>
      </c>
      <c r="E7" s="47">
        <f>C7+D7</f>
        <v>0</v>
      </c>
      <c r="F7" s="87">
        <v>0</v>
      </c>
      <c r="G7" s="47">
        <f t="shared" si="4"/>
        <v>0</v>
      </c>
      <c r="H7" s="88"/>
      <c r="I7" s="15">
        <v>50</v>
      </c>
      <c r="J7" s="8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7">
        <v>0</v>
      </c>
      <c r="S7" s="47">
        <f t="shared" si="1"/>
        <v>0</v>
      </c>
      <c r="T7" s="87">
        <v>0</v>
      </c>
      <c r="U7" s="47">
        <f t="shared" si="2"/>
        <v>0</v>
      </c>
      <c r="V7" s="88">
        <v>0</v>
      </c>
      <c r="W7" s="22"/>
      <c r="X7" s="44">
        <f t="shared" si="3"/>
        <v>0</v>
      </c>
      <c r="Y7" s="17" t="s">
        <v>16</v>
      </c>
      <c r="Z7" s="18">
        <v>0</v>
      </c>
      <c r="AB7" s="2" t="s">
        <v>319</v>
      </c>
    </row>
    <row r="8" spans="1:28" ht="25.5" x14ac:dyDescent="0.55000000000000004">
      <c r="A8" s="10">
        <v>4</v>
      </c>
      <c r="B8" s="19" t="s">
        <v>19</v>
      </c>
      <c r="C8" s="79">
        <f>+'7'!G8</f>
        <v>0</v>
      </c>
      <c r="D8" s="87">
        <v>0</v>
      </c>
      <c r="E8" s="47">
        <f>C8+D8</f>
        <v>0</v>
      </c>
      <c r="F8" s="87">
        <v>0</v>
      </c>
      <c r="G8" s="47">
        <f t="shared" si="4"/>
        <v>0</v>
      </c>
      <c r="H8" s="88"/>
      <c r="I8" s="15">
        <v>100</v>
      </c>
      <c r="J8" s="8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7">
        <v>0</v>
      </c>
      <c r="S8" s="47">
        <f t="shared" si="1"/>
        <v>0</v>
      </c>
      <c r="T8" s="87">
        <v>0</v>
      </c>
      <c r="U8" s="47">
        <f t="shared" si="2"/>
        <v>0</v>
      </c>
      <c r="V8" s="88">
        <v>0</v>
      </c>
      <c r="W8" s="22"/>
      <c r="X8" s="44">
        <f t="shared" si="3"/>
        <v>0</v>
      </c>
      <c r="Y8" s="17" t="s">
        <v>16</v>
      </c>
      <c r="Z8" s="18">
        <v>0</v>
      </c>
      <c r="AB8" s="2" t="s">
        <v>320</v>
      </c>
    </row>
    <row r="9" spans="1:28" ht="25.5" x14ac:dyDescent="0.55000000000000004">
      <c r="A9" s="10">
        <v>5</v>
      </c>
      <c r="B9" s="19" t="s">
        <v>20</v>
      </c>
      <c r="C9" s="79">
        <f>+'7'!G9</f>
        <v>0</v>
      </c>
      <c r="D9" s="87">
        <v>0</v>
      </c>
      <c r="E9" s="47">
        <f>C9+D9</f>
        <v>0</v>
      </c>
      <c r="F9" s="87">
        <v>0</v>
      </c>
      <c r="G9" s="47">
        <f t="shared" si="4"/>
        <v>0</v>
      </c>
      <c r="H9" s="88"/>
      <c r="I9" s="15">
        <v>12</v>
      </c>
      <c r="J9" s="8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7">
        <v>0</v>
      </c>
      <c r="S9" s="47">
        <f t="shared" si="1"/>
        <v>0</v>
      </c>
      <c r="T9" s="87">
        <v>0</v>
      </c>
      <c r="U9" s="47">
        <f t="shared" si="2"/>
        <v>0</v>
      </c>
      <c r="V9" s="88">
        <v>0</v>
      </c>
      <c r="W9" s="22"/>
      <c r="X9" s="44">
        <f t="shared" si="3"/>
        <v>0</v>
      </c>
      <c r="Y9" s="17" t="s">
        <v>16</v>
      </c>
      <c r="Z9" s="18">
        <v>0</v>
      </c>
      <c r="AB9" s="2" t="s">
        <v>307</v>
      </c>
    </row>
    <row r="10" spans="1:28" ht="25.5" x14ac:dyDescent="0.55000000000000004">
      <c r="A10" s="10">
        <v>6</v>
      </c>
      <c r="B10" s="19" t="s">
        <v>21</v>
      </c>
      <c r="C10" s="79">
        <f>+'7'!G10</f>
        <v>0</v>
      </c>
      <c r="D10" s="87">
        <v>0</v>
      </c>
      <c r="E10" s="47">
        <f>C10+D10</f>
        <v>0</v>
      </c>
      <c r="F10" s="87">
        <v>0</v>
      </c>
      <c r="G10" s="47">
        <f t="shared" si="4"/>
        <v>0</v>
      </c>
      <c r="H10" s="88"/>
      <c r="I10" s="15">
        <v>15</v>
      </c>
      <c r="J10" s="8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7">
        <v>0</v>
      </c>
      <c r="S10" s="47">
        <f t="shared" si="1"/>
        <v>0</v>
      </c>
      <c r="T10" s="87">
        <v>0</v>
      </c>
      <c r="U10" s="47">
        <f t="shared" si="2"/>
        <v>0</v>
      </c>
      <c r="V10" s="88">
        <v>0</v>
      </c>
      <c r="W10" s="22"/>
      <c r="X10" s="44">
        <f t="shared" si="3"/>
        <v>0</v>
      </c>
      <c r="Y10" s="17" t="s">
        <v>16</v>
      </c>
      <c r="Z10" s="18">
        <v>0</v>
      </c>
      <c r="AB10" s="2" t="s">
        <v>311</v>
      </c>
    </row>
    <row r="11" spans="1:28" ht="25.5" x14ac:dyDescent="0.55000000000000004">
      <c r="A11" s="10">
        <v>7</v>
      </c>
      <c r="B11" s="19" t="s">
        <v>22</v>
      </c>
      <c r="C11" s="79">
        <f>+'7'!G11</f>
        <v>0</v>
      </c>
      <c r="D11" s="87">
        <v>0</v>
      </c>
      <c r="E11" s="47">
        <f t="shared" si="0"/>
        <v>0</v>
      </c>
      <c r="F11" s="87">
        <v>0</v>
      </c>
      <c r="G11" s="47">
        <f t="shared" si="4"/>
        <v>0</v>
      </c>
      <c r="H11" s="88"/>
      <c r="I11" s="15">
        <v>40</v>
      </c>
      <c r="J11" s="8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7">
        <v>0</v>
      </c>
      <c r="S11" s="47">
        <f t="shared" si="1"/>
        <v>0</v>
      </c>
      <c r="T11" s="87">
        <v>0</v>
      </c>
      <c r="U11" s="47">
        <f t="shared" si="2"/>
        <v>0</v>
      </c>
      <c r="V11" s="88">
        <v>0</v>
      </c>
      <c r="W11" s="22"/>
      <c r="X11" s="44">
        <f t="shared" si="3"/>
        <v>0</v>
      </c>
      <c r="Y11" s="17" t="s">
        <v>16</v>
      </c>
      <c r="Z11" s="18">
        <v>0</v>
      </c>
      <c r="AB11" s="2" t="s">
        <v>321</v>
      </c>
    </row>
    <row r="12" spans="1:28" ht="25.5" x14ac:dyDescent="0.55000000000000004">
      <c r="A12" s="10">
        <v>8</v>
      </c>
      <c r="B12" s="19" t="s">
        <v>23</v>
      </c>
      <c r="C12" s="79">
        <f>+'7'!G12</f>
        <v>0</v>
      </c>
      <c r="D12" s="87">
        <v>0</v>
      </c>
      <c r="E12" s="47">
        <f t="shared" si="0"/>
        <v>0</v>
      </c>
      <c r="F12" s="87">
        <v>0</v>
      </c>
      <c r="G12" s="47">
        <f t="shared" si="4"/>
        <v>0</v>
      </c>
      <c r="H12" s="88"/>
      <c r="I12" s="20">
        <v>50</v>
      </c>
      <c r="J12" s="8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7">
        <v>0</v>
      </c>
      <c r="S12" s="47">
        <f t="shared" si="1"/>
        <v>0</v>
      </c>
      <c r="T12" s="87">
        <v>0</v>
      </c>
      <c r="U12" s="47">
        <f t="shared" si="2"/>
        <v>0</v>
      </c>
      <c r="V12" s="88">
        <v>0</v>
      </c>
      <c r="W12" s="22"/>
      <c r="X12" s="44">
        <f t="shared" si="3"/>
        <v>0</v>
      </c>
      <c r="Y12" s="17" t="s">
        <v>16</v>
      </c>
      <c r="Z12" s="18">
        <v>0</v>
      </c>
      <c r="AB12" s="2" t="s">
        <v>289</v>
      </c>
    </row>
    <row r="13" spans="1:28" ht="25.5" x14ac:dyDescent="0.55000000000000004">
      <c r="A13" s="10">
        <v>9</v>
      </c>
      <c r="B13" s="19" t="s">
        <v>24</v>
      </c>
      <c r="C13" s="79">
        <f>+'7'!G13</f>
        <v>0</v>
      </c>
      <c r="D13" s="87">
        <v>0</v>
      </c>
      <c r="E13" s="47">
        <f>C13+D13</f>
        <v>0</v>
      </c>
      <c r="F13" s="87">
        <v>0</v>
      </c>
      <c r="G13" s="47">
        <f t="shared" si="4"/>
        <v>0</v>
      </c>
      <c r="H13" s="88"/>
      <c r="I13" s="20">
        <v>55</v>
      </c>
      <c r="J13" s="8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7">
        <v>0</v>
      </c>
      <c r="S13" s="47">
        <f t="shared" si="1"/>
        <v>0</v>
      </c>
      <c r="T13" s="87">
        <v>0</v>
      </c>
      <c r="U13" s="47">
        <f t="shared" si="2"/>
        <v>0</v>
      </c>
      <c r="V13" s="88">
        <v>0</v>
      </c>
      <c r="W13" s="22"/>
      <c r="X13" s="44">
        <f t="shared" si="3"/>
        <v>0</v>
      </c>
      <c r="Y13" s="17" t="s">
        <v>16</v>
      </c>
      <c r="Z13" s="18">
        <v>0</v>
      </c>
      <c r="AB13" s="2" t="s">
        <v>322</v>
      </c>
    </row>
    <row r="14" spans="1:28" ht="25.5" x14ac:dyDescent="0.55000000000000004">
      <c r="A14" s="10">
        <v>10</v>
      </c>
      <c r="B14" s="19" t="s">
        <v>25</v>
      </c>
      <c r="C14" s="79">
        <f>+'7'!G14</f>
        <v>7</v>
      </c>
      <c r="D14" s="87">
        <v>0</v>
      </c>
      <c r="E14" s="47">
        <f t="shared" si="0"/>
        <v>7</v>
      </c>
      <c r="F14" s="87">
        <v>0</v>
      </c>
      <c r="G14" s="47">
        <f t="shared" si="4"/>
        <v>2</v>
      </c>
      <c r="H14" s="88">
        <v>5</v>
      </c>
      <c r="I14" s="20">
        <v>65</v>
      </c>
      <c r="J14" s="82">
        <f t="shared" si="5"/>
        <v>325</v>
      </c>
      <c r="K14" s="17" t="s">
        <v>16</v>
      </c>
      <c r="L14" s="18">
        <v>0</v>
      </c>
      <c r="M14" s="104">
        <f t="shared" si="6"/>
        <v>325</v>
      </c>
      <c r="O14" s="10">
        <v>10</v>
      </c>
      <c r="P14" s="19"/>
      <c r="Q14" s="47">
        <v>0</v>
      </c>
      <c r="R14" s="87">
        <v>0</v>
      </c>
      <c r="S14" s="47">
        <f t="shared" si="1"/>
        <v>0</v>
      </c>
      <c r="T14" s="87">
        <v>0</v>
      </c>
      <c r="U14" s="47">
        <f t="shared" si="2"/>
        <v>0</v>
      </c>
      <c r="V14" s="88">
        <v>0</v>
      </c>
      <c r="W14" s="22"/>
      <c r="X14" s="44">
        <f t="shared" si="3"/>
        <v>0</v>
      </c>
      <c r="Y14" s="17" t="s">
        <v>16</v>
      </c>
      <c r="Z14" s="18">
        <v>0</v>
      </c>
      <c r="AB14" s="2" t="s">
        <v>306</v>
      </c>
    </row>
    <row r="15" spans="1:28" ht="25.5" x14ac:dyDescent="0.55000000000000004">
      <c r="A15" s="10">
        <v>11</v>
      </c>
      <c r="B15" s="19" t="s">
        <v>26</v>
      </c>
      <c r="C15" s="79">
        <f>+'7'!G15</f>
        <v>0</v>
      </c>
      <c r="D15" s="87">
        <v>0</v>
      </c>
      <c r="E15" s="47">
        <f t="shared" si="0"/>
        <v>0</v>
      </c>
      <c r="F15" s="87">
        <v>0</v>
      </c>
      <c r="G15" s="47">
        <f t="shared" si="4"/>
        <v>0</v>
      </c>
      <c r="H15" s="88"/>
      <c r="I15" s="20">
        <v>50</v>
      </c>
      <c r="J15" s="8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7">
        <v>0</v>
      </c>
      <c r="S15" s="47">
        <f t="shared" ref="S15:S29" si="7">Q15+R15</f>
        <v>0</v>
      </c>
      <c r="T15" s="87">
        <v>0</v>
      </c>
      <c r="U15" s="47">
        <f t="shared" ref="U15:U29" si="8">S15-T15-V15</f>
        <v>0</v>
      </c>
      <c r="V15" s="88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  <c r="AB15" s="2" t="s">
        <v>323</v>
      </c>
    </row>
    <row r="16" spans="1:28" ht="25.5" x14ac:dyDescent="0.55000000000000004">
      <c r="A16" s="10">
        <v>12</v>
      </c>
      <c r="B16" s="19" t="s">
        <v>27</v>
      </c>
      <c r="C16" s="79">
        <f>+'7'!G16</f>
        <v>0</v>
      </c>
      <c r="D16" s="87">
        <v>0</v>
      </c>
      <c r="E16" s="47">
        <f t="shared" si="0"/>
        <v>0</v>
      </c>
      <c r="F16" s="87">
        <v>0</v>
      </c>
      <c r="G16" s="47">
        <f t="shared" si="4"/>
        <v>0</v>
      </c>
      <c r="H16" s="88"/>
      <c r="I16" s="15">
        <v>50</v>
      </c>
      <c r="J16" s="8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7">
        <v>0</v>
      </c>
      <c r="S16" s="47">
        <f t="shared" si="7"/>
        <v>0</v>
      </c>
      <c r="T16" s="87">
        <v>0</v>
      </c>
      <c r="U16" s="47">
        <f t="shared" si="8"/>
        <v>0</v>
      </c>
      <c r="V16" s="88">
        <v>0</v>
      </c>
      <c r="W16" s="22"/>
      <c r="X16" s="44">
        <f t="shared" si="9"/>
        <v>0</v>
      </c>
      <c r="Y16" s="17" t="s">
        <v>16</v>
      </c>
      <c r="Z16" s="18">
        <v>0</v>
      </c>
      <c r="AB16" s="2" t="s">
        <v>291</v>
      </c>
    </row>
    <row r="17" spans="1:26" ht="25.5" x14ac:dyDescent="0.55000000000000004">
      <c r="A17" s="10">
        <v>13</v>
      </c>
      <c r="B17" s="19" t="s">
        <v>28</v>
      </c>
      <c r="C17" s="79">
        <f>+'7'!G17</f>
        <v>0</v>
      </c>
      <c r="D17" s="87">
        <v>0</v>
      </c>
      <c r="E17" s="47">
        <f t="shared" si="0"/>
        <v>0</v>
      </c>
      <c r="F17" s="87">
        <v>0</v>
      </c>
      <c r="G17" s="47">
        <f t="shared" si="4"/>
        <v>0</v>
      </c>
      <c r="H17" s="88"/>
      <c r="I17" s="15">
        <v>50</v>
      </c>
      <c r="J17" s="8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7">
        <v>0</v>
      </c>
      <c r="S17" s="47">
        <f t="shared" si="7"/>
        <v>0</v>
      </c>
      <c r="T17" s="87">
        <v>0</v>
      </c>
      <c r="U17" s="47">
        <f t="shared" si="8"/>
        <v>0</v>
      </c>
      <c r="V17" s="88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+'7'!G18</f>
        <v>0</v>
      </c>
      <c r="D18" s="87">
        <v>0</v>
      </c>
      <c r="E18" s="47">
        <f t="shared" si="0"/>
        <v>0</v>
      </c>
      <c r="F18" s="87">
        <v>0</v>
      </c>
      <c r="G18" s="47">
        <f t="shared" si="4"/>
        <v>0</v>
      </c>
      <c r="H18" s="88"/>
      <c r="I18" s="20">
        <v>50</v>
      </c>
      <c r="J18" s="8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7">
        <v>0</v>
      </c>
      <c r="S18" s="47">
        <f t="shared" si="7"/>
        <v>0</v>
      </c>
      <c r="T18" s="87">
        <v>0</v>
      </c>
      <c r="U18" s="47">
        <f t="shared" si="8"/>
        <v>0</v>
      </c>
      <c r="V18" s="88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329</v>
      </c>
      <c r="C19" s="79">
        <f>+'7'!G19</f>
        <v>0</v>
      </c>
      <c r="D19" s="87">
        <v>0</v>
      </c>
      <c r="E19" s="47">
        <f t="shared" si="0"/>
        <v>0</v>
      </c>
      <c r="F19" s="87">
        <v>0</v>
      </c>
      <c r="G19" s="47">
        <f t="shared" si="4"/>
        <v>0</v>
      </c>
      <c r="H19" s="88"/>
      <c r="I19" s="15">
        <v>50</v>
      </c>
      <c r="J19" s="8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7">
        <v>0</v>
      </c>
      <c r="S19" s="47">
        <f t="shared" si="7"/>
        <v>0</v>
      </c>
      <c r="T19" s="87">
        <v>0</v>
      </c>
      <c r="U19" s="47">
        <f t="shared" si="8"/>
        <v>0</v>
      </c>
      <c r="V19" s="88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+'7'!G20</f>
        <v>0</v>
      </c>
      <c r="D20" s="87">
        <v>0</v>
      </c>
      <c r="E20" s="47">
        <f t="shared" si="0"/>
        <v>0</v>
      </c>
      <c r="F20" s="87">
        <v>0</v>
      </c>
      <c r="G20" s="47">
        <f t="shared" si="4"/>
        <v>0</v>
      </c>
      <c r="H20" s="88"/>
      <c r="I20" s="15">
        <v>50</v>
      </c>
      <c r="J20" s="8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7">
        <v>0</v>
      </c>
      <c r="S20" s="47">
        <f t="shared" si="7"/>
        <v>0</v>
      </c>
      <c r="T20" s="87">
        <v>0</v>
      </c>
      <c r="U20" s="47">
        <f t="shared" si="8"/>
        <v>0</v>
      </c>
      <c r="V20" s="88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+'7'!G21</f>
        <v>0</v>
      </c>
      <c r="D21" s="87">
        <v>0</v>
      </c>
      <c r="E21" s="47">
        <f t="shared" si="0"/>
        <v>0</v>
      </c>
      <c r="F21" s="87">
        <v>0</v>
      </c>
      <c r="G21" s="47">
        <f t="shared" si="4"/>
        <v>0</v>
      </c>
      <c r="H21" s="88"/>
      <c r="I21" s="15">
        <v>50</v>
      </c>
      <c r="J21" s="8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7">
        <v>0</v>
      </c>
      <c r="S21" s="47">
        <f t="shared" si="7"/>
        <v>0</v>
      </c>
      <c r="T21" s="87">
        <v>0</v>
      </c>
      <c r="U21" s="47">
        <f t="shared" si="8"/>
        <v>0</v>
      </c>
      <c r="V21" s="88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+'7'!G22</f>
        <v>0</v>
      </c>
      <c r="D22" s="87">
        <v>0</v>
      </c>
      <c r="E22" s="47">
        <f t="shared" si="0"/>
        <v>0</v>
      </c>
      <c r="F22" s="87">
        <v>0</v>
      </c>
      <c r="G22" s="47">
        <f t="shared" si="4"/>
        <v>0</v>
      </c>
      <c r="H22" s="88"/>
      <c r="I22" s="15">
        <v>85</v>
      </c>
      <c r="J22" s="8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7">
        <v>0</v>
      </c>
      <c r="S22" s="47">
        <f t="shared" si="7"/>
        <v>0</v>
      </c>
      <c r="T22" s="87">
        <v>0</v>
      </c>
      <c r="U22" s="47">
        <f t="shared" si="8"/>
        <v>0</v>
      </c>
      <c r="V22" s="88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+'7'!G23</f>
        <v>5</v>
      </c>
      <c r="D23" s="87">
        <v>0</v>
      </c>
      <c r="E23" s="47">
        <f t="shared" si="0"/>
        <v>5</v>
      </c>
      <c r="F23" s="87">
        <v>0</v>
      </c>
      <c r="G23" s="47">
        <f t="shared" si="4"/>
        <v>0</v>
      </c>
      <c r="H23" s="88">
        <v>5</v>
      </c>
      <c r="I23" s="15">
        <v>100</v>
      </c>
      <c r="J23" s="82">
        <f t="shared" si="5"/>
        <v>500</v>
      </c>
      <c r="K23" s="17" t="s">
        <v>16</v>
      </c>
      <c r="L23" s="18">
        <v>0</v>
      </c>
      <c r="M23" s="104">
        <f t="shared" si="6"/>
        <v>500</v>
      </c>
      <c r="O23" s="10">
        <v>19</v>
      </c>
      <c r="P23" s="19"/>
      <c r="Q23" s="47">
        <v>0</v>
      </c>
      <c r="R23" s="87">
        <v>0</v>
      </c>
      <c r="S23" s="47">
        <f t="shared" si="7"/>
        <v>0</v>
      </c>
      <c r="T23" s="87">
        <v>0</v>
      </c>
      <c r="U23" s="47">
        <f t="shared" si="8"/>
        <v>0</v>
      </c>
      <c r="V23" s="88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+'7'!G24</f>
        <v>3</v>
      </c>
      <c r="D24" s="87">
        <v>0</v>
      </c>
      <c r="E24" s="47">
        <f t="shared" si="0"/>
        <v>3</v>
      </c>
      <c r="F24" s="87">
        <v>0</v>
      </c>
      <c r="G24" s="47">
        <f t="shared" si="4"/>
        <v>2</v>
      </c>
      <c r="H24" s="88">
        <v>1</v>
      </c>
      <c r="I24" s="21">
        <v>100</v>
      </c>
      <c r="J24" s="82">
        <f t="shared" si="5"/>
        <v>100</v>
      </c>
      <c r="K24" s="17" t="s">
        <v>16</v>
      </c>
      <c r="L24" s="18">
        <v>0</v>
      </c>
      <c r="M24" s="104">
        <f t="shared" si="6"/>
        <v>100</v>
      </c>
      <c r="O24" s="10">
        <v>20</v>
      </c>
      <c r="P24" s="19"/>
      <c r="Q24" s="47">
        <v>0</v>
      </c>
      <c r="R24" s="87">
        <v>0</v>
      </c>
      <c r="S24" s="47">
        <f t="shared" si="7"/>
        <v>0</v>
      </c>
      <c r="T24" s="87">
        <v>0</v>
      </c>
      <c r="U24" s="47">
        <f t="shared" si="8"/>
        <v>0</v>
      </c>
      <c r="V24" s="88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+'7'!G25</f>
        <v>0</v>
      </c>
      <c r="D25" s="87">
        <v>0</v>
      </c>
      <c r="E25" s="47">
        <f t="shared" si="0"/>
        <v>0</v>
      </c>
      <c r="F25" s="87">
        <v>0</v>
      </c>
      <c r="G25" s="47">
        <f t="shared" si="4"/>
        <v>0</v>
      </c>
      <c r="H25" s="88"/>
      <c r="I25" s="21">
        <v>100</v>
      </c>
      <c r="J25" s="8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7">
        <v>0</v>
      </c>
      <c r="S25" s="47">
        <f t="shared" si="7"/>
        <v>0</v>
      </c>
      <c r="T25" s="87">
        <v>0</v>
      </c>
      <c r="U25" s="47">
        <f t="shared" si="8"/>
        <v>0</v>
      </c>
      <c r="V25" s="88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+'7'!G26</f>
        <v>1</v>
      </c>
      <c r="D26" s="87">
        <v>0</v>
      </c>
      <c r="E26" s="47">
        <f t="shared" si="0"/>
        <v>1</v>
      </c>
      <c r="F26" s="87">
        <v>0</v>
      </c>
      <c r="G26" s="47">
        <f t="shared" si="4"/>
        <v>1</v>
      </c>
      <c r="H26" s="88"/>
      <c r="I26" s="21">
        <v>100</v>
      </c>
      <c r="J26" s="8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7">
        <v>0</v>
      </c>
      <c r="S26" s="47">
        <f t="shared" si="7"/>
        <v>0</v>
      </c>
      <c r="T26" s="87">
        <v>0</v>
      </c>
      <c r="U26" s="47">
        <f t="shared" si="8"/>
        <v>0</v>
      </c>
      <c r="V26" s="88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+'7'!G27</f>
        <v>0</v>
      </c>
      <c r="D27" s="87">
        <v>0</v>
      </c>
      <c r="E27" s="47">
        <f t="shared" si="0"/>
        <v>0</v>
      </c>
      <c r="F27" s="87">
        <v>0</v>
      </c>
      <c r="G27" s="47">
        <f t="shared" si="4"/>
        <v>0</v>
      </c>
      <c r="H27" s="88"/>
      <c r="I27" s="20">
        <v>100</v>
      </c>
      <c r="J27" s="8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7">
        <v>0</v>
      </c>
      <c r="S27" s="47">
        <f t="shared" si="7"/>
        <v>0</v>
      </c>
      <c r="T27" s="87">
        <v>0</v>
      </c>
      <c r="U27" s="47">
        <f t="shared" si="8"/>
        <v>0</v>
      </c>
      <c r="V27" s="88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+'7'!G28</f>
        <v>0</v>
      </c>
      <c r="D28" s="87">
        <v>0</v>
      </c>
      <c r="E28" s="47">
        <f t="shared" si="0"/>
        <v>0</v>
      </c>
      <c r="F28" s="87">
        <v>0</v>
      </c>
      <c r="G28" s="47">
        <f t="shared" si="4"/>
        <v>0</v>
      </c>
      <c r="H28" s="88"/>
      <c r="I28" s="20">
        <v>100</v>
      </c>
      <c r="J28" s="8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7">
        <v>0</v>
      </c>
      <c r="S28" s="47">
        <f t="shared" si="7"/>
        <v>0</v>
      </c>
      <c r="T28" s="87">
        <v>0</v>
      </c>
      <c r="U28" s="47">
        <f t="shared" si="8"/>
        <v>0</v>
      </c>
      <c r="V28" s="88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+'7'!G29</f>
        <v>7</v>
      </c>
      <c r="D29" s="87">
        <v>0</v>
      </c>
      <c r="E29" s="47">
        <f t="shared" si="0"/>
        <v>7</v>
      </c>
      <c r="F29" s="87">
        <v>0</v>
      </c>
      <c r="G29" s="47">
        <f t="shared" si="4"/>
        <v>6</v>
      </c>
      <c r="H29" s="88">
        <v>1</v>
      </c>
      <c r="I29" s="15">
        <v>100</v>
      </c>
      <c r="J29" s="82">
        <f t="shared" si="5"/>
        <v>100</v>
      </c>
      <c r="K29" s="17" t="s">
        <v>289</v>
      </c>
      <c r="L29" s="18">
        <v>50</v>
      </c>
      <c r="M29" s="104">
        <f t="shared" si="6"/>
        <v>50</v>
      </c>
      <c r="O29" s="10">
        <v>25</v>
      </c>
      <c r="P29" s="19"/>
      <c r="Q29" s="47">
        <v>0</v>
      </c>
      <c r="R29" s="87">
        <v>0</v>
      </c>
      <c r="S29" s="47">
        <f t="shared" si="7"/>
        <v>0</v>
      </c>
      <c r="T29" s="87">
        <v>0</v>
      </c>
      <c r="U29" s="47">
        <f t="shared" si="8"/>
        <v>0</v>
      </c>
      <c r="V29" s="88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+'7'!G30</f>
        <v>0</v>
      </c>
      <c r="D30" s="87">
        <v>0</v>
      </c>
      <c r="E30" s="47">
        <f t="shared" si="0"/>
        <v>0</v>
      </c>
      <c r="F30" s="87">
        <v>0</v>
      </c>
      <c r="G30" s="47">
        <f t="shared" si="4"/>
        <v>0</v>
      </c>
      <c r="H30" s="88"/>
      <c r="I30" s="15">
        <v>100</v>
      </c>
      <c r="J30" s="8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+'7'!G31</f>
        <v>2</v>
      </c>
      <c r="D31" s="87">
        <v>0</v>
      </c>
      <c r="E31" s="47">
        <f t="shared" si="0"/>
        <v>2</v>
      </c>
      <c r="F31" s="87">
        <v>0</v>
      </c>
      <c r="G31" s="47">
        <f t="shared" si="4"/>
        <v>2</v>
      </c>
      <c r="H31" s="88"/>
      <c r="I31" s="15">
        <v>100</v>
      </c>
      <c r="J31" s="82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+'7'!G32</f>
        <v>0</v>
      </c>
      <c r="D32" s="87">
        <v>0</v>
      </c>
      <c r="E32" s="47">
        <f t="shared" si="0"/>
        <v>0</v>
      </c>
      <c r="F32" s="87">
        <v>0</v>
      </c>
      <c r="G32" s="47">
        <f t="shared" si="4"/>
        <v>0</v>
      </c>
      <c r="H32" s="88"/>
      <c r="I32" s="15">
        <v>130</v>
      </c>
      <c r="J32" s="82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5" t="s">
        <v>119</v>
      </c>
      <c r="Q32" s="146"/>
      <c r="R32" s="146"/>
      <c r="S32" s="146"/>
      <c r="T32" s="146"/>
      <c r="U32" s="146"/>
      <c r="V32" s="146"/>
      <c r="W32" s="147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+'7'!G33</f>
        <v>0</v>
      </c>
      <c r="D33" s="87">
        <v>0</v>
      </c>
      <c r="E33" s="47">
        <f t="shared" si="0"/>
        <v>0</v>
      </c>
      <c r="F33" s="87">
        <v>0</v>
      </c>
      <c r="G33" s="47">
        <f t="shared" si="4"/>
        <v>0</v>
      </c>
      <c r="H33" s="88"/>
      <c r="I33" s="15">
        <v>130</v>
      </c>
      <c r="J33" s="82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+'7'!G34</f>
        <v>5</v>
      </c>
      <c r="D34" s="87">
        <v>0</v>
      </c>
      <c r="E34" s="47">
        <f t="shared" si="0"/>
        <v>5</v>
      </c>
      <c r="F34" s="87">
        <v>0</v>
      </c>
      <c r="G34" s="47">
        <f t="shared" si="4"/>
        <v>4</v>
      </c>
      <c r="H34" s="88">
        <v>1</v>
      </c>
      <c r="I34" s="15">
        <v>130</v>
      </c>
      <c r="J34" s="82">
        <f t="shared" si="5"/>
        <v>130</v>
      </c>
      <c r="K34" s="17" t="s">
        <v>16</v>
      </c>
      <c r="L34" s="18">
        <v>0</v>
      </c>
      <c r="M34" s="104">
        <f t="shared" si="6"/>
        <v>130</v>
      </c>
    </row>
    <row r="35" spans="1:13" ht="25.5" x14ac:dyDescent="0.55000000000000004">
      <c r="A35" s="10">
        <v>31</v>
      </c>
      <c r="B35" s="19" t="s">
        <v>46</v>
      </c>
      <c r="C35" s="79">
        <f>+'7'!G35</f>
        <v>0</v>
      </c>
      <c r="D35" s="87">
        <v>0</v>
      </c>
      <c r="E35" s="47">
        <f t="shared" si="0"/>
        <v>0</v>
      </c>
      <c r="F35" s="87">
        <v>0</v>
      </c>
      <c r="G35" s="47">
        <f t="shared" si="4"/>
        <v>0</v>
      </c>
      <c r="H35" s="88"/>
      <c r="I35" s="15">
        <v>130</v>
      </c>
      <c r="J35" s="82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+'7'!G36</f>
        <v>0</v>
      </c>
      <c r="D36" s="87">
        <v>0</v>
      </c>
      <c r="E36" s="47">
        <f t="shared" si="0"/>
        <v>0</v>
      </c>
      <c r="F36" s="87">
        <v>0</v>
      </c>
      <c r="G36" s="47">
        <f t="shared" si="4"/>
        <v>0</v>
      </c>
      <c r="H36" s="88"/>
      <c r="I36" s="15">
        <v>100</v>
      </c>
      <c r="J36" s="82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+'7'!G37</f>
        <v>15</v>
      </c>
      <c r="D37" s="87">
        <v>0</v>
      </c>
      <c r="E37" s="47">
        <f t="shared" si="0"/>
        <v>15</v>
      </c>
      <c r="F37" s="87">
        <v>0</v>
      </c>
      <c r="G37" s="47">
        <f t="shared" si="4"/>
        <v>15</v>
      </c>
      <c r="H37" s="88"/>
      <c r="I37" s="15">
        <v>100</v>
      </c>
      <c r="J37" s="82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 t="s">
        <v>49</v>
      </c>
      <c r="C38" s="79">
        <f>+'7'!G38</f>
        <v>0</v>
      </c>
      <c r="D38" s="87">
        <v>0</v>
      </c>
      <c r="E38" s="47">
        <f t="shared" si="0"/>
        <v>0</v>
      </c>
      <c r="F38" s="87">
        <v>0</v>
      </c>
      <c r="G38" s="47">
        <f t="shared" si="4"/>
        <v>0</v>
      </c>
      <c r="H38" s="88"/>
      <c r="I38" s="15">
        <v>50</v>
      </c>
      <c r="J38" s="82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+'7'!G39</f>
        <v>0</v>
      </c>
      <c r="D39" s="87">
        <v>0</v>
      </c>
      <c r="E39" s="47">
        <f t="shared" si="0"/>
        <v>0</v>
      </c>
      <c r="F39" s="87">
        <v>0</v>
      </c>
      <c r="G39" s="47">
        <f t="shared" si="4"/>
        <v>0</v>
      </c>
      <c r="H39" s="88"/>
      <c r="I39" s="15">
        <v>50</v>
      </c>
      <c r="J39" s="82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+'7'!G40</f>
        <v>1</v>
      </c>
      <c r="D40" s="87">
        <v>0</v>
      </c>
      <c r="E40" s="47">
        <f t="shared" si="0"/>
        <v>1</v>
      </c>
      <c r="F40" s="87">
        <v>0</v>
      </c>
      <c r="G40" s="47">
        <f t="shared" si="4"/>
        <v>1</v>
      </c>
      <c r="H40" s="88"/>
      <c r="I40" s="15">
        <v>50</v>
      </c>
      <c r="J40" s="82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+'7'!G41</f>
        <v>0</v>
      </c>
      <c r="D41" s="87">
        <v>0</v>
      </c>
      <c r="E41" s="47">
        <f t="shared" si="0"/>
        <v>0</v>
      </c>
      <c r="F41" s="87">
        <v>0</v>
      </c>
      <c r="G41" s="47">
        <f t="shared" si="4"/>
        <v>0</v>
      </c>
      <c r="H41" s="88"/>
      <c r="I41" s="15">
        <v>50</v>
      </c>
      <c r="J41" s="82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285</v>
      </c>
      <c r="C42" s="79">
        <f>+'7'!G42</f>
        <v>2</v>
      </c>
      <c r="D42" s="87">
        <v>0</v>
      </c>
      <c r="E42" s="47">
        <f t="shared" si="0"/>
        <v>2</v>
      </c>
      <c r="F42" s="87">
        <v>0</v>
      </c>
      <c r="G42" s="47">
        <f t="shared" si="4"/>
        <v>0</v>
      </c>
      <c r="H42" s="88">
        <v>2</v>
      </c>
      <c r="I42" s="15">
        <v>50</v>
      </c>
      <c r="J42" s="82">
        <f t="shared" si="5"/>
        <v>100</v>
      </c>
      <c r="K42" s="17" t="s">
        <v>16</v>
      </c>
      <c r="L42" s="18">
        <v>0</v>
      </c>
      <c r="M42" s="104">
        <f t="shared" si="6"/>
        <v>100</v>
      </c>
    </row>
    <row r="43" spans="1:13" ht="25.5" x14ac:dyDescent="0.55000000000000004">
      <c r="A43" s="10">
        <v>39</v>
      </c>
      <c r="B43" s="19" t="s">
        <v>54</v>
      </c>
      <c r="C43" s="79">
        <f>+'7'!G43</f>
        <v>1</v>
      </c>
      <c r="D43" s="87">
        <v>0</v>
      </c>
      <c r="E43" s="47">
        <f t="shared" si="0"/>
        <v>1</v>
      </c>
      <c r="F43" s="87">
        <v>0</v>
      </c>
      <c r="G43" s="47">
        <f t="shared" si="4"/>
        <v>1</v>
      </c>
      <c r="H43" s="88"/>
      <c r="I43" s="15">
        <v>50</v>
      </c>
      <c r="J43" s="82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+'7'!G44</f>
        <v>0</v>
      </c>
      <c r="D44" s="87">
        <v>0</v>
      </c>
      <c r="E44" s="47">
        <f t="shared" si="0"/>
        <v>0</v>
      </c>
      <c r="F44" s="87">
        <v>0</v>
      </c>
      <c r="G44" s="47">
        <f t="shared" si="4"/>
        <v>0</v>
      </c>
      <c r="H44" s="88"/>
      <c r="I44" s="15">
        <v>50</v>
      </c>
      <c r="J44" s="82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+'7'!G45</f>
        <v>0</v>
      </c>
      <c r="D45" s="87">
        <v>0</v>
      </c>
      <c r="E45" s="47">
        <f t="shared" si="0"/>
        <v>0</v>
      </c>
      <c r="F45" s="87">
        <v>0</v>
      </c>
      <c r="G45" s="47">
        <f t="shared" si="4"/>
        <v>0</v>
      </c>
      <c r="H45" s="88"/>
      <c r="I45" s="15">
        <v>50</v>
      </c>
      <c r="J45" s="82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286</v>
      </c>
      <c r="C46" s="79">
        <f>+'7'!G46</f>
        <v>2</v>
      </c>
      <c r="D46" s="87">
        <v>0</v>
      </c>
      <c r="E46" s="47">
        <f t="shared" si="0"/>
        <v>2</v>
      </c>
      <c r="F46" s="87">
        <v>0</v>
      </c>
      <c r="G46" s="47">
        <f t="shared" si="4"/>
        <v>0</v>
      </c>
      <c r="H46" s="88">
        <v>2</v>
      </c>
      <c r="I46" s="15">
        <v>50</v>
      </c>
      <c r="J46" s="82">
        <f t="shared" si="5"/>
        <v>100</v>
      </c>
      <c r="K46" s="17" t="s">
        <v>16</v>
      </c>
      <c r="L46" s="18">
        <v>0</v>
      </c>
      <c r="M46" s="104">
        <f t="shared" si="6"/>
        <v>100</v>
      </c>
    </row>
    <row r="47" spans="1:13" ht="25.5" x14ac:dyDescent="0.55000000000000004">
      <c r="A47" s="10">
        <v>43</v>
      </c>
      <c r="B47" s="19" t="s">
        <v>58</v>
      </c>
      <c r="C47" s="79">
        <f>+'7'!G47</f>
        <v>2</v>
      </c>
      <c r="D47" s="87">
        <v>0</v>
      </c>
      <c r="E47" s="47">
        <f t="shared" si="0"/>
        <v>2</v>
      </c>
      <c r="F47" s="87">
        <v>0</v>
      </c>
      <c r="G47" s="47">
        <f t="shared" si="4"/>
        <v>0</v>
      </c>
      <c r="H47" s="88">
        <v>2</v>
      </c>
      <c r="I47" s="15">
        <v>50</v>
      </c>
      <c r="J47" s="82">
        <f t="shared" si="5"/>
        <v>100</v>
      </c>
      <c r="K47" s="17" t="s">
        <v>16</v>
      </c>
      <c r="L47" s="18">
        <v>0</v>
      </c>
      <c r="M47" s="104">
        <f t="shared" si="6"/>
        <v>100</v>
      </c>
    </row>
    <row r="48" spans="1:13" ht="25.5" x14ac:dyDescent="0.55000000000000004">
      <c r="A48" s="10">
        <v>44</v>
      </c>
      <c r="B48" s="19" t="s">
        <v>59</v>
      </c>
      <c r="C48" s="79">
        <f>+'7'!G48</f>
        <v>2</v>
      </c>
      <c r="D48" s="87">
        <v>0</v>
      </c>
      <c r="E48" s="47">
        <f t="shared" si="0"/>
        <v>2</v>
      </c>
      <c r="F48" s="87">
        <v>0</v>
      </c>
      <c r="G48" s="47">
        <f t="shared" si="4"/>
        <v>2</v>
      </c>
      <c r="H48" s="88"/>
      <c r="I48" s="15">
        <v>50</v>
      </c>
      <c r="J48" s="82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+'7'!G49</f>
        <v>2</v>
      </c>
      <c r="D49" s="87">
        <v>0</v>
      </c>
      <c r="E49" s="47">
        <f t="shared" si="0"/>
        <v>2</v>
      </c>
      <c r="F49" s="87">
        <v>0</v>
      </c>
      <c r="G49" s="47">
        <f t="shared" si="4"/>
        <v>0</v>
      </c>
      <c r="H49" s="88">
        <v>2</v>
      </c>
      <c r="I49" s="15">
        <v>50</v>
      </c>
      <c r="J49" s="82">
        <f t="shared" si="5"/>
        <v>100</v>
      </c>
      <c r="K49" s="17" t="s">
        <v>16</v>
      </c>
      <c r="L49" s="18">
        <v>0</v>
      </c>
      <c r="M49" s="104">
        <f t="shared" si="6"/>
        <v>100</v>
      </c>
    </row>
    <row r="50" spans="1:13" ht="25.5" x14ac:dyDescent="0.55000000000000004">
      <c r="A50" s="10">
        <v>46</v>
      </c>
      <c r="B50" s="19" t="s">
        <v>61</v>
      </c>
      <c r="C50" s="79">
        <f>+'7'!G50</f>
        <v>5</v>
      </c>
      <c r="D50" s="87">
        <v>0</v>
      </c>
      <c r="E50" s="47">
        <f t="shared" si="0"/>
        <v>5</v>
      </c>
      <c r="F50" s="87">
        <v>0</v>
      </c>
      <c r="G50" s="47">
        <f t="shared" si="4"/>
        <v>4</v>
      </c>
      <c r="H50" s="88">
        <v>1</v>
      </c>
      <c r="I50" s="15">
        <v>120</v>
      </c>
      <c r="J50" s="82">
        <f t="shared" si="5"/>
        <v>120</v>
      </c>
      <c r="K50" s="17" t="s">
        <v>323</v>
      </c>
      <c r="L50" s="18">
        <v>35</v>
      </c>
      <c r="M50" s="104">
        <f t="shared" si="6"/>
        <v>85</v>
      </c>
    </row>
    <row r="51" spans="1:13" ht="25.5" x14ac:dyDescent="0.55000000000000004">
      <c r="A51" s="10">
        <v>47</v>
      </c>
      <c r="B51" s="19" t="s">
        <v>62</v>
      </c>
      <c r="C51" s="79">
        <f>+'7'!G51</f>
        <v>2</v>
      </c>
      <c r="D51" s="87">
        <v>0</v>
      </c>
      <c r="E51" s="47">
        <f t="shared" si="0"/>
        <v>2</v>
      </c>
      <c r="F51" s="87">
        <v>0</v>
      </c>
      <c r="G51" s="47">
        <f t="shared" si="4"/>
        <v>1</v>
      </c>
      <c r="H51" s="88">
        <v>1</v>
      </c>
      <c r="I51" s="15">
        <v>120</v>
      </c>
      <c r="J51" s="82">
        <f t="shared" si="5"/>
        <v>120</v>
      </c>
      <c r="K51" s="17" t="s">
        <v>323</v>
      </c>
      <c r="L51" s="18">
        <v>35</v>
      </c>
      <c r="M51" s="104">
        <f t="shared" si="6"/>
        <v>85</v>
      </c>
    </row>
    <row r="52" spans="1:13" ht="25.5" x14ac:dyDescent="0.55000000000000004">
      <c r="A52" s="10">
        <v>48</v>
      </c>
      <c r="B52" s="19" t="s">
        <v>63</v>
      </c>
      <c r="C52" s="79">
        <f>+'7'!G52</f>
        <v>0</v>
      </c>
      <c r="D52" s="87">
        <v>0</v>
      </c>
      <c r="E52" s="47">
        <f t="shared" si="0"/>
        <v>0</v>
      </c>
      <c r="F52" s="87">
        <v>0</v>
      </c>
      <c r="G52" s="47">
        <f t="shared" si="4"/>
        <v>0</v>
      </c>
      <c r="H52" s="88"/>
      <c r="I52" s="21">
        <v>120</v>
      </c>
      <c r="J52" s="82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+'7'!G53</f>
        <v>0</v>
      </c>
      <c r="D53" s="87">
        <v>0</v>
      </c>
      <c r="E53" s="47">
        <f t="shared" si="0"/>
        <v>0</v>
      </c>
      <c r="F53" s="87">
        <v>0</v>
      </c>
      <c r="G53" s="47">
        <f t="shared" si="4"/>
        <v>0</v>
      </c>
      <c r="H53" s="88"/>
      <c r="I53" s="15">
        <v>120</v>
      </c>
      <c r="J53" s="82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+'7'!G54</f>
        <v>0</v>
      </c>
      <c r="D54" s="87">
        <v>0</v>
      </c>
      <c r="E54" s="47">
        <f t="shared" si="0"/>
        <v>0</v>
      </c>
      <c r="F54" s="87">
        <v>0</v>
      </c>
      <c r="G54" s="47">
        <f t="shared" si="4"/>
        <v>0</v>
      </c>
      <c r="H54" s="88"/>
      <c r="I54" s="15">
        <v>120</v>
      </c>
      <c r="J54" s="82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+'7'!G55</f>
        <v>1</v>
      </c>
      <c r="D55" s="87">
        <v>0</v>
      </c>
      <c r="E55" s="47">
        <f t="shared" si="0"/>
        <v>1</v>
      </c>
      <c r="F55" s="87">
        <v>0</v>
      </c>
      <c r="G55" s="47">
        <f t="shared" si="4"/>
        <v>-1</v>
      </c>
      <c r="H55" s="88">
        <v>2</v>
      </c>
      <c r="I55" s="21">
        <v>120</v>
      </c>
      <c r="J55" s="82">
        <f t="shared" si="5"/>
        <v>240</v>
      </c>
      <c r="K55" s="17" t="s">
        <v>323</v>
      </c>
      <c r="L55" s="18">
        <v>70</v>
      </c>
      <c r="M55" s="104">
        <f t="shared" si="6"/>
        <v>170</v>
      </c>
    </row>
    <row r="56" spans="1:13" ht="25.5" x14ac:dyDescent="0.55000000000000004">
      <c r="A56" s="10">
        <v>52</v>
      </c>
      <c r="B56" s="19" t="s">
        <v>67</v>
      </c>
      <c r="C56" s="79">
        <f>+'7'!G56</f>
        <v>3</v>
      </c>
      <c r="D56" s="87">
        <v>0</v>
      </c>
      <c r="E56" s="47">
        <f t="shared" si="0"/>
        <v>3</v>
      </c>
      <c r="F56" s="87">
        <v>0</v>
      </c>
      <c r="G56" s="47">
        <f t="shared" si="4"/>
        <v>3</v>
      </c>
      <c r="H56" s="88"/>
      <c r="I56" s="21">
        <v>120</v>
      </c>
      <c r="J56" s="82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+'7'!G57</f>
        <v>4</v>
      </c>
      <c r="D57" s="87">
        <v>0</v>
      </c>
      <c r="E57" s="47">
        <f t="shared" si="0"/>
        <v>4</v>
      </c>
      <c r="F57" s="87">
        <v>0</v>
      </c>
      <c r="G57" s="47">
        <f t="shared" si="4"/>
        <v>4</v>
      </c>
      <c r="H57" s="88"/>
      <c r="I57" s="21">
        <v>120</v>
      </c>
      <c r="J57" s="82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+'7'!G58</f>
        <v>0</v>
      </c>
      <c r="D58" s="87">
        <v>0</v>
      </c>
      <c r="E58" s="47">
        <f t="shared" si="0"/>
        <v>0</v>
      </c>
      <c r="F58" s="87">
        <v>0</v>
      </c>
      <c r="G58" s="47">
        <f t="shared" si="4"/>
        <v>0</v>
      </c>
      <c r="H58" s="88"/>
      <c r="I58" s="21">
        <v>120</v>
      </c>
      <c r="J58" s="82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+'7'!G59</f>
        <v>0</v>
      </c>
      <c r="D59" s="87">
        <v>0</v>
      </c>
      <c r="E59" s="47">
        <f t="shared" si="0"/>
        <v>0</v>
      </c>
      <c r="F59" s="87">
        <v>0</v>
      </c>
      <c r="G59" s="47">
        <f t="shared" si="4"/>
        <v>0</v>
      </c>
      <c r="H59" s="88"/>
      <c r="I59" s="15">
        <v>70</v>
      </c>
      <c r="J59" s="82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+'7'!G60</f>
        <v>0</v>
      </c>
      <c r="D60" s="87">
        <v>0</v>
      </c>
      <c r="E60" s="47">
        <f t="shared" si="0"/>
        <v>0</v>
      </c>
      <c r="F60" s="87">
        <v>0</v>
      </c>
      <c r="G60" s="47">
        <f t="shared" si="4"/>
        <v>0</v>
      </c>
      <c r="H60" s="88"/>
      <c r="I60" s="21">
        <v>80</v>
      </c>
      <c r="J60" s="82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+'7'!G61</f>
        <v>0</v>
      </c>
      <c r="D61" s="87">
        <v>0</v>
      </c>
      <c r="E61" s="47">
        <f t="shared" si="0"/>
        <v>0</v>
      </c>
      <c r="F61" s="87">
        <v>0</v>
      </c>
      <c r="G61" s="47">
        <f t="shared" si="4"/>
        <v>0</v>
      </c>
      <c r="H61" s="88"/>
      <c r="I61" s="15">
        <v>50</v>
      </c>
      <c r="J61" s="82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+'7'!G62</f>
        <v>0</v>
      </c>
      <c r="D62" s="87">
        <v>0</v>
      </c>
      <c r="E62" s="47">
        <f t="shared" si="0"/>
        <v>0</v>
      </c>
      <c r="F62" s="87">
        <v>0</v>
      </c>
      <c r="G62" s="47">
        <f t="shared" si="4"/>
        <v>0</v>
      </c>
      <c r="H62" s="88"/>
      <c r="I62" s="20">
        <v>50</v>
      </c>
      <c r="J62" s="82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+'7'!G63</f>
        <v>0</v>
      </c>
      <c r="D63" s="87">
        <v>0</v>
      </c>
      <c r="E63" s="47">
        <f t="shared" si="0"/>
        <v>0</v>
      </c>
      <c r="F63" s="87">
        <v>0</v>
      </c>
      <c r="G63" s="47">
        <f t="shared" si="4"/>
        <v>0</v>
      </c>
      <c r="H63" s="88"/>
      <c r="I63" s="20">
        <v>50</v>
      </c>
      <c r="J63" s="82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+'7'!G64</f>
        <v>0</v>
      </c>
      <c r="D64" s="87">
        <v>0</v>
      </c>
      <c r="E64" s="47">
        <f t="shared" si="0"/>
        <v>0</v>
      </c>
      <c r="F64" s="87">
        <v>0</v>
      </c>
      <c r="G64" s="47">
        <f t="shared" si="4"/>
        <v>0</v>
      </c>
      <c r="H64" s="88"/>
      <c r="I64" s="21">
        <v>30</v>
      </c>
      <c r="J64" s="82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+'7'!G65</f>
        <v>0</v>
      </c>
      <c r="D65" s="87">
        <v>0</v>
      </c>
      <c r="E65" s="47">
        <f t="shared" si="0"/>
        <v>0</v>
      </c>
      <c r="F65" s="87">
        <v>0</v>
      </c>
      <c r="G65" s="47">
        <f t="shared" si="4"/>
        <v>0</v>
      </c>
      <c r="H65" s="88"/>
      <c r="I65" s="21">
        <v>30</v>
      </c>
      <c r="J65" s="82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+'7'!G66</f>
        <v>3</v>
      </c>
      <c r="D66" s="87">
        <v>0</v>
      </c>
      <c r="E66" s="47">
        <f t="shared" si="0"/>
        <v>3</v>
      </c>
      <c r="F66" s="87">
        <v>0</v>
      </c>
      <c r="G66" s="47">
        <f t="shared" si="4"/>
        <v>3</v>
      </c>
      <c r="H66" s="88"/>
      <c r="I66" s="15">
        <v>50</v>
      </c>
      <c r="J66" s="82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+'7'!G67</f>
        <v>2</v>
      </c>
      <c r="D67" s="87">
        <v>0</v>
      </c>
      <c r="E67" s="47">
        <f t="shared" si="0"/>
        <v>2</v>
      </c>
      <c r="F67" s="87">
        <v>0</v>
      </c>
      <c r="G67" s="47">
        <f t="shared" si="4"/>
        <v>1</v>
      </c>
      <c r="H67" s="88">
        <v>1</v>
      </c>
      <c r="I67" s="15">
        <v>50</v>
      </c>
      <c r="J67" s="82">
        <f t="shared" si="5"/>
        <v>50</v>
      </c>
      <c r="K67" s="17" t="s">
        <v>291</v>
      </c>
      <c r="L67" s="18">
        <v>50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+'7'!G68</f>
        <v>0</v>
      </c>
      <c r="D68" s="87">
        <v>0</v>
      </c>
      <c r="E68" s="47">
        <f t="shared" si="0"/>
        <v>0</v>
      </c>
      <c r="F68" s="87">
        <v>0</v>
      </c>
      <c r="G68" s="47">
        <f t="shared" si="4"/>
        <v>0</v>
      </c>
      <c r="H68" s="88"/>
      <c r="I68" s="20">
        <v>35</v>
      </c>
      <c r="J68" s="82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+'7'!G69</f>
        <v>0</v>
      </c>
      <c r="D69" s="87">
        <v>0</v>
      </c>
      <c r="E69" s="47">
        <f t="shared" si="0"/>
        <v>0</v>
      </c>
      <c r="F69" s="87">
        <v>0</v>
      </c>
      <c r="G69" s="47">
        <f t="shared" si="4"/>
        <v>0</v>
      </c>
      <c r="H69" s="88"/>
      <c r="I69" s="20">
        <v>25</v>
      </c>
      <c r="J69" s="82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+'7'!G70</f>
        <v>4</v>
      </c>
      <c r="D70" s="87">
        <v>0</v>
      </c>
      <c r="E70" s="47">
        <f t="shared" si="0"/>
        <v>4</v>
      </c>
      <c r="F70" s="87">
        <v>0</v>
      </c>
      <c r="G70" s="47">
        <f t="shared" si="4"/>
        <v>4</v>
      </c>
      <c r="H70" s="88"/>
      <c r="I70" s="20">
        <v>50</v>
      </c>
      <c r="J70" s="82">
        <f t="shared" si="5"/>
        <v>0</v>
      </c>
      <c r="K70" s="17" t="s">
        <v>16</v>
      </c>
      <c r="L70" s="18">
        <v>0</v>
      </c>
      <c r="M70" s="23">
        <f t="shared" ref="M70:M134" si="10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+'7'!G71</f>
        <v>3</v>
      </c>
      <c r="D71" s="87">
        <v>0</v>
      </c>
      <c r="E71" s="47">
        <f t="shared" si="0"/>
        <v>3</v>
      </c>
      <c r="F71" s="87">
        <v>0</v>
      </c>
      <c r="G71" s="47">
        <f t="shared" si="4"/>
        <v>3</v>
      </c>
      <c r="H71" s="88"/>
      <c r="I71" s="20">
        <v>60</v>
      </c>
      <c r="J71" s="82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+'7'!G72</f>
        <v>0</v>
      </c>
      <c r="D72" s="87">
        <v>0</v>
      </c>
      <c r="E72" s="47">
        <f t="shared" si="0"/>
        <v>0</v>
      </c>
      <c r="F72" s="87">
        <v>0</v>
      </c>
      <c r="G72" s="47">
        <f t="shared" si="4"/>
        <v>0</v>
      </c>
      <c r="H72" s="88"/>
      <c r="I72" s="22">
        <v>50</v>
      </c>
      <c r="J72" s="82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+'7'!G73</f>
        <v>0</v>
      </c>
      <c r="D73" s="87">
        <v>0</v>
      </c>
      <c r="E73" s="47">
        <f t="shared" si="0"/>
        <v>0</v>
      </c>
      <c r="F73" s="87">
        <v>0</v>
      </c>
      <c r="G73" s="47">
        <f t="shared" si="4"/>
        <v>0</v>
      </c>
      <c r="H73" s="88"/>
      <c r="I73" s="20">
        <v>60</v>
      </c>
      <c r="J73" s="82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+'7'!G74</f>
        <v>0</v>
      </c>
      <c r="D74" s="87">
        <v>0</v>
      </c>
      <c r="E74" s="47">
        <f t="shared" si="0"/>
        <v>0</v>
      </c>
      <c r="F74" s="87">
        <v>0</v>
      </c>
      <c r="G74" s="47">
        <f t="shared" si="4"/>
        <v>0</v>
      </c>
      <c r="H74" s="88"/>
      <c r="I74" s="22">
        <v>120</v>
      </c>
      <c r="J74" s="82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+'7'!G75</f>
        <v>0</v>
      </c>
      <c r="D75" s="87">
        <v>0</v>
      </c>
      <c r="E75" s="47">
        <f t="shared" si="0"/>
        <v>0</v>
      </c>
      <c r="F75" s="87">
        <v>0</v>
      </c>
      <c r="G75" s="47">
        <f t="shared" si="4"/>
        <v>0</v>
      </c>
      <c r="H75" s="88"/>
      <c r="I75" s="22">
        <v>60</v>
      </c>
      <c r="J75" s="82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+'7'!G76</f>
        <v>0</v>
      </c>
      <c r="D76" s="87">
        <v>0</v>
      </c>
      <c r="E76" s="47">
        <f t="shared" si="0"/>
        <v>0</v>
      </c>
      <c r="F76" s="87">
        <v>0</v>
      </c>
      <c r="G76" s="47">
        <f t="shared" si="4"/>
        <v>0</v>
      </c>
      <c r="H76" s="88"/>
      <c r="I76" s="22">
        <v>120</v>
      </c>
      <c r="J76" s="82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272</v>
      </c>
      <c r="C77" s="79">
        <f>+'7'!G77</f>
        <v>1</v>
      </c>
      <c r="D77" s="87">
        <v>0</v>
      </c>
      <c r="E77" s="47">
        <f>C77+D77</f>
        <v>1</v>
      </c>
      <c r="F77" s="87">
        <v>0</v>
      </c>
      <c r="G77" s="47">
        <f>+E77-F77-H77</f>
        <v>1</v>
      </c>
      <c r="H77" s="88"/>
      <c r="I77" s="20">
        <v>50</v>
      </c>
      <c r="J77" s="82">
        <f>+I77*H77</f>
        <v>0</v>
      </c>
      <c r="K77" s="17" t="s">
        <v>16</v>
      </c>
      <c r="L77" s="18">
        <v>0</v>
      </c>
      <c r="M77" s="23">
        <f>SUM(J77-L77)</f>
        <v>0</v>
      </c>
    </row>
    <row r="78" spans="1:13" ht="25.5" x14ac:dyDescent="0.55000000000000004">
      <c r="A78" s="10">
        <v>74</v>
      </c>
      <c r="B78" s="19" t="s">
        <v>277</v>
      </c>
      <c r="C78" s="79">
        <f>+'7'!G78</f>
        <v>0</v>
      </c>
      <c r="D78" s="87">
        <v>0</v>
      </c>
      <c r="E78" s="47">
        <f t="shared" si="0"/>
        <v>0</v>
      </c>
      <c r="F78" s="87">
        <v>0</v>
      </c>
      <c r="G78" s="47">
        <f t="shared" si="4"/>
        <v>0</v>
      </c>
      <c r="H78" s="88"/>
      <c r="I78" s="20">
        <v>50</v>
      </c>
      <c r="J78" s="82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278</v>
      </c>
      <c r="C79" s="79">
        <f>+'7'!G79</f>
        <v>0</v>
      </c>
      <c r="D79" s="87">
        <v>0</v>
      </c>
      <c r="E79" s="47">
        <f t="shared" si="0"/>
        <v>0</v>
      </c>
      <c r="F79" s="87">
        <v>0</v>
      </c>
      <c r="G79" s="47">
        <f t="shared" si="4"/>
        <v>0</v>
      </c>
      <c r="H79" s="88"/>
      <c r="I79" s="22">
        <v>120</v>
      </c>
      <c r="J79" s="82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90</v>
      </c>
      <c r="C80" s="79">
        <f>+'7'!G80</f>
        <v>6</v>
      </c>
      <c r="D80" s="87">
        <v>0</v>
      </c>
      <c r="E80" s="47">
        <f t="shared" si="0"/>
        <v>6</v>
      </c>
      <c r="F80" s="87">
        <v>0</v>
      </c>
      <c r="G80" s="47">
        <f t="shared" si="4"/>
        <v>6</v>
      </c>
      <c r="H80" s="88"/>
      <c r="I80" s="22">
        <v>50</v>
      </c>
      <c r="J80" s="82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91</v>
      </c>
      <c r="C81" s="79">
        <f>+'7'!G81</f>
        <v>0</v>
      </c>
      <c r="D81" s="87">
        <v>0</v>
      </c>
      <c r="E81" s="47">
        <f t="shared" si="0"/>
        <v>0</v>
      </c>
      <c r="F81" s="87">
        <v>0</v>
      </c>
      <c r="G81" s="47">
        <f t="shared" si="4"/>
        <v>0</v>
      </c>
      <c r="H81" s="88"/>
      <c r="I81" s="22">
        <v>50</v>
      </c>
      <c r="J81" s="82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92</v>
      </c>
      <c r="C82" s="79">
        <f>+'7'!G82</f>
        <v>5</v>
      </c>
      <c r="D82" s="87">
        <v>0</v>
      </c>
      <c r="E82" s="47">
        <f t="shared" si="0"/>
        <v>5</v>
      </c>
      <c r="F82" s="87">
        <v>0</v>
      </c>
      <c r="G82" s="47">
        <f t="shared" si="4"/>
        <v>4</v>
      </c>
      <c r="H82" s="88">
        <v>1</v>
      </c>
      <c r="I82" s="20">
        <v>55</v>
      </c>
      <c r="J82" s="82">
        <f t="shared" si="5"/>
        <v>55</v>
      </c>
      <c r="K82" s="17" t="s">
        <v>16</v>
      </c>
      <c r="L82" s="18">
        <v>0</v>
      </c>
      <c r="M82" s="104">
        <f t="shared" si="10"/>
        <v>55</v>
      </c>
    </row>
    <row r="83" spans="1:13" ht="25.5" x14ac:dyDescent="0.55000000000000004">
      <c r="A83" s="10">
        <v>79</v>
      </c>
      <c r="B83" s="19" t="s">
        <v>93</v>
      </c>
      <c r="C83" s="79">
        <f>+'7'!G83</f>
        <v>4</v>
      </c>
      <c r="D83" s="87">
        <v>0</v>
      </c>
      <c r="E83" s="47">
        <f t="shared" si="0"/>
        <v>4</v>
      </c>
      <c r="F83" s="87">
        <v>0</v>
      </c>
      <c r="G83" s="47">
        <f t="shared" si="4"/>
        <v>4</v>
      </c>
      <c r="H83" s="88"/>
      <c r="I83" s="22">
        <v>55</v>
      </c>
      <c r="J83" s="82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94</v>
      </c>
      <c r="C84" s="79">
        <f>+'7'!G84</f>
        <v>0</v>
      </c>
      <c r="D84" s="87">
        <v>0</v>
      </c>
      <c r="E84" s="47">
        <f t="shared" si="0"/>
        <v>0</v>
      </c>
      <c r="F84" s="87">
        <v>0</v>
      </c>
      <c r="G84" s="47">
        <f t="shared" si="4"/>
        <v>0</v>
      </c>
      <c r="H84" s="88"/>
      <c r="I84" s="22">
        <v>55</v>
      </c>
      <c r="J84" s="82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95</v>
      </c>
      <c r="C85" s="79">
        <f>+'7'!G85</f>
        <v>0</v>
      </c>
      <c r="D85" s="87">
        <v>0</v>
      </c>
      <c r="E85" s="47">
        <f t="shared" si="0"/>
        <v>0</v>
      </c>
      <c r="F85" s="87">
        <v>0</v>
      </c>
      <c r="G85" s="47">
        <f t="shared" si="4"/>
        <v>0</v>
      </c>
      <c r="H85" s="88"/>
      <c r="I85" s="22">
        <v>55</v>
      </c>
      <c r="J85" s="82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96</v>
      </c>
      <c r="C86" s="79">
        <f>+'7'!G86</f>
        <v>10</v>
      </c>
      <c r="D86" s="87">
        <v>0</v>
      </c>
      <c r="E86" s="47">
        <f t="shared" si="0"/>
        <v>10</v>
      </c>
      <c r="F86" s="87">
        <v>0</v>
      </c>
      <c r="G86" s="47">
        <f t="shared" si="4"/>
        <v>9</v>
      </c>
      <c r="H86" s="88">
        <v>1</v>
      </c>
      <c r="I86" s="22">
        <v>100</v>
      </c>
      <c r="J86" s="82">
        <f t="shared" si="5"/>
        <v>100</v>
      </c>
      <c r="K86" s="17" t="s">
        <v>16</v>
      </c>
      <c r="L86" s="18">
        <v>0</v>
      </c>
      <c r="M86" s="104">
        <f t="shared" si="10"/>
        <v>100</v>
      </c>
    </row>
    <row r="87" spans="1:13" ht="25.5" x14ac:dyDescent="0.55000000000000004">
      <c r="A87" s="10">
        <v>83</v>
      </c>
      <c r="B87" s="19" t="s">
        <v>97</v>
      </c>
      <c r="C87" s="79">
        <f>+'7'!G87</f>
        <v>7</v>
      </c>
      <c r="D87" s="87">
        <v>0</v>
      </c>
      <c r="E87" s="47">
        <f t="shared" si="0"/>
        <v>7</v>
      </c>
      <c r="F87" s="87">
        <v>0</v>
      </c>
      <c r="G87" s="47">
        <f t="shared" si="4"/>
        <v>7</v>
      </c>
      <c r="H87" s="88"/>
      <c r="I87" s="20">
        <v>55</v>
      </c>
      <c r="J87" s="82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98</v>
      </c>
      <c r="C88" s="79">
        <f>+'7'!G88</f>
        <v>5</v>
      </c>
      <c r="D88" s="87">
        <v>0</v>
      </c>
      <c r="E88" s="47">
        <f t="shared" si="0"/>
        <v>5</v>
      </c>
      <c r="F88" s="87">
        <v>0</v>
      </c>
      <c r="G88" s="47">
        <f t="shared" si="4"/>
        <v>4</v>
      </c>
      <c r="H88" s="88">
        <v>1</v>
      </c>
      <c r="I88" s="20">
        <v>60</v>
      </c>
      <c r="J88" s="82">
        <f t="shared" si="5"/>
        <v>60</v>
      </c>
      <c r="K88" s="17" t="s">
        <v>16</v>
      </c>
      <c r="L88" s="18">
        <v>0</v>
      </c>
      <c r="M88" s="104">
        <f t="shared" si="10"/>
        <v>60</v>
      </c>
    </row>
    <row r="89" spans="1:13" ht="25.5" x14ac:dyDescent="0.55000000000000004">
      <c r="A89" s="10">
        <v>85</v>
      </c>
      <c r="B89" s="19" t="s">
        <v>99</v>
      </c>
      <c r="C89" s="79">
        <f>+'7'!G89</f>
        <v>5</v>
      </c>
      <c r="D89" s="87">
        <v>0</v>
      </c>
      <c r="E89" s="47">
        <f t="shared" si="0"/>
        <v>5</v>
      </c>
      <c r="F89" s="87">
        <v>0</v>
      </c>
      <c r="G89" s="47">
        <f t="shared" si="4"/>
        <v>3</v>
      </c>
      <c r="H89" s="88">
        <v>2</v>
      </c>
      <c r="I89" s="20">
        <v>100</v>
      </c>
      <c r="J89" s="82">
        <f t="shared" si="5"/>
        <v>200</v>
      </c>
      <c r="K89" s="17" t="s">
        <v>16</v>
      </c>
      <c r="L89" s="18">
        <v>0</v>
      </c>
      <c r="M89" s="104">
        <f t="shared" si="10"/>
        <v>200</v>
      </c>
    </row>
    <row r="90" spans="1:13" ht="25.5" x14ac:dyDescent="0.55000000000000004">
      <c r="A90" s="10">
        <v>86</v>
      </c>
      <c r="B90" s="19" t="s">
        <v>100</v>
      </c>
      <c r="C90" s="79">
        <f>+'7'!G90</f>
        <v>10</v>
      </c>
      <c r="D90" s="87">
        <v>0</v>
      </c>
      <c r="E90" s="47">
        <f t="shared" si="0"/>
        <v>10</v>
      </c>
      <c r="F90" s="87">
        <v>0</v>
      </c>
      <c r="G90" s="47">
        <f t="shared" si="4"/>
        <v>10</v>
      </c>
      <c r="H90" s="88"/>
      <c r="I90" s="20">
        <v>55</v>
      </c>
      <c r="J90" s="82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101</v>
      </c>
      <c r="C91" s="79">
        <f>+'7'!G91</f>
        <v>0</v>
      </c>
      <c r="D91" s="87">
        <v>0</v>
      </c>
      <c r="E91" s="47">
        <f t="shared" si="0"/>
        <v>0</v>
      </c>
      <c r="F91" s="87">
        <v>0</v>
      </c>
      <c r="G91" s="47">
        <f t="shared" si="4"/>
        <v>0</v>
      </c>
      <c r="H91" s="88"/>
      <c r="I91" s="20">
        <v>50</v>
      </c>
      <c r="J91" s="82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102</v>
      </c>
      <c r="C92" s="79">
        <f>+'7'!G92</f>
        <v>0</v>
      </c>
      <c r="D92" s="87">
        <v>0</v>
      </c>
      <c r="E92" s="47">
        <f t="shared" si="0"/>
        <v>0</v>
      </c>
      <c r="F92" s="87">
        <v>0</v>
      </c>
      <c r="G92" s="47">
        <f t="shared" si="4"/>
        <v>0</v>
      </c>
      <c r="H92" s="88"/>
      <c r="I92" s="22">
        <v>50</v>
      </c>
      <c r="J92" s="82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248</v>
      </c>
      <c r="C93" s="79">
        <f>+'7'!G93</f>
        <v>0</v>
      </c>
      <c r="D93" s="87">
        <v>0</v>
      </c>
      <c r="E93" s="47">
        <f t="shared" si="0"/>
        <v>0</v>
      </c>
      <c r="F93" s="87">
        <v>0</v>
      </c>
      <c r="G93" s="47">
        <f t="shared" si="4"/>
        <v>0</v>
      </c>
      <c r="H93" s="88"/>
      <c r="I93" s="22">
        <v>120</v>
      </c>
      <c r="J93" s="82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104</v>
      </c>
      <c r="C94" s="79">
        <f>+'7'!G94</f>
        <v>0</v>
      </c>
      <c r="D94" s="87">
        <v>0</v>
      </c>
      <c r="E94" s="47">
        <f t="shared" si="0"/>
        <v>0</v>
      </c>
      <c r="F94" s="87">
        <v>0</v>
      </c>
      <c r="G94" s="47">
        <f t="shared" si="4"/>
        <v>0</v>
      </c>
      <c r="H94" s="88"/>
      <c r="I94" s="20">
        <v>250</v>
      </c>
      <c r="J94" s="82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105</v>
      </c>
      <c r="C95" s="79">
        <f>+'7'!G95</f>
        <v>0</v>
      </c>
      <c r="D95" s="87">
        <v>0</v>
      </c>
      <c r="E95" s="47">
        <f t="shared" si="0"/>
        <v>0</v>
      </c>
      <c r="F95" s="87">
        <v>0</v>
      </c>
      <c r="G95" s="47">
        <f t="shared" si="4"/>
        <v>0</v>
      </c>
      <c r="H95" s="88"/>
      <c r="I95" s="20">
        <v>120</v>
      </c>
      <c r="J95" s="82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106</v>
      </c>
      <c r="C96" s="79">
        <f>+'7'!G96</f>
        <v>0</v>
      </c>
      <c r="D96" s="87">
        <v>0</v>
      </c>
      <c r="E96" s="47">
        <f t="shared" si="0"/>
        <v>0</v>
      </c>
      <c r="F96" s="87">
        <v>0</v>
      </c>
      <c r="G96" s="47">
        <f t="shared" si="4"/>
        <v>0</v>
      </c>
      <c r="H96" s="88"/>
      <c r="I96" s="20">
        <v>120</v>
      </c>
      <c r="J96" s="82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107</v>
      </c>
      <c r="C97" s="79">
        <f>+'7'!G97</f>
        <v>0</v>
      </c>
      <c r="D97" s="87">
        <v>0</v>
      </c>
      <c r="E97" s="47">
        <f t="shared" si="0"/>
        <v>0</v>
      </c>
      <c r="F97" s="87">
        <v>0</v>
      </c>
      <c r="G97" s="47">
        <f t="shared" si="4"/>
        <v>0</v>
      </c>
      <c r="H97" s="88"/>
      <c r="I97" s="20">
        <v>120</v>
      </c>
      <c r="J97" s="82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103</v>
      </c>
      <c r="C98" s="79">
        <f>+'7'!G98</f>
        <v>0</v>
      </c>
      <c r="D98" s="87">
        <v>0</v>
      </c>
      <c r="E98" s="47">
        <f t="shared" si="0"/>
        <v>0</v>
      </c>
      <c r="F98" s="87">
        <v>0</v>
      </c>
      <c r="G98" s="47">
        <f t="shared" si="4"/>
        <v>0</v>
      </c>
      <c r="H98" s="88"/>
      <c r="I98" s="20">
        <v>120</v>
      </c>
      <c r="J98" s="82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109</v>
      </c>
      <c r="C99" s="79">
        <f>+'7'!G99</f>
        <v>0</v>
      </c>
      <c r="D99" s="87">
        <v>0</v>
      </c>
      <c r="E99" s="47">
        <f t="shared" si="0"/>
        <v>0</v>
      </c>
      <c r="F99" s="87">
        <v>0</v>
      </c>
      <c r="G99" s="47">
        <f t="shared" si="4"/>
        <v>0</v>
      </c>
      <c r="H99" s="88"/>
      <c r="I99" s="20">
        <v>50</v>
      </c>
      <c r="J99" s="82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110</v>
      </c>
      <c r="C100" s="79">
        <f>+'7'!G100</f>
        <v>0</v>
      </c>
      <c r="D100" s="87">
        <v>0</v>
      </c>
      <c r="E100" s="47">
        <f t="shared" si="0"/>
        <v>0</v>
      </c>
      <c r="F100" s="87">
        <v>0</v>
      </c>
      <c r="G100" s="47">
        <f t="shared" si="4"/>
        <v>0</v>
      </c>
      <c r="H100" s="88"/>
      <c r="I100" s="20">
        <v>50</v>
      </c>
      <c r="J100" s="82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111</v>
      </c>
      <c r="C101" s="79">
        <f>+'7'!G101</f>
        <v>0</v>
      </c>
      <c r="D101" s="87">
        <v>0</v>
      </c>
      <c r="E101" s="47">
        <f t="shared" si="0"/>
        <v>0</v>
      </c>
      <c r="F101" s="87">
        <v>0</v>
      </c>
      <c r="G101" s="47">
        <f t="shared" ref="G101:G164" si="11">+E101-F101-H101</f>
        <v>0</v>
      </c>
      <c r="H101" s="88"/>
      <c r="I101" s="20">
        <v>60</v>
      </c>
      <c r="J101" s="82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112</v>
      </c>
      <c r="C102" s="79">
        <f>+'7'!G102</f>
        <v>0</v>
      </c>
      <c r="D102" s="87">
        <v>0</v>
      </c>
      <c r="E102" s="47">
        <f t="shared" si="0"/>
        <v>0</v>
      </c>
      <c r="F102" s="87">
        <v>0</v>
      </c>
      <c r="G102" s="47">
        <f t="shared" si="11"/>
        <v>0</v>
      </c>
      <c r="H102" s="88"/>
      <c r="I102" s="20">
        <v>55</v>
      </c>
      <c r="J102" s="82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113</v>
      </c>
      <c r="C103" s="79">
        <f>+'7'!G103</f>
        <v>0</v>
      </c>
      <c r="D103" s="87">
        <v>0</v>
      </c>
      <c r="E103" s="47">
        <f t="shared" si="0"/>
        <v>0</v>
      </c>
      <c r="F103" s="87">
        <v>0</v>
      </c>
      <c r="G103" s="47">
        <f t="shared" si="11"/>
        <v>0</v>
      </c>
      <c r="H103" s="88"/>
      <c r="I103" s="20">
        <v>50</v>
      </c>
      <c r="J103" s="82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114</v>
      </c>
      <c r="C104" s="79">
        <f>+'7'!G104</f>
        <v>0</v>
      </c>
      <c r="D104" s="87">
        <v>0</v>
      </c>
      <c r="E104" s="47">
        <f t="shared" si="0"/>
        <v>0</v>
      </c>
      <c r="F104" s="87">
        <v>0</v>
      </c>
      <c r="G104" s="47">
        <f t="shared" si="11"/>
        <v>0</v>
      </c>
      <c r="H104" s="88"/>
      <c r="I104" s="20">
        <v>100</v>
      </c>
      <c r="J104" s="82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115</v>
      </c>
      <c r="C105" s="79">
        <f>+'7'!G105</f>
        <v>0</v>
      </c>
      <c r="D105" s="87">
        <v>0</v>
      </c>
      <c r="E105" s="47">
        <f t="shared" si="0"/>
        <v>0</v>
      </c>
      <c r="F105" s="87">
        <v>0</v>
      </c>
      <c r="G105" s="47">
        <f t="shared" si="11"/>
        <v>0</v>
      </c>
      <c r="H105" s="88"/>
      <c r="I105" s="20">
        <v>100</v>
      </c>
      <c r="J105" s="82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116</v>
      </c>
      <c r="C106" s="79">
        <f>+'7'!G106</f>
        <v>0</v>
      </c>
      <c r="D106" s="87">
        <v>0</v>
      </c>
      <c r="E106" s="47">
        <f t="shared" si="0"/>
        <v>0</v>
      </c>
      <c r="F106" s="87">
        <v>0</v>
      </c>
      <c r="G106" s="47">
        <f t="shared" si="11"/>
        <v>0</v>
      </c>
      <c r="H106" s="88"/>
      <c r="I106" s="22">
        <v>30</v>
      </c>
      <c r="J106" s="82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117</v>
      </c>
      <c r="C107" s="79">
        <f>+'7'!G107</f>
        <v>0</v>
      </c>
      <c r="D107" s="87">
        <v>0</v>
      </c>
      <c r="E107" s="47">
        <f t="shared" si="0"/>
        <v>0</v>
      </c>
      <c r="F107" s="87">
        <v>0</v>
      </c>
      <c r="G107" s="47">
        <f t="shared" si="11"/>
        <v>0</v>
      </c>
      <c r="H107" s="88"/>
      <c r="I107" s="22">
        <v>20</v>
      </c>
      <c r="J107" s="82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118</v>
      </c>
      <c r="C108" s="79">
        <f>+'7'!G108</f>
        <v>0</v>
      </c>
      <c r="D108" s="87">
        <v>0</v>
      </c>
      <c r="E108" s="47">
        <f t="shared" si="0"/>
        <v>0</v>
      </c>
      <c r="F108" s="87">
        <v>0</v>
      </c>
      <c r="G108" s="47">
        <f t="shared" si="11"/>
        <v>0</v>
      </c>
      <c r="H108" s="88"/>
      <c r="I108" s="20">
        <v>100</v>
      </c>
      <c r="J108" s="82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120</v>
      </c>
      <c r="C109" s="79">
        <f>+'7'!G109</f>
        <v>0</v>
      </c>
      <c r="D109" s="87">
        <v>0</v>
      </c>
      <c r="E109" s="47">
        <f t="shared" si="0"/>
        <v>0</v>
      </c>
      <c r="F109" s="87">
        <v>0</v>
      </c>
      <c r="G109" s="47">
        <f t="shared" si="11"/>
        <v>0</v>
      </c>
      <c r="H109" s="88"/>
      <c r="I109" s="20">
        <v>80</v>
      </c>
      <c r="J109" s="82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121</v>
      </c>
      <c r="C110" s="79">
        <f>+'7'!G110</f>
        <v>0</v>
      </c>
      <c r="D110" s="87">
        <v>0</v>
      </c>
      <c r="E110" s="47">
        <f t="shared" si="0"/>
        <v>0</v>
      </c>
      <c r="F110" s="87">
        <v>0</v>
      </c>
      <c r="G110" s="47">
        <f t="shared" si="11"/>
        <v>0</v>
      </c>
      <c r="H110" s="88"/>
      <c r="I110" s="20">
        <v>60</v>
      </c>
      <c r="J110" s="82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122</v>
      </c>
      <c r="C111" s="79">
        <f>+'7'!G111</f>
        <v>0</v>
      </c>
      <c r="D111" s="87">
        <v>0</v>
      </c>
      <c r="E111" s="47">
        <f t="shared" si="0"/>
        <v>0</v>
      </c>
      <c r="F111" s="87">
        <v>0</v>
      </c>
      <c r="G111" s="47">
        <f t="shared" si="11"/>
        <v>0</v>
      </c>
      <c r="H111" s="88"/>
      <c r="I111" s="20">
        <v>35</v>
      </c>
      <c r="J111" s="82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123</v>
      </c>
      <c r="C112" s="79">
        <f>+'7'!G112</f>
        <v>0</v>
      </c>
      <c r="D112" s="87">
        <v>0</v>
      </c>
      <c r="E112" s="47">
        <f t="shared" si="0"/>
        <v>0</v>
      </c>
      <c r="F112" s="87">
        <v>0</v>
      </c>
      <c r="G112" s="47">
        <f t="shared" si="11"/>
        <v>0</v>
      </c>
      <c r="H112" s="88"/>
      <c r="I112" s="20">
        <v>35</v>
      </c>
      <c r="J112" s="82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124</v>
      </c>
      <c r="C113" s="79">
        <f>+'7'!G113</f>
        <v>0</v>
      </c>
      <c r="D113" s="87">
        <v>0</v>
      </c>
      <c r="E113" s="47">
        <f t="shared" si="0"/>
        <v>0</v>
      </c>
      <c r="F113" s="87">
        <v>0</v>
      </c>
      <c r="G113" s="47">
        <f t="shared" si="11"/>
        <v>0</v>
      </c>
      <c r="H113" s="88"/>
      <c r="I113" s="20">
        <v>35</v>
      </c>
      <c r="J113" s="82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125</v>
      </c>
      <c r="C114" s="79">
        <f>+'7'!G114</f>
        <v>0</v>
      </c>
      <c r="D114" s="87">
        <v>0</v>
      </c>
      <c r="E114" s="47">
        <f t="shared" si="0"/>
        <v>0</v>
      </c>
      <c r="F114" s="87">
        <v>0</v>
      </c>
      <c r="G114" s="47">
        <f t="shared" si="11"/>
        <v>0</v>
      </c>
      <c r="H114" s="88"/>
      <c r="I114" s="20">
        <v>35</v>
      </c>
      <c r="J114" s="82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126</v>
      </c>
      <c r="C115" s="79">
        <f>+'7'!G115</f>
        <v>0</v>
      </c>
      <c r="D115" s="87">
        <v>0</v>
      </c>
      <c r="E115" s="47">
        <f t="shared" si="0"/>
        <v>0</v>
      </c>
      <c r="F115" s="87">
        <v>0</v>
      </c>
      <c r="G115" s="47">
        <f t="shared" si="11"/>
        <v>0</v>
      </c>
      <c r="H115" s="88"/>
      <c r="I115" s="20">
        <v>35</v>
      </c>
      <c r="J115" s="82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127</v>
      </c>
      <c r="C116" s="79">
        <f>+'7'!G116</f>
        <v>0</v>
      </c>
      <c r="D116" s="87">
        <v>0</v>
      </c>
      <c r="E116" s="47">
        <f t="shared" si="0"/>
        <v>0</v>
      </c>
      <c r="F116" s="87">
        <v>0</v>
      </c>
      <c r="G116" s="47">
        <f t="shared" si="11"/>
        <v>0</v>
      </c>
      <c r="H116" s="88"/>
      <c r="I116" s="20">
        <v>30</v>
      </c>
      <c r="J116" s="82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128</v>
      </c>
      <c r="C117" s="79">
        <f>+'7'!G117</f>
        <v>0</v>
      </c>
      <c r="D117" s="87">
        <v>0</v>
      </c>
      <c r="E117" s="47">
        <f t="shared" si="0"/>
        <v>0</v>
      </c>
      <c r="F117" s="87">
        <v>0</v>
      </c>
      <c r="G117" s="47">
        <f t="shared" si="11"/>
        <v>0</v>
      </c>
      <c r="H117" s="88"/>
      <c r="I117" s="20">
        <v>30</v>
      </c>
      <c r="J117" s="82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129</v>
      </c>
      <c r="C118" s="79">
        <f>+'7'!G118</f>
        <v>0</v>
      </c>
      <c r="D118" s="87">
        <v>0</v>
      </c>
      <c r="E118" s="47">
        <f t="shared" si="0"/>
        <v>0</v>
      </c>
      <c r="F118" s="87">
        <v>0</v>
      </c>
      <c r="G118" s="47">
        <f t="shared" si="11"/>
        <v>0</v>
      </c>
      <c r="H118" s="88"/>
      <c r="I118" s="20">
        <v>30</v>
      </c>
      <c r="J118" s="82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130</v>
      </c>
      <c r="C119" s="79">
        <f>+'7'!G119</f>
        <v>0</v>
      </c>
      <c r="D119" s="87">
        <v>0</v>
      </c>
      <c r="E119" s="47">
        <f t="shared" si="0"/>
        <v>0</v>
      </c>
      <c r="F119" s="87">
        <v>0</v>
      </c>
      <c r="G119" s="47">
        <f t="shared" si="11"/>
        <v>0</v>
      </c>
      <c r="H119" s="88"/>
      <c r="I119" s="20">
        <v>30</v>
      </c>
      <c r="J119" s="82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131</v>
      </c>
      <c r="C120" s="79">
        <f>+'7'!G120</f>
        <v>0</v>
      </c>
      <c r="D120" s="87">
        <v>0</v>
      </c>
      <c r="E120" s="47">
        <f t="shared" si="0"/>
        <v>0</v>
      </c>
      <c r="F120" s="87">
        <v>0</v>
      </c>
      <c r="G120" s="47">
        <f t="shared" si="11"/>
        <v>0</v>
      </c>
      <c r="H120" s="88"/>
      <c r="I120" s="20">
        <v>30</v>
      </c>
      <c r="J120" s="82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132</v>
      </c>
      <c r="C121" s="79">
        <f>+'7'!G121</f>
        <v>0</v>
      </c>
      <c r="D121" s="87">
        <v>0</v>
      </c>
      <c r="E121" s="47">
        <f t="shared" si="0"/>
        <v>0</v>
      </c>
      <c r="F121" s="87">
        <v>0</v>
      </c>
      <c r="G121" s="47">
        <f t="shared" si="11"/>
        <v>0</v>
      </c>
      <c r="H121" s="88"/>
      <c r="I121" s="20">
        <v>30</v>
      </c>
      <c r="J121" s="82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133</v>
      </c>
      <c r="C122" s="79">
        <f>+'7'!G122</f>
        <v>0</v>
      </c>
      <c r="D122" s="87">
        <v>0</v>
      </c>
      <c r="E122" s="47">
        <f t="shared" si="0"/>
        <v>0</v>
      </c>
      <c r="F122" s="87">
        <v>0</v>
      </c>
      <c r="G122" s="47">
        <f t="shared" si="11"/>
        <v>0</v>
      </c>
      <c r="H122" s="88"/>
      <c r="I122" s="20">
        <v>40</v>
      </c>
      <c r="J122" s="82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134</v>
      </c>
      <c r="C123" s="79">
        <f>+'7'!G123</f>
        <v>0</v>
      </c>
      <c r="D123" s="87">
        <v>0</v>
      </c>
      <c r="E123" s="47">
        <f t="shared" si="0"/>
        <v>0</v>
      </c>
      <c r="F123" s="87">
        <v>0</v>
      </c>
      <c r="G123" s="47">
        <f t="shared" si="11"/>
        <v>0</v>
      </c>
      <c r="H123" s="88"/>
      <c r="I123" s="20">
        <v>35</v>
      </c>
      <c r="J123" s="82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135</v>
      </c>
      <c r="C124" s="79">
        <f>+'7'!G124</f>
        <v>0</v>
      </c>
      <c r="D124" s="87">
        <v>0</v>
      </c>
      <c r="E124" s="47">
        <f t="shared" si="0"/>
        <v>0</v>
      </c>
      <c r="F124" s="87">
        <v>0</v>
      </c>
      <c r="G124" s="47">
        <f t="shared" si="11"/>
        <v>0</v>
      </c>
      <c r="H124" s="88"/>
      <c r="I124" s="20">
        <v>40</v>
      </c>
      <c r="J124" s="82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136</v>
      </c>
      <c r="C125" s="79">
        <f>+'7'!G125</f>
        <v>0</v>
      </c>
      <c r="D125" s="87">
        <v>0</v>
      </c>
      <c r="E125" s="47">
        <f t="shared" si="0"/>
        <v>0</v>
      </c>
      <c r="F125" s="87">
        <v>0</v>
      </c>
      <c r="G125" s="47">
        <f t="shared" si="11"/>
        <v>0</v>
      </c>
      <c r="H125" s="88"/>
      <c r="I125" s="20">
        <v>40</v>
      </c>
      <c r="J125" s="82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137</v>
      </c>
      <c r="C126" s="79">
        <f>+'7'!G126</f>
        <v>0</v>
      </c>
      <c r="D126" s="87">
        <v>0</v>
      </c>
      <c r="E126" s="47">
        <f t="shared" ref="E126:E189" si="13">C126+D126</f>
        <v>0</v>
      </c>
      <c r="F126" s="87">
        <v>0</v>
      </c>
      <c r="G126" s="47">
        <f t="shared" si="11"/>
        <v>0</v>
      </c>
      <c r="H126" s="88"/>
      <c r="I126" s="20">
        <v>30</v>
      </c>
      <c r="J126" s="82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138</v>
      </c>
      <c r="C127" s="79">
        <f>+'7'!G127</f>
        <v>0</v>
      </c>
      <c r="D127" s="87">
        <v>0</v>
      </c>
      <c r="E127" s="47">
        <f t="shared" si="13"/>
        <v>0</v>
      </c>
      <c r="F127" s="87">
        <v>0</v>
      </c>
      <c r="G127" s="47">
        <f t="shared" si="11"/>
        <v>0</v>
      </c>
      <c r="H127" s="88"/>
      <c r="I127" s="20">
        <v>40</v>
      </c>
      <c r="J127" s="82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139</v>
      </c>
      <c r="C128" s="79">
        <f>+'7'!G128</f>
        <v>87</v>
      </c>
      <c r="D128" s="87">
        <v>0</v>
      </c>
      <c r="E128" s="47">
        <f t="shared" si="13"/>
        <v>87</v>
      </c>
      <c r="F128" s="87">
        <v>0</v>
      </c>
      <c r="G128" s="47">
        <f t="shared" si="11"/>
        <v>77</v>
      </c>
      <c r="H128" s="88">
        <v>10</v>
      </c>
      <c r="I128" s="20">
        <v>10</v>
      </c>
      <c r="J128" s="82">
        <f t="shared" si="12"/>
        <v>100</v>
      </c>
      <c r="K128" s="17" t="s">
        <v>291</v>
      </c>
      <c r="L128" s="18">
        <v>100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140</v>
      </c>
      <c r="C129" s="79">
        <f>+'7'!G129</f>
        <v>0</v>
      </c>
      <c r="D129" s="87">
        <v>0</v>
      </c>
      <c r="E129" s="47">
        <f t="shared" si="13"/>
        <v>0</v>
      </c>
      <c r="F129" s="87">
        <v>0</v>
      </c>
      <c r="G129" s="47">
        <f t="shared" si="11"/>
        <v>0</v>
      </c>
      <c r="H129" s="88"/>
      <c r="I129" s="20">
        <v>35</v>
      </c>
      <c r="J129" s="82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141</v>
      </c>
      <c r="C130" s="79">
        <f>+'7'!G130</f>
        <v>0</v>
      </c>
      <c r="D130" s="87">
        <v>0</v>
      </c>
      <c r="E130" s="47">
        <f t="shared" si="13"/>
        <v>0</v>
      </c>
      <c r="F130" s="87">
        <v>0</v>
      </c>
      <c r="G130" s="47">
        <f t="shared" si="11"/>
        <v>0</v>
      </c>
      <c r="H130" s="88"/>
      <c r="I130" s="20">
        <v>40</v>
      </c>
      <c r="J130" s="82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142</v>
      </c>
      <c r="C131" s="79">
        <f>+'7'!G131</f>
        <v>0</v>
      </c>
      <c r="D131" s="87">
        <v>0</v>
      </c>
      <c r="E131" s="47">
        <f t="shared" si="13"/>
        <v>0</v>
      </c>
      <c r="F131" s="87">
        <v>0</v>
      </c>
      <c r="G131" s="47">
        <f t="shared" si="11"/>
        <v>0</v>
      </c>
      <c r="H131" s="88"/>
      <c r="I131" s="20">
        <v>50</v>
      </c>
      <c r="J131" s="82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143</v>
      </c>
      <c r="C132" s="79">
        <f>+'7'!G132</f>
        <v>0</v>
      </c>
      <c r="D132" s="87">
        <v>0</v>
      </c>
      <c r="E132" s="47">
        <f t="shared" si="13"/>
        <v>0</v>
      </c>
      <c r="F132" s="87">
        <v>0</v>
      </c>
      <c r="G132" s="47">
        <f t="shared" si="11"/>
        <v>0</v>
      </c>
      <c r="H132" s="88"/>
      <c r="I132" s="20">
        <v>55</v>
      </c>
      <c r="J132" s="82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144</v>
      </c>
      <c r="C133" s="79">
        <f>+'7'!G133</f>
        <v>0</v>
      </c>
      <c r="D133" s="87">
        <v>0</v>
      </c>
      <c r="E133" s="47">
        <f t="shared" si="13"/>
        <v>0</v>
      </c>
      <c r="F133" s="87">
        <v>0</v>
      </c>
      <c r="G133" s="47">
        <f t="shared" si="11"/>
        <v>0</v>
      </c>
      <c r="H133" s="88"/>
      <c r="I133" s="20">
        <v>55</v>
      </c>
      <c r="J133" s="82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145</v>
      </c>
      <c r="C134" s="79">
        <f>+'7'!G134</f>
        <v>0</v>
      </c>
      <c r="D134" s="87">
        <v>0</v>
      </c>
      <c r="E134" s="47">
        <f t="shared" si="13"/>
        <v>0</v>
      </c>
      <c r="F134" s="87">
        <v>0</v>
      </c>
      <c r="G134" s="47">
        <f t="shared" si="11"/>
        <v>0</v>
      </c>
      <c r="H134" s="88"/>
      <c r="I134" s="20">
        <v>45</v>
      </c>
      <c r="J134" s="82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5.5" x14ac:dyDescent="0.55000000000000004">
      <c r="A135" s="10">
        <v>131</v>
      </c>
      <c r="B135" s="19" t="s">
        <v>146</v>
      </c>
      <c r="C135" s="79">
        <f>+'7'!G135</f>
        <v>0</v>
      </c>
      <c r="D135" s="87">
        <v>0</v>
      </c>
      <c r="E135" s="47">
        <f t="shared" si="13"/>
        <v>0</v>
      </c>
      <c r="F135" s="87">
        <v>0</v>
      </c>
      <c r="G135" s="47">
        <f t="shared" si="11"/>
        <v>0</v>
      </c>
      <c r="H135" s="88"/>
      <c r="I135" s="20">
        <v>45</v>
      </c>
      <c r="J135" s="82">
        <f t="shared" si="12"/>
        <v>0</v>
      </c>
      <c r="K135" s="17" t="s">
        <v>16</v>
      </c>
      <c r="L135" s="18">
        <v>0</v>
      </c>
      <c r="M135" s="23">
        <f t="shared" ref="M135:M198" si="14">SUM(J135-L135)</f>
        <v>0</v>
      </c>
    </row>
    <row r="136" spans="1:13" ht="25.5" x14ac:dyDescent="0.55000000000000004">
      <c r="A136" s="10">
        <v>132</v>
      </c>
      <c r="B136" s="19" t="s">
        <v>147</v>
      </c>
      <c r="C136" s="79">
        <f>+'7'!G136</f>
        <v>0</v>
      </c>
      <c r="D136" s="87">
        <v>0</v>
      </c>
      <c r="E136" s="47">
        <f t="shared" si="13"/>
        <v>0</v>
      </c>
      <c r="F136" s="87">
        <v>0</v>
      </c>
      <c r="G136" s="47">
        <f t="shared" si="11"/>
        <v>0</v>
      </c>
      <c r="H136" s="88"/>
      <c r="I136" s="20">
        <v>55</v>
      </c>
      <c r="J136" s="82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148</v>
      </c>
      <c r="C137" s="79">
        <f>+'7'!G137</f>
        <v>0</v>
      </c>
      <c r="D137" s="87">
        <v>0</v>
      </c>
      <c r="E137" s="47">
        <f t="shared" si="13"/>
        <v>0</v>
      </c>
      <c r="F137" s="87">
        <v>0</v>
      </c>
      <c r="G137" s="47">
        <f t="shared" si="11"/>
        <v>0</v>
      </c>
      <c r="H137" s="88"/>
      <c r="I137" s="20">
        <v>45</v>
      </c>
      <c r="J137" s="82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149</v>
      </c>
      <c r="C138" s="79">
        <f>+'7'!G138</f>
        <v>0</v>
      </c>
      <c r="D138" s="87">
        <v>0</v>
      </c>
      <c r="E138" s="47">
        <f t="shared" si="13"/>
        <v>0</v>
      </c>
      <c r="F138" s="87">
        <v>0</v>
      </c>
      <c r="G138" s="47">
        <f t="shared" si="11"/>
        <v>0</v>
      </c>
      <c r="H138" s="88"/>
      <c r="I138" s="20">
        <v>45</v>
      </c>
      <c r="J138" s="82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150</v>
      </c>
      <c r="C139" s="79">
        <f>+'7'!G139</f>
        <v>0</v>
      </c>
      <c r="D139" s="87">
        <v>0</v>
      </c>
      <c r="E139" s="47">
        <f t="shared" si="13"/>
        <v>0</v>
      </c>
      <c r="F139" s="87">
        <v>0</v>
      </c>
      <c r="G139" s="47">
        <f t="shared" si="11"/>
        <v>0</v>
      </c>
      <c r="H139" s="88"/>
      <c r="I139" s="20">
        <v>45</v>
      </c>
      <c r="J139" s="82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151</v>
      </c>
      <c r="C140" s="79">
        <f>+'7'!G140</f>
        <v>0</v>
      </c>
      <c r="D140" s="87">
        <v>0</v>
      </c>
      <c r="E140" s="47">
        <f t="shared" si="13"/>
        <v>0</v>
      </c>
      <c r="F140" s="87">
        <v>0</v>
      </c>
      <c r="G140" s="47">
        <f t="shared" si="11"/>
        <v>0</v>
      </c>
      <c r="H140" s="88"/>
      <c r="I140" s="20">
        <v>45</v>
      </c>
      <c r="J140" s="82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152</v>
      </c>
      <c r="C141" s="79">
        <f>+'7'!G141</f>
        <v>0</v>
      </c>
      <c r="D141" s="87">
        <v>0</v>
      </c>
      <c r="E141" s="47">
        <f t="shared" si="13"/>
        <v>0</v>
      </c>
      <c r="F141" s="87">
        <v>0</v>
      </c>
      <c r="G141" s="47">
        <f t="shared" si="11"/>
        <v>0</v>
      </c>
      <c r="H141" s="88"/>
      <c r="I141" s="20">
        <v>45</v>
      </c>
      <c r="J141" s="82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153</v>
      </c>
      <c r="C142" s="79">
        <f>+'7'!G142</f>
        <v>0</v>
      </c>
      <c r="D142" s="87">
        <v>0</v>
      </c>
      <c r="E142" s="47">
        <f t="shared" si="13"/>
        <v>0</v>
      </c>
      <c r="F142" s="87">
        <v>0</v>
      </c>
      <c r="G142" s="47">
        <f t="shared" si="11"/>
        <v>0</v>
      </c>
      <c r="H142" s="88"/>
      <c r="I142" s="20">
        <v>45</v>
      </c>
      <c r="J142" s="82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154</v>
      </c>
      <c r="C143" s="79">
        <f>+'7'!G143</f>
        <v>0</v>
      </c>
      <c r="D143" s="87">
        <v>0</v>
      </c>
      <c r="E143" s="47">
        <f t="shared" si="13"/>
        <v>0</v>
      </c>
      <c r="F143" s="87">
        <v>0</v>
      </c>
      <c r="G143" s="47">
        <f t="shared" si="11"/>
        <v>0</v>
      </c>
      <c r="H143" s="88"/>
      <c r="I143" s="20">
        <v>120</v>
      </c>
      <c r="J143" s="82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155</v>
      </c>
      <c r="C144" s="79">
        <f>+'7'!G144</f>
        <v>0</v>
      </c>
      <c r="D144" s="87">
        <v>0</v>
      </c>
      <c r="E144" s="47">
        <f t="shared" si="13"/>
        <v>0</v>
      </c>
      <c r="F144" s="87">
        <v>0</v>
      </c>
      <c r="G144" s="47">
        <f t="shared" si="11"/>
        <v>0</v>
      </c>
      <c r="H144" s="88"/>
      <c r="I144" s="20">
        <v>120</v>
      </c>
      <c r="J144" s="82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156</v>
      </c>
      <c r="C145" s="79">
        <f>+'7'!G145</f>
        <v>0</v>
      </c>
      <c r="D145" s="87">
        <v>0</v>
      </c>
      <c r="E145" s="47">
        <f t="shared" si="13"/>
        <v>0</v>
      </c>
      <c r="F145" s="87">
        <v>0</v>
      </c>
      <c r="G145" s="47">
        <f t="shared" si="11"/>
        <v>0</v>
      </c>
      <c r="H145" s="88"/>
      <c r="I145" s="20">
        <v>120</v>
      </c>
      <c r="J145" s="82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157</v>
      </c>
      <c r="C146" s="79">
        <f>+'7'!G146</f>
        <v>0</v>
      </c>
      <c r="D146" s="87">
        <v>0</v>
      </c>
      <c r="E146" s="47">
        <f t="shared" si="13"/>
        <v>0</v>
      </c>
      <c r="F146" s="87">
        <v>0</v>
      </c>
      <c r="G146" s="47">
        <f t="shared" si="11"/>
        <v>0</v>
      </c>
      <c r="H146" s="88"/>
      <c r="I146" s="20">
        <v>120</v>
      </c>
      <c r="J146" s="82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158</v>
      </c>
      <c r="C147" s="79">
        <f>+'7'!G147</f>
        <v>0</v>
      </c>
      <c r="D147" s="87">
        <v>0</v>
      </c>
      <c r="E147" s="47">
        <f t="shared" si="13"/>
        <v>0</v>
      </c>
      <c r="F147" s="87">
        <v>0</v>
      </c>
      <c r="G147" s="47">
        <f t="shared" si="11"/>
        <v>0</v>
      </c>
      <c r="H147" s="88"/>
      <c r="I147" s="20">
        <v>185</v>
      </c>
      <c r="J147" s="82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159</v>
      </c>
      <c r="C148" s="79">
        <f>+'7'!G148</f>
        <v>0</v>
      </c>
      <c r="D148" s="87">
        <v>0</v>
      </c>
      <c r="E148" s="47">
        <f t="shared" si="13"/>
        <v>0</v>
      </c>
      <c r="F148" s="87">
        <v>0</v>
      </c>
      <c r="G148" s="47">
        <f t="shared" si="11"/>
        <v>0</v>
      </c>
      <c r="H148" s="88"/>
      <c r="I148" s="20">
        <v>185</v>
      </c>
      <c r="J148" s="82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160</v>
      </c>
      <c r="C149" s="79">
        <f>+'7'!G149</f>
        <v>0</v>
      </c>
      <c r="D149" s="87">
        <v>0</v>
      </c>
      <c r="E149" s="47">
        <f t="shared" si="13"/>
        <v>0</v>
      </c>
      <c r="F149" s="87">
        <v>0</v>
      </c>
      <c r="G149" s="47">
        <f t="shared" si="11"/>
        <v>0</v>
      </c>
      <c r="H149" s="88"/>
      <c r="I149" s="20">
        <v>185</v>
      </c>
      <c r="J149" s="82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161</v>
      </c>
      <c r="C150" s="79">
        <f>+'7'!G150</f>
        <v>0</v>
      </c>
      <c r="D150" s="87">
        <v>0</v>
      </c>
      <c r="E150" s="47">
        <f t="shared" si="13"/>
        <v>0</v>
      </c>
      <c r="F150" s="87">
        <v>0</v>
      </c>
      <c r="G150" s="47">
        <f t="shared" si="11"/>
        <v>0</v>
      </c>
      <c r="H150" s="88"/>
      <c r="I150" s="20">
        <v>185</v>
      </c>
      <c r="J150" s="82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5.5" x14ac:dyDescent="0.55000000000000004">
      <c r="A151" s="10">
        <v>147</v>
      </c>
      <c r="B151" s="19" t="s">
        <v>279</v>
      </c>
      <c r="C151" s="79">
        <f>+'7'!G151</f>
        <v>0</v>
      </c>
      <c r="D151" s="87">
        <v>0</v>
      </c>
      <c r="E151" s="47">
        <f t="shared" si="13"/>
        <v>0</v>
      </c>
      <c r="F151" s="87">
        <v>0</v>
      </c>
      <c r="G151" s="47">
        <f t="shared" si="11"/>
        <v>0</v>
      </c>
      <c r="H151" s="88"/>
      <c r="I151" s="20">
        <v>150</v>
      </c>
      <c r="J151" s="82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280</v>
      </c>
      <c r="C152" s="79">
        <f>+'7'!G152</f>
        <v>1</v>
      </c>
      <c r="D152" s="87">
        <v>0</v>
      </c>
      <c r="E152" s="47">
        <f t="shared" si="13"/>
        <v>1</v>
      </c>
      <c r="F152" s="87">
        <v>0</v>
      </c>
      <c r="G152" s="47">
        <f t="shared" si="11"/>
        <v>1</v>
      </c>
      <c r="H152" s="88"/>
      <c r="I152" s="20">
        <v>150</v>
      </c>
      <c r="J152" s="82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5.5" x14ac:dyDescent="0.55000000000000004">
      <c r="A153" s="10">
        <v>149</v>
      </c>
      <c r="B153" s="19" t="s">
        <v>281</v>
      </c>
      <c r="C153" s="79">
        <f>+'7'!G153</f>
        <v>1</v>
      </c>
      <c r="D153" s="87">
        <v>0</v>
      </c>
      <c r="E153" s="47">
        <f t="shared" si="13"/>
        <v>1</v>
      </c>
      <c r="F153" s="87">
        <v>0</v>
      </c>
      <c r="G153" s="47">
        <f t="shared" si="11"/>
        <v>1</v>
      </c>
      <c r="H153" s="88"/>
      <c r="I153" s="20">
        <v>150</v>
      </c>
      <c r="J153" s="82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282</v>
      </c>
      <c r="C154" s="79">
        <f>+'7'!G154</f>
        <v>0</v>
      </c>
      <c r="D154" s="87">
        <v>0</v>
      </c>
      <c r="E154" s="47">
        <f t="shared" si="13"/>
        <v>0</v>
      </c>
      <c r="F154" s="87">
        <v>0</v>
      </c>
      <c r="G154" s="47">
        <f t="shared" si="11"/>
        <v>0</v>
      </c>
      <c r="H154" s="88"/>
      <c r="I154" s="20">
        <v>150</v>
      </c>
      <c r="J154" s="82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166</v>
      </c>
      <c r="C155" s="79">
        <f>+'7'!G155</f>
        <v>0</v>
      </c>
      <c r="D155" s="87">
        <v>0</v>
      </c>
      <c r="E155" s="47">
        <f t="shared" si="13"/>
        <v>0</v>
      </c>
      <c r="F155" s="87">
        <v>0</v>
      </c>
      <c r="G155" s="47">
        <f t="shared" si="11"/>
        <v>0</v>
      </c>
      <c r="H155" s="88"/>
      <c r="I155" s="20">
        <v>185</v>
      </c>
      <c r="J155" s="82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167</v>
      </c>
      <c r="C156" s="79">
        <f>+'7'!G156</f>
        <v>0</v>
      </c>
      <c r="D156" s="87">
        <v>0</v>
      </c>
      <c r="E156" s="47">
        <f t="shared" si="13"/>
        <v>0</v>
      </c>
      <c r="F156" s="87">
        <v>0</v>
      </c>
      <c r="G156" s="47">
        <f t="shared" si="11"/>
        <v>0</v>
      </c>
      <c r="H156" s="88"/>
      <c r="I156" s="20">
        <v>185</v>
      </c>
      <c r="J156" s="82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168</v>
      </c>
      <c r="C157" s="79">
        <f>+'7'!G157</f>
        <v>0</v>
      </c>
      <c r="D157" s="87">
        <v>0</v>
      </c>
      <c r="E157" s="47">
        <f t="shared" si="13"/>
        <v>0</v>
      </c>
      <c r="F157" s="87">
        <v>0</v>
      </c>
      <c r="G157" s="47">
        <f t="shared" si="11"/>
        <v>0</v>
      </c>
      <c r="H157" s="88"/>
      <c r="I157" s="20">
        <v>185</v>
      </c>
      <c r="J157" s="82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169</v>
      </c>
      <c r="C158" s="79">
        <f>+'7'!G158</f>
        <v>0</v>
      </c>
      <c r="D158" s="87">
        <v>0</v>
      </c>
      <c r="E158" s="47">
        <f t="shared" si="13"/>
        <v>0</v>
      </c>
      <c r="F158" s="87">
        <v>0</v>
      </c>
      <c r="G158" s="47">
        <f t="shared" si="11"/>
        <v>0</v>
      </c>
      <c r="H158" s="88"/>
      <c r="I158" s="20">
        <v>185</v>
      </c>
      <c r="J158" s="82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170</v>
      </c>
      <c r="C159" s="79">
        <f>+'7'!G159</f>
        <v>0</v>
      </c>
      <c r="D159" s="87">
        <v>0</v>
      </c>
      <c r="E159" s="47">
        <f t="shared" si="13"/>
        <v>0</v>
      </c>
      <c r="F159" s="87">
        <v>0</v>
      </c>
      <c r="G159" s="47">
        <f t="shared" si="11"/>
        <v>0</v>
      </c>
      <c r="H159" s="88"/>
      <c r="I159" s="20">
        <v>135</v>
      </c>
      <c r="J159" s="82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171</v>
      </c>
      <c r="C160" s="79">
        <f>+'7'!G160</f>
        <v>0</v>
      </c>
      <c r="D160" s="87">
        <v>0</v>
      </c>
      <c r="E160" s="47">
        <f t="shared" si="13"/>
        <v>0</v>
      </c>
      <c r="F160" s="87">
        <v>0</v>
      </c>
      <c r="G160" s="47">
        <f t="shared" si="11"/>
        <v>0</v>
      </c>
      <c r="H160" s="88"/>
      <c r="I160" s="20">
        <v>90</v>
      </c>
      <c r="J160" s="82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172</v>
      </c>
      <c r="C161" s="79">
        <f>+'7'!G161</f>
        <v>0</v>
      </c>
      <c r="D161" s="87">
        <v>0</v>
      </c>
      <c r="E161" s="47">
        <f t="shared" si="13"/>
        <v>0</v>
      </c>
      <c r="F161" s="87">
        <v>0</v>
      </c>
      <c r="G161" s="47">
        <f t="shared" si="11"/>
        <v>0</v>
      </c>
      <c r="H161" s="88"/>
      <c r="I161" s="20">
        <v>90</v>
      </c>
      <c r="J161" s="82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173</v>
      </c>
      <c r="C162" s="79">
        <f>+'7'!G162</f>
        <v>0</v>
      </c>
      <c r="D162" s="87">
        <v>0</v>
      </c>
      <c r="E162" s="47">
        <f t="shared" si="13"/>
        <v>0</v>
      </c>
      <c r="F162" s="87">
        <v>0</v>
      </c>
      <c r="G162" s="47">
        <f t="shared" si="11"/>
        <v>0</v>
      </c>
      <c r="H162" s="88"/>
      <c r="I162" s="20">
        <v>90</v>
      </c>
      <c r="J162" s="82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174</v>
      </c>
      <c r="C163" s="79">
        <f>+'7'!G163</f>
        <v>0</v>
      </c>
      <c r="D163" s="87">
        <v>0</v>
      </c>
      <c r="E163" s="47">
        <f t="shared" si="13"/>
        <v>0</v>
      </c>
      <c r="F163" s="87">
        <v>0</v>
      </c>
      <c r="G163" s="47">
        <f t="shared" si="11"/>
        <v>0</v>
      </c>
      <c r="H163" s="88"/>
      <c r="I163" s="20">
        <v>90</v>
      </c>
      <c r="J163" s="82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175</v>
      </c>
      <c r="C164" s="79">
        <f>+'7'!G164</f>
        <v>0</v>
      </c>
      <c r="D164" s="87">
        <v>0</v>
      </c>
      <c r="E164" s="47">
        <f t="shared" si="13"/>
        <v>0</v>
      </c>
      <c r="F164" s="87">
        <v>0</v>
      </c>
      <c r="G164" s="47">
        <f t="shared" si="11"/>
        <v>0</v>
      </c>
      <c r="H164" s="88"/>
      <c r="I164" s="20">
        <v>25</v>
      </c>
      <c r="J164" s="82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176</v>
      </c>
      <c r="C165" s="79">
        <f>+'7'!G165</f>
        <v>0</v>
      </c>
      <c r="D165" s="87">
        <v>0</v>
      </c>
      <c r="E165" s="47">
        <f t="shared" si="13"/>
        <v>0</v>
      </c>
      <c r="F165" s="87">
        <v>0</v>
      </c>
      <c r="G165" s="47">
        <f t="shared" ref="G165:G227" si="15">+E165-F165-H165</f>
        <v>0</v>
      </c>
      <c r="H165" s="88"/>
      <c r="I165" s="20">
        <v>50</v>
      </c>
      <c r="J165" s="82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177</v>
      </c>
      <c r="C166" s="79">
        <f>+'7'!G166</f>
        <v>0</v>
      </c>
      <c r="D166" s="87">
        <v>0</v>
      </c>
      <c r="E166" s="47">
        <f t="shared" si="13"/>
        <v>0</v>
      </c>
      <c r="F166" s="87">
        <v>0</v>
      </c>
      <c r="G166" s="47">
        <f t="shared" si="15"/>
        <v>0</v>
      </c>
      <c r="H166" s="88"/>
      <c r="I166" s="20">
        <v>50</v>
      </c>
      <c r="J166" s="82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178</v>
      </c>
      <c r="C167" s="79">
        <f>+'7'!G167</f>
        <v>0</v>
      </c>
      <c r="D167" s="87">
        <v>0</v>
      </c>
      <c r="E167" s="47">
        <f t="shared" si="13"/>
        <v>0</v>
      </c>
      <c r="F167" s="87">
        <v>0</v>
      </c>
      <c r="G167" s="47">
        <f t="shared" si="15"/>
        <v>0</v>
      </c>
      <c r="H167" s="88"/>
      <c r="I167" s="20">
        <v>50</v>
      </c>
      <c r="J167" s="82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179</v>
      </c>
      <c r="C168" s="79">
        <f>+'7'!G168</f>
        <v>7</v>
      </c>
      <c r="D168" s="87">
        <v>0</v>
      </c>
      <c r="E168" s="47">
        <f t="shared" si="13"/>
        <v>7</v>
      </c>
      <c r="F168" s="87">
        <v>0</v>
      </c>
      <c r="G168" s="47">
        <f t="shared" si="15"/>
        <v>7</v>
      </c>
      <c r="H168" s="88"/>
      <c r="I168" s="20">
        <v>50</v>
      </c>
      <c r="J168" s="82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180</v>
      </c>
      <c r="C169" s="79">
        <f>+'7'!G169</f>
        <v>45</v>
      </c>
      <c r="D169" s="87">
        <v>0</v>
      </c>
      <c r="E169" s="47">
        <f t="shared" si="13"/>
        <v>45</v>
      </c>
      <c r="F169" s="87">
        <v>0</v>
      </c>
      <c r="G169" s="47">
        <f t="shared" si="15"/>
        <v>44</v>
      </c>
      <c r="H169" s="88">
        <v>1</v>
      </c>
      <c r="I169" s="20">
        <v>55</v>
      </c>
      <c r="J169" s="82">
        <f t="shared" si="16"/>
        <v>55</v>
      </c>
      <c r="K169" s="17" t="s">
        <v>16</v>
      </c>
      <c r="L169" s="18">
        <v>0</v>
      </c>
      <c r="M169" s="104">
        <f t="shared" si="14"/>
        <v>55</v>
      </c>
    </row>
    <row r="170" spans="1:13" ht="25.5" x14ac:dyDescent="0.55000000000000004">
      <c r="A170" s="10">
        <v>166</v>
      </c>
      <c r="B170" s="19" t="s">
        <v>181</v>
      </c>
      <c r="C170" s="79">
        <f>+'7'!G170</f>
        <v>0</v>
      </c>
      <c r="D170" s="87">
        <v>0</v>
      </c>
      <c r="E170" s="47">
        <f t="shared" si="13"/>
        <v>0</v>
      </c>
      <c r="F170" s="87">
        <v>0</v>
      </c>
      <c r="G170" s="47">
        <f t="shared" si="15"/>
        <v>0</v>
      </c>
      <c r="H170" s="88"/>
      <c r="I170" s="20">
        <v>85</v>
      </c>
      <c r="J170" s="82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182</v>
      </c>
      <c r="C171" s="79">
        <f>+'7'!G171</f>
        <v>11</v>
      </c>
      <c r="D171" s="87">
        <v>0</v>
      </c>
      <c r="E171" s="47">
        <f t="shared" si="13"/>
        <v>11</v>
      </c>
      <c r="F171" s="87">
        <v>0</v>
      </c>
      <c r="G171" s="47">
        <f t="shared" si="15"/>
        <v>11</v>
      </c>
      <c r="H171" s="88"/>
      <c r="I171" s="20">
        <v>80</v>
      </c>
      <c r="J171" s="82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183</v>
      </c>
      <c r="C172" s="79">
        <f>+'7'!G172</f>
        <v>0</v>
      </c>
      <c r="D172" s="87">
        <v>0</v>
      </c>
      <c r="E172" s="47">
        <f t="shared" si="13"/>
        <v>0</v>
      </c>
      <c r="F172" s="87">
        <v>0</v>
      </c>
      <c r="G172" s="47">
        <f t="shared" si="15"/>
        <v>0</v>
      </c>
      <c r="H172" s="88"/>
      <c r="I172" s="20">
        <v>40</v>
      </c>
      <c r="J172" s="82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184</v>
      </c>
      <c r="C173" s="79">
        <f>+'7'!G173</f>
        <v>0</v>
      </c>
      <c r="D173" s="87">
        <v>0</v>
      </c>
      <c r="E173" s="47">
        <f t="shared" si="13"/>
        <v>0</v>
      </c>
      <c r="F173" s="87">
        <v>0</v>
      </c>
      <c r="G173" s="47">
        <f t="shared" si="15"/>
        <v>0</v>
      </c>
      <c r="H173" s="88"/>
      <c r="I173" s="20">
        <v>120</v>
      </c>
      <c r="J173" s="82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185</v>
      </c>
      <c r="C174" s="79">
        <f>+'7'!G174</f>
        <v>0</v>
      </c>
      <c r="D174" s="87">
        <v>0</v>
      </c>
      <c r="E174" s="47">
        <f t="shared" si="13"/>
        <v>0</v>
      </c>
      <c r="F174" s="87">
        <v>0</v>
      </c>
      <c r="G174" s="47">
        <f t="shared" si="15"/>
        <v>0</v>
      </c>
      <c r="H174" s="88"/>
      <c r="I174" s="20">
        <v>120</v>
      </c>
      <c r="J174" s="82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186</v>
      </c>
      <c r="C175" s="79">
        <f>+'7'!G175</f>
        <v>0</v>
      </c>
      <c r="D175" s="87">
        <v>0</v>
      </c>
      <c r="E175" s="47">
        <f t="shared" si="13"/>
        <v>0</v>
      </c>
      <c r="F175" s="87">
        <v>0</v>
      </c>
      <c r="G175" s="47">
        <f t="shared" si="15"/>
        <v>0</v>
      </c>
      <c r="H175" s="88"/>
      <c r="I175" s="20">
        <v>55</v>
      </c>
      <c r="J175" s="82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187</v>
      </c>
      <c r="C176" s="79">
        <f>+'7'!G176</f>
        <v>0</v>
      </c>
      <c r="D176" s="87">
        <v>0</v>
      </c>
      <c r="E176" s="47">
        <f t="shared" si="13"/>
        <v>0</v>
      </c>
      <c r="F176" s="87">
        <v>0</v>
      </c>
      <c r="G176" s="47">
        <f t="shared" si="15"/>
        <v>0</v>
      </c>
      <c r="H176" s="88"/>
      <c r="I176" s="20">
        <v>50</v>
      </c>
      <c r="J176" s="82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188</v>
      </c>
      <c r="C177" s="79">
        <f>+'7'!G177</f>
        <v>4</v>
      </c>
      <c r="D177" s="87">
        <v>0</v>
      </c>
      <c r="E177" s="47">
        <f t="shared" si="13"/>
        <v>4</v>
      </c>
      <c r="F177" s="87">
        <v>0</v>
      </c>
      <c r="G177" s="47">
        <f t="shared" si="15"/>
        <v>0</v>
      </c>
      <c r="H177" s="88">
        <v>4</v>
      </c>
      <c r="I177" s="20">
        <v>50</v>
      </c>
      <c r="J177" s="82">
        <f t="shared" si="16"/>
        <v>200</v>
      </c>
      <c r="K177" s="17" t="s">
        <v>291</v>
      </c>
      <c r="L177" s="18">
        <v>50</v>
      </c>
      <c r="M177" s="104">
        <f t="shared" si="14"/>
        <v>150</v>
      </c>
    </row>
    <row r="178" spans="1:13" ht="25.5" x14ac:dyDescent="0.55000000000000004">
      <c r="A178" s="10">
        <v>174</v>
      </c>
      <c r="B178" s="19" t="s">
        <v>189</v>
      </c>
      <c r="C178" s="79">
        <f>+'7'!G178</f>
        <v>3</v>
      </c>
      <c r="D178" s="87">
        <v>0</v>
      </c>
      <c r="E178" s="47">
        <f t="shared" si="13"/>
        <v>3</v>
      </c>
      <c r="F178" s="87">
        <v>0</v>
      </c>
      <c r="G178" s="47">
        <f t="shared" si="15"/>
        <v>2</v>
      </c>
      <c r="H178" s="88">
        <v>1</v>
      </c>
      <c r="I178" s="20">
        <v>120</v>
      </c>
      <c r="J178" s="82">
        <f t="shared" si="16"/>
        <v>120</v>
      </c>
      <c r="K178" s="17" t="s">
        <v>16</v>
      </c>
      <c r="L178" s="18">
        <v>0</v>
      </c>
      <c r="M178" s="104">
        <f t="shared" si="14"/>
        <v>120</v>
      </c>
    </row>
    <row r="179" spans="1:13" ht="25.5" x14ac:dyDescent="0.55000000000000004">
      <c r="A179" s="10">
        <v>175</v>
      </c>
      <c r="B179" s="19" t="s">
        <v>190</v>
      </c>
      <c r="C179" s="79">
        <f>+'7'!G179</f>
        <v>0</v>
      </c>
      <c r="D179" s="87">
        <v>0</v>
      </c>
      <c r="E179" s="47">
        <f t="shared" si="13"/>
        <v>0</v>
      </c>
      <c r="F179" s="87">
        <v>0</v>
      </c>
      <c r="G179" s="47">
        <f t="shared" si="15"/>
        <v>0</v>
      </c>
      <c r="H179" s="88"/>
      <c r="I179" s="20">
        <v>120</v>
      </c>
      <c r="J179" s="82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191</v>
      </c>
      <c r="C180" s="79">
        <f>+'7'!G180</f>
        <v>0</v>
      </c>
      <c r="D180" s="87">
        <v>0</v>
      </c>
      <c r="E180" s="47">
        <f t="shared" si="13"/>
        <v>0</v>
      </c>
      <c r="F180" s="87">
        <v>0</v>
      </c>
      <c r="G180" s="47">
        <f t="shared" si="15"/>
        <v>0</v>
      </c>
      <c r="H180" s="88"/>
      <c r="I180" s="20">
        <v>10</v>
      </c>
      <c r="J180" s="82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192</v>
      </c>
      <c r="C181" s="79">
        <f>+'7'!G181</f>
        <v>0</v>
      </c>
      <c r="D181" s="87">
        <v>0</v>
      </c>
      <c r="E181" s="47">
        <f t="shared" si="13"/>
        <v>0</v>
      </c>
      <c r="F181" s="87">
        <v>0</v>
      </c>
      <c r="G181" s="47">
        <f t="shared" si="15"/>
        <v>0</v>
      </c>
      <c r="H181" s="88"/>
      <c r="I181" s="20">
        <v>35</v>
      </c>
      <c r="J181" s="82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193</v>
      </c>
      <c r="C182" s="79">
        <f>+'7'!G182</f>
        <v>0</v>
      </c>
      <c r="D182" s="87">
        <v>0</v>
      </c>
      <c r="E182" s="47">
        <f t="shared" si="13"/>
        <v>0</v>
      </c>
      <c r="F182" s="87">
        <v>0</v>
      </c>
      <c r="G182" s="47">
        <f t="shared" si="15"/>
        <v>0</v>
      </c>
      <c r="H182" s="88"/>
      <c r="I182" s="20">
        <v>10</v>
      </c>
      <c r="J182" s="82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194</v>
      </c>
      <c r="C183" s="79">
        <f>+'7'!G183</f>
        <v>0</v>
      </c>
      <c r="D183" s="87">
        <v>0</v>
      </c>
      <c r="E183" s="47">
        <f t="shared" si="13"/>
        <v>0</v>
      </c>
      <c r="F183" s="87">
        <v>0</v>
      </c>
      <c r="G183" s="47">
        <f t="shared" si="15"/>
        <v>0</v>
      </c>
      <c r="H183" s="88"/>
      <c r="I183" s="20">
        <v>10</v>
      </c>
      <c r="J183" s="82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195</v>
      </c>
      <c r="C184" s="79">
        <f>+'7'!G184</f>
        <v>0</v>
      </c>
      <c r="D184" s="87">
        <v>0</v>
      </c>
      <c r="E184" s="47">
        <f t="shared" si="13"/>
        <v>0</v>
      </c>
      <c r="F184" s="87">
        <v>0</v>
      </c>
      <c r="G184" s="47">
        <f t="shared" si="15"/>
        <v>0</v>
      </c>
      <c r="H184" s="88"/>
      <c r="I184" s="20">
        <v>10</v>
      </c>
      <c r="J184" s="82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196</v>
      </c>
      <c r="C185" s="79">
        <f>+'7'!G185</f>
        <v>0</v>
      </c>
      <c r="D185" s="87">
        <v>0</v>
      </c>
      <c r="E185" s="47">
        <f t="shared" si="13"/>
        <v>0</v>
      </c>
      <c r="F185" s="87">
        <v>0</v>
      </c>
      <c r="G185" s="47">
        <f t="shared" si="15"/>
        <v>0</v>
      </c>
      <c r="H185" s="88"/>
      <c r="I185" s="20">
        <v>10</v>
      </c>
      <c r="J185" s="82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197</v>
      </c>
      <c r="C186" s="79">
        <f>+'7'!G186</f>
        <v>0</v>
      </c>
      <c r="D186" s="87">
        <v>0</v>
      </c>
      <c r="E186" s="47">
        <f t="shared" si="13"/>
        <v>0</v>
      </c>
      <c r="F186" s="87">
        <v>0</v>
      </c>
      <c r="G186" s="47">
        <f t="shared" si="15"/>
        <v>0</v>
      </c>
      <c r="H186" s="88"/>
      <c r="I186" s="20">
        <v>10</v>
      </c>
      <c r="J186" s="82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198</v>
      </c>
      <c r="C187" s="79">
        <f>+'7'!G187</f>
        <v>0</v>
      </c>
      <c r="D187" s="87">
        <v>0</v>
      </c>
      <c r="E187" s="47">
        <f t="shared" si="13"/>
        <v>0</v>
      </c>
      <c r="F187" s="87">
        <v>0</v>
      </c>
      <c r="G187" s="47">
        <f t="shared" si="15"/>
        <v>0</v>
      </c>
      <c r="H187" s="88"/>
      <c r="I187" s="20">
        <v>25</v>
      </c>
      <c r="J187" s="82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249</v>
      </c>
      <c r="C188" s="79">
        <f>+'7'!G188</f>
        <v>0</v>
      </c>
      <c r="D188" s="87">
        <v>0</v>
      </c>
      <c r="E188" s="47">
        <f t="shared" si="13"/>
        <v>0</v>
      </c>
      <c r="F188" s="87">
        <v>0</v>
      </c>
      <c r="G188" s="47">
        <f t="shared" si="15"/>
        <v>0</v>
      </c>
      <c r="H188" s="88"/>
      <c r="I188" s="15">
        <v>50</v>
      </c>
      <c r="J188" s="82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250</v>
      </c>
      <c r="C189" s="79">
        <f>+'7'!G189</f>
        <v>0</v>
      </c>
      <c r="D189" s="87">
        <v>0</v>
      </c>
      <c r="E189" s="47">
        <f t="shared" si="13"/>
        <v>0</v>
      </c>
      <c r="F189" s="87">
        <v>0</v>
      </c>
      <c r="G189" s="47">
        <f t="shared" si="15"/>
        <v>0</v>
      </c>
      <c r="H189" s="88"/>
      <c r="I189" s="15">
        <v>10</v>
      </c>
      <c r="J189" s="82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251</v>
      </c>
      <c r="C190" s="79">
        <f>+'7'!G190</f>
        <v>0</v>
      </c>
      <c r="D190" s="87">
        <v>0</v>
      </c>
      <c r="E190" s="47">
        <f t="shared" ref="E190:E252" si="17">C190+D190</f>
        <v>0</v>
      </c>
      <c r="F190" s="87">
        <v>0</v>
      </c>
      <c r="G190" s="47">
        <f t="shared" si="15"/>
        <v>0</v>
      </c>
      <c r="H190" s="88"/>
      <c r="I190" s="15">
        <v>15</v>
      </c>
      <c r="J190" s="82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252</v>
      </c>
      <c r="C191" s="79">
        <f>+'7'!G191</f>
        <v>0</v>
      </c>
      <c r="D191" s="87">
        <v>0</v>
      </c>
      <c r="E191" s="47">
        <f t="shared" si="17"/>
        <v>0</v>
      </c>
      <c r="F191" s="87">
        <v>0</v>
      </c>
      <c r="G191" s="47">
        <f t="shared" si="15"/>
        <v>0</v>
      </c>
      <c r="H191" s="88"/>
      <c r="I191" s="15">
        <v>25</v>
      </c>
      <c r="J191" s="82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253</v>
      </c>
      <c r="C192" s="79">
        <f>+'7'!G192</f>
        <v>0</v>
      </c>
      <c r="D192" s="87">
        <v>0</v>
      </c>
      <c r="E192" s="47">
        <f t="shared" si="17"/>
        <v>0</v>
      </c>
      <c r="F192" s="87">
        <v>0</v>
      </c>
      <c r="G192" s="47">
        <f t="shared" si="15"/>
        <v>0</v>
      </c>
      <c r="H192" s="88"/>
      <c r="I192" s="15">
        <v>50</v>
      </c>
      <c r="J192" s="82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254</v>
      </c>
      <c r="C193" s="79">
        <f>+'7'!G193</f>
        <v>0</v>
      </c>
      <c r="D193" s="87">
        <v>0</v>
      </c>
      <c r="E193" s="47">
        <f t="shared" si="17"/>
        <v>0</v>
      </c>
      <c r="F193" s="87">
        <v>0</v>
      </c>
      <c r="G193" s="47">
        <f t="shared" si="15"/>
        <v>0</v>
      </c>
      <c r="H193" s="88"/>
      <c r="I193" s="15">
        <v>45</v>
      </c>
      <c r="J193" s="82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255</v>
      </c>
      <c r="C194" s="79">
        <f>+'7'!G194</f>
        <v>0</v>
      </c>
      <c r="D194" s="87">
        <v>0</v>
      </c>
      <c r="E194" s="47">
        <f t="shared" si="17"/>
        <v>0</v>
      </c>
      <c r="F194" s="87">
        <v>0</v>
      </c>
      <c r="G194" s="47">
        <f t="shared" si="15"/>
        <v>0</v>
      </c>
      <c r="H194" s="88"/>
      <c r="I194" s="15">
        <v>50</v>
      </c>
      <c r="J194" s="82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199</v>
      </c>
      <c r="C195" s="79">
        <f>+'7'!G195</f>
        <v>0</v>
      </c>
      <c r="D195" s="87">
        <v>0</v>
      </c>
      <c r="E195" s="47">
        <f t="shared" si="17"/>
        <v>0</v>
      </c>
      <c r="F195" s="87">
        <v>0</v>
      </c>
      <c r="G195" s="47">
        <f t="shared" si="15"/>
        <v>0</v>
      </c>
      <c r="H195" s="88"/>
      <c r="I195" s="15">
        <v>150</v>
      </c>
      <c r="J195" s="82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200</v>
      </c>
      <c r="C196" s="79">
        <f>+'7'!G196</f>
        <v>0</v>
      </c>
      <c r="D196" s="87">
        <v>0</v>
      </c>
      <c r="E196" s="47">
        <f t="shared" si="17"/>
        <v>0</v>
      </c>
      <c r="F196" s="87">
        <v>0</v>
      </c>
      <c r="G196" s="47">
        <f t="shared" si="15"/>
        <v>0</v>
      </c>
      <c r="H196" s="88"/>
      <c r="I196" s="15">
        <v>150</v>
      </c>
      <c r="J196" s="82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201</v>
      </c>
      <c r="C197" s="79">
        <f>+'7'!G197</f>
        <v>0</v>
      </c>
      <c r="D197" s="87">
        <v>0</v>
      </c>
      <c r="E197" s="47">
        <f t="shared" si="17"/>
        <v>0</v>
      </c>
      <c r="F197" s="87">
        <v>0</v>
      </c>
      <c r="G197" s="47">
        <f t="shared" si="15"/>
        <v>0</v>
      </c>
      <c r="H197" s="88"/>
      <c r="I197" s="15">
        <v>150</v>
      </c>
      <c r="J197" s="82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256</v>
      </c>
      <c r="C198" s="79">
        <f>+'7'!G198</f>
        <v>0</v>
      </c>
      <c r="D198" s="87">
        <v>0</v>
      </c>
      <c r="E198" s="47">
        <f t="shared" si="17"/>
        <v>0</v>
      </c>
      <c r="F198" s="87">
        <v>0</v>
      </c>
      <c r="G198" s="47">
        <f t="shared" si="15"/>
        <v>0</v>
      </c>
      <c r="H198" s="88"/>
      <c r="I198" s="15">
        <v>55</v>
      </c>
      <c r="J198" s="82">
        <f t="shared" si="16"/>
        <v>0</v>
      </c>
      <c r="K198" s="17" t="s">
        <v>16</v>
      </c>
      <c r="L198" s="18">
        <v>0</v>
      </c>
      <c r="M198" s="23">
        <f t="shared" si="14"/>
        <v>0</v>
      </c>
    </row>
    <row r="199" spans="1:13" ht="25.5" x14ac:dyDescent="0.55000000000000004">
      <c r="A199" s="10">
        <v>195</v>
      </c>
      <c r="B199" s="19" t="s">
        <v>257</v>
      </c>
      <c r="C199" s="79">
        <f>+'7'!G199</f>
        <v>0</v>
      </c>
      <c r="D199" s="87">
        <v>0</v>
      </c>
      <c r="E199" s="47">
        <f t="shared" si="17"/>
        <v>0</v>
      </c>
      <c r="F199" s="87">
        <v>0</v>
      </c>
      <c r="G199" s="47">
        <f t="shared" si="15"/>
        <v>0</v>
      </c>
      <c r="H199" s="88"/>
      <c r="I199" s="15">
        <v>30</v>
      </c>
      <c r="J199" s="82">
        <f t="shared" si="16"/>
        <v>0</v>
      </c>
      <c r="K199" s="17" t="s">
        <v>16</v>
      </c>
      <c r="L199" s="18">
        <v>0</v>
      </c>
      <c r="M199" s="23">
        <f t="shared" ref="M199:M254" si="18">SUM(J199-L199)</f>
        <v>0</v>
      </c>
    </row>
    <row r="200" spans="1:13" ht="25.5" x14ac:dyDescent="0.55000000000000004">
      <c r="A200" s="10">
        <v>196</v>
      </c>
      <c r="B200" s="19" t="s">
        <v>258</v>
      </c>
      <c r="C200" s="79">
        <f>+'7'!G200</f>
        <v>0</v>
      </c>
      <c r="D200" s="87">
        <v>0</v>
      </c>
      <c r="E200" s="47">
        <f t="shared" si="17"/>
        <v>0</v>
      </c>
      <c r="F200" s="87">
        <v>0</v>
      </c>
      <c r="G200" s="47">
        <f t="shared" si="15"/>
        <v>0</v>
      </c>
      <c r="H200" s="88"/>
      <c r="I200" s="15">
        <v>30</v>
      </c>
      <c r="J200" s="82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259</v>
      </c>
      <c r="C201" s="79">
        <f>+'7'!G201</f>
        <v>0</v>
      </c>
      <c r="D201" s="87">
        <v>0</v>
      </c>
      <c r="E201" s="47">
        <f t="shared" si="17"/>
        <v>0</v>
      </c>
      <c r="F201" s="87">
        <v>0</v>
      </c>
      <c r="G201" s="47">
        <f t="shared" si="15"/>
        <v>0</v>
      </c>
      <c r="H201" s="88"/>
      <c r="I201" s="15">
        <v>30</v>
      </c>
      <c r="J201" s="82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260</v>
      </c>
      <c r="C202" s="79">
        <f>+'7'!G202</f>
        <v>0</v>
      </c>
      <c r="D202" s="87">
        <v>0</v>
      </c>
      <c r="E202" s="47">
        <f t="shared" si="17"/>
        <v>0</v>
      </c>
      <c r="F202" s="87">
        <v>0</v>
      </c>
      <c r="G202" s="47">
        <f t="shared" si="15"/>
        <v>0</v>
      </c>
      <c r="H202" s="88"/>
      <c r="I202" s="15">
        <v>30</v>
      </c>
      <c r="J202" s="82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261</v>
      </c>
      <c r="C203" s="79">
        <f>+'7'!G203</f>
        <v>0</v>
      </c>
      <c r="D203" s="87">
        <v>0</v>
      </c>
      <c r="E203" s="47">
        <f t="shared" si="17"/>
        <v>0</v>
      </c>
      <c r="F203" s="87">
        <v>0</v>
      </c>
      <c r="G203" s="47">
        <f t="shared" si="15"/>
        <v>0</v>
      </c>
      <c r="H203" s="88"/>
      <c r="I203" s="20">
        <v>30</v>
      </c>
      <c r="J203" s="82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262</v>
      </c>
      <c r="C204" s="79">
        <f>+'7'!G204</f>
        <v>0</v>
      </c>
      <c r="D204" s="87">
        <v>0</v>
      </c>
      <c r="E204" s="47">
        <f t="shared" si="17"/>
        <v>0</v>
      </c>
      <c r="F204" s="87">
        <v>0</v>
      </c>
      <c r="G204" s="47">
        <f t="shared" si="15"/>
        <v>0</v>
      </c>
      <c r="H204" s="88"/>
      <c r="I204" s="20">
        <v>30</v>
      </c>
      <c r="J204" s="82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263</v>
      </c>
      <c r="C205" s="79">
        <f>+'7'!G205</f>
        <v>0</v>
      </c>
      <c r="D205" s="87">
        <v>0</v>
      </c>
      <c r="E205" s="47">
        <f t="shared" si="17"/>
        <v>0</v>
      </c>
      <c r="F205" s="87">
        <v>0</v>
      </c>
      <c r="G205" s="47">
        <f t="shared" si="15"/>
        <v>0</v>
      </c>
      <c r="H205" s="88"/>
      <c r="I205" s="20">
        <v>50</v>
      </c>
      <c r="J205" s="82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 t="s">
        <v>264</v>
      </c>
      <c r="C206" s="79">
        <f>+'7'!G206</f>
        <v>0</v>
      </c>
      <c r="D206" s="87">
        <v>0</v>
      </c>
      <c r="E206" s="47">
        <f t="shared" si="17"/>
        <v>0</v>
      </c>
      <c r="F206" s="87">
        <v>0</v>
      </c>
      <c r="G206" s="47">
        <f t="shared" si="15"/>
        <v>0</v>
      </c>
      <c r="H206" s="88"/>
      <c r="I206" s="20">
        <v>100</v>
      </c>
      <c r="J206" s="82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265</v>
      </c>
      <c r="C207" s="79">
        <f>+'7'!G207</f>
        <v>0</v>
      </c>
      <c r="D207" s="87">
        <v>0</v>
      </c>
      <c r="E207" s="47">
        <f t="shared" si="17"/>
        <v>0</v>
      </c>
      <c r="F207" s="87">
        <v>0</v>
      </c>
      <c r="G207" s="47">
        <f t="shared" si="15"/>
        <v>0</v>
      </c>
      <c r="H207" s="88"/>
      <c r="I207" s="20">
        <v>100</v>
      </c>
      <c r="J207" s="82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266</v>
      </c>
      <c r="C208" s="79">
        <f>+'7'!G208</f>
        <v>0</v>
      </c>
      <c r="D208" s="87">
        <v>0</v>
      </c>
      <c r="E208" s="47">
        <f t="shared" si="17"/>
        <v>0</v>
      </c>
      <c r="F208" s="87">
        <v>0</v>
      </c>
      <c r="G208" s="47">
        <f t="shared" si="15"/>
        <v>0</v>
      </c>
      <c r="H208" s="88"/>
      <c r="I208" s="20">
        <v>100</v>
      </c>
      <c r="J208" s="82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 t="s">
        <v>267</v>
      </c>
      <c r="C209" s="79">
        <f>+'7'!G209</f>
        <v>0</v>
      </c>
      <c r="D209" s="87">
        <v>0</v>
      </c>
      <c r="E209" s="47">
        <f t="shared" si="17"/>
        <v>0</v>
      </c>
      <c r="F209" s="87">
        <v>0</v>
      </c>
      <c r="G209" s="47">
        <f t="shared" si="15"/>
        <v>0</v>
      </c>
      <c r="H209" s="88"/>
      <c r="I209" s="20">
        <v>100</v>
      </c>
      <c r="J209" s="82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268</v>
      </c>
      <c r="C210" s="79">
        <f>+'7'!G210</f>
        <v>0</v>
      </c>
      <c r="D210" s="87">
        <v>0</v>
      </c>
      <c r="E210" s="47">
        <f t="shared" si="17"/>
        <v>0</v>
      </c>
      <c r="F210" s="87">
        <v>0</v>
      </c>
      <c r="G210" s="47">
        <f t="shared" si="15"/>
        <v>0</v>
      </c>
      <c r="H210" s="88"/>
      <c r="I210" s="20">
        <v>250</v>
      </c>
      <c r="J210" s="82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 t="s">
        <v>269</v>
      </c>
      <c r="C211" s="79">
        <f>+'7'!G211</f>
        <v>0</v>
      </c>
      <c r="D211" s="87">
        <v>0</v>
      </c>
      <c r="E211" s="47">
        <f t="shared" si="17"/>
        <v>0</v>
      </c>
      <c r="F211" s="87">
        <v>0</v>
      </c>
      <c r="G211" s="47">
        <f t="shared" si="15"/>
        <v>0</v>
      </c>
      <c r="H211" s="88"/>
      <c r="I211" s="20">
        <v>250</v>
      </c>
      <c r="J211" s="82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 t="s">
        <v>270</v>
      </c>
      <c r="C212" s="79">
        <f>+'7'!G212</f>
        <v>0</v>
      </c>
      <c r="D212" s="87">
        <v>0</v>
      </c>
      <c r="E212" s="47">
        <f t="shared" si="17"/>
        <v>0</v>
      </c>
      <c r="F212" s="87">
        <v>0</v>
      </c>
      <c r="G212" s="47">
        <f t="shared" si="15"/>
        <v>0</v>
      </c>
      <c r="H212" s="88"/>
      <c r="I212" s="20">
        <v>250</v>
      </c>
      <c r="J212" s="82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 t="s">
        <v>271</v>
      </c>
      <c r="C213" s="79">
        <f>+'7'!G213</f>
        <v>0</v>
      </c>
      <c r="D213" s="87">
        <v>0</v>
      </c>
      <c r="E213" s="47">
        <f t="shared" si="17"/>
        <v>0</v>
      </c>
      <c r="F213" s="87">
        <v>0</v>
      </c>
      <c r="G213" s="47">
        <f t="shared" si="15"/>
        <v>0</v>
      </c>
      <c r="H213" s="88"/>
      <c r="I213" s="20">
        <v>50</v>
      </c>
      <c r="J213" s="82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 t="s">
        <v>273</v>
      </c>
      <c r="C214" s="79">
        <f>+'7'!G214</f>
        <v>0</v>
      </c>
      <c r="D214" s="87">
        <v>0</v>
      </c>
      <c r="E214" s="47">
        <f t="shared" si="17"/>
        <v>0</v>
      </c>
      <c r="F214" s="87">
        <v>0</v>
      </c>
      <c r="G214" s="47">
        <f t="shared" si="15"/>
        <v>0</v>
      </c>
      <c r="H214" s="88"/>
      <c r="I214" s="20">
        <v>50</v>
      </c>
      <c r="J214" s="82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 t="s">
        <v>274</v>
      </c>
      <c r="C215" s="79">
        <f>+'7'!G215</f>
        <v>0</v>
      </c>
      <c r="D215" s="87">
        <v>0</v>
      </c>
      <c r="E215" s="47">
        <f t="shared" si="17"/>
        <v>0</v>
      </c>
      <c r="F215" s="87">
        <v>0</v>
      </c>
      <c r="G215" s="47">
        <f t="shared" si="15"/>
        <v>0</v>
      </c>
      <c r="H215" s="88"/>
      <c r="I215" s="20">
        <v>50</v>
      </c>
      <c r="J215" s="82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 t="s">
        <v>242</v>
      </c>
      <c r="C216" s="79">
        <f>+'7'!G216</f>
        <v>0</v>
      </c>
      <c r="D216" s="87">
        <v>0</v>
      </c>
      <c r="E216" s="47">
        <f t="shared" si="17"/>
        <v>0</v>
      </c>
      <c r="F216" s="87">
        <v>0</v>
      </c>
      <c r="G216" s="47">
        <f t="shared" si="15"/>
        <v>0</v>
      </c>
      <c r="H216" s="88"/>
      <c r="I216" s="20">
        <v>35</v>
      </c>
      <c r="J216" s="82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 t="s">
        <v>275</v>
      </c>
      <c r="C217" s="79">
        <f>+'7'!G217</f>
        <v>0</v>
      </c>
      <c r="D217" s="87">
        <v>0</v>
      </c>
      <c r="E217" s="47">
        <f t="shared" si="17"/>
        <v>0</v>
      </c>
      <c r="F217" s="87">
        <v>0</v>
      </c>
      <c r="G217" s="47">
        <f t="shared" si="15"/>
        <v>0</v>
      </c>
      <c r="H217" s="88"/>
      <c r="I217" s="20">
        <v>199</v>
      </c>
      <c r="J217" s="82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 t="s">
        <v>283</v>
      </c>
      <c r="C218" s="79"/>
      <c r="D218" s="87">
        <v>0</v>
      </c>
      <c r="E218" s="47">
        <f t="shared" si="17"/>
        <v>0</v>
      </c>
      <c r="F218" s="87">
        <v>0</v>
      </c>
      <c r="G218" s="47">
        <f t="shared" si="15"/>
        <v>0</v>
      </c>
      <c r="H218" s="88"/>
      <c r="I218" s="20">
        <v>25</v>
      </c>
      <c r="J218" s="82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 t="s">
        <v>284</v>
      </c>
      <c r="C219" s="79"/>
      <c r="D219" s="87">
        <v>0</v>
      </c>
      <c r="E219" s="47">
        <f t="shared" si="17"/>
        <v>0</v>
      </c>
      <c r="F219" s="87">
        <v>0</v>
      </c>
      <c r="G219" s="47">
        <f t="shared" si="15"/>
        <v>0</v>
      </c>
      <c r="H219" s="88"/>
      <c r="I219" s="20">
        <v>25</v>
      </c>
      <c r="J219" s="82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 t="s">
        <v>314</v>
      </c>
      <c r="C220" s="79">
        <f>+'7'!G220</f>
        <v>-3</v>
      </c>
      <c r="D220" s="87">
        <v>0</v>
      </c>
      <c r="E220" s="47">
        <f t="shared" si="17"/>
        <v>-3</v>
      </c>
      <c r="F220" s="87">
        <v>0</v>
      </c>
      <c r="G220" s="47">
        <f t="shared" si="15"/>
        <v>-3</v>
      </c>
      <c r="H220" s="88"/>
      <c r="I220" s="20">
        <v>35</v>
      </c>
      <c r="J220" s="82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 t="s">
        <v>326</v>
      </c>
      <c r="C221" s="79">
        <f>+'7'!G221</f>
        <v>0</v>
      </c>
      <c r="D221" s="87">
        <v>0</v>
      </c>
      <c r="E221" s="47">
        <f t="shared" si="17"/>
        <v>0</v>
      </c>
      <c r="F221" s="87">
        <v>0</v>
      </c>
      <c r="G221" s="47">
        <f t="shared" si="15"/>
        <v>0</v>
      </c>
      <c r="H221" s="88"/>
      <c r="I221" s="20">
        <v>55</v>
      </c>
      <c r="J221" s="82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 t="s">
        <v>327</v>
      </c>
      <c r="C222" s="79">
        <f>+'7'!G222</f>
        <v>0</v>
      </c>
      <c r="D222" s="87">
        <v>0</v>
      </c>
      <c r="E222" s="47">
        <f t="shared" si="17"/>
        <v>0</v>
      </c>
      <c r="F222" s="87">
        <v>0</v>
      </c>
      <c r="G222" s="47">
        <f t="shared" si="15"/>
        <v>0</v>
      </c>
      <c r="H222" s="88"/>
      <c r="I222" s="20">
        <v>40</v>
      </c>
      <c r="J222" s="82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/>
      <c r="C223" s="79">
        <f>+'7'!G223</f>
        <v>0</v>
      </c>
      <c r="D223" s="87">
        <v>0</v>
      </c>
      <c r="E223" s="47">
        <f t="shared" si="17"/>
        <v>0</v>
      </c>
      <c r="F223" s="87">
        <v>0</v>
      </c>
      <c r="G223" s="47">
        <f t="shared" si="15"/>
        <v>0</v>
      </c>
      <c r="H223" s="88"/>
      <c r="I223" s="20"/>
      <c r="J223" s="82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79">
        <f>+'7'!G224</f>
        <v>0</v>
      </c>
      <c r="D224" s="87">
        <v>0</v>
      </c>
      <c r="E224" s="47">
        <f t="shared" si="17"/>
        <v>0</v>
      </c>
      <c r="F224" s="87">
        <v>0</v>
      </c>
      <c r="G224" s="47">
        <f t="shared" si="15"/>
        <v>0</v>
      </c>
      <c r="H224" s="88"/>
      <c r="I224" s="20"/>
      <c r="J224" s="82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+'7'!G225</f>
        <v>0</v>
      </c>
      <c r="D225" s="87">
        <v>0</v>
      </c>
      <c r="E225" s="47">
        <f t="shared" si="17"/>
        <v>0</v>
      </c>
      <c r="F225" s="87">
        <v>0</v>
      </c>
      <c r="G225" s="47">
        <f t="shared" si="15"/>
        <v>0</v>
      </c>
      <c r="H225" s="88"/>
      <c r="I225" s="20"/>
      <c r="J225" s="82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+'7'!G226</f>
        <v>0</v>
      </c>
      <c r="D226" s="87">
        <v>0</v>
      </c>
      <c r="E226" s="47">
        <f t="shared" si="17"/>
        <v>0</v>
      </c>
      <c r="F226" s="87">
        <v>0</v>
      </c>
      <c r="G226" s="47">
        <f t="shared" si="15"/>
        <v>0</v>
      </c>
      <c r="H226" s="88"/>
      <c r="I226" s="20"/>
      <c r="J226" s="82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+'7'!G227</f>
        <v>0</v>
      </c>
      <c r="D227" s="87">
        <v>0</v>
      </c>
      <c r="E227" s="47">
        <f t="shared" si="17"/>
        <v>0</v>
      </c>
      <c r="F227" s="87">
        <v>0</v>
      </c>
      <c r="G227" s="47">
        <f t="shared" si="15"/>
        <v>0</v>
      </c>
      <c r="H227" s="88"/>
      <c r="I227" s="20"/>
      <c r="J227" s="82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+'7'!G228</f>
        <v>0</v>
      </c>
      <c r="D228" s="87">
        <v>0</v>
      </c>
      <c r="E228" s="47">
        <f t="shared" si="17"/>
        <v>0</v>
      </c>
      <c r="F228" s="87">
        <v>0</v>
      </c>
      <c r="G228" s="47">
        <f t="shared" ref="G228:G254" si="19">+E228-F228-H228</f>
        <v>0</v>
      </c>
      <c r="H228" s="88"/>
      <c r="I228" s="20"/>
      <c r="J228" s="82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+'7'!G229</f>
        <v>0</v>
      </c>
      <c r="D229" s="87">
        <v>0</v>
      </c>
      <c r="E229" s="47">
        <f t="shared" si="17"/>
        <v>0</v>
      </c>
      <c r="F229" s="87">
        <v>0</v>
      </c>
      <c r="G229" s="47">
        <f t="shared" si="19"/>
        <v>0</v>
      </c>
      <c r="H229" s="88"/>
      <c r="I229" s="20"/>
      <c r="J229" s="82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+'7'!G230</f>
        <v>0</v>
      </c>
      <c r="D230" s="87">
        <v>0</v>
      </c>
      <c r="E230" s="47">
        <f t="shared" si="17"/>
        <v>0</v>
      </c>
      <c r="F230" s="87">
        <v>0</v>
      </c>
      <c r="G230" s="47">
        <f t="shared" si="19"/>
        <v>0</v>
      </c>
      <c r="H230" s="88"/>
      <c r="I230" s="20"/>
      <c r="J230" s="82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+'7'!G231</f>
        <v>0</v>
      </c>
      <c r="D231" s="87">
        <v>0</v>
      </c>
      <c r="E231" s="47">
        <f t="shared" si="17"/>
        <v>0</v>
      </c>
      <c r="F231" s="87">
        <v>0</v>
      </c>
      <c r="G231" s="47">
        <f t="shared" si="19"/>
        <v>0</v>
      </c>
      <c r="H231" s="88"/>
      <c r="I231" s="20"/>
      <c r="J231" s="82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+'7'!G232</f>
        <v>0</v>
      </c>
      <c r="D232" s="87">
        <v>0</v>
      </c>
      <c r="E232" s="47">
        <f t="shared" si="17"/>
        <v>0</v>
      </c>
      <c r="F232" s="87">
        <v>0</v>
      </c>
      <c r="G232" s="47">
        <f t="shared" si="19"/>
        <v>0</v>
      </c>
      <c r="H232" s="88"/>
      <c r="I232" s="20"/>
      <c r="J232" s="82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+'7'!G233</f>
        <v>0</v>
      </c>
      <c r="D233" s="87">
        <v>0</v>
      </c>
      <c r="E233" s="47">
        <f t="shared" si="17"/>
        <v>0</v>
      </c>
      <c r="F233" s="87">
        <v>0</v>
      </c>
      <c r="G233" s="47">
        <f t="shared" si="19"/>
        <v>0</v>
      </c>
      <c r="H233" s="88"/>
      <c r="I233" s="20"/>
      <c r="J233" s="82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+'7'!G234</f>
        <v>0</v>
      </c>
      <c r="D234" s="87">
        <v>0</v>
      </c>
      <c r="E234" s="47">
        <f t="shared" si="17"/>
        <v>0</v>
      </c>
      <c r="F234" s="87">
        <v>0</v>
      </c>
      <c r="G234" s="47">
        <f t="shared" si="19"/>
        <v>0</v>
      </c>
      <c r="H234" s="88"/>
      <c r="I234" s="20"/>
      <c r="J234" s="82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+'7'!G235</f>
        <v>0</v>
      </c>
      <c r="D235" s="87">
        <v>0</v>
      </c>
      <c r="E235" s="47">
        <f t="shared" si="17"/>
        <v>0</v>
      </c>
      <c r="F235" s="87">
        <v>0</v>
      </c>
      <c r="G235" s="47">
        <f t="shared" si="19"/>
        <v>0</v>
      </c>
      <c r="H235" s="88"/>
      <c r="I235" s="20"/>
      <c r="J235" s="82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+'7'!G236</f>
        <v>0</v>
      </c>
      <c r="D236" s="87">
        <v>0</v>
      </c>
      <c r="E236" s="47">
        <f t="shared" si="17"/>
        <v>0</v>
      </c>
      <c r="F236" s="87">
        <v>0</v>
      </c>
      <c r="G236" s="47">
        <f t="shared" si="19"/>
        <v>0</v>
      </c>
      <c r="H236" s="88"/>
      <c r="I236" s="20"/>
      <c r="J236" s="82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+'7'!G237</f>
        <v>0</v>
      </c>
      <c r="D237" s="87">
        <v>0</v>
      </c>
      <c r="E237" s="47">
        <f t="shared" si="17"/>
        <v>0</v>
      </c>
      <c r="F237" s="87">
        <v>0</v>
      </c>
      <c r="G237" s="47">
        <f t="shared" si="19"/>
        <v>0</v>
      </c>
      <c r="H237" s="88"/>
      <c r="I237" s="20"/>
      <c r="J237" s="82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+'7'!G238</f>
        <v>0</v>
      </c>
      <c r="D238" s="87">
        <v>0</v>
      </c>
      <c r="E238" s="47">
        <f t="shared" si="17"/>
        <v>0</v>
      </c>
      <c r="F238" s="87">
        <v>0</v>
      </c>
      <c r="G238" s="47">
        <f t="shared" si="19"/>
        <v>0</v>
      </c>
      <c r="H238" s="88"/>
      <c r="I238" s="20"/>
      <c r="J238" s="82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+'7'!G239</f>
        <v>0</v>
      </c>
      <c r="D239" s="87">
        <v>0</v>
      </c>
      <c r="E239" s="47">
        <f t="shared" si="17"/>
        <v>0</v>
      </c>
      <c r="F239" s="87">
        <v>0</v>
      </c>
      <c r="G239" s="47">
        <f t="shared" si="19"/>
        <v>0</v>
      </c>
      <c r="H239" s="88"/>
      <c r="I239" s="20"/>
      <c r="J239" s="82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+'7'!G240</f>
        <v>0</v>
      </c>
      <c r="D240" s="87">
        <v>0</v>
      </c>
      <c r="E240" s="47">
        <f t="shared" si="17"/>
        <v>0</v>
      </c>
      <c r="F240" s="87">
        <v>0</v>
      </c>
      <c r="G240" s="47">
        <f t="shared" si="19"/>
        <v>0</v>
      </c>
      <c r="H240" s="88"/>
      <c r="I240" s="20"/>
      <c r="J240" s="82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+'7'!G241</f>
        <v>0</v>
      </c>
      <c r="D241" s="87">
        <v>0</v>
      </c>
      <c r="E241" s="47">
        <f t="shared" si="17"/>
        <v>0</v>
      </c>
      <c r="F241" s="87">
        <v>0</v>
      </c>
      <c r="G241" s="47">
        <f t="shared" si="19"/>
        <v>0</v>
      </c>
      <c r="H241" s="88"/>
      <c r="I241" s="20"/>
      <c r="J241" s="82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+'7'!G242</f>
        <v>0</v>
      </c>
      <c r="D242" s="87">
        <v>0</v>
      </c>
      <c r="E242" s="47">
        <f t="shared" si="17"/>
        <v>0</v>
      </c>
      <c r="F242" s="87">
        <v>0</v>
      </c>
      <c r="G242" s="47">
        <f t="shared" si="19"/>
        <v>0</v>
      </c>
      <c r="H242" s="88"/>
      <c r="I242" s="20"/>
      <c r="J242" s="82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+'7'!G243</f>
        <v>0</v>
      </c>
      <c r="D243" s="87">
        <v>0</v>
      </c>
      <c r="E243" s="47">
        <f t="shared" si="17"/>
        <v>0</v>
      </c>
      <c r="F243" s="87">
        <v>0</v>
      </c>
      <c r="G243" s="47">
        <f t="shared" si="19"/>
        <v>0</v>
      </c>
      <c r="H243" s="88"/>
      <c r="I243" s="20"/>
      <c r="J243" s="82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+'7'!G244</f>
        <v>0</v>
      </c>
      <c r="D244" s="87">
        <v>0</v>
      </c>
      <c r="E244" s="47">
        <f t="shared" si="17"/>
        <v>0</v>
      </c>
      <c r="F244" s="87">
        <v>0</v>
      </c>
      <c r="G244" s="47">
        <f t="shared" si="19"/>
        <v>0</v>
      </c>
      <c r="H244" s="88"/>
      <c r="I244" s="20"/>
      <c r="J244" s="82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+'7'!G245</f>
        <v>0</v>
      </c>
      <c r="D245" s="87">
        <v>0</v>
      </c>
      <c r="E245" s="47">
        <f t="shared" si="17"/>
        <v>0</v>
      </c>
      <c r="F245" s="87">
        <v>0</v>
      </c>
      <c r="G245" s="47">
        <f t="shared" si="19"/>
        <v>0</v>
      </c>
      <c r="H245" s="88"/>
      <c r="I245" s="20"/>
      <c r="J245" s="82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+'7'!G246</f>
        <v>0</v>
      </c>
      <c r="D246" s="87">
        <v>0</v>
      </c>
      <c r="E246" s="47">
        <f t="shared" si="17"/>
        <v>0</v>
      </c>
      <c r="F246" s="87">
        <v>0</v>
      </c>
      <c r="G246" s="47">
        <f t="shared" si="19"/>
        <v>0</v>
      </c>
      <c r="H246" s="88"/>
      <c r="I246" s="20"/>
      <c r="J246" s="82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+'7'!G247</f>
        <v>0</v>
      </c>
      <c r="D247" s="87">
        <v>0</v>
      </c>
      <c r="E247" s="47">
        <f t="shared" si="17"/>
        <v>0</v>
      </c>
      <c r="F247" s="87">
        <v>0</v>
      </c>
      <c r="G247" s="47">
        <f t="shared" si="19"/>
        <v>0</v>
      </c>
      <c r="H247" s="88"/>
      <c r="I247" s="20"/>
      <c r="J247" s="82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+'7'!G248</f>
        <v>0</v>
      </c>
      <c r="D248" s="87">
        <v>0</v>
      </c>
      <c r="E248" s="47">
        <f t="shared" si="17"/>
        <v>0</v>
      </c>
      <c r="F248" s="87">
        <v>0</v>
      </c>
      <c r="G248" s="47">
        <f t="shared" si="19"/>
        <v>0</v>
      </c>
      <c r="H248" s="88"/>
      <c r="I248" s="20"/>
      <c r="J248" s="82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+'7'!G249</f>
        <v>0</v>
      </c>
      <c r="D249" s="87">
        <v>0</v>
      </c>
      <c r="E249" s="47">
        <f t="shared" si="17"/>
        <v>0</v>
      </c>
      <c r="F249" s="87">
        <v>0</v>
      </c>
      <c r="G249" s="47">
        <f t="shared" si="19"/>
        <v>0</v>
      </c>
      <c r="H249" s="88"/>
      <c r="I249" s="20"/>
      <c r="J249" s="82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+'7'!G250</f>
        <v>0</v>
      </c>
      <c r="D250" s="87">
        <v>0</v>
      </c>
      <c r="E250" s="47">
        <f t="shared" si="17"/>
        <v>0</v>
      </c>
      <c r="F250" s="87">
        <v>0</v>
      </c>
      <c r="G250" s="47">
        <f t="shared" si="19"/>
        <v>0</v>
      </c>
      <c r="H250" s="88"/>
      <c r="I250" s="20"/>
      <c r="J250" s="82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+'7'!G251</f>
        <v>0</v>
      </c>
      <c r="D251" s="87">
        <v>0</v>
      </c>
      <c r="E251" s="47">
        <f t="shared" si="17"/>
        <v>0</v>
      </c>
      <c r="F251" s="87">
        <v>0</v>
      </c>
      <c r="G251" s="47">
        <f t="shared" si="19"/>
        <v>0</v>
      </c>
      <c r="H251" s="88"/>
      <c r="I251" s="20"/>
      <c r="J251" s="82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+'7'!G252</f>
        <v>0</v>
      </c>
      <c r="D252" s="87">
        <v>0</v>
      </c>
      <c r="E252" s="47">
        <f t="shared" si="17"/>
        <v>0</v>
      </c>
      <c r="F252" s="87">
        <v>0</v>
      </c>
      <c r="G252" s="47">
        <f t="shared" si="19"/>
        <v>0</v>
      </c>
      <c r="H252" s="88"/>
      <c r="I252" s="20"/>
      <c r="J252" s="82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+'7'!G253</f>
        <v>0</v>
      </c>
      <c r="D253" s="87">
        <v>0</v>
      </c>
      <c r="E253" s="47">
        <f t="shared" ref="E253:E254" si="21">C253+D253</f>
        <v>0</v>
      </c>
      <c r="F253" s="87">
        <v>0</v>
      </c>
      <c r="G253" s="47">
        <f t="shared" si="19"/>
        <v>0</v>
      </c>
      <c r="H253" s="88"/>
      <c r="I253" s="20"/>
      <c r="J253" s="82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+'7'!G254</f>
        <v>0</v>
      </c>
      <c r="D254" s="87">
        <v>0</v>
      </c>
      <c r="E254" s="47">
        <f t="shared" si="21"/>
        <v>0</v>
      </c>
      <c r="F254" s="87">
        <v>0</v>
      </c>
      <c r="G254" s="47">
        <f t="shared" si="19"/>
        <v>0</v>
      </c>
      <c r="H254" s="88"/>
      <c r="I254" s="20"/>
      <c r="J254" s="82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3785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3" t="s">
        <v>213</v>
      </c>
      <c r="N255" s="143"/>
    </row>
    <row r="256" spans="1:14" ht="25.5" customHeight="1" x14ac:dyDescent="0.5">
      <c r="A256" s="1"/>
      <c r="C256" s="24"/>
      <c r="D256" s="25"/>
      <c r="E256" s="24"/>
      <c r="F256" s="25"/>
      <c r="G256" s="24"/>
      <c r="H256" s="148" t="s">
        <v>212</v>
      </c>
      <c r="I256" s="149"/>
      <c r="J256" s="30">
        <f>+X138</f>
        <v>0</v>
      </c>
      <c r="K256" s="27"/>
      <c r="L256" s="29"/>
    </row>
    <row r="257" spans="1:17" ht="25.5" x14ac:dyDescent="0.55000000000000004">
      <c r="A257" s="1"/>
      <c r="C257" s="31"/>
      <c r="E257" s="31"/>
      <c r="G257" s="31"/>
      <c r="H257" s="32"/>
      <c r="I257" s="150" t="s">
        <v>202</v>
      </c>
      <c r="J257" s="150"/>
      <c r="K257" s="33">
        <f>SUM(J5:J256)</f>
        <v>4175</v>
      </c>
    </row>
    <row r="258" spans="1:17" ht="25.5" x14ac:dyDescent="0.55000000000000004">
      <c r="A258" s="1"/>
      <c r="C258" s="31"/>
      <c r="E258" s="31"/>
      <c r="G258" s="31"/>
      <c r="I258" s="140" t="s">
        <v>203</v>
      </c>
      <c r="J258" s="141"/>
      <c r="K258" s="36">
        <v>15</v>
      </c>
    </row>
    <row r="259" spans="1:17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1550</v>
      </c>
      <c r="L259" s="2">
        <v>255</v>
      </c>
      <c r="M259" s="2">
        <v>440</v>
      </c>
      <c r="N259" s="2">
        <v>600</v>
      </c>
      <c r="O259" s="2">
        <v>55</v>
      </c>
      <c r="P259" s="2">
        <v>100</v>
      </c>
      <c r="Q259" s="2">
        <v>100</v>
      </c>
    </row>
    <row r="260" spans="1:17" ht="25.5" x14ac:dyDescent="0.55000000000000004">
      <c r="A260" s="1"/>
      <c r="C260" s="31"/>
      <c r="E260" s="31"/>
      <c r="G260" s="31"/>
      <c r="I260" s="140" t="s">
        <v>205</v>
      </c>
      <c r="J260" s="141"/>
      <c r="K260" s="36">
        <v>0</v>
      </c>
    </row>
    <row r="261" spans="1:17" ht="25.5" x14ac:dyDescent="0.55000000000000004">
      <c r="A261" s="1"/>
      <c r="C261" s="31"/>
      <c r="E261" s="31"/>
      <c r="G261" s="31"/>
      <c r="I261" s="140" t="s">
        <v>206</v>
      </c>
      <c r="J261" s="141"/>
      <c r="K261" s="36">
        <v>0</v>
      </c>
    </row>
    <row r="262" spans="1:17" ht="25.5" x14ac:dyDescent="0.55000000000000004">
      <c r="A262" s="1"/>
      <c r="C262" s="31"/>
      <c r="E262" s="31"/>
      <c r="G262" s="31"/>
      <c r="I262" s="140" t="s">
        <v>207</v>
      </c>
      <c r="J262" s="141"/>
      <c r="K262" s="37">
        <f>SUM(L5:L255)</f>
        <v>390</v>
      </c>
    </row>
    <row r="263" spans="1:17" ht="25.5" x14ac:dyDescent="0.55000000000000004">
      <c r="A263" s="1"/>
      <c r="C263" s="31"/>
      <c r="E263" s="31"/>
      <c r="G263" s="31"/>
      <c r="I263" s="140" t="s">
        <v>208</v>
      </c>
      <c r="J263" s="141"/>
      <c r="K263" s="33">
        <f>K257-K258-K259-K261-K262</f>
        <v>2220</v>
      </c>
    </row>
    <row r="264" spans="1:17" ht="25.5" x14ac:dyDescent="0.55000000000000004">
      <c r="A264" s="1"/>
      <c r="C264" s="31"/>
      <c r="E264" s="31"/>
      <c r="G264" s="31"/>
      <c r="I264" s="140" t="s">
        <v>209</v>
      </c>
      <c r="J264" s="141"/>
      <c r="K264" s="37">
        <v>2220</v>
      </c>
    </row>
    <row r="265" spans="1:17" ht="25.5" x14ac:dyDescent="0.55000000000000004">
      <c r="A265" s="1"/>
      <c r="C265" s="31"/>
      <c r="E265" s="31"/>
      <c r="G265" s="31"/>
      <c r="I265" s="140" t="s">
        <v>210</v>
      </c>
      <c r="J265" s="141"/>
      <c r="K265" s="33">
        <f>+K264-K263</f>
        <v>0</v>
      </c>
    </row>
    <row r="266" spans="1:17" ht="25.5" x14ac:dyDescent="0.55000000000000004">
      <c r="G266" s="2"/>
      <c r="I266" s="140" t="s">
        <v>211</v>
      </c>
      <c r="J266" s="141"/>
      <c r="K266" s="33">
        <f>+K264-K263</f>
        <v>0</v>
      </c>
    </row>
    <row r="267" spans="1:17" x14ac:dyDescent="0.5">
      <c r="G267" s="2"/>
      <c r="I267" s="2"/>
    </row>
    <row r="268" spans="1:17" ht="25.5" x14ac:dyDescent="0.55000000000000004">
      <c r="G268" s="2"/>
      <c r="I268" s="105" t="s">
        <v>312</v>
      </c>
    </row>
    <row r="269" spans="1:17" x14ac:dyDescent="0.5">
      <c r="G269" s="2"/>
      <c r="I269" s="2"/>
    </row>
    <row r="270" spans="1:17" x14ac:dyDescent="0.5">
      <c r="G270" s="2"/>
      <c r="I270" s="2"/>
    </row>
    <row r="271" spans="1:17" x14ac:dyDescent="0.5">
      <c r="G271" s="2"/>
      <c r="I271" s="2"/>
    </row>
    <row r="272" spans="1:17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>
    <tabColor theme="7" tint="-0.249977111117893"/>
  </sheetPr>
  <dimension ref="A1:AB341"/>
  <sheetViews>
    <sheetView zoomScaleNormal="100" workbookViewId="0">
      <pane xSplit="7" ySplit="4" topLeftCell="H257" activePane="bottomRight" state="frozen"/>
      <selection activeCell="B20" sqref="B20"/>
      <selection pane="topRight" activeCell="B20" sqref="B20"/>
      <selection pane="bottomLeft" activeCell="B20" sqref="B20"/>
      <selection pane="bottomRight" activeCell="B20" sqref="B20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8" x14ac:dyDescent="0.5">
      <c r="A1" s="1"/>
      <c r="G1" s="2"/>
      <c r="I1" s="2"/>
    </row>
    <row r="2" spans="1:28" s="3" customFormat="1" ht="29.25" x14ac:dyDescent="0.6">
      <c r="A2" s="137" t="s">
        <v>247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8" s="5" customFormat="1" ht="26.25" x14ac:dyDescent="0.55000000000000004">
      <c r="A3" s="139" t="s">
        <v>1</v>
      </c>
      <c r="B3" s="151" t="s">
        <v>2</v>
      </c>
      <c r="C3" s="139" t="s">
        <v>3</v>
      </c>
      <c r="D3" s="139" t="s">
        <v>4</v>
      </c>
      <c r="E3" s="139" t="s">
        <v>5</v>
      </c>
      <c r="F3" s="85" t="s">
        <v>6</v>
      </c>
      <c r="G3" s="139" t="s">
        <v>7</v>
      </c>
      <c r="H3" s="142" t="s">
        <v>8</v>
      </c>
      <c r="I3" s="142"/>
      <c r="J3" s="142"/>
      <c r="K3" s="139" t="s">
        <v>9</v>
      </c>
      <c r="L3" s="144" t="s">
        <v>10</v>
      </c>
      <c r="O3" s="139" t="s">
        <v>1</v>
      </c>
      <c r="P3" s="139" t="s">
        <v>2</v>
      </c>
      <c r="Q3" s="139" t="s">
        <v>3</v>
      </c>
      <c r="R3" s="139" t="s">
        <v>4</v>
      </c>
      <c r="S3" s="139" t="s">
        <v>5</v>
      </c>
      <c r="T3" s="85" t="s">
        <v>6</v>
      </c>
      <c r="U3" s="139" t="s">
        <v>7</v>
      </c>
      <c r="V3" s="142" t="s">
        <v>8</v>
      </c>
      <c r="W3" s="142"/>
      <c r="X3" s="142"/>
      <c r="Y3" s="139" t="s">
        <v>9</v>
      </c>
      <c r="Z3" s="144" t="s">
        <v>10</v>
      </c>
    </row>
    <row r="4" spans="1:28" s="5" customFormat="1" ht="26.25" x14ac:dyDescent="0.55000000000000004">
      <c r="A4" s="139"/>
      <c r="B4" s="151"/>
      <c r="C4" s="139"/>
      <c r="D4" s="139"/>
      <c r="E4" s="139"/>
      <c r="F4" s="85" t="s">
        <v>11</v>
      </c>
      <c r="G4" s="139"/>
      <c r="H4" s="85" t="s">
        <v>12</v>
      </c>
      <c r="I4" s="86" t="s">
        <v>13</v>
      </c>
      <c r="J4" s="85" t="s">
        <v>14</v>
      </c>
      <c r="K4" s="139"/>
      <c r="L4" s="144"/>
      <c r="O4" s="139"/>
      <c r="P4" s="139"/>
      <c r="Q4" s="139"/>
      <c r="R4" s="139"/>
      <c r="S4" s="139"/>
      <c r="T4" s="85" t="s">
        <v>11</v>
      </c>
      <c r="U4" s="139"/>
      <c r="V4" s="85" t="s">
        <v>12</v>
      </c>
      <c r="W4" s="86" t="s">
        <v>13</v>
      </c>
      <c r="X4" s="85" t="s">
        <v>14</v>
      </c>
      <c r="Y4" s="139"/>
      <c r="Z4" s="144"/>
      <c r="AB4" s="5" t="s">
        <v>2</v>
      </c>
    </row>
    <row r="5" spans="1:28" ht="25.5" x14ac:dyDescent="0.55000000000000004">
      <c r="A5" s="10">
        <v>1</v>
      </c>
      <c r="B5" s="19" t="s">
        <v>15</v>
      </c>
      <c r="C5" s="79">
        <f>+'8'!G5</f>
        <v>6</v>
      </c>
      <c r="D5" s="87">
        <v>0</v>
      </c>
      <c r="E5" s="47">
        <f t="shared" ref="E5:E125" si="0">C5+D5</f>
        <v>6</v>
      </c>
      <c r="F5" s="87">
        <v>0</v>
      </c>
      <c r="G5" s="47">
        <f>+E5-F5-H5</f>
        <v>6</v>
      </c>
      <c r="H5" s="88"/>
      <c r="I5" s="15">
        <v>50</v>
      </c>
      <c r="J5" s="8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7">
        <v>0</v>
      </c>
      <c r="S5" s="47">
        <f t="shared" ref="S5:S14" si="1">Q5+R5</f>
        <v>0</v>
      </c>
      <c r="T5" s="87">
        <v>0</v>
      </c>
      <c r="U5" s="47">
        <f t="shared" ref="U5:U14" si="2">S5-T5-V5</f>
        <v>0</v>
      </c>
      <c r="V5" s="88">
        <v>0</v>
      </c>
      <c r="W5" s="22"/>
      <c r="X5" s="44">
        <f t="shared" ref="X5:X14" si="3">V5*W5</f>
        <v>0</v>
      </c>
      <c r="Y5" s="17" t="s">
        <v>16</v>
      </c>
      <c r="Z5" s="18">
        <v>0</v>
      </c>
      <c r="AB5" s="2" t="s">
        <v>317</v>
      </c>
    </row>
    <row r="6" spans="1:28" ht="25.5" x14ac:dyDescent="0.55000000000000004">
      <c r="A6" s="10">
        <v>2</v>
      </c>
      <c r="B6" s="19" t="s">
        <v>17</v>
      </c>
      <c r="C6" s="79">
        <f>+'8'!G6</f>
        <v>11</v>
      </c>
      <c r="D6" s="87">
        <v>0</v>
      </c>
      <c r="E6" s="47">
        <f t="shared" si="0"/>
        <v>11</v>
      </c>
      <c r="F6" s="87">
        <v>0</v>
      </c>
      <c r="G6" s="47">
        <f t="shared" ref="G6:G100" si="4">+E6-F6-H6</f>
        <v>10</v>
      </c>
      <c r="H6" s="88">
        <v>1</v>
      </c>
      <c r="I6" s="15">
        <v>100</v>
      </c>
      <c r="J6" s="82">
        <f t="shared" ref="J6:J100" si="5">+I6*H6</f>
        <v>100</v>
      </c>
      <c r="K6" s="17" t="s">
        <v>16</v>
      </c>
      <c r="L6" s="18">
        <v>0</v>
      </c>
      <c r="M6" s="23">
        <f t="shared" ref="M6:M69" si="6">SUM(J6-L6)</f>
        <v>100</v>
      </c>
      <c r="O6" s="10">
        <v>2</v>
      </c>
      <c r="P6" s="19"/>
      <c r="Q6" s="47">
        <v>0</v>
      </c>
      <c r="R6" s="87">
        <v>0</v>
      </c>
      <c r="S6" s="47">
        <f t="shared" si="1"/>
        <v>0</v>
      </c>
      <c r="T6" s="87">
        <v>0</v>
      </c>
      <c r="U6" s="47">
        <f t="shared" si="2"/>
        <v>0</v>
      </c>
      <c r="V6" s="88">
        <v>0</v>
      </c>
      <c r="W6" s="22"/>
      <c r="X6" s="44">
        <f t="shared" si="3"/>
        <v>0</v>
      </c>
      <c r="Y6" s="17" t="s">
        <v>16</v>
      </c>
      <c r="Z6" s="18">
        <v>0</v>
      </c>
      <c r="AB6" s="2" t="s">
        <v>318</v>
      </c>
    </row>
    <row r="7" spans="1:28" ht="25.5" x14ac:dyDescent="0.55000000000000004">
      <c r="A7" s="10">
        <v>3</v>
      </c>
      <c r="B7" s="19" t="s">
        <v>18</v>
      </c>
      <c r="C7" s="79">
        <f>+'8'!G7</f>
        <v>0</v>
      </c>
      <c r="D7" s="87">
        <v>0</v>
      </c>
      <c r="E7" s="47">
        <f>C7+D7</f>
        <v>0</v>
      </c>
      <c r="F7" s="87">
        <v>0</v>
      </c>
      <c r="G7" s="47">
        <f t="shared" si="4"/>
        <v>0</v>
      </c>
      <c r="H7" s="88"/>
      <c r="I7" s="15">
        <v>50</v>
      </c>
      <c r="J7" s="8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7">
        <v>0</v>
      </c>
      <c r="S7" s="47">
        <f t="shared" si="1"/>
        <v>0</v>
      </c>
      <c r="T7" s="87">
        <v>0</v>
      </c>
      <c r="U7" s="47">
        <f t="shared" si="2"/>
        <v>0</v>
      </c>
      <c r="V7" s="88">
        <v>0</v>
      </c>
      <c r="W7" s="22"/>
      <c r="X7" s="44">
        <f t="shared" si="3"/>
        <v>0</v>
      </c>
      <c r="Y7" s="17" t="s">
        <v>16</v>
      </c>
      <c r="Z7" s="18">
        <v>0</v>
      </c>
      <c r="AB7" s="2" t="s">
        <v>319</v>
      </c>
    </row>
    <row r="8" spans="1:28" ht="25.5" x14ac:dyDescent="0.55000000000000004">
      <c r="A8" s="10">
        <v>4</v>
      </c>
      <c r="B8" s="19" t="s">
        <v>19</v>
      </c>
      <c r="C8" s="79">
        <f>+'8'!G8</f>
        <v>0</v>
      </c>
      <c r="D8" s="87">
        <v>0</v>
      </c>
      <c r="E8" s="47">
        <f>C8+D8</f>
        <v>0</v>
      </c>
      <c r="F8" s="87">
        <v>0</v>
      </c>
      <c r="G8" s="47">
        <f t="shared" si="4"/>
        <v>0</v>
      </c>
      <c r="H8" s="88"/>
      <c r="I8" s="15">
        <v>100</v>
      </c>
      <c r="J8" s="8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7">
        <v>0</v>
      </c>
      <c r="S8" s="47">
        <f t="shared" si="1"/>
        <v>0</v>
      </c>
      <c r="T8" s="87">
        <v>0</v>
      </c>
      <c r="U8" s="47">
        <f t="shared" si="2"/>
        <v>0</v>
      </c>
      <c r="V8" s="88">
        <v>0</v>
      </c>
      <c r="W8" s="22"/>
      <c r="X8" s="44">
        <f t="shared" si="3"/>
        <v>0</v>
      </c>
      <c r="Y8" s="17" t="s">
        <v>16</v>
      </c>
      <c r="Z8" s="18">
        <v>0</v>
      </c>
      <c r="AB8" s="2" t="s">
        <v>320</v>
      </c>
    </row>
    <row r="9" spans="1:28" ht="25.5" x14ac:dyDescent="0.55000000000000004">
      <c r="A9" s="10">
        <v>5</v>
      </c>
      <c r="B9" s="19" t="s">
        <v>20</v>
      </c>
      <c r="C9" s="79">
        <f>+'8'!G9</f>
        <v>0</v>
      </c>
      <c r="D9" s="87">
        <v>0</v>
      </c>
      <c r="E9" s="47">
        <f>C9+D9</f>
        <v>0</v>
      </c>
      <c r="F9" s="87">
        <v>0</v>
      </c>
      <c r="G9" s="47">
        <f t="shared" si="4"/>
        <v>0</v>
      </c>
      <c r="H9" s="88"/>
      <c r="I9" s="15">
        <v>12</v>
      </c>
      <c r="J9" s="8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7">
        <v>0</v>
      </c>
      <c r="S9" s="47">
        <f t="shared" si="1"/>
        <v>0</v>
      </c>
      <c r="T9" s="87">
        <v>0</v>
      </c>
      <c r="U9" s="47">
        <f t="shared" si="2"/>
        <v>0</v>
      </c>
      <c r="V9" s="88">
        <v>0</v>
      </c>
      <c r="W9" s="22"/>
      <c r="X9" s="44">
        <f t="shared" si="3"/>
        <v>0</v>
      </c>
      <c r="Y9" s="17" t="s">
        <v>16</v>
      </c>
      <c r="Z9" s="18">
        <v>0</v>
      </c>
      <c r="AB9" s="2" t="s">
        <v>307</v>
      </c>
    </row>
    <row r="10" spans="1:28" ht="25.5" x14ac:dyDescent="0.55000000000000004">
      <c r="A10" s="10">
        <v>6</v>
      </c>
      <c r="B10" s="19" t="s">
        <v>21</v>
      </c>
      <c r="C10" s="79">
        <f>+'8'!G10</f>
        <v>0</v>
      </c>
      <c r="D10" s="87">
        <v>0</v>
      </c>
      <c r="E10" s="47">
        <f>C10+D10</f>
        <v>0</v>
      </c>
      <c r="F10" s="87">
        <v>0</v>
      </c>
      <c r="G10" s="47">
        <f t="shared" si="4"/>
        <v>0</v>
      </c>
      <c r="H10" s="88"/>
      <c r="I10" s="15">
        <v>15</v>
      </c>
      <c r="J10" s="8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7">
        <v>0</v>
      </c>
      <c r="S10" s="47">
        <f t="shared" si="1"/>
        <v>0</v>
      </c>
      <c r="T10" s="87">
        <v>0</v>
      </c>
      <c r="U10" s="47">
        <f t="shared" si="2"/>
        <v>0</v>
      </c>
      <c r="V10" s="88">
        <v>0</v>
      </c>
      <c r="W10" s="22"/>
      <c r="X10" s="44">
        <f t="shared" si="3"/>
        <v>0</v>
      </c>
      <c r="Y10" s="17" t="s">
        <v>16</v>
      </c>
      <c r="Z10" s="18">
        <v>0</v>
      </c>
      <c r="AB10" s="2" t="s">
        <v>311</v>
      </c>
    </row>
    <row r="11" spans="1:28" ht="25.5" x14ac:dyDescent="0.55000000000000004">
      <c r="A11" s="10">
        <v>7</v>
      </c>
      <c r="B11" s="19" t="s">
        <v>22</v>
      </c>
      <c r="C11" s="79">
        <f>+'8'!G11</f>
        <v>0</v>
      </c>
      <c r="D11" s="87">
        <v>0</v>
      </c>
      <c r="E11" s="47">
        <f t="shared" si="0"/>
        <v>0</v>
      </c>
      <c r="F11" s="87">
        <v>0</v>
      </c>
      <c r="G11" s="47">
        <f t="shared" si="4"/>
        <v>0</v>
      </c>
      <c r="H11" s="88"/>
      <c r="I11" s="15">
        <v>40</v>
      </c>
      <c r="J11" s="8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7">
        <v>0</v>
      </c>
      <c r="S11" s="47">
        <f t="shared" si="1"/>
        <v>0</v>
      </c>
      <c r="T11" s="87">
        <v>0</v>
      </c>
      <c r="U11" s="47">
        <f t="shared" si="2"/>
        <v>0</v>
      </c>
      <c r="V11" s="88">
        <v>0</v>
      </c>
      <c r="W11" s="22"/>
      <c r="X11" s="44">
        <f t="shared" si="3"/>
        <v>0</v>
      </c>
      <c r="Y11" s="17" t="s">
        <v>16</v>
      </c>
      <c r="Z11" s="18">
        <v>0</v>
      </c>
      <c r="AB11" s="2" t="s">
        <v>321</v>
      </c>
    </row>
    <row r="12" spans="1:28" ht="25.5" x14ac:dyDescent="0.55000000000000004">
      <c r="A12" s="10">
        <v>8</v>
      </c>
      <c r="B12" s="19" t="s">
        <v>23</v>
      </c>
      <c r="C12" s="79">
        <f>+'8'!G12</f>
        <v>0</v>
      </c>
      <c r="D12" s="87">
        <v>0</v>
      </c>
      <c r="E12" s="47">
        <f t="shared" si="0"/>
        <v>0</v>
      </c>
      <c r="F12" s="87">
        <v>0</v>
      </c>
      <c r="G12" s="47">
        <f t="shared" si="4"/>
        <v>0</v>
      </c>
      <c r="H12" s="88"/>
      <c r="I12" s="20">
        <v>50</v>
      </c>
      <c r="J12" s="8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7">
        <v>0</v>
      </c>
      <c r="S12" s="47">
        <f t="shared" si="1"/>
        <v>0</v>
      </c>
      <c r="T12" s="87">
        <v>0</v>
      </c>
      <c r="U12" s="47">
        <f t="shared" si="2"/>
        <v>0</v>
      </c>
      <c r="V12" s="88">
        <v>0</v>
      </c>
      <c r="W12" s="22"/>
      <c r="X12" s="44">
        <f t="shared" si="3"/>
        <v>0</v>
      </c>
      <c r="Y12" s="17" t="s">
        <v>16</v>
      </c>
      <c r="Z12" s="18">
        <v>0</v>
      </c>
      <c r="AB12" s="2" t="s">
        <v>289</v>
      </c>
    </row>
    <row r="13" spans="1:28" ht="25.5" x14ac:dyDescent="0.55000000000000004">
      <c r="A13" s="10">
        <v>9</v>
      </c>
      <c r="B13" s="19" t="s">
        <v>24</v>
      </c>
      <c r="C13" s="79">
        <f>+'8'!G13</f>
        <v>0</v>
      </c>
      <c r="D13" s="87">
        <v>0</v>
      </c>
      <c r="E13" s="47">
        <f>C13+D13</f>
        <v>0</v>
      </c>
      <c r="F13" s="87">
        <v>0</v>
      </c>
      <c r="G13" s="47">
        <f t="shared" si="4"/>
        <v>0</v>
      </c>
      <c r="H13" s="88"/>
      <c r="I13" s="20">
        <v>55</v>
      </c>
      <c r="J13" s="8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7">
        <v>0</v>
      </c>
      <c r="S13" s="47">
        <f t="shared" si="1"/>
        <v>0</v>
      </c>
      <c r="T13" s="87">
        <v>0</v>
      </c>
      <c r="U13" s="47">
        <f t="shared" si="2"/>
        <v>0</v>
      </c>
      <c r="V13" s="88">
        <v>0</v>
      </c>
      <c r="W13" s="22"/>
      <c r="X13" s="44">
        <f t="shared" si="3"/>
        <v>0</v>
      </c>
      <c r="Y13" s="17" t="s">
        <v>16</v>
      </c>
      <c r="Z13" s="18">
        <v>0</v>
      </c>
      <c r="AB13" s="2" t="s">
        <v>322</v>
      </c>
    </row>
    <row r="14" spans="1:28" ht="25.5" x14ac:dyDescent="0.55000000000000004">
      <c r="A14" s="10">
        <v>10</v>
      </c>
      <c r="B14" s="19" t="s">
        <v>25</v>
      </c>
      <c r="C14" s="79">
        <f>+'8'!G14</f>
        <v>2</v>
      </c>
      <c r="D14" s="87">
        <v>0</v>
      </c>
      <c r="E14" s="47">
        <f t="shared" si="0"/>
        <v>2</v>
      </c>
      <c r="F14" s="87">
        <v>0</v>
      </c>
      <c r="G14" s="47">
        <f t="shared" si="4"/>
        <v>2</v>
      </c>
      <c r="H14" s="88"/>
      <c r="I14" s="20">
        <v>65</v>
      </c>
      <c r="J14" s="8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7">
        <v>0</v>
      </c>
      <c r="S14" s="47">
        <f t="shared" si="1"/>
        <v>0</v>
      </c>
      <c r="T14" s="87">
        <v>0</v>
      </c>
      <c r="U14" s="47">
        <f t="shared" si="2"/>
        <v>0</v>
      </c>
      <c r="V14" s="88">
        <v>0</v>
      </c>
      <c r="W14" s="22"/>
      <c r="X14" s="44">
        <f t="shared" si="3"/>
        <v>0</v>
      </c>
      <c r="Y14" s="17" t="s">
        <v>16</v>
      </c>
      <c r="Z14" s="18">
        <v>0</v>
      </c>
      <c r="AB14" s="2" t="s">
        <v>306</v>
      </c>
    </row>
    <row r="15" spans="1:28" ht="25.5" x14ac:dyDescent="0.55000000000000004">
      <c r="A15" s="10">
        <v>11</v>
      </c>
      <c r="B15" s="19" t="s">
        <v>26</v>
      </c>
      <c r="C15" s="79">
        <f>+'8'!G15</f>
        <v>0</v>
      </c>
      <c r="D15" s="87">
        <v>0</v>
      </c>
      <c r="E15" s="47">
        <f t="shared" si="0"/>
        <v>0</v>
      </c>
      <c r="F15" s="87">
        <v>0</v>
      </c>
      <c r="G15" s="47">
        <f t="shared" si="4"/>
        <v>0</v>
      </c>
      <c r="H15" s="88"/>
      <c r="I15" s="20">
        <v>50</v>
      </c>
      <c r="J15" s="8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7">
        <v>0</v>
      </c>
      <c r="S15" s="47">
        <f t="shared" ref="S15:S29" si="7">Q15+R15</f>
        <v>0</v>
      </c>
      <c r="T15" s="87">
        <v>0</v>
      </c>
      <c r="U15" s="47">
        <f t="shared" ref="U15:U29" si="8">S15-T15-V15</f>
        <v>0</v>
      </c>
      <c r="V15" s="88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8" ht="25.5" x14ac:dyDescent="0.55000000000000004">
      <c r="A16" s="10">
        <v>12</v>
      </c>
      <c r="B16" s="19" t="s">
        <v>27</v>
      </c>
      <c r="C16" s="79">
        <f>+'8'!G16</f>
        <v>0</v>
      </c>
      <c r="D16" s="87">
        <v>0</v>
      </c>
      <c r="E16" s="47">
        <f t="shared" si="0"/>
        <v>0</v>
      </c>
      <c r="F16" s="87">
        <v>0</v>
      </c>
      <c r="G16" s="47">
        <f t="shared" si="4"/>
        <v>0</v>
      </c>
      <c r="H16" s="88"/>
      <c r="I16" s="15">
        <v>50</v>
      </c>
      <c r="J16" s="8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7">
        <v>0</v>
      </c>
      <c r="S16" s="47">
        <f t="shared" si="7"/>
        <v>0</v>
      </c>
      <c r="T16" s="87">
        <v>0</v>
      </c>
      <c r="U16" s="47">
        <f t="shared" si="8"/>
        <v>0</v>
      </c>
      <c r="V16" s="88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+'8'!G17</f>
        <v>0</v>
      </c>
      <c r="D17" s="87">
        <v>0</v>
      </c>
      <c r="E17" s="47">
        <f t="shared" si="0"/>
        <v>0</v>
      </c>
      <c r="F17" s="87">
        <v>0</v>
      </c>
      <c r="G17" s="47">
        <f t="shared" si="4"/>
        <v>0</v>
      </c>
      <c r="H17" s="88"/>
      <c r="I17" s="15">
        <v>50</v>
      </c>
      <c r="J17" s="8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7">
        <v>0</v>
      </c>
      <c r="S17" s="47">
        <f t="shared" si="7"/>
        <v>0</v>
      </c>
      <c r="T17" s="87">
        <v>0</v>
      </c>
      <c r="U17" s="47">
        <f t="shared" si="8"/>
        <v>0</v>
      </c>
      <c r="V17" s="88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+'8'!G18</f>
        <v>0</v>
      </c>
      <c r="D18" s="87">
        <v>0</v>
      </c>
      <c r="E18" s="47">
        <f t="shared" si="0"/>
        <v>0</v>
      </c>
      <c r="F18" s="87">
        <v>0</v>
      </c>
      <c r="G18" s="47">
        <f t="shared" si="4"/>
        <v>0</v>
      </c>
      <c r="H18" s="88"/>
      <c r="I18" s="20">
        <v>50</v>
      </c>
      <c r="J18" s="8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7">
        <v>0</v>
      </c>
      <c r="S18" s="47">
        <f t="shared" si="7"/>
        <v>0</v>
      </c>
      <c r="T18" s="87">
        <v>0</v>
      </c>
      <c r="U18" s="47">
        <f t="shared" si="8"/>
        <v>0</v>
      </c>
      <c r="V18" s="88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329</v>
      </c>
      <c r="C19" s="79">
        <f>+'8'!G19</f>
        <v>0</v>
      </c>
      <c r="D19" s="87">
        <v>0</v>
      </c>
      <c r="E19" s="47">
        <f t="shared" si="0"/>
        <v>0</v>
      </c>
      <c r="F19" s="87">
        <v>0</v>
      </c>
      <c r="G19" s="47">
        <f t="shared" si="4"/>
        <v>0</v>
      </c>
      <c r="H19" s="88"/>
      <c r="I19" s="15">
        <v>50</v>
      </c>
      <c r="J19" s="8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7">
        <v>0</v>
      </c>
      <c r="S19" s="47">
        <f t="shared" si="7"/>
        <v>0</v>
      </c>
      <c r="T19" s="87">
        <v>0</v>
      </c>
      <c r="U19" s="47">
        <f t="shared" si="8"/>
        <v>0</v>
      </c>
      <c r="V19" s="88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+'8'!G20</f>
        <v>0</v>
      </c>
      <c r="D20" s="87">
        <v>0</v>
      </c>
      <c r="E20" s="47">
        <f t="shared" si="0"/>
        <v>0</v>
      </c>
      <c r="F20" s="87">
        <v>0</v>
      </c>
      <c r="G20" s="47">
        <f t="shared" si="4"/>
        <v>0</v>
      </c>
      <c r="H20" s="88"/>
      <c r="I20" s="15">
        <v>50</v>
      </c>
      <c r="J20" s="8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7">
        <v>0</v>
      </c>
      <c r="S20" s="47">
        <f t="shared" si="7"/>
        <v>0</v>
      </c>
      <c r="T20" s="87">
        <v>0</v>
      </c>
      <c r="U20" s="47">
        <f t="shared" si="8"/>
        <v>0</v>
      </c>
      <c r="V20" s="88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+'8'!G21</f>
        <v>0</v>
      </c>
      <c r="D21" s="87">
        <v>0</v>
      </c>
      <c r="E21" s="47">
        <f t="shared" si="0"/>
        <v>0</v>
      </c>
      <c r="F21" s="87">
        <v>0</v>
      </c>
      <c r="G21" s="47">
        <f t="shared" si="4"/>
        <v>0</v>
      </c>
      <c r="H21" s="88"/>
      <c r="I21" s="15">
        <v>50</v>
      </c>
      <c r="J21" s="8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7">
        <v>0</v>
      </c>
      <c r="S21" s="47">
        <f t="shared" si="7"/>
        <v>0</v>
      </c>
      <c r="T21" s="87">
        <v>0</v>
      </c>
      <c r="U21" s="47">
        <f t="shared" si="8"/>
        <v>0</v>
      </c>
      <c r="V21" s="88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+'8'!G22</f>
        <v>0</v>
      </c>
      <c r="D22" s="87">
        <v>0</v>
      </c>
      <c r="E22" s="47">
        <f t="shared" si="0"/>
        <v>0</v>
      </c>
      <c r="F22" s="87">
        <v>0</v>
      </c>
      <c r="G22" s="47">
        <f t="shared" si="4"/>
        <v>0</v>
      </c>
      <c r="H22" s="88"/>
      <c r="I22" s="15">
        <v>85</v>
      </c>
      <c r="J22" s="8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7">
        <v>0</v>
      </c>
      <c r="S22" s="47">
        <f t="shared" si="7"/>
        <v>0</v>
      </c>
      <c r="T22" s="87">
        <v>0</v>
      </c>
      <c r="U22" s="47">
        <f t="shared" si="8"/>
        <v>0</v>
      </c>
      <c r="V22" s="88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+'8'!G23</f>
        <v>0</v>
      </c>
      <c r="D23" s="87">
        <v>0</v>
      </c>
      <c r="E23" s="47">
        <f t="shared" si="0"/>
        <v>0</v>
      </c>
      <c r="F23" s="87">
        <v>0</v>
      </c>
      <c r="G23" s="47">
        <f t="shared" si="4"/>
        <v>0</v>
      </c>
      <c r="H23" s="88"/>
      <c r="I23" s="15">
        <v>100</v>
      </c>
      <c r="J23" s="8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v>0</v>
      </c>
      <c r="R23" s="87">
        <v>0</v>
      </c>
      <c r="S23" s="47">
        <f t="shared" si="7"/>
        <v>0</v>
      </c>
      <c r="T23" s="87">
        <v>0</v>
      </c>
      <c r="U23" s="47">
        <f t="shared" si="8"/>
        <v>0</v>
      </c>
      <c r="V23" s="88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+'8'!G24</f>
        <v>2</v>
      </c>
      <c r="D24" s="87">
        <v>0</v>
      </c>
      <c r="E24" s="47">
        <f t="shared" si="0"/>
        <v>2</v>
      </c>
      <c r="F24" s="87">
        <v>0</v>
      </c>
      <c r="G24" s="47">
        <f t="shared" si="4"/>
        <v>2</v>
      </c>
      <c r="H24" s="88"/>
      <c r="I24" s="21">
        <v>100</v>
      </c>
      <c r="J24" s="8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7">
        <v>0</v>
      </c>
      <c r="S24" s="47">
        <f t="shared" si="7"/>
        <v>0</v>
      </c>
      <c r="T24" s="87">
        <v>0</v>
      </c>
      <c r="U24" s="47">
        <f t="shared" si="8"/>
        <v>0</v>
      </c>
      <c r="V24" s="88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+'8'!G25</f>
        <v>0</v>
      </c>
      <c r="D25" s="87">
        <v>0</v>
      </c>
      <c r="E25" s="47">
        <f t="shared" si="0"/>
        <v>0</v>
      </c>
      <c r="F25" s="87">
        <v>0</v>
      </c>
      <c r="G25" s="47">
        <f t="shared" si="4"/>
        <v>0</v>
      </c>
      <c r="H25" s="88"/>
      <c r="I25" s="21">
        <v>100</v>
      </c>
      <c r="J25" s="8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7">
        <v>0</v>
      </c>
      <c r="S25" s="47">
        <f t="shared" si="7"/>
        <v>0</v>
      </c>
      <c r="T25" s="87">
        <v>0</v>
      </c>
      <c r="U25" s="47">
        <f t="shared" si="8"/>
        <v>0</v>
      </c>
      <c r="V25" s="88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+'8'!G26</f>
        <v>1</v>
      </c>
      <c r="D26" s="87">
        <v>0</v>
      </c>
      <c r="E26" s="47">
        <f t="shared" si="0"/>
        <v>1</v>
      </c>
      <c r="F26" s="87">
        <v>0</v>
      </c>
      <c r="G26" s="47">
        <f t="shared" si="4"/>
        <v>1</v>
      </c>
      <c r="H26" s="88"/>
      <c r="I26" s="21">
        <v>100</v>
      </c>
      <c r="J26" s="8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7">
        <v>0</v>
      </c>
      <c r="S26" s="47">
        <f t="shared" si="7"/>
        <v>0</v>
      </c>
      <c r="T26" s="87">
        <v>0</v>
      </c>
      <c r="U26" s="47">
        <f t="shared" si="8"/>
        <v>0</v>
      </c>
      <c r="V26" s="88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+'8'!G27</f>
        <v>0</v>
      </c>
      <c r="D27" s="87">
        <v>0</v>
      </c>
      <c r="E27" s="47">
        <f t="shared" si="0"/>
        <v>0</v>
      </c>
      <c r="F27" s="87">
        <v>0</v>
      </c>
      <c r="G27" s="47">
        <f t="shared" si="4"/>
        <v>0</v>
      </c>
      <c r="H27" s="88"/>
      <c r="I27" s="20">
        <v>100</v>
      </c>
      <c r="J27" s="8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7">
        <v>0</v>
      </c>
      <c r="S27" s="47">
        <f t="shared" si="7"/>
        <v>0</v>
      </c>
      <c r="T27" s="87">
        <v>0</v>
      </c>
      <c r="U27" s="47">
        <f t="shared" si="8"/>
        <v>0</v>
      </c>
      <c r="V27" s="88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+'8'!G28</f>
        <v>0</v>
      </c>
      <c r="D28" s="87">
        <v>0</v>
      </c>
      <c r="E28" s="47">
        <f t="shared" si="0"/>
        <v>0</v>
      </c>
      <c r="F28" s="87">
        <v>0</v>
      </c>
      <c r="G28" s="47">
        <f t="shared" si="4"/>
        <v>0</v>
      </c>
      <c r="H28" s="88"/>
      <c r="I28" s="20">
        <v>100</v>
      </c>
      <c r="J28" s="8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7">
        <v>0</v>
      </c>
      <c r="S28" s="47">
        <f t="shared" si="7"/>
        <v>0</v>
      </c>
      <c r="T28" s="87">
        <v>0</v>
      </c>
      <c r="U28" s="47">
        <f t="shared" si="8"/>
        <v>0</v>
      </c>
      <c r="V28" s="88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+'8'!G29</f>
        <v>6</v>
      </c>
      <c r="D29" s="87">
        <v>0</v>
      </c>
      <c r="E29" s="47">
        <f t="shared" si="0"/>
        <v>6</v>
      </c>
      <c r="F29" s="87">
        <v>0</v>
      </c>
      <c r="G29" s="47">
        <f t="shared" si="4"/>
        <v>6</v>
      </c>
      <c r="H29" s="88"/>
      <c r="I29" s="15">
        <v>100</v>
      </c>
      <c r="J29" s="8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7">
        <v>0</v>
      </c>
      <c r="S29" s="47">
        <f t="shared" si="7"/>
        <v>0</v>
      </c>
      <c r="T29" s="87">
        <v>0</v>
      </c>
      <c r="U29" s="47">
        <f t="shared" si="8"/>
        <v>0</v>
      </c>
      <c r="V29" s="88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+'8'!G30</f>
        <v>0</v>
      </c>
      <c r="D30" s="87">
        <v>0</v>
      </c>
      <c r="E30" s="47">
        <f t="shared" si="0"/>
        <v>0</v>
      </c>
      <c r="F30" s="87">
        <v>0</v>
      </c>
      <c r="G30" s="47">
        <f t="shared" si="4"/>
        <v>0</v>
      </c>
      <c r="H30" s="88"/>
      <c r="I30" s="15">
        <v>100</v>
      </c>
      <c r="J30" s="8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+'8'!G31</f>
        <v>2</v>
      </c>
      <c r="D31" s="87">
        <v>0</v>
      </c>
      <c r="E31" s="47">
        <f t="shared" si="0"/>
        <v>2</v>
      </c>
      <c r="F31" s="87">
        <v>0</v>
      </c>
      <c r="G31" s="47">
        <f t="shared" si="4"/>
        <v>2</v>
      </c>
      <c r="H31" s="88"/>
      <c r="I31" s="15">
        <v>100</v>
      </c>
      <c r="J31" s="82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+'8'!G32</f>
        <v>0</v>
      </c>
      <c r="D32" s="87">
        <v>0</v>
      </c>
      <c r="E32" s="47">
        <f t="shared" si="0"/>
        <v>0</v>
      </c>
      <c r="F32" s="87">
        <v>0</v>
      </c>
      <c r="G32" s="47">
        <f t="shared" si="4"/>
        <v>0</v>
      </c>
      <c r="H32" s="88"/>
      <c r="I32" s="15">
        <v>130</v>
      </c>
      <c r="J32" s="82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5" t="s">
        <v>119</v>
      </c>
      <c r="Q32" s="146"/>
      <c r="R32" s="146"/>
      <c r="S32" s="146"/>
      <c r="T32" s="146"/>
      <c r="U32" s="146"/>
      <c r="V32" s="146"/>
      <c r="W32" s="147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+'8'!G33</f>
        <v>0</v>
      </c>
      <c r="D33" s="87">
        <v>0</v>
      </c>
      <c r="E33" s="47">
        <f t="shared" si="0"/>
        <v>0</v>
      </c>
      <c r="F33" s="87">
        <v>0</v>
      </c>
      <c r="G33" s="47">
        <f t="shared" si="4"/>
        <v>0</v>
      </c>
      <c r="H33" s="88"/>
      <c r="I33" s="15">
        <v>130</v>
      </c>
      <c r="J33" s="82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+'8'!G34</f>
        <v>4</v>
      </c>
      <c r="D34" s="87">
        <v>0</v>
      </c>
      <c r="E34" s="47">
        <f t="shared" si="0"/>
        <v>4</v>
      </c>
      <c r="F34" s="87">
        <v>0</v>
      </c>
      <c r="G34" s="47">
        <f t="shared" si="4"/>
        <v>4</v>
      </c>
      <c r="H34" s="88"/>
      <c r="I34" s="15">
        <v>130</v>
      </c>
      <c r="J34" s="82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+'8'!G35</f>
        <v>0</v>
      </c>
      <c r="D35" s="87">
        <v>0</v>
      </c>
      <c r="E35" s="47">
        <f t="shared" si="0"/>
        <v>0</v>
      </c>
      <c r="F35" s="87">
        <v>0</v>
      </c>
      <c r="G35" s="47">
        <f t="shared" si="4"/>
        <v>0</v>
      </c>
      <c r="H35" s="88"/>
      <c r="I35" s="15">
        <v>130</v>
      </c>
      <c r="J35" s="82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+'8'!G36</f>
        <v>0</v>
      </c>
      <c r="D36" s="87">
        <v>0</v>
      </c>
      <c r="E36" s="47">
        <f t="shared" si="0"/>
        <v>0</v>
      </c>
      <c r="F36" s="87">
        <v>0</v>
      </c>
      <c r="G36" s="47">
        <f t="shared" si="4"/>
        <v>0</v>
      </c>
      <c r="H36" s="88"/>
      <c r="I36" s="15">
        <v>100</v>
      </c>
      <c r="J36" s="82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+'8'!G37</f>
        <v>15</v>
      </c>
      <c r="D37" s="87">
        <v>0</v>
      </c>
      <c r="E37" s="47">
        <f t="shared" si="0"/>
        <v>15</v>
      </c>
      <c r="F37" s="87">
        <v>0</v>
      </c>
      <c r="G37" s="47">
        <f t="shared" si="4"/>
        <v>15</v>
      </c>
      <c r="H37" s="88"/>
      <c r="I37" s="15">
        <v>100</v>
      </c>
      <c r="J37" s="82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 t="s">
        <v>49</v>
      </c>
      <c r="C38" s="79">
        <f>+'8'!G38</f>
        <v>0</v>
      </c>
      <c r="D38" s="87">
        <v>0</v>
      </c>
      <c r="E38" s="47">
        <f t="shared" si="0"/>
        <v>0</v>
      </c>
      <c r="F38" s="87">
        <v>0</v>
      </c>
      <c r="G38" s="47">
        <f t="shared" si="4"/>
        <v>0</v>
      </c>
      <c r="H38" s="88"/>
      <c r="I38" s="15">
        <v>50</v>
      </c>
      <c r="J38" s="82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+'8'!G39</f>
        <v>0</v>
      </c>
      <c r="D39" s="87">
        <v>0</v>
      </c>
      <c r="E39" s="47">
        <f t="shared" si="0"/>
        <v>0</v>
      </c>
      <c r="F39" s="87">
        <v>0</v>
      </c>
      <c r="G39" s="47">
        <f t="shared" si="4"/>
        <v>0</v>
      </c>
      <c r="H39" s="88"/>
      <c r="I39" s="15">
        <v>50</v>
      </c>
      <c r="J39" s="82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+'8'!G40</f>
        <v>1</v>
      </c>
      <c r="D40" s="87">
        <v>0</v>
      </c>
      <c r="E40" s="47">
        <f t="shared" si="0"/>
        <v>1</v>
      </c>
      <c r="F40" s="87">
        <v>0</v>
      </c>
      <c r="G40" s="47">
        <f t="shared" si="4"/>
        <v>1</v>
      </c>
      <c r="H40" s="88"/>
      <c r="I40" s="15">
        <v>50</v>
      </c>
      <c r="J40" s="82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+'8'!G41</f>
        <v>0</v>
      </c>
      <c r="D41" s="87">
        <v>0</v>
      </c>
      <c r="E41" s="47">
        <f t="shared" si="0"/>
        <v>0</v>
      </c>
      <c r="F41" s="87">
        <v>0</v>
      </c>
      <c r="G41" s="47">
        <f t="shared" si="4"/>
        <v>0</v>
      </c>
      <c r="H41" s="88"/>
      <c r="I41" s="15">
        <v>50</v>
      </c>
      <c r="J41" s="82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285</v>
      </c>
      <c r="C42" s="79">
        <f>+'8'!G42</f>
        <v>0</v>
      </c>
      <c r="D42" s="87">
        <v>0</v>
      </c>
      <c r="E42" s="47">
        <f t="shared" si="0"/>
        <v>0</v>
      </c>
      <c r="F42" s="87">
        <v>0</v>
      </c>
      <c r="G42" s="47">
        <f t="shared" si="4"/>
        <v>0</v>
      </c>
      <c r="H42" s="88"/>
      <c r="I42" s="15">
        <v>50</v>
      </c>
      <c r="J42" s="82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+'8'!G43</f>
        <v>1</v>
      </c>
      <c r="D43" s="87">
        <v>0</v>
      </c>
      <c r="E43" s="47">
        <f t="shared" si="0"/>
        <v>1</v>
      </c>
      <c r="F43" s="87">
        <v>0</v>
      </c>
      <c r="G43" s="47">
        <f t="shared" si="4"/>
        <v>1</v>
      </c>
      <c r="H43" s="88"/>
      <c r="I43" s="15">
        <v>50</v>
      </c>
      <c r="J43" s="82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+'8'!G44</f>
        <v>0</v>
      </c>
      <c r="D44" s="87">
        <v>0</v>
      </c>
      <c r="E44" s="47">
        <f t="shared" si="0"/>
        <v>0</v>
      </c>
      <c r="F44" s="87">
        <v>0</v>
      </c>
      <c r="G44" s="47">
        <f t="shared" si="4"/>
        <v>0</v>
      </c>
      <c r="H44" s="88"/>
      <c r="I44" s="15">
        <v>50</v>
      </c>
      <c r="J44" s="82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+'8'!G45</f>
        <v>0</v>
      </c>
      <c r="D45" s="87">
        <v>0</v>
      </c>
      <c r="E45" s="47">
        <f t="shared" si="0"/>
        <v>0</v>
      </c>
      <c r="F45" s="87">
        <v>0</v>
      </c>
      <c r="G45" s="47">
        <f t="shared" si="4"/>
        <v>0</v>
      </c>
      <c r="H45" s="88"/>
      <c r="I45" s="15">
        <v>50</v>
      </c>
      <c r="J45" s="82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286</v>
      </c>
      <c r="C46" s="79">
        <f>+'8'!G46</f>
        <v>0</v>
      </c>
      <c r="D46" s="87">
        <v>0</v>
      </c>
      <c r="E46" s="47">
        <f t="shared" si="0"/>
        <v>0</v>
      </c>
      <c r="F46" s="87">
        <v>0</v>
      </c>
      <c r="G46" s="47">
        <f t="shared" si="4"/>
        <v>0</v>
      </c>
      <c r="H46" s="88"/>
      <c r="I46" s="15">
        <v>50</v>
      </c>
      <c r="J46" s="82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+'8'!G47</f>
        <v>0</v>
      </c>
      <c r="D47" s="87">
        <v>0</v>
      </c>
      <c r="E47" s="47">
        <f t="shared" si="0"/>
        <v>0</v>
      </c>
      <c r="F47" s="87">
        <v>0</v>
      </c>
      <c r="G47" s="47">
        <f t="shared" si="4"/>
        <v>0</v>
      </c>
      <c r="H47" s="88"/>
      <c r="I47" s="15">
        <v>50</v>
      </c>
      <c r="J47" s="82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+'8'!G48</f>
        <v>2</v>
      </c>
      <c r="D48" s="87">
        <v>0</v>
      </c>
      <c r="E48" s="47">
        <f t="shared" si="0"/>
        <v>2</v>
      </c>
      <c r="F48" s="87">
        <v>0</v>
      </c>
      <c r="G48" s="47">
        <f t="shared" si="4"/>
        <v>2</v>
      </c>
      <c r="H48" s="88"/>
      <c r="I48" s="15">
        <v>50</v>
      </c>
      <c r="J48" s="82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+'8'!G49</f>
        <v>0</v>
      </c>
      <c r="D49" s="87">
        <v>0</v>
      </c>
      <c r="E49" s="47">
        <f t="shared" si="0"/>
        <v>0</v>
      </c>
      <c r="F49" s="87">
        <v>0</v>
      </c>
      <c r="G49" s="47">
        <f t="shared" si="4"/>
        <v>0</v>
      </c>
      <c r="H49" s="88"/>
      <c r="I49" s="15">
        <v>50</v>
      </c>
      <c r="J49" s="82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+'8'!G50</f>
        <v>4</v>
      </c>
      <c r="D50" s="87">
        <v>0</v>
      </c>
      <c r="E50" s="47">
        <f t="shared" si="0"/>
        <v>4</v>
      </c>
      <c r="F50" s="87">
        <v>0</v>
      </c>
      <c r="G50" s="47">
        <f t="shared" si="4"/>
        <v>4</v>
      </c>
      <c r="H50" s="88"/>
      <c r="I50" s="15">
        <v>120</v>
      </c>
      <c r="J50" s="82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+'8'!G51</f>
        <v>1</v>
      </c>
      <c r="D51" s="87">
        <v>0</v>
      </c>
      <c r="E51" s="47">
        <f t="shared" si="0"/>
        <v>1</v>
      </c>
      <c r="F51" s="87">
        <v>0</v>
      </c>
      <c r="G51" s="47">
        <f t="shared" si="4"/>
        <v>1</v>
      </c>
      <c r="H51" s="88"/>
      <c r="I51" s="15">
        <v>120</v>
      </c>
      <c r="J51" s="82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+'8'!G52</f>
        <v>0</v>
      </c>
      <c r="D52" s="87">
        <v>0</v>
      </c>
      <c r="E52" s="47">
        <f t="shared" si="0"/>
        <v>0</v>
      </c>
      <c r="F52" s="87">
        <v>0</v>
      </c>
      <c r="G52" s="47">
        <f t="shared" si="4"/>
        <v>0</v>
      </c>
      <c r="H52" s="88"/>
      <c r="I52" s="21">
        <v>120</v>
      </c>
      <c r="J52" s="82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+'8'!G53</f>
        <v>0</v>
      </c>
      <c r="D53" s="87">
        <v>0</v>
      </c>
      <c r="E53" s="47">
        <f t="shared" si="0"/>
        <v>0</v>
      </c>
      <c r="F53" s="87">
        <v>0</v>
      </c>
      <c r="G53" s="47">
        <f t="shared" si="4"/>
        <v>0</v>
      </c>
      <c r="H53" s="88"/>
      <c r="I53" s="15">
        <v>120</v>
      </c>
      <c r="J53" s="82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+'8'!G54</f>
        <v>0</v>
      </c>
      <c r="D54" s="87">
        <v>0</v>
      </c>
      <c r="E54" s="47">
        <f t="shared" si="0"/>
        <v>0</v>
      </c>
      <c r="F54" s="87">
        <v>0</v>
      </c>
      <c r="G54" s="47">
        <f t="shared" si="4"/>
        <v>0</v>
      </c>
      <c r="H54" s="88"/>
      <c r="I54" s="15">
        <v>120</v>
      </c>
      <c r="J54" s="82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+'8'!G55</f>
        <v>-1</v>
      </c>
      <c r="D55" s="87">
        <v>0</v>
      </c>
      <c r="E55" s="47">
        <f t="shared" si="0"/>
        <v>-1</v>
      </c>
      <c r="F55" s="87">
        <v>0</v>
      </c>
      <c r="G55" s="47">
        <f t="shared" si="4"/>
        <v>-1</v>
      </c>
      <c r="H55" s="88"/>
      <c r="I55" s="21">
        <v>120</v>
      </c>
      <c r="J55" s="82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+'8'!G56</f>
        <v>3</v>
      </c>
      <c r="D56" s="87">
        <v>0</v>
      </c>
      <c r="E56" s="47">
        <f t="shared" si="0"/>
        <v>3</v>
      </c>
      <c r="F56" s="87">
        <v>0</v>
      </c>
      <c r="G56" s="47">
        <f t="shared" si="4"/>
        <v>3</v>
      </c>
      <c r="H56" s="88"/>
      <c r="I56" s="21">
        <v>120</v>
      </c>
      <c r="J56" s="82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+'8'!G57</f>
        <v>4</v>
      </c>
      <c r="D57" s="87">
        <v>0</v>
      </c>
      <c r="E57" s="47">
        <f t="shared" si="0"/>
        <v>4</v>
      </c>
      <c r="F57" s="87">
        <v>0</v>
      </c>
      <c r="G57" s="47">
        <f t="shared" si="4"/>
        <v>4</v>
      </c>
      <c r="H57" s="88"/>
      <c r="I57" s="21">
        <v>120</v>
      </c>
      <c r="J57" s="82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+'8'!G58</f>
        <v>0</v>
      </c>
      <c r="D58" s="87">
        <v>0</v>
      </c>
      <c r="E58" s="47">
        <f t="shared" si="0"/>
        <v>0</v>
      </c>
      <c r="F58" s="87">
        <v>0</v>
      </c>
      <c r="G58" s="47">
        <f t="shared" si="4"/>
        <v>0</v>
      </c>
      <c r="H58" s="88"/>
      <c r="I58" s="21">
        <v>120</v>
      </c>
      <c r="J58" s="82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+'8'!G59</f>
        <v>0</v>
      </c>
      <c r="D59" s="87">
        <v>0</v>
      </c>
      <c r="E59" s="47">
        <f t="shared" si="0"/>
        <v>0</v>
      </c>
      <c r="F59" s="87">
        <v>0</v>
      </c>
      <c r="G59" s="47">
        <f t="shared" si="4"/>
        <v>0</v>
      </c>
      <c r="H59" s="88"/>
      <c r="I59" s="15">
        <v>70</v>
      </c>
      <c r="J59" s="82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+'8'!G60</f>
        <v>0</v>
      </c>
      <c r="D60" s="87">
        <v>0</v>
      </c>
      <c r="E60" s="47">
        <f t="shared" si="0"/>
        <v>0</v>
      </c>
      <c r="F60" s="87">
        <v>0</v>
      </c>
      <c r="G60" s="47">
        <f t="shared" si="4"/>
        <v>0</v>
      </c>
      <c r="H60" s="88"/>
      <c r="I60" s="21">
        <v>80</v>
      </c>
      <c r="J60" s="82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+'8'!G61</f>
        <v>0</v>
      </c>
      <c r="D61" s="87">
        <v>0</v>
      </c>
      <c r="E61" s="47">
        <f t="shared" si="0"/>
        <v>0</v>
      </c>
      <c r="F61" s="87">
        <v>0</v>
      </c>
      <c r="G61" s="47">
        <f t="shared" si="4"/>
        <v>0</v>
      </c>
      <c r="H61" s="88"/>
      <c r="I61" s="15">
        <v>50</v>
      </c>
      <c r="J61" s="82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+'8'!G62</f>
        <v>0</v>
      </c>
      <c r="D62" s="87">
        <v>0</v>
      </c>
      <c r="E62" s="47">
        <f t="shared" si="0"/>
        <v>0</v>
      </c>
      <c r="F62" s="87">
        <v>0</v>
      </c>
      <c r="G62" s="47">
        <f t="shared" si="4"/>
        <v>0</v>
      </c>
      <c r="H62" s="88"/>
      <c r="I62" s="20">
        <v>50</v>
      </c>
      <c r="J62" s="82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+'8'!G63</f>
        <v>0</v>
      </c>
      <c r="D63" s="87">
        <v>0</v>
      </c>
      <c r="E63" s="47">
        <f t="shared" si="0"/>
        <v>0</v>
      </c>
      <c r="F63" s="87">
        <v>0</v>
      </c>
      <c r="G63" s="47">
        <f t="shared" si="4"/>
        <v>0</v>
      </c>
      <c r="H63" s="88"/>
      <c r="I63" s="20">
        <v>50</v>
      </c>
      <c r="J63" s="82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+'8'!G64</f>
        <v>0</v>
      </c>
      <c r="D64" s="87">
        <v>0</v>
      </c>
      <c r="E64" s="47">
        <f t="shared" si="0"/>
        <v>0</v>
      </c>
      <c r="F64" s="87">
        <v>0</v>
      </c>
      <c r="G64" s="47">
        <f t="shared" si="4"/>
        <v>0</v>
      </c>
      <c r="H64" s="88"/>
      <c r="I64" s="21">
        <v>30</v>
      </c>
      <c r="J64" s="82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+'8'!G65</f>
        <v>0</v>
      </c>
      <c r="D65" s="87">
        <v>0</v>
      </c>
      <c r="E65" s="47">
        <f t="shared" si="0"/>
        <v>0</v>
      </c>
      <c r="F65" s="87">
        <v>0</v>
      </c>
      <c r="G65" s="47">
        <f t="shared" si="4"/>
        <v>0</v>
      </c>
      <c r="H65" s="88"/>
      <c r="I65" s="21">
        <v>30</v>
      </c>
      <c r="J65" s="82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+'8'!G66</f>
        <v>3</v>
      </c>
      <c r="D66" s="87">
        <v>0</v>
      </c>
      <c r="E66" s="47">
        <f t="shared" si="0"/>
        <v>3</v>
      </c>
      <c r="F66" s="87">
        <v>0</v>
      </c>
      <c r="G66" s="47">
        <f t="shared" si="4"/>
        <v>3</v>
      </c>
      <c r="H66" s="88"/>
      <c r="I66" s="15">
        <v>50</v>
      </c>
      <c r="J66" s="82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+'8'!G67</f>
        <v>1</v>
      </c>
      <c r="D67" s="87">
        <v>0</v>
      </c>
      <c r="E67" s="47">
        <f t="shared" si="0"/>
        <v>1</v>
      </c>
      <c r="F67" s="87">
        <v>0</v>
      </c>
      <c r="G67" s="47">
        <f t="shared" si="4"/>
        <v>1</v>
      </c>
      <c r="H67" s="88"/>
      <c r="I67" s="15">
        <v>50</v>
      </c>
      <c r="J67" s="82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+'8'!G68</f>
        <v>0</v>
      </c>
      <c r="D68" s="87">
        <v>0</v>
      </c>
      <c r="E68" s="47">
        <f t="shared" si="0"/>
        <v>0</v>
      </c>
      <c r="F68" s="87">
        <v>0</v>
      </c>
      <c r="G68" s="47">
        <f t="shared" si="4"/>
        <v>0</v>
      </c>
      <c r="H68" s="88"/>
      <c r="I68" s="20">
        <v>35</v>
      </c>
      <c r="J68" s="82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+'8'!G69</f>
        <v>0</v>
      </c>
      <c r="D69" s="87">
        <v>0</v>
      </c>
      <c r="E69" s="47">
        <f t="shared" si="0"/>
        <v>0</v>
      </c>
      <c r="F69" s="87">
        <v>0</v>
      </c>
      <c r="G69" s="47">
        <f t="shared" si="4"/>
        <v>0</v>
      </c>
      <c r="H69" s="88"/>
      <c r="I69" s="20">
        <v>25</v>
      </c>
      <c r="J69" s="82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+'8'!G70</f>
        <v>4</v>
      </c>
      <c r="D70" s="87">
        <v>0</v>
      </c>
      <c r="E70" s="47">
        <f t="shared" si="0"/>
        <v>4</v>
      </c>
      <c r="F70" s="87">
        <v>0</v>
      </c>
      <c r="G70" s="47">
        <f t="shared" si="4"/>
        <v>4</v>
      </c>
      <c r="H70" s="88"/>
      <c r="I70" s="20">
        <v>50</v>
      </c>
      <c r="J70" s="82">
        <f t="shared" si="5"/>
        <v>0</v>
      </c>
      <c r="K70" s="17" t="s">
        <v>16</v>
      </c>
      <c r="L70" s="18">
        <v>0</v>
      </c>
      <c r="M70" s="23">
        <f t="shared" ref="M70:M134" si="10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+'8'!G71</f>
        <v>3</v>
      </c>
      <c r="D71" s="87">
        <v>0</v>
      </c>
      <c r="E71" s="47">
        <f t="shared" si="0"/>
        <v>3</v>
      </c>
      <c r="F71" s="87">
        <v>0</v>
      </c>
      <c r="G71" s="47">
        <f t="shared" si="4"/>
        <v>3</v>
      </c>
      <c r="H71" s="88"/>
      <c r="I71" s="20">
        <v>60</v>
      </c>
      <c r="J71" s="82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+'8'!G72</f>
        <v>0</v>
      </c>
      <c r="D72" s="87">
        <v>0</v>
      </c>
      <c r="E72" s="47">
        <f t="shared" si="0"/>
        <v>0</v>
      </c>
      <c r="F72" s="87">
        <v>0</v>
      </c>
      <c r="G72" s="47">
        <f t="shared" si="4"/>
        <v>0</v>
      </c>
      <c r="H72" s="88"/>
      <c r="I72" s="22">
        <v>50</v>
      </c>
      <c r="J72" s="82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+'8'!G73</f>
        <v>0</v>
      </c>
      <c r="D73" s="87">
        <v>0</v>
      </c>
      <c r="E73" s="47">
        <f t="shared" si="0"/>
        <v>0</v>
      </c>
      <c r="F73" s="87">
        <v>0</v>
      </c>
      <c r="G73" s="47">
        <f t="shared" si="4"/>
        <v>0</v>
      </c>
      <c r="H73" s="88"/>
      <c r="I73" s="20">
        <v>60</v>
      </c>
      <c r="J73" s="82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+'8'!G74</f>
        <v>0</v>
      </c>
      <c r="D74" s="87">
        <v>0</v>
      </c>
      <c r="E74" s="47">
        <f t="shared" si="0"/>
        <v>0</v>
      </c>
      <c r="F74" s="87">
        <v>0</v>
      </c>
      <c r="G74" s="47">
        <f t="shared" si="4"/>
        <v>0</v>
      </c>
      <c r="H74" s="88"/>
      <c r="I74" s="22">
        <v>120</v>
      </c>
      <c r="J74" s="82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+'8'!G75</f>
        <v>0</v>
      </c>
      <c r="D75" s="87">
        <v>0</v>
      </c>
      <c r="E75" s="47">
        <f t="shared" si="0"/>
        <v>0</v>
      </c>
      <c r="F75" s="87">
        <v>0</v>
      </c>
      <c r="G75" s="47">
        <f t="shared" si="4"/>
        <v>0</v>
      </c>
      <c r="H75" s="88"/>
      <c r="I75" s="22">
        <v>60</v>
      </c>
      <c r="J75" s="82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+'8'!G76</f>
        <v>0</v>
      </c>
      <c r="D76" s="87">
        <v>0</v>
      </c>
      <c r="E76" s="47">
        <f t="shared" si="0"/>
        <v>0</v>
      </c>
      <c r="F76" s="87">
        <v>0</v>
      </c>
      <c r="G76" s="47">
        <f t="shared" si="4"/>
        <v>0</v>
      </c>
      <c r="H76" s="88"/>
      <c r="I76" s="22">
        <v>120</v>
      </c>
      <c r="J76" s="82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272</v>
      </c>
      <c r="C77" s="79">
        <f>+'8'!G77</f>
        <v>1</v>
      </c>
      <c r="D77" s="87">
        <v>0</v>
      </c>
      <c r="E77" s="47">
        <f>C77+D77</f>
        <v>1</v>
      </c>
      <c r="F77" s="87">
        <v>0</v>
      </c>
      <c r="G77" s="47">
        <f>+E77-F77-H77</f>
        <v>1</v>
      </c>
      <c r="H77" s="88"/>
      <c r="I77" s="20">
        <v>50</v>
      </c>
      <c r="J77" s="82">
        <f>+I77*H77</f>
        <v>0</v>
      </c>
      <c r="K77" s="17" t="s">
        <v>16</v>
      </c>
      <c r="L77" s="18">
        <v>0</v>
      </c>
      <c r="M77" s="23">
        <f>SUM(J77-L77)</f>
        <v>0</v>
      </c>
    </row>
    <row r="78" spans="1:13" ht="25.5" x14ac:dyDescent="0.55000000000000004">
      <c r="A78" s="10">
        <v>74</v>
      </c>
      <c r="B78" s="19" t="s">
        <v>277</v>
      </c>
      <c r="C78" s="79">
        <f>+'8'!G78</f>
        <v>0</v>
      </c>
      <c r="D78" s="87">
        <v>0</v>
      </c>
      <c r="E78" s="47">
        <f t="shared" si="0"/>
        <v>0</v>
      </c>
      <c r="F78" s="87">
        <v>0</v>
      </c>
      <c r="G78" s="47">
        <f t="shared" si="4"/>
        <v>0</v>
      </c>
      <c r="H78" s="88"/>
      <c r="I78" s="20">
        <v>50</v>
      </c>
      <c r="J78" s="82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278</v>
      </c>
      <c r="C79" s="79">
        <f>+'8'!G79</f>
        <v>0</v>
      </c>
      <c r="D79" s="87">
        <v>0</v>
      </c>
      <c r="E79" s="47">
        <f t="shared" si="0"/>
        <v>0</v>
      </c>
      <c r="F79" s="87">
        <v>0</v>
      </c>
      <c r="G79" s="47">
        <f t="shared" si="4"/>
        <v>0</v>
      </c>
      <c r="H79" s="88"/>
      <c r="I79" s="22">
        <v>120</v>
      </c>
      <c r="J79" s="82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90</v>
      </c>
      <c r="C80" s="79">
        <f>+'8'!G80</f>
        <v>6</v>
      </c>
      <c r="D80" s="87">
        <v>0</v>
      </c>
      <c r="E80" s="47">
        <f t="shared" si="0"/>
        <v>6</v>
      </c>
      <c r="F80" s="87">
        <v>0</v>
      </c>
      <c r="G80" s="47">
        <f t="shared" si="4"/>
        <v>6</v>
      </c>
      <c r="H80" s="88"/>
      <c r="I80" s="22">
        <v>50</v>
      </c>
      <c r="J80" s="82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91</v>
      </c>
      <c r="C81" s="79">
        <f>+'8'!G81</f>
        <v>0</v>
      </c>
      <c r="D81" s="87">
        <v>0</v>
      </c>
      <c r="E81" s="47">
        <f t="shared" si="0"/>
        <v>0</v>
      </c>
      <c r="F81" s="87">
        <v>0</v>
      </c>
      <c r="G81" s="47">
        <f t="shared" si="4"/>
        <v>0</v>
      </c>
      <c r="H81" s="88"/>
      <c r="I81" s="22">
        <v>50</v>
      </c>
      <c r="J81" s="82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92</v>
      </c>
      <c r="C82" s="79">
        <f>+'8'!G82</f>
        <v>4</v>
      </c>
      <c r="D82" s="87">
        <v>0</v>
      </c>
      <c r="E82" s="47">
        <f t="shared" si="0"/>
        <v>4</v>
      </c>
      <c r="F82" s="87">
        <v>0</v>
      </c>
      <c r="G82" s="47">
        <f t="shared" si="4"/>
        <v>4</v>
      </c>
      <c r="H82" s="88"/>
      <c r="I82" s="20">
        <v>55</v>
      </c>
      <c r="J82" s="82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93</v>
      </c>
      <c r="C83" s="79">
        <f>+'8'!G83</f>
        <v>4</v>
      </c>
      <c r="D83" s="87">
        <v>0</v>
      </c>
      <c r="E83" s="47">
        <f t="shared" si="0"/>
        <v>4</v>
      </c>
      <c r="F83" s="87">
        <v>0</v>
      </c>
      <c r="G83" s="47">
        <f t="shared" si="4"/>
        <v>4</v>
      </c>
      <c r="H83" s="88"/>
      <c r="I83" s="22">
        <v>55</v>
      </c>
      <c r="J83" s="82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94</v>
      </c>
      <c r="C84" s="79">
        <f>+'8'!G84</f>
        <v>0</v>
      </c>
      <c r="D84" s="87">
        <v>0</v>
      </c>
      <c r="E84" s="47">
        <f t="shared" si="0"/>
        <v>0</v>
      </c>
      <c r="F84" s="87">
        <v>0</v>
      </c>
      <c r="G84" s="47">
        <f t="shared" si="4"/>
        <v>0</v>
      </c>
      <c r="H84" s="88"/>
      <c r="I84" s="22">
        <v>55</v>
      </c>
      <c r="J84" s="82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95</v>
      </c>
      <c r="C85" s="79">
        <f>+'8'!G85</f>
        <v>0</v>
      </c>
      <c r="D85" s="87">
        <v>0</v>
      </c>
      <c r="E85" s="47">
        <f t="shared" si="0"/>
        <v>0</v>
      </c>
      <c r="F85" s="87">
        <v>0</v>
      </c>
      <c r="G85" s="47">
        <f t="shared" si="4"/>
        <v>0</v>
      </c>
      <c r="H85" s="88"/>
      <c r="I85" s="22">
        <v>55</v>
      </c>
      <c r="J85" s="82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96</v>
      </c>
      <c r="C86" s="79">
        <f>+'8'!G86</f>
        <v>9</v>
      </c>
      <c r="D86" s="87">
        <v>0</v>
      </c>
      <c r="E86" s="47">
        <f t="shared" si="0"/>
        <v>9</v>
      </c>
      <c r="F86" s="87">
        <v>0</v>
      </c>
      <c r="G86" s="47">
        <f t="shared" si="4"/>
        <v>9</v>
      </c>
      <c r="H86" s="88"/>
      <c r="I86" s="22">
        <v>100</v>
      </c>
      <c r="J86" s="82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97</v>
      </c>
      <c r="C87" s="79">
        <f>+'8'!G87</f>
        <v>7</v>
      </c>
      <c r="D87" s="87">
        <v>0</v>
      </c>
      <c r="E87" s="47">
        <f t="shared" si="0"/>
        <v>7</v>
      </c>
      <c r="F87" s="87">
        <v>0</v>
      </c>
      <c r="G87" s="47">
        <f t="shared" si="4"/>
        <v>7</v>
      </c>
      <c r="H87" s="88"/>
      <c r="I87" s="20">
        <v>55</v>
      </c>
      <c r="J87" s="82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98</v>
      </c>
      <c r="C88" s="79">
        <f>+'8'!G88</f>
        <v>4</v>
      </c>
      <c r="D88" s="87">
        <v>0</v>
      </c>
      <c r="E88" s="47">
        <f t="shared" si="0"/>
        <v>4</v>
      </c>
      <c r="F88" s="87">
        <v>0</v>
      </c>
      <c r="G88" s="47">
        <f t="shared" si="4"/>
        <v>4</v>
      </c>
      <c r="H88" s="88"/>
      <c r="I88" s="20">
        <v>60</v>
      </c>
      <c r="J88" s="82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99</v>
      </c>
      <c r="C89" s="79">
        <f>+'8'!G89</f>
        <v>3</v>
      </c>
      <c r="D89" s="87">
        <v>0</v>
      </c>
      <c r="E89" s="47">
        <f t="shared" si="0"/>
        <v>3</v>
      </c>
      <c r="F89" s="87">
        <v>0</v>
      </c>
      <c r="G89" s="47">
        <f t="shared" si="4"/>
        <v>3</v>
      </c>
      <c r="H89" s="88"/>
      <c r="I89" s="20">
        <v>100</v>
      </c>
      <c r="J89" s="82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100</v>
      </c>
      <c r="C90" s="79">
        <f>+'8'!G90</f>
        <v>10</v>
      </c>
      <c r="D90" s="87">
        <v>0</v>
      </c>
      <c r="E90" s="47">
        <f t="shared" si="0"/>
        <v>10</v>
      </c>
      <c r="F90" s="87">
        <v>0</v>
      </c>
      <c r="G90" s="47">
        <f t="shared" si="4"/>
        <v>10</v>
      </c>
      <c r="H90" s="88"/>
      <c r="I90" s="20">
        <v>55</v>
      </c>
      <c r="J90" s="82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101</v>
      </c>
      <c r="C91" s="79">
        <f>+'8'!G91</f>
        <v>0</v>
      </c>
      <c r="D91" s="87">
        <v>0</v>
      </c>
      <c r="E91" s="47">
        <f t="shared" si="0"/>
        <v>0</v>
      </c>
      <c r="F91" s="87">
        <v>0</v>
      </c>
      <c r="G91" s="47">
        <f t="shared" si="4"/>
        <v>0</v>
      </c>
      <c r="H91" s="88"/>
      <c r="I91" s="20">
        <v>50</v>
      </c>
      <c r="J91" s="82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102</v>
      </c>
      <c r="C92" s="79">
        <f>+'8'!G92</f>
        <v>0</v>
      </c>
      <c r="D92" s="87">
        <v>0</v>
      </c>
      <c r="E92" s="47">
        <f t="shared" si="0"/>
        <v>0</v>
      </c>
      <c r="F92" s="87">
        <v>0</v>
      </c>
      <c r="G92" s="47">
        <f t="shared" si="4"/>
        <v>0</v>
      </c>
      <c r="H92" s="88"/>
      <c r="I92" s="22">
        <v>50</v>
      </c>
      <c r="J92" s="82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248</v>
      </c>
      <c r="C93" s="79">
        <f>+'8'!G93</f>
        <v>0</v>
      </c>
      <c r="D93" s="87">
        <v>0</v>
      </c>
      <c r="E93" s="47">
        <f t="shared" si="0"/>
        <v>0</v>
      </c>
      <c r="F93" s="87">
        <v>0</v>
      </c>
      <c r="G93" s="47">
        <f t="shared" si="4"/>
        <v>0</v>
      </c>
      <c r="H93" s="88"/>
      <c r="I93" s="22">
        <v>120</v>
      </c>
      <c r="J93" s="82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104</v>
      </c>
      <c r="C94" s="79">
        <f>+'8'!G94</f>
        <v>0</v>
      </c>
      <c r="D94" s="87">
        <v>0</v>
      </c>
      <c r="E94" s="47">
        <f t="shared" si="0"/>
        <v>0</v>
      </c>
      <c r="F94" s="87">
        <v>0</v>
      </c>
      <c r="G94" s="47">
        <f t="shared" si="4"/>
        <v>0</v>
      </c>
      <c r="H94" s="88"/>
      <c r="I94" s="20">
        <v>250</v>
      </c>
      <c r="J94" s="82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105</v>
      </c>
      <c r="C95" s="79">
        <f>+'8'!G95</f>
        <v>0</v>
      </c>
      <c r="D95" s="87">
        <v>0</v>
      </c>
      <c r="E95" s="47">
        <f t="shared" si="0"/>
        <v>0</v>
      </c>
      <c r="F95" s="87">
        <v>0</v>
      </c>
      <c r="G95" s="47">
        <f t="shared" si="4"/>
        <v>0</v>
      </c>
      <c r="H95" s="88"/>
      <c r="I95" s="20">
        <v>120</v>
      </c>
      <c r="J95" s="82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106</v>
      </c>
      <c r="C96" s="79">
        <f>+'8'!G96</f>
        <v>0</v>
      </c>
      <c r="D96" s="87">
        <v>0</v>
      </c>
      <c r="E96" s="47">
        <f t="shared" si="0"/>
        <v>0</v>
      </c>
      <c r="F96" s="87">
        <v>0</v>
      </c>
      <c r="G96" s="47">
        <f t="shared" si="4"/>
        <v>0</v>
      </c>
      <c r="H96" s="88"/>
      <c r="I96" s="20">
        <v>120</v>
      </c>
      <c r="J96" s="82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107</v>
      </c>
      <c r="C97" s="79">
        <f>+'8'!G97</f>
        <v>0</v>
      </c>
      <c r="D97" s="87">
        <v>0</v>
      </c>
      <c r="E97" s="47">
        <f t="shared" si="0"/>
        <v>0</v>
      </c>
      <c r="F97" s="87">
        <v>0</v>
      </c>
      <c r="G97" s="47">
        <f t="shared" si="4"/>
        <v>0</v>
      </c>
      <c r="H97" s="88"/>
      <c r="I97" s="20">
        <v>120</v>
      </c>
      <c r="J97" s="82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103</v>
      </c>
      <c r="C98" s="79">
        <f>+'8'!G98</f>
        <v>0</v>
      </c>
      <c r="D98" s="87">
        <v>0</v>
      </c>
      <c r="E98" s="47">
        <f t="shared" si="0"/>
        <v>0</v>
      </c>
      <c r="F98" s="87">
        <v>0</v>
      </c>
      <c r="G98" s="47">
        <f t="shared" si="4"/>
        <v>0</v>
      </c>
      <c r="H98" s="88"/>
      <c r="I98" s="20">
        <v>120</v>
      </c>
      <c r="J98" s="82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109</v>
      </c>
      <c r="C99" s="79">
        <f>+'8'!G99</f>
        <v>0</v>
      </c>
      <c r="D99" s="87">
        <v>0</v>
      </c>
      <c r="E99" s="47">
        <f t="shared" si="0"/>
        <v>0</v>
      </c>
      <c r="F99" s="87">
        <v>0</v>
      </c>
      <c r="G99" s="47">
        <f t="shared" si="4"/>
        <v>0</v>
      </c>
      <c r="H99" s="88"/>
      <c r="I99" s="20">
        <v>50</v>
      </c>
      <c r="J99" s="82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110</v>
      </c>
      <c r="C100" s="79">
        <f>+'8'!G100</f>
        <v>0</v>
      </c>
      <c r="D100" s="87">
        <v>0</v>
      </c>
      <c r="E100" s="47">
        <f t="shared" si="0"/>
        <v>0</v>
      </c>
      <c r="F100" s="87">
        <v>0</v>
      </c>
      <c r="G100" s="47">
        <f t="shared" si="4"/>
        <v>0</v>
      </c>
      <c r="H100" s="88"/>
      <c r="I100" s="20">
        <v>50</v>
      </c>
      <c r="J100" s="82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111</v>
      </c>
      <c r="C101" s="79">
        <f>+'8'!G101</f>
        <v>0</v>
      </c>
      <c r="D101" s="87">
        <v>0</v>
      </c>
      <c r="E101" s="47">
        <f t="shared" si="0"/>
        <v>0</v>
      </c>
      <c r="F101" s="87">
        <v>0</v>
      </c>
      <c r="G101" s="47">
        <f t="shared" ref="G101:G164" si="11">+E101-F101-H101</f>
        <v>0</v>
      </c>
      <c r="H101" s="88"/>
      <c r="I101" s="20">
        <v>60</v>
      </c>
      <c r="J101" s="82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112</v>
      </c>
      <c r="C102" s="79">
        <f>+'8'!G102</f>
        <v>0</v>
      </c>
      <c r="D102" s="87">
        <v>0</v>
      </c>
      <c r="E102" s="47">
        <f t="shared" si="0"/>
        <v>0</v>
      </c>
      <c r="F102" s="87">
        <v>0</v>
      </c>
      <c r="G102" s="47">
        <f t="shared" si="11"/>
        <v>0</v>
      </c>
      <c r="H102" s="88"/>
      <c r="I102" s="20">
        <v>55</v>
      </c>
      <c r="J102" s="82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113</v>
      </c>
      <c r="C103" s="79">
        <f>+'8'!G103</f>
        <v>0</v>
      </c>
      <c r="D103" s="87">
        <v>0</v>
      </c>
      <c r="E103" s="47">
        <f t="shared" si="0"/>
        <v>0</v>
      </c>
      <c r="F103" s="87">
        <v>0</v>
      </c>
      <c r="G103" s="47">
        <f t="shared" si="11"/>
        <v>0</v>
      </c>
      <c r="H103" s="88"/>
      <c r="I103" s="20">
        <v>50</v>
      </c>
      <c r="J103" s="82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114</v>
      </c>
      <c r="C104" s="79">
        <f>+'8'!G104</f>
        <v>0</v>
      </c>
      <c r="D104" s="87">
        <v>0</v>
      </c>
      <c r="E104" s="47">
        <f t="shared" si="0"/>
        <v>0</v>
      </c>
      <c r="F104" s="87">
        <v>0</v>
      </c>
      <c r="G104" s="47">
        <f t="shared" si="11"/>
        <v>0</v>
      </c>
      <c r="H104" s="88"/>
      <c r="I104" s="20">
        <v>100</v>
      </c>
      <c r="J104" s="82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115</v>
      </c>
      <c r="C105" s="79">
        <f>+'8'!G105</f>
        <v>0</v>
      </c>
      <c r="D105" s="87">
        <v>0</v>
      </c>
      <c r="E105" s="47">
        <f t="shared" si="0"/>
        <v>0</v>
      </c>
      <c r="F105" s="87">
        <v>0</v>
      </c>
      <c r="G105" s="47">
        <f t="shared" si="11"/>
        <v>0</v>
      </c>
      <c r="H105" s="88"/>
      <c r="I105" s="20">
        <v>100</v>
      </c>
      <c r="J105" s="82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116</v>
      </c>
      <c r="C106" s="79">
        <f>+'8'!G106</f>
        <v>0</v>
      </c>
      <c r="D106" s="87">
        <v>0</v>
      </c>
      <c r="E106" s="47">
        <f t="shared" si="0"/>
        <v>0</v>
      </c>
      <c r="F106" s="87">
        <v>0</v>
      </c>
      <c r="G106" s="47">
        <f t="shared" si="11"/>
        <v>0</v>
      </c>
      <c r="H106" s="88"/>
      <c r="I106" s="22">
        <v>30</v>
      </c>
      <c r="J106" s="82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117</v>
      </c>
      <c r="C107" s="79">
        <f>+'8'!G107</f>
        <v>0</v>
      </c>
      <c r="D107" s="87">
        <v>0</v>
      </c>
      <c r="E107" s="47">
        <f t="shared" si="0"/>
        <v>0</v>
      </c>
      <c r="F107" s="87">
        <v>0</v>
      </c>
      <c r="G107" s="47">
        <f t="shared" si="11"/>
        <v>0</v>
      </c>
      <c r="H107" s="88"/>
      <c r="I107" s="22">
        <v>20</v>
      </c>
      <c r="J107" s="82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118</v>
      </c>
      <c r="C108" s="79">
        <f>+'8'!G108</f>
        <v>0</v>
      </c>
      <c r="D108" s="87">
        <v>0</v>
      </c>
      <c r="E108" s="47">
        <f t="shared" si="0"/>
        <v>0</v>
      </c>
      <c r="F108" s="87">
        <v>0</v>
      </c>
      <c r="G108" s="47">
        <f t="shared" si="11"/>
        <v>0</v>
      </c>
      <c r="H108" s="88"/>
      <c r="I108" s="20">
        <v>100</v>
      </c>
      <c r="J108" s="82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120</v>
      </c>
      <c r="C109" s="79">
        <f>+'8'!G109</f>
        <v>0</v>
      </c>
      <c r="D109" s="87">
        <v>0</v>
      </c>
      <c r="E109" s="47">
        <f t="shared" si="0"/>
        <v>0</v>
      </c>
      <c r="F109" s="87">
        <v>0</v>
      </c>
      <c r="G109" s="47">
        <f t="shared" si="11"/>
        <v>0</v>
      </c>
      <c r="H109" s="88"/>
      <c r="I109" s="20">
        <v>80</v>
      </c>
      <c r="J109" s="82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121</v>
      </c>
      <c r="C110" s="79">
        <f>+'8'!G110</f>
        <v>0</v>
      </c>
      <c r="D110" s="87">
        <v>0</v>
      </c>
      <c r="E110" s="47">
        <f t="shared" si="0"/>
        <v>0</v>
      </c>
      <c r="F110" s="87">
        <v>0</v>
      </c>
      <c r="G110" s="47">
        <f t="shared" si="11"/>
        <v>0</v>
      </c>
      <c r="H110" s="88"/>
      <c r="I110" s="20">
        <v>60</v>
      </c>
      <c r="J110" s="82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122</v>
      </c>
      <c r="C111" s="79">
        <f>+'8'!G111</f>
        <v>0</v>
      </c>
      <c r="D111" s="87">
        <v>0</v>
      </c>
      <c r="E111" s="47">
        <f t="shared" si="0"/>
        <v>0</v>
      </c>
      <c r="F111" s="87">
        <v>0</v>
      </c>
      <c r="G111" s="47">
        <f t="shared" si="11"/>
        <v>0</v>
      </c>
      <c r="H111" s="88"/>
      <c r="I111" s="20">
        <v>35</v>
      </c>
      <c r="J111" s="82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123</v>
      </c>
      <c r="C112" s="79">
        <f>+'8'!G112</f>
        <v>0</v>
      </c>
      <c r="D112" s="87">
        <v>0</v>
      </c>
      <c r="E112" s="47">
        <f t="shared" si="0"/>
        <v>0</v>
      </c>
      <c r="F112" s="87">
        <v>0</v>
      </c>
      <c r="G112" s="47">
        <f t="shared" si="11"/>
        <v>0</v>
      </c>
      <c r="H112" s="88"/>
      <c r="I112" s="20">
        <v>35</v>
      </c>
      <c r="J112" s="82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124</v>
      </c>
      <c r="C113" s="79">
        <f>+'8'!G113</f>
        <v>0</v>
      </c>
      <c r="D113" s="87">
        <v>0</v>
      </c>
      <c r="E113" s="47">
        <f t="shared" si="0"/>
        <v>0</v>
      </c>
      <c r="F113" s="87">
        <v>0</v>
      </c>
      <c r="G113" s="47">
        <f t="shared" si="11"/>
        <v>0</v>
      </c>
      <c r="H113" s="88"/>
      <c r="I113" s="20">
        <v>35</v>
      </c>
      <c r="J113" s="82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125</v>
      </c>
      <c r="C114" s="79">
        <f>+'8'!G114</f>
        <v>0</v>
      </c>
      <c r="D114" s="87">
        <v>0</v>
      </c>
      <c r="E114" s="47">
        <f t="shared" si="0"/>
        <v>0</v>
      </c>
      <c r="F114" s="87">
        <v>0</v>
      </c>
      <c r="G114" s="47">
        <f t="shared" si="11"/>
        <v>0</v>
      </c>
      <c r="H114" s="88"/>
      <c r="I114" s="20">
        <v>35</v>
      </c>
      <c r="J114" s="82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126</v>
      </c>
      <c r="C115" s="79">
        <f>+'8'!G115</f>
        <v>0</v>
      </c>
      <c r="D115" s="87">
        <v>0</v>
      </c>
      <c r="E115" s="47">
        <f t="shared" si="0"/>
        <v>0</v>
      </c>
      <c r="F115" s="87">
        <v>0</v>
      </c>
      <c r="G115" s="47">
        <f t="shared" si="11"/>
        <v>0</v>
      </c>
      <c r="H115" s="88"/>
      <c r="I115" s="20">
        <v>35</v>
      </c>
      <c r="J115" s="82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127</v>
      </c>
      <c r="C116" s="79">
        <f>+'8'!G116</f>
        <v>0</v>
      </c>
      <c r="D116" s="87">
        <v>0</v>
      </c>
      <c r="E116" s="47">
        <f t="shared" si="0"/>
        <v>0</v>
      </c>
      <c r="F116" s="87">
        <v>0</v>
      </c>
      <c r="G116" s="47">
        <f t="shared" si="11"/>
        <v>0</v>
      </c>
      <c r="H116" s="88"/>
      <c r="I116" s="20">
        <v>30</v>
      </c>
      <c r="J116" s="82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128</v>
      </c>
      <c r="C117" s="79">
        <f>+'8'!G117</f>
        <v>0</v>
      </c>
      <c r="D117" s="87">
        <v>0</v>
      </c>
      <c r="E117" s="47">
        <f t="shared" si="0"/>
        <v>0</v>
      </c>
      <c r="F117" s="87">
        <v>0</v>
      </c>
      <c r="G117" s="47">
        <f t="shared" si="11"/>
        <v>0</v>
      </c>
      <c r="H117" s="88"/>
      <c r="I117" s="20">
        <v>30</v>
      </c>
      <c r="J117" s="82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129</v>
      </c>
      <c r="C118" s="79">
        <f>+'8'!G118</f>
        <v>0</v>
      </c>
      <c r="D118" s="87">
        <v>0</v>
      </c>
      <c r="E118" s="47">
        <f t="shared" si="0"/>
        <v>0</v>
      </c>
      <c r="F118" s="87">
        <v>0</v>
      </c>
      <c r="G118" s="47">
        <f t="shared" si="11"/>
        <v>0</v>
      </c>
      <c r="H118" s="88"/>
      <c r="I118" s="20">
        <v>30</v>
      </c>
      <c r="J118" s="82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130</v>
      </c>
      <c r="C119" s="79">
        <f>+'8'!G119</f>
        <v>0</v>
      </c>
      <c r="D119" s="87">
        <v>0</v>
      </c>
      <c r="E119" s="47">
        <f t="shared" si="0"/>
        <v>0</v>
      </c>
      <c r="F119" s="87">
        <v>0</v>
      </c>
      <c r="G119" s="47">
        <f t="shared" si="11"/>
        <v>0</v>
      </c>
      <c r="H119" s="88"/>
      <c r="I119" s="20">
        <v>30</v>
      </c>
      <c r="J119" s="82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131</v>
      </c>
      <c r="C120" s="79">
        <f>+'8'!G120</f>
        <v>0</v>
      </c>
      <c r="D120" s="87">
        <v>0</v>
      </c>
      <c r="E120" s="47">
        <f t="shared" si="0"/>
        <v>0</v>
      </c>
      <c r="F120" s="87">
        <v>0</v>
      </c>
      <c r="G120" s="47">
        <f t="shared" si="11"/>
        <v>0</v>
      </c>
      <c r="H120" s="88"/>
      <c r="I120" s="20">
        <v>30</v>
      </c>
      <c r="J120" s="82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132</v>
      </c>
      <c r="C121" s="79">
        <f>+'8'!G121</f>
        <v>0</v>
      </c>
      <c r="D121" s="87">
        <v>0</v>
      </c>
      <c r="E121" s="47">
        <f t="shared" si="0"/>
        <v>0</v>
      </c>
      <c r="F121" s="87">
        <v>0</v>
      </c>
      <c r="G121" s="47">
        <f t="shared" si="11"/>
        <v>0</v>
      </c>
      <c r="H121" s="88"/>
      <c r="I121" s="20">
        <v>30</v>
      </c>
      <c r="J121" s="82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133</v>
      </c>
      <c r="C122" s="79">
        <f>+'8'!G122</f>
        <v>0</v>
      </c>
      <c r="D122" s="87">
        <v>0</v>
      </c>
      <c r="E122" s="47">
        <f t="shared" si="0"/>
        <v>0</v>
      </c>
      <c r="F122" s="87">
        <v>0</v>
      </c>
      <c r="G122" s="47">
        <f t="shared" si="11"/>
        <v>0</v>
      </c>
      <c r="H122" s="88"/>
      <c r="I122" s="20">
        <v>40</v>
      </c>
      <c r="J122" s="82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134</v>
      </c>
      <c r="C123" s="79">
        <f>+'8'!G123</f>
        <v>0</v>
      </c>
      <c r="D123" s="87">
        <v>0</v>
      </c>
      <c r="E123" s="47">
        <f t="shared" si="0"/>
        <v>0</v>
      </c>
      <c r="F123" s="87">
        <v>0</v>
      </c>
      <c r="G123" s="47">
        <f t="shared" si="11"/>
        <v>0</v>
      </c>
      <c r="H123" s="88"/>
      <c r="I123" s="20">
        <v>35</v>
      </c>
      <c r="J123" s="82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135</v>
      </c>
      <c r="C124" s="79">
        <f>+'8'!G124</f>
        <v>0</v>
      </c>
      <c r="D124" s="87">
        <v>0</v>
      </c>
      <c r="E124" s="47">
        <f t="shared" si="0"/>
        <v>0</v>
      </c>
      <c r="F124" s="87">
        <v>0</v>
      </c>
      <c r="G124" s="47">
        <f t="shared" si="11"/>
        <v>0</v>
      </c>
      <c r="H124" s="88"/>
      <c r="I124" s="20">
        <v>40</v>
      </c>
      <c r="J124" s="82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136</v>
      </c>
      <c r="C125" s="79">
        <f>+'8'!G125</f>
        <v>0</v>
      </c>
      <c r="D125" s="87">
        <v>0</v>
      </c>
      <c r="E125" s="47">
        <f t="shared" si="0"/>
        <v>0</v>
      </c>
      <c r="F125" s="87">
        <v>0</v>
      </c>
      <c r="G125" s="47">
        <f t="shared" si="11"/>
        <v>0</v>
      </c>
      <c r="H125" s="88"/>
      <c r="I125" s="20">
        <v>40</v>
      </c>
      <c r="J125" s="82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137</v>
      </c>
      <c r="C126" s="79">
        <f>+'8'!G126</f>
        <v>0</v>
      </c>
      <c r="D126" s="87">
        <v>0</v>
      </c>
      <c r="E126" s="47">
        <f t="shared" ref="E126:E189" si="13">C126+D126</f>
        <v>0</v>
      </c>
      <c r="F126" s="87">
        <v>0</v>
      </c>
      <c r="G126" s="47">
        <f t="shared" si="11"/>
        <v>0</v>
      </c>
      <c r="H126" s="88"/>
      <c r="I126" s="20">
        <v>30</v>
      </c>
      <c r="J126" s="82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138</v>
      </c>
      <c r="C127" s="79">
        <f>+'8'!G127</f>
        <v>0</v>
      </c>
      <c r="D127" s="87">
        <v>0</v>
      </c>
      <c r="E127" s="47">
        <f t="shared" si="13"/>
        <v>0</v>
      </c>
      <c r="F127" s="87">
        <v>0</v>
      </c>
      <c r="G127" s="47">
        <f t="shared" si="11"/>
        <v>0</v>
      </c>
      <c r="H127" s="88"/>
      <c r="I127" s="20">
        <v>40</v>
      </c>
      <c r="J127" s="82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139</v>
      </c>
      <c r="C128" s="79">
        <f>+'8'!G128</f>
        <v>77</v>
      </c>
      <c r="D128" s="87">
        <v>0</v>
      </c>
      <c r="E128" s="47">
        <f t="shared" si="13"/>
        <v>77</v>
      </c>
      <c r="F128" s="87">
        <v>0</v>
      </c>
      <c r="G128" s="47">
        <f t="shared" si="11"/>
        <v>77</v>
      </c>
      <c r="H128" s="88"/>
      <c r="I128" s="20">
        <v>10</v>
      </c>
      <c r="J128" s="82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140</v>
      </c>
      <c r="C129" s="79">
        <f>+'8'!G129</f>
        <v>0</v>
      </c>
      <c r="D129" s="87">
        <v>0</v>
      </c>
      <c r="E129" s="47">
        <f t="shared" si="13"/>
        <v>0</v>
      </c>
      <c r="F129" s="87">
        <v>0</v>
      </c>
      <c r="G129" s="47">
        <f t="shared" si="11"/>
        <v>0</v>
      </c>
      <c r="H129" s="88"/>
      <c r="I129" s="20">
        <v>35</v>
      </c>
      <c r="J129" s="82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141</v>
      </c>
      <c r="C130" s="79">
        <f>+'8'!G130</f>
        <v>0</v>
      </c>
      <c r="D130" s="87">
        <v>0</v>
      </c>
      <c r="E130" s="47">
        <f t="shared" si="13"/>
        <v>0</v>
      </c>
      <c r="F130" s="87">
        <v>0</v>
      </c>
      <c r="G130" s="47">
        <f t="shared" si="11"/>
        <v>0</v>
      </c>
      <c r="H130" s="88"/>
      <c r="I130" s="20">
        <v>40</v>
      </c>
      <c r="J130" s="82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142</v>
      </c>
      <c r="C131" s="79">
        <f>+'8'!G131</f>
        <v>0</v>
      </c>
      <c r="D131" s="87">
        <v>0</v>
      </c>
      <c r="E131" s="47">
        <f t="shared" si="13"/>
        <v>0</v>
      </c>
      <c r="F131" s="87">
        <v>0</v>
      </c>
      <c r="G131" s="47">
        <f t="shared" si="11"/>
        <v>0</v>
      </c>
      <c r="H131" s="88"/>
      <c r="I131" s="20">
        <v>50</v>
      </c>
      <c r="J131" s="82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143</v>
      </c>
      <c r="C132" s="79">
        <f>+'8'!G132</f>
        <v>0</v>
      </c>
      <c r="D132" s="87">
        <v>0</v>
      </c>
      <c r="E132" s="47">
        <f t="shared" si="13"/>
        <v>0</v>
      </c>
      <c r="F132" s="87">
        <v>0</v>
      </c>
      <c r="G132" s="47">
        <f t="shared" si="11"/>
        <v>0</v>
      </c>
      <c r="H132" s="88"/>
      <c r="I132" s="20">
        <v>55</v>
      </c>
      <c r="J132" s="82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144</v>
      </c>
      <c r="C133" s="79">
        <f>+'8'!G133</f>
        <v>0</v>
      </c>
      <c r="D133" s="87">
        <v>0</v>
      </c>
      <c r="E133" s="47">
        <f t="shared" si="13"/>
        <v>0</v>
      </c>
      <c r="F133" s="87">
        <v>0</v>
      </c>
      <c r="G133" s="47">
        <f t="shared" si="11"/>
        <v>0</v>
      </c>
      <c r="H133" s="88"/>
      <c r="I133" s="20">
        <v>55</v>
      </c>
      <c r="J133" s="82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145</v>
      </c>
      <c r="C134" s="79">
        <f>+'8'!G134</f>
        <v>0</v>
      </c>
      <c r="D134" s="87">
        <v>0</v>
      </c>
      <c r="E134" s="47">
        <f t="shared" si="13"/>
        <v>0</v>
      </c>
      <c r="F134" s="87">
        <v>0</v>
      </c>
      <c r="G134" s="47">
        <f t="shared" si="11"/>
        <v>0</v>
      </c>
      <c r="H134" s="88"/>
      <c r="I134" s="20">
        <v>45</v>
      </c>
      <c r="J134" s="82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5.5" x14ac:dyDescent="0.55000000000000004">
      <c r="A135" s="10">
        <v>131</v>
      </c>
      <c r="B135" s="19" t="s">
        <v>146</v>
      </c>
      <c r="C135" s="79">
        <f>+'8'!G135</f>
        <v>0</v>
      </c>
      <c r="D135" s="87">
        <v>0</v>
      </c>
      <c r="E135" s="47">
        <f t="shared" si="13"/>
        <v>0</v>
      </c>
      <c r="F135" s="87">
        <v>0</v>
      </c>
      <c r="G135" s="47">
        <f t="shared" si="11"/>
        <v>0</v>
      </c>
      <c r="H135" s="88"/>
      <c r="I135" s="20">
        <v>45</v>
      </c>
      <c r="J135" s="82">
        <f t="shared" si="12"/>
        <v>0</v>
      </c>
      <c r="K135" s="17" t="s">
        <v>16</v>
      </c>
      <c r="L135" s="18">
        <v>0</v>
      </c>
      <c r="M135" s="23">
        <f t="shared" ref="M135:M198" si="14">SUM(J135-L135)</f>
        <v>0</v>
      </c>
    </row>
    <row r="136" spans="1:13" ht="25.5" x14ac:dyDescent="0.55000000000000004">
      <c r="A136" s="10">
        <v>132</v>
      </c>
      <c r="B136" s="19" t="s">
        <v>147</v>
      </c>
      <c r="C136" s="79">
        <f>+'8'!G136</f>
        <v>0</v>
      </c>
      <c r="D136" s="87">
        <v>0</v>
      </c>
      <c r="E136" s="47">
        <f t="shared" si="13"/>
        <v>0</v>
      </c>
      <c r="F136" s="87">
        <v>0</v>
      </c>
      <c r="G136" s="47">
        <f t="shared" si="11"/>
        <v>0</v>
      </c>
      <c r="H136" s="88"/>
      <c r="I136" s="20">
        <v>55</v>
      </c>
      <c r="J136" s="82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148</v>
      </c>
      <c r="C137" s="79">
        <f>+'8'!G137</f>
        <v>0</v>
      </c>
      <c r="D137" s="87">
        <v>0</v>
      </c>
      <c r="E137" s="47">
        <f t="shared" si="13"/>
        <v>0</v>
      </c>
      <c r="F137" s="87">
        <v>0</v>
      </c>
      <c r="G137" s="47">
        <f t="shared" si="11"/>
        <v>0</v>
      </c>
      <c r="H137" s="88"/>
      <c r="I137" s="20">
        <v>45</v>
      </c>
      <c r="J137" s="82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149</v>
      </c>
      <c r="C138" s="79">
        <f>+'8'!G138</f>
        <v>0</v>
      </c>
      <c r="D138" s="87">
        <v>0</v>
      </c>
      <c r="E138" s="47">
        <f t="shared" si="13"/>
        <v>0</v>
      </c>
      <c r="F138" s="87">
        <v>0</v>
      </c>
      <c r="G138" s="47">
        <f t="shared" si="11"/>
        <v>0</v>
      </c>
      <c r="H138" s="88"/>
      <c r="I138" s="20">
        <v>45</v>
      </c>
      <c r="J138" s="82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150</v>
      </c>
      <c r="C139" s="79">
        <f>+'8'!G139</f>
        <v>0</v>
      </c>
      <c r="D139" s="87">
        <v>0</v>
      </c>
      <c r="E139" s="47">
        <f t="shared" si="13"/>
        <v>0</v>
      </c>
      <c r="F139" s="87">
        <v>0</v>
      </c>
      <c r="G139" s="47">
        <f t="shared" si="11"/>
        <v>0</v>
      </c>
      <c r="H139" s="88"/>
      <c r="I139" s="20">
        <v>45</v>
      </c>
      <c r="J139" s="82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151</v>
      </c>
      <c r="C140" s="79">
        <f>+'8'!G140</f>
        <v>0</v>
      </c>
      <c r="D140" s="87">
        <v>0</v>
      </c>
      <c r="E140" s="47">
        <f t="shared" si="13"/>
        <v>0</v>
      </c>
      <c r="F140" s="87">
        <v>0</v>
      </c>
      <c r="G140" s="47">
        <f t="shared" si="11"/>
        <v>0</v>
      </c>
      <c r="H140" s="88"/>
      <c r="I140" s="20">
        <v>45</v>
      </c>
      <c r="J140" s="82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152</v>
      </c>
      <c r="C141" s="79">
        <f>+'8'!G141</f>
        <v>0</v>
      </c>
      <c r="D141" s="87">
        <v>0</v>
      </c>
      <c r="E141" s="47">
        <f t="shared" si="13"/>
        <v>0</v>
      </c>
      <c r="F141" s="87">
        <v>0</v>
      </c>
      <c r="G141" s="47">
        <f t="shared" si="11"/>
        <v>0</v>
      </c>
      <c r="H141" s="88"/>
      <c r="I141" s="20">
        <v>45</v>
      </c>
      <c r="J141" s="82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153</v>
      </c>
      <c r="C142" s="79">
        <f>+'8'!G142</f>
        <v>0</v>
      </c>
      <c r="D142" s="87">
        <v>0</v>
      </c>
      <c r="E142" s="47">
        <f t="shared" si="13"/>
        <v>0</v>
      </c>
      <c r="F142" s="87">
        <v>0</v>
      </c>
      <c r="G142" s="47">
        <f t="shared" si="11"/>
        <v>0</v>
      </c>
      <c r="H142" s="88"/>
      <c r="I142" s="20">
        <v>45</v>
      </c>
      <c r="J142" s="82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154</v>
      </c>
      <c r="C143" s="79">
        <f>+'8'!G143</f>
        <v>0</v>
      </c>
      <c r="D143" s="87">
        <v>0</v>
      </c>
      <c r="E143" s="47">
        <f t="shared" si="13"/>
        <v>0</v>
      </c>
      <c r="F143" s="87">
        <v>0</v>
      </c>
      <c r="G143" s="47">
        <f t="shared" si="11"/>
        <v>0</v>
      </c>
      <c r="H143" s="88"/>
      <c r="I143" s="20">
        <v>120</v>
      </c>
      <c r="J143" s="82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155</v>
      </c>
      <c r="C144" s="79">
        <f>+'8'!G144</f>
        <v>0</v>
      </c>
      <c r="D144" s="87">
        <v>0</v>
      </c>
      <c r="E144" s="47">
        <f t="shared" si="13"/>
        <v>0</v>
      </c>
      <c r="F144" s="87">
        <v>0</v>
      </c>
      <c r="G144" s="47">
        <f t="shared" si="11"/>
        <v>0</v>
      </c>
      <c r="H144" s="88"/>
      <c r="I144" s="20">
        <v>120</v>
      </c>
      <c r="J144" s="82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156</v>
      </c>
      <c r="C145" s="79">
        <f>+'8'!G145</f>
        <v>0</v>
      </c>
      <c r="D145" s="87">
        <v>0</v>
      </c>
      <c r="E145" s="47">
        <f t="shared" si="13"/>
        <v>0</v>
      </c>
      <c r="F145" s="87">
        <v>0</v>
      </c>
      <c r="G145" s="47">
        <f t="shared" si="11"/>
        <v>0</v>
      </c>
      <c r="H145" s="88"/>
      <c r="I145" s="20">
        <v>120</v>
      </c>
      <c r="J145" s="82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157</v>
      </c>
      <c r="C146" s="79">
        <f>+'8'!G146</f>
        <v>0</v>
      </c>
      <c r="D146" s="87">
        <v>0</v>
      </c>
      <c r="E146" s="47">
        <f t="shared" si="13"/>
        <v>0</v>
      </c>
      <c r="F146" s="87">
        <v>0</v>
      </c>
      <c r="G146" s="47">
        <f t="shared" si="11"/>
        <v>0</v>
      </c>
      <c r="H146" s="88"/>
      <c r="I146" s="20">
        <v>120</v>
      </c>
      <c r="J146" s="82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158</v>
      </c>
      <c r="C147" s="79">
        <f>+'8'!G147</f>
        <v>0</v>
      </c>
      <c r="D147" s="87">
        <v>0</v>
      </c>
      <c r="E147" s="47">
        <f t="shared" si="13"/>
        <v>0</v>
      </c>
      <c r="F147" s="87">
        <v>0</v>
      </c>
      <c r="G147" s="47">
        <f t="shared" si="11"/>
        <v>0</v>
      </c>
      <c r="H147" s="88"/>
      <c r="I147" s="20">
        <v>185</v>
      </c>
      <c r="J147" s="82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159</v>
      </c>
      <c r="C148" s="79">
        <f>+'8'!G148</f>
        <v>0</v>
      </c>
      <c r="D148" s="87">
        <v>0</v>
      </c>
      <c r="E148" s="47">
        <f t="shared" si="13"/>
        <v>0</v>
      </c>
      <c r="F148" s="87">
        <v>0</v>
      </c>
      <c r="G148" s="47">
        <f t="shared" si="11"/>
        <v>0</v>
      </c>
      <c r="H148" s="88"/>
      <c r="I148" s="20">
        <v>185</v>
      </c>
      <c r="J148" s="82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160</v>
      </c>
      <c r="C149" s="79">
        <f>+'8'!G149</f>
        <v>0</v>
      </c>
      <c r="D149" s="87">
        <v>0</v>
      </c>
      <c r="E149" s="47">
        <f t="shared" si="13"/>
        <v>0</v>
      </c>
      <c r="F149" s="87">
        <v>0</v>
      </c>
      <c r="G149" s="47">
        <f t="shared" si="11"/>
        <v>0</v>
      </c>
      <c r="H149" s="88"/>
      <c r="I149" s="20">
        <v>185</v>
      </c>
      <c r="J149" s="82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161</v>
      </c>
      <c r="C150" s="79">
        <f>+'8'!G150</f>
        <v>0</v>
      </c>
      <c r="D150" s="87">
        <v>0</v>
      </c>
      <c r="E150" s="47">
        <f t="shared" si="13"/>
        <v>0</v>
      </c>
      <c r="F150" s="87">
        <v>0</v>
      </c>
      <c r="G150" s="47">
        <f t="shared" si="11"/>
        <v>0</v>
      </c>
      <c r="H150" s="88"/>
      <c r="I150" s="20">
        <v>185</v>
      </c>
      <c r="J150" s="82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5.5" x14ac:dyDescent="0.55000000000000004">
      <c r="A151" s="10">
        <v>147</v>
      </c>
      <c r="B151" s="19" t="s">
        <v>279</v>
      </c>
      <c r="C151" s="79">
        <f>+'8'!G151</f>
        <v>0</v>
      </c>
      <c r="D151" s="87">
        <v>0</v>
      </c>
      <c r="E151" s="47">
        <f t="shared" si="13"/>
        <v>0</v>
      </c>
      <c r="F151" s="87">
        <v>0</v>
      </c>
      <c r="G151" s="47">
        <f t="shared" si="11"/>
        <v>0</v>
      </c>
      <c r="H151" s="88"/>
      <c r="I151" s="20">
        <v>150</v>
      </c>
      <c r="J151" s="82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280</v>
      </c>
      <c r="C152" s="79">
        <f>+'8'!G152</f>
        <v>1</v>
      </c>
      <c r="D152" s="87">
        <v>0</v>
      </c>
      <c r="E152" s="47">
        <f t="shared" si="13"/>
        <v>1</v>
      </c>
      <c r="F152" s="87">
        <v>0</v>
      </c>
      <c r="G152" s="47">
        <f t="shared" si="11"/>
        <v>1</v>
      </c>
      <c r="H152" s="88"/>
      <c r="I152" s="20">
        <v>150</v>
      </c>
      <c r="J152" s="82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5.5" x14ac:dyDescent="0.55000000000000004">
      <c r="A153" s="10">
        <v>149</v>
      </c>
      <c r="B153" s="19" t="s">
        <v>281</v>
      </c>
      <c r="C153" s="79">
        <f>+'8'!G153</f>
        <v>1</v>
      </c>
      <c r="D153" s="87">
        <v>0</v>
      </c>
      <c r="E153" s="47">
        <f t="shared" si="13"/>
        <v>1</v>
      </c>
      <c r="F153" s="87">
        <v>0</v>
      </c>
      <c r="G153" s="47">
        <f t="shared" si="11"/>
        <v>1</v>
      </c>
      <c r="H153" s="88"/>
      <c r="I153" s="20">
        <v>150</v>
      </c>
      <c r="J153" s="82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282</v>
      </c>
      <c r="C154" s="79">
        <f>+'8'!G154</f>
        <v>0</v>
      </c>
      <c r="D154" s="87">
        <v>0</v>
      </c>
      <c r="E154" s="47">
        <f t="shared" si="13"/>
        <v>0</v>
      </c>
      <c r="F154" s="87">
        <v>0</v>
      </c>
      <c r="G154" s="47">
        <f t="shared" si="11"/>
        <v>0</v>
      </c>
      <c r="H154" s="88"/>
      <c r="I154" s="20">
        <v>150</v>
      </c>
      <c r="J154" s="82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166</v>
      </c>
      <c r="C155" s="79">
        <f>+'8'!G155</f>
        <v>0</v>
      </c>
      <c r="D155" s="87">
        <v>0</v>
      </c>
      <c r="E155" s="47">
        <f t="shared" si="13"/>
        <v>0</v>
      </c>
      <c r="F155" s="87">
        <v>0</v>
      </c>
      <c r="G155" s="47">
        <f t="shared" si="11"/>
        <v>0</v>
      </c>
      <c r="H155" s="88"/>
      <c r="I155" s="20">
        <v>185</v>
      </c>
      <c r="J155" s="82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167</v>
      </c>
      <c r="C156" s="79">
        <f>+'8'!G156</f>
        <v>0</v>
      </c>
      <c r="D156" s="87">
        <v>0</v>
      </c>
      <c r="E156" s="47">
        <f t="shared" si="13"/>
        <v>0</v>
      </c>
      <c r="F156" s="87">
        <v>0</v>
      </c>
      <c r="G156" s="47">
        <f t="shared" si="11"/>
        <v>0</v>
      </c>
      <c r="H156" s="88"/>
      <c r="I156" s="20">
        <v>185</v>
      </c>
      <c r="J156" s="82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168</v>
      </c>
      <c r="C157" s="79">
        <f>+'8'!G157</f>
        <v>0</v>
      </c>
      <c r="D157" s="87">
        <v>0</v>
      </c>
      <c r="E157" s="47">
        <f t="shared" si="13"/>
        <v>0</v>
      </c>
      <c r="F157" s="87">
        <v>0</v>
      </c>
      <c r="G157" s="47">
        <f t="shared" si="11"/>
        <v>0</v>
      </c>
      <c r="H157" s="88"/>
      <c r="I157" s="20">
        <v>185</v>
      </c>
      <c r="J157" s="82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169</v>
      </c>
      <c r="C158" s="79">
        <f>+'8'!G158</f>
        <v>0</v>
      </c>
      <c r="D158" s="87">
        <v>0</v>
      </c>
      <c r="E158" s="47">
        <f t="shared" si="13"/>
        <v>0</v>
      </c>
      <c r="F158" s="87">
        <v>0</v>
      </c>
      <c r="G158" s="47">
        <f t="shared" si="11"/>
        <v>0</v>
      </c>
      <c r="H158" s="88"/>
      <c r="I158" s="20">
        <v>185</v>
      </c>
      <c r="J158" s="82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170</v>
      </c>
      <c r="C159" s="79">
        <f>+'8'!G159</f>
        <v>0</v>
      </c>
      <c r="D159" s="87">
        <v>0</v>
      </c>
      <c r="E159" s="47">
        <f t="shared" si="13"/>
        <v>0</v>
      </c>
      <c r="F159" s="87">
        <v>0</v>
      </c>
      <c r="G159" s="47">
        <f t="shared" si="11"/>
        <v>0</v>
      </c>
      <c r="H159" s="88"/>
      <c r="I159" s="20">
        <v>135</v>
      </c>
      <c r="J159" s="82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171</v>
      </c>
      <c r="C160" s="79">
        <f>+'8'!G160</f>
        <v>0</v>
      </c>
      <c r="D160" s="87">
        <v>0</v>
      </c>
      <c r="E160" s="47">
        <f t="shared" si="13"/>
        <v>0</v>
      </c>
      <c r="F160" s="87">
        <v>0</v>
      </c>
      <c r="G160" s="47">
        <f t="shared" si="11"/>
        <v>0</v>
      </c>
      <c r="H160" s="88"/>
      <c r="I160" s="20">
        <v>90</v>
      </c>
      <c r="J160" s="82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172</v>
      </c>
      <c r="C161" s="79">
        <f>+'8'!G161</f>
        <v>0</v>
      </c>
      <c r="D161" s="87">
        <v>0</v>
      </c>
      <c r="E161" s="47">
        <f t="shared" si="13"/>
        <v>0</v>
      </c>
      <c r="F161" s="87">
        <v>0</v>
      </c>
      <c r="G161" s="47">
        <f t="shared" si="11"/>
        <v>0</v>
      </c>
      <c r="H161" s="88"/>
      <c r="I161" s="20">
        <v>90</v>
      </c>
      <c r="J161" s="82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173</v>
      </c>
      <c r="C162" s="79">
        <f>+'8'!G162</f>
        <v>0</v>
      </c>
      <c r="D162" s="87">
        <v>0</v>
      </c>
      <c r="E162" s="47">
        <f t="shared" si="13"/>
        <v>0</v>
      </c>
      <c r="F162" s="87">
        <v>0</v>
      </c>
      <c r="G162" s="47">
        <f t="shared" si="11"/>
        <v>0</v>
      </c>
      <c r="H162" s="88"/>
      <c r="I162" s="20">
        <v>90</v>
      </c>
      <c r="J162" s="82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174</v>
      </c>
      <c r="C163" s="79">
        <f>+'8'!G163</f>
        <v>0</v>
      </c>
      <c r="D163" s="87">
        <v>0</v>
      </c>
      <c r="E163" s="47">
        <f t="shared" si="13"/>
        <v>0</v>
      </c>
      <c r="F163" s="87">
        <v>0</v>
      </c>
      <c r="G163" s="47">
        <f t="shared" si="11"/>
        <v>0</v>
      </c>
      <c r="H163" s="88"/>
      <c r="I163" s="20">
        <v>90</v>
      </c>
      <c r="J163" s="82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175</v>
      </c>
      <c r="C164" s="79">
        <f>+'8'!G164</f>
        <v>0</v>
      </c>
      <c r="D164" s="87">
        <v>0</v>
      </c>
      <c r="E164" s="47">
        <f t="shared" si="13"/>
        <v>0</v>
      </c>
      <c r="F164" s="87">
        <v>0</v>
      </c>
      <c r="G164" s="47">
        <f t="shared" si="11"/>
        <v>0</v>
      </c>
      <c r="H164" s="88"/>
      <c r="I164" s="20">
        <v>25</v>
      </c>
      <c r="J164" s="82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176</v>
      </c>
      <c r="C165" s="79">
        <f>+'8'!G165</f>
        <v>0</v>
      </c>
      <c r="D165" s="87">
        <v>0</v>
      </c>
      <c r="E165" s="47">
        <f t="shared" si="13"/>
        <v>0</v>
      </c>
      <c r="F165" s="87">
        <v>0</v>
      </c>
      <c r="G165" s="47">
        <f t="shared" ref="G165:G227" si="15">+E165-F165-H165</f>
        <v>0</v>
      </c>
      <c r="H165" s="88"/>
      <c r="I165" s="20">
        <v>50</v>
      </c>
      <c r="J165" s="82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177</v>
      </c>
      <c r="C166" s="79">
        <f>+'8'!G166</f>
        <v>0</v>
      </c>
      <c r="D166" s="87">
        <v>0</v>
      </c>
      <c r="E166" s="47">
        <f t="shared" si="13"/>
        <v>0</v>
      </c>
      <c r="F166" s="87">
        <v>0</v>
      </c>
      <c r="G166" s="47">
        <f t="shared" si="15"/>
        <v>0</v>
      </c>
      <c r="H166" s="88"/>
      <c r="I166" s="20">
        <v>50</v>
      </c>
      <c r="J166" s="82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178</v>
      </c>
      <c r="C167" s="79">
        <f>+'8'!G167</f>
        <v>0</v>
      </c>
      <c r="D167" s="87">
        <v>0</v>
      </c>
      <c r="E167" s="47">
        <f t="shared" si="13"/>
        <v>0</v>
      </c>
      <c r="F167" s="87">
        <v>0</v>
      </c>
      <c r="G167" s="47">
        <f t="shared" si="15"/>
        <v>0</v>
      </c>
      <c r="H167" s="88"/>
      <c r="I167" s="20">
        <v>50</v>
      </c>
      <c r="J167" s="82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179</v>
      </c>
      <c r="C168" s="79">
        <f>+'8'!G168</f>
        <v>7</v>
      </c>
      <c r="D168" s="87">
        <v>0</v>
      </c>
      <c r="E168" s="47">
        <f t="shared" si="13"/>
        <v>7</v>
      </c>
      <c r="F168" s="87">
        <v>0</v>
      </c>
      <c r="G168" s="47">
        <f t="shared" si="15"/>
        <v>7</v>
      </c>
      <c r="H168" s="88"/>
      <c r="I168" s="20">
        <v>50</v>
      </c>
      <c r="J168" s="82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180</v>
      </c>
      <c r="C169" s="79">
        <f>+'8'!G169</f>
        <v>44</v>
      </c>
      <c r="D169" s="87">
        <v>0</v>
      </c>
      <c r="E169" s="47">
        <f t="shared" si="13"/>
        <v>44</v>
      </c>
      <c r="F169" s="87">
        <v>0</v>
      </c>
      <c r="G169" s="47">
        <f t="shared" si="15"/>
        <v>44</v>
      </c>
      <c r="H169" s="88"/>
      <c r="I169" s="20">
        <v>55</v>
      </c>
      <c r="J169" s="82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181</v>
      </c>
      <c r="C170" s="79">
        <f>+'8'!G170</f>
        <v>0</v>
      </c>
      <c r="D170" s="87">
        <v>0</v>
      </c>
      <c r="E170" s="47">
        <f t="shared" si="13"/>
        <v>0</v>
      </c>
      <c r="F170" s="87">
        <v>0</v>
      </c>
      <c r="G170" s="47">
        <f t="shared" si="15"/>
        <v>0</v>
      </c>
      <c r="H170" s="88"/>
      <c r="I170" s="20">
        <v>85</v>
      </c>
      <c r="J170" s="82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182</v>
      </c>
      <c r="C171" s="79">
        <f>+'8'!G171</f>
        <v>11</v>
      </c>
      <c r="D171" s="87">
        <v>0</v>
      </c>
      <c r="E171" s="47">
        <f t="shared" si="13"/>
        <v>11</v>
      </c>
      <c r="F171" s="87">
        <v>0</v>
      </c>
      <c r="G171" s="47">
        <f t="shared" si="15"/>
        <v>11</v>
      </c>
      <c r="H171" s="88"/>
      <c r="I171" s="20">
        <v>80</v>
      </c>
      <c r="J171" s="82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183</v>
      </c>
      <c r="C172" s="79">
        <f>+'8'!G172</f>
        <v>0</v>
      </c>
      <c r="D172" s="87">
        <v>0</v>
      </c>
      <c r="E172" s="47">
        <f t="shared" si="13"/>
        <v>0</v>
      </c>
      <c r="F172" s="87">
        <v>0</v>
      </c>
      <c r="G172" s="47">
        <f t="shared" si="15"/>
        <v>0</v>
      </c>
      <c r="H172" s="88"/>
      <c r="I172" s="20">
        <v>40</v>
      </c>
      <c r="J172" s="82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184</v>
      </c>
      <c r="C173" s="79">
        <f>+'8'!G173</f>
        <v>0</v>
      </c>
      <c r="D173" s="87">
        <v>0</v>
      </c>
      <c r="E173" s="47">
        <f t="shared" si="13"/>
        <v>0</v>
      </c>
      <c r="F173" s="87">
        <v>0</v>
      </c>
      <c r="G173" s="47">
        <f t="shared" si="15"/>
        <v>0</v>
      </c>
      <c r="H173" s="88"/>
      <c r="I173" s="20">
        <v>120</v>
      </c>
      <c r="J173" s="82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185</v>
      </c>
      <c r="C174" s="79">
        <f>+'8'!G174</f>
        <v>0</v>
      </c>
      <c r="D174" s="87">
        <v>0</v>
      </c>
      <c r="E174" s="47">
        <f t="shared" si="13"/>
        <v>0</v>
      </c>
      <c r="F174" s="87">
        <v>0</v>
      </c>
      <c r="G174" s="47">
        <f t="shared" si="15"/>
        <v>0</v>
      </c>
      <c r="H174" s="88"/>
      <c r="I174" s="20">
        <v>120</v>
      </c>
      <c r="J174" s="82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186</v>
      </c>
      <c r="C175" s="79">
        <f>+'8'!G175</f>
        <v>0</v>
      </c>
      <c r="D175" s="87">
        <v>0</v>
      </c>
      <c r="E175" s="47">
        <f t="shared" si="13"/>
        <v>0</v>
      </c>
      <c r="F175" s="87">
        <v>0</v>
      </c>
      <c r="G175" s="47">
        <f t="shared" si="15"/>
        <v>0</v>
      </c>
      <c r="H175" s="88"/>
      <c r="I175" s="20">
        <v>55</v>
      </c>
      <c r="J175" s="82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187</v>
      </c>
      <c r="C176" s="79">
        <f>+'8'!G176</f>
        <v>0</v>
      </c>
      <c r="D176" s="87">
        <v>0</v>
      </c>
      <c r="E176" s="47">
        <f t="shared" si="13"/>
        <v>0</v>
      </c>
      <c r="F176" s="87">
        <v>0</v>
      </c>
      <c r="G176" s="47">
        <f t="shared" si="15"/>
        <v>0</v>
      </c>
      <c r="H176" s="88"/>
      <c r="I176" s="20">
        <v>50</v>
      </c>
      <c r="J176" s="82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188</v>
      </c>
      <c r="C177" s="79">
        <f>+'8'!G177</f>
        <v>0</v>
      </c>
      <c r="D177" s="87">
        <v>0</v>
      </c>
      <c r="E177" s="47">
        <f t="shared" si="13"/>
        <v>0</v>
      </c>
      <c r="F177" s="87">
        <v>0</v>
      </c>
      <c r="G177" s="47">
        <f t="shared" si="15"/>
        <v>0</v>
      </c>
      <c r="H177" s="88"/>
      <c r="I177" s="20">
        <v>50</v>
      </c>
      <c r="J177" s="82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189</v>
      </c>
      <c r="C178" s="79">
        <f>+'8'!G178</f>
        <v>2</v>
      </c>
      <c r="D178" s="87">
        <v>0</v>
      </c>
      <c r="E178" s="47">
        <f t="shared" si="13"/>
        <v>2</v>
      </c>
      <c r="F178" s="87">
        <v>0</v>
      </c>
      <c r="G178" s="47">
        <f t="shared" si="15"/>
        <v>2</v>
      </c>
      <c r="H178" s="88"/>
      <c r="I178" s="20">
        <v>120</v>
      </c>
      <c r="J178" s="82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190</v>
      </c>
      <c r="C179" s="79">
        <f>+'8'!G179</f>
        <v>0</v>
      </c>
      <c r="D179" s="87">
        <v>0</v>
      </c>
      <c r="E179" s="47">
        <f t="shared" si="13"/>
        <v>0</v>
      </c>
      <c r="F179" s="87">
        <v>0</v>
      </c>
      <c r="G179" s="47">
        <f t="shared" si="15"/>
        <v>0</v>
      </c>
      <c r="H179" s="88"/>
      <c r="I179" s="20">
        <v>120</v>
      </c>
      <c r="J179" s="82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191</v>
      </c>
      <c r="C180" s="79">
        <f>+'8'!G180</f>
        <v>0</v>
      </c>
      <c r="D180" s="87">
        <v>0</v>
      </c>
      <c r="E180" s="47">
        <f t="shared" si="13"/>
        <v>0</v>
      </c>
      <c r="F180" s="87">
        <v>0</v>
      </c>
      <c r="G180" s="47">
        <f t="shared" si="15"/>
        <v>0</v>
      </c>
      <c r="H180" s="88"/>
      <c r="I180" s="20">
        <v>10</v>
      </c>
      <c r="J180" s="82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192</v>
      </c>
      <c r="C181" s="79">
        <f>+'8'!G181</f>
        <v>0</v>
      </c>
      <c r="D181" s="87">
        <v>0</v>
      </c>
      <c r="E181" s="47">
        <f t="shared" si="13"/>
        <v>0</v>
      </c>
      <c r="F181" s="87">
        <v>0</v>
      </c>
      <c r="G181" s="47">
        <f t="shared" si="15"/>
        <v>0</v>
      </c>
      <c r="H181" s="88"/>
      <c r="I181" s="20">
        <v>35</v>
      </c>
      <c r="J181" s="82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193</v>
      </c>
      <c r="C182" s="79">
        <f>+'8'!G182</f>
        <v>0</v>
      </c>
      <c r="D182" s="87">
        <v>0</v>
      </c>
      <c r="E182" s="47">
        <f t="shared" si="13"/>
        <v>0</v>
      </c>
      <c r="F182" s="87">
        <v>0</v>
      </c>
      <c r="G182" s="47">
        <f t="shared" si="15"/>
        <v>0</v>
      </c>
      <c r="H182" s="88"/>
      <c r="I182" s="20">
        <v>10</v>
      </c>
      <c r="J182" s="82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194</v>
      </c>
      <c r="C183" s="79">
        <f>+'8'!G183</f>
        <v>0</v>
      </c>
      <c r="D183" s="87">
        <v>0</v>
      </c>
      <c r="E183" s="47">
        <f t="shared" si="13"/>
        <v>0</v>
      </c>
      <c r="F183" s="87">
        <v>0</v>
      </c>
      <c r="G183" s="47">
        <f t="shared" si="15"/>
        <v>0</v>
      </c>
      <c r="H183" s="88"/>
      <c r="I183" s="20">
        <v>10</v>
      </c>
      <c r="J183" s="82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195</v>
      </c>
      <c r="C184" s="79">
        <f>+'8'!G184</f>
        <v>0</v>
      </c>
      <c r="D184" s="87">
        <v>0</v>
      </c>
      <c r="E184" s="47">
        <f t="shared" si="13"/>
        <v>0</v>
      </c>
      <c r="F184" s="87">
        <v>0</v>
      </c>
      <c r="G184" s="47">
        <f t="shared" si="15"/>
        <v>0</v>
      </c>
      <c r="H184" s="88"/>
      <c r="I184" s="20">
        <v>10</v>
      </c>
      <c r="J184" s="82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196</v>
      </c>
      <c r="C185" s="79">
        <f>+'8'!G185</f>
        <v>0</v>
      </c>
      <c r="D185" s="87">
        <v>0</v>
      </c>
      <c r="E185" s="47">
        <f t="shared" si="13"/>
        <v>0</v>
      </c>
      <c r="F185" s="87">
        <v>0</v>
      </c>
      <c r="G185" s="47">
        <f t="shared" si="15"/>
        <v>0</v>
      </c>
      <c r="H185" s="88"/>
      <c r="I185" s="20">
        <v>10</v>
      </c>
      <c r="J185" s="82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197</v>
      </c>
      <c r="C186" s="79">
        <f>+'8'!G186</f>
        <v>0</v>
      </c>
      <c r="D186" s="87">
        <v>0</v>
      </c>
      <c r="E186" s="47">
        <f t="shared" si="13"/>
        <v>0</v>
      </c>
      <c r="F186" s="87">
        <v>0</v>
      </c>
      <c r="G186" s="47">
        <f t="shared" si="15"/>
        <v>0</v>
      </c>
      <c r="H186" s="88"/>
      <c r="I186" s="20">
        <v>10</v>
      </c>
      <c r="J186" s="82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198</v>
      </c>
      <c r="C187" s="79">
        <f>+'8'!G187</f>
        <v>0</v>
      </c>
      <c r="D187" s="87">
        <v>0</v>
      </c>
      <c r="E187" s="47">
        <f t="shared" si="13"/>
        <v>0</v>
      </c>
      <c r="F187" s="87">
        <v>0</v>
      </c>
      <c r="G187" s="47">
        <f t="shared" si="15"/>
        <v>0</v>
      </c>
      <c r="H187" s="88"/>
      <c r="I187" s="20">
        <v>25</v>
      </c>
      <c r="J187" s="82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249</v>
      </c>
      <c r="C188" s="79">
        <f>+'8'!G188</f>
        <v>0</v>
      </c>
      <c r="D188" s="87">
        <v>0</v>
      </c>
      <c r="E188" s="47">
        <f t="shared" si="13"/>
        <v>0</v>
      </c>
      <c r="F188" s="87">
        <v>0</v>
      </c>
      <c r="G188" s="47">
        <f t="shared" si="15"/>
        <v>0</v>
      </c>
      <c r="H188" s="88"/>
      <c r="I188" s="15">
        <v>50</v>
      </c>
      <c r="J188" s="82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250</v>
      </c>
      <c r="C189" s="79">
        <f>+'8'!G189</f>
        <v>0</v>
      </c>
      <c r="D189" s="87">
        <v>0</v>
      </c>
      <c r="E189" s="47">
        <f t="shared" si="13"/>
        <v>0</v>
      </c>
      <c r="F189" s="87">
        <v>0</v>
      </c>
      <c r="G189" s="47">
        <f t="shared" si="15"/>
        <v>0</v>
      </c>
      <c r="H189" s="88"/>
      <c r="I189" s="15">
        <v>10</v>
      </c>
      <c r="J189" s="82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251</v>
      </c>
      <c r="C190" s="79">
        <f>+'8'!G190</f>
        <v>0</v>
      </c>
      <c r="D190" s="87">
        <v>0</v>
      </c>
      <c r="E190" s="47">
        <f t="shared" ref="E190:E252" si="17">C190+D190</f>
        <v>0</v>
      </c>
      <c r="F190" s="87">
        <v>0</v>
      </c>
      <c r="G190" s="47">
        <f t="shared" si="15"/>
        <v>0</v>
      </c>
      <c r="H190" s="88"/>
      <c r="I190" s="15">
        <v>15</v>
      </c>
      <c r="J190" s="82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252</v>
      </c>
      <c r="C191" s="79">
        <f>+'8'!G191</f>
        <v>0</v>
      </c>
      <c r="D191" s="87">
        <v>0</v>
      </c>
      <c r="E191" s="47">
        <f t="shared" si="17"/>
        <v>0</v>
      </c>
      <c r="F191" s="87">
        <v>0</v>
      </c>
      <c r="G191" s="47">
        <f t="shared" si="15"/>
        <v>0</v>
      </c>
      <c r="H191" s="88"/>
      <c r="I191" s="15">
        <v>25</v>
      </c>
      <c r="J191" s="82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253</v>
      </c>
      <c r="C192" s="79">
        <f>+'8'!G192</f>
        <v>0</v>
      </c>
      <c r="D192" s="87">
        <v>0</v>
      </c>
      <c r="E192" s="47">
        <f t="shared" si="17"/>
        <v>0</v>
      </c>
      <c r="F192" s="87">
        <v>0</v>
      </c>
      <c r="G192" s="47">
        <f t="shared" si="15"/>
        <v>0</v>
      </c>
      <c r="H192" s="88"/>
      <c r="I192" s="15">
        <v>50</v>
      </c>
      <c r="J192" s="82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254</v>
      </c>
      <c r="C193" s="79">
        <f>+'8'!G193</f>
        <v>0</v>
      </c>
      <c r="D193" s="87">
        <v>0</v>
      </c>
      <c r="E193" s="47">
        <f t="shared" si="17"/>
        <v>0</v>
      </c>
      <c r="F193" s="87">
        <v>0</v>
      </c>
      <c r="G193" s="47">
        <f t="shared" si="15"/>
        <v>0</v>
      </c>
      <c r="H193" s="88"/>
      <c r="I193" s="15">
        <v>45</v>
      </c>
      <c r="J193" s="82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255</v>
      </c>
      <c r="C194" s="79">
        <f>+'8'!G194</f>
        <v>0</v>
      </c>
      <c r="D194" s="87">
        <v>0</v>
      </c>
      <c r="E194" s="47">
        <f t="shared" si="17"/>
        <v>0</v>
      </c>
      <c r="F194" s="87">
        <v>0</v>
      </c>
      <c r="G194" s="47">
        <f t="shared" si="15"/>
        <v>0</v>
      </c>
      <c r="H194" s="88"/>
      <c r="I194" s="15">
        <v>50</v>
      </c>
      <c r="J194" s="82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199</v>
      </c>
      <c r="C195" s="79">
        <f>+'8'!G195</f>
        <v>0</v>
      </c>
      <c r="D195" s="87">
        <v>0</v>
      </c>
      <c r="E195" s="47">
        <f t="shared" si="17"/>
        <v>0</v>
      </c>
      <c r="F195" s="87">
        <v>0</v>
      </c>
      <c r="G195" s="47">
        <f t="shared" si="15"/>
        <v>0</v>
      </c>
      <c r="H195" s="88"/>
      <c r="I195" s="15">
        <v>150</v>
      </c>
      <c r="J195" s="82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200</v>
      </c>
      <c r="C196" s="79">
        <f>+'8'!G196</f>
        <v>0</v>
      </c>
      <c r="D196" s="87">
        <v>0</v>
      </c>
      <c r="E196" s="47">
        <f t="shared" si="17"/>
        <v>0</v>
      </c>
      <c r="F196" s="87">
        <v>0</v>
      </c>
      <c r="G196" s="47">
        <f t="shared" si="15"/>
        <v>0</v>
      </c>
      <c r="H196" s="88"/>
      <c r="I196" s="15">
        <v>150</v>
      </c>
      <c r="J196" s="82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201</v>
      </c>
      <c r="C197" s="79">
        <f>+'8'!G197</f>
        <v>0</v>
      </c>
      <c r="D197" s="87">
        <v>0</v>
      </c>
      <c r="E197" s="47">
        <f t="shared" si="17"/>
        <v>0</v>
      </c>
      <c r="F197" s="87">
        <v>0</v>
      </c>
      <c r="G197" s="47">
        <f t="shared" si="15"/>
        <v>0</v>
      </c>
      <c r="H197" s="88"/>
      <c r="I197" s="15">
        <v>150</v>
      </c>
      <c r="J197" s="82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256</v>
      </c>
      <c r="C198" s="79">
        <f>+'8'!G198</f>
        <v>0</v>
      </c>
      <c r="D198" s="87">
        <v>0</v>
      </c>
      <c r="E198" s="47">
        <f t="shared" si="17"/>
        <v>0</v>
      </c>
      <c r="F198" s="87">
        <v>0</v>
      </c>
      <c r="G198" s="47">
        <f t="shared" si="15"/>
        <v>0</v>
      </c>
      <c r="H198" s="88"/>
      <c r="I198" s="15">
        <v>55</v>
      </c>
      <c r="J198" s="82">
        <f t="shared" si="16"/>
        <v>0</v>
      </c>
      <c r="K198" s="17" t="s">
        <v>16</v>
      </c>
      <c r="L198" s="18">
        <v>0</v>
      </c>
      <c r="M198" s="23">
        <f t="shared" si="14"/>
        <v>0</v>
      </c>
    </row>
    <row r="199" spans="1:13" ht="25.5" x14ac:dyDescent="0.55000000000000004">
      <c r="A199" s="10">
        <v>195</v>
      </c>
      <c r="B199" s="19" t="s">
        <v>257</v>
      </c>
      <c r="C199" s="79">
        <f>+'8'!G199</f>
        <v>0</v>
      </c>
      <c r="D199" s="87">
        <v>0</v>
      </c>
      <c r="E199" s="47">
        <f t="shared" si="17"/>
        <v>0</v>
      </c>
      <c r="F199" s="87">
        <v>0</v>
      </c>
      <c r="G199" s="47">
        <f t="shared" si="15"/>
        <v>0</v>
      </c>
      <c r="H199" s="88"/>
      <c r="I199" s="15">
        <v>30</v>
      </c>
      <c r="J199" s="82">
        <f t="shared" si="16"/>
        <v>0</v>
      </c>
      <c r="K199" s="17" t="s">
        <v>16</v>
      </c>
      <c r="L199" s="18">
        <v>0</v>
      </c>
      <c r="M199" s="23">
        <f t="shared" ref="M199:M254" si="18">SUM(J199-L199)</f>
        <v>0</v>
      </c>
    </row>
    <row r="200" spans="1:13" ht="25.5" x14ac:dyDescent="0.55000000000000004">
      <c r="A200" s="10">
        <v>196</v>
      </c>
      <c r="B200" s="19" t="s">
        <v>258</v>
      </c>
      <c r="C200" s="79">
        <f>+'8'!G200</f>
        <v>0</v>
      </c>
      <c r="D200" s="87">
        <v>0</v>
      </c>
      <c r="E200" s="47">
        <f t="shared" si="17"/>
        <v>0</v>
      </c>
      <c r="F200" s="87">
        <v>0</v>
      </c>
      <c r="G200" s="47">
        <f t="shared" si="15"/>
        <v>0</v>
      </c>
      <c r="H200" s="88"/>
      <c r="I200" s="15">
        <v>30</v>
      </c>
      <c r="J200" s="82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259</v>
      </c>
      <c r="C201" s="79">
        <f>+'8'!G201</f>
        <v>0</v>
      </c>
      <c r="D201" s="87">
        <v>0</v>
      </c>
      <c r="E201" s="47">
        <f t="shared" si="17"/>
        <v>0</v>
      </c>
      <c r="F201" s="87">
        <v>0</v>
      </c>
      <c r="G201" s="47">
        <f t="shared" si="15"/>
        <v>0</v>
      </c>
      <c r="H201" s="88"/>
      <c r="I201" s="15">
        <v>30</v>
      </c>
      <c r="J201" s="82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260</v>
      </c>
      <c r="C202" s="79">
        <f>+'8'!G202</f>
        <v>0</v>
      </c>
      <c r="D202" s="87">
        <v>0</v>
      </c>
      <c r="E202" s="47">
        <f t="shared" si="17"/>
        <v>0</v>
      </c>
      <c r="F202" s="87">
        <v>0</v>
      </c>
      <c r="G202" s="47">
        <f t="shared" si="15"/>
        <v>0</v>
      </c>
      <c r="H202" s="88"/>
      <c r="I202" s="15">
        <v>30</v>
      </c>
      <c r="J202" s="82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261</v>
      </c>
      <c r="C203" s="79">
        <f>+'8'!G203</f>
        <v>0</v>
      </c>
      <c r="D203" s="87">
        <v>0</v>
      </c>
      <c r="E203" s="47">
        <f t="shared" si="17"/>
        <v>0</v>
      </c>
      <c r="F203" s="87">
        <v>0</v>
      </c>
      <c r="G203" s="47">
        <f t="shared" si="15"/>
        <v>0</v>
      </c>
      <c r="H203" s="88"/>
      <c r="I203" s="20">
        <v>30</v>
      </c>
      <c r="J203" s="82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262</v>
      </c>
      <c r="C204" s="79">
        <f>+'8'!G204</f>
        <v>0</v>
      </c>
      <c r="D204" s="87">
        <v>0</v>
      </c>
      <c r="E204" s="47">
        <f t="shared" si="17"/>
        <v>0</v>
      </c>
      <c r="F204" s="87">
        <v>0</v>
      </c>
      <c r="G204" s="47">
        <f t="shared" si="15"/>
        <v>0</v>
      </c>
      <c r="H204" s="88"/>
      <c r="I204" s="20">
        <v>30</v>
      </c>
      <c r="J204" s="82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263</v>
      </c>
      <c r="C205" s="79">
        <f>+'8'!G205</f>
        <v>0</v>
      </c>
      <c r="D205" s="87">
        <v>0</v>
      </c>
      <c r="E205" s="47">
        <f t="shared" si="17"/>
        <v>0</v>
      </c>
      <c r="F205" s="87">
        <v>0</v>
      </c>
      <c r="G205" s="47">
        <f t="shared" si="15"/>
        <v>0</v>
      </c>
      <c r="H205" s="88"/>
      <c r="I205" s="20">
        <v>50</v>
      </c>
      <c r="J205" s="82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 t="s">
        <v>264</v>
      </c>
      <c r="C206" s="79">
        <f>+'8'!G206</f>
        <v>0</v>
      </c>
      <c r="D206" s="87">
        <v>0</v>
      </c>
      <c r="E206" s="47">
        <f t="shared" si="17"/>
        <v>0</v>
      </c>
      <c r="F206" s="87">
        <v>0</v>
      </c>
      <c r="G206" s="47">
        <f t="shared" si="15"/>
        <v>0</v>
      </c>
      <c r="H206" s="88"/>
      <c r="I206" s="20">
        <v>100</v>
      </c>
      <c r="J206" s="82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265</v>
      </c>
      <c r="C207" s="79">
        <f>+'8'!G207</f>
        <v>0</v>
      </c>
      <c r="D207" s="87">
        <v>0</v>
      </c>
      <c r="E207" s="47">
        <f t="shared" si="17"/>
        <v>0</v>
      </c>
      <c r="F207" s="87">
        <v>0</v>
      </c>
      <c r="G207" s="47">
        <f t="shared" si="15"/>
        <v>0</v>
      </c>
      <c r="H207" s="88"/>
      <c r="I207" s="20">
        <v>100</v>
      </c>
      <c r="J207" s="82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266</v>
      </c>
      <c r="C208" s="79">
        <f>+'8'!G208</f>
        <v>0</v>
      </c>
      <c r="D208" s="87">
        <v>0</v>
      </c>
      <c r="E208" s="47">
        <f t="shared" si="17"/>
        <v>0</v>
      </c>
      <c r="F208" s="87">
        <v>0</v>
      </c>
      <c r="G208" s="47">
        <f t="shared" si="15"/>
        <v>0</v>
      </c>
      <c r="H208" s="88"/>
      <c r="I208" s="20">
        <v>100</v>
      </c>
      <c r="J208" s="82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 t="s">
        <v>267</v>
      </c>
      <c r="C209" s="79">
        <f>+'8'!G209</f>
        <v>0</v>
      </c>
      <c r="D209" s="87">
        <v>0</v>
      </c>
      <c r="E209" s="47">
        <f t="shared" si="17"/>
        <v>0</v>
      </c>
      <c r="F209" s="87">
        <v>0</v>
      </c>
      <c r="G209" s="47">
        <f t="shared" si="15"/>
        <v>0</v>
      </c>
      <c r="H209" s="88"/>
      <c r="I209" s="20">
        <v>100</v>
      </c>
      <c r="J209" s="82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268</v>
      </c>
      <c r="C210" s="79">
        <f>+'8'!G210</f>
        <v>0</v>
      </c>
      <c r="D210" s="87">
        <v>0</v>
      </c>
      <c r="E210" s="47">
        <f t="shared" si="17"/>
        <v>0</v>
      </c>
      <c r="F210" s="87">
        <v>0</v>
      </c>
      <c r="G210" s="47">
        <f t="shared" si="15"/>
        <v>0</v>
      </c>
      <c r="H210" s="88"/>
      <c r="I210" s="20">
        <v>250</v>
      </c>
      <c r="J210" s="82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 t="s">
        <v>269</v>
      </c>
      <c r="C211" s="79">
        <f>+'8'!G211</f>
        <v>0</v>
      </c>
      <c r="D211" s="87">
        <v>0</v>
      </c>
      <c r="E211" s="47">
        <f t="shared" si="17"/>
        <v>0</v>
      </c>
      <c r="F211" s="87">
        <v>0</v>
      </c>
      <c r="G211" s="47">
        <f t="shared" si="15"/>
        <v>0</v>
      </c>
      <c r="H211" s="88"/>
      <c r="I211" s="20">
        <v>250</v>
      </c>
      <c r="J211" s="82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 t="s">
        <v>270</v>
      </c>
      <c r="C212" s="79">
        <f>+'8'!G212</f>
        <v>0</v>
      </c>
      <c r="D212" s="87">
        <v>0</v>
      </c>
      <c r="E212" s="47">
        <f t="shared" si="17"/>
        <v>0</v>
      </c>
      <c r="F212" s="87">
        <v>0</v>
      </c>
      <c r="G212" s="47">
        <f t="shared" si="15"/>
        <v>0</v>
      </c>
      <c r="H212" s="88"/>
      <c r="I212" s="20">
        <v>250</v>
      </c>
      <c r="J212" s="82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 t="s">
        <v>271</v>
      </c>
      <c r="C213" s="79">
        <f>+'8'!G213</f>
        <v>0</v>
      </c>
      <c r="D213" s="87">
        <v>0</v>
      </c>
      <c r="E213" s="47">
        <f t="shared" si="17"/>
        <v>0</v>
      </c>
      <c r="F213" s="87">
        <v>0</v>
      </c>
      <c r="G213" s="47">
        <f t="shared" si="15"/>
        <v>0</v>
      </c>
      <c r="H213" s="88"/>
      <c r="I213" s="20">
        <v>50</v>
      </c>
      <c r="J213" s="82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 t="s">
        <v>273</v>
      </c>
      <c r="C214" s="79">
        <f>+'8'!G214</f>
        <v>0</v>
      </c>
      <c r="D214" s="87">
        <v>0</v>
      </c>
      <c r="E214" s="47">
        <f t="shared" si="17"/>
        <v>0</v>
      </c>
      <c r="F214" s="87">
        <v>0</v>
      </c>
      <c r="G214" s="47">
        <f t="shared" si="15"/>
        <v>0</v>
      </c>
      <c r="H214" s="88"/>
      <c r="I214" s="20">
        <v>50</v>
      </c>
      <c r="J214" s="82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 t="s">
        <v>274</v>
      </c>
      <c r="C215" s="79">
        <f>+'8'!G215</f>
        <v>0</v>
      </c>
      <c r="D215" s="87">
        <v>0</v>
      </c>
      <c r="E215" s="47">
        <f t="shared" si="17"/>
        <v>0</v>
      </c>
      <c r="F215" s="87">
        <v>0</v>
      </c>
      <c r="G215" s="47">
        <f t="shared" si="15"/>
        <v>0</v>
      </c>
      <c r="H215" s="88"/>
      <c r="I215" s="20">
        <v>50</v>
      </c>
      <c r="J215" s="82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 t="s">
        <v>242</v>
      </c>
      <c r="C216" s="79">
        <f>+'8'!G216</f>
        <v>0</v>
      </c>
      <c r="D216" s="87">
        <v>0</v>
      </c>
      <c r="E216" s="47">
        <f t="shared" si="17"/>
        <v>0</v>
      </c>
      <c r="F216" s="87">
        <v>0</v>
      </c>
      <c r="G216" s="47">
        <f t="shared" si="15"/>
        <v>0</v>
      </c>
      <c r="H216" s="88"/>
      <c r="I216" s="20">
        <v>35</v>
      </c>
      <c r="J216" s="82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 t="s">
        <v>275</v>
      </c>
      <c r="C217" s="79">
        <f>+'8'!G217</f>
        <v>0</v>
      </c>
      <c r="D217" s="87">
        <v>0</v>
      </c>
      <c r="E217" s="47">
        <f t="shared" si="17"/>
        <v>0</v>
      </c>
      <c r="F217" s="87">
        <v>0</v>
      </c>
      <c r="G217" s="47">
        <f t="shared" si="15"/>
        <v>0</v>
      </c>
      <c r="H217" s="88"/>
      <c r="I217" s="20">
        <v>199</v>
      </c>
      <c r="J217" s="82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 t="s">
        <v>283</v>
      </c>
      <c r="C218" s="79"/>
      <c r="D218" s="87">
        <v>0</v>
      </c>
      <c r="E218" s="47">
        <f t="shared" si="17"/>
        <v>0</v>
      </c>
      <c r="F218" s="87">
        <v>0</v>
      </c>
      <c r="G218" s="47">
        <f t="shared" si="15"/>
        <v>0</v>
      </c>
      <c r="H218" s="88"/>
      <c r="I218" s="20">
        <v>25</v>
      </c>
      <c r="J218" s="82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 t="s">
        <v>284</v>
      </c>
      <c r="C219" s="79"/>
      <c r="D219" s="87">
        <v>0</v>
      </c>
      <c r="E219" s="47">
        <f t="shared" si="17"/>
        <v>0</v>
      </c>
      <c r="F219" s="87">
        <v>0</v>
      </c>
      <c r="G219" s="47">
        <f t="shared" si="15"/>
        <v>0</v>
      </c>
      <c r="H219" s="88"/>
      <c r="I219" s="20">
        <v>25</v>
      </c>
      <c r="J219" s="82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 t="s">
        <v>314</v>
      </c>
      <c r="C220" s="79">
        <f>+'8'!G220</f>
        <v>-3</v>
      </c>
      <c r="D220" s="87">
        <v>0</v>
      </c>
      <c r="E220" s="47">
        <f t="shared" si="17"/>
        <v>-3</v>
      </c>
      <c r="F220" s="87">
        <v>0</v>
      </c>
      <c r="G220" s="47">
        <f t="shared" si="15"/>
        <v>-3</v>
      </c>
      <c r="H220" s="88"/>
      <c r="I220" s="20">
        <v>35</v>
      </c>
      <c r="J220" s="82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 t="s">
        <v>326</v>
      </c>
      <c r="C221" s="79">
        <f>+'8'!G221</f>
        <v>0</v>
      </c>
      <c r="D221" s="87">
        <v>0</v>
      </c>
      <c r="E221" s="47">
        <f t="shared" si="17"/>
        <v>0</v>
      </c>
      <c r="F221" s="87">
        <v>0</v>
      </c>
      <c r="G221" s="47">
        <f t="shared" si="15"/>
        <v>0</v>
      </c>
      <c r="H221" s="88"/>
      <c r="I221" s="20">
        <v>55</v>
      </c>
      <c r="J221" s="82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 t="s">
        <v>327</v>
      </c>
      <c r="C222" s="79">
        <f>+'8'!G222</f>
        <v>0</v>
      </c>
      <c r="D222" s="87">
        <v>0</v>
      </c>
      <c r="E222" s="47">
        <f t="shared" si="17"/>
        <v>0</v>
      </c>
      <c r="F222" s="87">
        <v>0</v>
      </c>
      <c r="G222" s="47">
        <f t="shared" si="15"/>
        <v>0</v>
      </c>
      <c r="H222" s="88"/>
      <c r="I222" s="20">
        <v>40</v>
      </c>
      <c r="J222" s="82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/>
      <c r="C223" s="79">
        <f>+'8'!G223</f>
        <v>0</v>
      </c>
      <c r="D223" s="87">
        <v>0</v>
      </c>
      <c r="E223" s="47">
        <f t="shared" si="17"/>
        <v>0</v>
      </c>
      <c r="F223" s="87">
        <v>0</v>
      </c>
      <c r="G223" s="47">
        <f t="shared" si="15"/>
        <v>0</v>
      </c>
      <c r="H223" s="88"/>
      <c r="I223" s="20"/>
      <c r="J223" s="82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79">
        <f>+'8'!G224</f>
        <v>0</v>
      </c>
      <c r="D224" s="87">
        <v>0</v>
      </c>
      <c r="E224" s="47">
        <f t="shared" si="17"/>
        <v>0</v>
      </c>
      <c r="F224" s="87">
        <v>0</v>
      </c>
      <c r="G224" s="47">
        <f t="shared" si="15"/>
        <v>0</v>
      </c>
      <c r="H224" s="88"/>
      <c r="I224" s="20"/>
      <c r="J224" s="82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+'8'!G225</f>
        <v>0</v>
      </c>
      <c r="D225" s="87">
        <v>0</v>
      </c>
      <c r="E225" s="47">
        <f t="shared" si="17"/>
        <v>0</v>
      </c>
      <c r="F225" s="87">
        <v>0</v>
      </c>
      <c r="G225" s="47">
        <f t="shared" si="15"/>
        <v>0</v>
      </c>
      <c r="H225" s="88"/>
      <c r="I225" s="20"/>
      <c r="J225" s="82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+'8'!G226</f>
        <v>0</v>
      </c>
      <c r="D226" s="87">
        <v>0</v>
      </c>
      <c r="E226" s="47">
        <f t="shared" si="17"/>
        <v>0</v>
      </c>
      <c r="F226" s="87">
        <v>0</v>
      </c>
      <c r="G226" s="47">
        <f t="shared" si="15"/>
        <v>0</v>
      </c>
      <c r="H226" s="88"/>
      <c r="I226" s="20"/>
      <c r="J226" s="82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+'8'!G227</f>
        <v>0</v>
      </c>
      <c r="D227" s="87">
        <v>0</v>
      </c>
      <c r="E227" s="47">
        <f t="shared" si="17"/>
        <v>0</v>
      </c>
      <c r="F227" s="87">
        <v>0</v>
      </c>
      <c r="G227" s="47">
        <f t="shared" si="15"/>
        <v>0</v>
      </c>
      <c r="H227" s="88"/>
      <c r="I227" s="20"/>
      <c r="J227" s="82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+'8'!G228</f>
        <v>0</v>
      </c>
      <c r="D228" s="87">
        <v>0</v>
      </c>
      <c r="E228" s="47">
        <f t="shared" si="17"/>
        <v>0</v>
      </c>
      <c r="F228" s="87">
        <v>0</v>
      </c>
      <c r="G228" s="47">
        <f t="shared" ref="G228:G254" si="19">+E228-F228-H228</f>
        <v>0</v>
      </c>
      <c r="H228" s="88"/>
      <c r="I228" s="20"/>
      <c r="J228" s="82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+'8'!G229</f>
        <v>0</v>
      </c>
      <c r="D229" s="87">
        <v>0</v>
      </c>
      <c r="E229" s="47">
        <f t="shared" si="17"/>
        <v>0</v>
      </c>
      <c r="F229" s="87">
        <v>0</v>
      </c>
      <c r="G229" s="47">
        <f t="shared" si="19"/>
        <v>0</v>
      </c>
      <c r="H229" s="88"/>
      <c r="I229" s="20"/>
      <c r="J229" s="82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+'8'!G230</f>
        <v>0</v>
      </c>
      <c r="D230" s="87">
        <v>0</v>
      </c>
      <c r="E230" s="47">
        <f t="shared" si="17"/>
        <v>0</v>
      </c>
      <c r="F230" s="87">
        <v>0</v>
      </c>
      <c r="G230" s="47">
        <f t="shared" si="19"/>
        <v>0</v>
      </c>
      <c r="H230" s="88"/>
      <c r="I230" s="20"/>
      <c r="J230" s="82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+'8'!G231</f>
        <v>0</v>
      </c>
      <c r="D231" s="87">
        <v>0</v>
      </c>
      <c r="E231" s="47">
        <f t="shared" si="17"/>
        <v>0</v>
      </c>
      <c r="F231" s="87">
        <v>0</v>
      </c>
      <c r="G231" s="47">
        <f t="shared" si="19"/>
        <v>0</v>
      </c>
      <c r="H231" s="88"/>
      <c r="I231" s="20"/>
      <c r="J231" s="82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+'8'!G232</f>
        <v>0</v>
      </c>
      <c r="D232" s="87">
        <v>0</v>
      </c>
      <c r="E232" s="47">
        <f t="shared" si="17"/>
        <v>0</v>
      </c>
      <c r="F232" s="87">
        <v>0</v>
      </c>
      <c r="G232" s="47">
        <f t="shared" si="19"/>
        <v>0</v>
      </c>
      <c r="H232" s="88"/>
      <c r="I232" s="20"/>
      <c r="J232" s="82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+'8'!G233</f>
        <v>0</v>
      </c>
      <c r="D233" s="87">
        <v>0</v>
      </c>
      <c r="E233" s="47">
        <f t="shared" si="17"/>
        <v>0</v>
      </c>
      <c r="F233" s="87">
        <v>0</v>
      </c>
      <c r="G233" s="47">
        <f t="shared" si="19"/>
        <v>0</v>
      </c>
      <c r="H233" s="88"/>
      <c r="I233" s="20"/>
      <c r="J233" s="82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+'8'!G234</f>
        <v>0</v>
      </c>
      <c r="D234" s="87">
        <v>0</v>
      </c>
      <c r="E234" s="47">
        <f t="shared" si="17"/>
        <v>0</v>
      </c>
      <c r="F234" s="87">
        <v>0</v>
      </c>
      <c r="G234" s="47">
        <f t="shared" si="19"/>
        <v>0</v>
      </c>
      <c r="H234" s="88"/>
      <c r="I234" s="20"/>
      <c r="J234" s="82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+'8'!G235</f>
        <v>0</v>
      </c>
      <c r="D235" s="87">
        <v>0</v>
      </c>
      <c r="E235" s="47">
        <f t="shared" si="17"/>
        <v>0</v>
      </c>
      <c r="F235" s="87">
        <v>0</v>
      </c>
      <c r="G235" s="47">
        <f t="shared" si="19"/>
        <v>0</v>
      </c>
      <c r="H235" s="88"/>
      <c r="I235" s="20"/>
      <c r="J235" s="82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+'8'!G236</f>
        <v>0</v>
      </c>
      <c r="D236" s="87">
        <v>0</v>
      </c>
      <c r="E236" s="47">
        <f t="shared" si="17"/>
        <v>0</v>
      </c>
      <c r="F236" s="87">
        <v>0</v>
      </c>
      <c r="G236" s="47">
        <f t="shared" si="19"/>
        <v>0</v>
      </c>
      <c r="H236" s="88"/>
      <c r="I236" s="20"/>
      <c r="J236" s="82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+'8'!G237</f>
        <v>0</v>
      </c>
      <c r="D237" s="87">
        <v>0</v>
      </c>
      <c r="E237" s="47">
        <f t="shared" si="17"/>
        <v>0</v>
      </c>
      <c r="F237" s="87">
        <v>0</v>
      </c>
      <c r="G237" s="47">
        <f t="shared" si="19"/>
        <v>0</v>
      </c>
      <c r="H237" s="88"/>
      <c r="I237" s="20"/>
      <c r="J237" s="82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+'8'!G238</f>
        <v>0</v>
      </c>
      <c r="D238" s="87">
        <v>0</v>
      </c>
      <c r="E238" s="47">
        <f t="shared" si="17"/>
        <v>0</v>
      </c>
      <c r="F238" s="87">
        <v>0</v>
      </c>
      <c r="G238" s="47">
        <f t="shared" si="19"/>
        <v>0</v>
      </c>
      <c r="H238" s="88"/>
      <c r="I238" s="20"/>
      <c r="J238" s="82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+'8'!G239</f>
        <v>0</v>
      </c>
      <c r="D239" s="87">
        <v>0</v>
      </c>
      <c r="E239" s="47">
        <f t="shared" si="17"/>
        <v>0</v>
      </c>
      <c r="F239" s="87">
        <v>0</v>
      </c>
      <c r="G239" s="47">
        <f t="shared" si="19"/>
        <v>0</v>
      </c>
      <c r="H239" s="88"/>
      <c r="I239" s="20"/>
      <c r="J239" s="82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+'8'!G240</f>
        <v>0</v>
      </c>
      <c r="D240" s="87">
        <v>0</v>
      </c>
      <c r="E240" s="47">
        <f t="shared" si="17"/>
        <v>0</v>
      </c>
      <c r="F240" s="87">
        <v>0</v>
      </c>
      <c r="G240" s="47">
        <f t="shared" si="19"/>
        <v>0</v>
      </c>
      <c r="H240" s="88"/>
      <c r="I240" s="20"/>
      <c r="J240" s="82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+'8'!G241</f>
        <v>0</v>
      </c>
      <c r="D241" s="87">
        <v>0</v>
      </c>
      <c r="E241" s="47">
        <f t="shared" si="17"/>
        <v>0</v>
      </c>
      <c r="F241" s="87">
        <v>0</v>
      </c>
      <c r="G241" s="47">
        <f t="shared" si="19"/>
        <v>0</v>
      </c>
      <c r="H241" s="88"/>
      <c r="I241" s="20"/>
      <c r="J241" s="82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+'8'!G242</f>
        <v>0</v>
      </c>
      <c r="D242" s="87">
        <v>0</v>
      </c>
      <c r="E242" s="47">
        <f t="shared" si="17"/>
        <v>0</v>
      </c>
      <c r="F242" s="87">
        <v>0</v>
      </c>
      <c r="G242" s="47">
        <f t="shared" si="19"/>
        <v>0</v>
      </c>
      <c r="H242" s="88"/>
      <c r="I242" s="20"/>
      <c r="J242" s="82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+'8'!G243</f>
        <v>0</v>
      </c>
      <c r="D243" s="87">
        <v>0</v>
      </c>
      <c r="E243" s="47">
        <f t="shared" si="17"/>
        <v>0</v>
      </c>
      <c r="F243" s="87">
        <v>0</v>
      </c>
      <c r="G243" s="47">
        <f t="shared" si="19"/>
        <v>0</v>
      </c>
      <c r="H243" s="88"/>
      <c r="I243" s="20"/>
      <c r="J243" s="82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+'8'!G244</f>
        <v>0</v>
      </c>
      <c r="D244" s="87">
        <v>0</v>
      </c>
      <c r="E244" s="47">
        <f t="shared" si="17"/>
        <v>0</v>
      </c>
      <c r="F244" s="87">
        <v>0</v>
      </c>
      <c r="G244" s="47">
        <f t="shared" si="19"/>
        <v>0</v>
      </c>
      <c r="H244" s="88"/>
      <c r="I244" s="20"/>
      <c r="J244" s="82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+'8'!G245</f>
        <v>0</v>
      </c>
      <c r="D245" s="87">
        <v>0</v>
      </c>
      <c r="E245" s="47">
        <f t="shared" si="17"/>
        <v>0</v>
      </c>
      <c r="F245" s="87">
        <v>0</v>
      </c>
      <c r="G245" s="47">
        <f t="shared" si="19"/>
        <v>0</v>
      </c>
      <c r="H245" s="88"/>
      <c r="I245" s="20"/>
      <c r="J245" s="82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+'8'!G246</f>
        <v>0</v>
      </c>
      <c r="D246" s="87">
        <v>0</v>
      </c>
      <c r="E246" s="47">
        <f t="shared" si="17"/>
        <v>0</v>
      </c>
      <c r="F246" s="87">
        <v>0</v>
      </c>
      <c r="G246" s="47">
        <f t="shared" si="19"/>
        <v>0</v>
      </c>
      <c r="H246" s="88"/>
      <c r="I246" s="20"/>
      <c r="J246" s="82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+'8'!G247</f>
        <v>0</v>
      </c>
      <c r="D247" s="87">
        <v>0</v>
      </c>
      <c r="E247" s="47">
        <f t="shared" si="17"/>
        <v>0</v>
      </c>
      <c r="F247" s="87">
        <v>0</v>
      </c>
      <c r="G247" s="47">
        <f t="shared" si="19"/>
        <v>0</v>
      </c>
      <c r="H247" s="88"/>
      <c r="I247" s="20"/>
      <c r="J247" s="82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+'8'!G248</f>
        <v>0</v>
      </c>
      <c r="D248" s="87">
        <v>0</v>
      </c>
      <c r="E248" s="47">
        <f t="shared" si="17"/>
        <v>0</v>
      </c>
      <c r="F248" s="87">
        <v>0</v>
      </c>
      <c r="G248" s="47">
        <f t="shared" si="19"/>
        <v>0</v>
      </c>
      <c r="H248" s="88"/>
      <c r="I248" s="20"/>
      <c r="J248" s="82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+'8'!G249</f>
        <v>0</v>
      </c>
      <c r="D249" s="87">
        <v>0</v>
      </c>
      <c r="E249" s="47">
        <f t="shared" si="17"/>
        <v>0</v>
      </c>
      <c r="F249" s="87">
        <v>0</v>
      </c>
      <c r="G249" s="47">
        <f t="shared" si="19"/>
        <v>0</v>
      </c>
      <c r="H249" s="88"/>
      <c r="I249" s="20"/>
      <c r="J249" s="82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+'8'!G250</f>
        <v>0</v>
      </c>
      <c r="D250" s="87">
        <v>0</v>
      </c>
      <c r="E250" s="47">
        <f t="shared" si="17"/>
        <v>0</v>
      </c>
      <c r="F250" s="87">
        <v>0</v>
      </c>
      <c r="G250" s="47">
        <f t="shared" si="19"/>
        <v>0</v>
      </c>
      <c r="H250" s="88"/>
      <c r="I250" s="20"/>
      <c r="J250" s="82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+'8'!G251</f>
        <v>0</v>
      </c>
      <c r="D251" s="87">
        <v>0</v>
      </c>
      <c r="E251" s="47">
        <f t="shared" si="17"/>
        <v>0</v>
      </c>
      <c r="F251" s="87">
        <v>0</v>
      </c>
      <c r="G251" s="47">
        <f t="shared" si="19"/>
        <v>0</v>
      </c>
      <c r="H251" s="88"/>
      <c r="I251" s="20"/>
      <c r="J251" s="82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+'8'!G252</f>
        <v>0</v>
      </c>
      <c r="D252" s="87">
        <v>0</v>
      </c>
      <c r="E252" s="47">
        <f t="shared" si="17"/>
        <v>0</v>
      </c>
      <c r="F252" s="87">
        <v>0</v>
      </c>
      <c r="G252" s="47">
        <f t="shared" si="19"/>
        <v>0</v>
      </c>
      <c r="H252" s="88"/>
      <c r="I252" s="20"/>
      <c r="J252" s="82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+'8'!G253</f>
        <v>0</v>
      </c>
      <c r="D253" s="87">
        <v>0</v>
      </c>
      <c r="E253" s="47">
        <f t="shared" ref="E253:E254" si="21">C253+D253</f>
        <v>0</v>
      </c>
      <c r="F253" s="87">
        <v>0</v>
      </c>
      <c r="G253" s="47">
        <f t="shared" si="19"/>
        <v>0</v>
      </c>
      <c r="H253" s="88"/>
      <c r="I253" s="20"/>
      <c r="J253" s="82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+'8'!G254</f>
        <v>0</v>
      </c>
      <c r="D254" s="87">
        <v>0</v>
      </c>
      <c r="E254" s="47">
        <f t="shared" si="21"/>
        <v>0</v>
      </c>
      <c r="F254" s="87">
        <v>0</v>
      </c>
      <c r="G254" s="47">
        <f t="shared" si="19"/>
        <v>0</v>
      </c>
      <c r="H254" s="88"/>
      <c r="I254" s="20"/>
      <c r="J254" s="82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100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3" t="s">
        <v>213</v>
      </c>
      <c r="N255" s="143"/>
    </row>
    <row r="256" spans="1:14" ht="25.5" customHeight="1" x14ac:dyDescent="0.5">
      <c r="A256" s="1"/>
      <c r="C256" s="24"/>
      <c r="D256" s="25"/>
      <c r="E256" s="24"/>
      <c r="F256" s="25"/>
      <c r="G256" s="24"/>
      <c r="H256" s="148" t="s">
        <v>212</v>
      </c>
      <c r="I256" s="149"/>
      <c r="J256" s="30">
        <f>+X138</f>
        <v>0</v>
      </c>
      <c r="K256" s="27"/>
      <c r="L256" s="29"/>
    </row>
    <row r="257" spans="1:11" ht="25.5" x14ac:dyDescent="0.55000000000000004">
      <c r="A257" s="1"/>
      <c r="C257" s="31"/>
      <c r="E257" s="31"/>
      <c r="G257" s="31"/>
      <c r="H257" s="32"/>
      <c r="I257" s="150" t="s">
        <v>202</v>
      </c>
      <c r="J257" s="150"/>
      <c r="K257" s="33">
        <f>SUM(J5:J256)</f>
        <v>100</v>
      </c>
    </row>
    <row r="258" spans="1:11" ht="25.5" x14ac:dyDescent="0.55000000000000004">
      <c r="A258" s="1"/>
      <c r="C258" s="31"/>
      <c r="E258" s="31"/>
      <c r="G258" s="31"/>
      <c r="I258" s="140" t="s">
        <v>203</v>
      </c>
      <c r="J258" s="141"/>
      <c r="K258" s="36">
        <v>0</v>
      </c>
    </row>
    <row r="259" spans="1:11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C260" s="31"/>
      <c r="E260" s="31"/>
      <c r="G260" s="31"/>
      <c r="I260" s="140" t="s">
        <v>205</v>
      </c>
      <c r="J260" s="141"/>
      <c r="K260" s="36">
        <v>0</v>
      </c>
    </row>
    <row r="261" spans="1:11" ht="25.5" x14ac:dyDescent="0.55000000000000004">
      <c r="A261" s="1"/>
      <c r="C261" s="31"/>
      <c r="E261" s="31"/>
      <c r="G261" s="31"/>
      <c r="I261" s="140" t="s">
        <v>206</v>
      </c>
      <c r="J261" s="141"/>
      <c r="K261" s="36">
        <v>0</v>
      </c>
    </row>
    <row r="262" spans="1:11" ht="25.5" x14ac:dyDescent="0.55000000000000004">
      <c r="A262" s="1"/>
      <c r="C262" s="31"/>
      <c r="E262" s="31"/>
      <c r="G262" s="31"/>
      <c r="I262" s="140" t="s">
        <v>207</v>
      </c>
      <c r="J262" s="141"/>
      <c r="K262" s="37">
        <f>SUM(L5:L255)</f>
        <v>0</v>
      </c>
    </row>
    <row r="263" spans="1:11" ht="25.5" x14ac:dyDescent="0.55000000000000004">
      <c r="A263" s="1"/>
      <c r="C263" s="31"/>
      <c r="E263" s="31"/>
      <c r="G263" s="31"/>
      <c r="I263" s="140" t="s">
        <v>208</v>
      </c>
      <c r="J263" s="141"/>
      <c r="K263" s="33">
        <f>K257-K258-K259-K261-K262</f>
        <v>100</v>
      </c>
    </row>
    <row r="264" spans="1:11" ht="25.5" x14ac:dyDescent="0.55000000000000004">
      <c r="A264" s="1"/>
      <c r="C264" s="31"/>
      <c r="E264" s="31"/>
      <c r="G264" s="31"/>
      <c r="I264" s="140" t="s">
        <v>209</v>
      </c>
      <c r="J264" s="141"/>
      <c r="K264" s="37">
        <v>0</v>
      </c>
    </row>
    <row r="265" spans="1:11" ht="25.5" x14ac:dyDescent="0.55000000000000004">
      <c r="A265" s="1"/>
      <c r="C265" s="31"/>
      <c r="E265" s="31"/>
      <c r="G265" s="31"/>
      <c r="I265" s="140" t="s">
        <v>210</v>
      </c>
      <c r="J265" s="141"/>
      <c r="K265" s="33">
        <f>+K264-K263</f>
        <v>-100</v>
      </c>
    </row>
    <row r="266" spans="1:11" ht="25.5" x14ac:dyDescent="0.55000000000000004">
      <c r="G266" s="2"/>
      <c r="I266" s="140" t="s">
        <v>211</v>
      </c>
      <c r="J266" s="141"/>
      <c r="K266" s="33">
        <f>+K264-K263</f>
        <v>-100</v>
      </c>
    </row>
    <row r="267" spans="1:11" x14ac:dyDescent="0.5">
      <c r="G267" s="2"/>
      <c r="I267" s="2"/>
    </row>
    <row r="268" spans="1:11" ht="25.5" x14ac:dyDescent="0.55000000000000004">
      <c r="G268" s="2"/>
      <c r="I268" s="105" t="s">
        <v>312</v>
      </c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44D44-029B-4FBB-BC7B-ABABF12E52E1}">
  <sheetPr>
    <tabColor theme="7" tint="-0.249977111117893"/>
  </sheetPr>
  <dimension ref="A1:AB341"/>
  <sheetViews>
    <sheetView zoomScaleNormal="100" workbookViewId="0">
      <pane xSplit="7" ySplit="4" topLeftCell="H254" activePane="bottomRight" state="frozen"/>
      <selection activeCell="B20" sqref="B20"/>
      <selection pane="topRight" activeCell="B20" sqref="B20"/>
      <selection pane="bottomLeft" activeCell="B20" sqref="B20"/>
      <selection pane="bottomRight" activeCell="B20" sqref="B20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8" x14ac:dyDescent="0.5">
      <c r="A1" s="1"/>
      <c r="G1" s="2"/>
      <c r="I1" s="2"/>
    </row>
    <row r="2" spans="1:28" s="3" customFormat="1" ht="29.25" x14ac:dyDescent="0.6">
      <c r="A2" s="137" t="s">
        <v>247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8" s="5" customFormat="1" ht="26.25" x14ac:dyDescent="0.55000000000000004">
      <c r="A3" s="139" t="s">
        <v>1</v>
      </c>
      <c r="B3" s="151" t="s">
        <v>2</v>
      </c>
      <c r="C3" s="139" t="s">
        <v>3</v>
      </c>
      <c r="D3" s="139" t="s">
        <v>4</v>
      </c>
      <c r="E3" s="139" t="s">
        <v>5</v>
      </c>
      <c r="F3" s="85" t="s">
        <v>6</v>
      </c>
      <c r="G3" s="139" t="s">
        <v>7</v>
      </c>
      <c r="H3" s="142" t="s">
        <v>8</v>
      </c>
      <c r="I3" s="142"/>
      <c r="J3" s="142"/>
      <c r="K3" s="139" t="s">
        <v>9</v>
      </c>
      <c r="L3" s="144" t="s">
        <v>10</v>
      </c>
      <c r="O3" s="139" t="s">
        <v>1</v>
      </c>
      <c r="P3" s="139" t="s">
        <v>2</v>
      </c>
      <c r="Q3" s="139" t="s">
        <v>3</v>
      </c>
      <c r="R3" s="139" t="s">
        <v>4</v>
      </c>
      <c r="S3" s="139" t="s">
        <v>5</v>
      </c>
      <c r="T3" s="85" t="s">
        <v>6</v>
      </c>
      <c r="U3" s="139" t="s">
        <v>7</v>
      </c>
      <c r="V3" s="142" t="s">
        <v>8</v>
      </c>
      <c r="W3" s="142"/>
      <c r="X3" s="142"/>
      <c r="Y3" s="139" t="s">
        <v>9</v>
      </c>
      <c r="Z3" s="144" t="s">
        <v>10</v>
      </c>
    </row>
    <row r="4" spans="1:28" s="5" customFormat="1" ht="26.25" x14ac:dyDescent="0.55000000000000004">
      <c r="A4" s="139"/>
      <c r="B4" s="151"/>
      <c r="C4" s="139"/>
      <c r="D4" s="139"/>
      <c r="E4" s="139"/>
      <c r="F4" s="85" t="s">
        <v>11</v>
      </c>
      <c r="G4" s="139"/>
      <c r="H4" s="85" t="s">
        <v>12</v>
      </c>
      <c r="I4" s="86" t="s">
        <v>13</v>
      </c>
      <c r="J4" s="85" t="s">
        <v>14</v>
      </c>
      <c r="K4" s="139"/>
      <c r="L4" s="144"/>
      <c r="O4" s="139"/>
      <c r="P4" s="139"/>
      <c r="Q4" s="139"/>
      <c r="R4" s="139"/>
      <c r="S4" s="139"/>
      <c r="T4" s="85" t="s">
        <v>11</v>
      </c>
      <c r="U4" s="139"/>
      <c r="V4" s="85" t="s">
        <v>12</v>
      </c>
      <c r="W4" s="86" t="s">
        <v>13</v>
      </c>
      <c r="X4" s="85" t="s">
        <v>14</v>
      </c>
      <c r="Y4" s="139"/>
      <c r="Z4" s="144"/>
      <c r="AB4" s="5" t="s">
        <v>2</v>
      </c>
    </row>
    <row r="5" spans="1:28" ht="25.5" x14ac:dyDescent="0.55000000000000004">
      <c r="A5" s="10">
        <v>1</v>
      </c>
      <c r="B5" s="19" t="s">
        <v>15</v>
      </c>
      <c r="C5" s="79">
        <f>+'9'!G5</f>
        <v>6</v>
      </c>
      <c r="D5" s="87">
        <v>10</v>
      </c>
      <c r="E5" s="47">
        <f t="shared" ref="E5:E125" si="0">C5+D5</f>
        <v>16</v>
      </c>
      <c r="F5" s="87">
        <v>0</v>
      </c>
      <c r="G5" s="47">
        <f>+E5-F5-H5</f>
        <v>16</v>
      </c>
      <c r="H5" s="88"/>
      <c r="I5" s="15">
        <v>50</v>
      </c>
      <c r="J5" s="8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7">
        <v>0</v>
      </c>
      <c r="S5" s="47">
        <f t="shared" ref="S5:S14" si="1">Q5+R5</f>
        <v>0</v>
      </c>
      <c r="T5" s="87">
        <v>0</v>
      </c>
      <c r="U5" s="47">
        <f t="shared" ref="U5:U14" si="2">S5-T5-V5</f>
        <v>0</v>
      </c>
      <c r="V5" s="88">
        <v>0</v>
      </c>
      <c r="W5" s="22"/>
      <c r="X5" s="44">
        <f t="shared" ref="X5:X14" si="3">V5*W5</f>
        <v>0</v>
      </c>
      <c r="Y5" s="17" t="s">
        <v>16</v>
      </c>
      <c r="Z5" s="18">
        <v>0</v>
      </c>
      <c r="AB5" s="2" t="s">
        <v>317</v>
      </c>
    </row>
    <row r="6" spans="1:28" ht="25.5" x14ac:dyDescent="0.55000000000000004">
      <c r="A6" s="10">
        <v>2</v>
      </c>
      <c r="B6" s="19" t="s">
        <v>17</v>
      </c>
      <c r="C6" s="79">
        <v>12</v>
      </c>
      <c r="D6" s="87">
        <v>10</v>
      </c>
      <c r="E6" s="47">
        <f t="shared" si="0"/>
        <v>22</v>
      </c>
      <c r="F6" s="87">
        <v>0</v>
      </c>
      <c r="G6" s="47">
        <f t="shared" ref="G6:G100" si="4">+E6-F6-H6</f>
        <v>22</v>
      </c>
      <c r="H6" s="88"/>
      <c r="I6" s="15">
        <v>100</v>
      </c>
      <c r="J6" s="82">
        <f t="shared" ref="J6:J100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v>0</v>
      </c>
      <c r="R6" s="87">
        <v>0</v>
      </c>
      <c r="S6" s="47">
        <f t="shared" si="1"/>
        <v>0</v>
      </c>
      <c r="T6" s="87">
        <v>0</v>
      </c>
      <c r="U6" s="47">
        <f t="shared" si="2"/>
        <v>0</v>
      </c>
      <c r="V6" s="88">
        <v>0</v>
      </c>
      <c r="W6" s="22"/>
      <c r="X6" s="44">
        <f t="shared" si="3"/>
        <v>0</v>
      </c>
      <c r="Y6" s="17" t="s">
        <v>16</v>
      </c>
      <c r="Z6" s="18">
        <v>0</v>
      </c>
      <c r="AB6" s="2" t="s">
        <v>318</v>
      </c>
    </row>
    <row r="7" spans="1:28" ht="25.5" x14ac:dyDescent="0.55000000000000004">
      <c r="A7" s="10">
        <v>3</v>
      </c>
      <c r="B7" s="19" t="s">
        <v>18</v>
      </c>
      <c r="C7" s="79">
        <f>+'9'!G7</f>
        <v>0</v>
      </c>
      <c r="D7" s="87">
        <v>0</v>
      </c>
      <c r="E7" s="47">
        <f>C7+D7</f>
        <v>0</v>
      </c>
      <c r="F7" s="87">
        <v>0</v>
      </c>
      <c r="G7" s="47">
        <f t="shared" si="4"/>
        <v>0</v>
      </c>
      <c r="H7" s="88"/>
      <c r="I7" s="15">
        <v>50</v>
      </c>
      <c r="J7" s="8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7">
        <v>0</v>
      </c>
      <c r="S7" s="47">
        <f t="shared" si="1"/>
        <v>0</v>
      </c>
      <c r="T7" s="87">
        <v>0</v>
      </c>
      <c r="U7" s="47">
        <f t="shared" si="2"/>
        <v>0</v>
      </c>
      <c r="V7" s="88">
        <v>0</v>
      </c>
      <c r="W7" s="22"/>
      <c r="X7" s="44">
        <f t="shared" si="3"/>
        <v>0</v>
      </c>
      <c r="Y7" s="17" t="s">
        <v>16</v>
      </c>
      <c r="Z7" s="18">
        <v>0</v>
      </c>
      <c r="AB7" s="2" t="s">
        <v>319</v>
      </c>
    </row>
    <row r="8" spans="1:28" ht="25.5" x14ac:dyDescent="0.55000000000000004">
      <c r="A8" s="10">
        <v>4</v>
      </c>
      <c r="B8" s="19" t="s">
        <v>19</v>
      </c>
      <c r="C8" s="79">
        <f>+'9'!G8</f>
        <v>0</v>
      </c>
      <c r="D8" s="87">
        <v>0</v>
      </c>
      <c r="E8" s="47">
        <f>C8+D8</f>
        <v>0</v>
      </c>
      <c r="F8" s="87">
        <v>0</v>
      </c>
      <c r="G8" s="47">
        <f t="shared" si="4"/>
        <v>0</v>
      </c>
      <c r="H8" s="88"/>
      <c r="I8" s="15">
        <v>100</v>
      </c>
      <c r="J8" s="8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7">
        <v>0</v>
      </c>
      <c r="S8" s="47">
        <f t="shared" si="1"/>
        <v>0</v>
      </c>
      <c r="T8" s="87">
        <v>0</v>
      </c>
      <c r="U8" s="47">
        <f t="shared" si="2"/>
        <v>0</v>
      </c>
      <c r="V8" s="88">
        <v>0</v>
      </c>
      <c r="W8" s="22"/>
      <c r="X8" s="44">
        <f t="shared" si="3"/>
        <v>0</v>
      </c>
      <c r="Y8" s="17" t="s">
        <v>16</v>
      </c>
      <c r="Z8" s="18">
        <v>0</v>
      </c>
      <c r="AB8" s="2" t="s">
        <v>320</v>
      </c>
    </row>
    <row r="9" spans="1:28" ht="25.5" x14ac:dyDescent="0.55000000000000004">
      <c r="A9" s="10">
        <v>5</v>
      </c>
      <c r="B9" s="19" t="s">
        <v>20</v>
      </c>
      <c r="C9" s="79">
        <f>+'9'!G9</f>
        <v>0</v>
      </c>
      <c r="D9" s="87">
        <v>0</v>
      </c>
      <c r="E9" s="47">
        <f>C9+D9</f>
        <v>0</v>
      </c>
      <c r="F9" s="87">
        <v>0</v>
      </c>
      <c r="G9" s="47">
        <f t="shared" si="4"/>
        <v>0</v>
      </c>
      <c r="H9" s="88"/>
      <c r="I9" s="15">
        <v>12</v>
      </c>
      <c r="J9" s="8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7">
        <v>0</v>
      </c>
      <c r="S9" s="47">
        <f t="shared" si="1"/>
        <v>0</v>
      </c>
      <c r="T9" s="87">
        <v>0</v>
      </c>
      <c r="U9" s="47">
        <f t="shared" si="2"/>
        <v>0</v>
      </c>
      <c r="V9" s="88">
        <v>0</v>
      </c>
      <c r="W9" s="22"/>
      <c r="X9" s="44">
        <f t="shared" si="3"/>
        <v>0</v>
      </c>
      <c r="Y9" s="17" t="s">
        <v>16</v>
      </c>
      <c r="Z9" s="18">
        <v>0</v>
      </c>
      <c r="AB9" s="2" t="s">
        <v>307</v>
      </c>
    </row>
    <row r="10" spans="1:28" ht="25.5" x14ac:dyDescent="0.55000000000000004">
      <c r="A10" s="10">
        <v>6</v>
      </c>
      <c r="B10" s="19" t="s">
        <v>21</v>
      </c>
      <c r="C10" s="79">
        <f>+'9'!G10</f>
        <v>0</v>
      </c>
      <c r="D10" s="87">
        <v>0</v>
      </c>
      <c r="E10" s="47">
        <f>C10+D10</f>
        <v>0</v>
      </c>
      <c r="F10" s="87">
        <v>0</v>
      </c>
      <c r="G10" s="47">
        <f t="shared" si="4"/>
        <v>0</v>
      </c>
      <c r="H10" s="88"/>
      <c r="I10" s="15">
        <v>15</v>
      </c>
      <c r="J10" s="8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7">
        <v>0</v>
      </c>
      <c r="S10" s="47">
        <f t="shared" si="1"/>
        <v>0</v>
      </c>
      <c r="T10" s="87">
        <v>0</v>
      </c>
      <c r="U10" s="47">
        <f t="shared" si="2"/>
        <v>0</v>
      </c>
      <c r="V10" s="88">
        <v>0</v>
      </c>
      <c r="W10" s="22"/>
      <c r="X10" s="44">
        <f t="shared" si="3"/>
        <v>0</v>
      </c>
      <c r="Y10" s="17" t="s">
        <v>16</v>
      </c>
      <c r="Z10" s="18">
        <v>0</v>
      </c>
      <c r="AB10" s="2" t="s">
        <v>311</v>
      </c>
    </row>
    <row r="11" spans="1:28" ht="25.5" x14ac:dyDescent="0.55000000000000004">
      <c r="A11" s="10">
        <v>7</v>
      </c>
      <c r="B11" s="19" t="s">
        <v>22</v>
      </c>
      <c r="C11" s="79">
        <f>+'9'!G11</f>
        <v>0</v>
      </c>
      <c r="D11" s="87">
        <v>0</v>
      </c>
      <c r="E11" s="47">
        <f t="shared" si="0"/>
        <v>0</v>
      </c>
      <c r="F11" s="87">
        <v>0</v>
      </c>
      <c r="G11" s="47">
        <f t="shared" si="4"/>
        <v>0</v>
      </c>
      <c r="H11" s="88"/>
      <c r="I11" s="15">
        <v>40</v>
      </c>
      <c r="J11" s="8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7">
        <v>0</v>
      </c>
      <c r="S11" s="47">
        <f t="shared" si="1"/>
        <v>0</v>
      </c>
      <c r="T11" s="87">
        <v>0</v>
      </c>
      <c r="U11" s="47">
        <f t="shared" si="2"/>
        <v>0</v>
      </c>
      <c r="V11" s="88">
        <v>0</v>
      </c>
      <c r="W11" s="22"/>
      <c r="X11" s="44">
        <f t="shared" si="3"/>
        <v>0</v>
      </c>
      <c r="Y11" s="17" t="s">
        <v>16</v>
      </c>
      <c r="Z11" s="18">
        <v>0</v>
      </c>
      <c r="AB11" s="2" t="s">
        <v>321</v>
      </c>
    </row>
    <row r="12" spans="1:28" ht="25.5" x14ac:dyDescent="0.55000000000000004">
      <c r="A12" s="10">
        <v>8</v>
      </c>
      <c r="B12" s="19" t="s">
        <v>23</v>
      </c>
      <c r="C12" s="79">
        <f>+'9'!G12</f>
        <v>0</v>
      </c>
      <c r="D12" s="87">
        <v>0</v>
      </c>
      <c r="E12" s="47">
        <f t="shared" si="0"/>
        <v>0</v>
      </c>
      <c r="F12" s="87">
        <v>0</v>
      </c>
      <c r="G12" s="47">
        <f t="shared" si="4"/>
        <v>0</v>
      </c>
      <c r="H12" s="88"/>
      <c r="I12" s="20">
        <v>50</v>
      </c>
      <c r="J12" s="8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7">
        <v>0</v>
      </c>
      <c r="S12" s="47">
        <f t="shared" si="1"/>
        <v>0</v>
      </c>
      <c r="T12" s="87">
        <v>0</v>
      </c>
      <c r="U12" s="47">
        <f t="shared" si="2"/>
        <v>0</v>
      </c>
      <c r="V12" s="88">
        <v>0</v>
      </c>
      <c r="W12" s="22"/>
      <c r="X12" s="44">
        <f t="shared" si="3"/>
        <v>0</v>
      </c>
      <c r="Y12" s="17" t="s">
        <v>16</v>
      </c>
      <c r="Z12" s="18">
        <v>0</v>
      </c>
      <c r="AB12" s="2" t="s">
        <v>289</v>
      </c>
    </row>
    <row r="13" spans="1:28" ht="25.5" x14ac:dyDescent="0.55000000000000004">
      <c r="A13" s="10">
        <v>9</v>
      </c>
      <c r="B13" s="19" t="s">
        <v>24</v>
      </c>
      <c r="C13" s="79">
        <f>+'9'!G13</f>
        <v>0</v>
      </c>
      <c r="D13" s="87">
        <v>0</v>
      </c>
      <c r="E13" s="47">
        <f>C13+D13</f>
        <v>0</v>
      </c>
      <c r="F13" s="87">
        <v>0</v>
      </c>
      <c r="G13" s="47">
        <f t="shared" si="4"/>
        <v>0</v>
      </c>
      <c r="H13" s="88"/>
      <c r="I13" s="20">
        <v>55</v>
      </c>
      <c r="J13" s="8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7">
        <v>0</v>
      </c>
      <c r="S13" s="47">
        <f t="shared" si="1"/>
        <v>0</v>
      </c>
      <c r="T13" s="87">
        <v>0</v>
      </c>
      <c r="U13" s="47">
        <f t="shared" si="2"/>
        <v>0</v>
      </c>
      <c r="V13" s="88">
        <v>0</v>
      </c>
      <c r="W13" s="22"/>
      <c r="X13" s="44">
        <f t="shared" si="3"/>
        <v>0</v>
      </c>
      <c r="Y13" s="17" t="s">
        <v>16</v>
      </c>
      <c r="Z13" s="18">
        <v>0</v>
      </c>
      <c r="AB13" s="2" t="s">
        <v>322</v>
      </c>
    </row>
    <row r="14" spans="1:28" ht="25.5" x14ac:dyDescent="0.55000000000000004">
      <c r="A14" s="10">
        <v>10</v>
      </c>
      <c r="B14" s="19" t="s">
        <v>25</v>
      </c>
      <c r="C14" s="79">
        <f>+'9'!G14</f>
        <v>2</v>
      </c>
      <c r="D14" s="87">
        <v>0</v>
      </c>
      <c r="E14" s="47">
        <f t="shared" si="0"/>
        <v>2</v>
      </c>
      <c r="F14" s="87">
        <v>0</v>
      </c>
      <c r="G14" s="47">
        <f t="shared" si="4"/>
        <v>2</v>
      </c>
      <c r="H14" s="88"/>
      <c r="I14" s="20">
        <v>65</v>
      </c>
      <c r="J14" s="8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7">
        <v>0</v>
      </c>
      <c r="S14" s="47">
        <f t="shared" si="1"/>
        <v>0</v>
      </c>
      <c r="T14" s="87">
        <v>0</v>
      </c>
      <c r="U14" s="47">
        <f t="shared" si="2"/>
        <v>0</v>
      </c>
      <c r="V14" s="88">
        <v>0</v>
      </c>
      <c r="W14" s="22"/>
      <c r="X14" s="44">
        <f t="shared" si="3"/>
        <v>0</v>
      </c>
      <c r="Y14" s="17" t="s">
        <v>16</v>
      </c>
      <c r="Z14" s="18">
        <v>0</v>
      </c>
      <c r="AB14" s="2" t="s">
        <v>306</v>
      </c>
    </row>
    <row r="15" spans="1:28" ht="25.5" x14ac:dyDescent="0.55000000000000004">
      <c r="A15" s="10">
        <v>11</v>
      </c>
      <c r="B15" s="19" t="s">
        <v>26</v>
      </c>
      <c r="C15" s="79">
        <f>+'9'!G15</f>
        <v>0</v>
      </c>
      <c r="D15" s="87">
        <v>0</v>
      </c>
      <c r="E15" s="47">
        <f t="shared" si="0"/>
        <v>0</v>
      </c>
      <c r="F15" s="87">
        <v>0</v>
      </c>
      <c r="G15" s="47">
        <f t="shared" si="4"/>
        <v>0</v>
      </c>
      <c r="H15" s="88"/>
      <c r="I15" s="20">
        <v>50</v>
      </c>
      <c r="J15" s="8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7">
        <v>0</v>
      </c>
      <c r="S15" s="47">
        <f t="shared" ref="S15:S29" si="7">Q15+R15</f>
        <v>0</v>
      </c>
      <c r="T15" s="87">
        <v>0</v>
      </c>
      <c r="U15" s="47">
        <f t="shared" ref="U15:U29" si="8">S15-T15-V15</f>
        <v>0</v>
      </c>
      <c r="V15" s="88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8" ht="25.5" x14ac:dyDescent="0.55000000000000004">
      <c r="A16" s="10">
        <v>12</v>
      </c>
      <c r="B16" s="19" t="s">
        <v>27</v>
      </c>
      <c r="C16" s="79">
        <f>+'9'!G16</f>
        <v>0</v>
      </c>
      <c r="D16" s="87">
        <v>0</v>
      </c>
      <c r="E16" s="47">
        <f t="shared" si="0"/>
        <v>0</v>
      </c>
      <c r="F16" s="87">
        <v>0</v>
      </c>
      <c r="G16" s="47">
        <f t="shared" si="4"/>
        <v>0</v>
      </c>
      <c r="H16" s="88"/>
      <c r="I16" s="15">
        <v>50</v>
      </c>
      <c r="J16" s="8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7">
        <v>0</v>
      </c>
      <c r="S16" s="47">
        <f t="shared" si="7"/>
        <v>0</v>
      </c>
      <c r="T16" s="87">
        <v>0</v>
      </c>
      <c r="U16" s="47">
        <f t="shared" si="8"/>
        <v>0</v>
      </c>
      <c r="V16" s="88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+'9'!G17</f>
        <v>0</v>
      </c>
      <c r="D17" s="87">
        <v>0</v>
      </c>
      <c r="E17" s="47">
        <f t="shared" si="0"/>
        <v>0</v>
      </c>
      <c r="F17" s="87">
        <v>0</v>
      </c>
      <c r="G17" s="47">
        <f t="shared" si="4"/>
        <v>0</v>
      </c>
      <c r="H17" s="88"/>
      <c r="I17" s="15">
        <v>50</v>
      </c>
      <c r="J17" s="8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7">
        <v>0</v>
      </c>
      <c r="S17" s="47">
        <f t="shared" si="7"/>
        <v>0</v>
      </c>
      <c r="T17" s="87">
        <v>0</v>
      </c>
      <c r="U17" s="47">
        <f t="shared" si="8"/>
        <v>0</v>
      </c>
      <c r="V17" s="88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+'9'!G18</f>
        <v>0</v>
      </c>
      <c r="D18" s="87">
        <v>0</v>
      </c>
      <c r="E18" s="47">
        <f t="shared" si="0"/>
        <v>0</v>
      </c>
      <c r="F18" s="87">
        <v>0</v>
      </c>
      <c r="G18" s="47">
        <f t="shared" si="4"/>
        <v>0</v>
      </c>
      <c r="H18" s="88"/>
      <c r="I18" s="20">
        <v>50</v>
      </c>
      <c r="J18" s="8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7">
        <v>0</v>
      </c>
      <c r="S18" s="47">
        <f t="shared" si="7"/>
        <v>0</v>
      </c>
      <c r="T18" s="87">
        <v>0</v>
      </c>
      <c r="U18" s="47">
        <f t="shared" si="8"/>
        <v>0</v>
      </c>
      <c r="V18" s="88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329</v>
      </c>
      <c r="C19" s="79">
        <f>+'9'!G19</f>
        <v>0</v>
      </c>
      <c r="D19" s="87">
        <v>0</v>
      </c>
      <c r="E19" s="47">
        <f t="shared" si="0"/>
        <v>0</v>
      </c>
      <c r="F19" s="87">
        <v>0</v>
      </c>
      <c r="G19" s="47">
        <f t="shared" si="4"/>
        <v>0</v>
      </c>
      <c r="H19" s="88"/>
      <c r="I19" s="15">
        <v>50</v>
      </c>
      <c r="J19" s="8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7">
        <v>0</v>
      </c>
      <c r="S19" s="47">
        <f t="shared" si="7"/>
        <v>0</v>
      </c>
      <c r="T19" s="87">
        <v>0</v>
      </c>
      <c r="U19" s="47">
        <f t="shared" si="8"/>
        <v>0</v>
      </c>
      <c r="V19" s="88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+'9'!G20</f>
        <v>0</v>
      </c>
      <c r="D20" s="87">
        <v>0</v>
      </c>
      <c r="E20" s="47">
        <f t="shared" si="0"/>
        <v>0</v>
      </c>
      <c r="F20" s="87">
        <v>0</v>
      </c>
      <c r="G20" s="47">
        <f t="shared" si="4"/>
        <v>0</v>
      </c>
      <c r="H20" s="88"/>
      <c r="I20" s="15">
        <v>50</v>
      </c>
      <c r="J20" s="8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7">
        <v>0</v>
      </c>
      <c r="S20" s="47">
        <f t="shared" si="7"/>
        <v>0</v>
      </c>
      <c r="T20" s="87">
        <v>0</v>
      </c>
      <c r="U20" s="47">
        <f t="shared" si="8"/>
        <v>0</v>
      </c>
      <c r="V20" s="88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+'9'!G21</f>
        <v>0</v>
      </c>
      <c r="D21" s="87">
        <v>0</v>
      </c>
      <c r="E21" s="47">
        <f t="shared" si="0"/>
        <v>0</v>
      </c>
      <c r="F21" s="87">
        <v>0</v>
      </c>
      <c r="G21" s="47">
        <f t="shared" si="4"/>
        <v>0</v>
      </c>
      <c r="H21" s="88"/>
      <c r="I21" s="15">
        <v>50</v>
      </c>
      <c r="J21" s="8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7">
        <v>0</v>
      </c>
      <c r="S21" s="47">
        <f t="shared" si="7"/>
        <v>0</v>
      </c>
      <c r="T21" s="87">
        <v>0</v>
      </c>
      <c r="U21" s="47">
        <f t="shared" si="8"/>
        <v>0</v>
      </c>
      <c r="V21" s="88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+'9'!G22</f>
        <v>0</v>
      </c>
      <c r="D22" s="87">
        <v>5</v>
      </c>
      <c r="E22" s="47">
        <f t="shared" si="0"/>
        <v>5</v>
      </c>
      <c r="F22" s="87">
        <v>0</v>
      </c>
      <c r="G22" s="47">
        <f t="shared" si="4"/>
        <v>5</v>
      </c>
      <c r="H22" s="88"/>
      <c r="I22" s="15">
        <v>85</v>
      </c>
      <c r="J22" s="8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7">
        <v>0</v>
      </c>
      <c r="S22" s="47">
        <f t="shared" si="7"/>
        <v>0</v>
      </c>
      <c r="T22" s="87">
        <v>0</v>
      </c>
      <c r="U22" s="47">
        <f t="shared" si="8"/>
        <v>0</v>
      </c>
      <c r="V22" s="88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+'9'!G23</f>
        <v>0</v>
      </c>
      <c r="D23" s="87">
        <v>10</v>
      </c>
      <c r="E23" s="47">
        <f t="shared" si="0"/>
        <v>10</v>
      </c>
      <c r="F23" s="87">
        <v>0</v>
      </c>
      <c r="G23" s="47">
        <f t="shared" si="4"/>
        <v>10</v>
      </c>
      <c r="H23" s="88"/>
      <c r="I23" s="15">
        <v>100</v>
      </c>
      <c r="J23" s="8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v>0</v>
      </c>
      <c r="R23" s="87">
        <v>0</v>
      </c>
      <c r="S23" s="47">
        <f t="shared" si="7"/>
        <v>0</v>
      </c>
      <c r="T23" s="87">
        <v>0</v>
      </c>
      <c r="U23" s="47">
        <f t="shared" si="8"/>
        <v>0</v>
      </c>
      <c r="V23" s="88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+'9'!G24</f>
        <v>2</v>
      </c>
      <c r="D24" s="87">
        <v>5</v>
      </c>
      <c r="E24" s="47">
        <f t="shared" si="0"/>
        <v>7</v>
      </c>
      <c r="F24" s="87">
        <v>0</v>
      </c>
      <c r="G24" s="47">
        <f t="shared" si="4"/>
        <v>6</v>
      </c>
      <c r="H24" s="88">
        <v>1</v>
      </c>
      <c r="I24" s="21">
        <v>100</v>
      </c>
      <c r="J24" s="82">
        <f t="shared" si="5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9"/>
      <c r="Q24" s="47">
        <v>0</v>
      </c>
      <c r="R24" s="87">
        <v>0</v>
      </c>
      <c r="S24" s="47">
        <f t="shared" si="7"/>
        <v>0</v>
      </c>
      <c r="T24" s="87">
        <v>0</v>
      </c>
      <c r="U24" s="47">
        <f t="shared" si="8"/>
        <v>0</v>
      </c>
      <c r="V24" s="88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+'9'!G25</f>
        <v>0</v>
      </c>
      <c r="D25" s="87">
        <v>0</v>
      </c>
      <c r="E25" s="47">
        <f t="shared" si="0"/>
        <v>0</v>
      </c>
      <c r="F25" s="87">
        <v>0</v>
      </c>
      <c r="G25" s="47">
        <f t="shared" si="4"/>
        <v>0</v>
      </c>
      <c r="H25" s="88"/>
      <c r="I25" s="21">
        <v>100</v>
      </c>
      <c r="J25" s="8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7">
        <v>0</v>
      </c>
      <c r="S25" s="47">
        <f t="shared" si="7"/>
        <v>0</v>
      </c>
      <c r="T25" s="87">
        <v>0</v>
      </c>
      <c r="U25" s="47">
        <f t="shared" si="8"/>
        <v>0</v>
      </c>
      <c r="V25" s="88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+'9'!G26</f>
        <v>1</v>
      </c>
      <c r="D26" s="87">
        <v>0</v>
      </c>
      <c r="E26" s="47">
        <f t="shared" si="0"/>
        <v>1</v>
      </c>
      <c r="F26" s="87">
        <v>0</v>
      </c>
      <c r="G26" s="47">
        <f t="shared" si="4"/>
        <v>1</v>
      </c>
      <c r="H26" s="88"/>
      <c r="I26" s="21">
        <v>100</v>
      </c>
      <c r="J26" s="8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7">
        <v>0</v>
      </c>
      <c r="S26" s="47">
        <f t="shared" si="7"/>
        <v>0</v>
      </c>
      <c r="T26" s="87">
        <v>0</v>
      </c>
      <c r="U26" s="47">
        <f t="shared" si="8"/>
        <v>0</v>
      </c>
      <c r="V26" s="88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+'9'!G27</f>
        <v>0</v>
      </c>
      <c r="D27" s="87">
        <v>0</v>
      </c>
      <c r="E27" s="47">
        <f t="shared" si="0"/>
        <v>0</v>
      </c>
      <c r="F27" s="87">
        <v>0</v>
      </c>
      <c r="G27" s="47">
        <f t="shared" si="4"/>
        <v>0</v>
      </c>
      <c r="H27" s="88"/>
      <c r="I27" s="20">
        <v>100</v>
      </c>
      <c r="J27" s="8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7">
        <v>0</v>
      </c>
      <c r="S27" s="47">
        <f t="shared" si="7"/>
        <v>0</v>
      </c>
      <c r="T27" s="87">
        <v>0</v>
      </c>
      <c r="U27" s="47">
        <f t="shared" si="8"/>
        <v>0</v>
      </c>
      <c r="V27" s="88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+'9'!G28</f>
        <v>0</v>
      </c>
      <c r="D28" s="87">
        <v>0</v>
      </c>
      <c r="E28" s="47">
        <f t="shared" si="0"/>
        <v>0</v>
      </c>
      <c r="F28" s="87">
        <v>0</v>
      </c>
      <c r="G28" s="47">
        <f t="shared" si="4"/>
        <v>0</v>
      </c>
      <c r="H28" s="88"/>
      <c r="I28" s="20">
        <v>100</v>
      </c>
      <c r="J28" s="8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7">
        <v>0</v>
      </c>
      <c r="S28" s="47">
        <f t="shared" si="7"/>
        <v>0</v>
      </c>
      <c r="T28" s="87">
        <v>0</v>
      </c>
      <c r="U28" s="47">
        <f t="shared" si="8"/>
        <v>0</v>
      </c>
      <c r="V28" s="88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+'9'!G29</f>
        <v>6</v>
      </c>
      <c r="D29" s="87">
        <v>5</v>
      </c>
      <c r="E29" s="47">
        <f t="shared" si="0"/>
        <v>11</v>
      </c>
      <c r="F29" s="87">
        <v>0</v>
      </c>
      <c r="G29" s="47">
        <f t="shared" si="4"/>
        <v>11</v>
      </c>
      <c r="H29" s="88"/>
      <c r="I29" s="15">
        <v>100</v>
      </c>
      <c r="J29" s="8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7">
        <v>0</v>
      </c>
      <c r="S29" s="47">
        <f t="shared" si="7"/>
        <v>0</v>
      </c>
      <c r="T29" s="87">
        <v>0</v>
      </c>
      <c r="U29" s="47">
        <f t="shared" si="8"/>
        <v>0</v>
      </c>
      <c r="V29" s="88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+'9'!G30</f>
        <v>0</v>
      </c>
      <c r="D30" s="87">
        <v>0</v>
      </c>
      <c r="E30" s="47">
        <f t="shared" si="0"/>
        <v>0</v>
      </c>
      <c r="F30" s="87">
        <v>0</v>
      </c>
      <c r="G30" s="47">
        <f t="shared" si="4"/>
        <v>0</v>
      </c>
      <c r="H30" s="88"/>
      <c r="I30" s="15">
        <v>100</v>
      </c>
      <c r="J30" s="8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+'9'!G31</f>
        <v>2</v>
      </c>
      <c r="D31" s="87">
        <v>0</v>
      </c>
      <c r="E31" s="47">
        <f t="shared" si="0"/>
        <v>2</v>
      </c>
      <c r="F31" s="87">
        <v>0</v>
      </c>
      <c r="G31" s="47">
        <f t="shared" si="4"/>
        <v>2</v>
      </c>
      <c r="H31" s="88"/>
      <c r="I31" s="15">
        <v>100</v>
      </c>
      <c r="J31" s="82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+'9'!G32</f>
        <v>0</v>
      </c>
      <c r="D32" s="87">
        <v>0</v>
      </c>
      <c r="E32" s="47">
        <f t="shared" si="0"/>
        <v>0</v>
      </c>
      <c r="F32" s="87">
        <v>0</v>
      </c>
      <c r="G32" s="47">
        <f t="shared" si="4"/>
        <v>0</v>
      </c>
      <c r="H32" s="88"/>
      <c r="I32" s="15">
        <v>130</v>
      </c>
      <c r="J32" s="82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5" t="s">
        <v>119</v>
      </c>
      <c r="Q32" s="146"/>
      <c r="R32" s="146"/>
      <c r="S32" s="146"/>
      <c r="T32" s="146"/>
      <c r="U32" s="146"/>
      <c r="V32" s="146"/>
      <c r="W32" s="147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+'9'!G33</f>
        <v>0</v>
      </c>
      <c r="D33" s="87">
        <v>5</v>
      </c>
      <c r="E33" s="47">
        <f t="shared" si="0"/>
        <v>5</v>
      </c>
      <c r="F33" s="87">
        <v>0</v>
      </c>
      <c r="G33" s="47">
        <f t="shared" si="4"/>
        <v>5</v>
      </c>
      <c r="H33" s="88"/>
      <c r="I33" s="15">
        <v>130</v>
      </c>
      <c r="J33" s="82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+'9'!G34</f>
        <v>4</v>
      </c>
      <c r="D34" s="87">
        <v>5</v>
      </c>
      <c r="E34" s="47">
        <f t="shared" si="0"/>
        <v>9</v>
      </c>
      <c r="F34" s="87">
        <v>0</v>
      </c>
      <c r="G34" s="47">
        <f t="shared" si="4"/>
        <v>8</v>
      </c>
      <c r="H34" s="88">
        <v>1</v>
      </c>
      <c r="I34" s="15">
        <v>130</v>
      </c>
      <c r="J34" s="82">
        <f t="shared" si="5"/>
        <v>130</v>
      </c>
      <c r="K34" s="17" t="s">
        <v>16</v>
      </c>
      <c r="L34" s="18">
        <v>0</v>
      </c>
      <c r="M34" s="23">
        <f t="shared" si="6"/>
        <v>130</v>
      </c>
    </row>
    <row r="35" spans="1:13" ht="25.5" x14ac:dyDescent="0.55000000000000004">
      <c r="A35" s="10">
        <v>31</v>
      </c>
      <c r="B35" s="19" t="s">
        <v>46</v>
      </c>
      <c r="C35" s="79">
        <f>+'9'!G35</f>
        <v>0</v>
      </c>
      <c r="D35" s="87">
        <v>0</v>
      </c>
      <c r="E35" s="47">
        <f t="shared" si="0"/>
        <v>0</v>
      </c>
      <c r="F35" s="87">
        <v>0</v>
      </c>
      <c r="G35" s="47">
        <f t="shared" si="4"/>
        <v>0</v>
      </c>
      <c r="H35" s="88"/>
      <c r="I35" s="15">
        <v>130</v>
      </c>
      <c r="J35" s="82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+'9'!G36</f>
        <v>0</v>
      </c>
      <c r="D36" s="87">
        <v>0</v>
      </c>
      <c r="E36" s="47">
        <f t="shared" si="0"/>
        <v>0</v>
      </c>
      <c r="F36" s="87">
        <v>0</v>
      </c>
      <c r="G36" s="47">
        <f t="shared" si="4"/>
        <v>0</v>
      </c>
      <c r="H36" s="88"/>
      <c r="I36" s="15">
        <v>100</v>
      </c>
      <c r="J36" s="82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+'9'!G37</f>
        <v>15</v>
      </c>
      <c r="D37" s="87">
        <v>0</v>
      </c>
      <c r="E37" s="47">
        <f t="shared" si="0"/>
        <v>15</v>
      </c>
      <c r="F37" s="87">
        <v>0</v>
      </c>
      <c r="G37" s="47">
        <f t="shared" si="4"/>
        <v>15</v>
      </c>
      <c r="H37" s="88"/>
      <c r="I37" s="15">
        <v>100</v>
      </c>
      <c r="J37" s="82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 t="s">
        <v>49</v>
      </c>
      <c r="C38" s="79">
        <f>+'9'!G38</f>
        <v>0</v>
      </c>
      <c r="D38" s="87">
        <v>5</v>
      </c>
      <c r="E38" s="47">
        <f t="shared" si="0"/>
        <v>5</v>
      </c>
      <c r="F38" s="87">
        <v>0</v>
      </c>
      <c r="G38" s="47">
        <f t="shared" si="4"/>
        <v>5</v>
      </c>
      <c r="H38" s="88"/>
      <c r="I38" s="15">
        <v>50</v>
      </c>
      <c r="J38" s="82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+'9'!G39</f>
        <v>0</v>
      </c>
      <c r="D39" s="87">
        <v>5</v>
      </c>
      <c r="E39" s="47">
        <f t="shared" si="0"/>
        <v>5</v>
      </c>
      <c r="F39" s="87">
        <v>0</v>
      </c>
      <c r="G39" s="47">
        <f t="shared" si="4"/>
        <v>5</v>
      </c>
      <c r="H39" s="88"/>
      <c r="I39" s="15">
        <v>50</v>
      </c>
      <c r="J39" s="82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v>0</v>
      </c>
      <c r="D40" s="87">
        <v>5</v>
      </c>
      <c r="E40" s="47">
        <f t="shared" si="0"/>
        <v>5</v>
      </c>
      <c r="F40" s="87">
        <v>0</v>
      </c>
      <c r="G40" s="47">
        <f t="shared" si="4"/>
        <v>5</v>
      </c>
      <c r="H40" s="88"/>
      <c r="I40" s="15">
        <v>50</v>
      </c>
      <c r="J40" s="82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+'9'!G41</f>
        <v>0</v>
      </c>
      <c r="D41" s="87">
        <v>0</v>
      </c>
      <c r="E41" s="47">
        <f t="shared" si="0"/>
        <v>0</v>
      </c>
      <c r="F41" s="87">
        <v>0</v>
      </c>
      <c r="G41" s="47">
        <f t="shared" si="4"/>
        <v>0</v>
      </c>
      <c r="H41" s="88"/>
      <c r="I41" s="15">
        <v>50</v>
      </c>
      <c r="J41" s="82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285</v>
      </c>
      <c r="C42" s="79">
        <f>+'9'!G42</f>
        <v>0</v>
      </c>
      <c r="D42" s="87">
        <v>0</v>
      </c>
      <c r="E42" s="47">
        <f t="shared" si="0"/>
        <v>0</v>
      </c>
      <c r="F42" s="87">
        <v>0</v>
      </c>
      <c r="G42" s="47">
        <f t="shared" si="4"/>
        <v>0</v>
      </c>
      <c r="H42" s="88"/>
      <c r="I42" s="15">
        <v>50</v>
      </c>
      <c r="J42" s="82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+'9'!G43</f>
        <v>1</v>
      </c>
      <c r="D43" s="87">
        <v>0</v>
      </c>
      <c r="E43" s="47">
        <f t="shared" si="0"/>
        <v>1</v>
      </c>
      <c r="F43" s="87">
        <v>0</v>
      </c>
      <c r="G43" s="47">
        <f t="shared" si="4"/>
        <v>1</v>
      </c>
      <c r="H43" s="88"/>
      <c r="I43" s="15">
        <v>50</v>
      </c>
      <c r="J43" s="82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+'9'!G44</f>
        <v>0</v>
      </c>
      <c r="D44" s="87">
        <v>0</v>
      </c>
      <c r="E44" s="47">
        <f t="shared" si="0"/>
        <v>0</v>
      </c>
      <c r="F44" s="87">
        <v>0</v>
      </c>
      <c r="G44" s="47">
        <f t="shared" si="4"/>
        <v>0</v>
      </c>
      <c r="H44" s="88"/>
      <c r="I44" s="15">
        <v>50</v>
      </c>
      <c r="J44" s="82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+'9'!G45</f>
        <v>0</v>
      </c>
      <c r="D45" s="87">
        <v>0</v>
      </c>
      <c r="E45" s="47">
        <f t="shared" si="0"/>
        <v>0</v>
      </c>
      <c r="F45" s="87">
        <v>0</v>
      </c>
      <c r="G45" s="47">
        <f t="shared" si="4"/>
        <v>0</v>
      </c>
      <c r="H45" s="88"/>
      <c r="I45" s="15">
        <v>50</v>
      </c>
      <c r="J45" s="82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286</v>
      </c>
      <c r="C46" s="79">
        <f>+'9'!G46</f>
        <v>0</v>
      </c>
      <c r="D46" s="87">
        <v>0</v>
      </c>
      <c r="E46" s="47">
        <f t="shared" si="0"/>
        <v>0</v>
      </c>
      <c r="F46" s="87">
        <v>0</v>
      </c>
      <c r="G46" s="47">
        <f t="shared" si="4"/>
        <v>0</v>
      </c>
      <c r="H46" s="88"/>
      <c r="I46" s="15">
        <v>50</v>
      </c>
      <c r="J46" s="82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+'9'!G47</f>
        <v>0</v>
      </c>
      <c r="D47" s="87">
        <v>0</v>
      </c>
      <c r="E47" s="47">
        <f t="shared" si="0"/>
        <v>0</v>
      </c>
      <c r="F47" s="87">
        <v>0</v>
      </c>
      <c r="G47" s="47">
        <f t="shared" si="4"/>
        <v>0</v>
      </c>
      <c r="H47" s="88"/>
      <c r="I47" s="15">
        <v>50</v>
      </c>
      <c r="J47" s="82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+'9'!G48</f>
        <v>2</v>
      </c>
      <c r="D48" s="87">
        <v>0</v>
      </c>
      <c r="E48" s="47">
        <f t="shared" si="0"/>
        <v>2</v>
      </c>
      <c r="F48" s="87">
        <v>0</v>
      </c>
      <c r="G48" s="47">
        <f t="shared" si="4"/>
        <v>2</v>
      </c>
      <c r="H48" s="88"/>
      <c r="I48" s="15">
        <v>50</v>
      </c>
      <c r="J48" s="82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+'9'!G49</f>
        <v>0</v>
      </c>
      <c r="D49" s="87">
        <v>0</v>
      </c>
      <c r="E49" s="47">
        <f t="shared" si="0"/>
        <v>0</v>
      </c>
      <c r="F49" s="87">
        <v>0</v>
      </c>
      <c r="G49" s="47">
        <f t="shared" si="4"/>
        <v>0</v>
      </c>
      <c r="H49" s="88"/>
      <c r="I49" s="15">
        <v>50</v>
      </c>
      <c r="J49" s="82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+'9'!G50</f>
        <v>4</v>
      </c>
      <c r="D50" s="87">
        <v>0</v>
      </c>
      <c r="E50" s="47">
        <f t="shared" si="0"/>
        <v>4</v>
      </c>
      <c r="F50" s="87">
        <v>0</v>
      </c>
      <c r="G50" s="47">
        <f t="shared" si="4"/>
        <v>4</v>
      </c>
      <c r="H50" s="88"/>
      <c r="I50" s="15">
        <v>120</v>
      </c>
      <c r="J50" s="82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+'9'!G51</f>
        <v>1</v>
      </c>
      <c r="D51" s="87">
        <v>0</v>
      </c>
      <c r="E51" s="47">
        <f t="shared" si="0"/>
        <v>1</v>
      </c>
      <c r="F51" s="87">
        <v>0</v>
      </c>
      <c r="G51" s="47">
        <f t="shared" si="4"/>
        <v>1</v>
      </c>
      <c r="H51" s="88"/>
      <c r="I51" s="15">
        <v>120</v>
      </c>
      <c r="J51" s="82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+'9'!G52</f>
        <v>0</v>
      </c>
      <c r="D52" s="87">
        <v>0</v>
      </c>
      <c r="E52" s="47">
        <f t="shared" si="0"/>
        <v>0</v>
      </c>
      <c r="F52" s="87">
        <v>0</v>
      </c>
      <c r="G52" s="47">
        <f t="shared" si="4"/>
        <v>0</v>
      </c>
      <c r="H52" s="88"/>
      <c r="I52" s="21">
        <v>120</v>
      </c>
      <c r="J52" s="82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+'9'!G53</f>
        <v>0</v>
      </c>
      <c r="D53" s="87">
        <v>0</v>
      </c>
      <c r="E53" s="47">
        <f t="shared" si="0"/>
        <v>0</v>
      </c>
      <c r="F53" s="87">
        <v>0</v>
      </c>
      <c r="G53" s="47">
        <f t="shared" si="4"/>
        <v>0</v>
      </c>
      <c r="H53" s="88"/>
      <c r="I53" s="15">
        <v>120</v>
      </c>
      <c r="J53" s="82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+'9'!G54</f>
        <v>0</v>
      </c>
      <c r="D54" s="87">
        <v>0</v>
      </c>
      <c r="E54" s="47">
        <f t="shared" si="0"/>
        <v>0</v>
      </c>
      <c r="F54" s="87">
        <v>0</v>
      </c>
      <c r="G54" s="47">
        <f t="shared" si="4"/>
        <v>0</v>
      </c>
      <c r="H54" s="88"/>
      <c r="I54" s="15">
        <v>120</v>
      </c>
      <c r="J54" s="82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+'9'!G55</f>
        <v>-1</v>
      </c>
      <c r="D55" s="87">
        <v>0</v>
      </c>
      <c r="E55" s="47">
        <f t="shared" si="0"/>
        <v>-1</v>
      </c>
      <c r="F55" s="87">
        <v>0</v>
      </c>
      <c r="G55" s="47">
        <f t="shared" si="4"/>
        <v>-1</v>
      </c>
      <c r="H55" s="88"/>
      <c r="I55" s="21">
        <v>120</v>
      </c>
      <c r="J55" s="82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+'9'!G56</f>
        <v>3</v>
      </c>
      <c r="D56" s="87">
        <v>0</v>
      </c>
      <c r="E56" s="47">
        <f t="shared" si="0"/>
        <v>3</v>
      </c>
      <c r="F56" s="87">
        <v>0</v>
      </c>
      <c r="G56" s="47">
        <f t="shared" si="4"/>
        <v>3</v>
      </c>
      <c r="H56" s="88"/>
      <c r="I56" s="21">
        <v>120</v>
      </c>
      <c r="J56" s="82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+'9'!G57</f>
        <v>4</v>
      </c>
      <c r="D57" s="87">
        <v>0</v>
      </c>
      <c r="E57" s="47">
        <f t="shared" si="0"/>
        <v>4</v>
      </c>
      <c r="F57" s="87">
        <v>0</v>
      </c>
      <c r="G57" s="47">
        <f t="shared" si="4"/>
        <v>4</v>
      </c>
      <c r="H57" s="88"/>
      <c r="I57" s="21">
        <v>120</v>
      </c>
      <c r="J57" s="82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+'9'!G58</f>
        <v>0</v>
      </c>
      <c r="D58" s="87">
        <v>0</v>
      </c>
      <c r="E58" s="47">
        <f t="shared" si="0"/>
        <v>0</v>
      </c>
      <c r="F58" s="87">
        <v>0</v>
      </c>
      <c r="G58" s="47">
        <f t="shared" si="4"/>
        <v>0</v>
      </c>
      <c r="H58" s="88"/>
      <c r="I58" s="21">
        <v>120</v>
      </c>
      <c r="J58" s="82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+'9'!G59</f>
        <v>0</v>
      </c>
      <c r="D59" s="87">
        <v>0</v>
      </c>
      <c r="E59" s="47">
        <f t="shared" si="0"/>
        <v>0</v>
      </c>
      <c r="F59" s="87">
        <v>0</v>
      </c>
      <c r="G59" s="47">
        <f t="shared" si="4"/>
        <v>0</v>
      </c>
      <c r="H59" s="88"/>
      <c r="I59" s="15">
        <v>70</v>
      </c>
      <c r="J59" s="82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+'9'!G60</f>
        <v>0</v>
      </c>
      <c r="D60" s="87">
        <v>0</v>
      </c>
      <c r="E60" s="47">
        <f t="shared" si="0"/>
        <v>0</v>
      </c>
      <c r="F60" s="87">
        <v>0</v>
      </c>
      <c r="G60" s="47">
        <f t="shared" si="4"/>
        <v>0</v>
      </c>
      <c r="H60" s="88"/>
      <c r="I60" s="21">
        <v>80</v>
      </c>
      <c r="J60" s="82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+'9'!G61</f>
        <v>0</v>
      </c>
      <c r="D61" s="87">
        <v>0</v>
      </c>
      <c r="E61" s="47">
        <f t="shared" si="0"/>
        <v>0</v>
      </c>
      <c r="F61" s="87">
        <v>0</v>
      </c>
      <c r="G61" s="47">
        <f t="shared" si="4"/>
        <v>0</v>
      </c>
      <c r="H61" s="88"/>
      <c r="I61" s="15">
        <v>50</v>
      </c>
      <c r="J61" s="82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+'9'!G62</f>
        <v>0</v>
      </c>
      <c r="D62" s="87">
        <v>2</v>
      </c>
      <c r="E62" s="47">
        <f t="shared" si="0"/>
        <v>2</v>
      </c>
      <c r="F62" s="87">
        <v>0</v>
      </c>
      <c r="G62" s="47">
        <f t="shared" si="4"/>
        <v>2</v>
      </c>
      <c r="H62" s="88"/>
      <c r="I62" s="20">
        <v>50</v>
      </c>
      <c r="J62" s="82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+'9'!G63</f>
        <v>0</v>
      </c>
      <c r="D63" s="87">
        <v>0</v>
      </c>
      <c r="E63" s="47">
        <f t="shared" si="0"/>
        <v>0</v>
      </c>
      <c r="F63" s="87">
        <v>0</v>
      </c>
      <c r="G63" s="47">
        <f t="shared" si="4"/>
        <v>0</v>
      </c>
      <c r="H63" s="88"/>
      <c r="I63" s="20">
        <v>50</v>
      </c>
      <c r="J63" s="82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+'9'!G64</f>
        <v>0</v>
      </c>
      <c r="D64" s="87">
        <v>0</v>
      </c>
      <c r="E64" s="47">
        <f t="shared" si="0"/>
        <v>0</v>
      </c>
      <c r="F64" s="87">
        <v>0</v>
      </c>
      <c r="G64" s="47">
        <f t="shared" si="4"/>
        <v>0</v>
      </c>
      <c r="H64" s="88"/>
      <c r="I64" s="21">
        <v>30</v>
      </c>
      <c r="J64" s="82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+'9'!G65</f>
        <v>0</v>
      </c>
      <c r="D65" s="87">
        <v>0</v>
      </c>
      <c r="E65" s="47">
        <f t="shared" si="0"/>
        <v>0</v>
      </c>
      <c r="F65" s="87">
        <v>0</v>
      </c>
      <c r="G65" s="47">
        <f t="shared" si="4"/>
        <v>0</v>
      </c>
      <c r="H65" s="88"/>
      <c r="I65" s="21">
        <v>30</v>
      </c>
      <c r="J65" s="82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+'9'!G66</f>
        <v>3</v>
      </c>
      <c r="D66" s="87">
        <v>0</v>
      </c>
      <c r="E66" s="47">
        <f t="shared" si="0"/>
        <v>3</v>
      </c>
      <c r="F66" s="87">
        <v>0</v>
      </c>
      <c r="G66" s="47">
        <f t="shared" si="4"/>
        <v>3</v>
      </c>
      <c r="H66" s="88"/>
      <c r="I66" s="15">
        <v>50</v>
      </c>
      <c r="J66" s="82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+'9'!G67</f>
        <v>1</v>
      </c>
      <c r="D67" s="87">
        <v>5</v>
      </c>
      <c r="E67" s="47">
        <f t="shared" si="0"/>
        <v>6</v>
      </c>
      <c r="F67" s="87">
        <v>0</v>
      </c>
      <c r="G67" s="47">
        <f t="shared" si="4"/>
        <v>6</v>
      </c>
      <c r="H67" s="88"/>
      <c r="I67" s="15">
        <v>50</v>
      </c>
      <c r="J67" s="82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+'9'!G68</f>
        <v>0</v>
      </c>
      <c r="D68" s="87">
        <v>0</v>
      </c>
      <c r="E68" s="47">
        <f t="shared" si="0"/>
        <v>0</v>
      </c>
      <c r="F68" s="87">
        <v>0</v>
      </c>
      <c r="G68" s="47">
        <f t="shared" si="4"/>
        <v>0</v>
      </c>
      <c r="H68" s="88"/>
      <c r="I68" s="20">
        <v>35</v>
      </c>
      <c r="J68" s="82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+'9'!G69</f>
        <v>0</v>
      </c>
      <c r="D69" s="87">
        <v>0</v>
      </c>
      <c r="E69" s="47">
        <f t="shared" si="0"/>
        <v>0</v>
      </c>
      <c r="F69" s="87">
        <v>0</v>
      </c>
      <c r="G69" s="47">
        <f t="shared" si="4"/>
        <v>0</v>
      </c>
      <c r="H69" s="88"/>
      <c r="I69" s="20">
        <v>25</v>
      </c>
      <c r="J69" s="82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+'9'!G70</f>
        <v>4</v>
      </c>
      <c r="D70" s="87">
        <v>5</v>
      </c>
      <c r="E70" s="47">
        <f t="shared" si="0"/>
        <v>9</v>
      </c>
      <c r="F70" s="87">
        <v>0</v>
      </c>
      <c r="G70" s="47">
        <f t="shared" si="4"/>
        <v>8</v>
      </c>
      <c r="H70" s="88">
        <v>1</v>
      </c>
      <c r="I70" s="20">
        <v>50</v>
      </c>
      <c r="J70" s="82">
        <f t="shared" si="5"/>
        <v>50</v>
      </c>
      <c r="K70" s="17" t="s">
        <v>16</v>
      </c>
      <c r="L70" s="18">
        <v>0</v>
      </c>
      <c r="M70" s="23">
        <f t="shared" ref="M70:M134" si="10">SUM(J70-L70)</f>
        <v>50</v>
      </c>
    </row>
    <row r="71" spans="1:13" ht="25.5" x14ac:dyDescent="0.55000000000000004">
      <c r="A71" s="10">
        <v>67</v>
      </c>
      <c r="B71" s="19" t="s">
        <v>82</v>
      </c>
      <c r="C71" s="79">
        <f>+'9'!G71</f>
        <v>3</v>
      </c>
      <c r="D71" s="87">
        <v>5</v>
      </c>
      <c r="E71" s="47">
        <f t="shared" si="0"/>
        <v>8</v>
      </c>
      <c r="F71" s="87">
        <v>0</v>
      </c>
      <c r="G71" s="47">
        <f t="shared" si="4"/>
        <v>8</v>
      </c>
      <c r="H71" s="88"/>
      <c r="I71" s="20">
        <v>60</v>
      </c>
      <c r="J71" s="82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+'9'!G72</f>
        <v>0</v>
      </c>
      <c r="D72" s="87">
        <v>0</v>
      </c>
      <c r="E72" s="47">
        <f t="shared" si="0"/>
        <v>0</v>
      </c>
      <c r="F72" s="87">
        <v>0</v>
      </c>
      <c r="G72" s="47">
        <f t="shared" si="4"/>
        <v>0</v>
      </c>
      <c r="H72" s="88"/>
      <c r="I72" s="22">
        <v>50</v>
      </c>
      <c r="J72" s="82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+'9'!G73</f>
        <v>0</v>
      </c>
      <c r="D73" s="87">
        <v>0</v>
      </c>
      <c r="E73" s="47">
        <f t="shared" si="0"/>
        <v>0</v>
      </c>
      <c r="F73" s="87">
        <v>0</v>
      </c>
      <c r="G73" s="47">
        <f t="shared" si="4"/>
        <v>0</v>
      </c>
      <c r="H73" s="88"/>
      <c r="I73" s="20">
        <v>60</v>
      </c>
      <c r="J73" s="82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+'9'!G74</f>
        <v>0</v>
      </c>
      <c r="D74" s="87">
        <v>0</v>
      </c>
      <c r="E74" s="47">
        <f t="shared" si="0"/>
        <v>0</v>
      </c>
      <c r="F74" s="87">
        <v>0</v>
      </c>
      <c r="G74" s="47">
        <f t="shared" si="4"/>
        <v>0</v>
      </c>
      <c r="H74" s="88"/>
      <c r="I74" s="22">
        <v>120</v>
      </c>
      <c r="J74" s="82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+'9'!G75</f>
        <v>0</v>
      </c>
      <c r="D75" s="87">
        <v>0</v>
      </c>
      <c r="E75" s="47">
        <f t="shared" si="0"/>
        <v>0</v>
      </c>
      <c r="F75" s="87">
        <v>0</v>
      </c>
      <c r="G75" s="47">
        <f t="shared" si="4"/>
        <v>0</v>
      </c>
      <c r="H75" s="88"/>
      <c r="I75" s="22">
        <v>60</v>
      </c>
      <c r="J75" s="82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+'9'!G76</f>
        <v>0</v>
      </c>
      <c r="D76" s="87">
        <v>0</v>
      </c>
      <c r="E76" s="47">
        <f t="shared" si="0"/>
        <v>0</v>
      </c>
      <c r="F76" s="87">
        <v>0</v>
      </c>
      <c r="G76" s="47">
        <f t="shared" si="4"/>
        <v>0</v>
      </c>
      <c r="H76" s="88"/>
      <c r="I76" s="22">
        <v>120</v>
      </c>
      <c r="J76" s="82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272</v>
      </c>
      <c r="C77" s="79">
        <f>+'9'!G77</f>
        <v>1</v>
      </c>
      <c r="D77" s="87">
        <v>1</v>
      </c>
      <c r="E77" s="47">
        <f>C77+D77</f>
        <v>2</v>
      </c>
      <c r="F77" s="87">
        <v>0</v>
      </c>
      <c r="G77" s="47">
        <f>+E77-F77-H77</f>
        <v>2</v>
      </c>
      <c r="H77" s="88"/>
      <c r="I77" s="20">
        <v>50</v>
      </c>
      <c r="J77" s="82">
        <f>+I77*H77</f>
        <v>0</v>
      </c>
      <c r="K77" s="17" t="s">
        <v>16</v>
      </c>
      <c r="L77" s="18">
        <v>0</v>
      </c>
      <c r="M77" s="23">
        <f>SUM(J77-L77)</f>
        <v>0</v>
      </c>
    </row>
    <row r="78" spans="1:13" ht="25.5" x14ac:dyDescent="0.55000000000000004">
      <c r="A78" s="10">
        <v>74</v>
      </c>
      <c r="B78" s="19" t="s">
        <v>277</v>
      </c>
      <c r="C78" s="79">
        <f>+'9'!G78</f>
        <v>0</v>
      </c>
      <c r="D78" s="87">
        <v>2</v>
      </c>
      <c r="E78" s="47">
        <f t="shared" si="0"/>
        <v>2</v>
      </c>
      <c r="F78" s="87">
        <v>0</v>
      </c>
      <c r="G78" s="47">
        <f t="shared" si="4"/>
        <v>2</v>
      </c>
      <c r="H78" s="88"/>
      <c r="I78" s="20">
        <v>50</v>
      </c>
      <c r="J78" s="82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278</v>
      </c>
      <c r="C79" s="79">
        <f>+'9'!G79</f>
        <v>0</v>
      </c>
      <c r="D79" s="87">
        <v>0</v>
      </c>
      <c r="E79" s="47">
        <f t="shared" si="0"/>
        <v>0</v>
      </c>
      <c r="F79" s="87">
        <v>0</v>
      </c>
      <c r="G79" s="47">
        <f t="shared" si="4"/>
        <v>0</v>
      </c>
      <c r="H79" s="88"/>
      <c r="I79" s="22">
        <v>120</v>
      </c>
      <c r="J79" s="82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90</v>
      </c>
      <c r="C80" s="79">
        <v>5</v>
      </c>
      <c r="D80" s="87">
        <v>5</v>
      </c>
      <c r="E80" s="47">
        <f t="shared" si="0"/>
        <v>10</v>
      </c>
      <c r="F80" s="87">
        <v>0</v>
      </c>
      <c r="G80" s="47">
        <f t="shared" si="4"/>
        <v>7</v>
      </c>
      <c r="H80" s="88">
        <v>3</v>
      </c>
      <c r="I80" s="22">
        <v>50</v>
      </c>
      <c r="J80" s="82">
        <f t="shared" si="5"/>
        <v>150</v>
      </c>
      <c r="K80" s="17" t="s">
        <v>16</v>
      </c>
      <c r="L80" s="18">
        <v>0</v>
      </c>
      <c r="M80" s="23">
        <f t="shared" si="10"/>
        <v>150</v>
      </c>
    </row>
    <row r="81" spans="1:13" ht="25.5" x14ac:dyDescent="0.55000000000000004">
      <c r="A81" s="10">
        <v>77</v>
      </c>
      <c r="B81" s="19" t="s">
        <v>91</v>
      </c>
      <c r="C81" s="79">
        <f>+'9'!G81</f>
        <v>0</v>
      </c>
      <c r="D81" s="87">
        <v>0</v>
      </c>
      <c r="E81" s="47">
        <f t="shared" si="0"/>
        <v>0</v>
      </c>
      <c r="F81" s="87">
        <v>0</v>
      </c>
      <c r="G81" s="47">
        <f t="shared" si="4"/>
        <v>0</v>
      </c>
      <c r="H81" s="88"/>
      <c r="I81" s="22">
        <v>50</v>
      </c>
      <c r="J81" s="82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92</v>
      </c>
      <c r="C82" s="79">
        <f>+'9'!G82</f>
        <v>4</v>
      </c>
      <c r="D82" s="87">
        <v>0</v>
      </c>
      <c r="E82" s="47">
        <f t="shared" si="0"/>
        <v>4</v>
      </c>
      <c r="F82" s="87">
        <v>0</v>
      </c>
      <c r="G82" s="47">
        <f t="shared" si="4"/>
        <v>4</v>
      </c>
      <c r="H82" s="88"/>
      <c r="I82" s="20">
        <v>55</v>
      </c>
      <c r="J82" s="82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93</v>
      </c>
      <c r="C83" s="79">
        <f>+'9'!G83</f>
        <v>4</v>
      </c>
      <c r="D83" s="87">
        <v>0</v>
      </c>
      <c r="E83" s="47">
        <f t="shared" si="0"/>
        <v>4</v>
      </c>
      <c r="F83" s="87">
        <v>0</v>
      </c>
      <c r="G83" s="47">
        <f t="shared" si="4"/>
        <v>4</v>
      </c>
      <c r="H83" s="88"/>
      <c r="I83" s="22">
        <v>55</v>
      </c>
      <c r="J83" s="82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94</v>
      </c>
      <c r="C84" s="79">
        <f>+'9'!G84</f>
        <v>0</v>
      </c>
      <c r="D84" s="87">
        <v>0</v>
      </c>
      <c r="E84" s="47">
        <f t="shared" si="0"/>
        <v>0</v>
      </c>
      <c r="F84" s="87">
        <v>0</v>
      </c>
      <c r="G84" s="47">
        <f t="shared" si="4"/>
        <v>0</v>
      </c>
      <c r="H84" s="88"/>
      <c r="I84" s="22">
        <v>55</v>
      </c>
      <c r="J84" s="82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95</v>
      </c>
      <c r="C85" s="79">
        <f>+'9'!G85</f>
        <v>0</v>
      </c>
      <c r="D85" s="87">
        <v>0</v>
      </c>
      <c r="E85" s="47">
        <f t="shared" si="0"/>
        <v>0</v>
      </c>
      <c r="F85" s="87">
        <v>0</v>
      </c>
      <c r="G85" s="47">
        <f t="shared" si="4"/>
        <v>0</v>
      </c>
      <c r="H85" s="88"/>
      <c r="I85" s="22">
        <v>55</v>
      </c>
      <c r="J85" s="82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96</v>
      </c>
      <c r="C86" s="79">
        <f>+'9'!G86</f>
        <v>9</v>
      </c>
      <c r="D86" s="87">
        <v>0</v>
      </c>
      <c r="E86" s="47">
        <f t="shared" si="0"/>
        <v>9</v>
      </c>
      <c r="F86" s="87">
        <v>0</v>
      </c>
      <c r="G86" s="47">
        <f t="shared" si="4"/>
        <v>7</v>
      </c>
      <c r="H86" s="88">
        <v>2</v>
      </c>
      <c r="I86" s="22">
        <v>100</v>
      </c>
      <c r="J86" s="82">
        <f t="shared" si="5"/>
        <v>200</v>
      </c>
      <c r="K86" s="17" t="s">
        <v>16</v>
      </c>
      <c r="L86" s="18">
        <v>0</v>
      </c>
      <c r="M86" s="23">
        <f t="shared" si="10"/>
        <v>200</v>
      </c>
    </row>
    <row r="87" spans="1:13" ht="25.5" x14ac:dyDescent="0.55000000000000004">
      <c r="A87" s="10">
        <v>83</v>
      </c>
      <c r="B87" s="19" t="s">
        <v>97</v>
      </c>
      <c r="C87" s="79">
        <f>+'9'!G87</f>
        <v>7</v>
      </c>
      <c r="D87" s="87">
        <v>0</v>
      </c>
      <c r="E87" s="47">
        <f t="shared" si="0"/>
        <v>7</v>
      </c>
      <c r="F87" s="87">
        <v>0</v>
      </c>
      <c r="G87" s="47">
        <f t="shared" si="4"/>
        <v>7</v>
      </c>
      <c r="H87" s="88"/>
      <c r="I87" s="20">
        <v>55</v>
      </c>
      <c r="J87" s="82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98</v>
      </c>
      <c r="C88" s="79">
        <f>+'9'!G88</f>
        <v>4</v>
      </c>
      <c r="D88" s="87">
        <v>0</v>
      </c>
      <c r="E88" s="47">
        <f t="shared" si="0"/>
        <v>4</v>
      </c>
      <c r="F88" s="87">
        <v>0</v>
      </c>
      <c r="G88" s="47">
        <f t="shared" si="4"/>
        <v>3</v>
      </c>
      <c r="H88" s="88">
        <v>1</v>
      </c>
      <c r="I88" s="20">
        <v>60</v>
      </c>
      <c r="J88" s="82">
        <f t="shared" si="5"/>
        <v>60</v>
      </c>
      <c r="K88" s="17" t="s">
        <v>16</v>
      </c>
      <c r="L88" s="18">
        <v>0</v>
      </c>
      <c r="M88" s="23">
        <f t="shared" si="10"/>
        <v>60</v>
      </c>
    </row>
    <row r="89" spans="1:13" ht="25.5" x14ac:dyDescent="0.55000000000000004">
      <c r="A89" s="10">
        <v>85</v>
      </c>
      <c r="B89" s="19" t="s">
        <v>99</v>
      </c>
      <c r="C89" s="79">
        <f>+'9'!G89</f>
        <v>3</v>
      </c>
      <c r="D89" s="87">
        <v>0</v>
      </c>
      <c r="E89" s="47">
        <f t="shared" si="0"/>
        <v>3</v>
      </c>
      <c r="F89" s="87">
        <v>0</v>
      </c>
      <c r="G89" s="47">
        <f t="shared" si="4"/>
        <v>2</v>
      </c>
      <c r="H89" s="88">
        <v>1</v>
      </c>
      <c r="I89" s="20">
        <v>100</v>
      </c>
      <c r="J89" s="82">
        <f t="shared" si="5"/>
        <v>100</v>
      </c>
      <c r="K89" s="17" t="s">
        <v>16</v>
      </c>
      <c r="L89" s="18">
        <v>0</v>
      </c>
      <c r="M89" s="23">
        <f t="shared" si="10"/>
        <v>100</v>
      </c>
    </row>
    <row r="90" spans="1:13" ht="25.5" x14ac:dyDescent="0.55000000000000004">
      <c r="A90" s="10">
        <v>86</v>
      </c>
      <c r="B90" s="19" t="s">
        <v>100</v>
      </c>
      <c r="C90" s="79">
        <f>+'9'!G90</f>
        <v>10</v>
      </c>
      <c r="D90" s="87">
        <v>0</v>
      </c>
      <c r="E90" s="47">
        <f t="shared" si="0"/>
        <v>10</v>
      </c>
      <c r="F90" s="87">
        <v>0</v>
      </c>
      <c r="G90" s="47">
        <f t="shared" si="4"/>
        <v>9</v>
      </c>
      <c r="H90" s="88">
        <v>1</v>
      </c>
      <c r="I90" s="20">
        <v>55</v>
      </c>
      <c r="J90" s="82">
        <f t="shared" si="5"/>
        <v>55</v>
      </c>
      <c r="K90" s="17" t="s">
        <v>16</v>
      </c>
      <c r="L90" s="18">
        <v>0</v>
      </c>
      <c r="M90" s="23">
        <f t="shared" si="10"/>
        <v>55</v>
      </c>
    </row>
    <row r="91" spans="1:13" ht="25.5" x14ac:dyDescent="0.55000000000000004">
      <c r="A91" s="10">
        <v>87</v>
      </c>
      <c r="B91" s="19" t="s">
        <v>101</v>
      </c>
      <c r="C91" s="79">
        <f>+'9'!G91</f>
        <v>0</v>
      </c>
      <c r="D91" s="87">
        <v>0</v>
      </c>
      <c r="E91" s="47">
        <f t="shared" si="0"/>
        <v>0</v>
      </c>
      <c r="F91" s="87">
        <v>0</v>
      </c>
      <c r="G91" s="47">
        <f t="shared" si="4"/>
        <v>0</v>
      </c>
      <c r="H91" s="88"/>
      <c r="I91" s="20">
        <v>50</v>
      </c>
      <c r="J91" s="82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102</v>
      </c>
      <c r="C92" s="79">
        <f>+'9'!G92</f>
        <v>0</v>
      </c>
      <c r="D92" s="87">
        <v>0</v>
      </c>
      <c r="E92" s="47">
        <f t="shared" si="0"/>
        <v>0</v>
      </c>
      <c r="F92" s="87">
        <v>0</v>
      </c>
      <c r="G92" s="47">
        <f t="shared" si="4"/>
        <v>0</v>
      </c>
      <c r="H92" s="88"/>
      <c r="I92" s="22">
        <v>50</v>
      </c>
      <c r="J92" s="82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248</v>
      </c>
      <c r="C93" s="79">
        <f>+'9'!G93</f>
        <v>0</v>
      </c>
      <c r="D93" s="87">
        <v>0</v>
      </c>
      <c r="E93" s="47">
        <f t="shared" si="0"/>
        <v>0</v>
      </c>
      <c r="F93" s="87">
        <v>0</v>
      </c>
      <c r="G93" s="47">
        <f t="shared" si="4"/>
        <v>0</v>
      </c>
      <c r="H93" s="88"/>
      <c r="I93" s="22">
        <v>120</v>
      </c>
      <c r="J93" s="82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104</v>
      </c>
      <c r="C94" s="79">
        <f>+'9'!G94</f>
        <v>0</v>
      </c>
      <c r="D94" s="87">
        <v>0</v>
      </c>
      <c r="E94" s="47">
        <f t="shared" si="0"/>
        <v>0</v>
      </c>
      <c r="F94" s="87">
        <v>0</v>
      </c>
      <c r="G94" s="47">
        <f t="shared" si="4"/>
        <v>0</v>
      </c>
      <c r="H94" s="88"/>
      <c r="I94" s="20">
        <v>250</v>
      </c>
      <c r="J94" s="82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105</v>
      </c>
      <c r="C95" s="79">
        <f>+'9'!G95</f>
        <v>0</v>
      </c>
      <c r="D95" s="87">
        <v>0</v>
      </c>
      <c r="E95" s="47">
        <f t="shared" si="0"/>
        <v>0</v>
      </c>
      <c r="F95" s="87">
        <v>0</v>
      </c>
      <c r="G95" s="47">
        <f t="shared" si="4"/>
        <v>0</v>
      </c>
      <c r="H95" s="88"/>
      <c r="I95" s="20">
        <v>120</v>
      </c>
      <c r="J95" s="82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106</v>
      </c>
      <c r="C96" s="79">
        <f>+'9'!G96</f>
        <v>0</v>
      </c>
      <c r="D96" s="87">
        <v>0</v>
      </c>
      <c r="E96" s="47">
        <f t="shared" si="0"/>
        <v>0</v>
      </c>
      <c r="F96" s="87">
        <v>0</v>
      </c>
      <c r="G96" s="47">
        <f t="shared" si="4"/>
        <v>0</v>
      </c>
      <c r="H96" s="88"/>
      <c r="I96" s="20">
        <v>120</v>
      </c>
      <c r="J96" s="82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107</v>
      </c>
      <c r="C97" s="79">
        <f>+'9'!G97</f>
        <v>0</v>
      </c>
      <c r="D97" s="87">
        <v>0</v>
      </c>
      <c r="E97" s="47">
        <f t="shared" si="0"/>
        <v>0</v>
      </c>
      <c r="F97" s="87">
        <v>0</v>
      </c>
      <c r="G97" s="47">
        <f t="shared" si="4"/>
        <v>0</v>
      </c>
      <c r="H97" s="88"/>
      <c r="I97" s="20">
        <v>120</v>
      </c>
      <c r="J97" s="82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103</v>
      </c>
      <c r="C98" s="79">
        <f>+'9'!G98</f>
        <v>0</v>
      </c>
      <c r="D98" s="87">
        <v>0</v>
      </c>
      <c r="E98" s="47">
        <f t="shared" si="0"/>
        <v>0</v>
      </c>
      <c r="F98" s="87">
        <v>0</v>
      </c>
      <c r="G98" s="47">
        <f t="shared" si="4"/>
        <v>0</v>
      </c>
      <c r="H98" s="88"/>
      <c r="I98" s="20">
        <v>120</v>
      </c>
      <c r="J98" s="82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109</v>
      </c>
      <c r="C99" s="79">
        <f>+'9'!G99</f>
        <v>0</v>
      </c>
      <c r="D99" s="87">
        <v>0</v>
      </c>
      <c r="E99" s="47">
        <f t="shared" si="0"/>
        <v>0</v>
      </c>
      <c r="F99" s="87">
        <v>0</v>
      </c>
      <c r="G99" s="47">
        <f t="shared" si="4"/>
        <v>0</v>
      </c>
      <c r="H99" s="88"/>
      <c r="I99" s="20">
        <v>50</v>
      </c>
      <c r="J99" s="82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110</v>
      </c>
      <c r="C100" s="79">
        <f>+'9'!G100</f>
        <v>0</v>
      </c>
      <c r="D100" s="87">
        <v>0</v>
      </c>
      <c r="E100" s="47">
        <f t="shared" si="0"/>
        <v>0</v>
      </c>
      <c r="F100" s="87">
        <v>0</v>
      </c>
      <c r="G100" s="47">
        <f t="shared" si="4"/>
        <v>0</v>
      </c>
      <c r="H100" s="88"/>
      <c r="I100" s="20">
        <v>50</v>
      </c>
      <c r="J100" s="82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111</v>
      </c>
      <c r="C101" s="79">
        <f>+'9'!G101</f>
        <v>0</v>
      </c>
      <c r="D101" s="87">
        <v>0</v>
      </c>
      <c r="E101" s="47">
        <f t="shared" si="0"/>
        <v>0</v>
      </c>
      <c r="F101" s="87">
        <v>0</v>
      </c>
      <c r="G101" s="47">
        <f t="shared" ref="G101:G164" si="11">+E101-F101-H101</f>
        <v>0</v>
      </c>
      <c r="H101" s="88"/>
      <c r="I101" s="20">
        <v>60</v>
      </c>
      <c r="J101" s="82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112</v>
      </c>
      <c r="C102" s="79">
        <f>+'9'!G102</f>
        <v>0</v>
      </c>
      <c r="D102" s="87">
        <v>0</v>
      </c>
      <c r="E102" s="47">
        <f t="shared" si="0"/>
        <v>0</v>
      </c>
      <c r="F102" s="87">
        <v>0</v>
      </c>
      <c r="G102" s="47">
        <f t="shared" si="11"/>
        <v>0</v>
      </c>
      <c r="H102" s="88"/>
      <c r="I102" s="20">
        <v>55</v>
      </c>
      <c r="J102" s="82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113</v>
      </c>
      <c r="C103" s="79">
        <f>+'9'!G103</f>
        <v>0</v>
      </c>
      <c r="D103" s="87">
        <v>0</v>
      </c>
      <c r="E103" s="47">
        <f t="shared" si="0"/>
        <v>0</v>
      </c>
      <c r="F103" s="87">
        <v>0</v>
      </c>
      <c r="G103" s="47">
        <f t="shared" si="11"/>
        <v>0</v>
      </c>
      <c r="H103" s="88"/>
      <c r="I103" s="20">
        <v>50</v>
      </c>
      <c r="J103" s="82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114</v>
      </c>
      <c r="C104" s="79">
        <f>+'9'!G104</f>
        <v>0</v>
      </c>
      <c r="D104" s="87">
        <v>0</v>
      </c>
      <c r="E104" s="47">
        <f t="shared" si="0"/>
        <v>0</v>
      </c>
      <c r="F104" s="87">
        <v>0</v>
      </c>
      <c r="G104" s="47">
        <f t="shared" si="11"/>
        <v>0</v>
      </c>
      <c r="H104" s="88"/>
      <c r="I104" s="20">
        <v>100</v>
      </c>
      <c r="J104" s="82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115</v>
      </c>
      <c r="C105" s="79">
        <f>+'9'!G105</f>
        <v>0</v>
      </c>
      <c r="D105" s="87">
        <v>0</v>
      </c>
      <c r="E105" s="47">
        <f t="shared" si="0"/>
        <v>0</v>
      </c>
      <c r="F105" s="87">
        <v>0</v>
      </c>
      <c r="G105" s="47">
        <f t="shared" si="11"/>
        <v>0</v>
      </c>
      <c r="H105" s="88"/>
      <c r="I105" s="20">
        <v>100</v>
      </c>
      <c r="J105" s="82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116</v>
      </c>
      <c r="C106" s="79">
        <f>+'9'!G106</f>
        <v>0</v>
      </c>
      <c r="D106" s="87">
        <v>0</v>
      </c>
      <c r="E106" s="47">
        <f t="shared" si="0"/>
        <v>0</v>
      </c>
      <c r="F106" s="87">
        <v>0</v>
      </c>
      <c r="G106" s="47">
        <f t="shared" si="11"/>
        <v>0</v>
      </c>
      <c r="H106" s="88"/>
      <c r="I106" s="22">
        <v>30</v>
      </c>
      <c r="J106" s="82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117</v>
      </c>
      <c r="C107" s="79">
        <f>+'9'!G107</f>
        <v>0</v>
      </c>
      <c r="D107" s="87">
        <v>0</v>
      </c>
      <c r="E107" s="47">
        <f t="shared" si="0"/>
        <v>0</v>
      </c>
      <c r="F107" s="87">
        <v>0</v>
      </c>
      <c r="G107" s="47">
        <f t="shared" si="11"/>
        <v>0</v>
      </c>
      <c r="H107" s="88"/>
      <c r="I107" s="22">
        <v>20</v>
      </c>
      <c r="J107" s="82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118</v>
      </c>
      <c r="C108" s="79">
        <f>+'9'!G108</f>
        <v>0</v>
      </c>
      <c r="D108" s="87">
        <v>0</v>
      </c>
      <c r="E108" s="47">
        <f t="shared" si="0"/>
        <v>0</v>
      </c>
      <c r="F108" s="87">
        <v>0</v>
      </c>
      <c r="G108" s="47">
        <f t="shared" si="11"/>
        <v>0</v>
      </c>
      <c r="H108" s="88"/>
      <c r="I108" s="20">
        <v>100</v>
      </c>
      <c r="J108" s="82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120</v>
      </c>
      <c r="C109" s="79">
        <f>+'9'!G109</f>
        <v>0</v>
      </c>
      <c r="D109" s="87">
        <v>0</v>
      </c>
      <c r="E109" s="47">
        <f t="shared" si="0"/>
        <v>0</v>
      </c>
      <c r="F109" s="87">
        <v>0</v>
      </c>
      <c r="G109" s="47">
        <f t="shared" si="11"/>
        <v>0</v>
      </c>
      <c r="H109" s="88"/>
      <c r="I109" s="20">
        <v>80</v>
      </c>
      <c r="J109" s="82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121</v>
      </c>
      <c r="C110" s="79">
        <f>+'9'!G110</f>
        <v>0</v>
      </c>
      <c r="D110" s="87">
        <v>0</v>
      </c>
      <c r="E110" s="47">
        <f t="shared" si="0"/>
        <v>0</v>
      </c>
      <c r="F110" s="87">
        <v>0</v>
      </c>
      <c r="G110" s="47">
        <f t="shared" si="11"/>
        <v>0</v>
      </c>
      <c r="H110" s="88"/>
      <c r="I110" s="20">
        <v>60</v>
      </c>
      <c r="J110" s="82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122</v>
      </c>
      <c r="C111" s="79">
        <f>+'9'!G111</f>
        <v>0</v>
      </c>
      <c r="D111" s="87">
        <v>0</v>
      </c>
      <c r="E111" s="47">
        <f t="shared" si="0"/>
        <v>0</v>
      </c>
      <c r="F111" s="87">
        <v>0</v>
      </c>
      <c r="G111" s="47">
        <f t="shared" si="11"/>
        <v>0</v>
      </c>
      <c r="H111" s="88"/>
      <c r="I111" s="20">
        <v>35</v>
      </c>
      <c r="J111" s="82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123</v>
      </c>
      <c r="C112" s="79">
        <f>+'9'!G112</f>
        <v>0</v>
      </c>
      <c r="D112" s="87">
        <v>0</v>
      </c>
      <c r="E112" s="47">
        <f t="shared" si="0"/>
        <v>0</v>
      </c>
      <c r="F112" s="87">
        <v>0</v>
      </c>
      <c r="G112" s="47">
        <f t="shared" si="11"/>
        <v>0</v>
      </c>
      <c r="H112" s="88"/>
      <c r="I112" s="20">
        <v>35</v>
      </c>
      <c r="J112" s="82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124</v>
      </c>
      <c r="C113" s="79">
        <f>+'9'!G113</f>
        <v>0</v>
      </c>
      <c r="D113" s="87">
        <v>0</v>
      </c>
      <c r="E113" s="47">
        <f t="shared" si="0"/>
        <v>0</v>
      </c>
      <c r="F113" s="87">
        <v>0</v>
      </c>
      <c r="G113" s="47">
        <f t="shared" si="11"/>
        <v>0</v>
      </c>
      <c r="H113" s="88"/>
      <c r="I113" s="20">
        <v>35</v>
      </c>
      <c r="J113" s="82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125</v>
      </c>
      <c r="C114" s="79">
        <f>+'9'!G114</f>
        <v>0</v>
      </c>
      <c r="D114" s="87">
        <v>0</v>
      </c>
      <c r="E114" s="47">
        <f t="shared" si="0"/>
        <v>0</v>
      </c>
      <c r="F114" s="87">
        <v>0</v>
      </c>
      <c r="G114" s="47">
        <f t="shared" si="11"/>
        <v>0</v>
      </c>
      <c r="H114" s="88"/>
      <c r="I114" s="20">
        <v>35</v>
      </c>
      <c r="J114" s="82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126</v>
      </c>
      <c r="C115" s="79">
        <f>+'9'!G115</f>
        <v>0</v>
      </c>
      <c r="D115" s="87">
        <v>0</v>
      </c>
      <c r="E115" s="47">
        <f t="shared" si="0"/>
        <v>0</v>
      </c>
      <c r="F115" s="87">
        <v>0</v>
      </c>
      <c r="G115" s="47">
        <f t="shared" si="11"/>
        <v>0</v>
      </c>
      <c r="H115" s="88"/>
      <c r="I115" s="20">
        <v>35</v>
      </c>
      <c r="J115" s="82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127</v>
      </c>
      <c r="C116" s="79">
        <f>+'9'!G116</f>
        <v>0</v>
      </c>
      <c r="D116" s="87">
        <v>0</v>
      </c>
      <c r="E116" s="47">
        <f t="shared" si="0"/>
        <v>0</v>
      </c>
      <c r="F116" s="87">
        <v>0</v>
      </c>
      <c r="G116" s="47">
        <f t="shared" si="11"/>
        <v>0</v>
      </c>
      <c r="H116" s="88"/>
      <c r="I116" s="20">
        <v>30</v>
      </c>
      <c r="J116" s="82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128</v>
      </c>
      <c r="C117" s="79">
        <f>+'9'!G117</f>
        <v>0</v>
      </c>
      <c r="D117" s="87">
        <v>0</v>
      </c>
      <c r="E117" s="47">
        <f t="shared" si="0"/>
        <v>0</v>
      </c>
      <c r="F117" s="87">
        <v>0</v>
      </c>
      <c r="G117" s="47">
        <f t="shared" si="11"/>
        <v>0</v>
      </c>
      <c r="H117" s="88"/>
      <c r="I117" s="20">
        <v>30</v>
      </c>
      <c r="J117" s="82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129</v>
      </c>
      <c r="C118" s="79">
        <f>+'9'!G118</f>
        <v>0</v>
      </c>
      <c r="D118" s="87">
        <v>0</v>
      </c>
      <c r="E118" s="47">
        <f t="shared" si="0"/>
        <v>0</v>
      </c>
      <c r="F118" s="87">
        <v>0</v>
      </c>
      <c r="G118" s="47">
        <f t="shared" si="11"/>
        <v>0</v>
      </c>
      <c r="H118" s="88"/>
      <c r="I118" s="20">
        <v>30</v>
      </c>
      <c r="J118" s="82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130</v>
      </c>
      <c r="C119" s="79">
        <f>+'9'!G119</f>
        <v>0</v>
      </c>
      <c r="D119" s="87">
        <v>0</v>
      </c>
      <c r="E119" s="47">
        <f t="shared" si="0"/>
        <v>0</v>
      </c>
      <c r="F119" s="87">
        <v>0</v>
      </c>
      <c r="G119" s="47">
        <f t="shared" si="11"/>
        <v>0</v>
      </c>
      <c r="H119" s="88"/>
      <c r="I119" s="20">
        <v>30</v>
      </c>
      <c r="J119" s="82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131</v>
      </c>
      <c r="C120" s="79">
        <f>+'9'!G120</f>
        <v>0</v>
      </c>
      <c r="D120" s="87">
        <v>0</v>
      </c>
      <c r="E120" s="47">
        <f t="shared" si="0"/>
        <v>0</v>
      </c>
      <c r="F120" s="87">
        <v>0</v>
      </c>
      <c r="G120" s="47">
        <f t="shared" si="11"/>
        <v>0</v>
      </c>
      <c r="H120" s="88"/>
      <c r="I120" s="20">
        <v>30</v>
      </c>
      <c r="J120" s="82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132</v>
      </c>
      <c r="C121" s="79">
        <f>+'9'!G121</f>
        <v>0</v>
      </c>
      <c r="D121" s="87">
        <v>0</v>
      </c>
      <c r="E121" s="47">
        <f t="shared" si="0"/>
        <v>0</v>
      </c>
      <c r="F121" s="87">
        <v>0</v>
      </c>
      <c r="G121" s="47">
        <f t="shared" si="11"/>
        <v>0</v>
      </c>
      <c r="H121" s="88"/>
      <c r="I121" s="20">
        <v>30</v>
      </c>
      <c r="J121" s="82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133</v>
      </c>
      <c r="C122" s="79">
        <f>+'9'!G122</f>
        <v>0</v>
      </c>
      <c r="D122" s="87">
        <v>0</v>
      </c>
      <c r="E122" s="47">
        <f t="shared" si="0"/>
        <v>0</v>
      </c>
      <c r="F122" s="87">
        <v>0</v>
      </c>
      <c r="G122" s="47">
        <f t="shared" si="11"/>
        <v>0</v>
      </c>
      <c r="H122" s="88"/>
      <c r="I122" s="20">
        <v>40</v>
      </c>
      <c r="J122" s="82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134</v>
      </c>
      <c r="C123" s="79">
        <f>+'9'!G123</f>
        <v>0</v>
      </c>
      <c r="D123" s="87">
        <v>0</v>
      </c>
      <c r="E123" s="47">
        <f t="shared" si="0"/>
        <v>0</v>
      </c>
      <c r="F123" s="87">
        <v>0</v>
      </c>
      <c r="G123" s="47">
        <f t="shared" si="11"/>
        <v>0</v>
      </c>
      <c r="H123" s="88"/>
      <c r="I123" s="20">
        <v>35</v>
      </c>
      <c r="J123" s="82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135</v>
      </c>
      <c r="C124" s="79">
        <f>+'9'!G124</f>
        <v>0</v>
      </c>
      <c r="D124" s="87">
        <v>0</v>
      </c>
      <c r="E124" s="47">
        <f t="shared" si="0"/>
        <v>0</v>
      </c>
      <c r="F124" s="87">
        <v>0</v>
      </c>
      <c r="G124" s="47">
        <f t="shared" si="11"/>
        <v>0</v>
      </c>
      <c r="H124" s="88"/>
      <c r="I124" s="20">
        <v>40</v>
      </c>
      <c r="J124" s="82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136</v>
      </c>
      <c r="C125" s="79">
        <f>+'9'!G125</f>
        <v>0</v>
      </c>
      <c r="D125" s="87">
        <v>0</v>
      </c>
      <c r="E125" s="47">
        <f t="shared" si="0"/>
        <v>0</v>
      </c>
      <c r="F125" s="87">
        <v>0</v>
      </c>
      <c r="G125" s="47">
        <f t="shared" si="11"/>
        <v>0</v>
      </c>
      <c r="H125" s="88"/>
      <c r="I125" s="20">
        <v>40</v>
      </c>
      <c r="J125" s="82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137</v>
      </c>
      <c r="C126" s="79">
        <f>+'9'!G126</f>
        <v>0</v>
      </c>
      <c r="D126" s="87">
        <v>0</v>
      </c>
      <c r="E126" s="47">
        <f t="shared" ref="E126:E189" si="13">C126+D126</f>
        <v>0</v>
      </c>
      <c r="F126" s="87">
        <v>0</v>
      </c>
      <c r="G126" s="47">
        <f t="shared" si="11"/>
        <v>0</v>
      </c>
      <c r="H126" s="88"/>
      <c r="I126" s="20">
        <v>30</v>
      </c>
      <c r="J126" s="82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138</v>
      </c>
      <c r="C127" s="79">
        <f>+'9'!G127</f>
        <v>0</v>
      </c>
      <c r="D127" s="87">
        <v>0</v>
      </c>
      <c r="E127" s="47">
        <f t="shared" si="13"/>
        <v>0</v>
      </c>
      <c r="F127" s="87">
        <v>0</v>
      </c>
      <c r="G127" s="47">
        <f t="shared" si="11"/>
        <v>0</v>
      </c>
      <c r="H127" s="88"/>
      <c r="I127" s="20">
        <v>40</v>
      </c>
      <c r="J127" s="82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139</v>
      </c>
      <c r="C128" s="79">
        <f>+'9'!G128</f>
        <v>77</v>
      </c>
      <c r="D128" s="87">
        <v>0</v>
      </c>
      <c r="E128" s="47">
        <f t="shared" si="13"/>
        <v>77</v>
      </c>
      <c r="F128" s="87">
        <v>0</v>
      </c>
      <c r="G128" s="47">
        <f t="shared" si="11"/>
        <v>77</v>
      </c>
      <c r="H128" s="88"/>
      <c r="I128" s="20">
        <v>10</v>
      </c>
      <c r="J128" s="82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140</v>
      </c>
      <c r="C129" s="79">
        <f>+'9'!G129</f>
        <v>0</v>
      </c>
      <c r="D129" s="87">
        <v>0</v>
      </c>
      <c r="E129" s="47">
        <f t="shared" si="13"/>
        <v>0</v>
      </c>
      <c r="F129" s="87">
        <v>0</v>
      </c>
      <c r="G129" s="47">
        <f t="shared" si="11"/>
        <v>0</v>
      </c>
      <c r="H129" s="88"/>
      <c r="I129" s="20">
        <v>35</v>
      </c>
      <c r="J129" s="82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141</v>
      </c>
      <c r="C130" s="79">
        <f>+'9'!G130</f>
        <v>0</v>
      </c>
      <c r="D130" s="87">
        <v>0</v>
      </c>
      <c r="E130" s="47">
        <f t="shared" si="13"/>
        <v>0</v>
      </c>
      <c r="F130" s="87">
        <v>0</v>
      </c>
      <c r="G130" s="47">
        <f t="shared" si="11"/>
        <v>0</v>
      </c>
      <c r="H130" s="88"/>
      <c r="I130" s="20">
        <v>40</v>
      </c>
      <c r="J130" s="82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142</v>
      </c>
      <c r="C131" s="79">
        <f>+'9'!G131</f>
        <v>0</v>
      </c>
      <c r="D131" s="87">
        <v>0</v>
      </c>
      <c r="E131" s="47">
        <f t="shared" si="13"/>
        <v>0</v>
      </c>
      <c r="F131" s="87">
        <v>0</v>
      </c>
      <c r="G131" s="47">
        <f t="shared" si="11"/>
        <v>0</v>
      </c>
      <c r="H131" s="88"/>
      <c r="I131" s="20">
        <v>50</v>
      </c>
      <c r="J131" s="82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143</v>
      </c>
      <c r="C132" s="79">
        <f>+'9'!G132</f>
        <v>0</v>
      </c>
      <c r="D132" s="87">
        <v>0</v>
      </c>
      <c r="E132" s="47">
        <f t="shared" si="13"/>
        <v>0</v>
      </c>
      <c r="F132" s="87">
        <v>0</v>
      </c>
      <c r="G132" s="47">
        <f t="shared" si="11"/>
        <v>0</v>
      </c>
      <c r="H132" s="88"/>
      <c r="I132" s="20">
        <v>55</v>
      </c>
      <c r="J132" s="82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144</v>
      </c>
      <c r="C133" s="79">
        <f>+'9'!G133</f>
        <v>0</v>
      </c>
      <c r="D133" s="87">
        <v>0</v>
      </c>
      <c r="E133" s="47">
        <f t="shared" si="13"/>
        <v>0</v>
      </c>
      <c r="F133" s="87">
        <v>0</v>
      </c>
      <c r="G133" s="47">
        <f t="shared" si="11"/>
        <v>0</v>
      </c>
      <c r="H133" s="88"/>
      <c r="I133" s="20">
        <v>55</v>
      </c>
      <c r="J133" s="82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145</v>
      </c>
      <c r="C134" s="79">
        <f>+'9'!G134</f>
        <v>0</v>
      </c>
      <c r="D134" s="87">
        <v>0</v>
      </c>
      <c r="E134" s="47">
        <f t="shared" si="13"/>
        <v>0</v>
      </c>
      <c r="F134" s="87">
        <v>0</v>
      </c>
      <c r="G134" s="47">
        <f t="shared" si="11"/>
        <v>0</v>
      </c>
      <c r="H134" s="88"/>
      <c r="I134" s="20">
        <v>45</v>
      </c>
      <c r="J134" s="82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5.5" x14ac:dyDescent="0.55000000000000004">
      <c r="A135" s="10">
        <v>131</v>
      </c>
      <c r="B135" s="19" t="s">
        <v>146</v>
      </c>
      <c r="C135" s="79">
        <f>+'9'!G135</f>
        <v>0</v>
      </c>
      <c r="D135" s="87">
        <v>0</v>
      </c>
      <c r="E135" s="47">
        <f t="shared" si="13"/>
        <v>0</v>
      </c>
      <c r="F135" s="87">
        <v>0</v>
      </c>
      <c r="G135" s="47">
        <f t="shared" si="11"/>
        <v>0</v>
      </c>
      <c r="H135" s="88"/>
      <c r="I135" s="20">
        <v>45</v>
      </c>
      <c r="J135" s="82">
        <f t="shared" si="12"/>
        <v>0</v>
      </c>
      <c r="K135" s="17" t="s">
        <v>16</v>
      </c>
      <c r="L135" s="18">
        <v>0</v>
      </c>
      <c r="M135" s="23">
        <f t="shared" ref="M135:M198" si="14">SUM(J135-L135)</f>
        <v>0</v>
      </c>
    </row>
    <row r="136" spans="1:13" ht="25.5" x14ac:dyDescent="0.55000000000000004">
      <c r="A136" s="10">
        <v>132</v>
      </c>
      <c r="B136" s="19" t="s">
        <v>147</v>
      </c>
      <c r="C136" s="79">
        <f>+'9'!G136</f>
        <v>0</v>
      </c>
      <c r="D136" s="87">
        <v>0</v>
      </c>
      <c r="E136" s="47">
        <f t="shared" si="13"/>
        <v>0</v>
      </c>
      <c r="F136" s="87">
        <v>0</v>
      </c>
      <c r="G136" s="47">
        <f t="shared" si="11"/>
        <v>0</v>
      </c>
      <c r="H136" s="88"/>
      <c r="I136" s="20">
        <v>55</v>
      </c>
      <c r="J136" s="82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148</v>
      </c>
      <c r="C137" s="79">
        <f>+'9'!G137</f>
        <v>0</v>
      </c>
      <c r="D137" s="87">
        <v>0</v>
      </c>
      <c r="E137" s="47">
        <f t="shared" si="13"/>
        <v>0</v>
      </c>
      <c r="F137" s="87">
        <v>0</v>
      </c>
      <c r="G137" s="47">
        <f t="shared" si="11"/>
        <v>0</v>
      </c>
      <c r="H137" s="88"/>
      <c r="I137" s="20">
        <v>45</v>
      </c>
      <c r="J137" s="82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149</v>
      </c>
      <c r="C138" s="79">
        <f>+'9'!G138</f>
        <v>0</v>
      </c>
      <c r="D138" s="87">
        <v>0</v>
      </c>
      <c r="E138" s="47">
        <f t="shared" si="13"/>
        <v>0</v>
      </c>
      <c r="F138" s="87">
        <v>0</v>
      </c>
      <c r="G138" s="47">
        <f t="shared" si="11"/>
        <v>0</v>
      </c>
      <c r="H138" s="88"/>
      <c r="I138" s="20">
        <v>45</v>
      </c>
      <c r="J138" s="82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150</v>
      </c>
      <c r="C139" s="79">
        <f>+'9'!G139</f>
        <v>0</v>
      </c>
      <c r="D139" s="87">
        <v>0</v>
      </c>
      <c r="E139" s="47">
        <f t="shared" si="13"/>
        <v>0</v>
      </c>
      <c r="F139" s="87">
        <v>0</v>
      </c>
      <c r="G139" s="47">
        <f t="shared" si="11"/>
        <v>0</v>
      </c>
      <c r="H139" s="88"/>
      <c r="I139" s="20">
        <v>45</v>
      </c>
      <c r="J139" s="82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151</v>
      </c>
      <c r="C140" s="79">
        <f>+'9'!G140</f>
        <v>0</v>
      </c>
      <c r="D140" s="87">
        <v>0</v>
      </c>
      <c r="E140" s="47">
        <f t="shared" si="13"/>
        <v>0</v>
      </c>
      <c r="F140" s="87">
        <v>0</v>
      </c>
      <c r="G140" s="47">
        <f t="shared" si="11"/>
        <v>0</v>
      </c>
      <c r="H140" s="88"/>
      <c r="I140" s="20">
        <v>45</v>
      </c>
      <c r="J140" s="82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152</v>
      </c>
      <c r="C141" s="79">
        <f>+'9'!G141</f>
        <v>0</v>
      </c>
      <c r="D141" s="87">
        <v>0</v>
      </c>
      <c r="E141" s="47">
        <f t="shared" si="13"/>
        <v>0</v>
      </c>
      <c r="F141" s="87">
        <v>0</v>
      </c>
      <c r="G141" s="47">
        <f t="shared" si="11"/>
        <v>0</v>
      </c>
      <c r="H141" s="88"/>
      <c r="I141" s="20">
        <v>45</v>
      </c>
      <c r="J141" s="82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153</v>
      </c>
      <c r="C142" s="79">
        <f>+'9'!G142</f>
        <v>0</v>
      </c>
      <c r="D142" s="87">
        <v>0</v>
      </c>
      <c r="E142" s="47">
        <f t="shared" si="13"/>
        <v>0</v>
      </c>
      <c r="F142" s="87">
        <v>0</v>
      </c>
      <c r="G142" s="47">
        <f t="shared" si="11"/>
        <v>0</v>
      </c>
      <c r="H142" s="88"/>
      <c r="I142" s="20">
        <v>45</v>
      </c>
      <c r="J142" s="82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154</v>
      </c>
      <c r="C143" s="79">
        <f>+'9'!G143</f>
        <v>0</v>
      </c>
      <c r="D143" s="87">
        <v>0</v>
      </c>
      <c r="E143" s="47">
        <f t="shared" si="13"/>
        <v>0</v>
      </c>
      <c r="F143" s="87">
        <v>0</v>
      </c>
      <c r="G143" s="47">
        <f t="shared" si="11"/>
        <v>0</v>
      </c>
      <c r="H143" s="88"/>
      <c r="I143" s="20">
        <v>120</v>
      </c>
      <c r="J143" s="82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155</v>
      </c>
      <c r="C144" s="79">
        <f>+'9'!G144</f>
        <v>0</v>
      </c>
      <c r="D144" s="87">
        <v>0</v>
      </c>
      <c r="E144" s="47">
        <f t="shared" si="13"/>
        <v>0</v>
      </c>
      <c r="F144" s="87">
        <v>0</v>
      </c>
      <c r="G144" s="47">
        <f t="shared" si="11"/>
        <v>0</v>
      </c>
      <c r="H144" s="88"/>
      <c r="I144" s="20">
        <v>120</v>
      </c>
      <c r="J144" s="82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156</v>
      </c>
      <c r="C145" s="79">
        <f>+'9'!G145</f>
        <v>0</v>
      </c>
      <c r="D145" s="87">
        <v>0</v>
      </c>
      <c r="E145" s="47">
        <f t="shared" si="13"/>
        <v>0</v>
      </c>
      <c r="F145" s="87">
        <v>0</v>
      </c>
      <c r="G145" s="47">
        <f t="shared" si="11"/>
        <v>0</v>
      </c>
      <c r="H145" s="88"/>
      <c r="I145" s="20">
        <v>120</v>
      </c>
      <c r="J145" s="82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157</v>
      </c>
      <c r="C146" s="79">
        <f>+'9'!G146</f>
        <v>0</v>
      </c>
      <c r="D146" s="87">
        <v>0</v>
      </c>
      <c r="E146" s="47">
        <f t="shared" si="13"/>
        <v>0</v>
      </c>
      <c r="F146" s="87">
        <v>0</v>
      </c>
      <c r="G146" s="47">
        <f t="shared" si="11"/>
        <v>0</v>
      </c>
      <c r="H146" s="88"/>
      <c r="I146" s="20">
        <v>120</v>
      </c>
      <c r="J146" s="82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158</v>
      </c>
      <c r="C147" s="79">
        <f>+'9'!G147</f>
        <v>0</v>
      </c>
      <c r="D147" s="87">
        <v>0</v>
      </c>
      <c r="E147" s="47">
        <f t="shared" si="13"/>
        <v>0</v>
      </c>
      <c r="F147" s="87">
        <v>0</v>
      </c>
      <c r="G147" s="47">
        <f t="shared" si="11"/>
        <v>0</v>
      </c>
      <c r="H147" s="88"/>
      <c r="I147" s="20">
        <v>185</v>
      </c>
      <c r="J147" s="82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159</v>
      </c>
      <c r="C148" s="79">
        <f>+'9'!G148</f>
        <v>0</v>
      </c>
      <c r="D148" s="87">
        <v>0</v>
      </c>
      <c r="E148" s="47">
        <f t="shared" si="13"/>
        <v>0</v>
      </c>
      <c r="F148" s="87">
        <v>0</v>
      </c>
      <c r="G148" s="47">
        <f t="shared" si="11"/>
        <v>0</v>
      </c>
      <c r="H148" s="88"/>
      <c r="I148" s="20">
        <v>185</v>
      </c>
      <c r="J148" s="82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160</v>
      </c>
      <c r="C149" s="79">
        <f>+'9'!G149</f>
        <v>0</v>
      </c>
      <c r="D149" s="87">
        <v>0</v>
      </c>
      <c r="E149" s="47">
        <f t="shared" si="13"/>
        <v>0</v>
      </c>
      <c r="F149" s="87">
        <v>0</v>
      </c>
      <c r="G149" s="47">
        <f t="shared" si="11"/>
        <v>0</v>
      </c>
      <c r="H149" s="88"/>
      <c r="I149" s="20">
        <v>185</v>
      </c>
      <c r="J149" s="82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161</v>
      </c>
      <c r="C150" s="79">
        <f>+'9'!G150</f>
        <v>0</v>
      </c>
      <c r="D150" s="87">
        <v>0</v>
      </c>
      <c r="E150" s="47">
        <f t="shared" si="13"/>
        <v>0</v>
      </c>
      <c r="F150" s="87">
        <v>0</v>
      </c>
      <c r="G150" s="47">
        <f t="shared" si="11"/>
        <v>0</v>
      </c>
      <c r="H150" s="88"/>
      <c r="I150" s="20">
        <v>185</v>
      </c>
      <c r="J150" s="82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5.5" x14ac:dyDescent="0.55000000000000004">
      <c r="A151" s="10">
        <v>147</v>
      </c>
      <c r="B151" s="19" t="s">
        <v>279</v>
      </c>
      <c r="C151" s="79">
        <f>+'9'!G151</f>
        <v>0</v>
      </c>
      <c r="D151" s="87">
        <v>0</v>
      </c>
      <c r="E151" s="47">
        <f t="shared" si="13"/>
        <v>0</v>
      </c>
      <c r="F151" s="87">
        <v>0</v>
      </c>
      <c r="G151" s="47">
        <f t="shared" si="11"/>
        <v>0</v>
      </c>
      <c r="H151" s="88"/>
      <c r="I151" s="20">
        <v>150</v>
      </c>
      <c r="J151" s="82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280</v>
      </c>
      <c r="C152" s="79">
        <f>+'9'!G152</f>
        <v>1</v>
      </c>
      <c r="D152" s="87">
        <v>0</v>
      </c>
      <c r="E152" s="47">
        <f t="shared" si="13"/>
        <v>1</v>
      </c>
      <c r="F152" s="87">
        <v>0</v>
      </c>
      <c r="G152" s="47">
        <f t="shared" si="11"/>
        <v>1</v>
      </c>
      <c r="H152" s="88"/>
      <c r="I152" s="20">
        <v>150</v>
      </c>
      <c r="J152" s="82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5.5" x14ac:dyDescent="0.55000000000000004">
      <c r="A153" s="10">
        <v>149</v>
      </c>
      <c r="B153" s="19" t="s">
        <v>281</v>
      </c>
      <c r="C153" s="79">
        <f>+'9'!G153</f>
        <v>1</v>
      </c>
      <c r="D153" s="87">
        <v>0</v>
      </c>
      <c r="E153" s="47">
        <f t="shared" si="13"/>
        <v>1</v>
      </c>
      <c r="F153" s="87">
        <v>0</v>
      </c>
      <c r="G153" s="47">
        <f t="shared" si="11"/>
        <v>0</v>
      </c>
      <c r="H153" s="88">
        <v>1</v>
      </c>
      <c r="I153" s="20">
        <v>150</v>
      </c>
      <c r="J153" s="82">
        <f t="shared" si="12"/>
        <v>150</v>
      </c>
      <c r="K153" s="17" t="s">
        <v>16</v>
      </c>
      <c r="L153" s="18">
        <v>0</v>
      </c>
      <c r="M153" s="23">
        <f t="shared" si="14"/>
        <v>150</v>
      </c>
    </row>
    <row r="154" spans="1:26" ht="25.5" x14ac:dyDescent="0.55000000000000004">
      <c r="A154" s="10">
        <v>150</v>
      </c>
      <c r="B154" s="19" t="s">
        <v>282</v>
      </c>
      <c r="C154" s="79">
        <f>+'9'!G154</f>
        <v>0</v>
      </c>
      <c r="D154" s="87">
        <v>0</v>
      </c>
      <c r="E154" s="47">
        <f t="shared" si="13"/>
        <v>0</v>
      </c>
      <c r="F154" s="87">
        <v>0</v>
      </c>
      <c r="G154" s="47">
        <f t="shared" si="11"/>
        <v>0</v>
      </c>
      <c r="H154" s="88"/>
      <c r="I154" s="20">
        <v>150</v>
      </c>
      <c r="J154" s="82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166</v>
      </c>
      <c r="C155" s="79">
        <f>+'9'!G155</f>
        <v>0</v>
      </c>
      <c r="D155" s="87">
        <v>0</v>
      </c>
      <c r="E155" s="47">
        <f t="shared" si="13"/>
        <v>0</v>
      </c>
      <c r="F155" s="87">
        <v>0</v>
      </c>
      <c r="G155" s="47">
        <f t="shared" si="11"/>
        <v>0</v>
      </c>
      <c r="H155" s="88"/>
      <c r="I155" s="20">
        <v>185</v>
      </c>
      <c r="J155" s="82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167</v>
      </c>
      <c r="C156" s="79">
        <f>+'9'!G156</f>
        <v>0</v>
      </c>
      <c r="D156" s="87">
        <v>0</v>
      </c>
      <c r="E156" s="47">
        <f t="shared" si="13"/>
        <v>0</v>
      </c>
      <c r="F156" s="87">
        <v>0</v>
      </c>
      <c r="G156" s="47">
        <f t="shared" si="11"/>
        <v>0</v>
      </c>
      <c r="H156" s="88"/>
      <c r="I156" s="20">
        <v>185</v>
      </c>
      <c r="J156" s="82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168</v>
      </c>
      <c r="C157" s="79">
        <f>+'9'!G157</f>
        <v>0</v>
      </c>
      <c r="D157" s="87">
        <v>0</v>
      </c>
      <c r="E157" s="47">
        <f t="shared" si="13"/>
        <v>0</v>
      </c>
      <c r="F157" s="87">
        <v>0</v>
      </c>
      <c r="G157" s="47">
        <f t="shared" si="11"/>
        <v>0</v>
      </c>
      <c r="H157" s="88"/>
      <c r="I157" s="20">
        <v>185</v>
      </c>
      <c r="J157" s="82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169</v>
      </c>
      <c r="C158" s="79">
        <f>+'9'!G158</f>
        <v>0</v>
      </c>
      <c r="D158" s="87">
        <v>0</v>
      </c>
      <c r="E158" s="47">
        <f t="shared" si="13"/>
        <v>0</v>
      </c>
      <c r="F158" s="87">
        <v>0</v>
      </c>
      <c r="G158" s="47">
        <f t="shared" si="11"/>
        <v>0</v>
      </c>
      <c r="H158" s="88"/>
      <c r="I158" s="20">
        <v>185</v>
      </c>
      <c r="J158" s="82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170</v>
      </c>
      <c r="C159" s="79">
        <f>+'9'!G159</f>
        <v>0</v>
      </c>
      <c r="D159" s="87">
        <v>0</v>
      </c>
      <c r="E159" s="47">
        <f t="shared" si="13"/>
        <v>0</v>
      </c>
      <c r="F159" s="87">
        <v>0</v>
      </c>
      <c r="G159" s="47">
        <f t="shared" si="11"/>
        <v>0</v>
      </c>
      <c r="H159" s="88"/>
      <c r="I159" s="20">
        <v>135</v>
      </c>
      <c r="J159" s="82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171</v>
      </c>
      <c r="C160" s="79">
        <f>+'9'!G160</f>
        <v>0</v>
      </c>
      <c r="D160" s="87">
        <v>0</v>
      </c>
      <c r="E160" s="47">
        <f t="shared" si="13"/>
        <v>0</v>
      </c>
      <c r="F160" s="87">
        <v>0</v>
      </c>
      <c r="G160" s="47">
        <f t="shared" si="11"/>
        <v>0</v>
      </c>
      <c r="H160" s="88"/>
      <c r="I160" s="20">
        <v>90</v>
      </c>
      <c r="J160" s="82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172</v>
      </c>
      <c r="C161" s="79">
        <f>+'9'!G161</f>
        <v>0</v>
      </c>
      <c r="D161" s="87">
        <v>0</v>
      </c>
      <c r="E161" s="47">
        <f t="shared" si="13"/>
        <v>0</v>
      </c>
      <c r="F161" s="87">
        <v>0</v>
      </c>
      <c r="G161" s="47">
        <f t="shared" si="11"/>
        <v>0</v>
      </c>
      <c r="H161" s="88"/>
      <c r="I161" s="20">
        <v>90</v>
      </c>
      <c r="J161" s="82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173</v>
      </c>
      <c r="C162" s="79">
        <f>+'9'!G162</f>
        <v>0</v>
      </c>
      <c r="D162" s="87">
        <v>0</v>
      </c>
      <c r="E162" s="47">
        <f t="shared" si="13"/>
        <v>0</v>
      </c>
      <c r="F162" s="87">
        <v>0</v>
      </c>
      <c r="G162" s="47">
        <f t="shared" si="11"/>
        <v>0</v>
      </c>
      <c r="H162" s="88"/>
      <c r="I162" s="20">
        <v>90</v>
      </c>
      <c r="J162" s="82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174</v>
      </c>
      <c r="C163" s="79">
        <f>+'9'!G163</f>
        <v>0</v>
      </c>
      <c r="D163" s="87">
        <v>0</v>
      </c>
      <c r="E163" s="47">
        <f t="shared" si="13"/>
        <v>0</v>
      </c>
      <c r="F163" s="87">
        <v>0</v>
      </c>
      <c r="G163" s="47">
        <f t="shared" si="11"/>
        <v>0</v>
      </c>
      <c r="H163" s="88"/>
      <c r="I163" s="20">
        <v>90</v>
      </c>
      <c r="J163" s="82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175</v>
      </c>
      <c r="C164" s="79">
        <f>+'9'!G164</f>
        <v>0</v>
      </c>
      <c r="D164" s="87">
        <v>0</v>
      </c>
      <c r="E164" s="47">
        <f t="shared" si="13"/>
        <v>0</v>
      </c>
      <c r="F164" s="87">
        <v>0</v>
      </c>
      <c r="G164" s="47">
        <f t="shared" si="11"/>
        <v>0</v>
      </c>
      <c r="H164" s="88"/>
      <c r="I164" s="20">
        <v>25</v>
      </c>
      <c r="J164" s="82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176</v>
      </c>
      <c r="C165" s="79">
        <f>+'9'!G165</f>
        <v>0</v>
      </c>
      <c r="D165" s="87">
        <v>0</v>
      </c>
      <c r="E165" s="47">
        <f t="shared" si="13"/>
        <v>0</v>
      </c>
      <c r="F165" s="87">
        <v>0</v>
      </c>
      <c r="G165" s="47">
        <f t="shared" ref="G165:G227" si="15">+E165-F165-H165</f>
        <v>0</v>
      </c>
      <c r="H165" s="88"/>
      <c r="I165" s="20">
        <v>50</v>
      </c>
      <c r="J165" s="82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177</v>
      </c>
      <c r="C166" s="79">
        <f>+'9'!G166</f>
        <v>0</v>
      </c>
      <c r="D166" s="87">
        <v>0</v>
      </c>
      <c r="E166" s="47">
        <f t="shared" si="13"/>
        <v>0</v>
      </c>
      <c r="F166" s="87">
        <v>0</v>
      </c>
      <c r="G166" s="47">
        <f t="shared" si="15"/>
        <v>0</v>
      </c>
      <c r="H166" s="88"/>
      <c r="I166" s="20">
        <v>50</v>
      </c>
      <c r="J166" s="82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178</v>
      </c>
      <c r="C167" s="79">
        <f>+'9'!G167</f>
        <v>0</v>
      </c>
      <c r="D167" s="87">
        <v>0</v>
      </c>
      <c r="E167" s="47">
        <f t="shared" si="13"/>
        <v>0</v>
      </c>
      <c r="F167" s="87">
        <v>0</v>
      </c>
      <c r="G167" s="47">
        <f t="shared" si="15"/>
        <v>0</v>
      </c>
      <c r="H167" s="88"/>
      <c r="I167" s="20">
        <v>50</v>
      </c>
      <c r="J167" s="82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179</v>
      </c>
      <c r="C168" s="79">
        <f>+'9'!G168</f>
        <v>7</v>
      </c>
      <c r="D168" s="87">
        <v>0</v>
      </c>
      <c r="E168" s="47">
        <f t="shared" si="13"/>
        <v>7</v>
      </c>
      <c r="F168" s="87">
        <v>0</v>
      </c>
      <c r="G168" s="47">
        <f t="shared" si="15"/>
        <v>7</v>
      </c>
      <c r="H168" s="88"/>
      <c r="I168" s="20">
        <v>50</v>
      </c>
      <c r="J168" s="82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180</v>
      </c>
      <c r="C169" s="79">
        <f>+'9'!G169</f>
        <v>44</v>
      </c>
      <c r="D169" s="87">
        <v>0</v>
      </c>
      <c r="E169" s="47">
        <f t="shared" si="13"/>
        <v>44</v>
      </c>
      <c r="F169" s="87">
        <v>0</v>
      </c>
      <c r="G169" s="47">
        <f t="shared" si="15"/>
        <v>42</v>
      </c>
      <c r="H169" s="88">
        <v>2</v>
      </c>
      <c r="I169" s="20">
        <v>55</v>
      </c>
      <c r="J169" s="82">
        <f t="shared" si="16"/>
        <v>110</v>
      </c>
      <c r="K169" s="17" t="s">
        <v>16</v>
      </c>
      <c r="L169" s="18">
        <v>0</v>
      </c>
      <c r="M169" s="23">
        <f t="shared" si="14"/>
        <v>110</v>
      </c>
    </row>
    <row r="170" spans="1:13" ht="25.5" x14ac:dyDescent="0.55000000000000004">
      <c r="A170" s="10">
        <v>166</v>
      </c>
      <c r="B170" s="19" t="s">
        <v>181</v>
      </c>
      <c r="C170" s="79">
        <f>+'9'!G170</f>
        <v>0</v>
      </c>
      <c r="D170" s="87">
        <v>0</v>
      </c>
      <c r="E170" s="47">
        <f t="shared" si="13"/>
        <v>0</v>
      </c>
      <c r="F170" s="87">
        <v>0</v>
      </c>
      <c r="G170" s="47">
        <f t="shared" si="15"/>
        <v>0</v>
      </c>
      <c r="H170" s="88"/>
      <c r="I170" s="20">
        <v>85</v>
      </c>
      <c r="J170" s="82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182</v>
      </c>
      <c r="C171" s="79">
        <f>+'9'!G171</f>
        <v>11</v>
      </c>
      <c r="D171" s="87">
        <v>0</v>
      </c>
      <c r="E171" s="47">
        <f t="shared" si="13"/>
        <v>11</v>
      </c>
      <c r="F171" s="87">
        <v>0</v>
      </c>
      <c r="G171" s="47">
        <f t="shared" si="15"/>
        <v>10</v>
      </c>
      <c r="H171" s="88">
        <v>1</v>
      </c>
      <c r="I171" s="20">
        <v>80</v>
      </c>
      <c r="J171" s="82">
        <f t="shared" si="16"/>
        <v>80</v>
      </c>
      <c r="K171" s="17" t="s">
        <v>16</v>
      </c>
      <c r="L171" s="18">
        <v>0</v>
      </c>
      <c r="M171" s="23">
        <f t="shared" si="14"/>
        <v>80</v>
      </c>
    </row>
    <row r="172" spans="1:13" ht="25.5" x14ac:dyDescent="0.55000000000000004">
      <c r="A172" s="10">
        <v>168</v>
      </c>
      <c r="B172" s="19" t="s">
        <v>183</v>
      </c>
      <c r="C172" s="79">
        <f>+'9'!G172</f>
        <v>0</v>
      </c>
      <c r="D172" s="87">
        <v>0</v>
      </c>
      <c r="E172" s="47">
        <f t="shared" si="13"/>
        <v>0</v>
      </c>
      <c r="F172" s="87">
        <v>0</v>
      </c>
      <c r="G172" s="47">
        <f t="shared" si="15"/>
        <v>0</v>
      </c>
      <c r="H172" s="88"/>
      <c r="I172" s="20">
        <v>40</v>
      </c>
      <c r="J172" s="82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184</v>
      </c>
      <c r="C173" s="79">
        <f>+'9'!G173</f>
        <v>0</v>
      </c>
      <c r="D173" s="87">
        <v>0</v>
      </c>
      <c r="E173" s="47">
        <f t="shared" si="13"/>
        <v>0</v>
      </c>
      <c r="F173" s="87">
        <v>0</v>
      </c>
      <c r="G173" s="47">
        <f t="shared" si="15"/>
        <v>0</v>
      </c>
      <c r="H173" s="88"/>
      <c r="I173" s="20">
        <v>120</v>
      </c>
      <c r="J173" s="82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185</v>
      </c>
      <c r="C174" s="79">
        <f>+'9'!G174</f>
        <v>0</v>
      </c>
      <c r="D174" s="87">
        <v>0</v>
      </c>
      <c r="E174" s="47">
        <f t="shared" si="13"/>
        <v>0</v>
      </c>
      <c r="F174" s="87">
        <v>0</v>
      </c>
      <c r="G174" s="47">
        <f t="shared" si="15"/>
        <v>0</v>
      </c>
      <c r="H174" s="88"/>
      <c r="I174" s="20">
        <v>120</v>
      </c>
      <c r="J174" s="82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186</v>
      </c>
      <c r="C175" s="79">
        <f>+'9'!G175</f>
        <v>0</v>
      </c>
      <c r="D175" s="87">
        <v>0</v>
      </c>
      <c r="E175" s="47">
        <f t="shared" si="13"/>
        <v>0</v>
      </c>
      <c r="F175" s="87">
        <v>0</v>
      </c>
      <c r="G175" s="47">
        <f t="shared" si="15"/>
        <v>0</v>
      </c>
      <c r="H175" s="88"/>
      <c r="I175" s="20">
        <v>55</v>
      </c>
      <c r="J175" s="82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187</v>
      </c>
      <c r="C176" s="79">
        <f>+'9'!G176</f>
        <v>0</v>
      </c>
      <c r="D176" s="87">
        <v>0</v>
      </c>
      <c r="E176" s="47">
        <f t="shared" si="13"/>
        <v>0</v>
      </c>
      <c r="F176" s="87">
        <v>0</v>
      </c>
      <c r="G176" s="47">
        <f t="shared" si="15"/>
        <v>0</v>
      </c>
      <c r="H176" s="88"/>
      <c r="I176" s="20">
        <v>50</v>
      </c>
      <c r="J176" s="82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188</v>
      </c>
      <c r="C177" s="79">
        <f>+'9'!G177</f>
        <v>0</v>
      </c>
      <c r="D177" s="87">
        <v>0</v>
      </c>
      <c r="E177" s="47">
        <f t="shared" si="13"/>
        <v>0</v>
      </c>
      <c r="F177" s="87">
        <v>0</v>
      </c>
      <c r="G177" s="47">
        <f t="shared" si="15"/>
        <v>0</v>
      </c>
      <c r="H177" s="88"/>
      <c r="I177" s="20">
        <v>50</v>
      </c>
      <c r="J177" s="82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189</v>
      </c>
      <c r="C178" s="79">
        <f>+'9'!G178</f>
        <v>2</v>
      </c>
      <c r="D178" s="87">
        <v>0</v>
      </c>
      <c r="E178" s="47">
        <f t="shared" si="13"/>
        <v>2</v>
      </c>
      <c r="F178" s="87">
        <v>0</v>
      </c>
      <c r="G178" s="47">
        <f t="shared" si="15"/>
        <v>1</v>
      </c>
      <c r="H178" s="88">
        <v>1</v>
      </c>
      <c r="I178" s="20">
        <v>120</v>
      </c>
      <c r="J178" s="82">
        <f t="shared" si="16"/>
        <v>120</v>
      </c>
      <c r="K178" s="17" t="s">
        <v>16</v>
      </c>
      <c r="L178" s="18">
        <v>0</v>
      </c>
      <c r="M178" s="23">
        <f t="shared" si="14"/>
        <v>120</v>
      </c>
    </row>
    <row r="179" spans="1:13" ht="25.5" x14ac:dyDescent="0.55000000000000004">
      <c r="A179" s="10">
        <v>175</v>
      </c>
      <c r="B179" s="19" t="s">
        <v>190</v>
      </c>
      <c r="C179" s="79">
        <f>+'9'!G179</f>
        <v>0</v>
      </c>
      <c r="D179" s="87">
        <v>0</v>
      </c>
      <c r="E179" s="47">
        <f t="shared" si="13"/>
        <v>0</v>
      </c>
      <c r="F179" s="87">
        <v>0</v>
      </c>
      <c r="G179" s="47">
        <f t="shared" si="15"/>
        <v>0</v>
      </c>
      <c r="H179" s="88"/>
      <c r="I179" s="20">
        <v>120</v>
      </c>
      <c r="J179" s="82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191</v>
      </c>
      <c r="C180" s="79">
        <f>+'9'!G180</f>
        <v>0</v>
      </c>
      <c r="D180" s="87">
        <v>0</v>
      </c>
      <c r="E180" s="47">
        <f t="shared" si="13"/>
        <v>0</v>
      </c>
      <c r="F180" s="87">
        <v>0</v>
      </c>
      <c r="G180" s="47">
        <f t="shared" si="15"/>
        <v>0</v>
      </c>
      <c r="H180" s="88"/>
      <c r="I180" s="20">
        <v>10</v>
      </c>
      <c r="J180" s="82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192</v>
      </c>
      <c r="C181" s="79">
        <f>+'9'!G181</f>
        <v>0</v>
      </c>
      <c r="D181" s="87">
        <v>0</v>
      </c>
      <c r="E181" s="47">
        <f t="shared" si="13"/>
        <v>0</v>
      </c>
      <c r="F181" s="87">
        <v>0</v>
      </c>
      <c r="G181" s="47">
        <f t="shared" si="15"/>
        <v>0</v>
      </c>
      <c r="H181" s="88"/>
      <c r="I181" s="20">
        <v>35</v>
      </c>
      <c r="J181" s="82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193</v>
      </c>
      <c r="C182" s="79">
        <f>+'9'!G182</f>
        <v>0</v>
      </c>
      <c r="D182" s="87">
        <v>0</v>
      </c>
      <c r="E182" s="47">
        <f t="shared" si="13"/>
        <v>0</v>
      </c>
      <c r="F182" s="87">
        <v>0</v>
      </c>
      <c r="G182" s="47">
        <f t="shared" si="15"/>
        <v>0</v>
      </c>
      <c r="H182" s="88"/>
      <c r="I182" s="20">
        <v>10</v>
      </c>
      <c r="J182" s="82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194</v>
      </c>
      <c r="C183" s="79">
        <f>+'9'!G183</f>
        <v>0</v>
      </c>
      <c r="D183" s="87">
        <v>0</v>
      </c>
      <c r="E183" s="47">
        <f t="shared" si="13"/>
        <v>0</v>
      </c>
      <c r="F183" s="87">
        <v>0</v>
      </c>
      <c r="G183" s="47">
        <f t="shared" si="15"/>
        <v>0</v>
      </c>
      <c r="H183" s="88"/>
      <c r="I183" s="20">
        <v>10</v>
      </c>
      <c r="J183" s="82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195</v>
      </c>
      <c r="C184" s="79">
        <f>+'9'!G184</f>
        <v>0</v>
      </c>
      <c r="D184" s="87">
        <v>0</v>
      </c>
      <c r="E184" s="47">
        <f t="shared" si="13"/>
        <v>0</v>
      </c>
      <c r="F184" s="87">
        <v>0</v>
      </c>
      <c r="G184" s="47">
        <f t="shared" si="15"/>
        <v>0</v>
      </c>
      <c r="H184" s="88"/>
      <c r="I184" s="20">
        <v>10</v>
      </c>
      <c r="J184" s="82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196</v>
      </c>
      <c r="C185" s="79">
        <f>+'9'!G185</f>
        <v>0</v>
      </c>
      <c r="D185" s="87">
        <v>0</v>
      </c>
      <c r="E185" s="47">
        <f t="shared" si="13"/>
        <v>0</v>
      </c>
      <c r="F185" s="87">
        <v>0</v>
      </c>
      <c r="G185" s="47">
        <f t="shared" si="15"/>
        <v>0</v>
      </c>
      <c r="H185" s="88"/>
      <c r="I185" s="20">
        <v>10</v>
      </c>
      <c r="J185" s="82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197</v>
      </c>
      <c r="C186" s="79">
        <f>+'9'!G186</f>
        <v>0</v>
      </c>
      <c r="D186" s="87">
        <v>0</v>
      </c>
      <c r="E186" s="47">
        <f t="shared" si="13"/>
        <v>0</v>
      </c>
      <c r="F186" s="87">
        <v>0</v>
      </c>
      <c r="G186" s="47">
        <f t="shared" si="15"/>
        <v>0</v>
      </c>
      <c r="H186" s="88"/>
      <c r="I186" s="20">
        <v>10</v>
      </c>
      <c r="J186" s="82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198</v>
      </c>
      <c r="C187" s="79">
        <f>+'9'!G187</f>
        <v>0</v>
      </c>
      <c r="D187" s="87">
        <v>0</v>
      </c>
      <c r="E187" s="47">
        <f t="shared" si="13"/>
        <v>0</v>
      </c>
      <c r="F187" s="87">
        <v>0</v>
      </c>
      <c r="G187" s="47">
        <f t="shared" si="15"/>
        <v>0</v>
      </c>
      <c r="H187" s="88"/>
      <c r="I187" s="20">
        <v>25</v>
      </c>
      <c r="J187" s="82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249</v>
      </c>
      <c r="C188" s="79">
        <f>+'9'!G188</f>
        <v>0</v>
      </c>
      <c r="D188" s="87">
        <v>0</v>
      </c>
      <c r="E188" s="47">
        <f t="shared" si="13"/>
        <v>0</v>
      </c>
      <c r="F188" s="87">
        <v>0</v>
      </c>
      <c r="G188" s="47">
        <f t="shared" si="15"/>
        <v>0</v>
      </c>
      <c r="H188" s="88"/>
      <c r="I188" s="15">
        <v>50</v>
      </c>
      <c r="J188" s="82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250</v>
      </c>
      <c r="C189" s="79">
        <f>+'9'!G189</f>
        <v>0</v>
      </c>
      <c r="D189" s="87">
        <v>0</v>
      </c>
      <c r="E189" s="47">
        <f t="shared" si="13"/>
        <v>0</v>
      </c>
      <c r="F189" s="87">
        <v>0</v>
      </c>
      <c r="G189" s="47">
        <f t="shared" si="15"/>
        <v>0</v>
      </c>
      <c r="H189" s="88"/>
      <c r="I189" s="15">
        <v>10</v>
      </c>
      <c r="J189" s="82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251</v>
      </c>
      <c r="C190" s="79">
        <f>+'9'!G190</f>
        <v>0</v>
      </c>
      <c r="D190" s="87">
        <v>0</v>
      </c>
      <c r="E190" s="47">
        <f t="shared" ref="E190:E252" si="17">C190+D190</f>
        <v>0</v>
      </c>
      <c r="F190" s="87">
        <v>0</v>
      </c>
      <c r="G190" s="47">
        <f t="shared" si="15"/>
        <v>0</v>
      </c>
      <c r="H190" s="88"/>
      <c r="I190" s="15">
        <v>15</v>
      </c>
      <c r="J190" s="82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252</v>
      </c>
      <c r="C191" s="79">
        <f>+'9'!G191</f>
        <v>0</v>
      </c>
      <c r="D191" s="87">
        <v>0</v>
      </c>
      <c r="E191" s="47">
        <f t="shared" si="17"/>
        <v>0</v>
      </c>
      <c r="F191" s="87">
        <v>0</v>
      </c>
      <c r="G191" s="47">
        <f t="shared" si="15"/>
        <v>0</v>
      </c>
      <c r="H191" s="88"/>
      <c r="I191" s="15">
        <v>25</v>
      </c>
      <c r="J191" s="82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253</v>
      </c>
      <c r="C192" s="79">
        <f>+'9'!G192</f>
        <v>0</v>
      </c>
      <c r="D192" s="87">
        <v>0</v>
      </c>
      <c r="E192" s="47">
        <f t="shared" si="17"/>
        <v>0</v>
      </c>
      <c r="F192" s="87">
        <v>0</v>
      </c>
      <c r="G192" s="47">
        <f t="shared" si="15"/>
        <v>0</v>
      </c>
      <c r="H192" s="88"/>
      <c r="I192" s="15">
        <v>50</v>
      </c>
      <c r="J192" s="82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254</v>
      </c>
      <c r="C193" s="79">
        <f>+'9'!G193</f>
        <v>0</v>
      </c>
      <c r="D193" s="87">
        <v>0</v>
      </c>
      <c r="E193" s="47">
        <f t="shared" si="17"/>
        <v>0</v>
      </c>
      <c r="F193" s="87">
        <v>0</v>
      </c>
      <c r="G193" s="47">
        <f t="shared" si="15"/>
        <v>0</v>
      </c>
      <c r="H193" s="88"/>
      <c r="I193" s="15">
        <v>45</v>
      </c>
      <c r="J193" s="82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255</v>
      </c>
      <c r="C194" s="79">
        <f>+'9'!G194</f>
        <v>0</v>
      </c>
      <c r="D194" s="87">
        <v>0</v>
      </c>
      <c r="E194" s="47">
        <f t="shared" si="17"/>
        <v>0</v>
      </c>
      <c r="F194" s="87">
        <v>0</v>
      </c>
      <c r="G194" s="47">
        <f t="shared" si="15"/>
        <v>0</v>
      </c>
      <c r="H194" s="88"/>
      <c r="I194" s="15">
        <v>50</v>
      </c>
      <c r="J194" s="82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199</v>
      </c>
      <c r="C195" s="79">
        <f>+'9'!G195</f>
        <v>0</v>
      </c>
      <c r="D195" s="87">
        <v>0</v>
      </c>
      <c r="E195" s="47">
        <f t="shared" si="17"/>
        <v>0</v>
      </c>
      <c r="F195" s="87">
        <v>0</v>
      </c>
      <c r="G195" s="47">
        <f t="shared" si="15"/>
        <v>0</v>
      </c>
      <c r="H195" s="88"/>
      <c r="I195" s="15">
        <v>150</v>
      </c>
      <c r="J195" s="82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200</v>
      </c>
      <c r="C196" s="79">
        <f>+'9'!G196</f>
        <v>0</v>
      </c>
      <c r="D196" s="87">
        <v>0</v>
      </c>
      <c r="E196" s="47">
        <f t="shared" si="17"/>
        <v>0</v>
      </c>
      <c r="F196" s="87">
        <v>0</v>
      </c>
      <c r="G196" s="47">
        <f t="shared" si="15"/>
        <v>0</v>
      </c>
      <c r="H196" s="88"/>
      <c r="I196" s="15">
        <v>150</v>
      </c>
      <c r="J196" s="82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201</v>
      </c>
      <c r="C197" s="79">
        <f>+'9'!G197</f>
        <v>0</v>
      </c>
      <c r="D197" s="87">
        <v>0</v>
      </c>
      <c r="E197" s="47">
        <f t="shared" si="17"/>
        <v>0</v>
      </c>
      <c r="F197" s="87">
        <v>0</v>
      </c>
      <c r="G197" s="47">
        <f t="shared" si="15"/>
        <v>0</v>
      </c>
      <c r="H197" s="88"/>
      <c r="I197" s="15">
        <v>150</v>
      </c>
      <c r="J197" s="82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256</v>
      </c>
      <c r="C198" s="79">
        <f>+'9'!G198</f>
        <v>0</v>
      </c>
      <c r="D198" s="87">
        <v>0</v>
      </c>
      <c r="E198" s="47">
        <f t="shared" si="17"/>
        <v>0</v>
      </c>
      <c r="F198" s="87">
        <v>0</v>
      </c>
      <c r="G198" s="47">
        <f t="shared" si="15"/>
        <v>0</v>
      </c>
      <c r="H198" s="88"/>
      <c r="I198" s="15">
        <v>55</v>
      </c>
      <c r="J198" s="82">
        <f t="shared" si="16"/>
        <v>0</v>
      </c>
      <c r="K198" s="17" t="s">
        <v>16</v>
      </c>
      <c r="L198" s="18">
        <v>0</v>
      </c>
      <c r="M198" s="23">
        <f t="shared" si="14"/>
        <v>0</v>
      </c>
    </row>
    <row r="199" spans="1:13" ht="25.5" x14ac:dyDescent="0.55000000000000004">
      <c r="A199" s="10">
        <v>195</v>
      </c>
      <c r="B199" s="19" t="s">
        <v>257</v>
      </c>
      <c r="C199" s="79">
        <f>+'9'!G199</f>
        <v>0</v>
      </c>
      <c r="D199" s="87">
        <v>0</v>
      </c>
      <c r="E199" s="47">
        <f t="shared" si="17"/>
        <v>0</v>
      </c>
      <c r="F199" s="87">
        <v>0</v>
      </c>
      <c r="G199" s="47">
        <f t="shared" si="15"/>
        <v>0</v>
      </c>
      <c r="H199" s="88"/>
      <c r="I199" s="15">
        <v>30</v>
      </c>
      <c r="J199" s="82">
        <f t="shared" si="16"/>
        <v>0</v>
      </c>
      <c r="K199" s="17" t="s">
        <v>16</v>
      </c>
      <c r="L199" s="18">
        <v>0</v>
      </c>
      <c r="M199" s="23">
        <f t="shared" ref="M199:M254" si="18">SUM(J199-L199)</f>
        <v>0</v>
      </c>
    </row>
    <row r="200" spans="1:13" ht="25.5" x14ac:dyDescent="0.55000000000000004">
      <c r="A200" s="10">
        <v>196</v>
      </c>
      <c r="B200" s="19" t="s">
        <v>258</v>
      </c>
      <c r="C200" s="79">
        <f>+'9'!G200</f>
        <v>0</v>
      </c>
      <c r="D200" s="87">
        <v>0</v>
      </c>
      <c r="E200" s="47">
        <f t="shared" si="17"/>
        <v>0</v>
      </c>
      <c r="F200" s="87">
        <v>0</v>
      </c>
      <c r="G200" s="47">
        <f t="shared" si="15"/>
        <v>0</v>
      </c>
      <c r="H200" s="88"/>
      <c r="I200" s="15">
        <v>30</v>
      </c>
      <c r="J200" s="82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259</v>
      </c>
      <c r="C201" s="79">
        <f>+'9'!G201</f>
        <v>0</v>
      </c>
      <c r="D201" s="87">
        <v>0</v>
      </c>
      <c r="E201" s="47">
        <f t="shared" si="17"/>
        <v>0</v>
      </c>
      <c r="F201" s="87">
        <v>0</v>
      </c>
      <c r="G201" s="47">
        <f t="shared" si="15"/>
        <v>0</v>
      </c>
      <c r="H201" s="88"/>
      <c r="I201" s="15">
        <v>30</v>
      </c>
      <c r="J201" s="82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260</v>
      </c>
      <c r="C202" s="79">
        <f>+'9'!G202</f>
        <v>0</v>
      </c>
      <c r="D202" s="87">
        <v>0</v>
      </c>
      <c r="E202" s="47">
        <f t="shared" si="17"/>
        <v>0</v>
      </c>
      <c r="F202" s="87">
        <v>0</v>
      </c>
      <c r="G202" s="47">
        <f t="shared" si="15"/>
        <v>0</v>
      </c>
      <c r="H202" s="88"/>
      <c r="I202" s="15">
        <v>30</v>
      </c>
      <c r="J202" s="82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261</v>
      </c>
      <c r="C203" s="79">
        <f>+'9'!G203</f>
        <v>0</v>
      </c>
      <c r="D203" s="87">
        <v>0</v>
      </c>
      <c r="E203" s="47">
        <f t="shared" si="17"/>
        <v>0</v>
      </c>
      <c r="F203" s="87">
        <v>0</v>
      </c>
      <c r="G203" s="47">
        <f t="shared" si="15"/>
        <v>0</v>
      </c>
      <c r="H203" s="88"/>
      <c r="I203" s="20">
        <v>30</v>
      </c>
      <c r="J203" s="82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262</v>
      </c>
      <c r="C204" s="79">
        <f>+'9'!G204</f>
        <v>0</v>
      </c>
      <c r="D204" s="87">
        <v>0</v>
      </c>
      <c r="E204" s="47">
        <f t="shared" si="17"/>
        <v>0</v>
      </c>
      <c r="F204" s="87">
        <v>0</v>
      </c>
      <c r="G204" s="47">
        <f t="shared" si="15"/>
        <v>0</v>
      </c>
      <c r="H204" s="88"/>
      <c r="I204" s="20">
        <v>30</v>
      </c>
      <c r="J204" s="82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263</v>
      </c>
      <c r="C205" s="79">
        <f>+'9'!G205</f>
        <v>0</v>
      </c>
      <c r="D205" s="87">
        <v>0</v>
      </c>
      <c r="E205" s="47">
        <f t="shared" si="17"/>
        <v>0</v>
      </c>
      <c r="F205" s="87">
        <v>0</v>
      </c>
      <c r="G205" s="47">
        <f t="shared" si="15"/>
        <v>0</v>
      </c>
      <c r="H205" s="88"/>
      <c r="I205" s="20">
        <v>50</v>
      </c>
      <c r="J205" s="82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 t="s">
        <v>264</v>
      </c>
      <c r="C206" s="79">
        <f>+'9'!G206</f>
        <v>0</v>
      </c>
      <c r="D206" s="87">
        <v>0</v>
      </c>
      <c r="E206" s="47">
        <f t="shared" si="17"/>
        <v>0</v>
      </c>
      <c r="F206" s="87">
        <v>0</v>
      </c>
      <c r="G206" s="47">
        <f t="shared" si="15"/>
        <v>0</v>
      </c>
      <c r="H206" s="88"/>
      <c r="I206" s="20">
        <v>100</v>
      </c>
      <c r="J206" s="82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265</v>
      </c>
      <c r="C207" s="79">
        <f>+'9'!G207</f>
        <v>0</v>
      </c>
      <c r="D207" s="87">
        <v>0</v>
      </c>
      <c r="E207" s="47">
        <f t="shared" si="17"/>
        <v>0</v>
      </c>
      <c r="F207" s="87">
        <v>0</v>
      </c>
      <c r="G207" s="47">
        <f t="shared" si="15"/>
        <v>0</v>
      </c>
      <c r="H207" s="88"/>
      <c r="I207" s="20">
        <v>100</v>
      </c>
      <c r="J207" s="82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266</v>
      </c>
      <c r="C208" s="79">
        <f>+'9'!G208</f>
        <v>0</v>
      </c>
      <c r="D208" s="87">
        <v>0</v>
      </c>
      <c r="E208" s="47">
        <f t="shared" si="17"/>
        <v>0</v>
      </c>
      <c r="F208" s="87">
        <v>0</v>
      </c>
      <c r="G208" s="47">
        <f t="shared" si="15"/>
        <v>0</v>
      </c>
      <c r="H208" s="88"/>
      <c r="I208" s="20">
        <v>100</v>
      </c>
      <c r="J208" s="82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 t="s">
        <v>267</v>
      </c>
      <c r="C209" s="79">
        <f>+'9'!G209</f>
        <v>0</v>
      </c>
      <c r="D209" s="87">
        <v>0</v>
      </c>
      <c r="E209" s="47">
        <f t="shared" si="17"/>
        <v>0</v>
      </c>
      <c r="F209" s="87">
        <v>0</v>
      </c>
      <c r="G209" s="47">
        <f t="shared" si="15"/>
        <v>0</v>
      </c>
      <c r="H209" s="88"/>
      <c r="I209" s="20">
        <v>100</v>
      </c>
      <c r="J209" s="82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268</v>
      </c>
      <c r="C210" s="79">
        <f>+'9'!G210</f>
        <v>0</v>
      </c>
      <c r="D210" s="87">
        <v>0</v>
      </c>
      <c r="E210" s="47">
        <f t="shared" si="17"/>
        <v>0</v>
      </c>
      <c r="F210" s="87">
        <v>0</v>
      </c>
      <c r="G210" s="47">
        <f t="shared" si="15"/>
        <v>0</v>
      </c>
      <c r="H210" s="88"/>
      <c r="I210" s="20">
        <v>250</v>
      </c>
      <c r="J210" s="82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 t="s">
        <v>269</v>
      </c>
      <c r="C211" s="79">
        <f>+'9'!G211</f>
        <v>0</v>
      </c>
      <c r="D211" s="87">
        <v>0</v>
      </c>
      <c r="E211" s="47">
        <f t="shared" si="17"/>
        <v>0</v>
      </c>
      <c r="F211" s="87">
        <v>0</v>
      </c>
      <c r="G211" s="47">
        <f t="shared" si="15"/>
        <v>0</v>
      </c>
      <c r="H211" s="88"/>
      <c r="I211" s="20">
        <v>250</v>
      </c>
      <c r="J211" s="82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 t="s">
        <v>270</v>
      </c>
      <c r="C212" s="79">
        <f>+'9'!G212</f>
        <v>0</v>
      </c>
      <c r="D212" s="87">
        <v>0</v>
      </c>
      <c r="E212" s="47">
        <f t="shared" si="17"/>
        <v>0</v>
      </c>
      <c r="F212" s="87">
        <v>0</v>
      </c>
      <c r="G212" s="47">
        <f t="shared" si="15"/>
        <v>0</v>
      </c>
      <c r="H212" s="88"/>
      <c r="I212" s="20">
        <v>250</v>
      </c>
      <c r="J212" s="82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 t="s">
        <v>271</v>
      </c>
      <c r="C213" s="79">
        <f>+'9'!G213</f>
        <v>0</v>
      </c>
      <c r="D213" s="87">
        <v>0</v>
      </c>
      <c r="E213" s="47">
        <f t="shared" si="17"/>
        <v>0</v>
      </c>
      <c r="F213" s="87">
        <v>0</v>
      </c>
      <c r="G213" s="47">
        <f t="shared" si="15"/>
        <v>0</v>
      </c>
      <c r="H213" s="88"/>
      <c r="I213" s="20">
        <v>50</v>
      </c>
      <c r="J213" s="82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 t="s">
        <v>273</v>
      </c>
      <c r="C214" s="79">
        <f>+'9'!G214</f>
        <v>0</v>
      </c>
      <c r="D214" s="87">
        <v>0</v>
      </c>
      <c r="E214" s="47">
        <f t="shared" si="17"/>
        <v>0</v>
      </c>
      <c r="F214" s="87">
        <v>0</v>
      </c>
      <c r="G214" s="47">
        <f t="shared" si="15"/>
        <v>0</v>
      </c>
      <c r="H214" s="88"/>
      <c r="I214" s="20">
        <v>50</v>
      </c>
      <c r="J214" s="82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 t="s">
        <v>274</v>
      </c>
      <c r="C215" s="79">
        <f>+'9'!G215</f>
        <v>0</v>
      </c>
      <c r="D215" s="87">
        <v>0</v>
      </c>
      <c r="E215" s="47">
        <f t="shared" si="17"/>
        <v>0</v>
      </c>
      <c r="F215" s="87">
        <v>0</v>
      </c>
      <c r="G215" s="47">
        <f t="shared" si="15"/>
        <v>0</v>
      </c>
      <c r="H215" s="88"/>
      <c r="I215" s="20">
        <v>50</v>
      </c>
      <c r="J215" s="82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 t="s">
        <v>242</v>
      </c>
      <c r="C216" s="79">
        <f>+'9'!G216</f>
        <v>0</v>
      </c>
      <c r="D216" s="87">
        <v>0</v>
      </c>
      <c r="E216" s="47">
        <f t="shared" si="17"/>
        <v>0</v>
      </c>
      <c r="F216" s="87">
        <v>0</v>
      </c>
      <c r="G216" s="47">
        <f t="shared" si="15"/>
        <v>0</v>
      </c>
      <c r="H216" s="88"/>
      <c r="I216" s="20">
        <v>35</v>
      </c>
      <c r="J216" s="82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 t="s">
        <v>275</v>
      </c>
      <c r="C217" s="79">
        <f>+'9'!G217</f>
        <v>0</v>
      </c>
      <c r="D217" s="87">
        <v>0</v>
      </c>
      <c r="E217" s="47">
        <f t="shared" si="17"/>
        <v>0</v>
      </c>
      <c r="F217" s="87">
        <v>0</v>
      </c>
      <c r="G217" s="47">
        <f t="shared" si="15"/>
        <v>0</v>
      </c>
      <c r="H217" s="88"/>
      <c r="I217" s="20">
        <v>199</v>
      </c>
      <c r="J217" s="82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 t="s">
        <v>283</v>
      </c>
      <c r="C218" s="79"/>
      <c r="D218" s="87">
        <v>0</v>
      </c>
      <c r="E218" s="47">
        <f t="shared" si="17"/>
        <v>0</v>
      </c>
      <c r="F218" s="87">
        <v>0</v>
      </c>
      <c r="G218" s="47">
        <f t="shared" si="15"/>
        <v>0</v>
      </c>
      <c r="H218" s="88"/>
      <c r="I218" s="20">
        <v>25</v>
      </c>
      <c r="J218" s="82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 t="s">
        <v>284</v>
      </c>
      <c r="C219" s="79"/>
      <c r="D219" s="87">
        <v>0</v>
      </c>
      <c r="E219" s="47">
        <f t="shared" si="17"/>
        <v>0</v>
      </c>
      <c r="F219" s="87">
        <v>0</v>
      </c>
      <c r="G219" s="47">
        <f t="shared" si="15"/>
        <v>0</v>
      </c>
      <c r="H219" s="88"/>
      <c r="I219" s="20">
        <v>25</v>
      </c>
      <c r="J219" s="82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 t="s">
        <v>314</v>
      </c>
      <c r="C220" s="79">
        <f>+'9'!G220</f>
        <v>-3</v>
      </c>
      <c r="D220" s="87">
        <v>0</v>
      </c>
      <c r="E220" s="47">
        <f t="shared" si="17"/>
        <v>-3</v>
      </c>
      <c r="F220" s="87">
        <v>0</v>
      </c>
      <c r="G220" s="47">
        <f t="shared" si="15"/>
        <v>-3</v>
      </c>
      <c r="H220" s="88"/>
      <c r="I220" s="20">
        <v>35</v>
      </c>
      <c r="J220" s="82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 t="s">
        <v>326</v>
      </c>
      <c r="C221" s="79">
        <f>+'9'!G221</f>
        <v>0</v>
      </c>
      <c r="D221" s="87">
        <v>0</v>
      </c>
      <c r="E221" s="47">
        <f t="shared" si="17"/>
        <v>0</v>
      </c>
      <c r="F221" s="87">
        <v>0</v>
      </c>
      <c r="G221" s="47">
        <f t="shared" si="15"/>
        <v>0</v>
      </c>
      <c r="H221" s="88"/>
      <c r="I221" s="20">
        <v>55</v>
      </c>
      <c r="J221" s="82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 t="s">
        <v>327</v>
      </c>
      <c r="C222" s="79">
        <f>+'9'!G222</f>
        <v>0</v>
      </c>
      <c r="D222" s="87">
        <v>0</v>
      </c>
      <c r="E222" s="47">
        <f t="shared" si="17"/>
        <v>0</v>
      </c>
      <c r="F222" s="87">
        <v>0</v>
      </c>
      <c r="G222" s="47">
        <f t="shared" si="15"/>
        <v>0</v>
      </c>
      <c r="H222" s="88"/>
      <c r="I222" s="20">
        <v>40</v>
      </c>
      <c r="J222" s="82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/>
      <c r="C223" s="79">
        <f>+'9'!G223</f>
        <v>0</v>
      </c>
      <c r="D223" s="87">
        <v>0</v>
      </c>
      <c r="E223" s="47">
        <f t="shared" si="17"/>
        <v>0</v>
      </c>
      <c r="F223" s="87">
        <v>0</v>
      </c>
      <c r="G223" s="47">
        <f t="shared" si="15"/>
        <v>0</v>
      </c>
      <c r="H223" s="88"/>
      <c r="I223" s="20"/>
      <c r="J223" s="82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79">
        <f>+'9'!G224</f>
        <v>0</v>
      </c>
      <c r="D224" s="87">
        <v>0</v>
      </c>
      <c r="E224" s="47">
        <f t="shared" si="17"/>
        <v>0</v>
      </c>
      <c r="F224" s="87">
        <v>0</v>
      </c>
      <c r="G224" s="47">
        <f t="shared" si="15"/>
        <v>0</v>
      </c>
      <c r="H224" s="88"/>
      <c r="I224" s="20"/>
      <c r="J224" s="82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+'9'!G225</f>
        <v>0</v>
      </c>
      <c r="D225" s="87">
        <v>0</v>
      </c>
      <c r="E225" s="47">
        <f t="shared" si="17"/>
        <v>0</v>
      </c>
      <c r="F225" s="87">
        <v>0</v>
      </c>
      <c r="G225" s="47">
        <f t="shared" si="15"/>
        <v>0</v>
      </c>
      <c r="H225" s="88"/>
      <c r="I225" s="20"/>
      <c r="J225" s="82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+'9'!G226</f>
        <v>0</v>
      </c>
      <c r="D226" s="87">
        <v>0</v>
      </c>
      <c r="E226" s="47">
        <f t="shared" si="17"/>
        <v>0</v>
      </c>
      <c r="F226" s="87">
        <v>0</v>
      </c>
      <c r="G226" s="47">
        <f t="shared" si="15"/>
        <v>0</v>
      </c>
      <c r="H226" s="88"/>
      <c r="I226" s="20"/>
      <c r="J226" s="82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+'9'!G227</f>
        <v>0</v>
      </c>
      <c r="D227" s="87">
        <v>0</v>
      </c>
      <c r="E227" s="47">
        <f t="shared" si="17"/>
        <v>0</v>
      </c>
      <c r="F227" s="87">
        <v>0</v>
      </c>
      <c r="G227" s="47">
        <f t="shared" si="15"/>
        <v>0</v>
      </c>
      <c r="H227" s="88"/>
      <c r="I227" s="20"/>
      <c r="J227" s="82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+'9'!G228</f>
        <v>0</v>
      </c>
      <c r="D228" s="87">
        <v>0</v>
      </c>
      <c r="E228" s="47">
        <f t="shared" si="17"/>
        <v>0</v>
      </c>
      <c r="F228" s="87">
        <v>0</v>
      </c>
      <c r="G228" s="47">
        <f t="shared" ref="G228:G254" si="19">+E228-F228-H228</f>
        <v>0</v>
      </c>
      <c r="H228" s="88"/>
      <c r="I228" s="20"/>
      <c r="J228" s="82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+'9'!G229</f>
        <v>0</v>
      </c>
      <c r="D229" s="87">
        <v>0</v>
      </c>
      <c r="E229" s="47">
        <f t="shared" si="17"/>
        <v>0</v>
      </c>
      <c r="F229" s="87">
        <v>0</v>
      </c>
      <c r="G229" s="47">
        <f t="shared" si="19"/>
        <v>0</v>
      </c>
      <c r="H229" s="88"/>
      <c r="I229" s="20"/>
      <c r="J229" s="82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+'9'!G230</f>
        <v>0</v>
      </c>
      <c r="D230" s="87">
        <v>0</v>
      </c>
      <c r="E230" s="47">
        <f t="shared" si="17"/>
        <v>0</v>
      </c>
      <c r="F230" s="87">
        <v>0</v>
      </c>
      <c r="G230" s="47">
        <f t="shared" si="19"/>
        <v>0</v>
      </c>
      <c r="H230" s="88"/>
      <c r="I230" s="20"/>
      <c r="J230" s="82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+'9'!G231</f>
        <v>0</v>
      </c>
      <c r="D231" s="87">
        <v>0</v>
      </c>
      <c r="E231" s="47">
        <f t="shared" si="17"/>
        <v>0</v>
      </c>
      <c r="F231" s="87">
        <v>0</v>
      </c>
      <c r="G231" s="47">
        <f t="shared" si="19"/>
        <v>0</v>
      </c>
      <c r="H231" s="88"/>
      <c r="I231" s="20"/>
      <c r="J231" s="82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+'9'!G232</f>
        <v>0</v>
      </c>
      <c r="D232" s="87">
        <v>0</v>
      </c>
      <c r="E232" s="47">
        <f t="shared" si="17"/>
        <v>0</v>
      </c>
      <c r="F232" s="87">
        <v>0</v>
      </c>
      <c r="G232" s="47">
        <f t="shared" si="19"/>
        <v>0</v>
      </c>
      <c r="H232" s="88"/>
      <c r="I232" s="20"/>
      <c r="J232" s="82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+'9'!G233</f>
        <v>0</v>
      </c>
      <c r="D233" s="87">
        <v>0</v>
      </c>
      <c r="E233" s="47">
        <f t="shared" si="17"/>
        <v>0</v>
      </c>
      <c r="F233" s="87">
        <v>0</v>
      </c>
      <c r="G233" s="47">
        <f t="shared" si="19"/>
        <v>0</v>
      </c>
      <c r="H233" s="88"/>
      <c r="I233" s="20"/>
      <c r="J233" s="82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+'9'!G234</f>
        <v>0</v>
      </c>
      <c r="D234" s="87">
        <v>0</v>
      </c>
      <c r="E234" s="47">
        <f t="shared" si="17"/>
        <v>0</v>
      </c>
      <c r="F234" s="87">
        <v>0</v>
      </c>
      <c r="G234" s="47">
        <f t="shared" si="19"/>
        <v>0</v>
      </c>
      <c r="H234" s="88"/>
      <c r="I234" s="20"/>
      <c r="J234" s="82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+'9'!G235</f>
        <v>0</v>
      </c>
      <c r="D235" s="87">
        <v>0</v>
      </c>
      <c r="E235" s="47">
        <f t="shared" si="17"/>
        <v>0</v>
      </c>
      <c r="F235" s="87">
        <v>0</v>
      </c>
      <c r="G235" s="47">
        <f t="shared" si="19"/>
        <v>0</v>
      </c>
      <c r="H235" s="88"/>
      <c r="I235" s="20"/>
      <c r="J235" s="82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+'9'!G236</f>
        <v>0</v>
      </c>
      <c r="D236" s="87">
        <v>0</v>
      </c>
      <c r="E236" s="47">
        <f t="shared" si="17"/>
        <v>0</v>
      </c>
      <c r="F236" s="87">
        <v>0</v>
      </c>
      <c r="G236" s="47">
        <f t="shared" si="19"/>
        <v>0</v>
      </c>
      <c r="H236" s="88"/>
      <c r="I236" s="20"/>
      <c r="J236" s="82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+'9'!G237</f>
        <v>0</v>
      </c>
      <c r="D237" s="87">
        <v>0</v>
      </c>
      <c r="E237" s="47">
        <f t="shared" si="17"/>
        <v>0</v>
      </c>
      <c r="F237" s="87">
        <v>0</v>
      </c>
      <c r="G237" s="47">
        <f t="shared" si="19"/>
        <v>0</v>
      </c>
      <c r="H237" s="88"/>
      <c r="I237" s="20"/>
      <c r="J237" s="82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+'9'!G238</f>
        <v>0</v>
      </c>
      <c r="D238" s="87">
        <v>0</v>
      </c>
      <c r="E238" s="47">
        <f t="shared" si="17"/>
        <v>0</v>
      </c>
      <c r="F238" s="87">
        <v>0</v>
      </c>
      <c r="G238" s="47">
        <f t="shared" si="19"/>
        <v>0</v>
      </c>
      <c r="H238" s="88"/>
      <c r="I238" s="20"/>
      <c r="J238" s="82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+'9'!G239</f>
        <v>0</v>
      </c>
      <c r="D239" s="87">
        <v>0</v>
      </c>
      <c r="E239" s="47">
        <f t="shared" si="17"/>
        <v>0</v>
      </c>
      <c r="F239" s="87">
        <v>0</v>
      </c>
      <c r="G239" s="47">
        <f t="shared" si="19"/>
        <v>0</v>
      </c>
      <c r="H239" s="88"/>
      <c r="I239" s="20"/>
      <c r="J239" s="82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+'9'!G240</f>
        <v>0</v>
      </c>
      <c r="D240" s="87">
        <v>0</v>
      </c>
      <c r="E240" s="47">
        <f t="shared" si="17"/>
        <v>0</v>
      </c>
      <c r="F240" s="87">
        <v>0</v>
      </c>
      <c r="G240" s="47">
        <f t="shared" si="19"/>
        <v>0</v>
      </c>
      <c r="H240" s="88"/>
      <c r="I240" s="20"/>
      <c r="J240" s="82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+'9'!G241</f>
        <v>0</v>
      </c>
      <c r="D241" s="87">
        <v>0</v>
      </c>
      <c r="E241" s="47">
        <f t="shared" si="17"/>
        <v>0</v>
      </c>
      <c r="F241" s="87">
        <v>0</v>
      </c>
      <c r="G241" s="47">
        <f t="shared" si="19"/>
        <v>0</v>
      </c>
      <c r="H241" s="88"/>
      <c r="I241" s="20"/>
      <c r="J241" s="82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+'9'!G242</f>
        <v>0</v>
      </c>
      <c r="D242" s="87">
        <v>0</v>
      </c>
      <c r="E242" s="47">
        <f t="shared" si="17"/>
        <v>0</v>
      </c>
      <c r="F242" s="87">
        <v>0</v>
      </c>
      <c r="G242" s="47">
        <f t="shared" si="19"/>
        <v>0</v>
      </c>
      <c r="H242" s="88"/>
      <c r="I242" s="20"/>
      <c r="J242" s="82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+'9'!G243</f>
        <v>0</v>
      </c>
      <c r="D243" s="87">
        <v>0</v>
      </c>
      <c r="E243" s="47">
        <f t="shared" si="17"/>
        <v>0</v>
      </c>
      <c r="F243" s="87">
        <v>0</v>
      </c>
      <c r="G243" s="47">
        <f t="shared" si="19"/>
        <v>0</v>
      </c>
      <c r="H243" s="88"/>
      <c r="I243" s="20"/>
      <c r="J243" s="82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+'9'!G244</f>
        <v>0</v>
      </c>
      <c r="D244" s="87">
        <v>0</v>
      </c>
      <c r="E244" s="47">
        <f t="shared" si="17"/>
        <v>0</v>
      </c>
      <c r="F244" s="87">
        <v>0</v>
      </c>
      <c r="G244" s="47">
        <f t="shared" si="19"/>
        <v>0</v>
      </c>
      <c r="H244" s="88"/>
      <c r="I244" s="20"/>
      <c r="J244" s="82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+'9'!G245</f>
        <v>0</v>
      </c>
      <c r="D245" s="87">
        <v>0</v>
      </c>
      <c r="E245" s="47">
        <f t="shared" si="17"/>
        <v>0</v>
      </c>
      <c r="F245" s="87">
        <v>0</v>
      </c>
      <c r="G245" s="47">
        <f t="shared" si="19"/>
        <v>0</v>
      </c>
      <c r="H245" s="88"/>
      <c r="I245" s="20"/>
      <c r="J245" s="82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+'9'!G246</f>
        <v>0</v>
      </c>
      <c r="D246" s="87">
        <v>0</v>
      </c>
      <c r="E246" s="47">
        <f t="shared" si="17"/>
        <v>0</v>
      </c>
      <c r="F246" s="87">
        <v>0</v>
      </c>
      <c r="G246" s="47">
        <f t="shared" si="19"/>
        <v>0</v>
      </c>
      <c r="H246" s="88"/>
      <c r="I246" s="20"/>
      <c r="J246" s="82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+'9'!G247</f>
        <v>0</v>
      </c>
      <c r="D247" s="87">
        <v>0</v>
      </c>
      <c r="E247" s="47">
        <f t="shared" si="17"/>
        <v>0</v>
      </c>
      <c r="F247" s="87">
        <v>0</v>
      </c>
      <c r="G247" s="47">
        <f t="shared" si="19"/>
        <v>0</v>
      </c>
      <c r="H247" s="88"/>
      <c r="I247" s="20"/>
      <c r="J247" s="82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+'9'!G248</f>
        <v>0</v>
      </c>
      <c r="D248" s="87">
        <v>0</v>
      </c>
      <c r="E248" s="47">
        <f t="shared" si="17"/>
        <v>0</v>
      </c>
      <c r="F248" s="87">
        <v>0</v>
      </c>
      <c r="G248" s="47">
        <f t="shared" si="19"/>
        <v>0</v>
      </c>
      <c r="H248" s="88"/>
      <c r="I248" s="20"/>
      <c r="J248" s="82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+'9'!G249</f>
        <v>0</v>
      </c>
      <c r="D249" s="87">
        <v>0</v>
      </c>
      <c r="E249" s="47">
        <f t="shared" si="17"/>
        <v>0</v>
      </c>
      <c r="F249" s="87">
        <v>0</v>
      </c>
      <c r="G249" s="47">
        <f t="shared" si="19"/>
        <v>0</v>
      </c>
      <c r="H249" s="88"/>
      <c r="I249" s="20"/>
      <c r="J249" s="82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+'9'!G250</f>
        <v>0</v>
      </c>
      <c r="D250" s="87">
        <v>0</v>
      </c>
      <c r="E250" s="47">
        <f t="shared" si="17"/>
        <v>0</v>
      </c>
      <c r="F250" s="87">
        <v>0</v>
      </c>
      <c r="G250" s="47">
        <f t="shared" si="19"/>
        <v>0</v>
      </c>
      <c r="H250" s="88"/>
      <c r="I250" s="20"/>
      <c r="J250" s="82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+'9'!G251</f>
        <v>0</v>
      </c>
      <c r="D251" s="87">
        <v>0</v>
      </c>
      <c r="E251" s="47">
        <f t="shared" si="17"/>
        <v>0</v>
      </c>
      <c r="F251" s="87">
        <v>0</v>
      </c>
      <c r="G251" s="47">
        <f t="shared" si="19"/>
        <v>0</v>
      </c>
      <c r="H251" s="88"/>
      <c r="I251" s="20"/>
      <c r="J251" s="82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+'9'!G252</f>
        <v>0</v>
      </c>
      <c r="D252" s="87">
        <v>0</v>
      </c>
      <c r="E252" s="47">
        <f t="shared" si="17"/>
        <v>0</v>
      </c>
      <c r="F252" s="87">
        <v>0</v>
      </c>
      <c r="G252" s="47">
        <f t="shared" si="19"/>
        <v>0</v>
      </c>
      <c r="H252" s="88"/>
      <c r="I252" s="20"/>
      <c r="J252" s="82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+'9'!G253</f>
        <v>0</v>
      </c>
      <c r="D253" s="87">
        <v>0</v>
      </c>
      <c r="E253" s="47">
        <f t="shared" ref="E253:E254" si="21">C253+D253</f>
        <v>0</v>
      </c>
      <c r="F253" s="87">
        <v>0</v>
      </c>
      <c r="G253" s="47">
        <f t="shared" si="19"/>
        <v>0</v>
      </c>
      <c r="H253" s="88"/>
      <c r="I253" s="20"/>
      <c r="J253" s="82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+'9'!G254</f>
        <v>0</v>
      </c>
      <c r="D254" s="87">
        <v>0</v>
      </c>
      <c r="E254" s="47">
        <f t="shared" si="21"/>
        <v>0</v>
      </c>
      <c r="F254" s="87">
        <v>0</v>
      </c>
      <c r="G254" s="47">
        <f t="shared" si="19"/>
        <v>0</v>
      </c>
      <c r="H254" s="88"/>
      <c r="I254" s="20"/>
      <c r="J254" s="82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1305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3" t="s">
        <v>213</v>
      </c>
      <c r="N255" s="143"/>
    </row>
    <row r="256" spans="1:14" ht="25.5" customHeight="1" x14ac:dyDescent="0.5">
      <c r="A256" s="1"/>
      <c r="C256" s="24"/>
      <c r="D256" s="25"/>
      <c r="E256" s="24"/>
      <c r="F256" s="25"/>
      <c r="G256" s="24"/>
      <c r="H256" s="148" t="s">
        <v>212</v>
      </c>
      <c r="I256" s="149"/>
      <c r="J256" s="30">
        <f>+X138</f>
        <v>0</v>
      </c>
      <c r="K256" s="27"/>
      <c r="L256" s="29"/>
    </row>
    <row r="257" spans="1:13" ht="25.5" x14ac:dyDescent="0.55000000000000004">
      <c r="A257" s="1"/>
      <c r="C257" s="31"/>
      <c r="E257" s="31"/>
      <c r="G257" s="31"/>
      <c r="H257" s="32"/>
      <c r="I257" s="150" t="s">
        <v>202</v>
      </c>
      <c r="J257" s="150"/>
      <c r="K257" s="33">
        <f>SUM(J5:J256)</f>
        <v>1305</v>
      </c>
    </row>
    <row r="258" spans="1:13" ht="25.5" x14ac:dyDescent="0.55000000000000004">
      <c r="A258" s="1"/>
      <c r="C258" s="31"/>
      <c r="E258" s="31"/>
      <c r="G258" s="31"/>
      <c r="I258" s="140" t="s">
        <v>203</v>
      </c>
      <c r="J258" s="141"/>
      <c r="K258" s="36">
        <v>15</v>
      </c>
    </row>
    <row r="259" spans="1:13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530</v>
      </c>
      <c r="L259" s="2">
        <v>100</v>
      </c>
      <c r="M259" s="2">
        <v>430</v>
      </c>
    </row>
    <row r="260" spans="1:13" ht="25.5" x14ac:dyDescent="0.55000000000000004">
      <c r="A260" s="1"/>
      <c r="C260" s="31"/>
      <c r="E260" s="31"/>
      <c r="G260" s="31"/>
      <c r="I260" s="140" t="s">
        <v>205</v>
      </c>
      <c r="J260" s="141"/>
      <c r="K260" s="36">
        <v>0</v>
      </c>
    </row>
    <row r="261" spans="1:13" ht="25.5" x14ac:dyDescent="0.55000000000000004">
      <c r="A261" s="1"/>
      <c r="C261" s="31"/>
      <c r="E261" s="31"/>
      <c r="G261" s="31"/>
      <c r="I261" s="140" t="s">
        <v>206</v>
      </c>
      <c r="J261" s="141"/>
      <c r="K261" s="36">
        <v>0</v>
      </c>
    </row>
    <row r="262" spans="1:13" ht="25.5" x14ac:dyDescent="0.55000000000000004">
      <c r="A262" s="1"/>
      <c r="C262" s="31"/>
      <c r="E262" s="31"/>
      <c r="G262" s="31"/>
      <c r="I262" s="140" t="s">
        <v>207</v>
      </c>
      <c r="J262" s="141"/>
      <c r="K262" s="37">
        <f>SUM(L5:L255)</f>
        <v>0</v>
      </c>
    </row>
    <row r="263" spans="1:13" ht="25.5" x14ac:dyDescent="0.55000000000000004">
      <c r="A263" s="1"/>
      <c r="C263" s="31"/>
      <c r="E263" s="31"/>
      <c r="G263" s="31"/>
      <c r="I263" s="140" t="s">
        <v>208</v>
      </c>
      <c r="J263" s="141"/>
      <c r="K263" s="33">
        <f>K257-K258-K259-K261-K262</f>
        <v>760</v>
      </c>
    </row>
    <row r="264" spans="1:13" ht="25.5" x14ac:dyDescent="0.55000000000000004">
      <c r="A264" s="1"/>
      <c r="C264" s="31"/>
      <c r="E264" s="31"/>
      <c r="G264" s="31"/>
      <c r="I264" s="140" t="s">
        <v>209</v>
      </c>
      <c r="J264" s="141"/>
      <c r="K264" s="37">
        <v>860</v>
      </c>
    </row>
    <row r="265" spans="1:13" ht="25.5" x14ac:dyDescent="0.55000000000000004">
      <c r="A265" s="1"/>
      <c r="C265" s="31"/>
      <c r="E265" s="31"/>
      <c r="G265" s="31"/>
      <c r="I265" s="140" t="s">
        <v>210</v>
      </c>
      <c r="J265" s="141"/>
      <c r="K265" s="33">
        <f>+K264-K263</f>
        <v>100</v>
      </c>
    </row>
    <row r="266" spans="1:13" ht="25.5" x14ac:dyDescent="0.55000000000000004">
      <c r="G266" s="2"/>
      <c r="I266" s="140" t="s">
        <v>211</v>
      </c>
      <c r="J266" s="141"/>
      <c r="K266" s="33">
        <f>+K264-K263</f>
        <v>100</v>
      </c>
    </row>
    <row r="267" spans="1:13" x14ac:dyDescent="0.5">
      <c r="G267" s="2"/>
      <c r="I267" s="2"/>
    </row>
    <row r="268" spans="1:13" ht="25.5" x14ac:dyDescent="0.55000000000000004">
      <c r="G268" s="2"/>
      <c r="I268" s="105" t="s">
        <v>312</v>
      </c>
    </row>
    <row r="269" spans="1:13" x14ac:dyDescent="0.5">
      <c r="G269" s="2"/>
      <c r="I269" s="2"/>
    </row>
    <row r="270" spans="1:13" x14ac:dyDescent="0.5">
      <c r="G270" s="2"/>
      <c r="I270" s="2"/>
    </row>
    <row r="271" spans="1:13" x14ac:dyDescent="0.5">
      <c r="G271" s="2"/>
      <c r="I271" s="2"/>
    </row>
    <row r="272" spans="1:13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42709-6B17-4F92-B92C-BC3EA4C2B76F}">
  <sheetPr>
    <tabColor theme="7" tint="-0.249977111117893"/>
  </sheetPr>
  <dimension ref="A1:AB341"/>
  <sheetViews>
    <sheetView zoomScaleNormal="100" workbookViewId="0">
      <pane xSplit="7" ySplit="4" topLeftCell="H254" activePane="bottomRight" state="frozen"/>
      <selection activeCell="B20" sqref="B20"/>
      <selection pane="topRight" activeCell="B20" sqref="B20"/>
      <selection pane="bottomLeft" activeCell="B20" sqref="B20"/>
      <selection pane="bottomRight" activeCell="B20" sqref="B20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8" x14ac:dyDescent="0.5">
      <c r="A1" s="1"/>
      <c r="G1" s="2"/>
      <c r="I1" s="2"/>
    </row>
    <row r="2" spans="1:28" s="3" customFormat="1" ht="29.25" x14ac:dyDescent="0.6">
      <c r="A2" s="137" t="s">
        <v>247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8" s="5" customFormat="1" ht="26.25" x14ac:dyDescent="0.55000000000000004">
      <c r="A3" s="139" t="s">
        <v>1</v>
      </c>
      <c r="B3" s="151" t="s">
        <v>2</v>
      </c>
      <c r="C3" s="139" t="s">
        <v>3</v>
      </c>
      <c r="D3" s="139" t="s">
        <v>4</v>
      </c>
      <c r="E3" s="139" t="s">
        <v>5</v>
      </c>
      <c r="F3" s="85" t="s">
        <v>6</v>
      </c>
      <c r="G3" s="139" t="s">
        <v>7</v>
      </c>
      <c r="H3" s="142" t="s">
        <v>8</v>
      </c>
      <c r="I3" s="142"/>
      <c r="J3" s="142"/>
      <c r="K3" s="139" t="s">
        <v>9</v>
      </c>
      <c r="L3" s="144" t="s">
        <v>10</v>
      </c>
      <c r="O3" s="139" t="s">
        <v>1</v>
      </c>
      <c r="P3" s="139" t="s">
        <v>2</v>
      </c>
      <c r="Q3" s="139" t="s">
        <v>3</v>
      </c>
      <c r="R3" s="139" t="s">
        <v>4</v>
      </c>
      <c r="S3" s="139" t="s">
        <v>5</v>
      </c>
      <c r="T3" s="85" t="s">
        <v>6</v>
      </c>
      <c r="U3" s="139" t="s">
        <v>7</v>
      </c>
      <c r="V3" s="142" t="s">
        <v>8</v>
      </c>
      <c r="W3" s="142"/>
      <c r="X3" s="142"/>
      <c r="Y3" s="139" t="s">
        <v>9</v>
      </c>
      <c r="Z3" s="144" t="s">
        <v>10</v>
      </c>
    </row>
    <row r="4" spans="1:28" s="5" customFormat="1" ht="26.25" x14ac:dyDescent="0.55000000000000004">
      <c r="A4" s="139"/>
      <c r="B4" s="151"/>
      <c r="C4" s="139"/>
      <c r="D4" s="139"/>
      <c r="E4" s="139"/>
      <c r="F4" s="85" t="s">
        <v>11</v>
      </c>
      <c r="G4" s="139"/>
      <c r="H4" s="85" t="s">
        <v>12</v>
      </c>
      <c r="I4" s="86" t="s">
        <v>13</v>
      </c>
      <c r="J4" s="85" t="s">
        <v>14</v>
      </c>
      <c r="K4" s="139"/>
      <c r="L4" s="144"/>
      <c r="O4" s="139"/>
      <c r="P4" s="139"/>
      <c r="Q4" s="139"/>
      <c r="R4" s="139"/>
      <c r="S4" s="139"/>
      <c r="T4" s="85" t="s">
        <v>11</v>
      </c>
      <c r="U4" s="139"/>
      <c r="V4" s="85" t="s">
        <v>12</v>
      </c>
      <c r="W4" s="86" t="s">
        <v>13</v>
      </c>
      <c r="X4" s="85" t="s">
        <v>14</v>
      </c>
      <c r="Y4" s="139"/>
      <c r="Z4" s="144"/>
      <c r="AB4" s="5" t="s">
        <v>2</v>
      </c>
    </row>
    <row r="5" spans="1:28" ht="25.5" x14ac:dyDescent="0.55000000000000004">
      <c r="A5" s="10">
        <v>1</v>
      </c>
      <c r="B5" s="19" t="s">
        <v>15</v>
      </c>
      <c r="C5" s="79">
        <f>+'10'!G5</f>
        <v>16</v>
      </c>
      <c r="D5" s="87">
        <v>0</v>
      </c>
      <c r="E5" s="47">
        <f t="shared" ref="E5:E125" si="0">C5+D5</f>
        <v>16</v>
      </c>
      <c r="F5" s="87">
        <v>0</v>
      </c>
      <c r="G5" s="47">
        <f>+E5-F5-H5</f>
        <v>16</v>
      </c>
      <c r="H5" s="88"/>
      <c r="I5" s="15">
        <v>50</v>
      </c>
      <c r="J5" s="8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7">
        <v>0</v>
      </c>
      <c r="S5" s="47">
        <f t="shared" ref="S5:S14" si="1">Q5+R5</f>
        <v>0</v>
      </c>
      <c r="T5" s="87">
        <v>0</v>
      </c>
      <c r="U5" s="47">
        <f t="shared" ref="U5:U14" si="2">S5-T5-V5</f>
        <v>0</v>
      </c>
      <c r="V5" s="88">
        <v>0</v>
      </c>
      <c r="W5" s="22"/>
      <c r="X5" s="44">
        <f t="shared" ref="X5:X14" si="3">V5*W5</f>
        <v>0</v>
      </c>
      <c r="Y5" s="17" t="s">
        <v>16</v>
      </c>
      <c r="Z5" s="18">
        <v>0</v>
      </c>
      <c r="AB5" s="2" t="s">
        <v>317</v>
      </c>
    </row>
    <row r="6" spans="1:28" ht="25.5" x14ac:dyDescent="0.55000000000000004">
      <c r="A6" s="10">
        <v>2</v>
      </c>
      <c r="B6" s="19" t="s">
        <v>17</v>
      </c>
      <c r="C6" s="79">
        <f>+'10'!G6</f>
        <v>22</v>
      </c>
      <c r="D6" s="87">
        <v>0</v>
      </c>
      <c r="E6" s="47">
        <f t="shared" si="0"/>
        <v>22</v>
      </c>
      <c r="F6" s="87">
        <v>0</v>
      </c>
      <c r="G6" s="47">
        <f t="shared" ref="G6:G100" si="4">+E6-F6-H6</f>
        <v>20</v>
      </c>
      <c r="H6" s="88">
        <v>2</v>
      </c>
      <c r="I6" s="15">
        <v>100</v>
      </c>
      <c r="J6" s="82">
        <f t="shared" ref="J6:J100" si="5">+I6*H6</f>
        <v>200</v>
      </c>
      <c r="K6" s="17" t="s">
        <v>16</v>
      </c>
      <c r="L6" s="18">
        <v>0</v>
      </c>
      <c r="M6" s="104">
        <f t="shared" ref="M6:M69" si="6">SUM(J6-L6)</f>
        <v>200</v>
      </c>
      <c r="O6" s="10">
        <v>2</v>
      </c>
      <c r="P6" s="19"/>
      <c r="Q6" s="47">
        <v>0</v>
      </c>
      <c r="R6" s="87">
        <v>0</v>
      </c>
      <c r="S6" s="47">
        <f t="shared" si="1"/>
        <v>0</v>
      </c>
      <c r="T6" s="87">
        <v>0</v>
      </c>
      <c r="U6" s="47">
        <f t="shared" si="2"/>
        <v>0</v>
      </c>
      <c r="V6" s="88">
        <v>0</v>
      </c>
      <c r="W6" s="22"/>
      <c r="X6" s="44">
        <f t="shared" si="3"/>
        <v>0</v>
      </c>
      <c r="Y6" s="17" t="s">
        <v>16</v>
      </c>
      <c r="Z6" s="18">
        <v>0</v>
      </c>
      <c r="AB6" s="2" t="s">
        <v>318</v>
      </c>
    </row>
    <row r="7" spans="1:28" ht="25.5" x14ac:dyDescent="0.55000000000000004">
      <c r="A7" s="10">
        <v>3</v>
      </c>
      <c r="B7" s="19" t="s">
        <v>18</v>
      </c>
      <c r="C7" s="79">
        <f>+'10'!G7</f>
        <v>0</v>
      </c>
      <c r="D7" s="87">
        <v>0</v>
      </c>
      <c r="E7" s="47">
        <f>C7+D7</f>
        <v>0</v>
      </c>
      <c r="F7" s="87">
        <v>0</v>
      </c>
      <c r="G7" s="47">
        <f t="shared" si="4"/>
        <v>0</v>
      </c>
      <c r="H7" s="88"/>
      <c r="I7" s="15">
        <v>50</v>
      </c>
      <c r="J7" s="8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7">
        <v>0</v>
      </c>
      <c r="S7" s="47">
        <f t="shared" si="1"/>
        <v>0</v>
      </c>
      <c r="T7" s="87">
        <v>0</v>
      </c>
      <c r="U7" s="47">
        <f t="shared" si="2"/>
        <v>0</v>
      </c>
      <c r="V7" s="88">
        <v>0</v>
      </c>
      <c r="W7" s="22"/>
      <c r="X7" s="44">
        <f t="shared" si="3"/>
        <v>0</v>
      </c>
      <c r="Y7" s="17" t="s">
        <v>16</v>
      </c>
      <c r="Z7" s="18">
        <v>0</v>
      </c>
      <c r="AB7" s="2" t="s">
        <v>319</v>
      </c>
    </row>
    <row r="8" spans="1:28" ht="25.5" x14ac:dyDescent="0.55000000000000004">
      <c r="A8" s="10">
        <v>4</v>
      </c>
      <c r="B8" s="19" t="s">
        <v>19</v>
      </c>
      <c r="C8" s="79">
        <f>+'10'!G8</f>
        <v>0</v>
      </c>
      <c r="D8" s="87">
        <v>0</v>
      </c>
      <c r="E8" s="47">
        <f>C8+D8</f>
        <v>0</v>
      </c>
      <c r="F8" s="87">
        <v>0</v>
      </c>
      <c r="G8" s="47">
        <f t="shared" si="4"/>
        <v>0</v>
      </c>
      <c r="H8" s="88"/>
      <c r="I8" s="15">
        <v>100</v>
      </c>
      <c r="J8" s="8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7">
        <v>0</v>
      </c>
      <c r="S8" s="47">
        <f t="shared" si="1"/>
        <v>0</v>
      </c>
      <c r="T8" s="87">
        <v>0</v>
      </c>
      <c r="U8" s="47">
        <f t="shared" si="2"/>
        <v>0</v>
      </c>
      <c r="V8" s="88">
        <v>0</v>
      </c>
      <c r="W8" s="22"/>
      <c r="X8" s="44">
        <f t="shared" si="3"/>
        <v>0</v>
      </c>
      <c r="Y8" s="17" t="s">
        <v>16</v>
      </c>
      <c r="Z8" s="18">
        <v>0</v>
      </c>
      <c r="AB8" s="2" t="s">
        <v>320</v>
      </c>
    </row>
    <row r="9" spans="1:28" ht="25.5" x14ac:dyDescent="0.55000000000000004">
      <c r="A9" s="10">
        <v>5</v>
      </c>
      <c r="B9" s="19" t="s">
        <v>20</v>
      </c>
      <c r="C9" s="79">
        <f>+'10'!G9</f>
        <v>0</v>
      </c>
      <c r="D9" s="87">
        <v>0</v>
      </c>
      <c r="E9" s="47">
        <f>C9+D9</f>
        <v>0</v>
      </c>
      <c r="F9" s="87">
        <v>0</v>
      </c>
      <c r="G9" s="47">
        <f t="shared" si="4"/>
        <v>0</v>
      </c>
      <c r="H9" s="88"/>
      <c r="I9" s="15">
        <v>12</v>
      </c>
      <c r="J9" s="8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7">
        <v>0</v>
      </c>
      <c r="S9" s="47">
        <f t="shared" si="1"/>
        <v>0</v>
      </c>
      <c r="T9" s="87">
        <v>0</v>
      </c>
      <c r="U9" s="47">
        <f t="shared" si="2"/>
        <v>0</v>
      </c>
      <c r="V9" s="88">
        <v>0</v>
      </c>
      <c r="W9" s="22"/>
      <c r="X9" s="44">
        <f t="shared" si="3"/>
        <v>0</v>
      </c>
      <c r="Y9" s="17" t="s">
        <v>16</v>
      </c>
      <c r="Z9" s="18">
        <v>0</v>
      </c>
      <c r="AB9" s="2" t="s">
        <v>307</v>
      </c>
    </row>
    <row r="10" spans="1:28" ht="25.5" x14ac:dyDescent="0.55000000000000004">
      <c r="A10" s="10">
        <v>6</v>
      </c>
      <c r="B10" s="19" t="s">
        <v>21</v>
      </c>
      <c r="C10" s="79">
        <f>+'10'!G10</f>
        <v>0</v>
      </c>
      <c r="D10" s="87">
        <v>0</v>
      </c>
      <c r="E10" s="47">
        <f>C10+D10</f>
        <v>0</v>
      </c>
      <c r="F10" s="87">
        <v>0</v>
      </c>
      <c r="G10" s="47">
        <f t="shared" si="4"/>
        <v>0</v>
      </c>
      <c r="H10" s="88"/>
      <c r="I10" s="15">
        <v>15</v>
      </c>
      <c r="J10" s="8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7">
        <v>0</v>
      </c>
      <c r="S10" s="47">
        <f t="shared" si="1"/>
        <v>0</v>
      </c>
      <c r="T10" s="87">
        <v>0</v>
      </c>
      <c r="U10" s="47">
        <f t="shared" si="2"/>
        <v>0</v>
      </c>
      <c r="V10" s="88">
        <v>0</v>
      </c>
      <c r="W10" s="22"/>
      <c r="X10" s="44">
        <f t="shared" si="3"/>
        <v>0</v>
      </c>
      <c r="Y10" s="17" t="s">
        <v>16</v>
      </c>
      <c r="Z10" s="18">
        <v>0</v>
      </c>
      <c r="AB10" s="2" t="s">
        <v>311</v>
      </c>
    </row>
    <row r="11" spans="1:28" ht="25.5" x14ac:dyDescent="0.55000000000000004">
      <c r="A11" s="10">
        <v>7</v>
      </c>
      <c r="B11" s="19" t="s">
        <v>22</v>
      </c>
      <c r="C11" s="79">
        <f>+'10'!G11</f>
        <v>0</v>
      </c>
      <c r="D11" s="87">
        <v>0</v>
      </c>
      <c r="E11" s="47">
        <f t="shared" si="0"/>
        <v>0</v>
      </c>
      <c r="F11" s="87">
        <v>0</v>
      </c>
      <c r="G11" s="47">
        <f t="shared" si="4"/>
        <v>0</v>
      </c>
      <c r="H11" s="88"/>
      <c r="I11" s="15">
        <v>40</v>
      </c>
      <c r="J11" s="8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7">
        <v>0</v>
      </c>
      <c r="S11" s="47">
        <f t="shared" si="1"/>
        <v>0</v>
      </c>
      <c r="T11" s="87">
        <v>0</v>
      </c>
      <c r="U11" s="47">
        <f t="shared" si="2"/>
        <v>0</v>
      </c>
      <c r="V11" s="88">
        <v>0</v>
      </c>
      <c r="W11" s="22"/>
      <c r="X11" s="44">
        <f t="shared" si="3"/>
        <v>0</v>
      </c>
      <c r="Y11" s="17" t="s">
        <v>16</v>
      </c>
      <c r="Z11" s="18">
        <v>0</v>
      </c>
      <c r="AB11" s="2" t="s">
        <v>321</v>
      </c>
    </row>
    <row r="12" spans="1:28" ht="25.5" x14ac:dyDescent="0.55000000000000004">
      <c r="A12" s="10">
        <v>8</v>
      </c>
      <c r="B12" s="19" t="s">
        <v>23</v>
      </c>
      <c r="C12" s="79">
        <f>+'10'!G12</f>
        <v>0</v>
      </c>
      <c r="D12" s="87">
        <v>0</v>
      </c>
      <c r="E12" s="47">
        <f t="shared" si="0"/>
        <v>0</v>
      </c>
      <c r="F12" s="87">
        <v>0</v>
      </c>
      <c r="G12" s="47">
        <f t="shared" si="4"/>
        <v>0</v>
      </c>
      <c r="H12" s="88"/>
      <c r="I12" s="20">
        <v>50</v>
      </c>
      <c r="J12" s="8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7">
        <v>0</v>
      </c>
      <c r="S12" s="47">
        <f t="shared" si="1"/>
        <v>0</v>
      </c>
      <c r="T12" s="87">
        <v>0</v>
      </c>
      <c r="U12" s="47">
        <f t="shared" si="2"/>
        <v>0</v>
      </c>
      <c r="V12" s="88">
        <v>0</v>
      </c>
      <c r="W12" s="22"/>
      <c r="X12" s="44">
        <f t="shared" si="3"/>
        <v>0</v>
      </c>
      <c r="Y12" s="17" t="s">
        <v>16</v>
      </c>
      <c r="Z12" s="18">
        <v>0</v>
      </c>
      <c r="AB12" s="2" t="s">
        <v>289</v>
      </c>
    </row>
    <row r="13" spans="1:28" ht="25.5" x14ac:dyDescent="0.55000000000000004">
      <c r="A13" s="10">
        <v>9</v>
      </c>
      <c r="B13" s="19" t="s">
        <v>24</v>
      </c>
      <c r="C13" s="79">
        <f>+'10'!G13</f>
        <v>0</v>
      </c>
      <c r="D13" s="87">
        <v>0</v>
      </c>
      <c r="E13" s="47">
        <f>C13+D13</f>
        <v>0</v>
      </c>
      <c r="F13" s="87">
        <v>0</v>
      </c>
      <c r="G13" s="47">
        <f t="shared" si="4"/>
        <v>0</v>
      </c>
      <c r="H13" s="88"/>
      <c r="I13" s="20">
        <v>55</v>
      </c>
      <c r="J13" s="8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7">
        <v>0</v>
      </c>
      <c r="S13" s="47">
        <f t="shared" si="1"/>
        <v>0</v>
      </c>
      <c r="T13" s="87">
        <v>0</v>
      </c>
      <c r="U13" s="47">
        <f t="shared" si="2"/>
        <v>0</v>
      </c>
      <c r="V13" s="88">
        <v>0</v>
      </c>
      <c r="W13" s="22"/>
      <c r="X13" s="44">
        <f t="shared" si="3"/>
        <v>0</v>
      </c>
      <c r="Y13" s="17" t="s">
        <v>16</v>
      </c>
      <c r="Z13" s="18">
        <v>0</v>
      </c>
      <c r="AB13" s="2" t="s">
        <v>322</v>
      </c>
    </row>
    <row r="14" spans="1:28" ht="25.5" x14ac:dyDescent="0.55000000000000004">
      <c r="A14" s="10">
        <v>10</v>
      </c>
      <c r="B14" s="19" t="s">
        <v>25</v>
      </c>
      <c r="C14" s="79">
        <f>+'10'!G14</f>
        <v>2</v>
      </c>
      <c r="D14" s="87">
        <v>0</v>
      </c>
      <c r="E14" s="47">
        <f t="shared" si="0"/>
        <v>2</v>
      </c>
      <c r="F14" s="87">
        <v>1</v>
      </c>
      <c r="G14" s="47">
        <f t="shared" si="4"/>
        <v>0</v>
      </c>
      <c r="H14" s="88">
        <v>1</v>
      </c>
      <c r="I14" s="20">
        <v>65</v>
      </c>
      <c r="J14" s="82">
        <f t="shared" si="5"/>
        <v>65</v>
      </c>
      <c r="K14" s="17" t="s">
        <v>16</v>
      </c>
      <c r="L14" s="18">
        <v>0</v>
      </c>
      <c r="M14" s="104">
        <f t="shared" si="6"/>
        <v>65</v>
      </c>
      <c r="O14" s="10">
        <v>10</v>
      </c>
      <c r="P14" s="19"/>
      <c r="Q14" s="47">
        <v>0</v>
      </c>
      <c r="R14" s="87">
        <v>0</v>
      </c>
      <c r="S14" s="47">
        <f t="shared" si="1"/>
        <v>0</v>
      </c>
      <c r="T14" s="87">
        <v>0</v>
      </c>
      <c r="U14" s="47">
        <f t="shared" si="2"/>
        <v>0</v>
      </c>
      <c r="V14" s="88">
        <v>0</v>
      </c>
      <c r="W14" s="22"/>
      <c r="X14" s="44">
        <f t="shared" si="3"/>
        <v>0</v>
      </c>
      <c r="Y14" s="17" t="s">
        <v>16</v>
      </c>
      <c r="Z14" s="18">
        <v>0</v>
      </c>
      <c r="AB14" s="2" t="s">
        <v>306</v>
      </c>
    </row>
    <row r="15" spans="1:28" ht="25.5" x14ac:dyDescent="0.55000000000000004">
      <c r="A15" s="10">
        <v>11</v>
      </c>
      <c r="B15" s="19" t="s">
        <v>26</v>
      </c>
      <c r="C15" s="79">
        <f>+'10'!G15</f>
        <v>0</v>
      </c>
      <c r="D15" s="87">
        <v>0</v>
      </c>
      <c r="E15" s="47">
        <f t="shared" si="0"/>
        <v>0</v>
      </c>
      <c r="F15" s="87">
        <v>0</v>
      </c>
      <c r="G15" s="47">
        <f t="shared" si="4"/>
        <v>0</v>
      </c>
      <c r="H15" s="88"/>
      <c r="I15" s="20">
        <v>50</v>
      </c>
      <c r="J15" s="8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7">
        <v>0</v>
      </c>
      <c r="S15" s="47">
        <f t="shared" ref="S15:S29" si="7">Q15+R15</f>
        <v>0</v>
      </c>
      <c r="T15" s="87">
        <v>0</v>
      </c>
      <c r="U15" s="47">
        <f t="shared" ref="U15:U29" si="8">S15-T15-V15</f>
        <v>0</v>
      </c>
      <c r="V15" s="88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8" ht="25.5" x14ac:dyDescent="0.55000000000000004">
      <c r="A16" s="10">
        <v>12</v>
      </c>
      <c r="B16" s="19" t="s">
        <v>27</v>
      </c>
      <c r="C16" s="79">
        <f>+'10'!G16</f>
        <v>0</v>
      </c>
      <c r="D16" s="87">
        <v>0</v>
      </c>
      <c r="E16" s="47">
        <f t="shared" si="0"/>
        <v>0</v>
      </c>
      <c r="F16" s="87">
        <v>0</v>
      </c>
      <c r="G16" s="47">
        <f t="shared" si="4"/>
        <v>0</v>
      </c>
      <c r="H16" s="88"/>
      <c r="I16" s="15">
        <v>50</v>
      </c>
      <c r="J16" s="8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7">
        <v>0</v>
      </c>
      <c r="S16" s="47">
        <f t="shared" si="7"/>
        <v>0</v>
      </c>
      <c r="T16" s="87">
        <v>0</v>
      </c>
      <c r="U16" s="47">
        <f t="shared" si="8"/>
        <v>0</v>
      </c>
      <c r="V16" s="88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+'10'!G17</f>
        <v>0</v>
      </c>
      <c r="D17" s="87">
        <v>0</v>
      </c>
      <c r="E17" s="47">
        <f t="shared" si="0"/>
        <v>0</v>
      </c>
      <c r="F17" s="87">
        <v>0</v>
      </c>
      <c r="G17" s="47">
        <f t="shared" si="4"/>
        <v>0</v>
      </c>
      <c r="H17" s="88"/>
      <c r="I17" s="15">
        <v>50</v>
      </c>
      <c r="J17" s="8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7">
        <v>0</v>
      </c>
      <c r="S17" s="47">
        <f t="shared" si="7"/>
        <v>0</v>
      </c>
      <c r="T17" s="87">
        <v>0</v>
      </c>
      <c r="U17" s="47">
        <f t="shared" si="8"/>
        <v>0</v>
      </c>
      <c r="V17" s="88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+'10'!G18</f>
        <v>0</v>
      </c>
      <c r="D18" s="87">
        <v>0</v>
      </c>
      <c r="E18" s="47">
        <f t="shared" si="0"/>
        <v>0</v>
      </c>
      <c r="F18" s="87">
        <v>0</v>
      </c>
      <c r="G18" s="47">
        <f t="shared" si="4"/>
        <v>0</v>
      </c>
      <c r="H18" s="88"/>
      <c r="I18" s="20">
        <v>50</v>
      </c>
      <c r="J18" s="8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7">
        <v>0</v>
      </c>
      <c r="S18" s="47">
        <f t="shared" si="7"/>
        <v>0</v>
      </c>
      <c r="T18" s="87">
        <v>0</v>
      </c>
      <c r="U18" s="47">
        <f t="shared" si="8"/>
        <v>0</v>
      </c>
      <c r="V18" s="88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329</v>
      </c>
      <c r="C19" s="79">
        <f>+'10'!G19</f>
        <v>0</v>
      </c>
      <c r="D19" s="87">
        <v>0</v>
      </c>
      <c r="E19" s="47">
        <f t="shared" si="0"/>
        <v>0</v>
      </c>
      <c r="F19" s="87">
        <v>0</v>
      </c>
      <c r="G19" s="47">
        <f t="shared" si="4"/>
        <v>0</v>
      </c>
      <c r="H19" s="88"/>
      <c r="I19" s="15">
        <v>50</v>
      </c>
      <c r="J19" s="8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7">
        <v>0</v>
      </c>
      <c r="S19" s="47">
        <f t="shared" si="7"/>
        <v>0</v>
      </c>
      <c r="T19" s="87">
        <v>0</v>
      </c>
      <c r="U19" s="47">
        <f t="shared" si="8"/>
        <v>0</v>
      </c>
      <c r="V19" s="88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+'10'!G20</f>
        <v>0</v>
      </c>
      <c r="D20" s="87">
        <v>0</v>
      </c>
      <c r="E20" s="47">
        <f t="shared" si="0"/>
        <v>0</v>
      </c>
      <c r="F20" s="87">
        <v>0</v>
      </c>
      <c r="G20" s="47">
        <f t="shared" si="4"/>
        <v>0</v>
      </c>
      <c r="H20" s="88"/>
      <c r="I20" s="15">
        <v>50</v>
      </c>
      <c r="J20" s="8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7">
        <v>0</v>
      </c>
      <c r="S20" s="47">
        <f t="shared" si="7"/>
        <v>0</v>
      </c>
      <c r="T20" s="87">
        <v>0</v>
      </c>
      <c r="U20" s="47">
        <f t="shared" si="8"/>
        <v>0</v>
      </c>
      <c r="V20" s="88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+'10'!G21</f>
        <v>0</v>
      </c>
      <c r="D21" s="87">
        <v>0</v>
      </c>
      <c r="E21" s="47">
        <f t="shared" si="0"/>
        <v>0</v>
      </c>
      <c r="F21" s="87">
        <v>0</v>
      </c>
      <c r="G21" s="47">
        <f t="shared" si="4"/>
        <v>0</v>
      </c>
      <c r="H21" s="88"/>
      <c r="I21" s="15">
        <v>50</v>
      </c>
      <c r="J21" s="8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7">
        <v>0</v>
      </c>
      <c r="S21" s="47">
        <f t="shared" si="7"/>
        <v>0</v>
      </c>
      <c r="T21" s="87">
        <v>0</v>
      </c>
      <c r="U21" s="47">
        <f t="shared" si="8"/>
        <v>0</v>
      </c>
      <c r="V21" s="88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+'10'!G22</f>
        <v>5</v>
      </c>
      <c r="D22" s="87">
        <v>0</v>
      </c>
      <c r="E22" s="47">
        <f t="shared" si="0"/>
        <v>5</v>
      </c>
      <c r="F22" s="87">
        <v>0</v>
      </c>
      <c r="G22" s="47">
        <f t="shared" si="4"/>
        <v>4</v>
      </c>
      <c r="H22" s="88">
        <v>1</v>
      </c>
      <c r="I22" s="15">
        <v>85</v>
      </c>
      <c r="J22" s="82">
        <f t="shared" si="5"/>
        <v>85</v>
      </c>
      <c r="K22" s="17" t="s">
        <v>16</v>
      </c>
      <c r="L22" s="18">
        <v>0</v>
      </c>
      <c r="M22" s="104">
        <f t="shared" si="6"/>
        <v>85</v>
      </c>
      <c r="O22" s="10">
        <v>18</v>
      </c>
      <c r="P22" s="19"/>
      <c r="Q22" s="47">
        <v>0</v>
      </c>
      <c r="R22" s="87">
        <v>0</v>
      </c>
      <c r="S22" s="47">
        <f t="shared" si="7"/>
        <v>0</v>
      </c>
      <c r="T22" s="87">
        <v>0</v>
      </c>
      <c r="U22" s="47">
        <f t="shared" si="8"/>
        <v>0</v>
      </c>
      <c r="V22" s="88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+'10'!G23</f>
        <v>10</v>
      </c>
      <c r="D23" s="87">
        <v>0</v>
      </c>
      <c r="E23" s="47">
        <f t="shared" si="0"/>
        <v>10</v>
      </c>
      <c r="F23" s="87">
        <v>0</v>
      </c>
      <c r="G23" s="47">
        <f t="shared" si="4"/>
        <v>9</v>
      </c>
      <c r="H23" s="88">
        <v>1</v>
      </c>
      <c r="I23" s="15">
        <v>100</v>
      </c>
      <c r="J23" s="82">
        <f t="shared" si="5"/>
        <v>100</v>
      </c>
      <c r="K23" s="17" t="s">
        <v>16</v>
      </c>
      <c r="L23" s="18">
        <v>0</v>
      </c>
      <c r="M23" s="104">
        <f t="shared" si="6"/>
        <v>100</v>
      </c>
      <c r="O23" s="10">
        <v>19</v>
      </c>
      <c r="P23" s="19"/>
      <c r="Q23" s="47">
        <v>0</v>
      </c>
      <c r="R23" s="87">
        <v>0</v>
      </c>
      <c r="S23" s="47">
        <f t="shared" si="7"/>
        <v>0</v>
      </c>
      <c r="T23" s="87">
        <v>0</v>
      </c>
      <c r="U23" s="47">
        <f t="shared" si="8"/>
        <v>0</v>
      </c>
      <c r="V23" s="88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+'10'!G24</f>
        <v>6</v>
      </c>
      <c r="D24" s="87">
        <v>0</v>
      </c>
      <c r="E24" s="47">
        <f t="shared" si="0"/>
        <v>6</v>
      </c>
      <c r="F24" s="87">
        <v>0</v>
      </c>
      <c r="G24" s="47">
        <f t="shared" si="4"/>
        <v>6</v>
      </c>
      <c r="H24" s="88"/>
      <c r="I24" s="21">
        <v>100</v>
      </c>
      <c r="J24" s="8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7">
        <v>0</v>
      </c>
      <c r="S24" s="47">
        <f t="shared" si="7"/>
        <v>0</v>
      </c>
      <c r="T24" s="87">
        <v>0</v>
      </c>
      <c r="U24" s="47">
        <f t="shared" si="8"/>
        <v>0</v>
      </c>
      <c r="V24" s="88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+'10'!G25</f>
        <v>0</v>
      </c>
      <c r="D25" s="87">
        <v>0</v>
      </c>
      <c r="E25" s="47">
        <f t="shared" si="0"/>
        <v>0</v>
      </c>
      <c r="F25" s="87">
        <v>0</v>
      </c>
      <c r="G25" s="47">
        <f t="shared" si="4"/>
        <v>0</v>
      </c>
      <c r="H25" s="88"/>
      <c r="I25" s="21">
        <v>100</v>
      </c>
      <c r="J25" s="8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7">
        <v>0</v>
      </c>
      <c r="S25" s="47">
        <f t="shared" si="7"/>
        <v>0</v>
      </c>
      <c r="T25" s="87">
        <v>0</v>
      </c>
      <c r="U25" s="47">
        <f t="shared" si="8"/>
        <v>0</v>
      </c>
      <c r="V25" s="88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+'10'!G26</f>
        <v>1</v>
      </c>
      <c r="D26" s="87">
        <v>0</v>
      </c>
      <c r="E26" s="47">
        <f t="shared" si="0"/>
        <v>1</v>
      </c>
      <c r="F26" s="87">
        <v>1</v>
      </c>
      <c r="G26" s="47">
        <f t="shared" si="4"/>
        <v>0</v>
      </c>
      <c r="H26" s="88"/>
      <c r="I26" s="21">
        <v>100</v>
      </c>
      <c r="J26" s="8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7">
        <v>0</v>
      </c>
      <c r="S26" s="47">
        <f t="shared" si="7"/>
        <v>0</v>
      </c>
      <c r="T26" s="87">
        <v>0</v>
      </c>
      <c r="U26" s="47">
        <f t="shared" si="8"/>
        <v>0</v>
      </c>
      <c r="V26" s="88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+'10'!G27</f>
        <v>0</v>
      </c>
      <c r="D27" s="87">
        <v>0</v>
      </c>
      <c r="E27" s="47">
        <f t="shared" si="0"/>
        <v>0</v>
      </c>
      <c r="F27" s="87">
        <v>0</v>
      </c>
      <c r="G27" s="47">
        <f t="shared" si="4"/>
        <v>0</v>
      </c>
      <c r="H27" s="88"/>
      <c r="I27" s="20">
        <v>100</v>
      </c>
      <c r="J27" s="8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7">
        <v>0</v>
      </c>
      <c r="S27" s="47">
        <f t="shared" si="7"/>
        <v>0</v>
      </c>
      <c r="T27" s="87">
        <v>0</v>
      </c>
      <c r="U27" s="47">
        <f t="shared" si="8"/>
        <v>0</v>
      </c>
      <c r="V27" s="88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+'10'!G28</f>
        <v>0</v>
      </c>
      <c r="D28" s="87">
        <v>0</v>
      </c>
      <c r="E28" s="47">
        <f t="shared" si="0"/>
        <v>0</v>
      </c>
      <c r="F28" s="87">
        <v>0</v>
      </c>
      <c r="G28" s="47">
        <f t="shared" si="4"/>
        <v>0</v>
      </c>
      <c r="H28" s="88"/>
      <c r="I28" s="20">
        <v>100</v>
      </c>
      <c r="J28" s="8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7">
        <v>0</v>
      </c>
      <c r="S28" s="47">
        <f t="shared" si="7"/>
        <v>0</v>
      </c>
      <c r="T28" s="87">
        <v>0</v>
      </c>
      <c r="U28" s="47">
        <f t="shared" si="8"/>
        <v>0</v>
      </c>
      <c r="V28" s="88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+'10'!G29</f>
        <v>11</v>
      </c>
      <c r="D29" s="87">
        <v>0</v>
      </c>
      <c r="E29" s="47">
        <f t="shared" si="0"/>
        <v>11</v>
      </c>
      <c r="F29" s="87">
        <v>1</v>
      </c>
      <c r="G29" s="47">
        <f t="shared" si="4"/>
        <v>8</v>
      </c>
      <c r="H29" s="88">
        <v>2</v>
      </c>
      <c r="I29" s="15">
        <v>100</v>
      </c>
      <c r="J29" s="82">
        <f t="shared" si="5"/>
        <v>200</v>
      </c>
      <c r="K29" s="17" t="s">
        <v>16</v>
      </c>
      <c r="L29" s="18">
        <v>0</v>
      </c>
      <c r="M29" s="104">
        <f t="shared" si="6"/>
        <v>200</v>
      </c>
      <c r="O29" s="10">
        <v>25</v>
      </c>
      <c r="P29" s="19"/>
      <c r="Q29" s="47">
        <v>0</v>
      </c>
      <c r="R29" s="87">
        <v>0</v>
      </c>
      <c r="S29" s="47">
        <f t="shared" si="7"/>
        <v>0</v>
      </c>
      <c r="T29" s="87">
        <v>0</v>
      </c>
      <c r="U29" s="47">
        <f t="shared" si="8"/>
        <v>0</v>
      </c>
      <c r="V29" s="88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+'10'!G30</f>
        <v>0</v>
      </c>
      <c r="D30" s="87">
        <v>0</v>
      </c>
      <c r="E30" s="47">
        <f t="shared" si="0"/>
        <v>0</v>
      </c>
      <c r="F30" s="87">
        <v>0</v>
      </c>
      <c r="G30" s="47">
        <f t="shared" si="4"/>
        <v>0</v>
      </c>
      <c r="H30" s="88"/>
      <c r="I30" s="15">
        <v>100</v>
      </c>
      <c r="J30" s="8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+'10'!G31</f>
        <v>2</v>
      </c>
      <c r="D31" s="87">
        <v>0</v>
      </c>
      <c r="E31" s="47">
        <f t="shared" si="0"/>
        <v>2</v>
      </c>
      <c r="F31" s="87">
        <v>0</v>
      </c>
      <c r="G31" s="47">
        <f t="shared" si="4"/>
        <v>2</v>
      </c>
      <c r="H31" s="88"/>
      <c r="I31" s="15">
        <v>100</v>
      </c>
      <c r="J31" s="82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+'10'!G32</f>
        <v>0</v>
      </c>
      <c r="D32" s="87">
        <v>0</v>
      </c>
      <c r="E32" s="47">
        <f t="shared" si="0"/>
        <v>0</v>
      </c>
      <c r="F32" s="87">
        <v>0</v>
      </c>
      <c r="G32" s="47">
        <f t="shared" si="4"/>
        <v>0</v>
      </c>
      <c r="H32" s="88"/>
      <c r="I32" s="15">
        <v>130</v>
      </c>
      <c r="J32" s="82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5" t="s">
        <v>119</v>
      </c>
      <c r="Q32" s="146"/>
      <c r="R32" s="146"/>
      <c r="S32" s="146"/>
      <c r="T32" s="146"/>
      <c r="U32" s="146"/>
      <c r="V32" s="146"/>
      <c r="W32" s="147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+'10'!G33</f>
        <v>5</v>
      </c>
      <c r="D33" s="87">
        <v>0</v>
      </c>
      <c r="E33" s="47">
        <f t="shared" si="0"/>
        <v>5</v>
      </c>
      <c r="F33" s="87">
        <v>0</v>
      </c>
      <c r="G33" s="47">
        <f t="shared" si="4"/>
        <v>5</v>
      </c>
      <c r="H33" s="88"/>
      <c r="I33" s="15">
        <v>130</v>
      </c>
      <c r="J33" s="82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+'10'!G34</f>
        <v>8</v>
      </c>
      <c r="D34" s="87">
        <v>0</v>
      </c>
      <c r="E34" s="47">
        <f t="shared" si="0"/>
        <v>8</v>
      </c>
      <c r="F34" s="87">
        <v>0</v>
      </c>
      <c r="G34" s="47">
        <f t="shared" si="4"/>
        <v>8</v>
      </c>
      <c r="H34" s="88"/>
      <c r="I34" s="15">
        <v>130</v>
      </c>
      <c r="J34" s="82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+'10'!G35</f>
        <v>0</v>
      </c>
      <c r="D35" s="87">
        <v>0</v>
      </c>
      <c r="E35" s="47">
        <f t="shared" si="0"/>
        <v>0</v>
      </c>
      <c r="F35" s="87">
        <v>0</v>
      </c>
      <c r="G35" s="47">
        <f t="shared" si="4"/>
        <v>0</v>
      </c>
      <c r="H35" s="88"/>
      <c r="I35" s="15">
        <v>130</v>
      </c>
      <c r="J35" s="82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+'10'!G36</f>
        <v>0</v>
      </c>
      <c r="D36" s="87">
        <v>0</v>
      </c>
      <c r="E36" s="47">
        <f t="shared" si="0"/>
        <v>0</v>
      </c>
      <c r="F36" s="87">
        <v>0</v>
      </c>
      <c r="G36" s="47">
        <f t="shared" si="4"/>
        <v>0</v>
      </c>
      <c r="H36" s="88"/>
      <c r="I36" s="15">
        <v>100</v>
      </c>
      <c r="J36" s="82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+'10'!G37</f>
        <v>15</v>
      </c>
      <c r="D37" s="87">
        <v>0</v>
      </c>
      <c r="E37" s="47">
        <f t="shared" si="0"/>
        <v>15</v>
      </c>
      <c r="F37" s="87">
        <v>0</v>
      </c>
      <c r="G37" s="47">
        <f t="shared" si="4"/>
        <v>0</v>
      </c>
      <c r="H37" s="88">
        <f>9+6</f>
        <v>15</v>
      </c>
      <c r="I37" s="15">
        <v>100</v>
      </c>
      <c r="J37" s="82">
        <f t="shared" si="5"/>
        <v>1500</v>
      </c>
      <c r="K37" s="17" t="s">
        <v>325</v>
      </c>
      <c r="L37" s="18">
        <v>450</v>
      </c>
      <c r="M37" s="104">
        <f t="shared" si="6"/>
        <v>1050</v>
      </c>
    </row>
    <row r="38" spans="1:13" ht="25.5" x14ac:dyDescent="0.55000000000000004">
      <c r="A38" s="10">
        <v>34</v>
      </c>
      <c r="B38" s="19" t="s">
        <v>49</v>
      </c>
      <c r="C38" s="79">
        <f>+'10'!G38</f>
        <v>5</v>
      </c>
      <c r="D38" s="87">
        <v>0</v>
      </c>
      <c r="E38" s="47">
        <f t="shared" si="0"/>
        <v>5</v>
      </c>
      <c r="F38" s="87">
        <v>0</v>
      </c>
      <c r="G38" s="47">
        <f t="shared" si="4"/>
        <v>5</v>
      </c>
      <c r="H38" s="88"/>
      <c r="I38" s="15">
        <v>50</v>
      </c>
      <c r="J38" s="82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+'10'!G39</f>
        <v>5</v>
      </c>
      <c r="D39" s="87">
        <v>0</v>
      </c>
      <c r="E39" s="47">
        <f t="shared" si="0"/>
        <v>5</v>
      </c>
      <c r="F39" s="87">
        <v>0</v>
      </c>
      <c r="G39" s="47">
        <f t="shared" si="4"/>
        <v>5</v>
      </c>
      <c r="H39" s="88"/>
      <c r="I39" s="15">
        <v>50</v>
      </c>
      <c r="J39" s="82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+'10'!G40</f>
        <v>5</v>
      </c>
      <c r="D40" s="87">
        <v>0</v>
      </c>
      <c r="E40" s="47">
        <f t="shared" si="0"/>
        <v>5</v>
      </c>
      <c r="F40" s="87">
        <v>0</v>
      </c>
      <c r="G40" s="47">
        <f t="shared" si="4"/>
        <v>4</v>
      </c>
      <c r="H40" s="88">
        <v>1</v>
      </c>
      <c r="I40" s="15">
        <v>50</v>
      </c>
      <c r="J40" s="82">
        <f t="shared" si="5"/>
        <v>50</v>
      </c>
      <c r="K40" s="17" t="s">
        <v>16</v>
      </c>
      <c r="L40" s="18">
        <v>0</v>
      </c>
      <c r="M40" s="104">
        <f t="shared" si="6"/>
        <v>50</v>
      </c>
    </row>
    <row r="41" spans="1:13" ht="25.5" x14ac:dyDescent="0.55000000000000004">
      <c r="A41" s="10">
        <v>37</v>
      </c>
      <c r="B41" s="19" t="s">
        <v>52</v>
      </c>
      <c r="C41" s="79">
        <f>+'10'!G41</f>
        <v>0</v>
      </c>
      <c r="D41" s="87">
        <v>0</v>
      </c>
      <c r="E41" s="47">
        <f t="shared" si="0"/>
        <v>0</v>
      </c>
      <c r="F41" s="87">
        <v>0</v>
      </c>
      <c r="G41" s="47">
        <f t="shared" si="4"/>
        <v>0</v>
      </c>
      <c r="H41" s="88"/>
      <c r="I41" s="15">
        <v>50</v>
      </c>
      <c r="J41" s="82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285</v>
      </c>
      <c r="C42" s="79">
        <f>+'10'!G42</f>
        <v>0</v>
      </c>
      <c r="D42" s="87">
        <v>0</v>
      </c>
      <c r="E42" s="47">
        <f t="shared" si="0"/>
        <v>0</v>
      </c>
      <c r="F42" s="87">
        <v>0</v>
      </c>
      <c r="G42" s="47">
        <f t="shared" si="4"/>
        <v>0</v>
      </c>
      <c r="H42" s="88"/>
      <c r="I42" s="15">
        <v>50</v>
      </c>
      <c r="J42" s="82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+'10'!G43</f>
        <v>1</v>
      </c>
      <c r="D43" s="87">
        <v>0</v>
      </c>
      <c r="E43" s="47">
        <f t="shared" si="0"/>
        <v>1</v>
      </c>
      <c r="F43" s="87">
        <v>0</v>
      </c>
      <c r="G43" s="47">
        <f t="shared" si="4"/>
        <v>1</v>
      </c>
      <c r="H43" s="88"/>
      <c r="I43" s="15">
        <v>50</v>
      </c>
      <c r="J43" s="82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+'10'!G44</f>
        <v>0</v>
      </c>
      <c r="D44" s="87">
        <v>0</v>
      </c>
      <c r="E44" s="47">
        <f t="shared" si="0"/>
        <v>0</v>
      </c>
      <c r="F44" s="87">
        <v>0</v>
      </c>
      <c r="G44" s="47">
        <f t="shared" si="4"/>
        <v>0</v>
      </c>
      <c r="H44" s="88"/>
      <c r="I44" s="15">
        <v>50</v>
      </c>
      <c r="J44" s="82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+'10'!G45</f>
        <v>0</v>
      </c>
      <c r="D45" s="87">
        <v>0</v>
      </c>
      <c r="E45" s="47">
        <f t="shared" si="0"/>
        <v>0</v>
      </c>
      <c r="F45" s="87">
        <v>0</v>
      </c>
      <c r="G45" s="47">
        <f t="shared" si="4"/>
        <v>0</v>
      </c>
      <c r="H45" s="88"/>
      <c r="I45" s="15">
        <v>50</v>
      </c>
      <c r="J45" s="82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286</v>
      </c>
      <c r="C46" s="79">
        <f>+'10'!G46</f>
        <v>0</v>
      </c>
      <c r="D46" s="87">
        <v>0</v>
      </c>
      <c r="E46" s="47">
        <f t="shared" si="0"/>
        <v>0</v>
      </c>
      <c r="F46" s="87">
        <v>0</v>
      </c>
      <c r="G46" s="47">
        <f t="shared" si="4"/>
        <v>0</v>
      </c>
      <c r="H46" s="88"/>
      <c r="I46" s="15">
        <v>50</v>
      </c>
      <c r="J46" s="82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+'10'!G47</f>
        <v>0</v>
      </c>
      <c r="D47" s="87">
        <v>0</v>
      </c>
      <c r="E47" s="47">
        <f t="shared" si="0"/>
        <v>0</v>
      </c>
      <c r="F47" s="87">
        <v>0</v>
      </c>
      <c r="G47" s="47">
        <f t="shared" si="4"/>
        <v>0</v>
      </c>
      <c r="H47" s="88"/>
      <c r="I47" s="15">
        <v>50</v>
      </c>
      <c r="J47" s="82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v>2</v>
      </c>
      <c r="D48" s="87">
        <v>0</v>
      </c>
      <c r="E48" s="47">
        <f t="shared" si="0"/>
        <v>2</v>
      </c>
      <c r="F48" s="87">
        <v>0</v>
      </c>
      <c r="G48" s="47">
        <f t="shared" si="4"/>
        <v>2</v>
      </c>
      <c r="H48" s="88"/>
      <c r="I48" s="15">
        <v>50</v>
      </c>
      <c r="J48" s="82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+'10'!G49</f>
        <v>0</v>
      </c>
      <c r="D49" s="87">
        <v>0</v>
      </c>
      <c r="E49" s="47">
        <f t="shared" si="0"/>
        <v>0</v>
      </c>
      <c r="F49" s="87">
        <v>0</v>
      </c>
      <c r="G49" s="47">
        <f t="shared" si="4"/>
        <v>0</v>
      </c>
      <c r="H49" s="88"/>
      <c r="I49" s="15">
        <v>50</v>
      </c>
      <c r="J49" s="82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+'10'!G50</f>
        <v>4</v>
      </c>
      <c r="D50" s="87">
        <v>0</v>
      </c>
      <c r="E50" s="47">
        <f t="shared" si="0"/>
        <v>4</v>
      </c>
      <c r="F50" s="87">
        <v>0</v>
      </c>
      <c r="G50" s="47">
        <f t="shared" si="4"/>
        <v>4</v>
      </c>
      <c r="H50" s="88"/>
      <c r="I50" s="15">
        <v>120</v>
      </c>
      <c r="J50" s="82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+'10'!G51</f>
        <v>1</v>
      </c>
      <c r="D51" s="87">
        <v>0</v>
      </c>
      <c r="E51" s="47">
        <f t="shared" si="0"/>
        <v>1</v>
      </c>
      <c r="F51" s="87">
        <v>0</v>
      </c>
      <c r="G51" s="47">
        <f t="shared" si="4"/>
        <v>1</v>
      </c>
      <c r="H51" s="88"/>
      <c r="I51" s="15">
        <v>120</v>
      </c>
      <c r="J51" s="82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+'10'!G52</f>
        <v>0</v>
      </c>
      <c r="D52" s="87">
        <v>0</v>
      </c>
      <c r="E52" s="47">
        <f t="shared" si="0"/>
        <v>0</v>
      </c>
      <c r="F52" s="87">
        <v>0</v>
      </c>
      <c r="G52" s="47">
        <f t="shared" si="4"/>
        <v>0</v>
      </c>
      <c r="H52" s="88"/>
      <c r="I52" s="21">
        <v>120</v>
      </c>
      <c r="J52" s="82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+'10'!G53</f>
        <v>0</v>
      </c>
      <c r="D53" s="87">
        <v>0</v>
      </c>
      <c r="E53" s="47">
        <f t="shared" si="0"/>
        <v>0</v>
      </c>
      <c r="F53" s="87">
        <v>0</v>
      </c>
      <c r="G53" s="47">
        <f t="shared" si="4"/>
        <v>0</v>
      </c>
      <c r="H53" s="88"/>
      <c r="I53" s="15">
        <v>120</v>
      </c>
      <c r="J53" s="82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+'10'!G54</f>
        <v>0</v>
      </c>
      <c r="D54" s="87">
        <v>0</v>
      </c>
      <c r="E54" s="47">
        <f t="shared" si="0"/>
        <v>0</v>
      </c>
      <c r="F54" s="87">
        <v>0</v>
      </c>
      <c r="G54" s="47">
        <f t="shared" si="4"/>
        <v>0</v>
      </c>
      <c r="H54" s="88"/>
      <c r="I54" s="15">
        <v>120</v>
      </c>
      <c r="J54" s="82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v>1</v>
      </c>
      <c r="D55" s="87">
        <v>0</v>
      </c>
      <c r="E55" s="47">
        <f t="shared" si="0"/>
        <v>1</v>
      </c>
      <c r="F55" s="87">
        <v>1</v>
      </c>
      <c r="G55" s="47">
        <f t="shared" si="4"/>
        <v>0</v>
      </c>
      <c r="H55" s="88"/>
      <c r="I55" s="21">
        <v>120</v>
      </c>
      <c r="J55" s="82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v>1</v>
      </c>
      <c r="D56" s="87">
        <v>0</v>
      </c>
      <c r="E56" s="47">
        <f t="shared" si="0"/>
        <v>1</v>
      </c>
      <c r="F56" s="87">
        <v>0</v>
      </c>
      <c r="G56" s="47">
        <f t="shared" si="4"/>
        <v>1</v>
      </c>
      <c r="H56" s="88"/>
      <c r="I56" s="21">
        <v>120</v>
      </c>
      <c r="J56" s="82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+'10'!G57</f>
        <v>4</v>
      </c>
      <c r="D57" s="87">
        <v>0</v>
      </c>
      <c r="E57" s="47">
        <f t="shared" si="0"/>
        <v>4</v>
      </c>
      <c r="F57" s="87">
        <v>4</v>
      </c>
      <c r="G57" s="47">
        <f t="shared" si="4"/>
        <v>0</v>
      </c>
      <c r="H57" s="88"/>
      <c r="I57" s="21">
        <v>120</v>
      </c>
      <c r="J57" s="82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+'10'!G58</f>
        <v>0</v>
      </c>
      <c r="D58" s="87">
        <v>0</v>
      </c>
      <c r="E58" s="47">
        <f t="shared" si="0"/>
        <v>0</v>
      </c>
      <c r="F58" s="87">
        <v>0</v>
      </c>
      <c r="G58" s="47">
        <f t="shared" si="4"/>
        <v>0</v>
      </c>
      <c r="H58" s="88"/>
      <c r="I58" s="21">
        <v>120</v>
      </c>
      <c r="J58" s="82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+'10'!G59</f>
        <v>0</v>
      </c>
      <c r="D59" s="87">
        <v>0</v>
      </c>
      <c r="E59" s="47">
        <f t="shared" si="0"/>
        <v>0</v>
      </c>
      <c r="F59" s="87">
        <v>0</v>
      </c>
      <c r="G59" s="47">
        <f t="shared" si="4"/>
        <v>0</v>
      </c>
      <c r="H59" s="88"/>
      <c r="I59" s="15">
        <v>70</v>
      </c>
      <c r="J59" s="82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+'10'!G60</f>
        <v>0</v>
      </c>
      <c r="D60" s="87">
        <v>0</v>
      </c>
      <c r="E60" s="47">
        <f t="shared" si="0"/>
        <v>0</v>
      </c>
      <c r="F60" s="87">
        <v>0</v>
      </c>
      <c r="G60" s="47">
        <f t="shared" si="4"/>
        <v>0</v>
      </c>
      <c r="H60" s="88"/>
      <c r="I60" s="21">
        <v>80</v>
      </c>
      <c r="J60" s="82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+'10'!G61</f>
        <v>0</v>
      </c>
      <c r="D61" s="87">
        <v>0</v>
      </c>
      <c r="E61" s="47">
        <f t="shared" si="0"/>
        <v>0</v>
      </c>
      <c r="F61" s="87">
        <v>0</v>
      </c>
      <c r="G61" s="47">
        <f t="shared" si="4"/>
        <v>0</v>
      </c>
      <c r="H61" s="88"/>
      <c r="I61" s="15">
        <v>50</v>
      </c>
      <c r="J61" s="82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+'10'!G62</f>
        <v>2</v>
      </c>
      <c r="D62" s="87">
        <v>0</v>
      </c>
      <c r="E62" s="47">
        <f t="shared" si="0"/>
        <v>2</v>
      </c>
      <c r="F62" s="87">
        <v>0</v>
      </c>
      <c r="G62" s="47">
        <f t="shared" si="4"/>
        <v>1</v>
      </c>
      <c r="H62" s="88">
        <v>1</v>
      </c>
      <c r="I62" s="20">
        <v>50</v>
      </c>
      <c r="J62" s="82">
        <f t="shared" si="5"/>
        <v>50</v>
      </c>
      <c r="K62" s="17" t="s">
        <v>16</v>
      </c>
      <c r="L62" s="18">
        <v>0</v>
      </c>
      <c r="M62" s="104">
        <f t="shared" si="6"/>
        <v>50</v>
      </c>
    </row>
    <row r="63" spans="1:13" ht="25.5" x14ac:dyDescent="0.55000000000000004">
      <c r="A63" s="10">
        <v>59</v>
      </c>
      <c r="B63" s="19" t="s">
        <v>74</v>
      </c>
      <c r="C63" s="79">
        <f>+'10'!G63</f>
        <v>0</v>
      </c>
      <c r="D63" s="87">
        <v>0</v>
      </c>
      <c r="E63" s="47">
        <f t="shared" si="0"/>
        <v>0</v>
      </c>
      <c r="F63" s="87">
        <v>0</v>
      </c>
      <c r="G63" s="47">
        <f t="shared" si="4"/>
        <v>0</v>
      </c>
      <c r="H63" s="88"/>
      <c r="I63" s="20">
        <v>50</v>
      </c>
      <c r="J63" s="82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+'10'!G64</f>
        <v>0</v>
      </c>
      <c r="D64" s="87">
        <v>0</v>
      </c>
      <c r="E64" s="47">
        <f t="shared" si="0"/>
        <v>0</v>
      </c>
      <c r="F64" s="87">
        <v>0</v>
      </c>
      <c r="G64" s="47">
        <f t="shared" si="4"/>
        <v>0</v>
      </c>
      <c r="H64" s="88"/>
      <c r="I64" s="21">
        <v>30</v>
      </c>
      <c r="J64" s="82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+'10'!G65</f>
        <v>0</v>
      </c>
      <c r="D65" s="87">
        <v>0</v>
      </c>
      <c r="E65" s="47">
        <f t="shared" si="0"/>
        <v>0</v>
      </c>
      <c r="F65" s="87">
        <v>0</v>
      </c>
      <c r="G65" s="47">
        <f t="shared" si="4"/>
        <v>0</v>
      </c>
      <c r="H65" s="88"/>
      <c r="I65" s="21">
        <v>30</v>
      </c>
      <c r="J65" s="82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+'10'!G66</f>
        <v>3</v>
      </c>
      <c r="D66" s="87">
        <v>0</v>
      </c>
      <c r="E66" s="47">
        <f t="shared" si="0"/>
        <v>3</v>
      </c>
      <c r="F66" s="87">
        <v>0</v>
      </c>
      <c r="G66" s="47">
        <f t="shared" si="4"/>
        <v>3</v>
      </c>
      <c r="H66" s="88"/>
      <c r="I66" s="15">
        <v>50</v>
      </c>
      <c r="J66" s="82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+'10'!G67</f>
        <v>6</v>
      </c>
      <c r="D67" s="87">
        <v>0</v>
      </c>
      <c r="E67" s="47">
        <f t="shared" si="0"/>
        <v>6</v>
      </c>
      <c r="F67" s="87">
        <v>0</v>
      </c>
      <c r="G67" s="47">
        <f t="shared" si="4"/>
        <v>3</v>
      </c>
      <c r="H67" s="88">
        <v>3</v>
      </c>
      <c r="I67" s="15">
        <v>50</v>
      </c>
      <c r="J67" s="82">
        <f t="shared" si="5"/>
        <v>150</v>
      </c>
      <c r="K67" s="17" t="s">
        <v>16</v>
      </c>
      <c r="L67" s="18">
        <v>0</v>
      </c>
      <c r="M67" s="104">
        <f t="shared" si="6"/>
        <v>150</v>
      </c>
    </row>
    <row r="68" spans="1:13" ht="25.5" x14ac:dyDescent="0.55000000000000004">
      <c r="A68" s="10">
        <v>64</v>
      </c>
      <c r="B68" s="19" t="s">
        <v>79</v>
      </c>
      <c r="C68" s="79">
        <f>+'10'!G68</f>
        <v>0</v>
      </c>
      <c r="D68" s="87">
        <v>0</v>
      </c>
      <c r="E68" s="47">
        <f t="shared" si="0"/>
        <v>0</v>
      </c>
      <c r="F68" s="87">
        <v>0</v>
      </c>
      <c r="G68" s="47">
        <f t="shared" si="4"/>
        <v>0</v>
      </c>
      <c r="H68" s="88"/>
      <c r="I68" s="20">
        <v>35</v>
      </c>
      <c r="J68" s="82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+'10'!G69</f>
        <v>0</v>
      </c>
      <c r="D69" s="87">
        <v>0</v>
      </c>
      <c r="E69" s="47">
        <f t="shared" si="0"/>
        <v>0</v>
      </c>
      <c r="F69" s="87">
        <v>0</v>
      </c>
      <c r="G69" s="47">
        <f t="shared" si="4"/>
        <v>0</v>
      </c>
      <c r="H69" s="88"/>
      <c r="I69" s="20">
        <v>25</v>
      </c>
      <c r="J69" s="82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+'10'!G70</f>
        <v>8</v>
      </c>
      <c r="D70" s="87">
        <v>0</v>
      </c>
      <c r="E70" s="47">
        <f t="shared" si="0"/>
        <v>8</v>
      </c>
      <c r="F70" s="87">
        <v>0</v>
      </c>
      <c r="G70" s="47">
        <f t="shared" si="4"/>
        <v>7</v>
      </c>
      <c r="H70" s="88">
        <v>1</v>
      </c>
      <c r="I70" s="20">
        <v>50</v>
      </c>
      <c r="J70" s="82">
        <f t="shared" si="5"/>
        <v>50</v>
      </c>
      <c r="K70" s="17" t="s">
        <v>16</v>
      </c>
      <c r="L70" s="18">
        <v>0</v>
      </c>
      <c r="M70" s="104">
        <f t="shared" ref="M70:M134" si="10">SUM(J70-L70)</f>
        <v>50</v>
      </c>
    </row>
    <row r="71" spans="1:13" ht="25.5" x14ac:dyDescent="0.55000000000000004">
      <c r="A71" s="10">
        <v>67</v>
      </c>
      <c r="B71" s="19" t="s">
        <v>82</v>
      </c>
      <c r="C71" s="79">
        <f>+'10'!G71</f>
        <v>8</v>
      </c>
      <c r="D71" s="87">
        <v>0</v>
      </c>
      <c r="E71" s="47">
        <f t="shared" si="0"/>
        <v>8</v>
      </c>
      <c r="F71" s="87">
        <v>0</v>
      </c>
      <c r="G71" s="47">
        <f t="shared" si="4"/>
        <v>8</v>
      </c>
      <c r="H71" s="88"/>
      <c r="I71" s="20">
        <v>60</v>
      </c>
      <c r="J71" s="82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+'10'!G72</f>
        <v>0</v>
      </c>
      <c r="D72" s="87">
        <v>0</v>
      </c>
      <c r="E72" s="47">
        <f t="shared" si="0"/>
        <v>0</v>
      </c>
      <c r="F72" s="87">
        <v>0</v>
      </c>
      <c r="G72" s="47">
        <f t="shared" si="4"/>
        <v>0</v>
      </c>
      <c r="H72" s="88"/>
      <c r="I72" s="22">
        <v>50</v>
      </c>
      <c r="J72" s="82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+'10'!G73</f>
        <v>0</v>
      </c>
      <c r="D73" s="87">
        <v>0</v>
      </c>
      <c r="E73" s="47">
        <f t="shared" si="0"/>
        <v>0</v>
      </c>
      <c r="F73" s="87">
        <v>0</v>
      </c>
      <c r="G73" s="47">
        <f t="shared" si="4"/>
        <v>0</v>
      </c>
      <c r="H73" s="88"/>
      <c r="I73" s="20">
        <v>60</v>
      </c>
      <c r="J73" s="82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+'10'!G74</f>
        <v>0</v>
      </c>
      <c r="D74" s="87">
        <v>0</v>
      </c>
      <c r="E74" s="47">
        <f t="shared" si="0"/>
        <v>0</v>
      </c>
      <c r="F74" s="87">
        <v>0</v>
      </c>
      <c r="G74" s="47">
        <f t="shared" si="4"/>
        <v>0</v>
      </c>
      <c r="H74" s="88"/>
      <c r="I74" s="22">
        <v>120</v>
      </c>
      <c r="J74" s="82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+'10'!G75</f>
        <v>0</v>
      </c>
      <c r="D75" s="87">
        <v>0</v>
      </c>
      <c r="E75" s="47">
        <f t="shared" si="0"/>
        <v>0</v>
      </c>
      <c r="F75" s="87">
        <v>0</v>
      </c>
      <c r="G75" s="47">
        <f t="shared" si="4"/>
        <v>0</v>
      </c>
      <c r="H75" s="88"/>
      <c r="I75" s="22">
        <v>60</v>
      </c>
      <c r="J75" s="82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+'10'!G76</f>
        <v>0</v>
      </c>
      <c r="D76" s="87">
        <v>0</v>
      </c>
      <c r="E76" s="47">
        <f t="shared" si="0"/>
        <v>0</v>
      </c>
      <c r="F76" s="87">
        <v>0</v>
      </c>
      <c r="G76" s="47">
        <f t="shared" si="4"/>
        <v>0</v>
      </c>
      <c r="H76" s="88"/>
      <c r="I76" s="22">
        <v>120</v>
      </c>
      <c r="J76" s="82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272</v>
      </c>
      <c r="C77" s="79">
        <f>+'10'!G77</f>
        <v>2</v>
      </c>
      <c r="D77" s="87">
        <v>0</v>
      </c>
      <c r="E77" s="47">
        <f>C77+D77</f>
        <v>2</v>
      </c>
      <c r="F77" s="87">
        <v>1</v>
      </c>
      <c r="G77" s="47">
        <f>+E77-F77-H77</f>
        <v>1</v>
      </c>
      <c r="H77" s="88"/>
      <c r="I77" s="20">
        <v>50</v>
      </c>
      <c r="J77" s="82">
        <f>+I77*H77</f>
        <v>0</v>
      </c>
      <c r="K77" s="17" t="s">
        <v>16</v>
      </c>
      <c r="L77" s="18">
        <v>0</v>
      </c>
      <c r="M77" s="23">
        <f>SUM(J77-L77)</f>
        <v>0</v>
      </c>
    </row>
    <row r="78" spans="1:13" ht="25.5" x14ac:dyDescent="0.55000000000000004">
      <c r="A78" s="10">
        <v>74</v>
      </c>
      <c r="B78" s="19" t="s">
        <v>277</v>
      </c>
      <c r="C78" s="79">
        <f>+'10'!G78</f>
        <v>2</v>
      </c>
      <c r="D78" s="87">
        <v>0</v>
      </c>
      <c r="E78" s="47">
        <f t="shared" si="0"/>
        <v>2</v>
      </c>
      <c r="F78" s="87">
        <v>0</v>
      </c>
      <c r="G78" s="47">
        <f t="shared" si="4"/>
        <v>2</v>
      </c>
      <c r="H78" s="88"/>
      <c r="I78" s="20">
        <v>50</v>
      </c>
      <c r="J78" s="82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278</v>
      </c>
      <c r="C79" s="79">
        <f>+'10'!G79</f>
        <v>0</v>
      </c>
      <c r="D79" s="87">
        <v>0</v>
      </c>
      <c r="E79" s="47">
        <f t="shared" si="0"/>
        <v>0</v>
      </c>
      <c r="F79" s="87">
        <v>0</v>
      </c>
      <c r="G79" s="47">
        <f t="shared" si="4"/>
        <v>0</v>
      </c>
      <c r="H79" s="88"/>
      <c r="I79" s="22">
        <v>120</v>
      </c>
      <c r="J79" s="82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90</v>
      </c>
      <c r="C80" s="79">
        <f>+'10'!G80</f>
        <v>7</v>
      </c>
      <c r="D80" s="87">
        <v>0</v>
      </c>
      <c r="E80" s="47">
        <f t="shared" si="0"/>
        <v>7</v>
      </c>
      <c r="F80" s="87">
        <v>0</v>
      </c>
      <c r="G80" s="47">
        <f t="shared" si="4"/>
        <v>6</v>
      </c>
      <c r="H80" s="88">
        <v>1</v>
      </c>
      <c r="I80" s="22">
        <v>50</v>
      </c>
      <c r="J80" s="82">
        <f t="shared" si="5"/>
        <v>50</v>
      </c>
      <c r="K80" s="17" t="s">
        <v>16</v>
      </c>
      <c r="L80" s="18">
        <v>0</v>
      </c>
      <c r="M80" s="104">
        <f t="shared" si="10"/>
        <v>50</v>
      </c>
    </row>
    <row r="81" spans="1:13" ht="25.5" x14ac:dyDescent="0.55000000000000004">
      <c r="A81" s="10">
        <v>77</v>
      </c>
      <c r="B81" s="19" t="s">
        <v>91</v>
      </c>
      <c r="C81" s="79">
        <f>+'10'!G81</f>
        <v>0</v>
      </c>
      <c r="D81" s="87">
        <v>0</v>
      </c>
      <c r="E81" s="47">
        <f t="shared" si="0"/>
        <v>0</v>
      </c>
      <c r="F81" s="87">
        <v>0</v>
      </c>
      <c r="G81" s="47">
        <f t="shared" si="4"/>
        <v>0</v>
      </c>
      <c r="H81" s="88"/>
      <c r="I81" s="22">
        <v>50</v>
      </c>
      <c r="J81" s="82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92</v>
      </c>
      <c r="C82" s="79">
        <f>+'10'!G82</f>
        <v>4</v>
      </c>
      <c r="D82" s="87">
        <v>0</v>
      </c>
      <c r="E82" s="47">
        <f t="shared" si="0"/>
        <v>4</v>
      </c>
      <c r="F82" s="87">
        <v>2</v>
      </c>
      <c r="G82" s="47">
        <f t="shared" si="4"/>
        <v>2</v>
      </c>
      <c r="H82" s="88"/>
      <c r="I82" s="20">
        <v>55</v>
      </c>
      <c r="J82" s="82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93</v>
      </c>
      <c r="C83" s="79">
        <f>+'10'!G83</f>
        <v>4</v>
      </c>
      <c r="D83" s="87">
        <v>0</v>
      </c>
      <c r="E83" s="47">
        <f t="shared" si="0"/>
        <v>4</v>
      </c>
      <c r="F83" s="87">
        <v>2</v>
      </c>
      <c r="G83" s="47">
        <f t="shared" si="4"/>
        <v>2</v>
      </c>
      <c r="H83" s="88"/>
      <c r="I83" s="22">
        <v>55</v>
      </c>
      <c r="J83" s="82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94</v>
      </c>
      <c r="C84" s="79">
        <f>+'10'!G84</f>
        <v>0</v>
      </c>
      <c r="D84" s="87">
        <v>0</v>
      </c>
      <c r="E84" s="47">
        <f t="shared" si="0"/>
        <v>0</v>
      </c>
      <c r="F84" s="87">
        <v>0</v>
      </c>
      <c r="G84" s="47">
        <f t="shared" si="4"/>
        <v>0</v>
      </c>
      <c r="H84" s="88"/>
      <c r="I84" s="22">
        <v>55</v>
      </c>
      <c r="J84" s="82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95</v>
      </c>
      <c r="C85" s="79">
        <f>+'10'!G85</f>
        <v>0</v>
      </c>
      <c r="D85" s="87">
        <v>0</v>
      </c>
      <c r="E85" s="47">
        <f t="shared" si="0"/>
        <v>0</v>
      </c>
      <c r="F85" s="87">
        <v>0</v>
      </c>
      <c r="G85" s="47">
        <f t="shared" si="4"/>
        <v>0</v>
      </c>
      <c r="H85" s="88"/>
      <c r="I85" s="22">
        <v>55</v>
      </c>
      <c r="J85" s="82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96</v>
      </c>
      <c r="C86" s="79">
        <f>+'10'!G86</f>
        <v>7</v>
      </c>
      <c r="D86" s="87">
        <v>0</v>
      </c>
      <c r="E86" s="47">
        <f t="shared" si="0"/>
        <v>7</v>
      </c>
      <c r="F86" s="87">
        <v>0</v>
      </c>
      <c r="G86" s="47">
        <f t="shared" si="4"/>
        <v>6</v>
      </c>
      <c r="H86" s="88">
        <v>1</v>
      </c>
      <c r="I86" s="22">
        <v>100</v>
      </c>
      <c r="J86" s="82">
        <f t="shared" si="5"/>
        <v>100</v>
      </c>
      <c r="K86" s="17" t="s">
        <v>16</v>
      </c>
      <c r="L86" s="18">
        <v>0</v>
      </c>
      <c r="M86" s="104">
        <f t="shared" si="10"/>
        <v>100</v>
      </c>
    </row>
    <row r="87" spans="1:13" ht="25.5" x14ac:dyDescent="0.55000000000000004">
      <c r="A87" s="10">
        <v>83</v>
      </c>
      <c r="B87" s="19" t="s">
        <v>97</v>
      </c>
      <c r="C87" s="79">
        <f>+'10'!G87</f>
        <v>7</v>
      </c>
      <c r="D87" s="87">
        <v>0</v>
      </c>
      <c r="E87" s="47">
        <f t="shared" si="0"/>
        <v>7</v>
      </c>
      <c r="F87" s="87">
        <v>0</v>
      </c>
      <c r="G87" s="47">
        <f t="shared" si="4"/>
        <v>6</v>
      </c>
      <c r="H87" s="88">
        <v>1</v>
      </c>
      <c r="I87" s="20">
        <v>55</v>
      </c>
      <c r="J87" s="82">
        <f t="shared" si="5"/>
        <v>55</v>
      </c>
      <c r="K87" s="17" t="s">
        <v>16</v>
      </c>
      <c r="L87" s="18">
        <v>0</v>
      </c>
      <c r="M87" s="104">
        <f t="shared" si="10"/>
        <v>55</v>
      </c>
    </row>
    <row r="88" spans="1:13" ht="25.5" x14ac:dyDescent="0.55000000000000004">
      <c r="A88" s="10">
        <v>84</v>
      </c>
      <c r="B88" s="19" t="s">
        <v>98</v>
      </c>
      <c r="C88" s="79">
        <f>+'10'!G88</f>
        <v>3</v>
      </c>
      <c r="D88" s="87">
        <v>0</v>
      </c>
      <c r="E88" s="47">
        <f t="shared" si="0"/>
        <v>3</v>
      </c>
      <c r="F88" s="87">
        <v>0</v>
      </c>
      <c r="G88" s="47">
        <f t="shared" si="4"/>
        <v>2</v>
      </c>
      <c r="H88" s="88">
        <v>1</v>
      </c>
      <c r="I88" s="20">
        <v>60</v>
      </c>
      <c r="J88" s="82">
        <f t="shared" si="5"/>
        <v>60</v>
      </c>
      <c r="K88" s="17" t="s">
        <v>16</v>
      </c>
      <c r="L88" s="18">
        <v>0</v>
      </c>
      <c r="M88" s="104">
        <f t="shared" si="10"/>
        <v>60</v>
      </c>
    </row>
    <row r="89" spans="1:13" ht="25.5" x14ac:dyDescent="0.55000000000000004">
      <c r="A89" s="10">
        <v>85</v>
      </c>
      <c r="B89" s="19" t="s">
        <v>99</v>
      </c>
      <c r="C89" s="79">
        <f>+'10'!G89</f>
        <v>2</v>
      </c>
      <c r="D89" s="87">
        <v>0</v>
      </c>
      <c r="E89" s="47">
        <f t="shared" si="0"/>
        <v>2</v>
      </c>
      <c r="F89" s="87">
        <v>0</v>
      </c>
      <c r="G89" s="47">
        <f t="shared" si="4"/>
        <v>2</v>
      </c>
      <c r="H89" s="88"/>
      <c r="I89" s="20">
        <v>100</v>
      </c>
      <c r="J89" s="82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100</v>
      </c>
      <c r="C90" s="79">
        <f>+'10'!G90</f>
        <v>9</v>
      </c>
      <c r="D90" s="87">
        <v>0</v>
      </c>
      <c r="E90" s="47">
        <f t="shared" si="0"/>
        <v>9</v>
      </c>
      <c r="F90" s="87">
        <v>0</v>
      </c>
      <c r="G90" s="47">
        <f t="shared" si="4"/>
        <v>9</v>
      </c>
      <c r="H90" s="88"/>
      <c r="I90" s="20">
        <v>55</v>
      </c>
      <c r="J90" s="82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101</v>
      </c>
      <c r="C91" s="79">
        <f>+'10'!G91</f>
        <v>0</v>
      </c>
      <c r="D91" s="87">
        <v>0</v>
      </c>
      <c r="E91" s="47">
        <f t="shared" si="0"/>
        <v>0</v>
      </c>
      <c r="F91" s="87">
        <v>0</v>
      </c>
      <c r="G91" s="47">
        <f t="shared" si="4"/>
        <v>0</v>
      </c>
      <c r="H91" s="88"/>
      <c r="I91" s="20">
        <v>50</v>
      </c>
      <c r="J91" s="82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102</v>
      </c>
      <c r="C92" s="79">
        <f>+'10'!G92</f>
        <v>0</v>
      </c>
      <c r="D92" s="87">
        <v>0</v>
      </c>
      <c r="E92" s="47">
        <f t="shared" si="0"/>
        <v>0</v>
      </c>
      <c r="F92" s="87">
        <v>0</v>
      </c>
      <c r="G92" s="47">
        <f t="shared" si="4"/>
        <v>0</v>
      </c>
      <c r="H92" s="88"/>
      <c r="I92" s="22">
        <v>50</v>
      </c>
      <c r="J92" s="82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248</v>
      </c>
      <c r="C93" s="79">
        <f>+'10'!G93</f>
        <v>0</v>
      </c>
      <c r="D93" s="87">
        <v>0</v>
      </c>
      <c r="E93" s="47">
        <f t="shared" si="0"/>
        <v>0</v>
      </c>
      <c r="F93" s="87">
        <v>0</v>
      </c>
      <c r="G93" s="47">
        <f t="shared" si="4"/>
        <v>0</v>
      </c>
      <c r="H93" s="88"/>
      <c r="I93" s="22">
        <v>120</v>
      </c>
      <c r="J93" s="82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104</v>
      </c>
      <c r="C94" s="79">
        <f>+'10'!G94</f>
        <v>0</v>
      </c>
      <c r="D94" s="87">
        <v>0</v>
      </c>
      <c r="E94" s="47">
        <f t="shared" si="0"/>
        <v>0</v>
      </c>
      <c r="F94" s="87">
        <v>0</v>
      </c>
      <c r="G94" s="47">
        <f t="shared" si="4"/>
        <v>0</v>
      </c>
      <c r="H94" s="88"/>
      <c r="I94" s="20">
        <v>250</v>
      </c>
      <c r="J94" s="82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105</v>
      </c>
      <c r="C95" s="79">
        <f>+'10'!G95</f>
        <v>0</v>
      </c>
      <c r="D95" s="87">
        <v>0</v>
      </c>
      <c r="E95" s="47">
        <f t="shared" si="0"/>
        <v>0</v>
      </c>
      <c r="F95" s="87">
        <v>0</v>
      </c>
      <c r="G95" s="47">
        <f t="shared" si="4"/>
        <v>0</v>
      </c>
      <c r="H95" s="88"/>
      <c r="I95" s="20">
        <v>120</v>
      </c>
      <c r="J95" s="82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106</v>
      </c>
      <c r="C96" s="79">
        <f>+'10'!G96</f>
        <v>0</v>
      </c>
      <c r="D96" s="87">
        <v>0</v>
      </c>
      <c r="E96" s="47">
        <f t="shared" si="0"/>
        <v>0</v>
      </c>
      <c r="F96" s="87">
        <v>0</v>
      </c>
      <c r="G96" s="47">
        <f t="shared" si="4"/>
        <v>0</v>
      </c>
      <c r="H96" s="88"/>
      <c r="I96" s="20">
        <v>120</v>
      </c>
      <c r="J96" s="82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107</v>
      </c>
      <c r="C97" s="79">
        <f>+'10'!G97</f>
        <v>0</v>
      </c>
      <c r="D97" s="87">
        <v>0</v>
      </c>
      <c r="E97" s="47">
        <f t="shared" si="0"/>
        <v>0</v>
      </c>
      <c r="F97" s="87">
        <v>0</v>
      </c>
      <c r="G97" s="47">
        <f t="shared" si="4"/>
        <v>0</v>
      </c>
      <c r="H97" s="88"/>
      <c r="I97" s="20">
        <v>120</v>
      </c>
      <c r="J97" s="82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103</v>
      </c>
      <c r="C98" s="79">
        <f>+'10'!G98</f>
        <v>0</v>
      </c>
      <c r="D98" s="87">
        <v>0</v>
      </c>
      <c r="E98" s="47">
        <f t="shared" si="0"/>
        <v>0</v>
      </c>
      <c r="F98" s="87">
        <v>0</v>
      </c>
      <c r="G98" s="47">
        <f t="shared" si="4"/>
        <v>0</v>
      </c>
      <c r="H98" s="88"/>
      <c r="I98" s="20">
        <v>120</v>
      </c>
      <c r="J98" s="82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109</v>
      </c>
      <c r="C99" s="79">
        <f>+'10'!G99</f>
        <v>0</v>
      </c>
      <c r="D99" s="87">
        <v>0</v>
      </c>
      <c r="E99" s="47">
        <f t="shared" si="0"/>
        <v>0</v>
      </c>
      <c r="F99" s="87">
        <v>0</v>
      </c>
      <c r="G99" s="47">
        <f t="shared" si="4"/>
        <v>0</v>
      </c>
      <c r="H99" s="88"/>
      <c r="I99" s="20">
        <v>50</v>
      </c>
      <c r="J99" s="82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110</v>
      </c>
      <c r="C100" s="79">
        <f>+'10'!G100</f>
        <v>0</v>
      </c>
      <c r="D100" s="87">
        <v>0</v>
      </c>
      <c r="E100" s="47">
        <f t="shared" si="0"/>
        <v>0</v>
      </c>
      <c r="F100" s="87">
        <v>0</v>
      </c>
      <c r="G100" s="47">
        <f t="shared" si="4"/>
        <v>0</v>
      </c>
      <c r="H100" s="88"/>
      <c r="I100" s="20">
        <v>50</v>
      </c>
      <c r="J100" s="82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111</v>
      </c>
      <c r="C101" s="79">
        <f>+'10'!G101</f>
        <v>0</v>
      </c>
      <c r="D101" s="87">
        <v>0</v>
      </c>
      <c r="E101" s="47">
        <f t="shared" si="0"/>
        <v>0</v>
      </c>
      <c r="F101" s="87">
        <v>0</v>
      </c>
      <c r="G101" s="47">
        <f t="shared" ref="G101:G164" si="11">+E101-F101-H101</f>
        <v>0</v>
      </c>
      <c r="H101" s="88"/>
      <c r="I101" s="20">
        <v>60</v>
      </c>
      <c r="J101" s="82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112</v>
      </c>
      <c r="C102" s="79">
        <f>+'10'!G102</f>
        <v>0</v>
      </c>
      <c r="D102" s="87">
        <v>0</v>
      </c>
      <c r="E102" s="47">
        <f t="shared" si="0"/>
        <v>0</v>
      </c>
      <c r="F102" s="87">
        <v>0</v>
      </c>
      <c r="G102" s="47">
        <f t="shared" si="11"/>
        <v>0</v>
      </c>
      <c r="H102" s="88"/>
      <c r="I102" s="20">
        <v>55</v>
      </c>
      <c r="J102" s="82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113</v>
      </c>
      <c r="C103" s="79">
        <f>+'10'!G103</f>
        <v>0</v>
      </c>
      <c r="D103" s="87">
        <v>0</v>
      </c>
      <c r="E103" s="47">
        <f t="shared" si="0"/>
        <v>0</v>
      </c>
      <c r="F103" s="87">
        <v>0</v>
      </c>
      <c r="G103" s="47">
        <f t="shared" si="11"/>
        <v>0</v>
      </c>
      <c r="H103" s="88"/>
      <c r="I103" s="20">
        <v>50</v>
      </c>
      <c r="J103" s="82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114</v>
      </c>
      <c r="C104" s="79">
        <f>+'10'!G104</f>
        <v>0</v>
      </c>
      <c r="D104" s="87">
        <v>0</v>
      </c>
      <c r="E104" s="47">
        <f t="shared" si="0"/>
        <v>0</v>
      </c>
      <c r="F104" s="87">
        <v>0</v>
      </c>
      <c r="G104" s="47">
        <f t="shared" si="11"/>
        <v>0</v>
      </c>
      <c r="H104" s="88"/>
      <c r="I104" s="20">
        <v>100</v>
      </c>
      <c r="J104" s="82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115</v>
      </c>
      <c r="C105" s="79">
        <f>+'10'!G105</f>
        <v>0</v>
      </c>
      <c r="D105" s="87">
        <v>0</v>
      </c>
      <c r="E105" s="47">
        <f t="shared" si="0"/>
        <v>0</v>
      </c>
      <c r="F105" s="87">
        <v>0</v>
      </c>
      <c r="G105" s="47">
        <f t="shared" si="11"/>
        <v>0</v>
      </c>
      <c r="H105" s="88"/>
      <c r="I105" s="20">
        <v>100</v>
      </c>
      <c r="J105" s="82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116</v>
      </c>
      <c r="C106" s="79">
        <f>+'10'!G106</f>
        <v>0</v>
      </c>
      <c r="D106" s="87">
        <v>0</v>
      </c>
      <c r="E106" s="47">
        <f t="shared" si="0"/>
        <v>0</v>
      </c>
      <c r="F106" s="87">
        <v>0</v>
      </c>
      <c r="G106" s="47">
        <f t="shared" si="11"/>
        <v>0</v>
      </c>
      <c r="H106" s="88"/>
      <c r="I106" s="22">
        <v>30</v>
      </c>
      <c r="J106" s="82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117</v>
      </c>
      <c r="C107" s="79">
        <f>+'10'!G107</f>
        <v>0</v>
      </c>
      <c r="D107" s="87">
        <v>0</v>
      </c>
      <c r="E107" s="47">
        <f t="shared" si="0"/>
        <v>0</v>
      </c>
      <c r="F107" s="87">
        <v>0</v>
      </c>
      <c r="G107" s="47">
        <f t="shared" si="11"/>
        <v>0</v>
      </c>
      <c r="H107" s="88"/>
      <c r="I107" s="22">
        <v>20</v>
      </c>
      <c r="J107" s="82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118</v>
      </c>
      <c r="C108" s="79">
        <f>+'10'!G108</f>
        <v>0</v>
      </c>
      <c r="D108" s="87">
        <v>0</v>
      </c>
      <c r="E108" s="47">
        <f t="shared" si="0"/>
        <v>0</v>
      </c>
      <c r="F108" s="87">
        <v>0</v>
      </c>
      <c r="G108" s="47">
        <f t="shared" si="11"/>
        <v>0</v>
      </c>
      <c r="H108" s="88"/>
      <c r="I108" s="20">
        <v>100</v>
      </c>
      <c r="J108" s="82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120</v>
      </c>
      <c r="C109" s="79">
        <f>+'10'!G109</f>
        <v>0</v>
      </c>
      <c r="D109" s="87">
        <v>0</v>
      </c>
      <c r="E109" s="47">
        <f t="shared" si="0"/>
        <v>0</v>
      </c>
      <c r="F109" s="87">
        <v>0</v>
      </c>
      <c r="G109" s="47">
        <f t="shared" si="11"/>
        <v>0</v>
      </c>
      <c r="H109" s="88"/>
      <c r="I109" s="20">
        <v>80</v>
      </c>
      <c r="J109" s="82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121</v>
      </c>
      <c r="C110" s="79">
        <f>+'10'!G110</f>
        <v>0</v>
      </c>
      <c r="D110" s="87">
        <v>0</v>
      </c>
      <c r="E110" s="47">
        <f t="shared" si="0"/>
        <v>0</v>
      </c>
      <c r="F110" s="87">
        <v>0</v>
      </c>
      <c r="G110" s="47">
        <f t="shared" si="11"/>
        <v>0</v>
      </c>
      <c r="H110" s="88"/>
      <c r="I110" s="20">
        <v>60</v>
      </c>
      <c r="J110" s="82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122</v>
      </c>
      <c r="C111" s="79">
        <f>+'10'!G111</f>
        <v>0</v>
      </c>
      <c r="D111" s="87">
        <v>0</v>
      </c>
      <c r="E111" s="47">
        <f t="shared" si="0"/>
        <v>0</v>
      </c>
      <c r="F111" s="87">
        <v>0</v>
      </c>
      <c r="G111" s="47">
        <f t="shared" si="11"/>
        <v>0</v>
      </c>
      <c r="H111" s="88"/>
      <c r="I111" s="20">
        <v>35</v>
      </c>
      <c r="J111" s="82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123</v>
      </c>
      <c r="C112" s="79">
        <f>+'10'!G112</f>
        <v>0</v>
      </c>
      <c r="D112" s="87">
        <v>0</v>
      </c>
      <c r="E112" s="47">
        <f t="shared" si="0"/>
        <v>0</v>
      </c>
      <c r="F112" s="87">
        <v>0</v>
      </c>
      <c r="G112" s="47">
        <f t="shared" si="11"/>
        <v>0</v>
      </c>
      <c r="H112" s="88"/>
      <c r="I112" s="20">
        <v>35</v>
      </c>
      <c r="J112" s="82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124</v>
      </c>
      <c r="C113" s="79">
        <f>+'10'!G113</f>
        <v>0</v>
      </c>
      <c r="D113" s="87">
        <v>0</v>
      </c>
      <c r="E113" s="47">
        <f t="shared" si="0"/>
        <v>0</v>
      </c>
      <c r="F113" s="87">
        <v>0</v>
      </c>
      <c r="G113" s="47">
        <f t="shared" si="11"/>
        <v>0</v>
      </c>
      <c r="H113" s="88"/>
      <c r="I113" s="20">
        <v>35</v>
      </c>
      <c r="J113" s="82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125</v>
      </c>
      <c r="C114" s="79">
        <f>+'10'!G114</f>
        <v>0</v>
      </c>
      <c r="D114" s="87">
        <v>0</v>
      </c>
      <c r="E114" s="47">
        <f t="shared" si="0"/>
        <v>0</v>
      </c>
      <c r="F114" s="87">
        <v>0</v>
      </c>
      <c r="G114" s="47">
        <f t="shared" si="11"/>
        <v>0</v>
      </c>
      <c r="H114" s="88"/>
      <c r="I114" s="20">
        <v>35</v>
      </c>
      <c r="J114" s="82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126</v>
      </c>
      <c r="C115" s="79">
        <f>+'10'!G115</f>
        <v>0</v>
      </c>
      <c r="D115" s="87">
        <v>0</v>
      </c>
      <c r="E115" s="47">
        <f t="shared" si="0"/>
        <v>0</v>
      </c>
      <c r="F115" s="87">
        <v>0</v>
      </c>
      <c r="G115" s="47">
        <f t="shared" si="11"/>
        <v>0</v>
      </c>
      <c r="H115" s="88"/>
      <c r="I115" s="20">
        <v>35</v>
      </c>
      <c r="J115" s="82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127</v>
      </c>
      <c r="C116" s="79">
        <f>+'10'!G116</f>
        <v>0</v>
      </c>
      <c r="D116" s="87">
        <v>0</v>
      </c>
      <c r="E116" s="47">
        <f t="shared" si="0"/>
        <v>0</v>
      </c>
      <c r="F116" s="87">
        <v>0</v>
      </c>
      <c r="G116" s="47">
        <f t="shared" si="11"/>
        <v>0</v>
      </c>
      <c r="H116" s="88"/>
      <c r="I116" s="20">
        <v>30</v>
      </c>
      <c r="J116" s="82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128</v>
      </c>
      <c r="C117" s="79">
        <f>+'10'!G117</f>
        <v>0</v>
      </c>
      <c r="D117" s="87">
        <v>0</v>
      </c>
      <c r="E117" s="47">
        <f t="shared" si="0"/>
        <v>0</v>
      </c>
      <c r="F117" s="87">
        <v>0</v>
      </c>
      <c r="G117" s="47">
        <f t="shared" si="11"/>
        <v>0</v>
      </c>
      <c r="H117" s="88"/>
      <c r="I117" s="20">
        <v>30</v>
      </c>
      <c r="J117" s="82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129</v>
      </c>
      <c r="C118" s="79">
        <f>+'10'!G118</f>
        <v>0</v>
      </c>
      <c r="D118" s="87">
        <v>0</v>
      </c>
      <c r="E118" s="47">
        <f t="shared" si="0"/>
        <v>0</v>
      </c>
      <c r="F118" s="87">
        <v>0</v>
      </c>
      <c r="G118" s="47">
        <f t="shared" si="11"/>
        <v>0</v>
      </c>
      <c r="H118" s="88"/>
      <c r="I118" s="20">
        <v>30</v>
      </c>
      <c r="J118" s="82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130</v>
      </c>
      <c r="C119" s="79">
        <f>+'10'!G119</f>
        <v>0</v>
      </c>
      <c r="D119" s="87">
        <v>0</v>
      </c>
      <c r="E119" s="47">
        <f t="shared" si="0"/>
        <v>0</v>
      </c>
      <c r="F119" s="87">
        <v>0</v>
      </c>
      <c r="G119" s="47">
        <f t="shared" si="11"/>
        <v>0</v>
      </c>
      <c r="H119" s="88"/>
      <c r="I119" s="20">
        <v>30</v>
      </c>
      <c r="J119" s="82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131</v>
      </c>
      <c r="C120" s="79">
        <f>+'10'!G120</f>
        <v>0</v>
      </c>
      <c r="D120" s="87">
        <v>0</v>
      </c>
      <c r="E120" s="47">
        <f t="shared" si="0"/>
        <v>0</v>
      </c>
      <c r="F120" s="87">
        <v>0</v>
      </c>
      <c r="G120" s="47">
        <f t="shared" si="11"/>
        <v>0</v>
      </c>
      <c r="H120" s="88"/>
      <c r="I120" s="20">
        <v>30</v>
      </c>
      <c r="J120" s="82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132</v>
      </c>
      <c r="C121" s="79">
        <f>+'10'!G121</f>
        <v>0</v>
      </c>
      <c r="D121" s="87">
        <v>0</v>
      </c>
      <c r="E121" s="47">
        <f t="shared" si="0"/>
        <v>0</v>
      </c>
      <c r="F121" s="87">
        <v>0</v>
      </c>
      <c r="G121" s="47">
        <f t="shared" si="11"/>
        <v>0</v>
      </c>
      <c r="H121" s="88"/>
      <c r="I121" s="20">
        <v>30</v>
      </c>
      <c r="J121" s="82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133</v>
      </c>
      <c r="C122" s="79">
        <f>+'10'!G122</f>
        <v>0</v>
      </c>
      <c r="D122" s="87">
        <v>0</v>
      </c>
      <c r="E122" s="47">
        <f t="shared" si="0"/>
        <v>0</v>
      </c>
      <c r="F122" s="87">
        <v>0</v>
      </c>
      <c r="G122" s="47">
        <f t="shared" si="11"/>
        <v>0</v>
      </c>
      <c r="H122" s="88"/>
      <c r="I122" s="20">
        <v>40</v>
      </c>
      <c r="J122" s="82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134</v>
      </c>
      <c r="C123" s="79">
        <f>+'10'!G123</f>
        <v>0</v>
      </c>
      <c r="D123" s="87">
        <v>0</v>
      </c>
      <c r="E123" s="47">
        <f t="shared" si="0"/>
        <v>0</v>
      </c>
      <c r="F123" s="87">
        <v>0</v>
      </c>
      <c r="G123" s="47">
        <f t="shared" si="11"/>
        <v>0</v>
      </c>
      <c r="H123" s="88"/>
      <c r="I123" s="20">
        <v>35</v>
      </c>
      <c r="J123" s="82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135</v>
      </c>
      <c r="C124" s="79">
        <f>+'10'!G124</f>
        <v>0</v>
      </c>
      <c r="D124" s="87">
        <v>0</v>
      </c>
      <c r="E124" s="47">
        <f t="shared" si="0"/>
        <v>0</v>
      </c>
      <c r="F124" s="87">
        <v>0</v>
      </c>
      <c r="G124" s="47">
        <f t="shared" si="11"/>
        <v>0</v>
      </c>
      <c r="H124" s="88"/>
      <c r="I124" s="20">
        <v>40</v>
      </c>
      <c r="J124" s="82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136</v>
      </c>
      <c r="C125" s="79">
        <f>+'10'!G125</f>
        <v>0</v>
      </c>
      <c r="D125" s="87">
        <v>0</v>
      </c>
      <c r="E125" s="47">
        <f t="shared" si="0"/>
        <v>0</v>
      </c>
      <c r="F125" s="87">
        <v>0</v>
      </c>
      <c r="G125" s="47">
        <f t="shared" si="11"/>
        <v>0</v>
      </c>
      <c r="H125" s="88"/>
      <c r="I125" s="20">
        <v>40</v>
      </c>
      <c r="J125" s="82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137</v>
      </c>
      <c r="C126" s="79">
        <f>+'10'!G126</f>
        <v>0</v>
      </c>
      <c r="D126" s="87">
        <v>0</v>
      </c>
      <c r="E126" s="47">
        <f t="shared" ref="E126:E189" si="13">C126+D126</f>
        <v>0</v>
      </c>
      <c r="F126" s="87">
        <v>0</v>
      </c>
      <c r="G126" s="47">
        <f t="shared" si="11"/>
        <v>0</v>
      </c>
      <c r="H126" s="88"/>
      <c r="I126" s="20">
        <v>30</v>
      </c>
      <c r="J126" s="82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138</v>
      </c>
      <c r="C127" s="79">
        <f>+'10'!G127</f>
        <v>0</v>
      </c>
      <c r="D127" s="87">
        <v>0</v>
      </c>
      <c r="E127" s="47">
        <f t="shared" si="13"/>
        <v>0</v>
      </c>
      <c r="F127" s="87">
        <v>0</v>
      </c>
      <c r="G127" s="47">
        <f t="shared" si="11"/>
        <v>0</v>
      </c>
      <c r="H127" s="88"/>
      <c r="I127" s="20">
        <v>40</v>
      </c>
      <c r="J127" s="82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139</v>
      </c>
      <c r="C128" s="79">
        <f>+'10'!G128</f>
        <v>77</v>
      </c>
      <c r="D128" s="87">
        <v>0</v>
      </c>
      <c r="E128" s="47">
        <f t="shared" si="13"/>
        <v>77</v>
      </c>
      <c r="F128" s="87">
        <v>0</v>
      </c>
      <c r="G128" s="47">
        <f t="shared" si="11"/>
        <v>77</v>
      </c>
      <c r="H128" s="88"/>
      <c r="I128" s="20">
        <v>10</v>
      </c>
      <c r="J128" s="82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140</v>
      </c>
      <c r="C129" s="79">
        <f>+'10'!G129</f>
        <v>0</v>
      </c>
      <c r="D129" s="87">
        <v>0</v>
      </c>
      <c r="E129" s="47">
        <f t="shared" si="13"/>
        <v>0</v>
      </c>
      <c r="F129" s="87">
        <v>0</v>
      </c>
      <c r="G129" s="47">
        <f t="shared" si="11"/>
        <v>0</v>
      </c>
      <c r="H129" s="88"/>
      <c r="I129" s="20">
        <v>35</v>
      </c>
      <c r="J129" s="82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141</v>
      </c>
      <c r="C130" s="79">
        <f>+'10'!G130</f>
        <v>0</v>
      </c>
      <c r="D130" s="87">
        <v>0</v>
      </c>
      <c r="E130" s="47">
        <f t="shared" si="13"/>
        <v>0</v>
      </c>
      <c r="F130" s="87">
        <v>0</v>
      </c>
      <c r="G130" s="47">
        <f t="shared" si="11"/>
        <v>0</v>
      </c>
      <c r="H130" s="88"/>
      <c r="I130" s="20">
        <v>40</v>
      </c>
      <c r="J130" s="82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142</v>
      </c>
      <c r="C131" s="79">
        <f>+'10'!G131</f>
        <v>0</v>
      </c>
      <c r="D131" s="87">
        <v>0</v>
      </c>
      <c r="E131" s="47">
        <f t="shared" si="13"/>
        <v>0</v>
      </c>
      <c r="F131" s="87">
        <v>0</v>
      </c>
      <c r="G131" s="47">
        <f t="shared" si="11"/>
        <v>0</v>
      </c>
      <c r="H131" s="88"/>
      <c r="I131" s="20">
        <v>50</v>
      </c>
      <c r="J131" s="82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143</v>
      </c>
      <c r="C132" s="79">
        <f>+'10'!G132</f>
        <v>0</v>
      </c>
      <c r="D132" s="87">
        <v>0</v>
      </c>
      <c r="E132" s="47">
        <f t="shared" si="13"/>
        <v>0</v>
      </c>
      <c r="F132" s="87">
        <v>0</v>
      </c>
      <c r="G132" s="47">
        <f t="shared" si="11"/>
        <v>0</v>
      </c>
      <c r="H132" s="88"/>
      <c r="I132" s="20">
        <v>55</v>
      </c>
      <c r="J132" s="82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144</v>
      </c>
      <c r="C133" s="79">
        <f>+'10'!G133</f>
        <v>0</v>
      </c>
      <c r="D133" s="87">
        <v>0</v>
      </c>
      <c r="E133" s="47">
        <f t="shared" si="13"/>
        <v>0</v>
      </c>
      <c r="F133" s="87">
        <v>0</v>
      </c>
      <c r="G133" s="47">
        <f t="shared" si="11"/>
        <v>0</v>
      </c>
      <c r="H133" s="88"/>
      <c r="I133" s="20">
        <v>55</v>
      </c>
      <c r="J133" s="82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145</v>
      </c>
      <c r="C134" s="79">
        <f>+'10'!G134</f>
        <v>0</v>
      </c>
      <c r="D134" s="87">
        <v>0</v>
      </c>
      <c r="E134" s="47">
        <f t="shared" si="13"/>
        <v>0</v>
      </c>
      <c r="F134" s="87">
        <v>0</v>
      </c>
      <c r="G134" s="47">
        <f t="shared" si="11"/>
        <v>0</v>
      </c>
      <c r="H134" s="88"/>
      <c r="I134" s="20">
        <v>45</v>
      </c>
      <c r="J134" s="82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5.5" x14ac:dyDescent="0.55000000000000004">
      <c r="A135" s="10">
        <v>131</v>
      </c>
      <c r="B135" s="19" t="s">
        <v>146</v>
      </c>
      <c r="C135" s="79">
        <f>+'10'!G135</f>
        <v>0</v>
      </c>
      <c r="D135" s="87">
        <v>0</v>
      </c>
      <c r="E135" s="47">
        <f t="shared" si="13"/>
        <v>0</v>
      </c>
      <c r="F135" s="87">
        <v>0</v>
      </c>
      <c r="G135" s="47">
        <f t="shared" si="11"/>
        <v>0</v>
      </c>
      <c r="H135" s="88"/>
      <c r="I135" s="20">
        <v>45</v>
      </c>
      <c r="J135" s="82">
        <f t="shared" si="12"/>
        <v>0</v>
      </c>
      <c r="K135" s="17" t="s">
        <v>16</v>
      </c>
      <c r="L135" s="18">
        <v>0</v>
      </c>
      <c r="M135" s="23">
        <f t="shared" ref="M135:M198" si="14">SUM(J135-L135)</f>
        <v>0</v>
      </c>
    </row>
    <row r="136" spans="1:13" ht="25.5" x14ac:dyDescent="0.55000000000000004">
      <c r="A136" s="10">
        <v>132</v>
      </c>
      <c r="B136" s="19" t="s">
        <v>147</v>
      </c>
      <c r="C136" s="79">
        <f>+'10'!G136</f>
        <v>0</v>
      </c>
      <c r="D136" s="87">
        <v>0</v>
      </c>
      <c r="E136" s="47">
        <f t="shared" si="13"/>
        <v>0</v>
      </c>
      <c r="F136" s="87">
        <v>0</v>
      </c>
      <c r="G136" s="47">
        <f t="shared" si="11"/>
        <v>0</v>
      </c>
      <c r="H136" s="88"/>
      <c r="I136" s="20">
        <v>55</v>
      </c>
      <c r="J136" s="82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148</v>
      </c>
      <c r="C137" s="79">
        <f>+'10'!G137</f>
        <v>0</v>
      </c>
      <c r="D137" s="87">
        <v>0</v>
      </c>
      <c r="E137" s="47">
        <f t="shared" si="13"/>
        <v>0</v>
      </c>
      <c r="F137" s="87">
        <v>0</v>
      </c>
      <c r="G137" s="47">
        <f t="shared" si="11"/>
        <v>0</v>
      </c>
      <c r="H137" s="88"/>
      <c r="I137" s="20">
        <v>45</v>
      </c>
      <c r="J137" s="82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149</v>
      </c>
      <c r="C138" s="79">
        <f>+'10'!G138</f>
        <v>0</v>
      </c>
      <c r="D138" s="87">
        <v>0</v>
      </c>
      <c r="E138" s="47">
        <f t="shared" si="13"/>
        <v>0</v>
      </c>
      <c r="F138" s="87">
        <v>0</v>
      </c>
      <c r="G138" s="47">
        <f t="shared" si="11"/>
        <v>0</v>
      </c>
      <c r="H138" s="88"/>
      <c r="I138" s="20">
        <v>45</v>
      </c>
      <c r="J138" s="82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150</v>
      </c>
      <c r="C139" s="79">
        <f>+'10'!G139</f>
        <v>0</v>
      </c>
      <c r="D139" s="87">
        <v>0</v>
      </c>
      <c r="E139" s="47">
        <f t="shared" si="13"/>
        <v>0</v>
      </c>
      <c r="F139" s="87">
        <v>0</v>
      </c>
      <c r="G139" s="47">
        <f t="shared" si="11"/>
        <v>0</v>
      </c>
      <c r="H139" s="88"/>
      <c r="I139" s="20">
        <v>45</v>
      </c>
      <c r="J139" s="82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151</v>
      </c>
      <c r="C140" s="79">
        <f>+'10'!G140</f>
        <v>0</v>
      </c>
      <c r="D140" s="87">
        <v>0</v>
      </c>
      <c r="E140" s="47">
        <f t="shared" si="13"/>
        <v>0</v>
      </c>
      <c r="F140" s="87">
        <v>0</v>
      </c>
      <c r="G140" s="47">
        <f t="shared" si="11"/>
        <v>0</v>
      </c>
      <c r="H140" s="88"/>
      <c r="I140" s="20">
        <v>45</v>
      </c>
      <c r="J140" s="82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152</v>
      </c>
      <c r="C141" s="79">
        <f>+'10'!G141</f>
        <v>0</v>
      </c>
      <c r="D141" s="87">
        <v>0</v>
      </c>
      <c r="E141" s="47">
        <f t="shared" si="13"/>
        <v>0</v>
      </c>
      <c r="F141" s="87">
        <v>0</v>
      </c>
      <c r="G141" s="47">
        <f t="shared" si="11"/>
        <v>0</v>
      </c>
      <c r="H141" s="88"/>
      <c r="I141" s="20">
        <v>45</v>
      </c>
      <c r="J141" s="82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153</v>
      </c>
      <c r="C142" s="79">
        <f>+'10'!G142</f>
        <v>0</v>
      </c>
      <c r="D142" s="87">
        <v>0</v>
      </c>
      <c r="E142" s="47">
        <f t="shared" si="13"/>
        <v>0</v>
      </c>
      <c r="F142" s="87">
        <v>0</v>
      </c>
      <c r="G142" s="47">
        <f t="shared" si="11"/>
        <v>0</v>
      </c>
      <c r="H142" s="88"/>
      <c r="I142" s="20">
        <v>45</v>
      </c>
      <c r="J142" s="82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154</v>
      </c>
      <c r="C143" s="79">
        <f>+'10'!G143</f>
        <v>0</v>
      </c>
      <c r="D143" s="87">
        <v>0</v>
      </c>
      <c r="E143" s="47">
        <f t="shared" si="13"/>
        <v>0</v>
      </c>
      <c r="F143" s="87">
        <v>0</v>
      </c>
      <c r="G143" s="47">
        <f t="shared" si="11"/>
        <v>0</v>
      </c>
      <c r="H143" s="88"/>
      <c r="I143" s="20">
        <v>120</v>
      </c>
      <c r="J143" s="82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155</v>
      </c>
      <c r="C144" s="79">
        <f>+'10'!G144</f>
        <v>0</v>
      </c>
      <c r="D144" s="87">
        <v>0</v>
      </c>
      <c r="E144" s="47">
        <f t="shared" si="13"/>
        <v>0</v>
      </c>
      <c r="F144" s="87">
        <v>0</v>
      </c>
      <c r="G144" s="47">
        <f t="shared" si="11"/>
        <v>0</v>
      </c>
      <c r="H144" s="88"/>
      <c r="I144" s="20">
        <v>120</v>
      </c>
      <c r="J144" s="82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156</v>
      </c>
      <c r="C145" s="79">
        <f>+'10'!G145</f>
        <v>0</v>
      </c>
      <c r="D145" s="87">
        <v>0</v>
      </c>
      <c r="E145" s="47">
        <f t="shared" si="13"/>
        <v>0</v>
      </c>
      <c r="F145" s="87">
        <v>0</v>
      </c>
      <c r="G145" s="47">
        <f t="shared" si="11"/>
        <v>0</v>
      </c>
      <c r="H145" s="88"/>
      <c r="I145" s="20">
        <v>120</v>
      </c>
      <c r="J145" s="82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157</v>
      </c>
      <c r="C146" s="79">
        <f>+'10'!G146</f>
        <v>0</v>
      </c>
      <c r="D146" s="87">
        <v>0</v>
      </c>
      <c r="E146" s="47">
        <f t="shared" si="13"/>
        <v>0</v>
      </c>
      <c r="F146" s="87">
        <v>0</v>
      </c>
      <c r="G146" s="47">
        <f t="shared" si="11"/>
        <v>0</v>
      </c>
      <c r="H146" s="88"/>
      <c r="I146" s="20">
        <v>120</v>
      </c>
      <c r="J146" s="82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158</v>
      </c>
      <c r="C147" s="79">
        <f>+'10'!G147</f>
        <v>0</v>
      </c>
      <c r="D147" s="87">
        <v>0</v>
      </c>
      <c r="E147" s="47">
        <f t="shared" si="13"/>
        <v>0</v>
      </c>
      <c r="F147" s="87">
        <v>0</v>
      </c>
      <c r="G147" s="47">
        <f t="shared" si="11"/>
        <v>0</v>
      </c>
      <c r="H147" s="88"/>
      <c r="I147" s="20">
        <v>185</v>
      </c>
      <c r="J147" s="82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159</v>
      </c>
      <c r="C148" s="79">
        <f>+'10'!G148</f>
        <v>0</v>
      </c>
      <c r="D148" s="87">
        <v>0</v>
      </c>
      <c r="E148" s="47">
        <f t="shared" si="13"/>
        <v>0</v>
      </c>
      <c r="F148" s="87">
        <v>0</v>
      </c>
      <c r="G148" s="47">
        <f t="shared" si="11"/>
        <v>0</v>
      </c>
      <c r="H148" s="88"/>
      <c r="I148" s="20">
        <v>185</v>
      </c>
      <c r="J148" s="82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160</v>
      </c>
      <c r="C149" s="79">
        <f>+'10'!G149</f>
        <v>0</v>
      </c>
      <c r="D149" s="87">
        <v>0</v>
      </c>
      <c r="E149" s="47">
        <f t="shared" si="13"/>
        <v>0</v>
      </c>
      <c r="F149" s="87">
        <v>0</v>
      </c>
      <c r="G149" s="47">
        <f t="shared" si="11"/>
        <v>0</v>
      </c>
      <c r="H149" s="88"/>
      <c r="I149" s="20">
        <v>185</v>
      </c>
      <c r="J149" s="82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161</v>
      </c>
      <c r="C150" s="79">
        <f>+'10'!G150</f>
        <v>0</v>
      </c>
      <c r="D150" s="87">
        <v>0</v>
      </c>
      <c r="E150" s="47">
        <f t="shared" si="13"/>
        <v>0</v>
      </c>
      <c r="F150" s="87">
        <v>0</v>
      </c>
      <c r="G150" s="47">
        <f t="shared" si="11"/>
        <v>0</v>
      </c>
      <c r="H150" s="88"/>
      <c r="I150" s="20">
        <v>185</v>
      </c>
      <c r="J150" s="82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5.5" x14ac:dyDescent="0.55000000000000004">
      <c r="A151" s="10">
        <v>147</v>
      </c>
      <c r="B151" s="19" t="s">
        <v>279</v>
      </c>
      <c r="C151" s="79">
        <f>+'10'!G151</f>
        <v>0</v>
      </c>
      <c r="D151" s="87">
        <v>0</v>
      </c>
      <c r="E151" s="47">
        <f t="shared" si="13"/>
        <v>0</v>
      </c>
      <c r="F151" s="87">
        <v>0</v>
      </c>
      <c r="G151" s="47">
        <f t="shared" si="11"/>
        <v>0</v>
      </c>
      <c r="H151" s="88"/>
      <c r="I151" s="20">
        <v>150</v>
      </c>
      <c r="J151" s="82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280</v>
      </c>
      <c r="C152" s="79">
        <v>2</v>
      </c>
      <c r="D152" s="87">
        <v>0</v>
      </c>
      <c r="E152" s="47">
        <f t="shared" si="13"/>
        <v>2</v>
      </c>
      <c r="F152" s="87">
        <v>1</v>
      </c>
      <c r="G152" s="47">
        <f t="shared" si="11"/>
        <v>1</v>
      </c>
      <c r="H152" s="88"/>
      <c r="I152" s="20">
        <v>150</v>
      </c>
      <c r="J152" s="82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5.5" x14ac:dyDescent="0.55000000000000004">
      <c r="A153" s="10">
        <v>149</v>
      </c>
      <c r="B153" s="19" t="s">
        <v>281</v>
      </c>
      <c r="C153" s="79">
        <f>+'10'!G153</f>
        <v>0</v>
      </c>
      <c r="D153" s="87">
        <v>0</v>
      </c>
      <c r="E153" s="47">
        <f t="shared" si="13"/>
        <v>0</v>
      </c>
      <c r="F153" s="87">
        <v>0</v>
      </c>
      <c r="G153" s="47">
        <f t="shared" si="11"/>
        <v>0</v>
      </c>
      <c r="H153" s="88"/>
      <c r="I153" s="20">
        <v>150</v>
      </c>
      <c r="J153" s="82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282</v>
      </c>
      <c r="C154" s="79">
        <f>+'10'!G154</f>
        <v>0</v>
      </c>
      <c r="D154" s="87">
        <v>0</v>
      </c>
      <c r="E154" s="47">
        <f t="shared" si="13"/>
        <v>0</v>
      </c>
      <c r="F154" s="87">
        <v>0</v>
      </c>
      <c r="G154" s="47">
        <f t="shared" si="11"/>
        <v>0</v>
      </c>
      <c r="H154" s="88"/>
      <c r="I154" s="20">
        <v>150</v>
      </c>
      <c r="J154" s="82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166</v>
      </c>
      <c r="C155" s="79">
        <f>+'10'!G155</f>
        <v>0</v>
      </c>
      <c r="D155" s="87">
        <v>0</v>
      </c>
      <c r="E155" s="47">
        <f t="shared" si="13"/>
        <v>0</v>
      </c>
      <c r="F155" s="87">
        <v>0</v>
      </c>
      <c r="G155" s="47">
        <f t="shared" si="11"/>
        <v>0</v>
      </c>
      <c r="H155" s="88"/>
      <c r="I155" s="20">
        <v>185</v>
      </c>
      <c r="J155" s="82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167</v>
      </c>
      <c r="C156" s="79">
        <f>+'10'!G156</f>
        <v>0</v>
      </c>
      <c r="D156" s="87">
        <v>0</v>
      </c>
      <c r="E156" s="47">
        <f t="shared" si="13"/>
        <v>0</v>
      </c>
      <c r="F156" s="87">
        <v>0</v>
      </c>
      <c r="G156" s="47">
        <f t="shared" si="11"/>
        <v>0</v>
      </c>
      <c r="H156" s="88"/>
      <c r="I156" s="20">
        <v>185</v>
      </c>
      <c r="J156" s="82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168</v>
      </c>
      <c r="C157" s="79">
        <f>+'10'!G157</f>
        <v>0</v>
      </c>
      <c r="D157" s="87">
        <v>0</v>
      </c>
      <c r="E157" s="47">
        <f t="shared" si="13"/>
        <v>0</v>
      </c>
      <c r="F157" s="87">
        <v>0</v>
      </c>
      <c r="G157" s="47">
        <f t="shared" si="11"/>
        <v>0</v>
      </c>
      <c r="H157" s="88"/>
      <c r="I157" s="20">
        <v>185</v>
      </c>
      <c r="J157" s="82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169</v>
      </c>
      <c r="C158" s="79">
        <f>+'10'!G158</f>
        <v>0</v>
      </c>
      <c r="D158" s="87">
        <v>0</v>
      </c>
      <c r="E158" s="47">
        <f t="shared" si="13"/>
        <v>0</v>
      </c>
      <c r="F158" s="87">
        <v>0</v>
      </c>
      <c r="G158" s="47">
        <f t="shared" si="11"/>
        <v>0</v>
      </c>
      <c r="H158" s="88"/>
      <c r="I158" s="20">
        <v>185</v>
      </c>
      <c r="J158" s="82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170</v>
      </c>
      <c r="C159" s="79">
        <f>+'10'!G159</f>
        <v>0</v>
      </c>
      <c r="D159" s="87">
        <v>0</v>
      </c>
      <c r="E159" s="47">
        <f t="shared" si="13"/>
        <v>0</v>
      </c>
      <c r="F159" s="87">
        <v>0</v>
      </c>
      <c r="G159" s="47">
        <f t="shared" si="11"/>
        <v>0</v>
      </c>
      <c r="H159" s="88"/>
      <c r="I159" s="20">
        <v>135</v>
      </c>
      <c r="J159" s="82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171</v>
      </c>
      <c r="C160" s="79">
        <f>+'10'!G160</f>
        <v>0</v>
      </c>
      <c r="D160" s="87">
        <v>0</v>
      </c>
      <c r="E160" s="47">
        <f t="shared" si="13"/>
        <v>0</v>
      </c>
      <c r="F160" s="87">
        <v>0</v>
      </c>
      <c r="G160" s="47">
        <f t="shared" si="11"/>
        <v>0</v>
      </c>
      <c r="H160" s="88"/>
      <c r="I160" s="20">
        <v>90</v>
      </c>
      <c r="J160" s="82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172</v>
      </c>
      <c r="C161" s="79">
        <f>+'10'!G161</f>
        <v>0</v>
      </c>
      <c r="D161" s="87">
        <v>0</v>
      </c>
      <c r="E161" s="47">
        <f t="shared" si="13"/>
        <v>0</v>
      </c>
      <c r="F161" s="87">
        <v>0</v>
      </c>
      <c r="G161" s="47">
        <f t="shared" si="11"/>
        <v>0</v>
      </c>
      <c r="H161" s="88"/>
      <c r="I161" s="20">
        <v>90</v>
      </c>
      <c r="J161" s="82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173</v>
      </c>
      <c r="C162" s="79">
        <f>+'10'!G162</f>
        <v>0</v>
      </c>
      <c r="D162" s="87">
        <v>0</v>
      </c>
      <c r="E162" s="47">
        <f t="shared" si="13"/>
        <v>0</v>
      </c>
      <c r="F162" s="87">
        <v>0</v>
      </c>
      <c r="G162" s="47">
        <f t="shared" si="11"/>
        <v>0</v>
      </c>
      <c r="H162" s="88"/>
      <c r="I162" s="20">
        <v>90</v>
      </c>
      <c r="J162" s="82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174</v>
      </c>
      <c r="C163" s="79">
        <f>+'10'!G163</f>
        <v>0</v>
      </c>
      <c r="D163" s="87">
        <v>0</v>
      </c>
      <c r="E163" s="47">
        <f t="shared" si="13"/>
        <v>0</v>
      </c>
      <c r="F163" s="87">
        <v>0</v>
      </c>
      <c r="G163" s="47">
        <f t="shared" si="11"/>
        <v>0</v>
      </c>
      <c r="H163" s="88"/>
      <c r="I163" s="20">
        <v>90</v>
      </c>
      <c r="J163" s="82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175</v>
      </c>
      <c r="C164" s="79">
        <f>+'10'!G164</f>
        <v>0</v>
      </c>
      <c r="D164" s="87">
        <v>0</v>
      </c>
      <c r="E164" s="47">
        <f t="shared" si="13"/>
        <v>0</v>
      </c>
      <c r="F164" s="87">
        <v>0</v>
      </c>
      <c r="G164" s="47">
        <f t="shared" si="11"/>
        <v>0</v>
      </c>
      <c r="H164" s="88"/>
      <c r="I164" s="20">
        <v>25</v>
      </c>
      <c r="J164" s="82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176</v>
      </c>
      <c r="C165" s="79">
        <f>+'10'!G165</f>
        <v>0</v>
      </c>
      <c r="D165" s="87">
        <v>0</v>
      </c>
      <c r="E165" s="47">
        <f t="shared" si="13"/>
        <v>0</v>
      </c>
      <c r="F165" s="87">
        <v>0</v>
      </c>
      <c r="G165" s="47">
        <f t="shared" ref="G165:G227" si="15">+E165-F165-H165</f>
        <v>0</v>
      </c>
      <c r="H165" s="88"/>
      <c r="I165" s="20">
        <v>50</v>
      </c>
      <c r="J165" s="82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177</v>
      </c>
      <c r="C166" s="79">
        <f>+'10'!G166</f>
        <v>0</v>
      </c>
      <c r="D166" s="87">
        <v>0</v>
      </c>
      <c r="E166" s="47">
        <f t="shared" si="13"/>
        <v>0</v>
      </c>
      <c r="F166" s="87">
        <v>0</v>
      </c>
      <c r="G166" s="47">
        <f t="shared" si="15"/>
        <v>0</v>
      </c>
      <c r="H166" s="88"/>
      <c r="I166" s="20">
        <v>50</v>
      </c>
      <c r="J166" s="82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178</v>
      </c>
      <c r="C167" s="79">
        <f>+'10'!G167</f>
        <v>0</v>
      </c>
      <c r="D167" s="87">
        <v>0</v>
      </c>
      <c r="E167" s="47">
        <f t="shared" si="13"/>
        <v>0</v>
      </c>
      <c r="F167" s="87">
        <v>0</v>
      </c>
      <c r="G167" s="47">
        <f t="shared" si="15"/>
        <v>0</v>
      </c>
      <c r="H167" s="88"/>
      <c r="I167" s="20">
        <v>50</v>
      </c>
      <c r="J167" s="82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179</v>
      </c>
      <c r="C168" s="79">
        <f>+'10'!G168</f>
        <v>7</v>
      </c>
      <c r="D168" s="87">
        <v>0</v>
      </c>
      <c r="E168" s="47">
        <f t="shared" si="13"/>
        <v>7</v>
      </c>
      <c r="F168" s="87">
        <v>0</v>
      </c>
      <c r="G168" s="47">
        <f t="shared" si="15"/>
        <v>7</v>
      </c>
      <c r="H168" s="88"/>
      <c r="I168" s="20">
        <v>50</v>
      </c>
      <c r="J168" s="82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180</v>
      </c>
      <c r="C169" s="79">
        <f>+'10'!G169</f>
        <v>42</v>
      </c>
      <c r="D169" s="87">
        <v>0</v>
      </c>
      <c r="E169" s="47">
        <f t="shared" si="13"/>
        <v>42</v>
      </c>
      <c r="F169" s="87">
        <v>0</v>
      </c>
      <c r="G169" s="47">
        <f t="shared" si="15"/>
        <v>42</v>
      </c>
      <c r="H169" s="88"/>
      <c r="I169" s="20">
        <v>55</v>
      </c>
      <c r="J169" s="82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181</v>
      </c>
      <c r="C170" s="79">
        <f>+'10'!G170</f>
        <v>0</v>
      </c>
      <c r="D170" s="87">
        <v>0</v>
      </c>
      <c r="E170" s="47">
        <f t="shared" si="13"/>
        <v>0</v>
      </c>
      <c r="F170" s="87">
        <v>0</v>
      </c>
      <c r="G170" s="47">
        <f t="shared" si="15"/>
        <v>0</v>
      </c>
      <c r="H170" s="88"/>
      <c r="I170" s="20">
        <v>85</v>
      </c>
      <c r="J170" s="82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182</v>
      </c>
      <c r="C171" s="79">
        <f>+'10'!G171</f>
        <v>10</v>
      </c>
      <c r="D171" s="87">
        <v>0</v>
      </c>
      <c r="E171" s="47">
        <f t="shared" si="13"/>
        <v>10</v>
      </c>
      <c r="F171" s="87">
        <v>0</v>
      </c>
      <c r="G171" s="47">
        <f t="shared" si="15"/>
        <v>9</v>
      </c>
      <c r="H171" s="88">
        <v>1</v>
      </c>
      <c r="I171" s="20">
        <v>80</v>
      </c>
      <c r="J171" s="82">
        <f t="shared" si="16"/>
        <v>80</v>
      </c>
      <c r="K171" s="17" t="s">
        <v>16</v>
      </c>
      <c r="L171" s="18">
        <v>0</v>
      </c>
      <c r="M171" s="104">
        <f t="shared" si="14"/>
        <v>80</v>
      </c>
    </row>
    <row r="172" spans="1:13" ht="25.5" x14ac:dyDescent="0.55000000000000004">
      <c r="A172" s="10">
        <v>168</v>
      </c>
      <c r="B172" s="19" t="s">
        <v>183</v>
      </c>
      <c r="C172" s="79">
        <f>+'10'!G172</f>
        <v>0</v>
      </c>
      <c r="D172" s="87">
        <v>0</v>
      </c>
      <c r="E172" s="47">
        <f t="shared" si="13"/>
        <v>0</v>
      </c>
      <c r="F172" s="87">
        <v>0</v>
      </c>
      <c r="G172" s="47">
        <f t="shared" si="15"/>
        <v>0</v>
      </c>
      <c r="H172" s="88"/>
      <c r="I172" s="20">
        <v>40</v>
      </c>
      <c r="J172" s="82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184</v>
      </c>
      <c r="C173" s="79">
        <f>+'10'!G173</f>
        <v>0</v>
      </c>
      <c r="D173" s="87">
        <v>0</v>
      </c>
      <c r="E173" s="47">
        <f t="shared" si="13"/>
        <v>0</v>
      </c>
      <c r="F173" s="87">
        <v>0</v>
      </c>
      <c r="G173" s="47">
        <f t="shared" si="15"/>
        <v>0</v>
      </c>
      <c r="H173" s="88"/>
      <c r="I173" s="20">
        <v>120</v>
      </c>
      <c r="J173" s="82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185</v>
      </c>
      <c r="C174" s="79">
        <f>+'10'!G174</f>
        <v>0</v>
      </c>
      <c r="D174" s="87">
        <v>0</v>
      </c>
      <c r="E174" s="47">
        <f t="shared" si="13"/>
        <v>0</v>
      </c>
      <c r="F174" s="87">
        <v>0</v>
      </c>
      <c r="G174" s="47">
        <f t="shared" si="15"/>
        <v>0</v>
      </c>
      <c r="H174" s="88"/>
      <c r="I174" s="20">
        <v>120</v>
      </c>
      <c r="J174" s="82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186</v>
      </c>
      <c r="C175" s="79">
        <f>+'10'!G175</f>
        <v>0</v>
      </c>
      <c r="D175" s="87">
        <v>0</v>
      </c>
      <c r="E175" s="47">
        <f t="shared" si="13"/>
        <v>0</v>
      </c>
      <c r="F175" s="87">
        <v>0</v>
      </c>
      <c r="G175" s="47">
        <f t="shared" si="15"/>
        <v>0</v>
      </c>
      <c r="H175" s="88"/>
      <c r="I175" s="20">
        <v>55</v>
      </c>
      <c r="J175" s="82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187</v>
      </c>
      <c r="C176" s="79">
        <f>+'10'!G176</f>
        <v>0</v>
      </c>
      <c r="D176" s="87">
        <v>0</v>
      </c>
      <c r="E176" s="47">
        <f t="shared" si="13"/>
        <v>0</v>
      </c>
      <c r="F176" s="87">
        <v>0</v>
      </c>
      <c r="G176" s="47">
        <f t="shared" si="15"/>
        <v>0</v>
      </c>
      <c r="H176" s="88"/>
      <c r="I176" s="20">
        <v>50</v>
      </c>
      <c r="J176" s="82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188</v>
      </c>
      <c r="C177" s="79">
        <f>+'10'!G177</f>
        <v>0</v>
      </c>
      <c r="D177" s="87">
        <v>0</v>
      </c>
      <c r="E177" s="47">
        <f t="shared" si="13"/>
        <v>0</v>
      </c>
      <c r="F177" s="87">
        <v>0</v>
      </c>
      <c r="G177" s="47">
        <f t="shared" si="15"/>
        <v>0</v>
      </c>
      <c r="H177" s="88"/>
      <c r="I177" s="20">
        <v>50</v>
      </c>
      <c r="J177" s="82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189</v>
      </c>
      <c r="C178" s="79">
        <f>+'10'!G178</f>
        <v>1</v>
      </c>
      <c r="D178" s="87">
        <v>0</v>
      </c>
      <c r="E178" s="47">
        <f t="shared" si="13"/>
        <v>1</v>
      </c>
      <c r="F178" s="87">
        <v>0</v>
      </c>
      <c r="G178" s="47">
        <f t="shared" si="15"/>
        <v>1</v>
      </c>
      <c r="H178" s="88"/>
      <c r="I178" s="20">
        <v>120</v>
      </c>
      <c r="J178" s="82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190</v>
      </c>
      <c r="C179" s="79">
        <f>+'10'!G179</f>
        <v>0</v>
      </c>
      <c r="D179" s="87">
        <v>0</v>
      </c>
      <c r="E179" s="47">
        <f t="shared" si="13"/>
        <v>0</v>
      </c>
      <c r="F179" s="87">
        <v>0</v>
      </c>
      <c r="G179" s="47">
        <f t="shared" si="15"/>
        <v>0</v>
      </c>
      <c r="H179" s="88"/>
      <c r="I179" s="20">
        <v>120</v>
      </c>
      <c r="J179" s="82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191</v>
      </c>
      <c r="C180" s="79">
        <f>+'10'!G180</f>
        <v>0</v>
      </c>
      <c r="D180" s="87">
        <v>0</v>
      </c>
      <c r="E180" s="47">
        <f t="shared" si="13"/>
        <v>0</v>
      </c>
      <c r="F180" s="87">
        <v>0</v>
      </c>
      <c r="G180" s="47">
        <f t="shared" si="15"/>
        <v>0</v>
      </c>
      <c r="H180" s="88"/>
      <c r="I180" s="20">
        <v>10</v>
      </c>
      <c r="J180" s="82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192</v>
      </c>
      <c r="C181" s="79">
        <f>+'10'!G181</f>
        <v>0</v>
      </c>
      <c r="D181" s="87">
        <v>0</v>
      </c>
      <c r="E181" s="47">
        <f t="shared" si="13"/>
        <v>0</v>
      </c>
      <c r="F181" s="87">
        <v>0</v>
      </c>
      <c r="G181" s="47">
        <f t="shared" si="15"/>
        <v>0</v>
      </c>
      <c r="H181" s="88"/>
      <c r="I181" s="20">
        <v>35</v>
      </c>
      <c r="J181" s="82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193</v>
      </c>
      <c r="C182" s="79">
        <f>+'10'!G182</f>
        <v>0</v>
      </c>
      <c r="D182" s="87">
        <v>0</v>
      </c>
      <c r="E182" s="47">
        <f t="shared" si="13"/>
        <v>0</v>
      </c>
      <c r="F182" s="87">
        <v>0</v>
      </c>
      <c r="G182" s="47">
        <f t="shared" si="15"/>
        <v>0</v>
      </c>
      <c r="H182" s="88"/>
      <c r="I182" s="20">
        <v>10</v>
      </c>
      <c r="J182" s="82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194</v>
      </c>
      <c r="C183" s="79">
        <f>+'10'!G183</f>
        <v>0</v>
      </c>
      <c r="D183" s="87">
        <v>0</v>
      </c>
      <c r="E183" s="47">
        <f t="shared" si="13"/>
        <v>0</v>
      </c>
      <c r="F183" s="87">
        <v>0</v>
      </c>
      <c r="G183" s="47">
        <f t="shared" si="15"/>
        <v>0</v>
      </c>
      <c r="H183" s="88"/>
      <c r="I183" s="20">
        <v>10</v>
      </c>
      <c r="J183" s="82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195</v>
      </c>
      <c r="C184" s="79">
        <f>+'10'!G184</f>
        <v>0</v>
      </c>
      <c r="D184" s="87">
        <v>0</v>
      </c>
      <c r="E184" s="47">
        <f t="shared" si="13"/>
        <v>0</v>
      </c>
      <c r="F184" s="87">
        <v>0</v>
      </c>
      <c r="G184" s="47">
        <f t="shared" si="15"/>
        <v>0</v>
      </c>
      <c r="H184" s="88"/>
      <c r="I184" s="20">
        <v>10</v>
      </c>
      <c r="J184" s="82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196</v>
      </c>
      <c r="C185" s="79">
        <f>+'10'!G185</f>
        <v>0</v>
      </c>
      <c r="D185" s="87">
        <v>0</v>
      </c>
      <c r="E185" s="47">
        <f t="shared" si="13"/>
        <v>0</v>
      </c>
      <c r="F185" s="87">
        <v>0</v>
      </c>
      <c r="G185" s="47">
        <f t="shared" si="15"/>
        <v>0</v>
      </c>
      <c r="H185" s="88"/>
      <c r="I185" s="20">
        <v>10</v>
      </c>
      <c r="J185" s="82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197</v>
      </c>
      <c r="C186" s="79">
        <f>+'10'!G186</f>
        <v>0</v>
      </c>
      <c r="D186" s="87">
        <v>0</v>
      </c>
      <c r="E186" s="47">
        <f t="shared" si="13"/>
        <v>0</v>
      </c>
      <c r="F186" s="87">
        <v>0</v>
      </c>
      <c r="G186" s="47">
        <f t="shared" si="15"/>
        <v>0</v>
      </c>
      <c r="H186" s="88"/>
      <c r="I186" s="20">
        <v>10</v>
      </c>
      <c r="J186" s="82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198</v>
      </c>
      <c r="C187" s="79">
        <f>+'10'!G187</f>
        <v>0</v>
      </c>
      <c r="D187" s="87">
        <v>0</v>
      </c>
      <c r="E187" s="47">
        <f t="shared" si="13"/>
        <v>0</v>
      </c>
      <c r="F187" s="87">
        <v>0</v>
      </c>
      <c r="G187" s="47">
        <f t="shared" si="15"/>
        <v>0</v>
      </c>
      <c r="H187" s="88"/>
      <c r="I187" s="20">
        <v>25</v>
      </c>
      <c r="J187" s="82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249</v>
      </c>
      <c r="C188" s="79">
        <f>+'10'!G188</f>
        <v>0</v>
      </c>
      <c r="D188" s="87">
        <v>0</v>
      </c>
      <c r="E188" s="47">
        <f t="shared" si="13"/>
        <v>0</v>
      </c>
      <c r="F188" s="87">
        <v>0</v>
      </c>
      <c r="G188" s="47">
        <f t="shared" si="15"/>
        <v>0</v>
      </c>
      <c r="H188" s="88"/>
      <c r="I188" s="15">
        <v>50</v>
      </c>
      <c r="J188" s="82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250</v>
      </c>
      <c r="C189" s="79">
        <f>+'10'!G189</f>
        <v>0</v>
      </c>
      <c r="D189" s="87">
        <v>0</v>
      </c>
      <c r="E189" s="47">
        <f t="shared" si="13"/>
        <v>0</v>
      </c>
      <c r="F189" s="87">
        <v>0</v>
      </c>
      <c r="G189" s="47">
        <f t="shared" si="15"/>
        <v>0</v>
      </c>
      <c r="H189" s="88"/>
      <c r="I189" s="15">
        <v>10</v>
      </c>
      <c r="J189" s="82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251</v>
      </c>
      <c r="C190" s="79">
        <f>+'10'!G190</f>
        <v>0</v>
      </c>
      <c r="D190" s="87">
        <v>0</v>
      </c>
      <c r="E190" s="47">
        <f t="shared" ref="E190:E252" si="17">C190+D190</f>
        <v>0</v>
      </c>
      <c r="F190" s="87">
        <v>0</v>
      </c>
      <c r="G190" s="47">
        <f t="shared" si="15"/>
        <v>0</v>
      </c>
      <c r="H190" s="88"/>
      <c r="I190" s="15">
        <v>15</v>
      </c>
      <c r="J190" s="82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252</v>
      </c>
      <c r="C191" s="79">
        <f>+'10'!G191</f>
        <v>0</v>
      </c>
      <c r="D191" s="87">
        <v>0</v>
      </c>
      <c r="E191" s="47">
        <f t="shared" si="17"/>
        <v>0</v>
      </c>
      <c r="F191" s="87">
        <v>0</v>
      </c>
      <c r="G191" s="47">
        <f t="shared" si="15"/>
        <v>0</v>
      </c>
      <c r="H191" s="88"/>
      <c r="I191" s="15">
        <v>25</v>
      </c>
      <c r="J191" s="82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253</v>
      </c>
      <c r="C192" s="79">
        <f>+'10'!G192</f>
        <v>0</v>
      </c>
      <c r="D192" s="87">
        <v>0</v>
      </c>
      <c r="E192" s="47">
        <f t="shared" si="17"/>
        <v>0</v>
      </c>
      <c r="F192" s="87">
        <v>0</v>
      </c>
      <c r="G192" s="47">
        <f t="shared" si="15"/>
        <v>0</v>
      </c>
      <c r="H192" s="88"/>
      <c r="I192" s="15">
        <v>50</v>
      </c>
      <c r="J192" s="82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254</v>
      </c>
      <c r="C193" s="79">
        <f>+'10'!G193</f>
        <v>0</v>
      </c>
      <c r="D193" s="87">
        <v>0</v>
      </c>
      <c r="E193" s="47">
        <f t="shared" si="17"/>
        <v>0</v>
      </c>
      <c r="F193" s="87">
        <v>0</v>
      </c>
      <c r="G193" s="47">
        <f t="shared" si="15"/>
        <v>0</v>
      </c>
      <c r="H193" s="88"/>
      <c r="I193" s="15">
        <v>45</v>
      </c>
      <c r="J193" s="82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255</v>
      </c>
      <c r="C194" s="79">
        <f>+'10'!G194</f>
        <v>0</v>
      </c>
      <c r="D194" s="87">
        <v>0</v>
      </c>
      <c r="E194" s="47">
        <f t="shared" si="17"/>
        <v>0</v>
      </c>
      <c r="F194" s="87">
        <v>0</v>
      </c>
      <c r="G194" s="47">
        <f t="shared" si="15"/>
        <v>0</v>
      </c>
      <c r="H194" s="88"/>
      <c r="I194" s="15">
        <v>50</v>
      </c>
      <c r="J194" s="82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199</v>
      </c>
      <c r="C195" s="79">
        <f>+'10'!G195</f>
        <v>0</v>
      </c>
      <c r="D195" s="87">
        <v>0</v>
      </c>
      <c r="E195" s="47">
        <f t="shared" si="17"/>
        <v>0</v>
      </c>
      <c r="F195" s="87">
        <v>0</v>
      </c>
      <c r="G195" s="47">
        <f t="shared" si="15"/>
        <v>0</v>
      </c>
      <c r="H195" s="88"/>
      <c r="I195" s="15">
        <v>150</v>
      </c>
      <c r="J195" s="82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200</v>
      </c>
      <c r="C196" s="79">
        <f>+'10'!G196</f>
        <v>0</v>
      </c>
      <c r="D196" s="87">
        <v>0</v>
      </c>
      <c r="E196" s="47">
        <f t="shared" si="17"/>
        <v>0</v>
      </c>
      <c r="F196" s="87">
        <v>0</v>
      </c>
      <c r="G196" s="47">
        <f t="shared" si="15"/>
        <v>0</v>
      </c>
      <c r="H196" s="88"/>
      <c r="I196" s="15">
        <v>150</v>
      </c>
      <c r="J196" s="82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201</v>
      </c>
      <c r="C197" s="79">
        <f>+'10'!G197</f>
        <v>0</v>
      </c>
      <c r="D197" s="87">
        <v>0</v>
      </c>
      <c r="E197" s="47">
        <f t="shared" si="17"/>
        <v>0</v>
      </c>
      <c r="F197" s="87">
        <v>0</v>
      </c>
      <c r="G197" s="47">
        <f t="shared" si="15"/>
        <v>0</v>
      </c>
      <c r="H197" s="88"/>
      <c r="I197" s="15">
        <v>150</v>
      </c>
      <c r="J197" s="82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256</v>
      </c>
      <c r="C198" s="79">
        <f>+'10'!G198</f>
        <v>0</v>
      </c>
      <c r="D198" s="87">
        <v>0</v>
      </c>
      <c r="E198" s="47">
        <f t="shared" si="17"/>
        <v>0</v>
      </c>
      <c r="F198" s="87">
        <v>0</v>
      </c>
      <c r="G198" s="47">
        <f t="shared" si="15"/>
        <v>0</v>
      </c>
      <c r="H198" s="88"/>
      <c r="I198" s="15">
        <v>55</v>
      </c>
      <c r="J198" s="82">
        <f t="shared" si="16"/>
        <v>0</v>
      </c>
      <c r="K198" s="17" t="s">
        <v>16</v>
      </c>
      <c r="L198" s="18">
        <v>0</v>
      </c>
      <c r="M198" s="23">
        <f t="shared" si="14"/>
        <v>0</v>
      </c>
    </row>
    <row r="199" spans="1:13" ht="25.5" x14ac:dyDescent="0.55000000000000004">
      <c r="A199" s="10">
        <v>195</v>
      </c>
      <c r="B199" s="19" t="s">
        <v>257</v>
      </c>
      <c r="C199" s="79">
        <f>+'10'!G199</f>
        <v>0</v>
      </c>
      <c r="D199" s="87">
        <v>0</v>
      </c>
      <c r="E199" s="47">
        <f t="shared" si="17"/>
        <v>0</v>
      </c>
      <c r="F199" s="87">
        <v>0</v>
      </c>
      <c r="G199" s="47">
        <f t="shared" si="15"/>
        <v>0</v>
      </c>
      <c r="H199" s="88"/>
      <c r="I199" s="15">
        <v>30</v>
      </c>
      <c r="J199" s="82">
        <f t="shared" si="16"/>
        <v>0</v>
      </c>
      <c r="K199" s="17" t="s">
        <v>16</v>
      </c>
      <c r="L199" s="18">
        <v>0</v>
      </c>
      <c r="M199" s="23">
        <f t="shared" ref="M199:M254" si="18">SUM(J199-L199)</f>
        <v>0</v>
      </c>
    </row>
    <row r="200" spans="1:13" ht="25.5" x14ac:dyDescent="0.55000000000000004">
      <c r="A200" s="10">
        <v>196</v>
      </c>
      <c r="B200" s="19" t="s">
        <v>258</v>
      </c>
      <c r="C200" s="79">
        <f>+'10'!G200</f>
        <v>0</v>
      </c>
      <c r="D200" s="87">
        <v>0</v>
      </c>
      <c r="E200" s="47">
        <f t="shared" si="17"/>
        <v>0</v>
      </c>
      <c r="F200" s="87">
        <v>0</v>
      </c>
      <c r="G200" s="47">
        <f t="shared" si="15"/>
        <v>0</v>
      </c>
      <c r="H200" s="88"/>
      <c r="I200" s="15">
        <v>30</v>
      </c>
      <c r="J200" s="82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259</v>
      </c>
      <c r="C201" s="79">
        <f>+'10'!G201</f>
        <v>0</v>
      </c>
      <c r="D201" s="87">
        <v>0</v>
      </c>
      <c r="E201" s="47">
        <f t="shared" si="17"/>
        <v>0</v>
      </c>
      <c r="F201" s="87">
        <v>0</v>
      </c>
      <c r="G201" s="47">
        <f t="shared" si="15"/>
        <v>0</v>
      </c>
      <c r="H201" s="88"/>
      <c r="I201" s="15">
        <v>30</v>
      </c>
      <c r="J201" s="82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260</v>
      </c>
      <c r="C202" s="79">
        <f>+'10'!G202</f>
        <v>0</v>
      </c>
      <c r="D202" s="87">
        <v>0</v>
      </c>
      <c r="E202" s="47">
        <f t="shared" si="17"/>
        <v>0</v>
      </c>
      <c r="F202" s="87">
        <v>0</v>
      </c>
      <c r="G202" s="47">
        <f t="shared" si="15"/>
        <v>0</v>
      </c>
      <c r="H202" s="88"/>
      <c r="I202" s="15">
        <v>30</v>
      </c>
      <c r="J202" s="82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261</v>
      </c>
      <c r="C203" s="79">
        <f>+'10'!G203</f>
        <v>0</v>
      </c>
      <c r="D203" s="87">
        <v>0</v>
      </c>
      <c r="E203" s="47">
        <f t="shared" si="17"/>
        <v>0</v>
      </c>
      <c r="F203" s="87">
        <v>0</v>
      </c>
      <c r="G203" s="47">
        <f t="shared" si="15"/>
        <v>0</v>
      </c>
      <c r="H203" s="88"/>
      <c r="I203" s="20">
        <v>30</v>
      </c>
      <c r="J203" s="82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262</v>
      </c>
      <c r="C204" s="79">
        <f>+'10'!G204</f>
        <v>0</v>
      </c>
      <c r="D204" s="87">
        <v>0</v>
      </c>
      <c r="E204" s="47">
        <f t="shared" si="17"/>
        <v>0</v>
      </c>
      <c r="F204" s="87">
        <v>0</v>
      </c>
      <c r="G204" s="47">
        <f t="shared" si="15"/>
        <v>0</v>
      </c>
      <c r="H204" s="88"/>
      <c r="I204" s="20">
        <v>30</v>
      </c>
      <c r="J204" s="82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263</v>
      </c>
      <c r="C205" s="79">
        <f>+'10'!G205</f>
        <v>0</v>
      </c>
      <c r="D205" s="87">
        <v>0</v>
      </c>
      <c r="E205" s="47">
        <f t="shared" si="17"/>
        <v>0</v>
      </c>
      <c r="F205" s="87">
        <v>0</v>
      </c>
      <c r="G205" s="47">
        <f t="shared" si="15"/>
        <v>0</v>
      </c>
      <c r="H205" s="88"/>
      <c r="I205" s="20">
        <v>50</v>
      </c>
      <c r="J205" s="82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 t="s">
        <v>264</v>
      </c>
      <c r="C206" s="79">
        <f>+'10'!G206</f>
        <v>0</v>
      </c>
      <c r="D206" s="87">
        <v>0</v>
      </c>
      <c r="E206" s="47">
        <f t="shared" si="17"/>
        <v>0</v>
      </c>
      <c r="F206" s="87">
        <v>0</v>
      </c>
      <c r="G206" s="47">
        <f t="shared" si="15"/>
        <v>0</v>
      </c>
      <c r="H206" s="88"/>
      <c r="I206" s="20">
        <v>100</v>
      </c>
      <c r="J206" s="82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265</v>
      </c>
      <c r="C207" s="79">
        <f>+'10'!G207</f>
        <v>0</v>
      </c>
      <c r="D207" s="87">
        <v>0</v>
      </c>
      <c r="E207" s="47">
        <f t="shared" si="17"/>
        <v>0</v>
      </c>
      <c r="F207" s="87">
        <v>0</v>
      </c>
      <c r="G207" s="47">
        <f t="shared" si="15"/>
        <v>0</v>
      </c>
      <c r="H207" s="88"/>
      <c r="I207" s="20">
        <v>100</v>
      </c>
      <c r="J207" s="82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266</v>
      </c>
      <c r="C208" s="79">
        <f>+'10'!G208</f>
        <v>0</v>
      </c>
      <c r="D208" s="87">
        <v>0</v>
      </c>
      <c r="E208" s="47">
        <f t="shared" si="17"/>
        <v>0</v>
      </c>
      <c r="F208" s="87">
        <v>0</v>
      </c>
      <c r="G208" s="47">
        <f t="shared" si="15"/>
        <v>0</v>
      </c>
      <c r="H208" s="88"/>
      <c r="I208" s="20">
        <v>100</v>
      </c>
      <c r="J208" s="82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 t="s">
        <v>267</v>
      </c>
      <c r="C209" s="79">
        <f>+'10'!G209</f>
        <v>0</v>
      </c>
      <c r="D209" s="87">
        <v>0</v>
      </c>
      <c r="E209" s="47">
        <f t="shared" si="17"/>
        <v>0</v>
      </c>
      <c r="F209" s="87">
        <v>0</v>
      </c>
      <c r="G209" s="47">
        <f t="shared" si="15"/>
        <v>0</v>
      </c>
      <c r="H209" s="88"/>
      <c r="I209" s="20">
        <v>100</v>
      </c>
      <c r="J209" s="82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268</v>
      </c>
      <c r="C210" s="79">
        <f>+'10'!G210</f>
        <v>0</v>
      </c>
      <c r="D210" s="87">
        <v>0</v>
      </c>
      <c r="E210" s="47">
        <f t="shared" si="17"/>
        <v>0</v>
      </c>
      <c r="F210" s="87">
        <v>0</v>
      </c>
      <c r="G210" s="47">
        <f t="shared" si="15"/>
        <v>0</v>
      </c>
      <c r="H210" s="88"/>
      <c r="I210" s="20">
        <v>250</v>
      </c>
      <c r="J210" s="82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 t="s">
        <v>269</v>
      </c>
      <c r="C211" s="79">
        <f>+'10'!G211</f>
        <v>0</v>
      </c>
      <c r="D211" s="87">
        <v>0</v>
      </c>
      <c r="E211" s="47">
        <f t="shared" si="17"/>
        <v>0</v>
      </c>
      <c r="F211" s="87">
        <v>0</v>
      </c>
      <c r="G211" s="47">
        <f t="shared" si="15"/>
        <v>0</v>
      </c>
      <c r="H211" s="88"/>
      <c r="I211" s="20">
        <v>250</v>
      </c>
      <c r="J211" s="82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 t="s">
        <v>270</v>
      </c>
      <c r="C212" s="79">
        <f>+'10'!G212</f>
        <v>0</v>
      </c>
      <c r="D212" s="87">
        <v>0</v>
      </c>
      <c r="E212" s="47">
        <f t="shared" si="17"/>
        <v>0</v>
      </c>
      <c r="F212" s="87">
        <v>0</v>
      </c>
      <c r="G212" s="47">
        <f t="shared" si="15"/>
        <v>0</v>
      </c>
      <c r="H212" s="88"/>
      <c r="I212" s="20">
        <v>250</v>
      </c>
      <c r="J212" s="82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 t="s">
        <v>271</v>
      </c>
      <c r="C213" s="79">
        <f>+'10'!G213</f>
        <v>0</v>
      </c>
      <c r="D213" s="87">
        <v>0</v>
      </c>
      <c r="E213" s="47">
        <f t="shared" si="17"/>
        <v>0</v>
      </c>
      <c r="F213" s="87">
        <v>0</v>
      </c>
      <c r="G213" s="47">
        <f t="shared" si="15"/>
        <v>0</v>
      </c>
      <c r="H213" s="88"/>
      <c r="I213" s="20">
        <v>50</v>
      </c>
      <c r="J213" s="82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 t="s">
        <v>273</v>
      </c>
      <c r="C214" s="79">
        <f>+'10'!G214</f>
        <v>0</v>
      </c>
      <c r="D214" s="87">
        <v>0</v>
      </c>
      <c r="E214" s="47">
        <f t="shared" si="17"/>
        <v>0</v>
      </c>
      <c r="F214" s="87">
        <v>0</v>
      </c>
      <c r="G214" s="47">
        <f t="shared" si="15"/>
        <v>0</v>
      </c>
      <c r="H214" s="88"/>
      <c r="I214" s="20">
        <v>50</v>
      </c>
      <c r="J214" s="82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 t="s">
        <v>274</v>
      </c>
      <c r="C215" s="79">
        <f>+'10'!G215</f>
        <v>0</v>
      </c>
      <c r="D215" s="87">
        <v>0</v>
      </c>
      <c r="E215" s="47">
        <f t="shared" si="17"/>
        <v>0</v>
      </c>
      <c r="F215" s="87">
        <v>0</v>
      </c>
      <c r="G215" s="47">
        <f t="shared" si="15"/>
        <v>0</v>
      </c>
      <c r="H215" s="88"/>
      <c r="I215" s="20">
        <v>50</v>
      </c>
      <c r="J215" s="82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 t="s">
        <v>242</v>
      </c>
      <c r="C216" s="79">
        <f>+'10'!G216</f>
        <v>0</v>
      </c>
      <c r="D216" s="87">
        <v>0</v>
      </c>
      <c r="E216" s="47">
        <f t="shared" si="17"/>
        <v>0</v>
      </c>
      <c r="F216" s="87">
        <v>0</v>
      </c>
      <c r="G216" s="47">
        <f t="shared" si="15"/>
        <v>0</v>
      </c>
      <c r="H216" s="88"/>
      <c r="I216" s="20">
        <v>35</v>
      </c>
      <c r="J216" s="82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 t="s">
        <v>275</v>
      </c>
      <c r="C217" s="79">
        <f>+'10'!G217</f>
        <v>0</v>
      </c>
      <c r="D217" s="87">
        <v>0</v>
      </c>
      <c r="E217" s="47">
        <f t="shared" si="17"/>
        <v>0</v>
      </c>
      <c r="F217" s="87">
        <v>0</v>
      </c>
      <c r="G217" s="47">
        <f t="shared" si="15"/>
        <v>0</v>
      </c>
      <c r="H217" s="88"/>
      <c r="I217" s="20">
        <v>199</v>
      </c>
      <c r="J217" s="82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 t="s">
        <v>283</v>
      </c>
      <c r="C218" s="79">
        <v>0</v>
      </c>
      <c r="D218" s="87">
        <v>0</v>
      </c>
      <c r="E218" s="47">
        <f t="shared" si="17"/>
        <v>0</v>
      </c>
      <c r="F218" s="87">
        <v>0</v>
      </c>
      <c r="G218" s="47">
        <f t="shared" si="15"/>
        <v>0</v>
      </c>
      <c r="H218" s="88"/>
      <c r="I218" s="20">
        <v>25</v>
      </c>
      <c r="J218" s="82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 t="s">
        <v>284</v>
      </c>
      <c r="C219" s="79">
        <v>0</v>
      </c>
      <c r="D219" s="87">
        <v>0</v>
      </c>
      <c r="E219" s="47">
        <f t="shared" si="17"/>
        <v>0</v>
      </c>
      <c r="F219" s="87">
        <v>0</v>
      </c>
      <c r="G219" s="47">
        <f t="shared" si="15"/>
        <v>0</v>
      </c>
      <c r="H219" s="88"/>
      <c r="I219" s="20">
        <v>25</v>
      </c>
      <c r="J219" s="82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 t="s">
        <v>314</v>
      </c>
      <c r="C220" s="79">
        <v>26</v>
      </c>
      <c r="D220" s="87">
        <v>0</v>
      </c>
      <c r="E220" s="47">
        <f t="shared" si="17"/>
        <v>26</v>
      </c>
      <c r="F220" s="87">
        <v>0</v>
      </c>
      <c r="G220" s="47">
        <f t="shared" si="15"/>
        <v>26</v>
      </c>
      <c r="H220" s="88"/>
      <c r="I220" s="20">
        <v>35</v>
      </c>
      <c r="J220" s="82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 t="s">
        <v>326</v>
      </c>
      <c r="C221" s="79">
        <f>+'10'!G221</f>
        <v>0</v>
      </c>
      <c r="D221" s="87">
        <v>0</v>
      </c>
      <c r="E221" s="47">
        <f t="shared" si="17"/>
        <v>0</v>
      </c>
      <c r="F221" s="87">
        <v>0</v>
      </c>
      <c r="G221" s="47">
        <f t="shared" si="15"/>
        <v>0</v>
      </c>
      <c r="H221" s="88"/>
      <c r="I221" s="20">
        <v>55</v>
      </c>
      <c r="J221" s="82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 t="s">
        <v>327</v>
      </c>
      <c r="C222" s="79">
        <f>+'10'!G222</f>
        <v>0</v>
      </c>
      <c r="D222" s="87">
        <v>0</v>
      </c>
      <c r="E222" s="47">
        <f t="shared" si="17"/>
        <v>0</v>
      </c>
      <c r="F222" s="87">
        <v>0</v>
      </c>
      <c r="G222" s="47">
        <f t="shared" si="15"/>
        <v>0</v>
      </c>
      <c r="H222" s="88"/>
      <c r="I222" s="20">
        <v>40</v>
      </c>
      <c r="J222" s="82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/>
      <c r="C223" s="79">
        <f>+'10'!G223</f>
        <v>0</v>
      </c>
      <c r="D223" s="87">
        <v>0</v>
      </c>
      <c r="E223" s="47">
        <f t="shared" si="17"/>
        <v>0</v>
      </c>
      <c r="F223" s="87">
        <v>0</v>
      </c>
      <c r="G223" s="47">
        <f t="shared" si="15"/>
        <v>0</v>
      </c>
      <c r="H223" s="88"/>
      <c r="I223" s="20"/>
      <c r="J223" s="82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79">
        <f>+'10'!G224</f>
        <v>0</v>
      </c>
      <c r="D224" s="87">
        <v>0</v>
      </c>
      <c r="E224" s="47">
        <f t="shared" si="17"/>
        <v>0</v>
      </c>
      <c r="F224" s="87">
        <v>0</v>
      </c>
      <c r="G224" s="47">
        <f t="shared" si="15"/>
        <v>0</v>
      </c>
      <c r="H224" s="88"/>
      <c r="I224" s="20"/>
      <c r="J224" s="82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+'10'!G225</f>
        <v>0</v>
      </c>
      <c r="D225" s="87">
        <v>0</v>
      </c>
      <c r="E225" s="47">
        <f t="shared" si="17"/>
        <v>0</v>
      </c>
      <c r="F225" s="87">
        <v>0</v>
      </c>
      <c r="G225" s="47">
        <f t="shared" si="15"/>
        <v>0</v>
      </c>
      <c r="H225" s="88"/>
      <c r="I225" s="20"/>
      <c r="J225" s="82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+'10'!G226</f>
        <v>0</v>
      </c>
      <c r="D226" s="87">
        <v>0</v>
      </c>
      <c r="E226" s="47">
        <f t="shared" si="17"/>
        <v>0</v>
      </c>
      <c r="F226" s="87">
        <v>0</v>
      </c>
      <c r="G226" s="47">
        <f t="shared" si="15"/>
        <v>0</v>
      </c>
      <c r="H226" s="88"/>
      <c r="I226" s="20"/>
      <c r="J226" s="82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+'10'!G227</f>
        <v>0</v>
      </c>
      <c r="D227" s="87">
        <v>0</v>
      </c>
      <c r="E227" s="47">
        <f t="shared" si="17"/>
        <v>0</v>
      </c>
      <c r="F227" s="87">
        <v>0</v>
      </c>
      <c r="G227" s="47">
        <f t="shared" si="15"/>
        <v>0</v>
      </c>
      <c r="H227" s="88"/>
      <c r="I227" s="20"/>
      <c r="J227" s="82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+'10'!G228</f>
        <v>0</v>
      </c>
      <c r="D228" s="87">
        <v>0</v>
      </c>
      <c r="E228" s="47">
        <f t="shared" si="17"/>
        <v>0</v>
      </c>
      <c r="F228" s="87">
        <v>0</v>
      </c>
      <c r="G228" s="47">
        <f t="shared" ref="G228:G254" si="19">+E228-F228-H228</f>
        <v>0</v>
      </c>
      <c r="H228" s="88"/>
      <c r="I228" s="20"/>
      <c r="J228" s="82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+'10'!G229</f>
        <v>0</v>
      </c>
      <c r="D229" s="87">
        <v>0</v>
      </c>
      <c r="E229" s="47">
        <f t="shared" si="17"/>
        <v>0</v>
      </c>
      <c r="F229" s="87">
        <v>0</v>
      </c>
      <c r="G229" s="47">
        <f t="shared" si="19"/>
        <v>0</v>
      </c>
      <c r="H229" s="88"/>
      <c r="I229" s="20"/>
      <c r="J229" s="82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+'10'!G230</f>
        <v>0</v>
      </c>
      <c r="D230" s="87">
        <v>0</v>
      </c>
      <c r="E230" s="47">
        <f t="shared" si="17"/>
        <v>0</v>
      </c>
      <c r="F230" s="87">
        <v>0</v>
      </c>
      <c r="G230" s="47">
        <f t="shared" si="19"/>
        <v>0</v>
      </c>
      <c r="H230" s="88"/>
      <c r="I230" s="20"/>
      <c r="J230" s="82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+'10'!G231</f>
        <v>0</v>
      </c>
      <c r="D231" s="87">
        <v>0</v>
      </c>
      <c r="E231" s="47">
        <f t="shared" si="17"/>
        <v>0</v>
      </c>
      <c r="F231" s="87">
        <v>0</v>
      </c>
      <c r="G231" s="47">
        <f t="shared" si="19"/>
        <v>0</v>
      </c>
      <c r="H231" s="88"/>
      <c r="I231" s="20"/>
      <c r="J231" s="82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+'10'!G232</f>
        <v>0</v>
      </c>
      <c r="D232" s="87">
        <v>0</v>
      </c>
      <c r="E232" s="47">
        <f t="shared" si="17"/>
        <v>0</v>
      </c>
      <c r="F232" s="87">
        <v>0</v>
      </c>
      <c r="G232" s="47">
        <f t="shared" si="19"/>
        <v>0</v>
      </c>
      <c r="H232" s="88"/>
      <c r="I232" s="20"/>
      <c r="J232" s="82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+'10'!G233</f>
        <v>0</v>
      </c>
      <c r="D233" s="87">
        <v>0</v>
      </c>
      <c r="E233" s="47">
        <f t="shared" si="17"/>
        <v>0</v>
      </c>
      <c r="F233" s="87">
        <v>0</v>
      </c>
      <c r="G233" s="47">
        <f t="shared" si="19"/>
        <v>0</v>
      </c>
      <c r="H233" s="88"/>
      <c r="I233" s="20"/>
      <c r="J233" s="82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+'10'!G234</f>
        <v>0</v>
      </c>
      <c r="D234" s="87">
        <v>0</v>
      </c>
      <c r="E234" s="47">
        <f t="shared" si="17"/>
        <v>0</v>
      </c>
      <c r="F234" s="87">
        <v>0</v>
      </c>
      <c r="G234" s="47">
        <f t="shared" si="19"/>
        <v>0</v>
      </c>
      <c r="H234" s="88"/>
      <c r="I234" s="20"/>
      <c r="J234" s="82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+'10'!G235</f>
        <v>0</v>
      </c>
      <c r="D235" s="87">
        <v>0</v>
      </c>
      <c r="E235" s="47">
        <f t="shared" si="17"/>
        <v>0</v>
      </c>
      <c r="F235" s="87">
        <v>0</v>
      </c>
      <c r="G235" s="47">
        <f t="shared" si="19"/>
        <v>0</v>
      </c>
      <c r="H235" s="88"/>
      <c r="I235" s="20"/>
      <c r="J235" s="82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+'10'!G236</f>
        <v>0</v>
      </c>
      <c r="D236" s="87">
        <v>0</v>
      </c>
      <c r="E236" s="47">
        <f t="shared" si="17"/>
        <v>0</v>
      </c>
      <c r="F236" s="87">
        <v>0</v>
      </c>
      <c r="G236" s="47">
        <f t="shared" si="19"/>
        <v>0</v>
      </c>
      <c r="H236" s="88"/>
      <c r="I236" s="20"/>
      <c r="J236" s="82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+'10'!G237</f>
        <v>0</v>
      </c>
      <c r="D237" s="87">
        <v>0</v>
      </c>
      <c r="E237" s="47">
        <f t="shared" si="17"/>
        <v>0</v>
      </c>
      <c r="F237" s="87">
        <v>0</v>
      </c>
      <c r="G237" s="47">
        <f t="shared" si="19"/>
        <v>0</v>
      </c>
      <c r="H237" s="88"/>
      <c r="I237" s="20"/>
      <c r="J237" s="82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+'10'!G238</f>
        <v>0</v>
      </c>
      <c r="D238" s="87">
        <v>0</v>
      </c>
      <c r="E238" s="47">
        <f t="shared" si="17"/>
        <v>0</v>
      </c>
      <c r="F238" s="87">
        <v>0</v>
      </c>
      <c r="G238" s="47">
        <f t="shared" si="19"/>
        <v>0</v>
      </c>
      <c r="H238" s="88"/>
      <c r="I238" s="20"/>
      <c r="J238" s="82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+'10'!G239</f>
        <v>0</v>
      </c>
      <c r="D239" s="87">
        <v>0</v>
      </c>
      <c r="E239" s="47">
        <f t="shared" si="17"/>
        <v>0</v>
      </c>
      <c r="F239" s="87">
        <v>0</v>
      </c>
      <c r="G239" s="47">
        <f t="shared" si="19"/>
        <v>0</v>
      </c>
      <c r="H239" s="88"/>
      <c r="I239" s="20"/>
      <c r="J239" s="82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+'10'!G240</f>
        <v>0</v>
      </c>
      <c r="D240" s="87">
        <v>0</v>
      </c>
      <c r="E240" s="47">
        <f t="shared" si="17"/>
        <v>0</v>
      </c>
      <c r="F240" s="87">
        <v>0</v>
      </c>
      <c r="G240" s="47">
        <f t="shared" si="19"/>
        <v>0</v>
      </c>
      <c r="H240" s="88"/>
      <c r="I240" s="20"/>
      <c r="J240" s="82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+'10'!G241</f>
        <v>0</v>
      </c>
      <c r="D241" s="87">
        <v>0</v>
      </c>
      <c r="E241" s="47">
        <f t="shared" si="17"/>
        <v>0</v>
      </c>
      <c r="F241" s="87">
        <v>0</v>
      </c>
      <c r="G241" s="47">
        <f t="shared" si="19"/>
        <v>0</v>
      </c>
      <c r="H241" s="88"/>
      <c r="I241" s="20"/>
      <c r="J241" s="82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+'10'!G242</f>
        <v>0</v>
      </c>
      <c r="D242" s="87">
        <v>0</v>
      </c>
      <c r="E242" s="47">
        <f t="shared" si="17"/>
        <v>0</v>
      </c>
      <c r="F242" s="87">
        <v>0</v>
      </c>
      <c r="G242" s="47">
        <f t="shared" si="19"/>
        <v>0</v>
      </c>
      <c r="H242" s="88"/>
      <c r="I242" s="20"/>
      <c r="J242" s="82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+'10'!G243</f>
        <v>0</v>
      </c>
      <c r="D243" s="87">
        <v>0</v>
      </c>
      <c r="E243" s="47">
        <f t="shared" si="17"/>
        <v>0</v>
      </c>
      <c r="F243" s="87">
        <v>0</v>
      </c>
      <c r="G243" s="47">
        <f t="shared" si="19"/>
        <v>0</v>
      </c>
      <c r="H243" s="88"/>
      <c r="I243" s="20"/>
      <c r="J243" s="82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+'10'!G244</f>
        <v>0</v>
      </c>
      <c r="D244" s="87">
        <v>0</v>
      </c>
      <c r="E244" s="47">
        <f t="shared" si="17"/>
        <v>0</v>
      </c>
      <c r="F244" s="87">
        <v>0</v>
      </c>
      <c r="G244" s="47">
        <f t="shared" si="19"/>
        <v>0</v>
      </c>
      <c r="H244" s="88"/>
      <c r="I244" s="20"/>
      <c r="J244" s="82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+'10'!G245</f>
        <v>0</v>
      </c>
      <c r="D245" s="87">
        <v>0</v>
      </c>
      <c r="E245" s="47">
        <f t="shared" si="17"/>
        <v>0</v>
      </c>
      <c r="F245" s="87">
        <v>0</v>
      </c>
      <c r="G245" s="47">
        <f t="shared" si="19"/>
        <v>0</v>
      </c>
      <c r="H245" s="88"/>
      <c r="I245" s="20"/>
      <c r="J245" s="82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+'10'!G246</f>
        <v>0</v>
      </c>
      <c r="D246" s="87">
        <v>0</v>
      </c>
      <c r="E246" s="47">
        <f t="shared" si="17"/>
        <v>0</v>
      </c>
      <c r="F246" s="87">
        <v>0</v>
      </c>
      <c r="G246" s="47">
        <f t="shared" si="19"/>
        <v>0</v>
      </c>
      <c r="H246" s="88"/>
      <c r="I246" s="20"/>
      <c r="J246" s="82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+'10'!G247</f>
        <v>0</v>
      </c>
      <c r="D247" s="87">
        <v>0</v>
      </c>
      <c r="E247" s="47">
        <f t="shared" si="17"/>
        <v>0</v>
      </c>
      <c r="F247" s="87">
        <v>0</v>
      </c>
      <c r="G247" s="47">
        <f t="shared" si="19"/>
        <v>0</v>
      </c>
      <c r="H247" s="88"/>
      <c r="I247" s="20"/>
      <c r="J247" s="82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+'10'!G248</f>
        <v>0</v>
      </c>
      <c r="D248" s="87">
        <v>0</v>
      </c>
      <c r="E248" s="47">
        <f t="shared" si="17"/>
        <v>0</v>
      </c>
      <c r="F248" s="87">
        <v>0</v>
      </c>
      <c r="G248" s="47">
        <f t="shared" si="19"/>
        <v>0</v>
      </c>
      <c r="H248" s="88"/>
      <c r="I248" s="20"/>
      <c r="J248" s="82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+'10'!G249</f>
        <v>0</v>
      </c>
      <c r="D249" s="87">
        <v>0</v>
      </c>
      <c r="E249" s="47">
        <f t="shared" si="17"/>
        <v>0</v>
      </c>
      <c r="F249" s="87">
        <v>0</v>
      </c>
      <c r="G249" s="47">
        <f t="shared" si="19"/>
        <v>0</v>
      </c>
      <c r="H249" s="88"/>
      <c r="I249" s="20"/>
      <c r="J249" s="82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+'10'!G250</f>
        <v>0</v>
      </c>
      <c r="D250" s="87">
        <v>0</v>
      </c>
      <c r="E250" s="47">
        <f t="shared" si="17"/>
        <v>0</v>
      </c>
      <c r="F250" s="87">
        <v>0</v>
      </c>
      <c r="G250" s="47">
        <f t="shared" si="19"/>
        <v>0</v>
      </c>
      <c r="H250" s="88"/>
      <c r="I250" s="20"/>
      <c r="J250" s="82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+'10'!G251</f>
        <v>0</v>
      </c>
      <c r="D251" s="87">
        <v>0</v>
      </c>
      <c r="E251" s="47">
        <f t="shared" si="17"/>
        <v>0</v>
      </c>
      <c r="F251" s="87">
        <v>0</v>
      </c>
      <c r="G251" s="47">
        <f t="shared" si="19"/>
        <v>0</v>
      </c>
      <c r="H251" s="88"/>
      <c r="I251" s="20"/>
      <c r="J251" s="82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+'10'!G252</f>
        <v>0</v>
      </c>
      <c r="D252" s="87">
        <v>0</v>
      </c>
      <c r="E252" s="47">
        <f t="shared" si="17"/>
        <v>0</v>
      </c>
      <c r="F252" s="87">
        <v>0</v>
      </c>
      <c r="G252" s="47">
        <f t="shared" si="19"/>
        <v>0</v>
      </c>
      <c r="H252" s="88"/>
      <c r="I252" s="20"/>
      <c r="J252" s="82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+'10'!G253</f>
        <v>0</v>
      </c>
      <c r="D253" s="87">
        <v>0</v>
      </c>
      <c r="E253" s="47">
        <f t="shared" ref="E253:E254" si="21">C253+D253</f>
        <v>0</v>
      </c>
      <c r="F253" s="87">
        <v>0</v>
      </c>
      <c r="G253" s="47">
        <f t="shared" si="19"/>
        <v>0</v>
      </c>
      <c r="H253" s="88"/>
      <c r="I253" s="20"/>
      <c r="J253" s="82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+'10'!G254</f>
        <v>0</v>
      </c>
      <c r="D254" s="87">
        <v>0</v>
      </c>
      <c r="E254" s="47">
        <f t="shared" si="21"/>
        <v>0</v>
      </c>
      <c r="F254" s="87">
        <v>0</v>
      </c>
      <c r="G254" s="47">
        <f t="shared" si="19"/>
        <v>0</v>
      </c>
      <c r="H254" s="88"/>
      <c r="I254" s="20"/>
      <c r="J254" s="82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2345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3" t="s">
        <v>213</v>
      </c>
      <c r="N255" s="143"/>
    </row>
    <row r="256" spans="1:14" ht="25.5" customHeight="1" x14ac:dyDescent="0.5">
      <c r="A256" s="1"/>
      <c r="C256" s="24"/>
      <c r="D256" s="25"/>
      <c r="E256" s="24"/>
      <c r="F256" s="25"/>
      <c r="G256" s="24"/>
      <c r="H256" s="148" t="s">
        <v>212</v>
      </c>
      <c r="I256" s="149"/>
      <c r="J256" s="30">
        <f>+X138</f>
        <v>0</v>
      </c>
      <c r="K256" s="27"/>
      <c r="L256" s="29"/>
    </row>
    <row r="257" spans="1:17" ht="25.5" x14ac:dyDescent="0.55000000000000004">
      <c r="A257" s="1"/>
      <c r="C257" s="31"/>
      <c r="E257" s="31"/>
      <c r="G257" s="31"/>
      <c r="H257" s="32"/>
      <c r="I257" s="150" t="s">
        <v>202</v>
      </c>
      <c r="J257" s="150"/>
      <c r="K257" s="33">
        <f>SUM(J5:J256)</f>
        <v>2795</v>
      </c>
    </row>
    <row r="258" spans="1:17" ht="25.5" x14ac:dyDescent="0.55000000000000004">
      <c r="A258" s="1"/>
      <c r="C258" s="31"/>
      <c r="E258" s="31"/>
      <c r="G258" s="31"/>
      <c r="I258" s="140" t="s">
        <v>203</v>
      </c>
      <c r="J258" s="141"/>
      <c r="K258" s="36">
        <v>15</v>
      </c>
    </row>
    <row r="259" spans="1:17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1150</v>
      </c>
      <c r="L259" s="2">
        <v>200</v>
      </c>
      <c r="M259" s="2">
        <v>135</v>
      </c>
      <c r="N259" s="2">
        <v>105</v>
      </c>
      <c r="O259" s="2">
        <v>310</v>
      </c>
      <c r="P259" s="2">
        <v>100</v>
      </c>
      <c r="Q259" s="2">
        <v>300</v>
      </c>
    </row>
    <row r="260" spans="1:17" ht="25.5" x14ac:dyDescent="0.55000000000000004">
      <c r="A260" s="1"/>
      <c r="C260" s="31"/>
      <c r="E260" s="31"/>
      <c r="G260" s="31"/>
      <c r="I260" s="140" t="s">
        <v>205</v>
      </c>
      <c r="J260" s="141"/>
      <c r="K260" s="36">
        <v>0</v>
      </c>
    </row>
    <row r="261" spans="1:17" ht="25.5" x14ac:dyDescent="0.55000000000000004">
      <c r="A261" s="1"/>
      <c r="C261" s="31"/>
      <c r="E261" s="31"/>
      <c r="G261" s="31"/>
      <c r="I261" s="140" t="s">
        <v>206</v>
      </c>
      <c r="J261" s="141"/>
      <c r="K261" s="36">
        <v>0</v>
      </c>
    </row>
    <row r="262" spans="1:17" ht="25.5" x14ac:dyDescent="0.55000000000000004">
      <c r="A262" s="1"/>
      <c r="C262" s="31"/>
      <c r="E262" s="31"/>
      <c r="G262" s="31"/>
      <c r="I262" s="140" t="s">
        <v>207</v>
      </c>
      <c r="J262" s="141"/>
      <c r="K262" s="37">
        <f>SUM(L5:L255)</f>
        <v>450</v>
      </c>
    </row>
    <row r="263" spans="1:17" ht="25.5" x14ac:dyDescent="0.55000000000000004">
      <c r="A263" s="1"/>
      <c r="C263" s="31"/>
      <c r="E263" s="31"/>
      <c r="G263" s="31"/>
      <c r="I263" s="140" t="s">
        <v>208</v>
      </c>
      <c r="J263" s="141"/>
      <c r="K263" s="33">
        <f>K257-K258-K259-K261-K262</f>
        <v>1180</v>
      </c>
    </row>
    <row r="264" spans="1:17" ht="25.5" x14ac:dyDescent="0.55000000000000004">
      <c r="A264" s="1"/>
      <c r="C264" s="31"/>
      <c r="E264" s="31"/>
      <c r="G264" s="31"/>
      <c r="I264" s="140" t="s">
        <v>209</v>
      </c>
      <c r="J264" s="141"/>
      <c r="K264" s="37">
        <v>1180</v>
      </c>
    </row>
    <row r="265" spans="1:17" ht="25.5" x14ac:dyDescent="0.55000000000000004">
      <c r="A265" s="1"/>
      <c r="C265" s="31"/>
      <c r="E265" s="31"/>
      <c r="G265" s="31"/>
      <c r="I265" s="140" t="s">
        <v>210</v>
      </c>
      <c r="J265" s="141"/>
      <c r="K265" s="33">
        <f>+K264-K263</f>
        <v>0</v>
      </c>
    </row>
    <row r="266" spans="1:17" ht="25.5" x14ac:dyDescent="0.55000000000000004">
      <c r="G266" s="2"/>
      <c r="I266" s="140" t="s">
        <v>211</v>
      </c>
      <c r="J266" s="141"/>
      <c r="K266" s="33">
        <f>+K264-K263</f>
        <v>0</v>
      </c>
    </row>
    <row r="267" spans="1:17" x14ac:dyDescent="0.5">
      <c r="G267" s="2"/>
      <c r="I267" s="2"/>
    </row>
    <row r="268" spans="1:17" ht="25.5" x14ac:dyDescent="0.55000000000000004">
      <c r="G268" s="2"/>
      <c r="I268" s="105" t="s">
        <v>312</v>
      </c>
    </row>
    <row r="269" spans="1:17" x14ac:dyDescent="0.5">
      <c r="G269" s="2"/>
      <c r="I269" s="2"/>
    </row>
    <row r="270" spans="1:17" x14ac:dyDescent="0.5">
      <c r="G270" s="2"/>
      <c r="I270" s="2"/>
    </row>
    <row r="271" spans="1:17" x14ac:dyDescent="0.5">
      <c r="G271" s="2"/>
      <c r="I271" s="2"/>
    </row>
    <row r="272" spans="1:17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DAF5B-9C76-4C94-A4D2-1A50A9FB9ADE}">
  <sheetPr>
    <tabColor theme="7" tint="-0.249977111117893"/>
  </sheetPr>
  <dimension ref="A1:AB341"/>
  <sheetViews>
    <sheetView zoomScaleNormal="100" workbookViewId="0">
      <pane xSplit="7" ySplit="4" topLeftCell="H254" activePane="bottomRight" state="frozen"/>
      <selection activeCell="B20" sqref="B20"/>
      <selection pane="topRight" activeCell="B20" sqref="B20"/>
      <selection pane="bottomLeft" activeCell="B20" sqref="B20"/>
      <selection pane="bottomRight" activeCell="B20" sqref="B20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8" x14ac:dyDescent="0.5">
      <c r="A1" s="1"/>
      <c r="G1" s="2"/>
      <c r="I1" s="2"/>
    </row>
    <row r="2" spans="1:28" s="3" customFormat="1" ht="29.25" x14ac:dyDescent="0.6">
      <c r="A2" s="137" t="s">
        <v>247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8" s="5" customFormat="1" ht="26.25" x14ac:dyDescent="0.55000000000000004">
      <c r="A3" s="139" t="s">
        <v>1</v>
      </c>
      <c r="B3" s="151" t="s">
        <v>2</v>
      </c>
      <c r="C3" s="139" t="s">
        <v>3</v>
      </c>
      <c r="D3" s="139" t="s">
        <v>4</v>
      </c>
      <c r="E3" s="139" t="s">
        <v>5</v>
      </c>
      <c r="F3" s="85" t="s">
        <v>6</v>
      </c>
      <c r="G3" s="139" t="s">
        <v>7</v>
      </c>
      <c r="H3" s="142" t="s">
        <v>8</v>
      </c>
      <c r="I3" s="142"/>
      <c r="J3" s="142"/>
      <c r="K3" s="139" t="s">
        <v>9</v>
      </c>
      <c r="L3" s="144" t="s">
        <v>10</v>
      </c>
      <c r="O3" s="139" t="s">
        <v>1</v>
      </c>
      <c r="P3" s="139" t="s">
        <v>2</v>
      </c>
      <c r="Q3" s="139" t="s">
        <v>3</v>
      </c>
      <c r="R3" s="139" t="s">
        <v>4</v>
      </c>
      <c r="S3" s="139" t="s">
        <v>5</v>
      </c>
      <c r="T3" s="85" t="s">
        <v>6</v>
      </c>
      <c r="U3" s="139" t="s">
        <v>7</v>
      </c>
      <c r="V3" s="142" t="s">
        <v>8</v>
      </c>
      <c r="W3" s="142"/>
      <c r="X3" s="142"/>
      <c r="Y3" s="139" t="s">
        <v>9</v>
      </c>
      <c r="Z3" s="144" t="s">
        <v>10</v>
      </c>
    </row>
    <row r="4" spans="1:28" s="5" customFormat="1" ht="26.25" x14ac:dyDescent="0.55000000000000004">
      <c r="A4" s="139"/>
      <c r="B4" s="151"/>
      <c r="C4" s="139"/>
      <c r="D4" s="139"/>
      <c r="E4" s="139"/>
      <c r="F4" s="85" t="s">
        <v>11</v>
      </c>
      <c r="G4" s="139"/>
      <c r="H4" s="85" t="s">
        <v>12</v>
      </c>
      <c r="I4" s="86" t="s">
        <v>13</v>
      </c>
      <c r="J4" s="85" t="s">
        <v>14</v>
      </c>
      <c r="K4" s="139"/>
      <c r="L4" s="144"/>
      <c r="O4" s="139"/>
      <c r="P4" s="139"/>
      <c r="Q4" s="139"/>
      <c r="R4" s="139"/>
      <c r="S4" s="139"/>
      <c r="T4" s="85" t="s">
        <v>11</v>
      </c>
      <c r="U4" s="139"/>
      <c r="V4" s="85" t="s">
        <v>12</v>
      </c>
      <c r="W4" s="86" t="s">
        <v>13</v>
      </c>
      <c r="X4" s="85" t="s">
        <v>14</v>
      </c>
      <c r="Y4" s="139"/>
      <c r="Z4" s="144"/>
      <c r="AB4" s="5" t="s">
        <v>2</v>
      </c>
    </row>
    <row r="5" spans="1:28" ht="25.5" x14ac:dyDescent="0.55000000000000004">
      <c r="A5" s="10">
        <v>1</v>
      </c>
      <c r="B5" s="19" t="s">
        <v>15</v>
      </c>
      <c r="C5" s="79">
        <f>+'11'!G5</f>
        <v>16</v>
      </c>
      <c r="D5" s="87">
        <v>10</v>
      </c>
      <c r="E5" s="47">
        <f t="shared" ref="E5:E125" si="0">C5+D5</f>
        <v>26</v>
      </c>
      <c r="F5" s="87">
        <v>0</v>
      </c>
      <c r="G5" s="47">
        <f>+E5-F5-H5</f>
        <v>25</v>
      </c>
      <c r="H5" s="88">
        <v>1</v>
      </c>
      <c r="I5" s="15">
        <v>50</v>
      </c>
      <c r="J5" s="82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9"/>
      <c r="Q5" s="47">
        <v>0</v>
      </c>
      <c r="R5" s="87">
        <v>0</v>
      </c>
      <c r="S5" s="47">
        <f t="shared" ref="S5:S14" si="1">Q5+R5</f>
        <v>0</v>
      </c>
      <c r="T5" s="87">
        <v>0</v>
      </c>
      <c r="U5" s="47">
        <f t="shared" ref="U5:U14" si="2">S5-T5-V5</f>
        <v>0</v>
      </c>
      <c r="V5" s="88">
        <v>0</v>
      </c>
      <c r="W5" s="22"/>
      <c r="X5" s="44">
        <f t="shared" ref="X5:X14" si="3">V5*W5</f>
        <v>0</v>
      </c>
      <c r="Y5" s="17" t="s">
        <v>16</v>
      </c>
      <c r="Z5" s="18">
        <v>0</v>
      </c>
      <c r="AB5" s="2" t="s">
        <v>317</v>
      </c>
    </row>
    <row r="6" spans="1:28" ht="25.5" x14ac:dyDescent="0.55000000000000004">
      <c r="A6" s="10">
        <v>2</v>
      </c>
      <c r="B6" s="19" t="s">
        <v>17</v>
      </c>
      <c r="C6" s="79">
        <f>+'11'!G6</f>
        <v>20</v>
      </c>
      <c r="D6" s="87">
        <v>10</v>
      </c>
      <c r="E6" s="47">
        <f t="shared" si="0"/>
        <v>30</v>
      </c>
      <c r="F6" s="87">
        <v>0</v>
      </c>
      <c r="G6" s="47">
        <f t="shared" ref="G6:G100" si="4">+E6-F6-H6</f>
        <v>30</v>
      </c>
      <c r="H6" s="88"/>
      <c r="I6" s="15">
        <v>100</v>
      </c>
      <c r="J6" s="82">
        <f t="shared" ref="J6:J100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v>0</v>
      </c>
      <c r="R6" s="87">
        <v>0</v>
      </c>
      <c r="S6" s="47">
        <f t="shared" si="1"/>
        <v>0</v>
      </c>
      <c r="T6" s="87">
        <v>0</v>
      </c>
      <c r="U6" s="47">
        <f t="shared" si="2"/>
        <v>0</v>
      </c>
      <c r="V6" s="88">
        <v>0</v>
      </c>
      <c r="W6" s="22"/>
      <c r="X6" s="44">
        <f t="shared" si="3"/>
        <v>0</v>
      </c>
      <c r="Y6" s="17" t="s">
        <v>16</v>
      </c>
      <c r="Z6" s="18">
        <v>0</v>
      </c>
      <c r="AB6" s="2" t="s">
        <v>318</v>
      </c>
    </row>
    <row r="7" spans="1:28" ht="25.5" x14ac:dyDescent="0.55000000000000004">
      <c r="A7" s="10">
        <v>3</v>
      </c>
      <c r="B7" s="19" t="s">
        <v>18</v>
      </c>
      <c r="C7" s="79">
        <f>+'11'!G7</f>
        <v>0</v>
      </c>
      <c r="D7" s="87">
        <v>0</v>
      </c>
      <c r="E7" s="47">
        <f>C7+D7</f>
        <v>0</v>
      </c>
      <c r="F7" s="87">
        <v>0</v>
      </c>
      <c r="G7" s="47">
        <f t="shared" si="4"/>
        <v>0</v>
      </c>
      <c r="H7" s="88"/>
      <c r="I7" s="15">
        <v>50</v>
      </c>
      <c r="J7" s="8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7">
        <v>0</v>
      </c>
      <c r="S7" s="47">
        <f t="shared" si="1"/>
        <v>0</v>
      </c>
      <c r="T7" s="87">
        <v>0</v>
      </c>
      <c r="U7" s="47">
        <f t="shared" si="2"/>
        <v>0</v>
      </c>
      <c r="V7" s="88">
        <v>0</v>
      </c>
      <c r="W7" s="22"/>
      <c r="X7" s="44">
        <f t="shared" si="3"/>
        <v>0</v>
      </c>
      <c r="Y7" s="17" t="s">
        <v>16</v>
      </c>
      <c r="Z7" s="18">
        <v>0</v>
      </c>
      <c r="AB7" s="2" t="s">
        <v>319</v>
      </c>
    </row>
    <row r="8" spans="1:28" ht="25.5" x14ac:dyDescent="0.55000000000000004">
      <c r="A8" s="10">
        <v>4</v>
      </c>
      <c r="B8" s="19" t="s">
        <v>19</v>
      </c>
      <c r="C8" s="79">
        <f>+'11'!G8</f>
        <v>0</v>
      </c>
      <c r="D8" s="87">
        <v>0</v>
      </c>
      <c r="E8" s="47">
        <f>C8+D8</f>
        <v>0</v>
      </c>
      <c r="F8" s="87">
        <v>0</v>
      </c>
      <c r="G8" s="47">
        <f t="shared" si="4"/>
        <v>0</v>
      </c>
      <c r="H8" s="88"/>
      <c r="I8" s="15">
        <v>100</v>
      </c>
      <c r="J8" s="8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7">
        <v>0</v>
      </c>
      <c r="S8" s="47">
        <f t="shared" si="1"/>
        <v>0</v>
      </c>
      <c r="T8" s="87">
        <v>0</v>
      </c>
      <c r="U8" s="47">
        <f t="shared" si="2"/>
        <v>0</v>
      </c>
      <c r="V8" s="88">
        <v>0</v>
      </c>
      <c r="W8" s="22"/>
      <c r="X8" s="44">
        <f t="shared" si="3"/>
        <v>0</v>
      </c>
      <c r="Y8" s="17" t="s">
        <v>16</v>
      </c>
      <c r="Z8" s="18">
        <v>0</v>
      </c>
      <c r="AB8" s="2" t="s">
        <v>320</v>
      </c>
    </row>
    <row r="9" spans="1:28" ht="25.5" x14ac:dyDescent="0.55000000000000004">
      <c r="A9" s="10">
        <v>5</v>
      </c>
      <c r="B9" s="19" t="s">
        <v>20</v>
      </c>
      <c r="C9" s="79">
        <f>+'11'!G9</f>
        <v>0</v>
      </c>
      <c r="D9" s="87">
        <v>0</v>
      </c>
      <c r="E9" s="47">
        <f>C9+D9</f>
        <v>0</v>
      </c>
      <c r="F9" s="87">
        <v>0</v>
      </c>
      <c r="G9" s="47">
        <f t="shared" si="4"/>
        <v>0</v>
      </c>
      <c r="H9" s="88"/>
      <c r="I9" s="15">
        <v>12</v>
      </c>
      <c r="J9" s="8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7">
        <v>0</v>
      </c>
      <c r="S9" s="47">
        <f t="shared" si="1"/>
        <v>0</v>
      </c>
      <c r="T9" s="87">
        <v>0</v>
      </c>
      <c r="U9" s="47">
        <f t="shared" si="2"/>
        <v>0</v>
      </c>
      <c r="V9" s="88">
        <v>0</v>
      </c>
      <c r="W9" s="22"/>
      <c r="X9" s="44">
        <f t="shared" si="3"/>
        <v>0</v>
      </c>
      <c r="Y9" s="17" t="s">
        <v>16</v>
      </c>
      <c r="Z9" s="18">
        <v>0</v>
      </c>
      <c r="AB9" s="2" t="s">
        <v>307</v>
      </c>
    </row>
    <row r="10" spans="1:28" ht="25.5" x14ac:dyDescent="0.55000000000000004">
      <c r="A10" s="10">
        <v>6</v>
      </c>
      <c r="B10" s="19" t="s">
        <v>21</v>
      </c>
      <c r="C10" s="79">
        <f>+'11'!G10</f>
        <v>0</v>
      </c>
      <c r="D10" s="87">
        <v>0</v>
      </c>
      <c r="E10" s="47">
        <f>C10+D10</f>
        <v>0</v>
      </c>
      <c r="F10" s="87">
        <v>0</v>
      </c>
      <c r="G10" s="47">
        <f t="shared" si="4"/>
        <v>0</v>
      </c>
      <c r="H10" s="88"/>
      <c r="I10" s="15">
        <v>15</v>
      </c>
      <c r="J10" s="8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7">
        <v>0</v>
      </c>
      <c r="S10" s="47">
        <f t="shared" si="1"/>
        <v>0</v>
      </c>
      <c r="T10" s="87">
        <v>0</v>
      </c>
      <c r="U10" s="47">
        <f t="shared" si="2"/>
        <v>0</v>
      </c>
      <c r="V10" s="88">
        <v>0</v>
      </c>
      <c r="W10" s="22"/>
      <c r="X10" s="44">
        <f t="shared" si="3"/>
        <v>0</v>
      </c>
      <c r="Y10" s="17" t="s">
        <v>16</v>
      </c>
      <c r="Z10" s="18">
        <v>0</v>
      </c>
      <c r="AB10" s="2" t="s">
        <v>311</v>
      </c>
    </row>
    <row r="11" spans="1:28" ht="25.5" x14ac:dyDescent="0.55000000000000004">
      <c r="A11" s="10">
        <v>7</v>
      </c>
      <c r="B11" s="19" t="s">
        <v>22</v>
      </c>
      <c r="C11" s="79">
        <f>+'11'!G11</f>
        <v>0</v>
      </c>
      <c r="D11" s="87">
        <v>0</v>
      </c>
      <c r="E11" s="47">
        <f t="shared" si="0"/>
        <v>0</v>
      </c>
      <c r="F11" s="87">
        <v>0</v>
      </c>
      <c r="G11" s="47">
        <f t="shared" si="4"/>
        <v>0</v>
      </c>
      <c r="H11" s="88"/>
      <c r="I11" s="15">
        <v>40</v>
      </c>
      <c r="J11" s="8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7">
        <v>0</v>
      </c>
      <c r="S11" s="47">
        <f t="shared" si="1"/>
        <v>0</v>
      </c>
      <c r="T11" s="87">
        <v>0</v>
      </c>
      <c r="U11" s="47">
        <f t="shared" si="2"/>
        <v>0</v>
      </c>
      <c r="V11" s="88">
        <v>0</v>
      </c>
      <c r="W11" s="22"/>
      <c r="X11" s="44">
        <f t="shared" si="3"/>
        <v>0</v>
      </c>
      <c r="Y11" s="17" t="s">
        <v>16</v>
      </c>
      <c r="Z11" s="18">
        <v>0</v>
      </c>
      <c r="AB11" s="2" t="s">
        <v>321</v>
      </c>
    </row>
    <row r="12" spans="1:28" ht="25.5" x14ac:dyDescent="0.55000000000000004">
      <c r="A12" s="10">
        <v>8</v>
      </c>
      <c r="B12" s="19" t="s">
        <v>23</v>
      </c>
      <c r="C12" s="79">
        <f>+'11'!G12</f>
        <v>0</v>
      </c>
      <c r="D12" s="87">
        <v>0</v>
      </c>
      <c r="E12" s="47">
        <f t="shared" si="0"/>
        <v>0</v>
      </c>
      <c r="F12" s="87">
        <v>0</v>
      </c>
      <c r="G12" s="47">
        <f t="shared" si="4"/>
        <v>0</v>
      </c>
      <c r="H12" s="88"/>
      <c r="I12" s="20">
        <v>50</v>
      </c>
      <c r="J12" s="8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7">
        <v>0</v>
      </c>
      <c r="S12" s="47">
        <f t="shared" si="1"/>
        <v>0</v>
      </c>
      <c r="T12" s="87">
        <v>0</v>
      </c>
      <c r="U12" s="47">
        <f t="shared" si="2"/>
        <v>0</v>
      </c>
      <c r="V12" s="88">
        <v>0</v>
      </c>
      <c r="W12" s="22"/>
      <c r="X12" s="44">
        <f t="shared" si="3"/>
        <v>0</v>
      </c>
      <c r="Y12" s="17" t="s">
        <v>16</v>
      </c>
      <c r="Z12" s="18">
        <v>0</v>
      </c>
      <c r="AB12" s="2" t="s">
        <v>289</v>
      </c>
    </row>
    <row r="13" spans="1:28" ht="25.5" x14ac:dyDescent="0.55000000000000004">
      <c r="A13" s="10">
        <v>9</v>
      </c>
      <c r="B13" s="19" t="s">
        <v>24</v>
      </c>
      <c r="C13" s="79">
        <f>+'11'!G13</f>
        <v>0</v>
      </c>
      <c r="D13" s="87">
        <v>0</v>
      </c>
      <c r="E13" s="47">
        <f>C13+D13</f>
        <v>0</v>
      </c>
      <c r="F13" s="87">
        <v>0</v>
      </c>
      <c r="G13" s="47">
        <f t="shared" si="4"/>
        <v>0</v>
      </c>
      <c r="H13" s="88"/>
      <c r="I13" s="20">
        <v>55</v>
      </c>
      <c r="J13" s="8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7">
        <v>0</v>
      </c>
      <c r="S13" s="47">
        <f t="shared" si="1"/>
        <v>0</v>
      </c>
      <c r="T13" s="87">
        <v>0</v>
      </c>
      <c r="U13" s="47">
        <f t="shared" si="2"/>
        <v>0</v>
      </c>
      <c r="V13" s="88">
        <v>0</v>
      </c>
      <c r="W13" s="22"/>
      <c r="X13" s="44">
        <f t="shared" si="3"/>
        <v>0</v>
      </c>
      <c r="Y13" s="17" t="s">
        <v>16</v>
      </c>
      <c r="Z13" s="18">
        <v>0</v>
      </c>
      <c r="AB13" s="2" t="s">
        <v>322</v>
      </c>
    </row>
    <row r="14" spans="1:28" ht="25.5" x14ac:dyDescent="0.55000000000000004">
      <c r="A14" s="10">
        <v>10</v>
      </c>
      <c r="B14" s="19" t="s">
        <v>25</v>
      </c>
      <c r="C14" s="79">
        <f>+'11'!G14</f>
        <v>0</v>
      </c>
      <c r="D14" s="87">
        <v>0</v>
      </c>
      <c r="E14" s="47">
        <f t="shared" si="0"/>
        <v>0</v>
      </c>
      <c r="F14" s="87">
        <v>0</v>
      </c>
      <c r="G14" s="47">
        <f t="shared" si="4"/>
        <v>0</v>
      </c>
      <c r="H14" s="88"/>
      <c r="I14" s="20">
        <v>65</v>
      </c>
      <c r="J14" s="8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7">
        <v>0</v>
      </c>
      <c r="S14" s="47">
        <f t="shared" si="1"/>
        <v>0</v>
      </c>
      <c r="T14" s="87">
        <v>0</v>
      </c>
      <c r="U14" s="47">
        <f t="shared" si="2"/>
        <v>0</v>
      </c>
      <c r="V14" s="88">
        <v>0</v>
      </c>
      <c r="W14" s="22"/>
      <c r="X14" s="44">
        <f t="shared" si="3"/>
        <v>0</v>
      </c>
      <c r="Y14" s="17" t="s">
        <v>16</v>
      </c>
      <c r="Z14" s="18">
        <v>0</v>
      </c>
      <c r="AB14" s="2" t="s">
        <v>306</v>
      </c>
    </row>
    <row r="15" spans="1:28" ht="25.5" x14ac:dyDescent="0.55000000000000004">
      <c r="A15" s="10">
        <v>11</v>
      </c>
      <c r="B15" s="19" t="s">
        <v>26</v>
      </c>
      <c r="C15" s="79">
        <f>+'11'!G15</f>
        <v>0</v>
      </c>
      <c r="D15" s="87">
        <v>0</v>
      </c>
      <c r="E15" s="47">
        <f t="shared" si="0"/>
        <v>0</v>
      </c>
      <c r="F15" s="87">
        <v>0</v>
      </c>
      <c r="G15" s="47">
        <f t="shared" si="4"/>
        <v>0</v>
      </c>
      <c r="H15" s="88"/>
      <c r="I15" s="20">
        <v>50</v>
      </c>
      <c r="J15" s="8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7">
        <v>0</v>
      </c>
      <c r="S15" s="47">
        <f t="shared" ref="S15:S29" si="7">Q15+R15</f>
        <v>0</v>
      </c>
      <c r="T15" s="87">
        <v>0</v>
      </c>
      <c r="U15" s="47">
        <f t="shared" ref="U15:U29" si="8">S15-T15-V15</f>
        <v>0</v>
      </c>
      <c r="V15" s="88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8" ht="25.5" x14ac:dyDescent="0.55000000000000004">
      <c r="A16" s="10">
        <v>12</v>
      </c>
      <c r="B16" s="19" t="s">
        <v>27</v>
      </c>
      <c r="C16" s="79">
        <f>+'11'!G16</f>
        <v>0</v>
      </c>
      <c r="D16" s="87">
        <v>0</v>
      </c>
      <c r="E16" s="47">
        <f t="shared" si="0"/>
        <v>0</v>
      </c>
      <c r="F16" s="87">
        <v>0</v>
      </c>
      <c r="G16" s="47">
        <f t="shared" si="4"/>
        <v>0</v>
      </c>
      <c r="H16" s="88"/>
      <c r="I16" s="15">
        <v>50</v>
      </c>
      <c r="J16" s="8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7">
        <v>0</v>
      </c>
      <c r="S16" s="47">
        <f t="shared" si="7"/>
        <v>0</v>
      </c>
      <c r="T16" s="87">
        <v>0</v>
      </c>
      <c r="U16" s="47">
        <f t="shared" si="8"/>
        <v>0</v>
      </c>
      <c r="V16" s="88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+'11'!G17</f>
        <v>0</v>
      </c>
      <c r="D17" s="87">
        <v>0</v>
      </c>
      <c r="E17" s="47">
        <f t="shared" si="0"/>
        <v>0</v>
      </c>
      <c r="F17" s="87">
        <v>0</v>
      </c>
      <c r="G17" s="47">
        <f t="shared" si="4"/>
        <v>0</v>
      </c>
      <c r="H17" s="88"/>
      <c r="I17" s="15">
        <v>50</v>
      </c>
      <c r="J17" s="8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7">
        <v>0</v>
      </c>
      <c r="S17" s="47">
        <f t="shared" si="7"/>
        <v>0</v>
      </c>
      <c r="T17" s="87">
        <v>0</v>
      </c>
      <c r="U17" s="47">
        <f t="shared" si="8"/>
        <v>0</v>
      </c>
      <c r="V17" s="88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+'11'!G18</f>
        <v>0</v>
      </c>
      <c r="D18" s="87">
        <v>0</v>
      </c>
      <c r="E18" s="47">
        <f t="shared" si="0"/>
        <v>0</v>
      </c>
      <c r="F18" s="87">
        <v>0</v>
      </c>
      <c r="G18" s="47">
        <f t="shared" si="4"/>
        <v>0</v>
      </c>
      <c r="H18" s="88"/>
      <c r="I18" s="20">
        <v>50</v>
      </c>
      <c r="J18" s="8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7">
        <v>0</v>
      </c>
      <c r="S18" s="47">
        <f t="shared" si="7"/>
        <v>0</v>
      </c>
      <c r="T18" s="87">
        <v>0</v>
      </c>
      <c r="U18" s="47">
        <f t="shared" si="8"/>
        <v>0</v>
      </c>
      <c r="V18" s="88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329</v>
      </c>
      <c r="C19" s="79">
        <f>+'11'!G19</f>
        <v>0</v>
      </c>
      <c r="D19" s="87">
        <v>0</v>
      </c>
      <c r="E19" s="47">
        <f t="shared" si="0"/>
        <v>0</v>
      </c>
      <c r="F19" s="87">
        <v>0</v>
      </c>
      <c r="G19" s="47">
        <f t="shared" si="4"/>
        <v>0</v>
      </c>
      <c r="H19" s="88"/>
      <c r="I19" s="15">
        <v>50</v>
      </c>
      <c r="J19" s="8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7">
        <v>0</v>
      </c>
      <c r="S19" s="47">
        <f t="shared" si="7"/>
        <v>0</v>
      </c>
      <c r="T19" s="87">
        <v>0</v>
      </c>
      <c r="U19" s="47">
        <f t="shared" si="8"/>
        <v>0</v>
      </c>
      <c r="V19" s="88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+'11'!G20</f>
        <v>0</v>
      </c>
      <c r="D20" s="87">
        <v>0</v>
      </c>
      <c r="E20" s="47">
        <f t="shared" si="0"/>
        <v>0</v>
      </c>
      <c r="F20" s="87">
        <v>0</v>
      </c>
      <c r="G20" s="47">
        <f t="shared" si="4"/>
        <v>0</v>
      </c>
      <c r="H20" s="88"/>
      <c r="I20" s="15">
        <v>50</v>
      </c>
      <c r="J20" s="8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7">
        <v>0</v>
      </c>
      <c r="S20" s="47">
        <f t="shared" si="7"/>
        <v>0</v>
      </c>
      <c r="T20" s="87">
        <v>0</v>
      </c>
      <c r="U20" s="47">
        <f t="shared" si="8"/>
        <v>0</v>
      </c>
      <c r="V20" s="88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+'11'!G21</f>
        <v>0</v>
      </c>
      <c r="D21" s="87">
        <v>0</v>
      </c>
      <c r="E21" s="47">
        <f t="shared" si="0"/>
        <v>0</v>
      </c>
      <c r="F21" s="87">
        <v>0</v>
      </c>
      <c r="G21" s="47">
        <f t="shared" si="4"/>
        <v>0</v>
      </c>
      <c r="H21" s="88"/>
      <c r="I21" s="15">
        <v>50</v>
      </c>
      <c r="J21" s="8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7">
        <v>0</v>
      </c>
      <c r="S21" s="47">
        <f t="shared" si="7"/>
        <v>0</v>
      </c>
      <c r="T21" s="87">
        <v>0</v>
      </c>
      <c r="U21" s="47">
        <f t="shared" si="8"/>
        <v>0</v>
      </c>
      <c r="V21" s="88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+'11'!G22</f>
        <v>4</v>
      </c>
      <c r="D22" s="87">
        <v>5</v>
      </c>
      <c r="E22" s="47">
        <f t="shared" si="0"/>
        <v>9</v>
      </c>
      <c r="F22" s="87">
        <v>0</v>
      </c>
      <c r="G22" s="47">
        <f t="shared" si="4"/>
        <v>9</v>
      </c>
      <c r="H22" s="88"/>
      <c r="I22" s="15">
        <v>85</v>
      </c>
      <c r="J22" s="8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7">
        <v>0</v>
      </c>
      <c r="S22" s="47">
        <f t="shared" si="7"/>
        <v>0</v>
      </c>
      <c r="T22" s="87">
        <v>0</v>
      </c>
      <c r="U22" s="47">
        <f t="shared" si="8"/>
        <v>0</v>
      </c>
      <c r="V22" s="88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+'11'!G23</f>
        <v>9</v>
      </c>
      <c r="D23" s="87">
        <v>10</v>
      </c>
      <c r="E23" s="47">
        <f t="shared" si="0"/>
        <v>19</v>
      </c>
      <c r="F23" s="87">
        <v>0</v>
      </c>
      <c r="G23" s="47">
        <f t="shared" si="4"/>
        <v>15</v>
      </c>
      <c r="H23" s="88">
        <v>4</v>
      </c>
      <c r="I23" s="15">
        <v>100</v>
      </c>
      <c r="J23" s="82">
        <f t="shared" si="5"/>
        <v>400</v>
      </c>
      <c r="K23" s="17" t="s">
        <v>16</v>
      </c>
      <c r="L23" s="18">
        <v>0</v>
      </c>
      <c r="M23" s="23">
        <f t="shared" si="6"/>
        <v>400</v>
      </c>
      <c r="O23" s="10">
        <v>19</v>
      </c>
      <c r="P23" s="19"/>
      <c r="Q23" s="47">
        <v>0</v>
      </c>
      <c r="R23" s="87">
        <v>0</v>
      </c>
      <c r="S23" s="47">
        <f t="shared" si="7"/>
        <v>0</v>
      </c>
      <c r="T23" s="87">
        <v>0</v>
      </c>
      <c r="U23" s="47">
        <f t="shared" si="8"/>
        <v>0</v>
      </c>
      <c r="V23" s="88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+'11'!G24</f>
        <v>6</v>
      </c>
      <c r="D24" s="87">
        <v>5</v>
      </c>
      <c r="E24" s="47">
        <f t="shared" si="0"/>
        <v>11</v>
      </c>
      <c r="F24" s="87">
        <v>0</v>
      </c>
      <c r="G24" s="47">
        <f t="shared" si="4"/>
        <v>11</v>
      </c>
      <c r="H24" s="88"/>
      <c r="I24" s="21">
        <v>100</v>
      </c>
      <c r="J24" s="8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7">
        <v>0</v>
      </c>
      <c r="S24" s="47">
        <f t="shared" si="7"/>
        <v>0</v>
      </c>
      <c r="T24" s="87">
        <v>0</v>
      </c>
      <c r="U24" s="47">
        <f t="shared" si="8"/>
        <v>0</v>
      </c>
      <c r="V24" s="88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+'11'!G25</f>
        <v>0</v>
      </c>
      <c r="D25" s="87">
        <v>0</v>
      </c>
      <c r="E25" s="47">
        <f t="shared" si="0"/>
        <v>0</v>
      </c>
      <c r="F25" s="87">
        <v>0</v>
      </c>
      <c r="G25" s="47">
        <f t="shared" si="4"/>
        <v>0</v>
      </c>
      <c r="H25" s="88"/>
      <c r="I25" s="21">
        <v>100</v>
      </c>
      <c r="J25" s="8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7">
        <v>0</v>
      </c>
      <c r="S25" s="47">
        <f t="shared" si="7"/>
        <v>0</v>
      </c>
      <c r="T25" s="87">
        <v>0</v>
      </c>
      <c r="U25" s="47">
        <f t="shared" si="8"/>
        <v>0</v>
      </c>
      <c r="V25" s="88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+'11'!G26</f>
        <v>0</v>
      </c>
      <c r="D26" s="87">
        <v>0</v>
      </c>
      <c r="E26" s="47">
        <f t="shared" si="0"/>
        <v>0</v>
      </c>
      <c r="F26" s="87">
        <v>0</v>
      </c>
      <c r="G26" s="47">
        <f t="shared" si="4"/>
        <v>0</v>
      </c>
      <c r="H26" s="88"/>
      <c r="I26" s="21">
        <v>100</v>
      </c>
      <c r="J26" s="8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7">
        <v>0</v>
      </c>
      <c r="S26" s="47">
        <f t="shared" si="7"/>
        <v>0</v>
      </c>
      <c r="T26" s="87">
        <v>0</v>
      </c>
      <c r="U26" s="47">
        <f t="shared" si="8"/>
        <v>0</v>
      </c>
      <c r="V26" s="88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+'11'!G27</f>
        <v>0</v>
      </c>
      <c r="D27" s="87">
        <v>0</v>
      </c>
      <c r="E27" s="47">
        <f t="shared" si="0"/>
        <v>0</v>
      </c>
      <c r="F27" s="87">
        <v>0</v>
      </c>
      <c r="G27" s="47">
        <f t="shared" si="4"/>
        <v>0</v>
      </c>
      <c r="H27" s="88"/>
      <c r="I27" s="20">
        <v>100</v>
      </c>
      <c r="J27" s="8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7">
        <v>0</v>
      </c>
      <c r="S27" s="47">
        <f t="shared" si="7"/>
        <v>0</v>
      </c>
      <c r="T27" s="87">
        <v>0</v>
      </c>
      <c r="U27" s="47">
        <f t="shared" si="8"/>
        <v>0</v>
      </c>
      <c r="V27" s="88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+'11'!G28</f>
        <v>0</v>
      </c>
      <c r="D28" s="87">
        <v>0</v>
      </c>
      <c r="E28" s="47">
        <f t="shared" si="0"/>
        <v>0</v>
      </c>
      <c r="F28" s="87">
        <v>0</v>
      </c>
      <c r="G28" s="47">
        <f t="shared" si="4"/>
        <v>0</v>
      </c>
      <c r="H28" s="88"/>
      <c r="I28" s="20">
        <v>100</v>
      </c>
      <c r="J28" s="8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7">
        <v>0</v>
      </c>
      <c r="S28" s="47">
        <f t="shared" si="7"/>
        <v>0</v>
      </c>
      <c r="T28" s="87">
        <v>0</v>
      </c>
      <c r="U28" s="47">
        <f t="shared" si="8"/>
        <v>0</v>
      </c>
      <c r="V28" s="88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+'11'!G29</f>
        <v>8</v>
      </c>
      <c r="D29" s="87">
        <v>5</v>
      </c>
      <c r="E29" s="47">
        <f t="shared" si="0"/>
        <v>13</v>
      </c>
      <c r="F29" s="87">
        <v>0</v>
      </c>
      <c r="G29" s="47">
        <f t="shared" si="4"/>
        <v>11</v>
      </c>
      <c r="H29" s="88">
        <v>2</v>
      </c>
      <c r="I29" s="15">
        <v>100</v>
      </c>
      <c r="J29" s="82">
        <f t="shared" si="5"/>
        <v>200</v>
      </c>
      <c r="K29" s="17" t="s">
        <v>16</v>
      </c>
      <c r="L29" s="18">
        <v>50</v>
      </c>
      <c r="M29" s="23">
        <f t="shared" si="6"/>
        <v>150</v>
      </c>
      <c r="O29" s="10">
        <v>25</v>
      </c>
      <c r="P29" s="19"/>
      <c r="Q29" s="47">
        <v>0</v>
      </c>
      <c r="R29" s="87">
        <v>0</v>
      </c>
      <c r="S29" s="47">
        <f t="shared" si="7"/>
        <v>0</v>
      </c>
      <c r="T29" s="87">
        <v>0</v>
      </c>
      <c r="U29" s="47">
        <f t="shared" si="8"/>
        <v>0</v>
      </c>
      <c r="V29" s="88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+'11'!G30</f>
        <v>0</v>
      </c>
      <c r="D30" s="87">
        <v>0</v>
      </c>
      <c r="E30" s="47">
        <f t="shared" si="0"/>
        <v>0</v>
      </c>
      <c r="F30" s="87">
        <v>0</v>
      </c>
      <c r="G30" s="47">
        <f t="shared" si="4"/>
        <v>0</v>
      </c>
      <c r="H30" s="88"/>
      <c r="I30" s="15">
        <v>100</v>
      </c>
      <c r="J30" s="8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+'11'!G31</f>
        <v>2</v>
      </c>
      <c r="D31" s="87">
        <v>0</v>
      </c>
      <c r="E31" s="47">
        <f t="shared" si="0"/>
        <v>2</v>
      </c>
      <c r="F31" s="87">
        <v>0</v>
      </c>
      <c r="G31" s="47">
        <f t="shared" si="4"/>
        <v>2</v>
      </c>
      <c r="H31" s="88"/>
      <c r="I31" s="15">
        <v>100</v>
      </c>
      <c r="J31" s="82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+'11'!G32</f>
        <v>0</v>
      </c>
      <c r="D32" s="87">
        <v>0</v>
      </c>
      <c r="E32" s="47">
        <f t="shared" si="0"/>
        <v>0</v>
      </c>
      <c r="F32" s="87">
        <v>0</v>
      </c>
      <c r="G32" s="47">
        <f t="shared" si="4"/>
        <v>0</v>
      </c>
      <c r="H32" s="88"/>
      <c r="I32" s="15">
        <v>130</v>
      </c>
      <c r="J32" s="82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5" t="s">
        <v>119</v>
      </c>
      <c r="Q32" s="146"/>
      <c r="R32" s="146"/>
      <c r="S32" s="146"/>
      <c r="T32" s="146"/>
      <c r="U32" s="146"/>
      <c r="V32" s="146"/>
      <c r="W32" s="147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+'11'!G33</f>
        <v>5</v>
      </c>
      <c r="D33" s="87">
        <v>5</v>
      </c>
      <c r="E33" s="47">
        <f t="shared" si="0"/>
        <v>10</v>
      </c>
      <c r="F33" s="87">
        <v>0</v>
      </c>
      <c r="G33" s="47">
        <f t="shared" si="4"/>
        <v>10</v>
      </c>
      <c r="H33" s="88"/>
      <c r="I33" s="15">
        <v>130</v>
      </c>
      <c r="J33" s="82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+'11'!G34</f>
        <v>8</v>
      </c>
      <c r="D34" s="87">
        <v>5</v>
      </c>
      <c r="E34" s="47">
        <f t="shared" si="0"/>
        <v>13</v>
      </c>
      <c r="F34" s="87">
        <v>0</v>
      </c>
      <c r="G34" s="47">
        <f t="shared" si="4"/>
        <v>12</v>
      </c>
      <c r="H34" s="88">
        <v>1</v>
      </c>
      <c r="I34" s="15">
        <v>130</v>
      </c>
      <c r="J34" s="82">
        <f t="shared" si="5"/>
        <v>130</v>
      </c>
      <c r="K34" s="17" t="s">
        <v>16</v>
      </c>
      <c r="L34" s="18">
        <v>0</v>
      </c>
      <c r="M34" s="23">
        <f t="shared" si="6"/>
        <v>130</v>
      </c>
    </row>
    <row r="35" spans="1:13" ht="25.5" x14ac:dyDescent="0.55000000000000004">
      <c r="A35" s="10">
        <v>31</v>
      </c>
      <c r="B35" s="19" t="s">
        <v>46</v>
      </c>
      <c r="C35" s="79">
        <f>+'11'!G35</f>
        <v>0</v>
      </c>
      <c r="D35" s="87">
        <v>0</v>
      </c>
      <c r="E35" s="47">
        <f t="shared" si="0"/>
        <v>0</v>
      </c>
      <c r="F35" s="87">
        <v>0</v>
      </c>
      <c r="G35" s="47">
        <f t="shared" si="4"/>
        <v>0</v>
      </c>
      <c r="H35" s="88"/>
      <c r="I35" s="15">
        <v>130</v>
      </c>
      <c r="J35" s="82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+'11'!G36</f>
        <v>0</v>
      </c>
      <c r="D36" s="87">
        <v>0</v>
      </c>
      <c r="E36" s="47">
        <f t="shared" si="0"/>
        <v>0</v>
      </c>
      <c r="F36" s="87">
        <v>0</v>
      </c>
      <c r="G36" s="47">
        <f t="shared" si="4"/>
        <v>0</v>
      </c>
      <c r="H36" s="88"/>
      <c r="I36" s="15">
        <v>100</v>
      </c>
      <c r="J36" s="82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+'11'!G37</f>
        <v>0</v>
      </c>
      <c r="D37" s="87">
        <v>0</v>
      </c>
      <c r="E37" s="47">
        <f t="shared" si="0"/>
        <v>0</v>
      </c>
      <c r="F37" s="87">
        <v>0</v>
      </c>
      <c r="G37" s="47">
        <f t="shared" si="4"/>
        <v>0</v>
      </c>
      <c r="H37" s="88"/>
      <c r="I37" s="15">
        <v>100</v>
      </c>
      <c r="J37" s="82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 t="s">
        <v>49</v>
      </c>
      <c r="C38" s="79">
        <f>+'11'!G38</f>
        <v>5</v>
      </c>
      <c r="D38" s="87">
        <v>5</v>
      </c>
      <c r="E38" s="47">
        <f t="shared" si="0"/>
        <v>10</v>
      </c>
      <c r="F38" s="87">
        <v>0</v>
      </c>
      <c r="G38" s="47">
        <f t="shared" si="4"/>
        <v>9</v>
      </c>
      <c r="H38" s="88">
        <v>1</v>
      </c>
      <c r="I38" s="15">
        <v>50</v>
      </c>
      <c r="J38" s="82">
        <f t="shared" si="5"/>
        <v>50</v>
      </c>
      <c r="K38" s="17" t="s">
        <v>16</v>
      </c>
      <c r="L38" s="18">
        <v>0</v>
      </c>
      <c r="M38" s="23">
        <f t="shared" si="6"/>
        <v>50</v>
      </c>
    </row>
    <row r="39" spans="1:13" ht="25.5" x14ac:dyDescent="0.55000000000000004">
      <c r="A39" s="10">
        <v>35</v>
      </c>
      <c r="B39" s="19" t="s">
        <v>50</v>
      </c>
      <c r="C39" s="79">
        <f>+'11'!G39</f>
        <v>5</v>
      </c>
      <c r="D39" s="87">
        <v>5</v>
      </c>
      <c r="E39" s="47">
        <f t="shared" si="0"/>
        <v>10</v>
      </c>
      <c r="F39" s="87">
        <v>0</v>
      </c>
      <c r="G39" s="47">
        <f t="shared" si="4"/>
        <v>9</v>
      </c>
      <c r="H39" s="88">
        <v>1</v>
      </c>
      <c r="I39" s="15">
        <v>50</v>
      </c>
      <c r="J39" s="82">
        <f t="shared" si="5"/>
        <v>50</v>
      </c>
      <c r="K39" s="17" t="s">
        <v>16</v>
      </c>
      <c r="L39" s="18">
        <v>0</v>
      </c>
      <c r="M39" s="23">
        <f t="shared" si="6"/>
        <v>50</v>
      </c>
    </row>
    <row r="40" spans="1:13" ht="25.5" x14ac:dyDescent="0.55000000000000004">
      <c r="A40" s="10">
        <v>36</v>
      </c>
      <c r="B40" s="19" t="s">
        <v>51</v>
      </c>
      <c r="C40" s="79">
        <f>+'11'!G40</f>
        <v>4</v>
      </c>
      <c r="D40" s="87">
        <v>5</v>
      </c>
      <c r="E40" s="47">
        <f t="shared" si="0"/>
        <v>9</v>
      </c>
      <c r="F40" s="87">
        <v>0</v>
      </c>
      <c r="G40" s="47">
        <f t="shared" si="4"/>
        <v>9</v>
      </c>
      <c r="H40" s="88"/>
      <c r="I40" s="15">
        <v>50</v>
      </c>
      <c r="J40" s="82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+'11'!G41</f>
        <v>0</v>
      </c>
      <c r="D41" s="87">
        <v>0</v>
      </c>
      <c r="E41" s="47">
        <f t="shared" si="0"/>
        <v>0</v>
      </c>
      <c r="F41" s="87">
        <v>0</v>
      </c>
      <c r="G41" s="47">
        <f t="shared" si="4"/>
        <v>0</v>
      </c>
      <c r="H41" s="88"/>
      <c r="I41" s="15">
        <v>50</v>
      </c>
      <c r="J41" s="82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285</v>
      </c>
      <c r="C42" s="79">
        <f>+'11'!G42</f>
        <v>0</v>
      </c>
      <c r="D42" s="87">
        <v>2</v>
      </c>
      <c r="E42" s="47">
        <f t="shared" si="0"/>
        <v>2</v>
      </c>
      <c r="F42" s="87">
        <v>0</v>
      </c>
      <c r="G42" s="47">
        <f t="shared" si="4"/>
        <v>2</v>
      </c>
      <c r="H42" s="88"/>
      <c r="I42" s="15">
        <v>50</v>
      </c>
      <c r="J42" s="82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+'11'!G43</f>
        <v>1</v>
      </c>
      <c r="D43" s="87">
        <v>0</v>
      </c>
      <c r="E43" s="47">
        <f t="shared" si="0"/>
        <v>1</v>
      </c>
      <c r="F43" s="87">
        <v>0</v>
      </c>
      <c r="G43" s="47">
        <f t="shared" si="4"/>
        <v>1</v>
      </c>
      <c r="H43" s="88"/>
      <c r="I43" s="15">
        <v>50</v>
      </c>
      <c r="J43" s="82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+'11'!G44</f>
        <v>0</v>
      </c>
      <c r="D44" s="87">
        <v>0</v>
      </c>
      <c r="E44" s="47">
        <f t="shared" si="0"/>
        <v>0</v>
      </c>
      <c r="F44" s="87">
        <v>0</v>
      </c>
      <c r="G44" s="47">
        <f t="shared" si="4"/>
        <v>0</v>
      </c>
      <c r="H44" s="88"/>
      <c r="I44" s="15">
        <v>50</v>
      </c>
      <c r="J44" s="82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+'11'!G45</f>
        <v>0</v>
      </c>
      <c r="D45" s="87">
        <v>0</v>
      </c>
      <c r="E45" s="47">
        <f t="shared" si="0"/>
        <v>0</v>
      </c>
      <c r="F45" s="87">
        <v>0</v>
      </c>
      <c r="G45" s="47">
        <f t="shared" si="4"/>
        <v>0</v>
      </c>
      <c r="H45" s="88"/>
      <c r="I45" s="15">
        <v>50</v>
      </c>
      <c r="J45" s="82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286</v>
      </c>
      <c r="C46" s="79">
        <f>+'11'!G46</f>
        <v>0</v>
      </c>
      <c r="D46" s="87">
        <v>2</v>
      </c>
      <c r="E46" s="47">
        <f t="shared" si="0"/>
        <v>2</v>
      </c>
      <c r="F46" s="87">
        <v>0</v>
      </c>
      <c r="G46" s="47">
        <f t="shared" si="4"/>
        <v>2</v>
      </c>
      <c r="H46" s="88"/>
      <c r="I46" s="15">
        <v>50</v>
      </c>
      <c r="J46" s="82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+'11'!G47</f>
        <v>0</v>
      </c>
      <c r="D47" s="87">
        <v>2</v>
      </c>
      <c r="E47" s="47">
        <f t="shared" si="0"/>
        <v>2</v>
      </c>
      <c r="F47" s="87">
        <v>0</v>
      </c>
      <c r="G47" s="47">
        <f t="shared" si="4"/>
        <v>2</v>
      </c>
      <c r="H47" s="88"/>
      <c r="I47" s="15">
        <v>50</v>
      </c>
      <c r="J47" s="82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+'11'!G48</f>
        <v>2</v>
      </c>
      <c r="D48" s="87">
        <v>0</v>
      </c>
      <c r="E48" s="47">
        <f t="shared" si="0"/>
        <v>2</v>
      </c>
      <c r="F48" s="87">
        <v>0</v>
      </c>
      <c r="G48" s="47">
        <f t="shared" si="4"/>
        <v>2</v>
      </c>
      <c r="H48" s="88"/>
      <c r="I48" s="15">
        <v>50</v>
      </c>
      <c r="J48" s="82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+'11'!G49</f>
        <v>0</v>
      </c>
      <c r="D49" s="87">
        <v>2</v>
      </c>
      <c r="E49" s="47">
        <f t="shared" si="0"/>
        <v>2</v>
      </c>
      <c r="F49" s="87">
        <v>0</v>
      </c>
      <c r="G49" s="47">
        <f t="shared" si="4"/>
        <v>2</v>
      </c>
      <c r="H49" s="88"/>
      <c r="I49" s="15">
        <v>50</v>
      </c>
      <c r="J49" s="82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+'11'!G50</f>
        <v>4</v>
      </c>
      <c r="D50" s="87">
        <v>0</v>
      </c>
      <c r="E50" s="47">
        <f t="shared" si="0"/>
        <v>4</v>
      </c>
      <c r="F50" s="87">
        <v>0</v>
      </c>
      <c r="G50" s="47">
        <f t="shared" si="4"/>
        <v>4</v>
      </c>
      <c r="H50" s="88"/>
      <c r="I50" s="15">
        <v>120</v>
      </c>
      <c r="J50" s="82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+'11'!G51</f>
        <v>1</v>
      </c>
      <c r="D51" s="87">
        <v>0</v>
      </c>
      <c r="E51" s="47">
        <f t="shared" si="0"/>
        <v>1</v>
      </c>
      <c r="F51" s="87">
        <v>0</v>
      </c>
      <c r="G51" s="47">
        <f t="shared" si="4"/>
        <v>1</v>
      </c>
      <c r="H51" s="88"/>
      <c r="I51" s="15">
        <v>120</v>
      </c>
      <c r="J51" s="82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+'11'!G52</f>
        <v>0</v>
      </c>
      <c r="D52" s="87">
        <v>0</v>
      </c>
      <c r="E52" s="47">
        <f t="shared" si="0"/>
        <v>0</v>
      </c>
      <c r="F52" s="87">
        <v>0</v>
      </c>
      <c r="G52" s="47">
        <f t="shared" si="4"/>
        <v>0</v>
      </c>
      <c r="H52" s="88"/>
      <c r="I52" s="21">
        <v>120</v>
      </c>
      <c r="J52" s="82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+'11'!G53</f>
        <v>0</v>
      </c>
      <c r="D53" s="87">
        <v>0</v>
      </c>
      <c r="E53" s="47">
        <f t="shared" si="0"/>
        <v>0</v>
      </c>
      <c r="F53" s="87">
        <v>0</v>
      </c>
      <c r="G53" s="47">
        <f t="shared" si="4"/>
        <v>0</v>
      </c>
      <c r="H53" s="88"/>
      <c r="I53" s="15">
        <v>120</v>
      </c>
      <c r="J53" s="82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+'11'!G54</f>
        <v>0</v>
      </c>
      <c r="D54" s="87">
        <v>0</v>
      </c>
      <c r="E54" s="47">
        <f t="shared" si="0"/>
        <v>0</v>
      </c>
      <c r="F54" s="87">
        <v>0</v>
      </c>
      <c r="G54" s="47">
        <f t="shared" si="4"/>
        <v>0</v>
      </c>
      <c r="H54" s="88"/>
      <c r="I54" s="15">
        <v>120</v>
      </c>
      <c r="J54" s="82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+'11'!G55</f>
        <v>0</v>
      </c>
      <c r="D55" s="87">
        <v>0</v>
      </c>
      <c r="E55" s="47">
        <f t="shared" si="0"/>
        <v>0</v>
      </c>
      <c r="F55" s="87">
        <v>0</v>
      </c>
      <c r="G55" s="47">
        <f t="shared" si="4"/>
        <v>0</v>
      </c>
      <c r="H55" s="88"/>
      <c r="I55" s="21">
        <v>120</v>
      </c>
      <c r="J55" s="82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+'11'!G56</f>
        <v>1</v>
      </c>
      <c r="D56" s="87">
        <v>0</v>
      </c>
      <c r="E56" s="47">
        <f t="shared" si="0"/>
        <v>1</v>
      </c>
      <c r="F56" s="87">
        <v>0</v>
      </c>
      <c r="G56" s="47">
        <f t="shared" si="4"/>
        <v>1</v>
      </c>
      <c r="H56" s="88"/>
      <c r="I56" s="21">
        <v>120</v>
      </c>
      <c r="J56" s="82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+'11'!G57</f>
        <v>0</v>
      </c>
      <c r="D57" s="87">
        <v>0</v>
      </c>
      <c r="E57" s="47">
        <f t="shared" si="0"/>
        <v>0</v>
      </c>
      <c r="F57" s="87">
        <v>0</v>
      </c>
      <c r="G57" s="47">
        <f t="shared" si="4"/>
        <v>0</v>
      </c>
      <c r="H57" s="88"/>
      <c r="I57" s="21">
        <v>120</v>
      </c>
      <c r="J57" s="82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+'11'!G58</f>
        <v>0</v>
      </c>
      <c r="D58" s="87">
        <v>0</v>
      </c>
      <c r="E58" s="47">
        <f t="shared" si="0"/>
        <v>0</v>
      </c>
      <c r="F58" s="87">
        <v>0</v>
      </c>
      <c r="G58" s="47">
        <f t="shared" si="4"/>
        <v>0</v>
      </c>
      <c r="H58" s="88"/>
      <c r="I58" s="21">
        <v>120</v>
      </c>
      <c r="J58" s="82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+'11'!G59</f>
        <v>0</v>
      </c>
      <c r="D59" s="87">
        <v>0</v>
      </c>
      <c r="E59" s="47">
        <f t="shared" si="0"/>
        <v>0</v>
      </c>
      <c r="F59" s="87">
        <v>0</v>
      </c>
      <c r="G59" s="47">
        <f t="shared" si="4"/>
        <v>0</v>
      </c>
      <c r="H59" s="88"/>
      <c r="I59" s="15">
        <v>70</v>
      </c>
      <c r="J59" s="82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+'11'!G60</f>
        <v>0</v>
      </c>
      <c r="D60" s="87">
        <v>0</v>
      </c>
      <c r="E60" s="47">
        <f t="shared" si="0"/>
        <v>0</v>
      </c>
      <c r="F60" s="87">
        <v>0</v>
      </c>
      <c r="G60" s="47">
        <f t="shared" si="4"/>
        <v>0</v>
      </c>
      <c r="H60" s="88"/>
      <c r="I60" s="21">
        <v>80</v>
      </c>
      <c r="J60" s="82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+'11'!G61</f>
        <v>0</v>
      </c>
      <c r="D61" s="87">
        <v>0</v>
      </c>
      <c r="E61" s="47">
        <f t="shared" si="0"/>
        <v>0</v>
      </c>
      <c r="F61" s="87">
        <v>0</v>
      </c>
      <c r="G61" s="47">
        <f t="shared" si="4"/>
        <v>0</v>
      </c>
      <c r="H61" s="88"/>
      <c r="I61" s="15">
        <v>50</v>
      </c>
      <c r="J61" s="82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+'11'!G62</f>
        <v>1</v>
      </c>
      <c r="D62" s="87">
        <v>0</v>
      </c>
      <c r="E62" s="47">
        <f t="shared" si="0"/>
        <v>1</v>
      </c>
      <c r="F62" s="87">
        <v>0</v>
      </c>
      <c r="G62" s="47">
        <f t="shared" si="4"/>
        <v>1</v>
      </c>
      <c r="H62" s="88"/>
      <c r="I62" s="20">
        <v>50</v>
      </c>
      <c r="J62" s="82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+'11'!G63</f>
        <v>0</v>
      </c>
      <c r="D63" s="87">
        <v>0</v>
      </c>
      <c r="E63" s="47">
        <f t="shared" si="0"/>
        <v>0</v>
      </c>
      <c r="F63" s="87">
        <v>0</v>
      </c>
      <c r="G63" s="47">
        <f t="shared" si="4"/>
        <v>0</v>
      </c>
      <c r="H63" s="88"/>
      <c r="I63" s="20">
        <v>50</v>
      </c>
      <c r="J63" s="82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+'11'!G64</f>
        <v>0</v>
      </c>
      <c r="D64" s="87">
        <v>0</v>
      </c>
      <c r="E64" s="47">
        <f t="shared" si="0"/>
        <v>0</v>
      </c>
      <c r="F64" s="87">
        <v>0</v>
      </c>
      <c r="G64" s="47">
        <f t="shared" si="4"/>
        <v>0</v>
      </c>
      <c r="H64" s="88"/>
      <c r="I64" s="21">
        <v>30</v>
      </c>
      <c r="J64" s="82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+'11'!G65</f>
        <v>0</v>
      </c>
      <c r="D65" s="87">
        <v>0</v>
      </c>
      <c r="E65" s="47">
        <f t="shared" si="0"/>
        <v>0</v>
      </c>
      <c r="F65" s="87">
        <v>0</v>
      </c>
      <c r="G65" s="47">
        <f t="shared" si="4"/>
        <v>0</v>
      </c>
      <c r="H65" s="88"/>
      <c r="I65" s="21">
        <v>30</v>
      </c>
      <c r="J65" s="82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+'11'!G66</f>
        <v>3</v>
      </c>
      <c r="D66" s="87">
        <v>0</v>
      </c>
      <c r="E66" s="47">
        <f t="shared" si="0"/>
        <v>3</v>
      </c>
      <c r="F66" s="87">
        <v>0</v>
      </c>
      <c r="G66" s="47">
        <f t="shared" si="4"/>
        <v>3</v>
      </c>
      <c r="H66" s="88"/>
      <c r="I66" s="15">
        <v>50</v>
      </c>
      <c r="J66" s="82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+'11'!G67</f>
        <v>3</v>
      </c>
      <c r="D67" s="87">
        <v>5</v>
      </c>
      <c r="E67" s="47">
        <f t="shared" si="0"/>
        <v>8</v>
      </c>
      <c r="F67" s="87">
        <v>0</v>
      </c>
      <c r="G67" s="47">
        <f t="shared" si="4"/>
        <v>7</v>
      </c>
      <c r="H67" s="88">
        <v>1</v>
      </c>
      <c r="I67" s="15">
        <v>50</v>
      </c>
      <c r="J67" s="82">
        <f t="shared" si="5"/>
        <v>50</v>
      </c>
      <c r="K67" s="17" t="s">
        <v>16</v>
      </c>
      <c r="L67" s="18">
        <v>0</v>
      </c>
      <c r="M67" s="23">
        <f t="shared" si="6"/>
        <v>50</v>
      </c>
    </row>
    <row r="68" spans="1:13" ht="25.5" x14ac:dyDescent="0.55000000000000004">
      <c r="A68" s="10">
        <v>64</v>
      </c>
      <c r="B68" s="19" t="s">
        <v>79</v>
      </c>
      <c r="C68" s="79">
        <f>+'11'!G68</f>
        <v>0</v>
      </c>
      <c r="D68" s="87">
        <v>0</v>
      </c>
      <c r="E68" s="47">
        <f t="shared" si="0"/>
        <v>0</v>
      </c>
      <c r="F68" s="87">
        <v>0</v>
      </c>
      <c r="G68" s="47">
        <f t="shared" si="4"/>
        <v>0</v>
      </c>
      <c r="H68" s="88"/>
      <c r="I68" s="20">
        <v>35</v>
      </c>
      <c r="J68" s="82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+'11'!G69</f>
        <v>0</v>
      </c>
      <c r="D69" s="87">
        <v>0</v>
      </c>
      <c r="E69" s="47">
        <f t="shared" si="0"/>
        <v>0</v>
      </c>
      <c r="F69" s="87">
        <v>0</v>
      </c>
      <c r="G69" s="47">
        <f t="shared" si="4"/>
        <v>0</v>
      </c>
      <c r="H69" s="88"/>
      <c r="I69" s="20">
        <v>25</v>
      </c>
      <c r="J69" s="82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+'11'!G70</f>
        <v>7</v>
      </c>
      <c r="D70" s="87">
        <v>5</v>
      </c>
      <c r="E70" s="47">
        <f t="shared" si="0"/>
        <v>12</v>
      </c>
      <c r="F70" s="87">
        <v>0</v>
      </c>
      <c r="G70" s="47">
        <f t="shared" si="4"/>
        <v>12</v>
      </c>
      <c r="H70" s="88"/>
      <c r="I70" s="20">
        <v>50</v>
      </c>
      <c r="J70" s="82">
        <f t="shared" si="5"/>
        <v>0</v>
      </c>
      <c r="K70" s="17" t="s">
        <v>16</v>
      </c>
      <c r="L70" s="18">
        <v>0</v>
      </c>
      <c r="M70" s="23">
        <f t="shared" ref="M70:M134" si="10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+'11'!G71</f>
        <v>8</v>
      </c>
      <c r="D71" s="87">
        <v>5</v>
      </c>
      <c r="E71" s="47">
        <f t="shared" si="0"/>
        <v>13</v>
      </c>
      <c r="F71" s="87">
        <v>0</v>
      </c>
      <c r="G71" s="47">
        <f t="shared" si="4"/>
        <v>12</v>
      </c>
      <c r="H71" s="88">
        <v>1</v>
      </c>
      <c r="I71" s="20">
        <v>60</v>
      </c>
      <c r="J71" s="82">
        <f t="shared" si="5"/>
        <v>60</v>
      </c>
      <c r="K71" s="17" t="s">
        <v>16</v>
      </c>
      <c r="L71" s="18">
        <v>0</v>
      </c>
      <c r="M71" s="23">
        <f t="shared" si="10"/>
        <v>60</v>
      </c>
    </row>
    <row r="72" spans="1:13" ht="25.5" x14ac:dyDescent="0.55000000000000004">
      <c r="A72" s="10">
        <v>68</v>
      </c>
      <c r="B72" s="19" t="s">
        <v>83</v>
      </c>
      <c r="C72" s="79">
        <f>+'11'!G72</f>
        <v>0</v>
      </c>
      <c r="D72" s="87">
        <v>0</v>
      </c>
      <c r="E72" s="47">
        <f t="shared" si="0"/>
        <v>0</v>
      </c>
      <c r="F72" s="87">
        <v>0</v>
      </c>
      <c r="G72" s="47">
        <f t="shared" si="4"/>
        <v>0</v>
      </c>
      <c r="H72" s="88"/>
      <c r="I72" s="22">
        <v>50</v>
      </c>
      <c r="J72" s="82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+'11'!G73</f>
        <v>0</v>
      </c>
      <c r="D73" s="87">
        <v>0</v>
      </c>
      <c r="E73" s="47">
        <f t="shared" si="0"/>
        <v>0</v>
      </c>
      <c r="F73" s="87">
        <v>0</v>
      </c>
      <c r="G73" s="47">
        <f t="shared" si="4"/>
        <v>0</v>
      </c>
      <c r="H73" s="88"/>
      <c r="I73" s="20">
        <v>60</v>
      </c>
      <c r="J73" s="82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+'11'!G74</f>
        <v>0</v>
      </c>
      <c r="D74" s="87">
        <v>10</v>
      </c>
      <c r="E74" s="47">
        <f t="shared" si="0"/>
        <v>10</v>
      </c>
      <c r="F74" s="87">
        <v>0</v>
      </c>
      <c r="G74" s="47">
        <f t="shared" si="4"/>
        <v>9</v>
      </c>
      <c r="H74" s="88">
        <v>1</v>
      </c>
      <c r="I74" s="22">
        <v>120</v>
      </c>
      <c r="J74" s="82">
        <f t="shared" si="5"/>
        <v>120</v>
      </c>
      <c r="K74" s="17" t="s">
        <v>16</v>
      </c>
      <c r="L74" s="18">
        <v>0</v>
      </c>
      <c r="M74" s="23">
        <f t="shared" si="10"/>
        <v>120</v>
      </c>
    </row>
    <row r="75" spans="1:13" ht="25.5" x14ac:dyDescent="0.55000000000000004">
      <c r="A75" s="10">
        <v>71</v>
      </c>
      <c r="B75" s="19" t="s">
        <v>86</v>
      </c>
      <c r="C75" s="79">
        <f>+'11'!G75</f>
        <v>0</v>
      </c>
      <c r="D75" s="87">
        <v>0</v>
      </c>
      <c r="E75" s="47">
        <f t="shared" si="0"/>
        <v>0</v>
      </c>
      <c r="F75" s="87">
        <v>0</v>
      </c>
      <c r="G75" s="47">
        <f t="shared" si="4"/>
        <v>0</v>
      </c>
      <c r="H75" s="88"/>
      <c r="I75" s="22">
        <v>60</v>
      </c>
      <c r="J75" s="82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+'11'!G76</f>
        <v>0</v>
      </c>
      <c r="D76" s="87">
        <v>0</v>
      </c>
      <c r="E76" s="47">
        <f t="shared" si="0"/>
        <v>0</v>
      </c>
      <c r="F76" s="87">
        <v>0</v>
      </c>
      <c r="G76" s="47">
        <f t="shared" si="4"/>
        <v>0</v>
      </c>
      <c r="H76" s="88"/>
      <c r="I76" s="22">
        <v>120</v>
      </c>
      <c r="J76" s="82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272</v>
      </c>
      <c r="C77" s="79">
        <f>+'11'!G77</f>
        <v>1</v>
      </c>
      <c r="D77" s="87">
        <v>2</v>
      </c>
      <c r="E77" s="47">
        <f>C77+D77</f>
        <v>3</v>
      </c>
      <c r="F77" s="87">
        <v>0</v>
      </c>
      <c r="G77" s="47">
        <f>+E77-F77-H77</f>
        <v>2</v>
      </c>
      <c r="H77" s="88">
        <v>1</v>
      </c>
      <c r="I77" s="20">
        <v>50</v>
      </c>
      <c r="J77" s="82">
        <f>+I77*H77</f>
        <v>50</v>
      </c>
      <c r="K77" s="17" t="s">
        <v>16</v>
      </c>
      <c r="L77" s="18">
        <v>0</v>
      </c>
      <c r="M77" s="23">
        <f>SUM(J77-L77)</f>
        <v>50</v>
      </c>
    </row>
    <row r="78" spans="1:13" ht="25.5" x14ac:dyDescent="0.55000000000000004">
      <c r="A78" s="10">
        <v>74</v>
      </c>
      <c r="B78" s="19" t="s">
        <v>277</v>
      </c>
      <c r="C78" s="79">
        <f>+'11'!G78</f>
        <v>2</v>
      </c>
      <c r="D78" s="87">
        <v>2</v>
      </c>
      <c r="E78" s="47">
        <f t="shared" si="0"/>
        <v>4</v>
      </c>
      <c r="F78" s="87">
        <v>0</v>
      </c>
      <c r="G78" s="47">
        <f t="shared" si="4"/>
        <v>1</v>
      </c>
      <c r="H78" s="88">
        <v>3</v>
      </c>
      <c r="I78" s="20">
        <v>50</v>
      </c>
      <c r="J78" s="82">
        <f t="shared" si="5"/>
        <v>150</v>
      </c>
      <c r="K78" s="17" t="s">
        <v>16</v>
      </c>
      <c r="L78" s="18">
        <v>0</v>
      </c>
      <c r="M78" s="23">
        <f t="shared" si="10"/>
        <v>150</v>
      </c>
    </row>
    <row r="79" spans="1:13" ht="25.5" x14ac:dyDescent="0.55000000000000004">
      <c r="A79" s="10">
        <v>75</v>
      </c>
      <c r="B79" s="19" t="s">
        <v>278</v>
      </c>
      <c r="C79" s="79">
        <f>+'11'!G79</f>
        <v>0</v>
      </c>
      <c r="D79" s="87">
        <v>0</v>
      </c>
      <c r="E79" s="47">
        <f t="shared" si="0"/>
        <v>0</v>
      </c>
      <c r="F79" s="87">
        <v>0</v>
      </c>
      <c r="G79" s="47">
        <f t="shared" si="4"/>
        <v>0</v>
      </c>
      <c r="H79" s="88"/>
      <c r="I79" s="22">
        <v>120</v>
      </c>
      <c r="J79" s="82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90</v>
      </c>
      <c r="C80" s="79">
        <f>+'11'!G80</f>
        <v>6</v>
      </c>
      <c r="D80" s="87">
        <v>0</v>
      </c>
      <c r="E80" s="47">
        <f t="shared" si="0"/>
        <v>6</v>
      </c>
      <c r="F80" s="87">
        <v>0</v>
      </c>
      <c r="G80" s="47">
        <f t="shared" si="4"/>
        <v>1</v>
      </c>
      <c r="H80" s="88">
        <v>5</v>
      </c>
      <c r="I80" s="22">
        <v>50</v>
      </c>
      <c r="J80" s="82">
        <f t="shared" si="5"/>
        <v>250</v>
      </c>
      <c r="K80" s="17" t="s">
        <v>16</v>
      </c>
      <c r="L80" s="18">
        <v>0</v>
      </c>
      <c r="M80" s="23">
        <f t="shared" si="10"/>
        <v>250</v>
      </c>
    </row>
    <row r="81" spans="1:13" ht="25.5" x14ac:dyDescent="0.55000000000000004">
      <c r="A81" s="10">
        <v>77</v>
      </c>
      <c r="B81" s="19" t="s">
        <v>91</v>
      </c>
      <c r="C81" s="79">
        <f>+'11'!G81</f>
        <v>0</v>
      </c>
      <c r="D81" s="87">
        <v>0</v>
      </c>
      <c r="E81" s="47">
        <f t="shared" si="0"/>
        <v>0</v>
      </c>
      <c r="F81" s="87">
        <v>0</v>
      </c>
      <c r="G81" s="47">
        <f t="shared" si="4"/>
        <v>0</v>
      </c>
      <c r="H81" s="88"/>
      <c r="I81" s="22">
        <v>50</v>
      </c>
      <c r="J81" s="82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92</v>
      </c>
      <c r="C82" s="79">
        <f>+'11'!G82</f>
        <v>2</v>
      </c>
      <c r="D82" s="87">
        <v>0</v>
      </c>
      <c r="E82" s="47">
        <f t="shared" si="0"/>
        <v>2</v>
      </c>
      <c r="F82" s="87">
        <v>0</v>
      </c>
      <c r="G82" s="47">
        <f t="shared" si="4"/>
        <v>2</v>
      </c>
      <c r="H82" s="88"/>
      <c r="I82" s="20">
        <v>55</v>
      </c>
      <c r="J82" s="82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93</v>
      </c>
      <c r="C83" s="79">
        <f>+'11'!G83</f>
        <v>2</v>
      </c>
      <c r="D83" s="87">
        <v>0</v>
      </c>
      <c r="E83" s="47">
        <f t="shared" si="0"/>
        <v>2</v>
      </c>
      <c r="F83" s="87">
        <v>0</v>
      </c>
      <c r="G83" s="47">
        <f t="shared" si="4"/>
        <v>2</v>
      </c>
      <c r="H83" s="88"/>
      <c r="I83" s="22">
        <v>55</v>
      </c>
      <c r="J83" s="82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94</v>
      </c>
      <c r="C84" s="79">
        <f>+'11'!G84</f>
        <v>0</v>
      </c>
      <c r="D84" s="87">
        <v>0</v>
      </c>
      <c r="E84" s="47">
        <f t="shared" si="0"/>
        <v>0</v>
      </c>
      <c r="F84" s="87">
        <v>0</v>
      </c>
      <c r="G84" s="47">
        <f t="shared" si="4"/>
        <v>0</v>
      </c>
      <c r="H84" s="88"/>
      <c r="I84" s="22">
        <v>55</v>
      </c>
      <c r="J84" s="82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95</v>
      </c>
      <c r="C85" s="79">
        <f>+'11'!G85</f>
        <v>0</v>
      </c>
      <c r="D85" s="87">
        <v>0</v>
      </c>
      <c r="E85" s="47">
        <f t="shared" si="0"/>
        <v>0</v>
      </c>
      <c r="F85" s="87">
        <v>0</v>
      </c>
      <c r="G85" s="47">
        <f t="shared" si="4"/>
        <v>0</v>
      </c>
      <c r="H85" s="88"/>
      <c r="I85" s="22">
        <v>55</v>
      </c>
      <c r="J85" s="82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96</v>
      </c>
      <c r="C86" s="79">
        <f>+'11'!G86</f>
        <v>6</v>
      </c>
      <c r="D86" s="87">
        <v>0</v>
      </c>
      <c r="E86" s="47">
        <f t="shared" si="0"/>
        <v>6</v>
      </c>
      <c r="F86" s="87">
        <v>0</v>
      </c>
      <c r="G86" s="47">
        <f t="shared" si="4"/>
        <v>5</v>
      </c>
      <c r="H86" s="88">
        <v>1</v>
      </c>
      <c r="I86" s="22">
        <v>100</v>
      </c>
      <c r="J86" s="82">
        <f t="shared" si="5"/>
        <v>100</v>
      </c>
      <c r="K86" s="17" t="s">
        <v>16</v>
      </c>
      <c r="L86" s="18">
        <v>0</v>
      </c>
      <c r="M86" s="23">
        <f t="shared" si="10"/>
        <v>100</v>
      </c>
    </row>
    <row r="87" spans="1:13" ht="25.5" x14ac:dyDescent="0.55000000000000004">
      <c r="A87" s="10">
        <v>83</v>
      </c>
      <c r="B87" s="19" t="s">
        <v>97</v>
      </c>
      <c r="C87" s="79">
        <f>+'11'!G87</f>
        <v>6</v>
      </c>
      <c r="D87" s="87">
        <v>0</v>
      </c>
      <c r="E87" s="47">
        <f t="shared" si="0"/>
        <v>6</v>
      </c>
      <c r="F87" s="87">
        <v>0</v>
      </c>
      <c r="G87" s="47">
        <f t="shared" si="4"/>
        <v>6</v>
      </c>
      <c r="H87" s="88"/>
      <c r="I87" s="20">
        <v>55</v>
      </c>
      <c r="J87" s="82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98</v>
      </c>
      <c r="C88" s="79">
        <f>+'11'!G88</f>
        <v>2</v>
      </c>
      <c r="D88" s="87">
        <v>0</v>
      </c>
      <c r="E88" s="47">
        <f t="shared" si="0"/>
        <v>2</v>
      </c>
      <c r="F88" s="87">
        <v>0</v>
      </c>
      <c r="G88" s="47">
        <f t="shared" si="4"/>
        <v>2</v>
      </c>
      <c r="H88" s="88"/>
      <c r="I88" s="20">
        <v>60</v>
      </c>
      <c r="J88" s="82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99</v>
      </c>
      <c r="C89" s="79">
        <f>+'11'!G89</f>
        <v>2</v>
      </c>
      <c r="D89" s="87">
        <v>0</v>
      </c>
      <c r="E89" s="47">
        <f t="shared" si="0"/>
        <v>2</v>
      </c>
      <c r="F89" s="87">
        <v>0</v>
      </c>
      <c r="G89" s="47">
        <f t="shared" si="4"/>
        <v>2</v>
      </c>
      <c r="H89" s="88"/>
      <c r="I89" s="20">
        <v>100</v>
      </c>
      <c r="J89" s="82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100</v>
      </c>
      <c r="C90" s="79">
        <f>+'11'!G90</f>
        <v>9</v>
      </c>
      <c r="D90" s="87">
        <v>0</v>
      </c>
      <c r="E90" s="47">
        <f t="shared" si="0"/>
        <v>9</v>
      </c>
      <c r="F90" s="87">
        <v>0</v>
      </c>
      <c r="G90" s="47">
        <f t="shared" si="4"/>
        <v>9</v>
      </c>
      <c r="H90" s="88"/>
      <c r="I90" s="20">
        <v>55</v>
      </c>
      <c r="J90" s="82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101</v>
      </c>
      <c r="C91" s="79">
        <f>+'11'!G91</f>
        <v>0</v>
      </c>
      <c r="D91" s="87">
        <v>0</v>
      </c>
      <c r="E91" s="47">
        <f t="shared" si="0"/>
        <v>0</v>
      </c>
      <c r="F91" s="87">
        <v>0</v>
      </c>
      <c r="G91" s="47">
        <f t="shared" si="4"/>
        <v>0</v>
      </c>
      <c r="H91" s="88"/>
      <c r="I91" s="20">
        <v>50</v>
      </c>
      <c r="J91" s="82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102</v>
      </c>
      <c r="C92" s="79">
        <f>+'11'!G92</f>
        <v>0</v>
      </c>
      <c r="D92" s="87">
        <v>0</v>
      </c>
      <c r="E92" s="47">
        <f t="shared" si="0"/>
        <v>0</v>
      </c>
      <c r="F92" s="87">
        <v>0</v>
      </c>
      <c r="G92" s="47">
        <f t="shared" si="4"/>
        <v>0</v>
      </c>
      <c r="H92" s="88"/>
      <c r="I92" s="22">
        <v>50</v>
      </c>
      <c r="J92" s="82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248</v>
      </c>
      <c r="C93" s="79">
        <f>+'11'!G93</f>
        <v>0</v>
      </c>
      <c r="D93" s="87">
        <v>0</v>
      </c>
      <c r="E93" s="47">
        <f t="shared" si="0"/>
        <v>0</v>
      </c>
      <c r="F93" s="87">
        <v>0</v>
      </c>
      <c r="G93" s="47">
        <f t="shared" si="4"/>
        <v>0</v>
      </c>
      <c r="H93" s="88"/>
      <c r="I93" s="22">
        <v>120</v>
      </c>
      <c r="J93" s="82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104</v>
      </c>
      <c r="C94" s="79">
        <f>+'11'!G94</f>
        <v>0</v>
      </c>
      <c r="D94" s="87">
        <v>0</v>
      </c>
      <c r="E94" s="47">
        <f t="shared" si="0"/>
        <v>0</v>
      </c>
      <c r="F94" s="87">
        <v>0</v>
      </c>
      <c r="G94" s="47">
        <f t="shared" si="4"/>
        <v>0</v>
      </c>
      <c r="H94" s="88"/>
      <c r="I94" s="20">
        <v>250</v>
      </c>
      <c r="J94" s="82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105</v>
      </c>
      <c r="C95" s="79">
        <f>+'11'!G95</f>
        <v>0</v>
      </c>
      <c r="D95" s="87">
        <v>0</v>
      </c>
      <c r="E95" s="47">
        <f t="shared" si="0"/>
        <v>0</v>
      </c>
      <c r="F95" s="87">
        <v>0</v>
      </c>
      <c r="G95" s="47">
        <f t="shared" si="4"/>
        <v>0</v>
      </c>
      <c r="H95" s="88"/>
      <c r="I95" s="20">
        <v>120</v>
      </c>
      <c r="J95" s="82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106</v>
      </c>
      <c r="C96" s="79">
        <f>+'11'!G96</f>
        <v>0</v>
      </c>
      <c r="D96" s="87">
        <v>0</v>
      </c>
      <c r="E96" s="47">
        <f t="shared" si="0"/>
        <v>0</v>
      </c>
      <c r="F96" s="87">
        <v>0</v>
      </c>
      <c r="G96" s="47">
        <f t="shared" si="4"/>
        <v>0</v>
      </c>
      <c r="H96" s="88"/>
      <c r="I96" s="20">
        <v>120</v>
      </c>
      <c r="J96" s="82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107</v>
      </c>
      <c r="C97" s="79">
        <f>+'11'!G97</f>
        <v>0</v>
      </c>
      <c r="D97" s="87">
        <v>0</v>
      </c>
      <c r="E97" s="47">
        <f t="shared" si="0"/>
        <v>0</v>
      </c>
      <c r="F97" s="87">
        <v>0</v>
      </c>
      <c r="G97" s="47">
        <f t="shared" si="4"/>
        <v>0</v>
      </c>
      <c r="H97" s="88"/>
      <c r="I97" s="20">
        <v>120</v>
      </c>
      <c r="J97" s="82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103</v>
      </c>
      <c r="C98" s="79">
        <f>+'11'!G98</f>
        <v>0</v>
      </c>
      <c r="D98" s="87">
        <v>0</v>
      </c>
      <c r="E98" s="47">
        <f t="shared" si="0"/>
        <v>0</v>
      </c>
      <c r="F98" s="87">
        <v>0</v>
      </c>
      <c r="G98" s="47">
        <f t="shared" si="4"/>
        <v>0</v>
      </c>
      <c r="H98" s="88"/>
      <c r="I98" s="20">
        <v>120</v>
      </c>
      <c r="J98" s="82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109</v>
      </c>
      <c r="C99" s="79">
        <f>+'11'!G99</f>
        <v>0</v>
      </c>
      <c r="D99" s="87">
        <v>0</v>
      </c>
      <c r="E99" s="47">
        <f t="shared" si="0"/>
        <v>0</v>
      </c>
      <c r="F99" s="87">
        <v>0</v>
      </c>
      <c r="G99" s="47">
        <f t="shared" si="4"/>
        <v>0</v>
      </c>
      <c r="H99" s="88"/>
      <c r="I99" s="20">
        <v>50</v>
      </c>
      <c r="J99" s="82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110</v>
      </c>
      <c r="C100" s="79">
        <f>+'11'!G100</f>
        <v>0</v>
      </c>
      <c r="D100" s="87">
        <v>0</v>
      </c>
      <c r="E100" s="47">
        <f t="shared" si="0"/>
        <v>0</v>
      </c>
      <c r="F100" s="87">
        <v>0</v>
      </c>
      <c r="G100" s="47">
        <f t="shared" si="4"/>
        <v>0</v>
      </c>
      <c r="H100" s="88"/>
      <c r="I100" s="20">
        <v>50</v>
      </c>
      <c r="J100" s="82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111</v>
      </c>
      <c r="C101" s="79">
        <f>+'11'!G101</f>
        <v>0</v>
      </c>
      <c r="D101" s="87">
        <v>0</v>
      </c>
      <c r="E101" s="47">
        <f t="shared" si="0"/>
        <v>0</v>
      </c>
      <c r="F101" s="87">
        <v>0</v>
      </c>
      <c r="G101" s="47">
        <f t="shared" ref="G101:G164" si="11">+E101-F101-H101</f>
        <v>0</v>
      </c>
      <c r="H101" s="88"/>
      <c r="I101" s="20">
        <v>60</v>
      </c>
      <c r="J101" s="82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112</v>
      </c>
      <c r="C102" s="79">
        <f>+'11'!G102</f>
        <v>0</v>
      </c>
      <c r="D102" s="87">
        <v>0</v>
      </c>
      <c r="E102" s="47">
        <f t="shared" si="0"/>
        <v>0</v>
      </c>
      <c r="F102" s="87">
        <v>0</v>
      </c>
      <c r="G102" s="47">
        <f t="shared" si="11"/>
        <v>0</v>
      </c>
      <c r="H102" s="88"/>
      <c r="I102" s="20">
        <v>55</v>
      </c>
      <c r="J102" s="82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113</v>
      </c>
      <c r="C103" s="79">
        <f>+'11'!G103</f>
        <v>0</v>
      </c>
      <c r="D103" s="87">
        <v>0</v>
      </c>
      <c r="E103" s="47">
        <f t="shared" si="0"/>
        <v>0</v>
      </c>
      <c r="F103" s="87">
        <v>0</v>
      </c>
      <c r="G103" s="47">
        <f t="shared" si="11"/>
        <v>0</v>
      </c>
      <c r="H103" s="88"/>
      <c r="I103" s="20">
        <v>50</v>
      </c>
      <c r="J103" s="82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114</v>
      </c>
      <c r="C104" s="79">
        <f>+'11'!G104</f>
        <v>0</v>
      </c>
      <c r="D104" s="87">
        <v>0</v>
      </c>
      <c r="E104" s="47">
        <f t="shared" si="0"/>
        <v>0</v>
      </c>
      <c r="F104" s="87">
        <v>0</v>
      </c>
      <c r="G104" s="47">
        <f t="shared" si="11"/>
        <v>0</v>
      </c>
      <c r="H104" s="88"/>
      <c r="I104" s="20">
        <v>100</v>
      </c>
      <c r="J104" s="82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115</v>
      </c>
      <c r="C105" s="79">
        <f>+'11'!G105</f>
        <v>0</v>
      </c>
      <c r="D105" s="87">
        <v>0</v>
      </c>
      <c r="E105" s="47">
        <f t="shared" si="0"/>
        <v>0</v>
      </c>
      <c r="F105" s="87">
        <v>0</v>
      </c>
      <c r="G105" s="47">
        <f t="shared" si="11"/>
        <v>0</v>
      </c>
      <c r="H105" s="88"/>
      <c r="I105" s="20">
        <v>100</v>
      </c>
      <c r="J105" s="82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116</v>
      </c>
      <c r="C106" s="79">
        <f>+'11'!G106</f>
        <v>0</v>
      </c>
      <c r="D106" s="87">
        <v>0</v>
      </c>
      <c r="E106" s="47">
        <f t="shared" si="0"/>
        <v>0</v>
      </c>
      <c r="F106" s="87">
        <v>0</v>
      </c>
      <c r="G106" s="47">
        <f t="shared" si="11"/>
        <v>0</v>
      </c>
      <c r="H106" s="88"/>
      <c r="I106" s="22">
        <v>30</v>
      </c>
      <c r="J106" s="82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117</v>
      </c>
      <c r="C107" s="79">
        <f>+'11'!G107</f>
        <v>0</v>
      </c>
      <c r="D107" s="87">
        <v>0</v>
      </c>
      <c r="E107" s="47">
        <f t="shared" si="0"/>
        <v>0</v>
      </c>
      <c r="F107" s="87">
        <v>0</v>
      </c>
      <c r="G107" s="47">
        <f t="shared" si="11"/>
        <v>0</v>
      </c>
      <c r="H107" s="88"/>
      <c r="I107" s="22">
        <v>20</v>
      </c>
      <c r="J107" s="82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118</v>
      </c>
      <c r="C108" s="79">
        <f>+'11'!G108</f>
        <v>0</v>
      </c>
      <c r="D108" s="87">
        <v>0</v>
      </c>
      <c r="E108" s="47">
        <f t="shared" si="0"/>
        <v>0</v>
      </c>
      <c r="F108" s="87">
        <v>0</v>
      </c>
      <c r="G108" s="47">
        <f t="shared" si="11"/>
        <v>0</v>
      </c>
      <c r="H108" s="88"/>
      <c r="I108" s="20">
        <v>100</v>
      </c>
      <c r="J108" s="82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120</v>
      </c>
      <c r="C109" s="79">
        <f>+'11'!G109</f>
        <v>0</v>
      </c>
      <c r="D109" s="87">
        <v>0</v>
      </c>
      <c r="E109" s="47">
        <f t="shared" si="0"/>
        <v>0</v>
      </c>
      <c r="F109" s="87">
        <v>0</v>
      </c>
      <c r="G109" s="47">
        <f t="shared" si="11"/>
        <v>0</v>
      </c>
      <c r="H109" s="88"/>
      <c r="I109" s="20">
        <v>80</v>
      </c>
      <c r="J109" s="82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121</v>
      </c>
      <c r="C110" s="79">
        <f>+'11'!G110</f>
        <v>0</v>
      </c>
      <c r="D110" s="87">
        <v>0</v>
      </c>
      <c r="E110" s="47">
        <f t="shared" si="0"/>
        <v>0</v>
      </c>
      <c r="F110" s="87">
        <v>0</v>
      </c>
      <c r="G110" s="47">
        <f t="shared" si="11"/>
        <v>0</v>
      </c>
      <c r="H110" s="88"/>
      <c r="I110" s="20">
        <v>60</v>
      </c>
      <c r="J110" s="82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122</v>
      </c>
      <c r="C111" s="79">
        <f>+'11'!G111</f>
        <v>0</v>
      </c>
      <c r="D111" s="87">
        <v>0</v>
      </c>
      <c r="E111" s="47">
        <f t="shared" si="0"/>
        <v>0</v>
      </c>
      <c r="F111" s="87">
        <v>0</v>
      </c>
      <c r="G111" s="47">
        <f t="shared" si="11"/>
        <v>0</v>
      </c>
      <c r="H111" s="88"/>
      <c r="I111" s="20">
        <v>35</v>
      </c>
      <c r="J111" s="82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123</v>
      </c>
      <c r="C112" s="79">
        <f>+'11'!G112</f>
        <v>0</v>
      </c>
      <c r="D112" s="87">
        <v>0</v>
      </c>
      <c r="E112" s="47">
        <f t="shared" si="0"/>
        <v>0</v>
      </c>
      <c r="F112" s="87">
        <v>0</v>
      </c>
      <c r="G112" s="47">
        <f t="shared" si="11"/>
        <v>0</v>
      </c>
      <c r="H112" s="88"/>
      <c r="I112" s="20">
        <v>35</v>
      </c>
      <c r="J112" s="82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124</v>
      </c>
      <c r="C113" s="79">
        <f>+'11'!G113</f>
        <v>0</v>
      </c>
      <c r="D113" s="87">
        <v>0</v>
      </c>
      <c r="E113" s="47">
        <f t="shared" si="0"/>
        <v>0</v>
      </c>
      <c r="F113" s="87">
        <v>0</v>
      </c>
      <c r="G113" s="47">
        <f t="shared" si="11"/>
        <v>0</v>
      </c>
      <c r="H113" s="88"/>
      <c r="I113" s="20">
        <v>35</v>
      </c>
      <c r="J113" s="82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125</v>
      </c>
      <c r="C114" s="79">
        <f>+'11'!G114</f>
        <v>0</v>
      </c>
      <c r="D114" s="87">
        <v>0</v>
      </c>
      <c r="E114" s="47">
        <f t="shared" si="0"/>
        <v>0</v>
      </c>
      <c r="F114" s="87">
        <v>0</v>
      </c>
      <c r="G114" s="47">
        <f t="shared" si="11"/>
        <v>0</v>
      </c>
      <c r="H114" s="88"/>
      <c r="I114" s="20">
        <v>35</v>
      </c>
      <c r="J114" s="82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126</v>
      </c>
      <c r="C115" s="79">
        <f>+'11'!G115</f>
        <v>0</v>
      </c>
      <c r="D115" s="87">
        <v>0</v>
      </c>
      <c r="E115" s="47">
        <f t="shared" si="0"/>
        <v>0</v>
      </c>
      <c r="F115" s="87">
        <v>0</v>
      </c>
      <c r="G115" s="47">
        <f t="shared" si="11"/>
        <v>0</v>
      </c>
      <c r="H115" s="88"/>
      <c r="I115" s="20">
        <v>35</v>
      </c>
      <c r="J115" s="82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127</v>
      </c>
      <c r="C116" s="79">
        <f>+'11'!G116</f>
        <v>0</v>
      </c>
      <c r="D116" s="87">
        <v>0</v>
      </c>
      <c r="E116" s="47">
        <f t="shared" si="0"/>
        <v>0</v>
      </c>
      <c r="F116" s="87">
        <v>0</v>
      </c>
      <c r="G116" s="47">
        <f t="shared" si="11"/>
        <v>0</v>
      </c>
      <c r="H116" s="88"/>
      <c r="I116" s="20">
        <v>30</v>
      </c>
      <c r="J116" s="82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128</v>
      </c>
      <c r="C117" s="79">
        <f>+'11'!G117</f>
        <v>0</v>
      </c>
      <c r="D117" s="87">
        <v>0</v>
      </c>
      <c r="E117" s="47">
        <f t="shared" si="0"/>
        <v>0</v>
      </c>
      <c r="F117" s="87">
        <v>0</v>
      </c>
      <c r="G117" s="47">
        <f t="shared" si="11"/>
        <v>0</v>
      </c>
      <c r="H117" s="88"/>
      <c r="I117" s="20">
        <v>30</v>
      </c>
      <c r="J117" s="82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129</v>
      </c>
      <c r="C118" s="79">
        <f>+'11'!G118</f>
        <v>0</v>
      </c>
      <c r="D118" s="87">
        <v>0</v>
      </c>
      <c r="E118" s="47">
        <f t="shared" si="0"/>
        <v>0</v>
      </c>
      <c r="F118" s="87">
        <v>0</v>
      </c>
      <c r="G118" s="47">
        <f t="shared" si="11"/>
        <v>0</v>
      </c>
      <c r="H118" s="88"/>
      <c r="I118" s="20">
        <v>30</v>
      </c>
      <c r="J118" s="82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130</v>
      </c>
      <c r="C119" s="79">
        <f>+'11'!G119</f>
        <v>0</v>
      </c>
      <c r="D119" s="87">
        <v>0</v>
      </c>
      <c r="E119" s="47">
        <f t="shared" si="0"/>
        <v>0</v>
      </c>
      <c r="F119" s="87">
        <v>0</v>
      </c>
      <c r="G119" s="47">
        <f t="shared" si="11"/>
        <v>0</v>
      </c>
      <c r="H119" s="88"/>
      <c r="I119" s="20">
        <v>30</v>
      </c>
      <c r="J119" s="82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131</v>
      </c>
      <c r="C120" s="79">
        <f>+'11'!G120</f>
        <v>0</v>
      </c>
      <c r="D120" s="87">
        <v>0</v>
      </c>
      <c r="E120" s="47">
        <f t="shared" si="0"/>
        <v>0</v>
      </c>
      <c r="F120" s="87">
        <v>0</v>
      </c>
      <c r="G120" s="47">
        <f t="shared" si="11"/>
        <v>0</v>
      </c>
      <c r="H120" s="88"/>
      <c r="I120" s="20">
        <v>30</v>
      </c>
      <c r="J120" s="82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132</v>
      </c>
      <c r="C121" s="79">
        <f>+'11'!G121</f>
        <v>0</v>
      </c>
      <c r="D121" s="87">
        <v>0</v>
      </c>
      <c r="E121" s="47">
        <f t="shared" si="0"/>
        <v>0</v>
      </c>
      <c r="F121" s="87">
        <v>0</v>
      </c>
      <c r="G121" s="47">
        <f t="shared" si="11"/>
        <v>0</v>
      </c>
      <c r="H121" s="88"/>
      <c r="I121" s="20">
        <v>30</v>
      </c>
      <c r="J121" s="82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133</v>
      </c>
      <c r="C122" s="79">
        <f>+'11'!G122</f>
        <v>0</v>
      </c>
      <c r="D122" s="87">
        <v>0</v>
      </c>
      <c r="E122" s="47">
        <f t="shared" si="0"/>
        <v>0</v>
      </c>
      <c r="F122" s="87">
        <v>0</v>
      </c>
      <c r="G122" s="47">
        <f t="shared" si="11"/>
        <v>0</v>
      </c>
      <c r="H122" s="88"/>
      <c r="I122" s="20">
        <v>40</v>
      </c>
      <c r="J122" s="82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134</v>
      </c>
      <c r="C123" s="79">
        <f>+'11'!G123</f>
        <v>0</v>
      </c>
      <c r="D123" s="87">
        <v>0</v>
      </c>
      <c r="E123" s="47">
        <f t="shared" si="0"/>
        <v>0</v>
      </c>
      <c r="F123" s="87">
        <v>0</v>
      </c>
      <c r="G123" s="47">
        <f t="shared" si="11"/>
        <v>0</v>
      </c>
      <c r="H123" s="88"/>
      <c r="I123" s="20">
        <v>35</v>
      </c>
      <c r="J123" s="82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135</v>
      </c>
      <c r="C124" s="79">
        <f>+'11'!G124</f>
        <v>0</v>
      </c>
      <c r="D124" s="87">
        <v>0</v>
      </c>
      <c r="E124" s="47">
        <f t="shared" si="0"/>
        <v>0</v>
      </c>
      <c r="F124" s="87">
        <v>0</v>
      </c>
      <c r="G124" s="47">
        <f t="shared" si="11"/>
        <v>0</v>
      </c>
      <c r="H124" s="88"/>
      <c r="I124" s="20">
        <v>40</v>
      </c>
      <c r="J124" s="82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136</v>
      </c>
      <c r="C125" s="79">
        <f>+'11'!G125</f>
        <v>0</v>
      </c>
      <c r="D125" s="87">
        <v>0</v>
      </c>
      <c r="E125" s="47">
        <f t="shared" si="0"/>
        <v>0</v>
      </c>
      <c r="F125" s="87">
        <v>0</v>
      </c>
      <c r="G125" s="47">
        <f t="shared" si="11"/>
        <v>0</v>
      </c>
      <c r="H125" s="88"/>
      <c r="I125" s="20">
        <v>40</v>
      </c>
      <c r="J125" s="82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137</v>
      </c>
      <c r="C126" s="79">
        <f>+'11'!G126</f>
        <v>0</v>
      </c>
      <c r="D126" s="87">
        <v>0</v>
      </c>
      <c r="E126" s="47">
        <f t="shared" ref="E126:E189" si="13">C126+D126</f>
        <v>0</v>
      </c>
      <c r="F126" s="87">
        <v>0</v>
      </c>
      <c r="G126" s="47">
        <f t="shared" si="11"/>
        <v>0</v>
      </c>
      <c r="H126" s="88"/>
      <c r="I126" s="20">
        <v>30</v>
      </c>
      <c r="J126" s="82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138</v>
      </c>
      <c r="C127" s="79">
        <f>+'11'!G127</f>
        <v>0</v>
      </c>
      <c r="D127" s="87">
        <v>0</v>
      </c>
      <c r="E127" s="47">
        <f t="shared" si="13"/>
        <v>0</v>
      </c>
      <c r="F127" s="87">
        <v>0</v>
      </c>
      <c r="G127" s="47">
        <f t="shared" si="11"/>
        <v>0</v>
      </c>
      <c r="H127" s="88"/>
      <c r="I127" s="20">
        <v>40</v>
      </c>
      <c r="J127" s="82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139</v>
      </c>
      <c r="C128" s="79">
        <f>+'11'!G128</f>
        <v>77</v>
      </c>
      <c r="D128" s="87">
        <v>0</v>
      </c>
      <c r="E128" s="47">
        <f t="shared" si="13"/>
        <v>77</v>
      </c>
      <c r="F128" s="87">
        <v>0</v>
      </c>
      <c r="G128" s="47">
        <f t="shared" si="11"/>
        <v>77</v>
      </c>
      <c r="H128" s="88"/>
      <c r="I128" s="20">
        <v>10</v>
      </c>
      <c r="J128" s="82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140</v>
      </c>
      <c r="C129" s="79">
        <f>+'11'!G129</f>
        <v>0</v>
      </c>
      <c r="D129" s="87">
        <v>0</v>
      </c>
      <c r="E129" s="47">
        <f t="shared" si="13"/>
        <v>0</v>
      </c>
      <c r="F129" s="87">
        <v>0</v>
      </c>
      <c r="G129" s="47">
        <f t="shared" si="11"/>
        <v>0</v>
      </c>
      <c r="H129" s="88"/>
      <c r="I129" s="20">
        <v>35</v>
      </c>
      <c r="J129" s="82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141</v>
      </c>
      <c r="C130" s="79">
        <f>+'11'!G130</f>
        <v>0</v>
      </c>
      <c r="D130" s="87">
        <v>0</v>
      </c>
      <c r="E130" s="47">
        <f t="shared" si="13"/>
        <v>0</v>
      </c>
      <c r="F130" s="87">
        <v>0</v>
      </c>
      <c r="G130" s="47">
        <f t="shared" si="11"/>
        <v>0</v>
      </c>
      <c r="H130" s="88"/>
      <c r="I130" s="20">
        <v>40</v>
      </c>
      <c r="J130" s="82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142</v>
      </c>
      <c r="C131" s="79">
        <f>+'11'!G131</f>
        <v>0</v>
      </c>
      <c r="D131" s="87">
        <v>0</v>
      </c>
      <c r="E131" s="47">
        <f t="shared" si="13"/>
        <v>0</v>
      </c>
      <c r="F131" s="87">
        <v>0</v>
      </c>
      <c r="G131" s="47">
        <f t="shared" si="11"/>
        <v>0</v>
      </c>
      <c r="H131" s="88"/>
      <c r="I131" s="20">
        <v>50</v>
      </c>
      <c r="J131" s="82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143</v>
      </c>
      <c r="C132" s="79">
        <f>+'11'!G132</f>
        <v>0</v>
      </c>
      <c r="D132" s="87">
        <v>0</v>
      </c>
      <c r="E132" s="47">
        <f t="shared" si="13"/>
        <v>0</v>
      </c>
      <c r="F132" s="87">
        <v>0</v>
      </c>
      <c r="G132" s="47">
        <f t="shared" si="11"/>
        <v>0</v>
      </c>
      <c r="H132" s="88"/>
      <c r="I132" s="20">
        <v>55</v>
      </c>
      <c r="J132" s="82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144</v>
      </c>
      <c r="C133" s="79">
        <f>+'11'!G133</f>
        <v>0</v>
      </c>
      <c r="D133" s="87">
        <v>0</v>
      </c>
      <c r="E133" s="47">
        <f t="shared" si="13"/>
        <v>0</v>
      </c>
      <c r="F133" s="87">
        <v>0</v>
      </c>
      <c r="G133" s="47">
        <f t="shared" si="11"/>
        <v>0</v>
      </c>
      <c r="H133" s="88"/>
      <c r="I133" s="20">
        <v>55</v>
      </c>
      <c r="J133" s="82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145</v>
      </c>
      <c r="C134" s="79">
        <f>+'11'!G134</f>
        <v>0</v>
      </c>
      <c r="D134" s="87">
        <v>0</v>
      </c>
      <c r="E134" s="47">
        <f t="shared" si="13"/>
        <v>0</v>
      </c>
      <c r="F134" s="87">
        <v>0</v>
      </c>
      <c r="G134" s="47">
        <f t="shared" si="11"/>
        <v>0</v>
      </c>
      <c r="H134" s="88"/>
      <c r="I134" s="20">
        <v>45</v>
      </c>
      <c r="J134" s="82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5.5" x14ac:dyDescent="0.55000000000000004">
      <c r="A135" s="10">
        <v>131</v>
      </c>
      <c r="B135" s="19" t="s">
        <v>146</v>
      </c>
      <c r="C135" s="79">
        <f>+'11'!G135</f>
        <v>0</v>
      </c>
      <c r="D135" s="87">
        <v>0</v>
      </c>
      <c r="E135" s="47">
        <f t="shared" si="13"/>
        <v>0</v>
      </c>
      <c r="F135" s="87">
        <v>0</v>
      </c>
      <c r="G135" s="47">
        <f t="shared" si="11"/>
        <v>0</v>
      </c>
      <c r="H135" s="88"/>
      <c r="I135" s="20">
        <v>45</v>
      </c>
      <c r="J135" s="82">
        <f t="shared" si="12"/>
        <v>0</v>
      </c>
      <c r="K135" s="17" t="s">
        <v>16</v>
      </c>
      <c r="L135" s="18">
        <v>0</v>
      </c>
      <c r="M135" s="23">
        <f t="shared" ref="M135:M198" si="14">SUM(J135-L135)</f>
        <v>0</v>
      </c>
    </row>
    <row r="136" spans="1:13" ht="25.5" x14ac:dyDescent="0.55000000000000004">
      <c r="A136" s="10">
        <v>132</v>
      </c>
      <c r="B136" s="19" t="s">
        <v>147</v>
      </c>
      <c r="C136" s="79">
        <f>+'11'!G136</f>
        <v>0</v>
      </c>
      <c r="D136" s="87">
        <v>0</v>
      </c>
      <c r="E136" s="47">
        <f t="shared" si="13"/>
        <v>0</v>
      </c>
      <c r="F136" s="87">
        <v>0</v>
      </c>
      <c r="G136" s="47">
        <f t="shared" si="11"/>
        <v>0</v>
      </c>
      <c r="H136" s="88"/>
      <c r="I136" s="20">
        <v>55</v>
      </c>
      <c r="J136" s="82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148</v>
      </c>
      <c r="C137" s="79">
        <f>+'11'!G137</f>
        <v>0</v>
      </c>
      <c r="D137" s="87">
        <v>0</v>
      </c>
      <c r="E137" s="47">
        <f t="shared" si="13"/>
        <v>0</v>
      </c>
      <c r="F137" s="87">
        <v>0</v>
      </c>
      <c r="G137" s="47">
        <f t="shared" si="11"/>
        <v>0</v>
      </c>
      <c r="H137" s="88"/>
      <c r="I137" s="20">
        <v>45</v>
      </c>
      <c r="J137" s="82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149</v>
      </c>
      <c r="C138" s="79">
        <f>+'11'!G138</f>
        <v>0</v>
      </c>
      <c r="D138" s="87">
        <v>0</v>
      </c>
      <c r="E138" s="47">
        <f t="shared" si="13"/>
        <v>0</v>
      </c>
      <c r="F138" s="87">
        <v>0</v>
      </c>
      <c r="G138" s="47">
        <f t="shared" si="11"/>
        <v>0</v>
      </c>
      <c r="H138" s="88"/>
      <c r="I138" s="20">
        <v>45</v>
      </c>
      <c r="J138" s="82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150</v>
      </c>
      <c r="C139" s="79">
        <f>+'11'!G139</f>
        <v>0</v>
      </c>
      <c r="D139" s="87">
        <v>0</v>
      </c>
      <c r="E139" s="47">
        <f t="shared" si="13"/>
        <v>0</v>
      </c>
      <c r="F139" s="87">
        <v>0</v>
      </c>
      <c r="G139" s="47">
        <f t="shared" si="11"/>
        <v>0</v>
      </c>
      <c r="H139" s="88"/>
      <c r="I139" s="20">
        <v>45</v>
      </c>
      <c r="J139" s="82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151</v>
      </c>
      <c r="C140" s="79">
        <f>+'11'!G140</f>
        <v>0</v>
      </c>
      <c r="D140" s="87">
        <v>0</v>
      </c>
      <c r="E140" s="47">
        <f t="shared" si="13"/>
        <v>0</v>
      </c>
      <c r="F140" s="87">
        <v>0</v>
      </c>
      <c r="G140" s="47">
        <f t="shared" si="11"/>
        <v>0</v>
      </c>
      <c r="H140" s="88"/>
      <c r="I140" s="20">
        <v>45</v>
      </c>
      <c r="J140" s="82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152</v>
      </c>
      <c r="C141" s="79">
        <f>+'11'!G141</f>
        <v>0</v>
      </c>
      <c r="D141" s="87">
        <v>0</v>
      </c>
      <c r="E141" s="47">
        <f t="shared" si="13"/>
        <v>0</v>
      </c>
      <c r="F141" s="87">
        <v>0</v>
      </c>
      <c r="G141" s="47">
        <f t="shared" si="11"/>
        <v>0</v>
      </c>
      <c r="H141" s="88"/>
      <c r="I141" s="20">
        <v>45</v>
      </c>
      <c r="J141" s="82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153</v>
      </c>
      <c r="C142" s="79">
        <f>+'11'!G142</f>
        <v>0</v>
      </c>
      <c r="D142" s="87">
        <v>0</v>
      </c>
      <c r="E142" s="47">
        <f t="shared" si="13"/>
        <v>0</v>
      </c>
      <c r="F142" s="87">
        <v>0</v>
      </c>
      <c r="G142" s="47">
        <f t="shared" si="11"/>
        <v>0</v>
      </c>
      <c r="H142" s="88"/>
      <c r="I142" s="20">
        <v>45</v>
      </c>
      <c r="J142" s="82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154</v>
      </c>
      <c r="C143" s="79">
        <f>+'11'!G143</f>
        <v>0</v>
      </c>
      <c r="D143" s="87">
        <v>0</v>
      </c>
      <c r="E143" s="47">
        <f t="shared" si="13"/>
        <v>0</v>
      </c>
      <c r="F143" s="87">
        <v>0</v>
      </c>
      <c r="G143" s="47">
        <f t="shared" si="11"/>
        <v>0</v>
      </c>
      <c r="H143" s="88"/>
      <c r="I143" s="20">
        <v>120</v>
      </c>
      <c r="J143" s="82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155</v>
      </c>
      <c r="C144" s="79">
        <f>+'11'!G144</f>
        <v>0</v>
      </c>
      <c r="D144" s="87">
        <v>0</v>
      </c>
      <c r="E144" s="47">
        <f t="shared" si="13"/>
        <v>0</v>
      </c>
      <c r="F144" s="87">
        <v>0</v>
      </c>
      <c r="G144" s="47">
        <f t="shared" si="11"/>
        <v>0</v>
      </c>
      <c r="H144" s="88"/>
      <c r="I144" s="20">
        <v>120</v>
      </c>
      <c r="J144" s="82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156</v>
      </c>
      <c r="C145" s="79">
        <f>+'11'!G145</f>
        <v>0</v>
      </c>
      <c r="D145" s="87">
        <v>0</v>
      </c>
      <c r="E145" s="47">
        <f t="shared" si="13"/>
        <v>0</v>
      </c>
      <c r="F145" s="87">
        <v>0</v>
      </c>
      <c r="G145" s="47">
        <f t="shared" si="11"/>
        <v>0</v>
      </c>
      <c r="H145" s="88"/>
      <c r="I145" s="20">
        <v>120</v>
      </c>
      <c r="J145" s="82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157</v>
      </c>
      <c r="C146" s="79">
        <f>+'11'!G146</f>
        <v>0</v>
      </c>
      <c r="D146" s="87">
        <v>0</v>
      </c>
      <c r="E146" s="47">
        <f t="shared" si="13"/>
        <v>0</v>
      </c>
      <c r="F146" s="87">
        <v>0</v>
      </c>
      <c r="G146" s="47">
        <f t="shared" si="11"/>
        <v>0</v>
      </c>
      <c r="H146" s="88"/>
      <c r="I146" s="20">
        <v>120</v>
      </c>
      <c r="J146" s="82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158</v>
      </c>
      <c r="C147" s="79">
        <f>+'11'!G147</f>
        <v>0</v>
      </c>
      <c r="D147" s="87">
        <v>0</v>
      </c>
      <c r="E147" s="47">
        <f t="shared" si="13"/>
        <v>0</v>
      </c>
      <c r="F147" s="87">
        <v>0</v>
      </c>
      <c r="G147" s="47">
        <f t="shared" si="11"/>
        <v>0</v>
      </c>
      <c r="H147" s="88"/>
      <c r="I147" s="20">
        <v>185</v>
      </c>
      <c r="J147" s="82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159</v>
      </c>
      <c r="C148" s="79">
        <f>+'11'!G148</f>
        <v>0</v>
      </c>
      <c r="D148" s="87">
        <v>0</v>
      </c>
      <c r="E148" s="47">
        <f t="shared" si="13"/>
        <v>0</v>
      </c>
      <c r="F148" s="87">
        <v>0</v>
      </c>
      <c r="G148" s="47">
        <f t="shared" si="11"/>
        <v>0</v>
      </c>
      <c r="H148" s="88"/>
      <c r="I148" s="20">
        <v>185</v>
      </c>
      <c r="J148" s="82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160</v>
      </c>
      <c r="C149" s="79">
        <f>+'11'!G149</f>
        <v>0</v>
      </c>
      <c r="D149" s="87">
        <v>0</v>
      </c>
      <c r="E149" s="47">
        <f t="shared" si="13"/>
        <v>0</v>
      </c>
      <c r="F149" s="87">
        <v>0</v>
      </c>
      <c r="G149" s="47">
        <f t="shared" si="11"/>
        <v>0</v>
      </c>
      <c r="H149" s="88"/>
      <c r="I149" s="20">
        <v>185</v>
      </c>
      <c r="J149" s="82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161</v>
      </c>
      <c r="C150" s="79">
        <f>+'11'!G150</f>
        <v>0</v>
      </c>
      <c r="D150" s="87">
        <v>0</v>
      </c>
      <c r="E150" s="47">
        <f t="shared" si="13"/>
        <v>0</v>
      </c>
      <c r="F150" s="87">
        <v>0</v>
      </c>
      <c r="G150" s="47">
        <f t="shared" si="11"/>
        <v>0</v>
      </c>
      <c r="H150" s="88"/>
      <c r="I150" s="20">
        <v>185</v>
      </c>
      <c r="J150" s="82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5.5" x14ac:dyDescent="0.55000000000000004">
      <c r="A151" s="10">
        <v>147</v>
      </c>
      <c r="B151" s="19" t="s">
        <v>279</v>
      </c>
      <c r="C151" s="79">
        <f>+'11'!G151</f>
        <v>0</v>
      </c>
      <c r="D151" s="87">
        <v>0</v>
      </c>
      <c r="E151" s="47">
        <f t="shared" si="13"/>
        <v>0</v>
      </c>
      <c r="F151" s="87">
        <v>0</v>
      </c>
      <c r="G151" s="47">
        <f t="shared" si="11"/>
        <v>0</v>
      </c>
      <c r="H151" s="88"/>
      <c r="I151" s="20">
        <v>150</v>
      </c>
      <c r="J151" s="82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280</v>
      </c>
      <c r="C152" s="79">
        <f>+'11'!G152</f>
        <v>1</v>
      </c>
      <c r="D152" s="87">
        <v>0</v>
      </c>
      <c r="E152" s="47">
        <f t="shared" si="13"/>
        <v>1</v>
      </c>
      <c r="F152" s="87">
        <v>0</v>
      </c>
      <c r="G152" s="47">
        <f t="shared" si="11"/>
        <v>1</v>
      </c>
      <c r="H152" s="88"/>
      <c r="I152" s="20">
        <v>150</v>
      </c>
      <c r="J152" s="82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5.5" x14ac:dyDescent="0.55000000000000004">
      <c r="A153" s="10">
        <v>149</v>
      </c>
      <c r="B153" s="19" t="s">
        <v>281</v>
      </c>
      <c r="C153" s="79">
        <f>+'11'!G153</f>
        <v>0</v>
      </c>
      <c r="D153" s="87">
        <v>0</v>
      </c>
      <c r="E153" s="47">
        <f t="shared" si="13"/>
        <v>0</v>
      </c>
      <c r="F153" s="87">
        <v>0</v>
      </c>
      <c r="G153" s="47">
        <f t="shared" si="11"/>
        <v>0</v>
      </c>
      <c r="H153" s="88"/>
      <c r="I153" s="20">
        <v>150</v>
      </c>
      <c r="J153" s="82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282</v>
      </c>
      <c r="C154" s="79">
        <f>+'11'!G154</f>
        <v>0</v>
      </c>
      <c r="D154" s="87">
        <v>0</v>
      </c>
      <c r="E154" s="47">
        <f t="shared" si="13"/>
        <v>0</v>
      </c>
      <c r="F154" s="87">
        <v>0</v>
      </c>
      <c r="G154" s="47">
        <f t="shared" si="11"/>
        <v>0</v>
      </c>
      <c r="H154" s="88"/>
      <c r="I154" s="20">
        <v>150</v>
      </c>
      <c r="J154" s="82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166</v>
      </c>
      <c r="C155" s="79">
        <f>+'11'!G155</f>
        <v>0</v>
      </c>
      <c r="D155" s="87">
        <v>0</v>
      </c>
      <c r="E155" s="47">
        <f t="shared" si="13"/>
        <v>0</v>
      </c>
      <c r="F155" s="87">
        <v>0</v>
      </c>
      <c r="G155" s="47">
        <f t="shared" si="11"/>
        <v>0</v>
      </c>
      <c r="H155" s="88"/>
      <c r="I155" s="20">
        <v>185</v>
      </c>
      <c r="J155" s="82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167</v>
      </c>
      <c r="C156" s="79">
        <f>+'11'!G156</f>
        <v>0</v>
      </c>
      <c r="D156" s="87">
        <v>0</v>
      </c>
      <c r="E156" s="47">
        <f t="shared" si="13"/>
        <v>0</v>
      </c>
      <c r="F156" s="87">
        <v>0</v>
      </c>
      <c r="G156" s="47">
        <f t="shared" si="11"/>
        <v>0</v>
      </c>
      <c r="H156" s="88"/>
      <c r="I156" s="20">
        <v>185</v>
      </c>
      <c r="J156" s="82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168</v>
      </c>
      <c r="C157" s="79">
        <f>+'11'!G157</f>
        <v>0</v>
      </c>
      <c r="D157" s="87">
        <v>0</v>
      </c>
      <c r="E157" s="47">
        <f t="shared" si="13"/>
        <v>0</v>
      </c>
      <c r="F157" s="87">
        <v>0</v>
      </c>
      <c r="G157" s="47">
        <f t="shared" si="11"/>
        <v>0</v>
      </c>
      <c r="H157" s="88"/>
      <c r="I157" s="20">
        <v>185</v>
      </c>
      <c r="J157" s="82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169</v>
      </c>
      <c r="C158" s="79">
        <f>+'11'!G158</f>
        <v>0</v>
      </c>
      <c r="D158" s="87">
        <v>0</v>
      </c>
      <c r="E158" s="47">
        <f t="shared" si="13"/>
        <v>0</v>
      </c>
      <c r="F158" s="87">
        <v>0</v>
      </c>
      <c r="G158" s="47">
        <f t="shared" si="11"/>
        <v>0</v>
      </c>
      <c r="H158" s="88"/>
      <c r="I158" s="20">
        <v>185</v>
      </c>
      <c r="J158" s="82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170</v>
      </c>
      <c r="C159" s="79">
        <f>+'11'!G159</f>
        <v>0</v>
      </c>
      <c r="D159" s="87">
        <v>0</v>
      </c>
      <c r="E159" s="47">
        <f t="shared" si="13"/>
        <v>0</v>
      </c>
      <c r="F159" s="87">
        <v>0</v>
      </c>
      <c r="G159" s="47">
        <f t="shared" si="11"/>
        <v>0</v>
      </c>
      <c r="H159" s="88"/>
      <c r="I159" s="20">
        <v>135</v>
      </c>
      <c r="J159" s="82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171</v>
      </c>
      <c r="C160" s="79">
        <f>+'11'!G160</f>
        <v>0</v>
      </c>
      <c r="D160" s="87">
        <v>0</v>
      </c>
      <c r="E160" s="47">
        <f t="shared" si="13"/>
        <v>0</v>
      </c>
      <c r="F160" s="87">
        <v>0</v>
      </c>
      <c r="G160" s="47">
        <f t="shared" si="11"/>
        <v>0</v>
      </c>
      <c r="H160" s="88"/>
      <c r="I160" s="20">
        <v>90</v>
      </c>
      <c r="J160" s="82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172</v>
      </c>
      <c r="C161" s="79">
        <f>+'11'!G161</f>
        <v>0</v>
      </c>
      <c r="D161" s="87">
        <v>0</v>
      </c>
      <c r="E161" s="47">
        <f t="shared" si="13"/>
        <v>0</v>
      </c>
      <c r="F161" s="87">
        <v>0</v>
      </c>
      <c r="G161" s="47">
        <f t="shared" si="11"/>
        <v>0</v>
      </c>
      <c r="H161" s="88"/>
      <c r="I161" s="20">
        <v>90</v>
      </c>
      <c r="J161" s="82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173</v>
      </c>
      <c r="C162" s="79">
        <f>+'11'!G162</f>
        <v>0</v>
      </c>
      <c r="D162" s="87">
        <v>0</v>
      </c>
      <c r="E162" s="47">
        <f t="shared" si="13"/>
        <v>0</v>
      </c>
      <c r="F162" s="87">
        <v>0</v>
      </c>
      <c r="G162" s="47">
        <f t="shared" si="11"/>
        <v>0</v>
      </c>
      <c r="H162" s="88"/>
      <c r="I162" s="20">
        <v>90</v>
      </c>
      <c r="J162" s="82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174</v>
      </c>
      <c r="C163" s="79">
        <f>+'11'!G163</f>
        <v>0</v>
      </c>
      <c r="D163" s="87">
        <v>0</v>
      </c>
      <c r="E163" s="47">
        <f t="shared" si="13"/>
        <v>0</v>
      </c>
      <c r="F163" s="87">
        <v>0</v>
      </c>
      <c r="G163" s="47">
        <f t="shared" si="11"/>
        <v>0</v>
      </c>
      <c r="H163" s="88"/>
      <c r="I163" s="20">
        <v>90</v>
      </c>
      <c r="J163" s="82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175</v>
      </c>
      <c r="C164" s="79">
        <f>+'11'!G164</f>
        <v>0</v>
      </c>
      <c r="D164" s="87">
        <v>0</v>
      </c>
      <c r="E164" s="47">
        <f t="shared" si="13"/>
        <v>0</v>
      </c>
      <c r="F164" s="87">
        <v>0</v>
      </c>
      <c r="G164" s="47">
        <f t="shared" si="11"/>
        <v>0</v>
      </c>
      <c r="H164" s="88"/>
      <c r="I164" s="20">
        <v>25</v>
      </c>
      <c r="J164" s="82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176</v>
      </c>
      <c r="C165" s="79">
        <f>+'11'!G165</f>
        <v>0</v>
      </c>
      <c r="D165" s="87">
        <v>0</v>
      </c>
      <c r="E165" s="47">
        <f t="shared" si="13"/>
        <v>0</v>
      </c>
      <c r="F165" s="87">
        <v>0</v>
      </c>
      <c r="G165" s="47">
        <f t="shared" ref="G165:G227" si="15">+E165-F165-H165</f>
        <v>0</v>
      </c>
      <c r="H165" s="88"/>
      <c r="I165" s="20">
        <v>50</v>
      </c>
      <c r="J165" s="82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177</v>
      </c>
      <c r="C166" s="79">
        <f>+'11'!G166</f>
        <v>0</v>
      </c>
      <c r="D166" s="87">
        <v>0</v>
      </c>
      <c r="E166" s="47">
        <f t="shared" si="13"/>
        <v>0</v>
      </c>
      <c r="F166" s="87">
        <v>0</v>
      </c>
      <c r="G166" s="47">
        <f t="shared" si="15"/>
        <v>0</v>
      </c>
      <c r="H166" s="88"/>
      <c r="I166" s="20">
        <v>50</v>
      </c>
      <c r="J166" s="82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178</v>
      </c>
      <c r="C167" s="79">
        <f>+'11'!G167</f>
        <v>0</v>
      </c>
      <c r="D167" s="87">
        <v>0</v>
      </c>
      <c r="E167" s="47">
        <f t="shared" si="13"/>
        <v>0</v>
      </c>
      <c r="F167" s="87">
        <v>0</v>
      </c>
      <c r="G167" s="47">
        <f t="shared" si="15"/>
        <v>0</v>
      </c>
      <c r="H167" s="88"/>
      <c r="I167" s="20">
        <v>50</v>
      </c>
      <c r="J167" s="82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179</v>
      </c>
      <c r="C168" s="79">
        <f>+'11'!G168</f>
        <v>7</v>
      </c>
      <c r="D168" s="87">
        <v>0</v>
      </c>
      <c r="E168" s="47">
        <f t="shared" si="13"/>
        <v>7</v>
      </c>
      <c r="F168" s="87">
        <v>0</v>
      </c>
      <c r="G168" s="47">
        <f t="shared" si="15"/>
        <v>7</v>
      </c>
      <c r="H168" s="88"/>
      <c r="I168" s="20">
        <v>50</v>
      </c>
      <c r="J168" s="82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180</v>
      </c>
      <c r="C169" s="79">
        <f>+'11'!G169</f>
        <v>42</v>
      </c>
      <c r="D169" s="87">
        <v>0</v>
      </c>
      <c r="E169" s="47">
        <f t="shared" si="13"/>
        <v>42</v>
      </c>
      <c r="F169" s="87">
        <v>0</v>
      </c>
      <c r="G169" s="47">
        <f t="shared" si="15"/>
        <v>41</v>
      </c>
      <c r="H169" s="88">
        <v>1</v>
      </c>
      <c r="I169" s="20">
        <v>55</v>
      </c>
      <c r="J169" s="82">
        <f t="shared" si="16"/>
        <v>55</v>
      </c>
      <c r="K169" s="17" t="s">
        <v>16</v>
      </c>
      <c r="L169" s="18">
        <v>0</v>
      </c>
      <c r="M169" s="23">
        <f t="shared" si="14"/>
        <v>55</v>
      </c>
    </row>
    <row r="170" spans="1:13" ht="25.5" x14ac:dyDescent="0.55000000000000004">
      <c r="A170" s="10">
        <v>166</v>
      </c>
      <c r="B170" s="19" t="s">
        <v>181</v>
      </c>
      <c r="C170" s="79">
        <f>+'11'!G170</f>
        <v>0</v>
      </c>
      <c r="D170" s="87">
        <v>0</v>
      </c>
      <c r="E170" s="47">
        <f t="shared" si="13"/>
        <v>0</v>
      </c>
      <c r="F170" s="87">
        <v>0</v>
      </c>
      <c r="G170" s="47">
        <f t="shared" si="15"/>
        <v>0</v>
      </c>
      <c r="H170" s="88"/>
      <c r="I170" s="20">
        <v>85</v>
      </c>
      <c r="J170" s="82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182</v>
      </c>
      <c r="C171" s="79">
        <f>+'11'!G171</f>
        <v>9</v>
      </c>
      <c r="D171" s="87">
        <v>0</v>
      </c>
      <c r="E171" s="47">
        <f t="shared" si="13"/>
        <v>9</v>
      </c>
      <c r="F171" s="87">
        <v>0</v>
      </c>
      <c r="G171" s="47">
        <f t="shared" si="15"/>
        <v>9</v>
      </c>
      <c r="H171" s="88"/>
      <c r="I171" s="20">
        <v>80</v>
      </c>
      <c r="J171" s="82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183</v>
      </c>
      <c r="C172" s="79">
        <f>+'11'!G172</f>
        <v>0</v>
      </c>
      <c r="D172" s="87">
        <v>0</v>
      </c>
      <c r="E172" s="47">
        <f t="shared" si="13"/>
        <v>0</v>
      </c>
      <c r="F172" s="87">
        <v>0</v>
      </c>
      <c r="G172" s="47">
        <f t="shared" si="15"/>
        <v>0</v>
      </c>
      <c r="H172" s="88"/>
      <c r="I172" s="20">
        <v>40</v>
      </c>
      <c r="J172" s="82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184</v>
      </c>
      <c r="C173" s="79">
        <f>+'11'!G173</f>
        <v>0</v>
      </c>
      <c r="D173" s="87">
        <v>0</v>
      </c>
      <c r="E173" s="47">
        <f t="shared" si="13"/>
        <v>0</v>
      </c>
      <c r="F173" s="87">
        <v>0</v>
      </c>
      <c r="G173" s="47">
        <f t="shared" si="15"/>
        <v>0</v>
      </c>
      <c r="H173" s="88"/>
      <c r="I173" s="20">
        <v>120</v>
      </c>
      <c r="J173" s="82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185</v>
      </c>
      <c r="C174" s="79">
        <f>+'11'!G174</f>
        <v>0</v>
      </c>
      <c r="D174" s="87">
        <v>0</v>
      </c>
      <c r="E174" s="47">
        <f t="shared" si="13"/>
        <v>0</v>
      </c>
      <c r="F174" s="87">
        <v>0</v>
      </c>
      <c r="G174" s="47">
        <f t="shared" si="15"/>
        <v>0</v>
      </c>
      <c r="H174" s="88"/>
      <c r="I174" s="20">
        <v>120</v>
      </c>
      <c r="J174" s="82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186</v>
      </c>
      <c r="C175" s="79">
        <f>+'11'!G175</f>
        <v>0</v>
      </c>
      <c r="D175" s="87">
        <v>0</v>
      </c>
      <c r="E175" s="47">
        <f t="shared" si="13"/>
        <v>0</v>
      </c>
      <c r="F175" s="87">
        <v>0</v>
      </c>
      <c r="G175" s="47">
        <f t="shared" si="15"/>
        <v>0</v>
      </c>
      <c r="H175" s="88"/>
      <c r="I175" s="20">
        <v>55</v>
      </c>
      <c r="J175" s="82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187</v>
      </c>
      <c r="C176" s="79">
        <f>+'11'!G176</f>
        <v>0</v>
      </c>
      <c r="D176" s="87">
        <v>0</v>
      </c>
      <c r="E176" s="47">
        <f t="shared" si="13"/>
        <v>0</v>
      </c>
      <c r="F176" s="87">
        <v>0</v>
      </c>
      <c r="G176" s="47">
        <f t="shared" si="15"/>
        <v>0</v>
      </c>
      <c r="H176" s="88"/>
      <c r="I176" s="20">
        <v>50</v>
      </c>
      <c r="J176" s="82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188</v>
      </c>
      <c r="C177" s="79">
        <f>+'11'!G177</f>
        <v>0</v>
      </c>
      <c r="D177" s="87">
        <v>5</v>
      </c>
      <c r="E177" s="47">
        <f t="shared" si="13"/>
        <v>5</v>
      </c>
      <c r="F177" s="87">
        <v>0</v>
      </c>
      <c r="G177" s="47">
        <f t="shared" si="15"/>
        <v>5</v>
      </c>
      <c r="H177" s="88"/>
      <c r="I177" s="20">
        <v>50</v>
      </c>
      <c r="J177" s="82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189</v>
      </c>
      <c r="C178" s="79">
        <f>+'11'!G178</f>
        <v>1</v>
      </c>
      <c r="D178" s="87">
        <v>5</v>
      </c>
      <c r="E178" s="47">
        <f t="shared" si="13"/>
        <v>6</v>
      </c>
      <c r="F178" s="87">
        <v>0</v>
      </c>
      <c r="G178" s="47">
        <f t="shared" si="15"/>
        <v>6</v>
      </c>
      <c r="H178" s="88"/>
      <c r="I178" s="20">
        <v>120</v>
      </c>
      <c r="J178" s="82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190</v>
      </c>
      <c r="C179" s="79">
        <f>+'11'!G179</f>
        <v>0</v>
      </c>
      <c r="D179" s="87">
        <v>0</v>
      </c>
      <c r="E179" s="47">
        <f t="shared" si="13"/>
        <v>0</v>
      </c>
      <c r="F179" s="87">
        <v>0</v>
      </c>
      <c r="G179" s="47">
        <f t="shared" si="15"/>
        <v>0</v>
      </c>
      <c r="H179" s="88"/>
      <c r="I179" s="20">
        <v>120</v>
      </c>
      <c r="J179" s="82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191</v>
      </c>
      <c r="C180" s="79">
        <f>+'11'!G180</f>
        <v>0</v>
      </c>
      <c r="D180" s="87">
        <v>0</v>
      </c>
      <c r="E180" s="47">
        <f t="shared" si="13"/>
        <v>0</v>
      </c>
      <c r="F180" s="87">
        <v>0</v>
      </c>
      <c r="G180" s="47">
        <f t="shared" si="15"/>
        <v>0</v>
      </c>
      <c r="H180" s="88"/>
      <c r="I180" s="20">
        <v>10</v>
      </c>
      <c r="J180" s="82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192</v>
      </c>
      <c r="C181" s="79">
        <f>+'11'!G181</f>
        <v>0</v>
      </c>
      <c r="D181" s="87">
        <v>0</v>
      </c>
      <c r="E181" s="47">
        <f t="shared" si="13"/>
        <v>0</v>
      </c>
      <c r="F181" s="87">
        <v>0</v>
      </c>
      <c r="G181" s="47">
        <f t="shared" si="15"/>
        <v>0</v>
      </c>
      <c r="H181" s="88"/>
      <c r="I181" s="20">
        <v>35</v>
      </c>
      <c r="J181" s="82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193</v>
      </c>
      <c r="C182" s="79">
        <f>+'11'!G182</f>
        <v>0</v>
      </c>
      <c r="D182" s="87">
        <v>0</v>
      </c>
      <c r="E182" s="47">
        <f t="shared" si="13"/>
        <v>0</v>
      </c>
      <c r="F182" s="87">
        <v>0</v>
      </c>
      <c r="G182" s="47">
        <f t="shared" si="15"/>
        <v>0</v>
      </c>
      <c r="H182" s="88"/>
      <c r="I182" s="20">
        <v>10</v>
      </c>
      <c r="J182" s="82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194</v>
      </c>
      <c r="C183" s="79">
        <f>+'11'!G183</f>
        <v>0</v>
      </c>
      <c r="D183" s="87">
        <v>0</v>
      </c>
      <c r="E183" s="47">
        <f t="shared" si="13"/>
        <v>0</v>
      </c>
      <c r="F183" s="87">
        <v>0</v>
      </c>
      <c r="G183" s="47">
        <f t="shared" si="15"/>
        <v>0</v>
      </c>
      <c r="H183" s="88"/>
      <c r="I183" s="20">
        <v>10</v>
      </c>
      <c r="J183" s="82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195</v>
      </c>
      <c r="C184" s="79">
        <f>+'11'!G184</f>
        <v>0</v>
      </c>
      <c r="D184" s="87">
        <v>0</v>
      </c>
      <c r="E184" s="47">
        <f t="shared" si="13"/>
        <v>0</v>
      </c>
      <c r="F184" s="87">
        <v>0</v>
      </c>
      <c r="G184" s="47">
        <f t="shared" si="15"/>
        <v>0</v>
      </c>
      <c r="H184" s="88"/>
      <c r="I184" s="20">
        <v>10</v>
      </c>
      <c r="J184" s="82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196</v>
      </c>
      <c r="C185" s="79">
        <f>+'11'!G185</f>
        <v>0</v>
      </c>
      <c r="D185" s="87">
        <v>0</v>
      </c>
      <c r="E185" s="47">
        <f t="shared" si="13"/>
        <v>0</v>
      </c>
      <c r="F185" s="87">
        <v>0</v>
      </c>
      <c r="G185" s="47">
        <f t="shared" si="15"/>
        <v>0</v>
      </c>
      <c r="H185" s="88"/>
      <c r="I185" s="20">
        <v>10</v>
      </c>
      <c r="J185" s="82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197</v>
      </c>
      <c r="C186" s="79">
        <f>+'11'!G186</f>
        <v>0</v>
      </c>
      <c r="D186" s="87">
        <v>0</v>
      </c>
      <c r="E186" s="47">
        <f t="shared" si="13"/>
        <v>0</v>
      </c>
      <c r="F186" s="87">
        <v>0</v>
      </c>
      <c r="G186" s="47">
        <f t="shared" si="15"/>
        <v>0</v>
      </c>
      <c r="H186" s="88"/>
      <c r="I186" s="20">
        <v>10</v>
      </c>
      <c r="J186" s="82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198</v>
      </c>
      <c r="C187" s="79">
        <f>+'11'!G187</f>
        <v>0</v>
      </c>
      <c r="D187" s="87">
        <v>0</v>
      </c>
      <c r="E187" s="47">
        <f t="shared" si="13"/>
        <v>0</v>
      </c>
      <c r="F187" s="87">
        <v>0</v>
      </c>
      <c r="G187" s="47">
        <f t="shared" si="15"/>
        <v>0</v>
      </c>
      <c r="H187" s="88"/>
      <c r="I187" s="20">
        <v>25</v>
      </c>
      <c r="J187" s="82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249</v>
      </c>
      <c r="C188" s="79">
        <f>+'11'!G188</f>
        <v>0</v>
      </c>
      <c r="D188" s="87">
        <v>0</v>
      </c>
      <c r="E188" s="47">
        <f t="shared" si="13"/>
        <v>0</v>
      </c>
      <c r="F188" s="87">
        <v>0</v>
      </c>
      <c r="G188" s="47">
        <f t="shared" si="15"/>
        <v>0</v>
      </c>
      <c r="H188" s="88"/>
      <c r="I188" s="15">
        <v>50</v>
      </c>
      <c r="J188" s="82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250</v>
      </c>
      <c r="C189" s="79">
        <f>+'11'!G189</f>
        <v>0</v>
      </c>
      <c r="D189" s="87">
        <v>0</v>
      </c>
      <c r="E189" s="47">
        <f t="shared" si="13"/>
        <v>0</v>
      </c>
      <c r="F189" s="87">
        <v>0</v>
      </c>
      <c r="G189" s="47">
        <f t="shared" si="15"/>
        <v>0</v>
      </c>
      <c r="H189" s="88"/>
      <c r="I189" s="15">
        <v>10</v>
      </c>
      <c r="J189" s="82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251</v>
      </c>
      <c r="C190" s="79">
        <f>+'11'!G190</f>
        <v>0</v>
      </c>
      <c r="D190" s="87">
        <v>0</v>
      </c>
      <c r="E190" s="47">
        <f t="shared" ref="E190:E252" si="17">C190+D190</f>
        <v>0</v>
      </c>
      <c r="F190" s="87">
        <v>0</v>
      </c>
      <c r="G190" s="47">
        <f t="shared" si="15"/>
        <v>0</v>
      </c>
      <c r="H190" s="88"/>
      <c r="I190" s="15">
        <v>15</v>
      </c>
      <c r="J190" s="82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252</v>
      </c>
      <c r="C191" s="79">
        <f>+'11'!G191</f>
        <v>0</v>
      </c>
      <c r="D191" s="87">
        <v>0</v>
      </c>
      <c r="E191" s="47">
        <f t="shared" si="17"/>
        <v>0</v>
      </c>
      <c r="F191" s="87">
        <v>0</v>
      </c>
      <c r="G191" s="47">
        <f t="shared" si="15"/>
        <v>0</v>
      </c>
      <c r="H191" s="88"/>
      <c r="I191" s="15">
        <v>25</v>
      </c>
      <c r="J191" s="82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253</v>
      </c>
      <c r="C192" s="79">
        <f>+'11'!G192</f>
        <v>0</v>
      </c>
      <c r="D192" s="87">
        <v>0</v>
      </c>
      <c r="E192" s="47">
        <f t="shared" si="17"/>
        <v>0</v>
      </c>
      <c r="F192" s="87">
        <v>0</v>
      </c>
      <c r="G192" s="47">
        <f t="shared" si="15"/>
        <v>0</v>
      </c>
      <c r="H192" s="88"/>
      <c r="I192" s="15">
        <v>50</v>
      </c>
      <c r="J192" s="82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254</v>
      </c>
      <c r="C193" s="79">
        <f>+'11'!G193</f>
        <v>0</v>
      </c>
      <c r="D193" s="87">
        <v>0</v>
      </c>
      <c r="E193" s="47">
        <f t="shared" si="17"/>
        <v>0</v>
      </c>
      <c r="F193" s="87">
        <v>0</v>
      </c>
      <c r="G193" s="47">
        <f t="shared" si="15"/>
        <v>0</v>
      </c>
      <c r="H193" s="88"/>
      <c r="I193" s="15">
        <v>45</v>
      </c>
      <c r="J193" s="82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255</v>
      </c>
      <c r="C194" s="79">
        <f>+'11'!G194</f>
        <v>0</v>
      </c>
      <c r="D194" s="87">
        <v>0</v>
      </c>
      <c r="E194" s="47">
        <f t="shared" si="17"/>
        <v>0</v>
      </c>
      <c r="F194" s="87">
        <v>0</v>
      </c>
      <c r="G194" s="47">
        <f t="shared" si="15"/>
        <v>0</v>
      </c>
      <c r="H194" s="88"/>
      <c r="I194" s="15">
        <v>50</v>
      </c>
      <c r="J194" s="82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199</v>
      </c>
      <c r="C195" s="79">
        <f>+'11'!G195</f>
        <v>0</v>
      </c>
      <c r="D195" s="87">
        <v>0</v>
      </c>
      <c r="E195" s="47">
        <f t="shared" si="17"/>
        <v>0</v>
      </c>
      <c r="F195" s="87">
        <v>0</v>
      </c>
      <c r="G195" s="47">
        <f t="shared" si="15"/>
        <v>0</v>
      </c>
      <c r="H195" s="88"/>
      <c r="I195" s="15">
        <v>150</v>
      </c>
      <c r="J195" s="82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200</v>
      </c>
      <c r="C196" s="79">
        <f>+'11'!G196</f>
        <v>0</v>
      </c>
      <c r="D196" s="87">
        <v>0</v>
      </c>
      <c r="E196" s="47">
        <f t="shared" si="17"/>
        <v>0</v>
      </c>
      <c r="F196" s="87">
        <v>0</v>
      </c>
      <c r="G196" s="47">
        <f t="shared" si="15"/>
        <v>0</v>
      </c>
      <c r="H196" s="88"/>
      <c r="I196" s="15">
        <v>150</v>
      </c>
      <c r="J196" s="82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201</v>
      </c>
      <c r="C197" s="79">
        <f>+'11'!G197</f>
        <v>0</v>
      </c>
      <c r="D197" s="87">
        <v>0</v>
      </c>
      <c r="E197" s="47">
        <f t="shared" si="17"/>
        <v>0</v>
      </c>
      <c r="F197" s="87">
        <v>0</v>
      </c>
      <c r="G197" s="47">
        <f t="shared" si="15"/>
        <v>0</v>
      </c>
      <c r="H197" s="88"/>
      <c r="I197" s="15">
        <v>150</v>
      </c>
      <c r="J197" s="82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256</v>
      </c>
      <c r="C198" s="79">
        <f>+'11'!G198</f>
        <v>0</v>
      </c>
      <c r="D198" s="87">
        <v>0</v>
      </c>
      <c r="E198" s="47">
        <f t="shared" si="17"/>
        <v>0</v>
      </c>
      <c r="F198" s="87">
        <v>0</v>
      </c>
      <c r="G198" s="47">
        <f t="shared" si="15"/>
        <v>0</v>
      </c>
      <c r="H198" s="88"/>
      <c r="I198" s="15">
        <v>55</v>
      </c>
      <c r="J198" s="82">
        <f t="shared" si="16"/>
        <v>0</v>
      </c>
      <c r="K198" s="17" t="s">
        <v>16</v>
      </c>
      <c r="L198" s="18">
        <v>0</v>
      </c>
      <c r="M198" s="23">
        <f t="shared" si="14"/>
        <v>0</v>
      </c>
    </row>
    <row r="199" spans="1:13" ht="25.5" x14ac:dyDescent="0.55000000000000004">
      <c r="A199" s="10">
        <v>195</v>
      </c>
      <c r="B199" s="19" t="s">
        <v>257</v>
      </c>
      <c r="C199" s="79">
        <f>+'11'!G199</f>
        <v>0</v>
      </c>
      <c r="D199" s="87">
        <v>0</v>
      </c>
      <c r="E199" s="47">
        <f t="shared" si="17"/>
        <v>0</v>
      </c>
      <c r="F199" s="87">
        <v>0</v>
      </c>
      <c r="G199" s="47">
        <f t="shared" si="15"/>
        <v>0</v>
      </c>
      <c r="H199" s="88"/>
      <c r="I199" s="15">
        <v>30</v>
      </c>
      <c r="J199" s="82">
        <f t="shared" si="16"/>
        <v>0</v>
      </c>
      <c r="K199" s="17" t="s">
        <v>16</v>
      </c>
      <c r="L199" s="18">
        <v>0</v>
      </c>
      <c r="M199" s="23">
        <f t="shared" ref="M199:M254" si="18">SUM(J199-L199)</f>
        <v>0</v>
      </c>
    </row>
    <row r="200" spans="1:13" ht="25.5" x14ac:dyDescent="0.55000000000000004">
      <c r="A200" s="10">
        <v>196</v>
      </c>
      <c r="B200" s="19" t="s">
        <v>258</v>
      </c>
      <c r="C200" s="79">
        <f>+'11'!G200</f>
        <v>0</v>
      </c>
      <c r="D200" s="87">
        <v>0</v>
      </c>
      <c r="E200" s="47">
        <f t="shared" si="17"/>
        <v>0</v>
      </c>
      <c r="F200" s="87">
        <v>0</v>
      </c>
      <c r="G200" s="47">
        <f t="shared" si="15"/>
        <v>0</v>
      </c>
      <c r="H200" s="88"/>
      <c r="I200" s="15">
        <v>30</v>
      </c>
      <c r="J200" s="82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259</v>
      </c>
      <c r="C201" s="79">
        <f>+'11'!G201</f>
        <v>0</v>
      </c>
      <c r="D201" s="87">
        <v>0</v>
      </c>
      <c r="E201" s="47">
        <f t="shared" si="17"/>
        <v>0</v>
      </c>
      <c r="F201" s="87">
        <v>0</v>
      </c>
      <c r="G201" s="47">
        <f t="shared" si="15"/>
        <v>0</v>
      </c>
      <c r="H201" s="88"/>
      <c r="I201" s="15">
        <v>30</v>
      </c>
      <c r="J201" s="82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260</v>
      </c>
      <c r="C202" s="79">
        <f>+'11'!G202</f>
        <v>0</v>
      </c>
      <c r="D202" s="87">
        <v>0</v>
      </c>
      <c r="E202" s="47">
        <f t="shared" si="17"/>
        <v>0</v>
      </c>
      <c r="F202" s="87">
        <v>0</v>
      </c>
      <c r="G202" s="47">
        <f t="shared" si="15"/>
        <v>0</v>
      </c>
      <c r="H202" s="88"/>
      <c r="I202" s="15">
        <v>30</v>
      </c>
      <c r="J202" s="82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261</v>
      </c>
      <c r="C203" s="79">
        <f>+'11'!G203</f>
        <v>0</v>
      </c>
      <c r="D203" s="87">
        <v>0</v>
      </c>
      <c r="E203" s="47">
        <f t="shared" si="17"/>
        <v>0</v>
      </c>
      <c r="F203" s="87">
        <v>0</v>
      </c>
      <c r="G203" s="47">
        <f t="shared" si="15"/>
        <v>0</v>
      </c>
      <c r="H203" s="88"/>
      <c r="I203" s="20">
        <v>30</v>
      </c>
      <c r="J203" s="82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262</v>
      </c>
      <c r="C204" s="79">
        <f>+'11'!G204</f>
        <v>0</v>
      </c>
      <c r="D204" s="87">
        <v>0</v>
      </c>
      <c r="E204" s="47">
        <f t="shared" si="17"/>
        <v>0</v>
      </c>
      <c r="F204" s="87">
        <v>0</v>
      </c>
      <c r="G204" s="47">
        <f t="shared" si="15"/>
        <v>0</v>
      </c>
      <c r="H204" s="88"/>
      <c r="I204" s="20">
        <v>30</v>
      </c>
      <c r="J204" s="82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263</v>
      </c>
      <c r="C205" s="79">
        <f>+'11'!G205</f>
        <v>0</v>
      </c>
      <c r="D205" s="87">
        <v>0</v>
      </c>
      <c r="E205" s="47">
        <f t="shared" si="17"/>
        <v>0</v>
      </c>
      <c r="F205" s="87">
        <v>0</v>
      </c>
      <c r="G205" s="47">
        <f t="shared" si="15"/>
        <v>0</v>
      </c>
      <c r="H205" s="88"/>
      <c r="I205" s="20">
        <v>50</v>
      </c>
      <c r="J205" s="82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 t="s">
        <v>264</v>
      </c>
      <c r="C206" s="79">
        <f>+'11'!G206</f>
        <v>0</v>
      </c>
      <c r="D206" s="87">
        <v>0</v>
      </c>
      <c r="E206" s="47">
        <f t="shared" si="17"/>
        <v>0</v>
      </c>
      <c r="F206" s="87">
        <v>0</v>
      </c>
      <c r="G206" s="47">
        <f t="shared" si="15"/>
        <v>0</v>
      </c>
      <c r="H206" s="88"/>
      <c r="I206" s="20">
        <v>100</v>
      </c>
      <c r="J206" s="82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265</v>
      </c>
      <c r="C207" s="79">
        <f>+'11'!G207</f>
        <v>0</v>
      </c>
      <c r="D207" s="87">
        <v>0</v>
      </c>
      <c r="E207" s="47">
        <f t="shared" si="17"/>
        <v>0</v>
      </c>
      <c r="F207" s="87">
        <v>0</v>
      </c>
      <c r="G207" s="47">
        <f t="shared" si="15"/>
        <v>0</v>
      </c>
      <c r="H207" s="88"/>
      <c r="I207" s="20">
        <v>100</v>
      </c>
      <c r="J207" s="82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266</v>
      </c>
      <c r="C208" s="79">
        <f>+'11'!G208</f>
        <v>0</v>
      </c>
      <c r="D208" s="87">
        <v>0</v>
      </c>
      <c r="E208" s="47">
        <f t="shared" si="17"/>
        <v>0</v>
      </c>
      <c r="F208" s="87">
        <v>0</v>
      </c>
      <c r="G208" s="47">
        <f t="shared" si="15"/>
        <v>0</v>
      </c>
      <c r="H208" s="88"/>
      <c r="I208" s="20">
        <v>100</v>
      </c>
      <c r="J208" s="82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 t="s">
        <v>267</v>
      </c>
      <c r="C209" s="79">
        <f>+'11'!G209</f>
        <v>0</v>
      </c>
      <c r="D209" s="87">
        <v>0</v>
      </c>
      <c r="E209" s="47">
        <f t="shared" si="17"/>
        <v>0</v>
      </c>
      <c r="F209" s="87">
        <v>0</v>
      </c>
      <c r="G209" s="47">
        <f t="shared" si="15"/>
        <v>0</v>
      </c>
      <c r="H209" s="88"/>
      <c r="I209" s="20">
        <v>100</v>
      </c>
      <c r="J209" s="82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268</v>
      </c>
      <c r="C210" s="79">
        <f>+'11'!G210</f>
        <v>0</v>
      </c>
      <c r="D210" s="87">
        <v>0</v>
      </c>
      <c r="E210" s="47">
        <f t="shared" si="17"/>
        <v>0</v>
      </c>
      <c r="F210" s="87">
        <v>0</v>
      </c>
      <c r="G210" s="47">
        <f t="shared" si="15"/>
        <v>0</v>
      </c>
      <c r="H210" s="88"/>
      <c r="I210" s="20">
        <v>250</v>
      </c>
      <c r="J210" s="82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 t="s">
        <v>269</v>
      </c>
      <c r="C211" s="79">
        <f>+'11'!G211</f>
        <v>0</v>
      </c>
      <c r="D211" s="87">
        <v>0</v>
      </c>
      <c r="E211" s="47">
        <f t="shared" si="17"/>
        <v>0</v>
      </c>
      <c r="F211" s="87">
        <v>0</v>
      </c>
      <c r="G211" s="47">
        <f t="shared" si="15"/>
        <v>0</v>
      </c>
      <c r="H211" s="88"/>
      <c r="I211" s="20">
        <v>250</v>
      </c>
      <c r="J211" s="82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 t="s">
        <v>270</v>
      </c>
      <c r="C212" s="79">
        <f>+'11'!G212</f>
        <v>0</v>
      </c>
      <c r="D212" s="87">
        <v>0</v>
      </c>
      <c r="E212" s="47">
        <f t="shared" si="17"/>
        <v>0</v>
      </c>
      <c r="F212" s="87">
        <v>0</v>
      </c>
      <c r="G212" s="47">
        <f t="shared" si="15"/>
        <v>0</v>
      </c>
      <c r="H212" s="88"/>
      <c r="I212" s="20">
        <v>250</v>
      </c>
      <c r="J212" s="82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 t="s">
        <v>271</v>
      </c>
      <c r="C213" s="79">
        <f>+'11'!G213</f>
        <v>0</v>
      </c>
      <c r="D213" s="87">
        <v>0</v>
      </c>
      <c r="E213" s="47">
        <f t="shared" si="17"/>
        <v>0</v>
      </c>
      <c r="F213" s="87">
        <v>0</v>
      </c>
      <c r="G213" s="47">
        <f t="shared" si="15"/>
        <v>0</v>
      </c>
      <c r="H213" s="88"/>
      <c r="I213" s="20">
        <v>50</v>
      </c>
      <c r="J213" s="82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 t="s">
        <v>273</v>
      </c>
      <c r="C214" s="79">
        <f>+'11'!G214</f>
        <v>0</v>
      </c>
      <c r="D214" s="87">
        <v>0</v>
      </c>
      <c r="E214" s="47">
        <f t="shared" si="17"/>
        <v>0</v>
      </c>
      <c r="F214" s="87">
        <v>0</v>
      </c>
      <c r="G214" s="47">
        <f t="shared" si="15"/>
        <v>0</v>
      </c>
      <c r="H214" s="88"/>
      <c r="I214" s="20">
        <v>50</v>
      </c>
      <c r="J214" s="82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 t="s">
        <v>274</v>
      </c>
      <c r="C215" s="79">
        <f>+'11'!G215</f>
        <v>0</v>
      </c>
      <c r="D215" s="87">
        <v>0</v>
      </c>
      <c r="E215" s="47">
        <f t="shared" si="17"/>
        <v>0</v>
      </c>
      <c r="F215" s="87">
        <v>0</v>
      </c>
      <c r="G215" s="47">
        <f t="shared" si="15"/>
        <v>0</v>
      </c>
      <c r="H215" s="88"/>
      <c r="I215" s="20">
        <v>50</v>
      </c>
      <c r="J215" s="82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 t="s">
        <v>242</v>
      </c>
      <c r="C216" s="79">
        <f>+'11'!G216</f>
        <v>0</v>
      </c>
      <c r="D216" s="87">
        <v>0</v>
      </c>
      <c r="E216" s="47">
        <f t="shared" si="17"/>
        <v>0</v>
      </c>
      <c r="F216" s="87">
        <v>0</v>
      </c>
      <c r="G216" s="47">
        <f t="shared" si="15"/>
        <v>0</v>
      </c>
      <c r="H216" s="88"/>
      <c r="I216" s="20">
        <v>35</v>
      </c>
      <c r="J216" s="82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 t="s">
        <v>275</v>
      </c>
      <c r="C217" s="79">
        <f>+'11'!G217</f>
        <v>0</v>
      </c>
      <c r="D217" s="87">
        <v>0</v>
      </c>
      <c r="E217" s="47">
        <f t="shared" si="17"/>
        <v>0</v>
      </c>
      <c r="F217" s="87">
        <v>0</v>
      </c>
      <c r="G217" s="47">
        <f t="shared" si="15"/>
        <v>0</v>
      </c>
      <c r="H217" s="88"/>
      <c r="I217" s="20">
        <v>199</v>
      </c>
      <c r="J217" s="82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 t="s">
        <v>283</v>
      </c>
      <c r="C218" s="79"/>
      <c r="D218" s="87">
        <v>0</v>
      </c>
      <c r="E218" s="47">
        <f t="shared" si="17"/>
        <v>0</v>
      </c>
      <c r="F218" s="87">
        <v>0</v>
      </c>
      <c r="G218" s="47">
        <f t="shared" si="15"/>
        <v>0</v>
      </c>
      <c r="H218" s="88"/>
      <c r="I218" s="20">
        <v>25</v>
      </c>
      <c r="J218" s="82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 t="s">
        <v>284</v>
      </c>
      <c r="C219" s="79"/>
      <c r="D219" s="87">
        <v>0</v>
      </c>
      <c r="E219" s="47">
        <f t="shared" si="17"/>
        <v>0</v>
      </c>
      <c r="F219" s="87">
        <v>0</v>
      </c>
      <c r="G219" s="47">
        <f t="shared" si="15"/>
        <v>0</v>
      </c>
      <c r="H219" s="88"/>
      <c r="I219" s="20">
        <v>25</v>
      </c>
      <c r="J219" s="82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 t="s">
        <v>314</v>
      </c>
      <c r="C220" s="79">
        <f>+'11'!G220</f>
        <v>26</v>
      </c>
      <c r="D220" s="87">
        <v>0</v>
      </c>
      <c r="E220" s="47">
        <f t="shared" si="17"/>
        <v>26</v>
      </c>
      <c r="F220" s="87">
        <v>0</v>
      </c>
      <c r="G220" s="47">
        <f t="shared" si="15"/>
        <v>26</v>
      </c>
      <c r="H220" s="88"/>
      <c r="I220" s="20">
        <v>35</v>
      </c>
      <c r="J220" s="82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 t="s">
        <v>326</v>
      </c>
      <c r="C221" s="79">
        <f>+'11'!G221</f>
        <v>0</v>
      </c>
      <c r="D221" s="87">
        <v>0</v>
      </c>
      <c r="E221" s="47">
        <f t="shared" si="17"/>
        <v>0</v>
      </c>
      <c r="F221" s="87">
        <v>0</v>
      </c>
      <c r="G221" s="47">
        <f t="shared" si="15"/>
        <v>0</v>
      </c>
      <c r="H221" s="88"/>
      <c r="I221" s="20">
        <v>55</v>
      </c>
      <c r="J221" s="82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 t="s">
        <v>327</v>
      </c>
      <c r="C222" s="79">
        <f>+'11'!G222</f>
        <v>0</v>
      </c>
      <c r="D222" s="87">
        <v>0</v>
      </c>
      <c r="E222" s="47">
        <f t="shared" si="17"/>
        <v>0</v>
      </c>
      <c r="F222" s="87">
        <v>0</v>
      </c>
      <c r="G222" s="47">
        <f t="shared" si="15"/>
        <v>0</v>
      </c>
      <c r="H222" s="88"/>
      <c r="I222" s="20">
        <v>40</v>
      </c>
      <c r="J222" s="82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/>
      <c r="C223" s="79">
        <f>+'11'!G223</f>
        <v>0</v>
      </c>
      <c r="D223" s="87">
        <v>0</v>
      </c>
      <c r="E223" s="47">
        <f t="shared" si="17"/>
        <v>0</v>
      </c>
      <c r="F223" s="87">
        <v>0</v>
      </c>
      <c r="G223" s="47">
        <f t="shared" si="15"/>
        <v>0</v>
      </c>
      <c r="H223" s="88"/>
      <c r="I223" s="20"/>
      <c r="J223" s="82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79">
        <f>+'11'!G224</f>
        <v>0</v>
      </c>
      <c r="D224" s="87">
        <v>0</v>
      </c>
      <c r="E224" s="47">
        <f t="shared" si="17"/>
        <v>0</v>
      </c>
      <c r="F224" s="87">
        <v>0</v>
      </c>
      <c r="G224" s="47">
        <f t="shared" si="15"/>
        <v>0</v>
      </c>
      <c r="H224" s="88"/>
      <c r="I224" s="20"/>
      <c r="J224" s="82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+'11'!G225</f>
        <v>0</v>
      </c>
      <c r="D225" s="87">
        <v>0</v>
      </c>
      <c r="E225" s="47">
        <f t="shared" si="17"/>
        <v>0</v>
      </c>
      <c r="F225" s="87">
        <v>0</v>
      </c>
      <c r="G225" s="47">
        <f t="shared" si="15"/>
        <v>0</v>
      </c>
      <c r="H225" s="88"/>
      <c r="I225" s="20"/>
      <c r="J225" s="82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+'11'!G226</f>
        <v>0</v>
      </c>
      <c r="D226" s="87">
        <v>0</v>
      </c>
      <c r="E226" s="47">
        <f t="shared" si="17"/>
        <v>0</v>
      </c>
      <c r="F226" s="87">
        <v>0</v>
      </c>
      <c r="G226" s="47">
        <f t="shared" si="15"/>
        <v>0</v>
      </c>
      <c r="H226" s="88"/>
      <c r="I226" s="20"/>
      <c r="J226" s="82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+'11'!G227</f>
        <v>0</v>
      </c>
      <c r="D227" s="87">
        <v>0</v>
      </c>
      <c r="E227" s="47">
        <f t="shared" si="17"/>
        <v>0</v>
      </c>
      <c r="F227" s="87">
        <v>0</v>
      </c>
      <c r="G227" s="47">
        <f t="shared" si="15"/>
        <v>0</v>
      </c>
      <c r="H227" s="88"/>
      <c r="I227" s="20"/>
      <c r="J227" s="82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+'11'!G228</f>
        <v>0</v>
      </c>
      <c r="D228" s="87">
        <v>0</v>
      </c>
      <c r="E228" s="47">
        <f t="shared" si="17"/>
        <v>0</v>
      </c>
      <c r="F228" s="87">
        <v>0</v>
      </c>
      <c r="G228" s="47">
        <f t="shared" ref="G228:G254" si="19">+E228-F228-H228</f>
        <v>0</v>
      </c>
      <c r="H228" s="88"/>
      <c r="I228" s="20"/>
      <c r="J228" s="82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+'11'!G229</f>
        <v>0</v>
      </c>
      <c r="D229" s="87">
        <v>0</v>
      </c>
      <c r="E229" s="47">
        <f t="shared" si="17"/>
        <v>0</v>
      </c>
      <c r="F229" s="87">
        <v>0</v>
      </c>
      <c r="G229" s="47">
        <f t="shared" si="19"/>
        <v>0</v>
      </c>
      <c r="H229" s="88"/>
      <c r="I229" s="20"/>
      <c r="J229" s="82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+'11'!G230</f>
        <v>0</v>
      </c>
      <c r="D230" s="87">
        <v>0</v>
      </c>
      <c r="E230" s="47">
        <f t="shared" si="17"/>
        <v>0</v>
      </c>
      <c r="F230" s="87">
        <v>0</v>
      </c>
      <c r="G230" s="47">
        <f t="shared" si="19"/>
        <v>0</v>
      </c>
      <c r="H230" s="88"/>
      <c r="I230" s="20"/>
      <c r="J230" s="82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+'11'!G231</f>
        <v>0</v>
      </c>
      <c r="D231" s="87">
        <v>0</v>
      </c>
      <c r="E231" s="47">
        <f t="shared" si="17"/>
        <v>0</v>
      </c>
      <c r="F231" s="87">
        <v>0</v>
      </c>
      <c r="G231" s="47">
        <f t="shared" si="19"/>
        <v>0</v>
      </c>
      <c r="H231" s="88"/>
      <c r="I231" s="20"/>
      <c r="J231" s="82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+'11'!G232</f>
        <v>0</v>
      </c>
      <c r="D232" s="87">
        <v>0</v>
      </c>
      <c r="E232" s="47">
        <f t="shared" si="17"/>
        <v>0</v>
      </c>
      <c r="F232" s="87">
        <v>0</v>
      </c>
      <c r="G232" s="47">
        <f t="shared" si="19"/>
        <v>0</v>
      </c>
      <c r="H232" s="88"/>
      <c r="I232" s="20"/>
      <c r="J232" s="82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+'11'!G233</f>
        <v>0</v>
      </c>
      <c r="D233" s="87">
        <v>0</v>
      </c>
      <c r="E233" s="47">
        <f t="shared" si="17"/>
        <v>0</v>
      </c>
      <c r="F233" s="87">
        <v>0</v>
      </c>
      <c r="G233" s="47">
        <f t="shared" si="19"/>
        <v>0</v>
      </c>
      <c r="H233" s="88"/>
      <c r="I233" s="20"/>
      <c r="J233" s="82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+'11'!G234</f>
        <v>0</v>
      </c>
      <c r="D234" s="87">
        <v>0</v>
      </c>
      <c r="E234" s="47">
        <f t="shared" si="17"/>
        <v>0</v>
      </c>
      <c r="F234" s="87">
        <v>0</v>
      </c>
      <c r="G234" s="47">
        <f t="shared" si="19"/>
        <v>0</v>
      </c>
      <c r="H234" s="88"/>
      <c r="I234" s="20"/>
      <c r="J234" s="82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+'11'!G235</f>
        <v>0</v>
      </c>
      <c r="D235" s="87">
        <v>0</v>
      </c>
      <c r="E235" s="47">
        <f t="shared" si="17"/>
        <v>0</v>
      </c>
      <c r="F235" s="87">
        <v>0</v>
      </c>
      <c r="G235" s="47">
        <f t="shared" si="19"/>
        <v>0</v>
      </c>
      <c r="H235" s="88"/>
      <c r="I235" s="20"/>
      <c r="J235" s="82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+'11'!G236</f>
        <v>0</v>
      </c>
      <c r="D236" s="87">
        <v>0</v>
      </c>
      <c r="E236" s="47">
        <f t="shared" si="17"/>
        <v>0</v>
      </c>
      <c r="F236" s="87">
        <v>0</v>
      </c>
      <c r="G236" s="47">
        <f t="shared" si="19"/>
        <v>0</v>
      </c>
      <c r="H236" s="88"/>
      <c r="I236" s="20"/>
      <c r="J236" s="82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+'11'!G237</f>
        <v>0</v>
      </c>
      <c r="D237" s="87">
        <v>0</v>
      </c>
      <c r="E237" s="47">
        <f t="shared" si="17"/>
        <v>0</v>
      </c>
      <c r="F237" s="87">
        <v>0</v>
      </c>
      <c r="G237" s="47">
        <f t="shared" si="19"/>
        <v>0</v>
      </c>
      <c r="H237" s="88"/>
      <c r="I237" s="20"/>
      <c r="J237" s="82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+'11'!G238</f>
        <v>0</v>
      </c>
      <c r="D238" s="87">
        <v>0</v>
      </c>
      <c r="E238" s="47">
        <f t="shared" si="17"/>
        <v>0</v>
      </c>
      <c r="F238" s="87">
        <v>0</v>
      </c>
      <c r="G238" s="47">
        <f t="shared" si="19"/>
        <v>0</v>
      </c>
      <c r="H238" s="88"/>
      <c r="I238" s="20"/>
      <c r="J238" s="82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+'11'!G239</f>
        <v>0</v>
      </c>
      <c r="D239" s="87">
        <v>0</v>
      </c>
      <c r="E239" s="47">
        <f t="shared" si="17"/>
        <v>0</v>
      </c>
      <c r="F239" s="87">
        <v>0</v>
      </c>
      <c r="G239" s="47">
        <f t="shared" si="19"/>
        <v>0</v>
      </c>
      <c r="H239" s="88"/>
      <c r="I239" s="20"/>
      <c r="J239" s="82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+'11'!G240</f>
        <v>0</v>
      </c>
      <c r="D240" s="87">
        <v>0</v>
      </c>
      <c r="E240" s="47">
        <f t="shared" si="17"/>
        <v>0</v>
      </c>
      <c r="F240" s="87">
        <v>0</v>
      </c>
      <c r="G240" s="47">
        <f t="shared" si="19"/>
        <v>0</v>
      </c>
      <c r="H240" s="88"/>
      <c r="I240" s="20"/>
      <c r="J240" s="82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+'11'!G241</f>
        <v>0</v>
      </c>
      <c r="D241" s="87">
        <v>0</v>
      </c>
      <c r="E241" s="47">
        <f t="shared" si="17"/>
        <v>0</v>
      </c>
      <c r="F241" s="87">
        <v>0</v>
      </c>
      <c r="G241" s="47">
        <f t="shared" si="19"/>
        <v>0</v>
      </c>
      <c r="H241" s="88"/>
      <c r="I241" s="20"/>
      <c r="J241" s="82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+'11'!G242</f>
        <v>0</v>
      </c>
      <c r="D242" s="87">
        <v>0</v>
      </c>
      <c r="E242" s="47">
        <f t="shared" si="17"/>
        <v>0</v>
      </c>
      <c r="F242" s="87">
        <v>0</v>
      </c>
      <c r="G242" s="47">
        <f t="shared" si="19"/>
        <v>0</v>
      </c>
      <c r="H242" s="88"/>
      <c r="I242" s="20"/>
      <c r="J242" s="82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+'11'!G243</f>
        <v>0</v>
      </c>
      <c r="D243" s="87">
        <v>0</v>
      </c>
      <c r="E243" s="47">
        <f t="shared" si="17"/>
        <v>0</v>
      </c>
      <c r="F243" s="87">
        <v>0</v>
      </c>
      <c r="G243" s="47">
        <f t="shared" si="19"/>
        <v>0</v>
      </c>
      <c r="H243" s="88"/>
      <c r="I243" s="20"/>
      <c r="J243" s="82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+'11'!G244</f>
        <v>0</v>
      </c>
      <c r="D244" s="87">
        <v>0</v>
      </c>
      <c r="E244" s="47">
        <f t="shared" si="17"/>
        <v>0</v>
      </c>
      <c r="F244" s="87">
        <v>0</v>
      </c>
      <c r="G244" s="47">
        <f t="shared" si="19"/>
        <v>0</v>
      </c>
      <c r="H244" s="88"/>
      <c r="I244" s="20"/>
      <c r="J244" s="82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+'11'!G245</f>
        <v>0</v>
      </c>
      <c r="D245" s="87">
        <v>0</v>
      </c>
      <c r="E245" s="47">
        <f t="shared" si="17"/>
        <v>0</v>
      </c>
      <c r="F245" s="87">
        <v>0</v>
      </c>
      <c r="G245" s="47">
        <f t="shared" si="19"/>
        <v>0</v>
      </c>
      <c r="H245" s="88"/>
      <c r="I245" s="20"/>
      <c r="J245" s="82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+'11'!G246</f>
        <v>0</v>
      </c>
      <c r="D246" s="87">
        <v>0</v>
      </c>
      <c r="E246" s="47">
        <f t="shared" si="17"/>
        <v>0</v>
      </c>
      <c r="F246" s="87">
        <v>0</v>
      </c>
      <c r="G246" s="47">
        <f t="shared" si="19"/>
        <v>0</v>
      </c>
      <c r="H246" s="88"/>
      <c r="I246" s="20"/>
      <c r="J246" s="82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+'11'!G247</f>
        <v>0</v>
      </c>
      <c r="D247" s="87">
        <v>0</v>
      </c>
      <c r="E247" s="47">
        <f t="shared" si="17"/>
        <v>0</v>
      </c>
      <c r="F247" s="87">
        <v>0</v>
      </c>
      <c r="G247" s="47">
        <f t="shared" si="19"/>
        <v>0</v>
      </c>
      <c r="H247" s="88"/>
      <c r="I247" s="20"/>
      <c r="J247" s="82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+'11'!G248</f>
        <v>0</v>
      </c>
      <c r="D248" s="87">
        <v>0</v>
      </c>
      <c r="E248" s="47">
        <f t="shared" si="17"/>
        <v>0</v>
      </c>
      <c r="F248" s="87">
        <v>0</v>
      </c>
      <c r="G248" s="47">
        <f t="shared" si="19"/>
        <v>0</v>
      </c>
      <c r="H248" s="88"/>
      <c r="I248" s="20"/>
      <c r="J248" s="82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+'11'!G249</f>
        <v>0</v>
      </c>
      <c r="D249" s="87">
        <v>0</v>
      </c>
      <c r="E249" s="47">
        <f t="shared" si="17"/>
        <v>0</v>
      </c>
      <c r="F249" s="87">
        <v>0</v>
      </c>
      <c r="G249" s="47">
        <f t="shared" si="19"/>
        <v>0</v>
      </c>
      <c r="H249" s="88"/>
      <c r="I249" s="20"/>
      <c r="J249" s="82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+'11'!G250</f>
        <v>0</v>
      </c>
      <c r="D250" s="87">
        <v>0</v>
      </c>
      <c r="E250" s="47">
        <f t="shared" si="17"/>
        <v>0</v>
      </c>
      <c r="F250" s="87">
        <v>0</v>
      </c>
      <c r="G250" s="47">
        <f t="shared" si="19"/>
        <v>0</v>
      </c>
      <c r="H250" s="88"/>
      <c r="I250" s="20"/>
      <c r="J250" s="82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+'11'!G251</f>
        <v>0</v>
      </c>
      <c r="D251" s="87">
        <v>0</v>
      </c>
      <c r="E251" s="47">
        <f t="shared" si="17"/>
        <v>0</v>
      </c>
      <c r="F251" s="87">
        <v>0</v>
      </c>
      <c r="G251" s="47">
        <f t="shared" si="19"/>
        <v>0</v>
      </c>
      <c r="H251" s="88"/>
      <c r="I251" s="20"/>
      <c r="J251" s="82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+'11'!G252</f>
        <v>0</v>
      </c>
      <c r="D252" s="87">
        <v>0</v>
      </c>
      <c r="E252" s="47">
        <f t="shared" si="17"/>
        <v>0</v>
      </c>
      <c r="F252" s="87">
        <v>0</v>
      </c>
      <c r="G252" s="47">
        <f t="shared" si="19"/>
        <v>0</v>
      </c>
      <c r="H252" s="88"/>
      <c r="I252" s="20"/>
      <c r="J252" s="82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+'11'!G253</f>
        <v>0</v>
      </c>
      <c r="D253" s="87">
        <v>0</v>
      </c>
      <c r="E253" s="47">
        <f t="shared" ref="E253:E254" si="21">C253+D253</f>
        <v>0</v>
      </c>
      <c r="F253" s="87">
        <v>0</v>
      </c>
      <c r="G253" s="47">
        <f t="shared" si="19"/>
        <v>0</v>
      </c>
      <c r="H253" s="88"/>
      <c r="I253" s="20"/>
      <c r="J253" s="82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+'11'!G254</f>
        <v>0</v>
      </c>
      <c r="D254" s="87">
        <v>0</v>
      </c>
      <c r="E254" s="47">
        <f t="shared" si="21"/>
        <v>0</v>
      </c>
      <c r="F254" s="87">
        <v>0</v>
      </c>
      <c r="G254" s="47">
        <f t="shared" si="19"/>
        <v>0</v>
      </c>
      <c r="H254" s="88"/>
      <c r="I254" s="20"/>
      <c r="J254" s="82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1665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3" t="s">
        <v>213</v>
      </c>
      <c r="N255" s="143"/>
    </row>
    <row r="256" spans="1:14" ht="25.5" customHeight="1" x14ac:dyDescent="0.5">
      <c r="A256" s="1"/>
      <c r="C256" s="24"/>
      <c r="D256" s="25"/>
      <c r="E256" s="24"/>
      <c r="F256" s="25"/>
      <c r="G256" s="24"/>
      <c r="H256" s="148" t="s">
        <v>212</v>
      </c>
      <c r="I256" s="149"/>
      <c r="J256" s="30">
        <f>+X138</f>
        <v>0</v>
      </c>
      <c r="K256" s="27"/>
      <c r="L256" s="29"/>
    </row>
    <row r="257" spans="1:14" ht="25.5" x14ac:dyDescent="0.55000000000000004">
      <c r="A257" s="1"/>
      <c r="C257" s="31"/>
      <c r="E257" s="31"/>
      <c r="G257" s="31"/>
      <c r="H257" s="32"/>
      <c r="I257" s="150" t="s">
        <v>202</v>
      </c>
      <c r="J257" s="150"/>
      <c r="K257" s="33">
        <f>SUM(J5:J256)</f>
        <v>1715</v>
      </c>
    </row>
    <row r="258" spans="1:14" ht="25.5" x14ac:dyDescent="0.55000000000000004">
      <c r="A258" s="1"/>
      <c r="C258" s="31"/>
      <c r="E258" s="31"/>
      <c r="G258" s="31"/>
      <c r="I258" s="140" t="s">
        <v>203</v>
      </c>
      <c r="J258" s="141"/>
      <c r="K258" s="36">
        <v>15</v>
      </c>
    </row>
    <row r="259" spans="1:14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700</v>
      </c>
      <c r="L259" s="2">
        <v>250</v>
      </c>
      <c r="M259" s="2">
        <v>250</v>
      </c>
      <c r="N259" s="2">
        <v>200</v>
      </c>
    </row>
    <row r="260" spans="1:14" ht="25.5" x14ac:dyDescent="0.55000000000000004">
      <c r="A260" s="1"/>
      <c r="C260" s="31"/>
      <c r="E260" s="31"/>
      <c r="G260" s="31"/>
      <c r="I260" s="140" t="s">
        <v>205</v>
      </c>
      <c r="J260" s="141"/>
      <c r="K260" s="36">
        <v>0</v>
      </c>
    </row>
    <row r="261" spans="1:14" ht="25.5" x14ac:dyDescent="0.55000000000000004">
      <c r="A261" s="1"/>
      <c r="C261" s="31"/>
      <c r="E261" s="31"/>
      <c r="G261" s="31"/>
      <c r="I261" s="140" t="s">
        <v>206</v>
      </c>
      <c r="J261" s="141"/>
      <c r="K261" s="36">
        <v>0</v>
      </c>
    </row>
    <row r="262" spans="1:14" ht="25.5" x14ac:dyDescent="0.55000000000000004">
      <c r="A262" s="1"/>
      <c r="C262" s="31"/>
      <c r="E262" s="31"/>
      <c r="G262" s="31"/>
      <c r="I262" s="140" t="s">
        <v>207</v>
      </c>
      <c r="J262" s="141"/>
      <c r="K262" s="37">
        <f>SUM(L5:L255)</f>
        <v>50</v>
      </c>
    </row>
    <row r="263" spans="1:14" ht="25.5" x14ac:dyDescent="0.55000000000000004">
      <c r="A263" s="1"/>
      <c r="C263" s="31"/>
      <c r="E263" s="31"/>
      <c r="G263" s="31"/>
      <c r="I263" s="140" t="s">
        <v>208</v>
      </c>
      <c r="J263" s="141"/>
      <c r="K263" s="33">
        <f>K257-K258-K259-K261-K262</f>
        <v>950</v>
      </c>
    </row>
    <row r="264" spans="1:14" ht="25.5" x14ac:dyDescent="0.55000000000000004">
      <c r="A264" s="1"/>
      <c r="C264" s="31"/>
      <c r="E264" s="31"/>
      <c r="G264" s="31"/>
      <c r="I264" s="140" t="s">
        <v>209</v>
      </c>
      <c r="J264" s="141"/>
      <c r="K264" s="37">
        <v>950</v>
      </c>
    </row>
    <row r="265" spans="1:14" ht="25.5" x14ac:dyDescent="0.55000000000000004">
      <c r="A265" s="1"/>
      <c r="C265" s="31"/>
      <c r="E265" s="31"/>
      <c r="G265" s="31"/>
      <c r="I265" s="140" t="s">
        <v>210</v>
      </c>
      <c r="J265" s="141"/>
      <c r="K265" s="33">
        <f>+K264-K263</f>
        <v>0</v>
      </c>
    </row>
    <row r="266" spans="1:14" ht="25.5" x14ac:dyDescent="0.55000000000000004">
      <c r="G266" s="2"/>
      <c r="I266" s="140" t="s">
        <v>211</v>
      </c>
      <c r="J266" s="141"/>
      <c r="K266" s="33">
        <f>+K264-K263</f>
        <v>0</v>
      </c>
    </row>
    <row r="267" spans="1:14" x14ac:dyDescent="0.5">
      <c r="G267" s="2"/>
      <c r="I267" s="2"/>
    </row>
    <row r="268" spans="1:14" ht="25.5" x14ac:dyDescent="0.55000000000000004">
      <c r="G268" s="2"/>
      <c r="I268" s="105" t="s">
        <v>312</v>
      </c>
    </row>
    <row r="269" spans="1:14" x14ac:dyDescent="0.5">
      <c r="G269" s="2"/>
      <c r="I269" s="2"/>
    </row>
    <row r="270" spans="1:14" x14ac:dyDescent="0.5">
      <c r="G270" s="2"/>
      <c r="I270" s="2"/>
    </row>
    <row r="271" spans="1:14" x14ac:dyDescent="0.5">
      <c r="G271" s="2"/>
      <c r="I271" s="2"/>
    </row>
    <row r="272" spans="1:14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5BD28-E819-4B4C-97DA-83BCAB8415B7}">
  <sheetPr>
    <tabColor theme="7" tint="-0.249977111117893"/>
  </sheetPr>
  <dimension ref="A1:AB341"/>
  <sheetViews>
    <sheetView zoomScaleNormal="100" workbookViewId="0">
      <pane xSplit="7" ySplit="4" topLeftCell="H253" activePane="bottomRight" state="frozen"/>
      <selection activeCell="B20" sqref="B20"/>
      <selection pane="topRight" activeCell="B20" sqref="B20"/>
      <selection pane="bottomLeft" activeCell="B20" sqref="B20"/>
      <selection pane="bottomRight" activeCell="B20" sqref="B20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8" x14ac:dyDescent="0.5">
      <c r="A1" s="1"/>
      <c r="G1" s="2"/>
      <c r="I1" s="2"/>
    </row>
    <row r="2" spans="1:28" s="3" customFormat="1" ht="29.25" x14ac:dyDescent="0.6">
      <c r="A2" s="137" t="s">
        <v>247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8" s="5" customFormat="1" ht="26.25" x14ac:dyDescent="0.55000000000000004">
      <c r="A3" s="139" t="s">
        <v>1</v>
      </c>
      <c r="B3" s="151" t="s">
        <v>2</v>
      </c>
      <c r="C3" s="139" t="s">
        <v>3</v>
      </c>
      <c r="D3" s="139" t="s">
        <v>4</v>
      </c>
      <c r="E3" s="139" t="s">
        <v>5</v>
      </c>
      <c r="F3" s="85" t="s">
        <v>6</v>
      </c>
      <c r="G3" s="139" t="s">
        <v>7</v>
      </c>
      <c r="H3" s="142" t="s">
        <v>8</v>
      </c>
      <c r="I3" s="142"/>
      <c r="J3" s="142"/>
      <c r="K3" s="139" t="s">
        <v>9</v>
      </c>
      <c r="L3" s="144" t="s">
        <v>10</v>
      </c>
      <c r="O3" s="139" t="s">
        <v>1</v>
      </c>
      <c r="P3" s="139" t="s">
        <v>2</v>
      </c>
      <c r="Q3" s="139" t="s">
        <v>3</v>
      </c>
      <c r="R3" s="139" t="s">
        <v>4</v>
      </c>
      <c r="S3" s="139" t="s">
        <v>5</v>
      </c>
      <c r="T3" s="85" t="s">
        <v>6</v>
      </c>
      <c r="U3" s="139" t="s">
        <v>7</v>
      </c>
      <c r="V3" s="142" t="s">
        <v>8</v>
      </c>
      <c r="W3" s="142"/>
      <c r="X3" s="142"/>
      <c r="Y3" s="139" t="s">
        <v>9</v>
      </c>
      <c r="Z3" s="144" t="s">
        <v>10</v>
      </c>
    </row>
    <row r="4" spans="1:28" s="5" customFormat="1" ht="26.25" x14ac:dyDescent="0.55000000000000004">
      <c r="A4" s="139"/>
      <c r="B4" s="151"/>
      <c r="C4" s="139"/>
      <c r="D4" s="139"/>
      <c r="E4" s="139"/>
      <c r="F4" s="85" t="s">
        <v>11</v>
      </c>
      <c r="G4" s="139"/>
      <c r="H4" s="85" t="s">
        <v>12</v>
      </c>
      <c r="I4" s="86" t="s">
        <v>13</v>
      </c>
      <c r="J4" s="85" t="s">
        <v>14</v>
      </c>
      <c r="K4" s="139"/>
      <c r="L4" s="144"/>
      <c r="O4" s="139"/>
      <c r="P4" s="139"/>
      <c r="Q4" s="139"/>
      <c r="R4" s="139"/>
      <c r="S4" s="139"/>
      <c r="T4" s="85" t="s">
        <v>11</v>
      </c>
      <c r="U4" s="139"/>
      <c r="V4" s="85" t="s">
        <v>12</v>
      </c>
      <c r="W4" s="86" t="s">
        <v>13</v>
      </c>
      <c r="X4" s="85" t="s">
        <v>14</v>
      </c>
      <c r="Y4" s="139"/>
      <c r="Z4" s="144"/>
      <c r="AB4" s="5" t="s">
        <v>2</v>
      </c>
    </row>
    <row r="5" spans="1:28" ht="25.5" x14ac:dyDescent="0.55000000000000004">
      <c r="A5" s="10">
        <v>1</v>
      </c>
      <c r="B5" s="19" t="s">
        <v>15</v>
      </c>
      <c r="C5" s="79">
        <f>+'12'!G5</f>
        <v>25</v>
      </c>
      <c r="D5" s="87">
        <v>0</v>
      </c>
      <c r="E5" s="47">
        <f t="shared" ref="E5:E125" si="0">C5+D5</f>
        <v>25</v>
      </c>
      <c r="F5" s="87">
        <v>0</v>
      </c>
      <c r="G5" s="47">
        <f>+E5-F5-H5</f>
        <v>22</v>
      </c>
      <c r="H5" s="88">
        <v>3</v>
      </c>
      <c r="I5" s="15">
        <v>50</v>
      </c>
      <c r="J5" s="82">
        <f>+I5*H5</f>
        <v>150</v>
      </c>
      <c r="K5" s="17" t="s">
        <v>16</v>
      </c>
      <c r="L5" s="18">
        <v>100</v>
      </c>
      <c r="M5" s="23">
        <f>SUM(J5-L5)</f>
        <v>50</v>
      </c>
      <c r="O5" s="10">
        <v>1</v>
      </c>
      <c r="P5" s="19"/>
      <c r="Q5" s="47">
        <v>0</v>
      </c>
      <c r="R5" s="87">
        <v>0</v>
      </c>
      <c r="S5" s="47">
        <f t="shared" ref="S5:S14" si="1">Q5+R5</f>
        <v>0</v>
      </c>
      <c r="T5" s="87">
        <v>0</v>
      </c>
      <c r="U5" s="47">
        <f t="shared" ref="U5:U14" si="2">S5-T5-V5</f>
        <v>0</v>
      </c>
      <c r="V5" s="88">
        <v>0</v>
      </c>
      <c r="W5" s="22"/>
      <c r="X5" s="44">
        <f t="shared" ref="X5:X14" si="3">V5*W5</f>
        <v>0</v>
      </c>
      <c r="Y5" s="17" t="s">
        <v>16</v>
      </c>
      <c r="Z5" s="18">
        <v>0</v>
      </c>
      <c r="AB5" s="2" t="s">
        <v>317</v>
      </c>
    </row>
    <row r="6" spans="1:28" ht="25.5" x14ac:dyDescent="0.55000000000000004">
      <c r="A6" s="10">
        <v>2</v>
      </c>
      <c r="B6" s="19" t="s">
        <v>17</v>
      </c>
      <c r="C6" s="79">
        <f>+'12'!G6</f>
        <v>30</v>
      </c>
      <c r="D6" s="87">
        <v>0</v>
      </c>
      <c r="E6" s="47">
        <f t="shared" si="0"/>
        <v>30</v>
      </c>
      <c r="F6" s="87">
        <v>0</v>
      </c>
      <c r="G6" s="47">
        <f t="shared" ref="G6:G100" si="4">+E6-F6-H6</f>
        <v>26</v>
      </c>
      <c r="H6" s="88">
        <v>4</v>
      </c>
      <c r="I6" s="15">
        <v>100</v>
      </c>
      <c r="J6" s="82">
        <f t="shared" ref="J6:J100" si="5">+I6*H6</f>
        <v>400</v>
      </c>
      <c r="K6" s="17" t="s">
        <v>16</v>
      </c>
      <c r="L6" s="18">
        <v>0</v>
      </c>
      <c r="M6" s="23">
        <f t="shared" ref="M6:M69" si="6">SUM(J6-L6)</f>
        <v>400</v>
      </c>
      <c r="O6" s="10">
        <v>2</v>
      </c>
      <c r="P6" s="19"/>
      <c r="Q6" s="47">
        <v>0</v>
      </c>
      <c r="R6" s="87">
        <v>0</v>
      </c>
      <c r="S6" s="47">
        <f t="shared" si="1"/>
        <v>0</v>
      </c>
      <c r="T6" s="87">
        <v>0</v>
      </c>
      <c r="U6" s="47">
        <f t="shared" si="2"/>
        <v>0</v>
      </c>
      <c r="V6" s="88">
        <v>0</v>
      </c>
      <c r="W6" s="22"/>
      <c r="X6" s="44">
        <f t="shared" si="3"/>
        <v>0</v>
      </c>
      <c r="Y6" s="17" t="s">
        <v>16</v>
      </c>
      <c r="Z6" s="18">
        <v>0</v>
      </c>
      <c r="AB6" s="2" t="s">
        <v>318</v>
      </c>
    </row>
    <row r="7" spans="1:28" ht="25.5" x14ac:dyDescent="0.55000000000000004">
      <c r="A7" s="10">
        <v>3</v>
      </c>
      <c r="B7" s="19" t="s">
        <v>18</v>
      </c>
      <c r="C7" s="79">
        <f>+'12'!G7</f>
        <v>0</v>
      </c>
      <c r="D7" s="87">
        <v>0</v>
      </c>
      <c r="E7" s="47">
        <f>C7+D7</f>
        <v>0</v>
      </c>
      <c r="F7" s="87">
        <v>0</v>
      </c>
      <c r="G7" s="47">
        <f t="shared" si="4"/>
        <v>0</v>
      </c>
      <c r="H7" s="88"/>
      <c r="I7" s="15">
        <v>50</v>
      </c>
      <c r="J7" s="8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7">
        <v>0</v>
      </c>
      <c r="S7" s="47">
        <f t="shared" si="1"/>
        <v>0</v>
      </c>
      <c r="T7" s="87">
        <v>0</v>
      </c>
      <c r="U7" s="47">
        <f t="shared" si="2"/>
        <v>0</v>
      </c>
      <c r="V7" s="88">
        <v>0</v>
      </c>
      <c r="W7" s="22"/>
      <c r="X7" s="44">
        <f t="shared" si="3"/>
        <v>0</v>
      </c>
      <c r="Y7" s="17" t="s">
        <v>16</v>
      </c>
      <c r="Z7" s="18">
        <v>0</v>
      </c>
      <c r="AB7" s="2" t="s">
        <v>319</v>
      </c>
    </row>
    <row r="8" spans="1:28" ht="25.5" x14ac:dyDescent="0.55000000000000004">
      <c r="A8" s="10">
        <v>4</v>
      </c>
      <c r="B8" s="19" t="s">
        <v>19</v>
      </c>
      <c r="C8" s="79">
        <f>+'12'!G8</f>
        <v>0</v>
      </c>
      <c r="D8" s="87">
        <v>0</v>
      </c>
      <c r="E8" s="47">
        <f>C8+D8</f>
        <v>0</v>
      </c>
      <c r="F8" s="87">
        <v>0</v>
      </c>
      <c r="G8" s="47">
        <f t="shared" si="4"/>
        <v>0</v>
      </c>
      <c r="H8" s="88"/>
      <c r="I8" s="15">
        <v>100</v>
      </c>
      <c r="J8" s="8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7">
        <v>0</v>
      </c>
      <c r="S8" s="47">
        <f t="shared" si="1"/>
        <v>0</v>
      </c>
      <c r="T8" s="87">
        <v>0</v>
      </c>
      <c r="U8" s="47">
        <f t="shared" si="2"/>
        <v>0</v>
      </c>
      <c r="V8" s="88">
        <v>0</v>
      </c>
      <c r="W8" s="22"/>
      <c r="X8" s="44">
        <f t="shared" si="3"/>
        <v>0</v>
      </c>
      <c r="Y8" s="17" t="s">
        <v>16</v>
      </c>
      <c r="Z8" s="18">
        <v>0</v>
      </c>
      <c r="AB8" s="2" t="s">
        <v>320</v>
      </c>
    </row>
    <row r="9" spans="1:28" ht="25.5" x14ac:dyDescent="0.55000000000000004">
      <c r="A9" s="10">
        <v>5</v>
      </c>
      <c r="B9" s="19" t="s">
        <v>20</v>
      </c>
      <c r="C9" s="79">
        <f>+'12'!G9</f>
        <v>0</v>
      </c>
      <c r="D9" s="87">
        <v>0</v>
      </c>
      <c r="E9" s="47">
        <f>C9+D9</f>
        <v>0</v>
      </c>
      <c r="F9" s="87">
        <v>0</v>
      </c>
      <c r="G9" s="47">
        <f t="shared" si="4"/>
        <v>0</v>
      </c>
      <c r="H9" s="88"/>
      <c r="I9" s="15">
        <v>12</v>
      </c>
      <c r="J9" s="8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7">
        <v>0</v>
      </c>
      <c r="S9" s="47">
        <f t="shared" si="1"/>
        <v>0</v>
      </c>
      <c r="T9" s="87">
        <v>0</v>
      </c>
      <c r="U9" s="47">
        <f t="shared" si="2"/>
        <v>0</v>
      </c>
      <c r="V9" s="88">
        <v>0</v>
      </c>
      <c r="W9" s="22"/>
      <c r="X9" s="44">
        <f t="shared" si="3"/>
        <v>0</v>
      </c>
      <c r="Y9" s="17" t="s">
        <v>16</v>
      </c>
      <c r="Z9" s="18">
        <v>0</v>
      </c>
      <c r="AB9" s="2" t="s">
        <v>307</v>
      </c>
    </row>
    <row r="10" spans="1:28" ht="25.5" x14ac:dyDescent="0.55000000000000004">
      <c r="A10" s="10">
        <v>6</v>
      </c>
      <c r="B10" s="19" t="s">
        <v>21</v>
      </c>
      <c r="C10" s="79">
        <f>+'12'!G10</f>
        <v>0</v>
      </c>
      <c r="D10" s="87">
        <v>0</v>
      </c>
      <c r="E10" s="47">
        <f>C10+D10</f>
        <v>0</v>
      </c>
      <c r="F10" s="87">
        <v>0</v>
      </c>
      <c r="G10" s="47">
        <f t="shared" si="4"/>
        <v>0</v>
      </c>
      <c r="H10" s="88"/>
      <c r="I10" s="15">
        <v>15</v>
      </c>
      <c r="J10" s="8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7">
        <v>0</v>
      </c>
      <c r="S10" s="47">
        <f t="shared" si="1"/>
        <v>0</v>
      </c>
      <c r="T10" s="87">
        <v>0</v>
      </c>
      <c r="U10" s="47">
        <f t="shared" si="2"/>
        <v>0</v>
      </c>
      <c r="V10" s="88">
        <v>0</v>
      </c>
      <c r="W10" s="22"/>
      <c r="X10" s="44">
        <f t="shared" si="3"/>
        <v>0</v>
      </c>
      <c r="Y10" s="17" t="s">
        <v>16</v>
      </c>
      <c r="Z10" s="18">
        <v>0</v>
      </c>
      <c r="AB10" s="2" t="s">
        <v>311</v>
      </c>
    </row>
    <row r="11" spans="1:28" ht="25.5" x14ac:dyDescent="0.55000000000000004">
      <c r="A11" s="10">
        <v>7</v>
      </c>
      <c r="B11" s="19" t="s">
        <v>22</v>
      </c>
      <c r="C11" s="79">
        <f>+'12'!G11</f>
        <v>0</v>
      </c>
      <c r="D11" s="87">
        <v>0</v>
      </c>
      <c r="E11" s="47">
        <f t="shared" si="0"/>
        <v>0</v>
      </c>
      <c r="F11" s="87">
        <v>0</v>
      </c>
      <c r="G11" s="47">
        <f t="shared" si="4"/>
        <v>0</v>
      </c>
      <c r="H11" s="88"/>
      <c r="I11" s="15">
        <v>40</v>
      </c>
      <c r="J11" s="8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7">
        <v>0</v>
      </c>
      <c r="S11" s="47">
        <f t="shared" si="1"/>
        <v>0</v>
      </c>
      <c r="T11" s="87">
        <v>0</v>
      </c>
      <c r="U11" s="47">
        <f t="shared" si="2"/>
        <v>0</v>
      </c>
      <c r="V11" s="88">
        <v>0</v>
      </c>
      <c r="W11" s="22"/>
      <c r="X11" s="44">
        <f t="shared" si="3"/>
        <v>0</v>
      </c>
      <c r="Y11" s="17" t="s">
        <v>16</v>
      </c>
      <c r="Z11" s="18">
        <v>0</v>
      </c>
      <c r="AB11" s="2" t="s">
        <v>321</v>
      </c>
    </row>
    <row r="12" spans="1:28" ht="25.5" x14ac:dyDescent="0.55000000000000004">
      <c r="A12" s="10">
        <v>8</v>
      </c>
      <c r="B12" s="19" t="s">
        <v>23</v>
      </c>
      <c r="C12" s="79">
        <f>+'12'!G12</f>
        <v>0</v>
      </c>
      <c r="D12" s="87">
        <v>0</v>
      </c>
      <c r="E12" s="47">
        <f t="shared" si="0"/>
        <v>0</v>
      </c>
      <c r="F12" s="87">
        <v>0</v>
      </c>
      <c r="G12" s="47">
        <f t="shared" si="4"/>
        <v>0</v>
      </c>
      <c r="H12" s="88"/>
      <c r="I12" s="20">
        <v>50</v>
      </c>
      <c r="J12" s="8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7">
        <v>0</v>
      </c>
      <c r="S12" s="47">
        <f t="shared" si="1"/>
        <v>0</v>
      </c>
      <c r="T12" s="87">
        <v>0</v>
      </c>
      <c r="U12" s="47">
        <f t="shared" si="2"/>
        <v>0</v>
      </c>
      <c r="V12" s="88">
        <v>0</v>
      </c>
      <c r="W12" s="22"/>
      <c r="X12" s="44">
        <f t="shared" si="3"/>
        <v>0</v>
      </c>
      <c r="Y12" s="17" t="s">
        <v>16</v>
      </c>
      <c r="Z12" s="18">
        <v>0</v>
      </c>
      <c r="AB12" s="2" t="s">
        <v>289</v>
      </c>
    </row>
    <row r="13" spans="1:28" ht="25.5" x14ac:dyDescent="0.55000000000000004">
      <c r="A13" s="10">
        <v>9</v>
      </c>
      <c r="B13" s="19" t="s">
        <v>24</v>
      </c>
      <c r="C13" s="79">
        <f>+'12'!G13</f>
        <v>0</v>
      </c>
      <c r="D13" s="87">
        <v>0</v>
      </c>
      <c r="E13" s="47">
        <f>C13+D13</f>
        <v>0</v>
      </c>
      <c r="F13" s="87">
        <v>0</v>
      </c>
      <c r="G13" s="47">
        <f t="shared" si="4"/>
        <v>0</v>
      </c>
      <c r="H13" s="88"/>
      <c r="I13" s="20">
        <v>55</v>
      </c>
      <c r="J13" s="8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7">
        <v>0</v>
      </c>
      <c r="S13" s="47">
        <f t="shared" si="1"/>
        <v>0</v>
      </c>
      <c r="T13" s="87">
        <v>0</v>
      </c>
      <c r="U13" s="47">
        <f t="shared" si="2"/>
        <v>0</v>
      </c>
      <c r="V13" s="88">
        <v>0</v>
      </c>
      <c r="W13" s="22"/>
      <c r="X13" s="44">
        <f t="shared" si="3"/>
        <v>0</v>
      </c>
      <c r="Y13" s="17" t="s">
        <v>16</v>
      </c>
      <c r="Z13" s="18">
        <v>0</v>
      </c>
      <c r="AB13" s="2" t="s">
        <v>322</v>
      </c>
    </row>
    <row r="14" spans="1:28" ht="25.5" x14ac:dyDescent="0.55000000000000004">
      <c r="A14" s="10">
        <v>10</v>
      </c>
      <c r="B14" s="19" t="s">
        <v>25</v>
      </c>
      <c r="C14" s="79">
        <f>+'12'!G14</f>
        <v>0</v>
      </c>
      <c r="D14" s="87">
        <v>0</v>
      </c>
      <c r="E14" s="47">
        <f t="shared" si="0"/>
        <v>0</v>
      </c>
      <c r="F14" s="87">
        <v>0</v>
      </c>
      <c r="G14" s="47">
        <f t="shared" si="4"/>
        <v>0</v>
      </c>
      <c r="H14" s="88"/>
      <c r="I14" s="20">
        <v>65</v>
      </c>
      <c r="J14" s="8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7">
        <v>0</v>
      </c>
      <c r="S14" s="47">
        <f t="shared" si="1"/>
        <v>0</v>
      </c>
      <c r="T14" s="87">
        <v>0</v>
      </c>
      <c r="U14" s="47">
        <f t="shared" si="2"/>
        <v>0</v>
      </c>
      <c r="V14" s="88">
        <v>0</v>
      </c>
      <c r="W14" s="22"/>
      <c r="X14" s="44">
        <f t="shared" si="3"/>
        <v>0</v>
      </c>
      <c r="Y14" s="17" t="s">
        <v>16</v>
      </c>
      <c r="Z14" s="18">
        <v>0</v>
      </c>
      <c r="AB14" s="2" t="s">
        <v>306</v>
      </c>
    </row>
    <row r="15" spans="1:28" ht="25.5" x14ac:dyDescent="0.55000000000000004">
      <c r="A15" s="10">
        <v>11</v>
      </c>
      <c r="B15" s="19" t="s">
        <v>26</v>
      </c>
      <c r="C15" s="79">
        <f>+'12'!G15</f>
        <v>0</v>
      </c>
      <c r="D15" s="87">
        <v>0</v>
      </c>
      <c r="E15" s="47">
        <f t="shared" si="0"/>
        <v>0</v>
      </c>
      <c r="F15" s="87">
        <v>0</v>
      </c>
      <c r="G15" s="47">
        <f t="shared" si="4"/>
        <v>0</v>
      </c>
      <c r="H15" s="88"/>
      <c r="I15" s="20">
        <v>50</v>
      </c>
      <c r="J15" s="8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7">
        <v>0</v>
      </c>
      <c r="S15" s="47">
        <f t="shared" ref="S15:S29" si="7">Q15+R15</f>
        <v>0</v>
      </c>
      <c r="T15" s="87">
        <v>0</v>
      </c>
      <c r="U15" s="47">
        <f t="shared" ref="U15:U29" si="8">S15-T15-V15</f>
        <v>0</v>
      </c>
      <c r="V15" s="88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8" ht="25.5" x14ac:dyDescent="0.55000000000000004">
      <c r="A16" s="10">
        <v>12</v>
      </c>
      <c r="B16" s="19" t="s">
        <v>27</v>
      </c>
      <c r="C16" s="79">
        <f>+'12'!G16</f>
        <v>0</v>
      </c>
      <c r="D16" s="87">
        <v>0</v>
      </c>
      <c r="E16" s="47">
        <f t="shared" si="0"/>
        <v>0</v>
      </c>
      <c r="F16" s="87">
        <v>0</v>
      </c>
      <c r="G16" s="47">
        <f t="shared" si="4"/>
        <v>0</v>
      </c>
      <c r="H16" s="88"/>
      <c r="I16" s="15">
        <v>50</v>
      </c>
      <c r="J16" s="8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7">
        <v>0</v>
      </c>
      <c r="S16" s="47">
        <f t="shared" si="7"/>
        <v>0</v>
      </c>
      <c r="T16" s="87">
        <v>0</v>
      </c>
      <c r="U16" s="47">
        <f t="shared" si="8"/>
        <v>0</v>
      </c>
      <c r="V16" s="88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+'12'!G17</f>
        <v>0</v>
      </c>
      <c r="D17" s="87">
        <v>0</v>
      </c>
      <c r="E17" s="47">
        <f t="shared" si="0"/>
        <v>0</v>
      </c>
      <c r="F17" s="87">
        <v>0</v>
      </c>
      <c r="G17" s="47">
        <f t="shared" si="4"/>
        <v>0</v>
      </c>
      <c r="H17" s="88"/>
      <c r="I17" s="15">
        <v>50</v>
      </c>
      <c r="J17" s="8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7">
        <v>0</v>
      </c>
      <c r="S17" s="47">
        <f t="shared" si="7"/>
        <v>0</v>
      </c>
      <c r="T17" s="87">
        <v>0</v>
      </c>
      <c r="U17" s="47">
        <f t="shared" si="8"/>
        <v>0</v>
      </c>
      <c r="V17" s="88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+'12'!G18</f>
        <v>0</v>
      </c>
      <c r="D18" s="87">
        <v>0</v>
      </c>
      <c r="E18" s="47">
        <f t="shared" si="0"/>
        <v>0</v>
      </c>
      <c r="F18" s="87">
        <v>0</v>
      </c>
      <c r="G18" s="47">
        <f t="shared" si="4"/>
        <v>0</v>
      </c>
      <c r="H18" s="88"/>
      <c r="I18" s="20">
        <v>50</v>
      </c>
      <c r="J18" s="8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7">
        <v>0</v>
      </c>
      <c r="S18" s="47">
        <f t="shared" si="7"/>
        <v>0</v>
      </c>
      <c r="T18" s="87">
        <v>0</v>
      </c>
      <c r="U18" s="47">
        <f t="shared" si="8"/>
        <v>0</v>
      </c>
      <c r="V18" s="88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329</v>
      </c>
      <c r="C19" s="79">
        <f>+'12'!G19</f>
        <v>0</v>
      </c>
      <c r="D19" s="87">
        <v>0</v>
      </c>
      <c r="E19" s="47">
        <f t="shared" si="0"/>
        <v>0</v>
      </c>
      <c r="F19" s="87">
        <v>0</v>
      </c>
      <c r="G19" s="47">
        <f t="shared" si="4"/>
        <v>0</v>
      </c>
      <c r="H19" s="88"/>
      <c r="I19" s="15">
        <v>50</v>
      </c>
      <c r="J19" s="8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7">
        <v>0</v>
      </c>
      <c r="S19" s="47">
        <f t="shared" si="7"/>
        <v>0</v>
      </c>
      <c r="T19" s="87">
        <v>0</v>
      </c>
      <c r="U19" s="47">
        <f t="shared" si="8"/>
        <v>0</v>
      </c>
      <c r="V19" s="88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+'12'!G20</f>
        <v>0</v>
      </c>
      <c r="D20" s="87">
        <v>0</v>
      </c>
      <c r="E20" s="47">
        <f t="shared" si="0"/>
        <v>0</v>
      </c>
      <c r="F20" s="87">
        <v>0</v>
      </c>
      <c r="G20" s="47">
        <f t="shared" si="4"/>
        <v>0</v>
      </c>
      <c r="H20" s="88"/>
      <c r="I20" s="15">
        <v>50</v>
      </c>
      <c r="J20" s="8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7">
        <v>0</v>
      </c>
      <c r="S20" s="47">
        <f t="shared" si="7"/>
        <v>0</v>
      </c>
      <c r="T20" s="87">
        <v>0</v>
      </c>
      <c r="U20" s="47">
        <f t="shared" si="8"/>
        <v>0</v>
      </c>
      <c r="V20" s="88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+'12'!G21</f>
        <v>0</v>
      </c>
      <c r="D21" s="87">
        <v>0</v>
      </c>
      <c r="E21" s="47">
        <f t="shared" si="0"/>
        <v>0</v>
      </c>
      <c r="F21" s="87">
        <v>0</v>
      </c>
      <c r="G21" s="47">
        <f t="shared" si="4"/>
        <v>0</v>
      </c>
      <c r="H21" s="88"/>
      <c r="I21" s="15">
        <v>50</v>
      </c>
      <c r="J21" s="8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7">
        <v>0</v>
      </c>
      <c r="S21" s="47">
        <f t="shared" si="7"/>
        <v>0</v>
      </c>
      <c r="T21" s="87">
        <v>0</v>
      </c>
      <c r="U21" s="47">
        <f t="shared" si="8"/>
        <v>0</v>
      </c>
      <c r="V21" s="88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+'12'!G22</f>
        <v>9</v>
      </c>
      <c r="D22" s="87">
        <v>0</v>
      </c>
      <c r="E22" s="47">
        <f t="shared" si="0"/>
        <v>9</v>
      </c>
      <c r="F22" s="87">
        <v>0</v>
      </c>
      <c r="G22" s="47">
        <f t="shared" si="4"/>
        <v>6</v>
      </c>
      <c r="H22" s="88">
        <v>3</v>
      </c>
      <c r="I22" s="15">
        <v>85</v>
      </c>
      <c r="J22" s="82">
        <f t="shared" si="5"/>
        <v>255</v>
      </c>
      <c r="K22" s="17" t="s">
        <v>16</v>
      </c>
      <c r="L22" s="18">
        <v>0</v>
      </c>
      <c r="M22" s="23">
        <f t="shared" si="6"/>
        <v>255</v>
      </c>
      <c r="O22" s="10">
        <v>18</v>
      </c>
      <c r="P22" s="19"/>
      <c r="Q22" s="47">
        <v>0</v>
      </c>
      <c r="R22" s="87">
        <v>0</v>
      </c>
      <c r="S22" s="47">
        <f t="shared" si="7"/>
        <v>0</v>
      </c>
      <c r="T22" s="87">
        <v>0</v>
      </c>
      <c r="U22" s="47">
        <f t="shared" si="8"/>
        <v>0</v>
      </c>
      <c r="V22" s="88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v>14</v>
      </c>
      <c r="D23" s="87">
        <v>0</v>
      </c>
      <c r="E23" s="47">
        <f t="shared" si="0"/>
        <v>14</v>
      </c>
      <c r="F23" s="87">
        <v>0</v>
      </c>
      <c r="G23" s="47">
        <f t="shared" si="4"/>
        <v>4</v>
      </c>
      <c r="H23" s="88">
        <v>10</v>
      </c>
      <c r="I23" s="15">
        <v>100</v>
      </c>
      <c r="J23" s="82">
        <f t="shared" si="5"/>
        <v>1000</v>
      </c>
      <c r="K23" s="17" t="s">
        <v>16</v>
      </c>
      <c r="L23" s="18">
        <v>0</v>
      </c>
      <c r="M23" s="23">
        <f t="shared" si="6"/>
        <v>1000</v>
      </c>
      <c r="O23" s="10">
        <v>19</v>
      </c>
      <c r="P23" s="19"/>
      <c r="Q23" s="47">
        <v>0</v>
      </c>
      <c r="R23" s="87">
        <v>0</v>
      </c>
      <c r="S23" s="47">
        <f t="shared" si="7"/>
        <v>0</v>
      </c>
      <c r="T23" s="87">
        <v>0</v>
      </c>
      <c r="U23" s="47">
        <f t="shared" si="8"/>
        <v>0</v>
      </c>
      <c r="V23" s="88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+'12'!G24</f>
        <v>11</v>
      </c>
      <c r="D24" s="87">
        <v>0</v>
      </c>
      <c r="E24" s="47">
        <f t="shared" si="0"/>
        <v>11</v>
      </c>
      <c r="F24" s="87">
        <v>0</v>
      </c>
      <c r="G24" s="47">
        <f t="shared" si="4"/>
        <v>10</v>
      </c>
      <c r="H24" s="88">
        <v>1</v>
      </c>
      <c r="I24" s="21">
        <v>100</v>
      </c>
      <c r="J24" s="82">
        <f t="shared" si="5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9"/>
      <c r="Q24" s="47">
        <v>0</v>
      </c>
      <c r="R24" s="87">
        <v>0</v>
      </c>
      <c r="S24" s="47">
        <f t="shared" si="7"/>
        <v>0</v>
      </c>
      <c r="T24" s="87">
        <v>0</v>
      </c>
      <c r="U24" s="47">
        <f t="shared" si="8"/>
        <v>0</v>
      </c>
      <c r="V24" s="88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+'12'!G25</f>
        <v>0</v>
      </c>
      <c r="D25" s="87">
        <v>0</v>
      </c>
      <c r="E25" s="47">
        <f t="shared" si="0"/>
        <v>0</v>
      </c>
      <c r="F25" s="87">
        <v>0</v>
      </c>
      <c r="G25" s="47">
        <f t="shared" si="4"/>
        <v>0</v>
      </c>
      <c r="H25" s="88"/>
      <c r="I25" s="21">
        <v>100</v>
      </c>
      <c r="J25" s="8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7">
        <v>0</v>
      </c>
      <c r="S25" s="47">
        <f t="shared" si="7"/>
        <v>0</v>
      </c>
      <c r="T25" s="87">
        <v>0</v>
      </c>
      <c r="U25" s="47">
        <f t="shared" si="8"/>
        <v>0</v>
      </c>
      <c r="V25" s="88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+'12'!G26</f>
        <v>0</v>
      </c>
      <c r="D26" s="87">
        <v>0</v>
      </c>
      <c r="E26" s="47">
        <f t="shared" si="0"/>
        <v>0</v>
      </c>
      <c r="F26" s="87">
        <v>0</v>
      </c>
      <c r="G26" s="47">
        <f t="shared" si="4"/>
        <v>0</v>
      </c>
      <c r="H26" s="88"/>
      <c r="I26" s="21">
        <v>100</v>
      </c>
      <c r="J26" s="8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7">
        <v>0</v>
      </c>
      <c r="S26" s="47">
        <f t="shared" si="7"/>
        <v>0</v>
      </c>
      <c r="T26" s="87">
        <v>0</v>
      </c>
      <c r="U26" s="47">
        <f t="shared" si="8"/>
        <v>0</v>
      </c>
      <c r="V26" s="88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+'12'!G27</f>
        <v>0</v>
      </c>
      <c r="D27" s="87">
        <v>0</v>
      </c>
      <c r="E27" s="47">
        <f t="shared" si="0"/>
        <v>0</v>
      </c>
      <c r="F27" s="87">
        <v>0</v>
      </c>
      <c r="G27" s="47">
        <f t="shared" si="4"/>
        <v>0</v>
      </c>
      <c r="H27" s="88"/>
      <c r="I27" s="20">
        <v>100</v>
      </c>
      <c r="J27" s="8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7">
        <v>0</v>
      </c>
      <c r="S27" s="47">
        <f t="shared" si="7"/>
        <v>0</v>
      </c>
      <c r="T27" s="87">
        <v>0</v>
      </c>
      <c r="U27" s="47">
        <f t="shared" si="8"/>
        <v>0</v>
      </c>
      <c r="V27" s="88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+'12'!G28</f>
        <v>0</v>
      </c>
      <c r="D28" s="87">
        <v>0</v>
      </c>
      <c r="E28" s="47">
        <f t="shared" si="0"/>
        <v>0</v>
      </c>
      <c r="F28" s="87">
        <v>0</v>
      </c>
      <c r="G28" s="47">
        <f t="shared" si="4"/>
        <v>0</v>
      </c>
      <c r="H28" s="88"/>
      <c r="I28" s="20">
        <v>100</v>
      </c>
      <c r="J28" s="8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7">
        <v>0</v>
      </c>
      <c r="S28" s="47">
        <f t="shared" si="7"/>
        <v>0</v>
      </c>
      <c r="T28" s="87">
        <v>0</v>
      </c>
      <c r="U28" s="47">
        <f t="shared" si="8"/>
        <v>0</v>
      </c>
      <c r="V28" s="88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+'12'!G29</f>
        <v>11</v>
      </c>
      <c r="D29" s="87">
        <v>0</v>
      </c>
      <c r="E29" s="47">
        <f t="shared" si="0"/>
        <v>11</v>
      </c>
      <c r="F29" s="87">
        <v>0</v>
      </c>
      <c r="G29" s="47">
        <f t="shared" si="4"/>
        <v>10</v>
      </c>
      <c r="H29" s="88">
        <v>1</v>
      </c>
      <c r="I29" s="15">
        <v>100</v>
      </c>
      <c r="J29" s="82">
        <f t="shared" si="5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47">
        <v>0</v>
      </c>
      <c r="R29" s="87">
        <v>0</v>
      </c>
      <c r="S29" s="47">
        <f t="shared" si="7"/>
        <v>0</v>
      </c>
      <c r="T29" s="87">
        <v>0</v>
      </c>
      <c r="U29" s="47">
        <f t="shared" si="8"/>
        <v>0</v>
      </c>
      <c r="V29" s="88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+'12'!G30</f>
        <v>0</v>
      </c>
      <c r="D30" s="87">
        <v>0</v>
      </c>
      <c r="E30" s="47">
        <f t="shared" si="0"/>
        <v>0</v>
      </c>
      <c r="F30" s="87">
        <v>0</v>
      </c>
      <c r="G30" s="47">
        <f t="shared" si="4"/>
        <v>0</v>
      </c>
      <c r="H30" s="88"/>
      <c r="I30" s="15">
        <v>100</v>
      </c>
      <c r="J30" s="8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+'12'!G31</f>
        <v>2</v>
      </c>
      <c r="D31" s="87">
        <v>0</v>
      </c>
      <c r="E31" s="47">
        <f t="shared" si="0"/>
        <v>2</v>
      </c>
      <c r="F31" s="87">
        <v>0</v>
      </c>
      <c r="G31" s="47">
        <f t="shared" si="4"/>
        <v>2</v>
      </c>
      <c r="H31" s="88"/>
      <c r="I31" s="15">
        <v>100</v>
      </c>
      <c r="J31" s="82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+'12'!G32</f>
        <v>0</v>
      </c>
      <c r="D32" s="87">
        <v>0</v>
      </c>
      <c r="E32" s="47">
        <f t="shared" si="0"/>
        <v>0</v>
      </c>
      <c r="F32" s="87">
        <v>0</v>
      </c>
      <c r="G32" s="47">
        <f t="shared" si="4"/>
        <v>0</v>
      </c>
      <c r="H32" s="88"/>
      <c r="I32" s="15">
        <v>130</v>
      </c>
      <c r="J32" s="82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5" t="s">
        <v>119</v>
      </c>
      <c r="Q32" s="146"/>
      <c r="R32" s="146"/>
      <c r="S32" s="146"/>
      <c r="T32" s="146"/>
      <c r="U32" s="146"/>
      <c r="V32" s="146"/>
      <c r="W32" s="147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+'12'!G33</f>
        <v>10</v>
      </c>
      <c r="D33" s="87">
        <v>0</v>
      </c>
      <c r="E33" s="47">
        <f t="shared" si="0"/>
        <v>10</v>
      </c>
      <c r="F33" s="87">
        <v>0</v>
      </c>
      <c r="G33" s="47">
        <f t="shared" si="4"/>
        <v>9</v>
      </c>
      <c r="H33" s="88">
        <v>1</v>
      </c>
      <c r="I33" s="15">
        <v>130</v>
      </c>
      <c r="J33" s="82">
        <f t="shared" si="5"/>
        <v>130</v>
      </c>
      <c r="K33" s="17" t="s">
        <v>16</v>
      </c>
      <c r="L33" s="18">
        <v>0</v>
      </c>
      <c r="M33" s="23">
        <f t="shared" si="6"/>
        <v>130</v>
      </c>
    </row>
    <row r="34" spans="1:13" ht="25.5" x14ac:dyDescent="0.55000000000000004">
      <c r="A34" s="10">
        <v>30</v>
      </c>
      <c r="B34" s="19" t="s">
        <v>45</v>
      </c>
      <c r="C34" s="79">
        <f>+'12'!G34</f>
        <v>12</v>
      </c>
      <c r="D34" s="87">
        <v>0</v>
      </c>
      <c r="E34" s="47">
        <f t="shared" si="0"/>
        <v>12</v>
      </c>
      <c r="F34" s="87">
        <v>0</v>
      </c>
      <c r="G34" s="47">
        <f t="shared" si="4"/>
        <v>11</v>
      </c>
      <c r="H34" s="88">
        <v>1</v>
      </c>
      <c r="I34" s="15">
        <v>130</v>
      </c>
      <c r="J34" s="82">
        <f t="shared" si="5"/>
        <v>130</v>
      </c>
      <c r="K34" s="17" t="s">
        <v>16</v>
      </c>
      <c r="L34" s="18">
        <v>0</v>
      </c>
      <c r="M34" s="23">
        <f t="shared" si="6"/>
        <v>130</v>
      </c>
    </row>
    <row r="35" spans="1:13" ht="25.5" x14ac:dyDescent="0.55000000000000004">
      <c r="A35" s="10">
        <v>31</v>
      </c>
      <c r="B35" s="19" t="s">
        <v>46</v>
      </c>
      <c r="C35" s="79">
        <f>+'12'!G35</f>
        <v>0</v>
      </c>
      <c r="D35" s="87">
        <v>0</v>
      </c>
      <c r="E35" s="47">
        <f t="shared" si="0"/>
        <v>0</v>
      </c>
      <c r="F35" s="87">
        <v>0</v>
      </c>
      <c r="G35" s="47">
        <f t="shared" si="4"/>
        <v>0</v>
      </c>
      <c r="H35" s="88"/>
      <c r="I35" s="15">
        <v>130</v>
      </c>
      <c r="J35" s="82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+'12'!G36</f>
        <v>0</v>
      </c>
      <c r="D36" s="87">
        <v>0</v>
      </c>
      <c r="E36" s="47">
        <f t="shared" si="0"/>
        <v>0</v>
      </c>
      <c r="F36" s="87">
        <v>0</v>
      </c>
      <c r="G36" s="47">
        <f t="shared" si="4"/>
        <v>0</v>
      </c>
      <c r="H36" s="88"/>
      <c r="I36" s="15">
        <v>100</v>
      </c>
      <c r="J36" s="82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+'12'!G37</f>
        <v>0</v>
      </c>
      <c r="D37" s="87">
        <v>0</v>
      </c>
      <c r="E37" s="47">
        <f t="shared" si="0"/>
        <v>0</v>
      </c>
      <c r="F37" s="87">
        <v>0</v>
      </c>
      <c r="G37" s="47">
        <f t="shared" si="4"/>
        <v>0</v>
      </c>
      <c r="H37" s="88"/>
      <c r="I37" s="15">
        <v>100</v>
      </c>
      <c r="J37" s="82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 t="s">
        <v>49</v>
      </c>
      <c r="C38" s="79">
        <f>+'12'!G38</f>
        <v>9</v>
      </c>
      <c r="D38" s="87">
        <v>0</v>
      </c>
      <c r="E38" s="47">
        <f t="shared" si="0"/>
        <v>9</v>
      </c>
      <c r="F38" s="87">
        <v>0</v>
      </c>
      <c r="G38" s="47">
        <f t="shared" si="4"/>
        <v>7</v>
      </c>
      <c r="H38" s="88">
        <v>2</v>
      </c>
      <c r="I38" s="15">
        <v>50</v>
      </c>
      <c r="J38" s="82">
        <f t="shared" si="5"/>
        <v>100</v>
      </c>
      <c r="K38" s="17" t="s">
        <v>16</v>
      </c>
      <c r="L38" s="18">
        <v>0</v>
      </c>
      <c r="M38" s="23">
        <f t="shared" si="6"/>
        <v>100</v>
      </c>
    </row>
    <row r="39" spans="1:13" ht="25.5" x14ac:dyDescent="0.55000000000000004">
      <c r="A39" s="10">
        <v>35</v>
      </c>
      <c r="B39" s="19" t="s">
        <v>50</v>
      </c>
      <c r="C39" s="79">
        <f>+'12'!G39</f>
        <v>9</v>
      </c>
      <c r="D39" s="87">
        <v>0</v>
      </c>
      <c r="E39" s="47">
        <f t="shared" si="0"/>
        <v>9</v>
      </c>
      <c r="F39" s="87">
        <v>0</v>
      </c>
      <c r="G39" s="47">
        <f t="shared" si="4"/>
        <v>6</v>
      </c>
      <c r="H39" s="88">
        <v>3</v>
      </c>
      <c r="I39" s="15">
        <v>50</v>
      </c>
      <c r="J39" s="82">
        <f t="shared" si="5"/>
        <v>150</v>
      </c>
      <c r="K39" s="17" t="s">
        <v>16</v>
      </c>
      <c r="L39" s="18">
        <v>0</v>
      </c>
      <c r="M39" s="23">
        <f t="shared" si="6"/>
        <v>150</v>
      </c>
    </row>
    <row r="40" spans="1:13" ht="25.5" x14ac:dyDescent="0.55000000000000004">
      <c r="A40" s="10">
        <v>36</v>
      </c>
      <c r="B40" s="19" t="s">
        <v>51</v>
      </c>
      <c r="C40" s="79">
        <f>+'12'!G40</f>
        <v>9</v>
      </c>
      <c r="D40" s="87">
        <v>0</v>
      </c>
      <c r="E40" s="47">
        <f t="shared" si="0"/>
        <v>9</v>
      </c>
      <c r="F40" s="87">
        <v>0</v>
      </c>
      <c r="G40" s="47">
        <f t="shared" si="4"/>
        <v>7</v>
      </c>
      <c r="H40" s="88">
        <v>2</v>
      </c>
      <c r="I40" s="15">
        <v>50</v>
      </c>
      <c r="J40" s="82">
        <f t="shared" si="5"/>
        <v>100</v>
      </c>
      <c r="K40" s="17" t="s">
        <v>16</v>
      </c>
      <c r="L40" s="18">
        <v>0</v>
      </c>
      <c r="M40" s="23">
        <f t="shared" si="6"/>
        <v>100</v>
      </c>
    </row>
    <row r="41" spans="1:13" ht="25.5" x14ac:dyDescent="0.55000000000000004">
      <c r="A41" s="10">
        <v>37</v>
      </c>
      <c r="B41" s="19" t="s">
        <v>52</v>
      </c>
      <c r="C41" s="79">
        <f>+'12'!G41</f>
        <v>0</v>
      </c>
      <c r="D41" s="87">
        <v>0</v>
      </c>
      <c r="E41" s="47">
        <f t="shared" si="0"/>
        <v>0</v>
      </c>
      <c r="F41" s="87">
        <v>0</v>
      </c>
      <c r="G41" s="47">
        <f t="shared" si="4"/>
        <v>0</v>
      </c>
      <c r="H41" s="88"/>
      <c r="I41" s="15">
        <v>50</v>
      </c>
      <c r="J41" s="82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285</v>
      </c>
      <c r="C42" s="79">
        <f>+'12'!G42</f>
        <v>2</v>
      </c>
      <c r="D42" s="87">
        <v>0</v>
      </c>
      <c r="E42" s="47">
        <f t="shared" si="0"/>
        <v>2</v>
      </c>
      <c r="F42" s="87">
        <v>0</v>
      </c>
      <c r="G42" s="47">
        <f t="shared" si="4"/>
        <v>0</v>
      </c>
      <c r="H42" s="88">
        <v>2</v>
      </c>
      <c r="I42" s="15">
        <v>50</v>
      </c>
      <c r="J42" s="82">
        <f t="shared" si="5"/>
        <v>100</v>
      </c>
      <c r="K42" s="17" t="s">
        <v>16</v>
      </c>
      <c r="L42" s="18">
        <v>0</v>
      </c>
      <c r="M42" s="23">
        <f t="shared" si="6"/>
        <v>100</v>
      </c>
    </row>
    <row r="43" spans="1:13" ht="25.5" x14ac:dyDescent="0.55000000000000004">
      <c r="A43" s="10">
        <v>39</v>
      </c>
      <c r="B43" s="19" t="s">
        <v>54</v>
      </c>
      <c r="C43" s="79">
        <f>+'12'!G43</f>
        <v>1</v>
      </c>
      <c r="D43" s="87">
        <v>0</v>
      </c>
      <c r="E43" s="47">
        <f t="shared" si="0"/>
        <v>1</v>
      </c>
      <c r="F43" s="87">
        <v>0</v>
      </c>
      <c r="G43" s="47">
        <f t="shared" si="4"/>
        <v>1</v>
      </c>
      <c r="H43" s="88"/>
      <c r="I43" s="15">
        <v>50</v>
      </c>
      <c r="J43" s="82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+'12'!G44</f>
        <v>0</v>
      </c>
      <c r="D44" s="87">
        <v>0</v>
      </c>
      <c r="E44" s="47">
        <f t="shared" si="0"/>
        <v>0</v>
      </c>
      <c r="F44" s="87">
        <v>0</v>
      </c>
      <c r="G44" s="47">
        <f t="shared" si="4"/>
        <v>0</v>
      </c>
      <c r="H44" s="88"/>
      <c r="I44" s="15">
        <v>50</v>
      </c>
      <c r="J44" s="82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+'12'!G45</f>
        <v>0</v>
      </c>
      <c r="D45" s="87">
        <v>0</v>
      </c>
      <c r="E45" s="47">
        <f t="shared" si="0"/>
        <v>0</v>
      </c>
      <c r="F45" s="87">
        <v>0</v>
      </c>
      <c r="G45" s="47">
        <f t="shared" si="4"/>
        <v>0</v>
      </c>
      <c r="H45" s="88"/>
      <c r="I45" s="15">
        <v>50</v>
      </c>
      <c r="J45" s="82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286</v>
      </c>
      <c r="C46" s="79">
        <f>+'12'!G46</f>
        <v>2</v>
      </c>
      <c r="D46" s="87">
        <v>0</v>
      </c>
      <c r="E46" s="47">
        <f t="shared" si="0"/>
        <v>2</v>
      </c>
      <c r="F46" s="87">
        <v>0</v>
      </c>
      <c r="G46" s="47">
        <f t="shared" si="4"/>
        <v>1</v>
      </c>
      <c r="H46" s="88">
        <v>1</v>
      </c>
      <c r="I46" s="15">
        <v>50</v>
      </c>
      <c r="J46" s="82">
        <f t="shared" si="5"/>
        <v>50</v>
      </c>
      <c r="K46" s="17" t="s">
        <v>16</v>
      </c>
      <c r="L46" s="18">
        <v>0</v>
      </c>
      <c r="M46" s="23">
        <f t="shared" si="6"/>
        <v>50</v>
      </c>
    </row>
    <row r="47" spans="1:13" ht="25.5" x14ac:dyDescent="0.55000000000000004">
      <c r="A47" s="10">
        <v>43</v>
      </c>
      <c r="B47" s="19" t="s">
        <v>58</v>
      </c>
      <c r="C47" s="79">
        <f>+'12'!G47</f>
        <v>2</v>
      </c>
      <c r="D47" s="87">
        <v>0</v>
      </c>
      <c r="E47" s="47">
        <f t="shared" si="0"/>
        <v>2</v>
      </c>
      <c r="F47" s="87">
        <v>0</v>
      </c>
      <c r="G47" s="47">
        <f t="shared" si="4"/>
        <v>1</v>
      </c>
      <c r="H47" s="88">
        <v>1</v>
      </c>
      <c r="I47" s="15">
        <v>50</v>
      </c>
      <c r="J47" s="82">
        <f t="shared" si="5"/>
        <v>50</v>
      </c>
      <c r="K47" s="17" t="s">
        <v>16</v>
      </c>
      <c r="L47" s="18">
        <v>0</v>
      </c>
      <c r="M47" s="23">
        <f t="shared" si="6"/>
        <v>50</v>
      </c>
    </row>
    <row r="48" spans="1:13" ht="25.5" x14ac:dyDescent="0.55000000000000004">
      <c r="A48" s="10">
        <v>44</v>
      </c>
      <c r="B48" s="19" t="s">
        <v>59</v>
      </c>
      <c r="C48" s="79">
        <f>+'12'!G48</f>
        <v>2</v>
      </c>
      <c r="D48" s="87">
        <v>0</v>
      </c>
      <c r="E48" s="47">
        <f t="shared" si="0"/>
        <v>2</v>
      </c>
      <c r="F48" s="87">
        <v>0</v>
      </c>
      <c r="G48" s="47">
        <f t="shared" si="4"/>
        <v>1</v>
      </c>
      <c r="H48" s="88">
        <v>1</v>
      </c>
      <c r="I48" s="15">
        <v>50</v>
      </c>
      <c r="J48" s="82">
        <f t="shared" si="5"/>
        <v>50</v>
      </c>
      <c r="K48" s="17" t="s">
        <v>16</v>
      </c>
      <c r="L48" s="18">
        <v>0</v>
      </c>
      <c r="M48" s="23">
        <f t="shared" si="6"/>
        <v>50</v>
      </c>
    </row>
    <row r="49" spans="1:13" ht="25.5" x14ac:dyDescent="0.55000000000000004">
      <c r="A49" s="10">
        <v>45</v>
      </c>
      <c r="B49" s="19" t="s">
        <v>60</v>
      </c>
      <c r="C49" s="79">
        <f>+'12'!G49</f>
        <v>2</v>
      </c>
      <c r="D49" s="87">
        <v>0</v>
      </c>
      <c r="E49" s="47">
        <f t="shared" si="0"/>
        <v>2</v>
      </c>
      <c r="F49" s="87">
        <v>0</v>
      </c>
      <c r="G49" s="47">
        <f t="shared" si="4"/>
        <v>2</v>
      </c>
      <c r="H49" s="88"/>
      <c r="I49" s="15">
        <v>50</v>
      </c>
      <c r="J49" s="82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+'12'!G50</f>
        <v>4</v>
      </c>
      <c r="D50" s="87">
        <v>0</v>
      </c>
      <c r="E50" s="47">
        <f t="shared" si="0"/>
        <v>4</v>
      </c>
      <c r="F50" s="87">
        <v>0</v>
      </c>
      <c r="G50" s="47">
        <f t="shared" si="4"/>
        <v>4</v>
      </c>
      <c r="H50" s="88"/>
      <c r="I50" s="15">
        <v>120</v>
      </c>
      <c r="J50" s="82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+'12'!G51</f>
        <v>1</v>
      </c>
      <c r="D51" s="87">
        <v>0</v>
      </c>
      <c r="E51" s="47">
        <f t="shared" si="0"/>
        <v>1</v>
      </c>
      <c r="F51" s="87">
        <v>0</v>
      </c>
      <c r="G51" s="47">
        <f t="shared" si="4"/>
        <v>1</v>
      </c>
      <c r="H51" s="88"/>
      <c r="I51" s="15">
        <v>120</v>
      </c>
      <c r="J51" s="82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+'12'!G52</f>
        <v>0</v>
      </c>
      <c r="D52" s="87">
        <v>0</v>
      </c>
      <c r="E52" s="47">
        <f t="shared" si="0"/>
        <v>0</v>
      </c>
      <c r="F52" s="87">
        <v>0</v>
      </c>
      <c r="G52" s="47">
        <f t="shared" si="4"/>
        <v>0</v>
      </c>
      <c r="H52" s="88"/>
      <c r="I52" s="21">
        <v>120</v>
      </c>
      <c r="J52" s="82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+'12'!G53</f>
        <v>0</v>
      </c>
      <c r="D53" s="87">
        <v>0</v>
      </c>
      <c r="E53" s="47">
        <f t="shared" si="0"/>
        <v>0</v>
      </c>
      <c r="F53" s="87">
        <v>0</v>
      </c>
      <c r="G53" s="47">
        <f t="shared" si="4"/>
        <v>0</v>
      </c>
      <c r="H53" s="88"/>
      <c r="I53" s="15">
        <v>120</v>
      </c>
      <c r="J53" s="82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+'12'!G54</f>
        <v>0</v>
      </c>
      <c r="D54" s="87">
        <v>0</v>
      </c>
      <c r="E54" s="47">
        <f t="shared" si="0"/>
        <v>0</v>
      </c>
      <c r="F54" s="87">
        <v>0</v>
      </c>
      <c r="G54" s="47">
        <f t="shared" si="4"/>
        <v>0</v>
      </c>
      <c r="H54" s="88"/>
      <c r="I54" s="15">
        <v>120</v>
      </c>
      <c r="J54" s="82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+'12'!G55</f>
        <v>0</v>
      </c>
      <c r="D55" s="87">
        <v>0</v>
      </c>
      <c r="E55" s="47">
        <f t="shared" si="0"/>
        <v>0</v>
      </c>
      <c r="F55" s="87">
        <v>0</v>
      </c>
      <c r="G55" s="47">
        <f t="shared" si="4"/>
        <v>0</v>
      </c>
      <c r="H55" s="88"/>
      <c r="I55" s="21">
        <v>120</v>
      </c>
      <c r="J55" s="82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+'12'!G56</f>
        <v>1</v>
      </c>
      <c r="D56" s="87">
        <v>0</v>
      </c>
      <c r="E56" s="47">
        <f t="shared" si="0"/>
        <v>1</v>
      </c>
      <c r="F56" s="87">
        <v>0</v>
      </c>
      <c r="G56" s="47">
        <f t="shared" si="4"/>
        <v>1</v>
      </c>
      <c r="H56" s="88"/>
      <c r="I56" s="21">
        <v>120</v>
      </c>
      <c r="J56" s="82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+'12'!G57</f>
        <v>0</v>
      </c>
      <c r="D57" s="87">
        <v>0</v>
      </c>
      <c r="E57" s="47">
        <f t="shared" si="0"/>
        <v>0</v>
      </c>
      <c r="F57" s="87">
        <v>0</v>
      </c>
      <c r="G57" s="47">
        <f t="shared" si="4"/>
        <v>0</v>
      </c>
      <c r="H57" s="88"/>
      <c r="I57" s="21">
        <v>120</v>
      </c>
      <c r="J57" s="82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+'12'!G58</f>
        <v>0</v>
      </c>
      <c r="D58" s="87">
        <v>0</v>
      </c>
      <c r="E58" s="47">
        <f t="shared" si="0"/>
        <v>0</v>
      </c>
      <c r="F58" s="87">
        <v>0</v>
      </c>
      <c r="G58" s="47">
        <f t="shared" si="4"/>
        <v>0</v>
      </c>
      <c r="H58" s="88"/>
      <c r="I58" s="21">
        <v>120</v>
      </c>
      <c r="J58" s="82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+'12'!G59</f>
        <v>0</v>
      </c>
      <c r="D59" s="87">
        <v>0</v>
      </c>
      <c r="E59" s="47">
        <f t="shared" si="0"/>
        <v>0</v>
      </c>
      <c r="F59" s="87">
        <v>0</v>
      </c>
      <c r="G59" s="47">
        <f t="shared" si="4"/>
        <v>0</v>
      </c>
      <c r="H59" s="88"/>
      <c r="I59" s="15">
        <v>70</v>
      </c>
      <c r="J59" s="82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+'12'!G60</f>
        <v>0</v>
      </c>
      <c r="D60" s="87">
        <v>0</v>
      </c>
      <c r="E60" s="47">
        <f t="shared" si="0"/>
        <v>0</v>
      </c>
      <c r="F60" s="87">
        <v>0</v>
      </c>
      <c r="G60" s="47">
        <f t="shared" si="4"/>
        <v>0</v>
      </c>
      <c r="H60" s="88"/>
      <c r="I60" s="21">
        <v>80</v>
      </c>
      <c r="J60" s="82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+'12'!G61</f>
        <v>0</v>
      </c>
      <c r="D61" s="87">
        <v>0</v>
      </c>
      <c r="E61" s="47">
        <f t="shared" si="0"/>
        <v>0</v>
      </c>
      <c r="F61" s="87">
        <v>0</v>
      </c>
      <c r="G61" s="47">
        <f t="shared" si="4"/>
        <v>0</v>
      </c>
      <c r="H61" s="88"/>
      <c r="I61" s="15">
        <v>50</v>
      </c>
      <c r="J61" s="82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+'12'!G62</f>
        <v>1</v>
      </c>
      <c r="D62" s="87">
        <v>0</v>
      </c>
      <c r="E62" s="47">
        <f t="shared" si="0"/>
        <v>1</v>
      </c>
      <c r="F62" s="87">
        <v>0</v>
      </c>
      <c r="G62" s="47">
        <f t="shared" si="4"/>
        <v>1</v>
      </c>
      <c r="H62" s="88"/>
      <c r="I62" s="20">
        <v>50</v>
      </c>
      <c r="J62" s="82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+'12'!G63</f>
        <v>0</v>
      </c>
      <c r="D63" s="87">
        <v>0</v>
      </c>
      <c r="E63" s="47">
        <f t="shared" si="0"/>
        <v>0</v>
      </c>
      <c r="F63" s="87">
        <v>0</v>
      </c>
      <c r="G63" s="47">
        <f t="shared" si="4"/>
        <v>0</v>
      </c>
      <c r="H63" s="88"/>
      <c r="I63" s="20">
        <v>50</v>
      </c>
      <c r="J63" s="82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+'12'!G64</f>
        <v>0</v>
      </c>
      <c r="D64" s="87">
        <v>0</v>
      </c>
      <c r="E64" s="47">
        <f t="shared" si="0"/>
        <v>0</v>
      </c>
      <c r="F64" s="87">
        <v>0</v>
      </c>
      <c r="G64" s="47">
        <f t="shared" si="4"/>
        <v>0</v>
      </c>
      <c r="H64" s="88"/>
      <c r="I64" s="21">
        <v>30</v>
      </c>
      <c r="J64" s="82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+'12'!G65</f>
        <v>0</v>
      </c>
      <c r="D65" s="87">
        <v>0</v>
      </c>
      <c r="E65" s="47">
        <f t="shared" si="0"/>
        <v>0</v>
      </c>
      <c r="F65" s="87">
        <v>0</v>
      </c>
      <c r="G65" s="47">
        <f t="shared" si="4"/>
        <v>0</v>
      </c>
      <c r="H65" s="88"/>
      <c r="I65" s="21">
        <v>30</v>
      </c>
      <c r="J65" s="82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+'12'!G66</f>
        <v>3</v>
      </c>
      <c r="D66" s="87">
        <v>0</v>
      </c>
      <c r="E66" s="47">
        <f t="shared" si="0"/>
        <v>3</v>
      </c>
      <c r="F66" s="87">
        <v>0</v>
      </c>
      <c r="G66" s="47">
        <f t="shared" si="4"/>
        <v>1</v>
      </c>
      <c r="H66" s="88">
        <v>2</v>
      </c>
      <c r="I66" s="15">
        <v>50</v>
      </c>
      <c r="J66" s="82">
        <f t="shared" si="5"/>
        <v>100</v>
      </c>
      <c r="K66" s="17" t="s">
        <v>16</v>
      </c>
      <c r="L66" s="18">
        <v>0</v>
      </c>
      <c r="M66" s="23">
        <f t="shared" si="6"/>
        <v>100</v>
      </c>
    </row>
    <row r="67" spans="1:13" ht="25.5" x14ac:dyDescent="0.55000000000000004">
      <c r="A67" s="10">
        <v>63</v>
      </c>
      <c r="B67" s="19" t="s">
        <v>78</v>
      </c>
      <c r="C67" s="79">
        <f>+'12'!G67</f>
        <v>7</v>
      </c>
      <c r="D67" s="87">
        <v>0</v>
      </c>
      <c r="E67" s="47">
        <f t="shared" si="0"/>
        <v>7</v>
      </c>
      <c r="F67" s="87">
        <v>0</v>
      </c>
      <c r="G67" s="47">
        <f t="shared" si="4"/>
        <v>7</v>
      </c>
      <c r="H67" s="88"/>
      <c r="I67" s="15">
        <v>50</v>
      </c>
      <c r="J67" s="82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+'12'!G68</f>
        <v>0</v>
      </c>
      <c r="D68" s="87">
        <v>0</v>
      </c>
      <c r="E68" s="47">
        <f t="shared" si="0"/>
        <v>0</v>
      </c>
      <c r="F68" s="87">
        <v>0</v>
      </c>
      <c r="G68" s="47">
        <f t="shared" si="4"/>
        <v>0</v>
      </c>
      <c r="H68" s="88"/>
      <c r="I68" s="20">
        <v>35</v>
      </c>
      <c r="J68" s="82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+'12'!G69</f>
        <v>0</v>
      </c>
      <c r="D69" s="87">
        <v>0</v>
      </c>
      <c r="E69" s="47">
        <f t="shared" si="0"/>
        <v>0</v>
      </c>
      <c r="F69" s="87">
        <v>0</v>
      </c>
      <c r="G69" s="47">
        <f t="shared" si="4"/>
        <v>0</v>
      </c>
      <c r="H69" s="88"/>
      <c r="I69" s="20">
        <v>25</v>
      </c>
      <c r="J69" s="82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+'12'!G70</f>
        <v>12</v>
      </c>
      <c r="D70" s="87">
        <v>0</v>
      </c>
      <c r="E70" s="47">
        <f t="shared" si="0"/>
        <v>12</v>
      </c>
      <c r="F70" s="87">
        <v>0</v>
      </c>
      <c r="G70" s="47">
        <f t="shared" si="4"/>
        <v>12</v>
      </c>
      <c r="H70" s="88"/>
      <c r="I70" s="20">
        <v>50</v>
      </c>
      <c r="J70" s="82">
        <f t="shared" si="5"/>
        <v>0</v>
      </c>
      <c r="K70" s="17" t="s">
        <v>16</v>
      </c>
      <c r="L70" s="18">
        <v>0</v>
      </c>
      <c r="M70" s="23">
        <f t="shared" ref="M70:M134" si="10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+'12'!G71</f>
        <v>12</v>
      </c>
      <c r="D71" s="87">
        <v>0</v>
      </c>
      <c r="E71" s="47">
        <f t="shared" si="0"/>
        <v>12</v>
      </c>
      <c r="F71" s="87">
        <v>0</v>
      </c>
      <c r="G71" s="47">
        <f t="shared" si="4"/>
        <v>12</v>
      </c>
      <c r="H71" s="88"/>
      <c r="I71" s="20">
        <v>60</v>
      </c>
      <c r="J71" s="82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+'12'!G72</f>
        <v>0</v>
      </c>
      <c r="D72" s="87">
        <v>0</v>
      </c>
      <c r="E72" s="47">
        <f t="shared" si="0"/>
        <v>0</v>
      </c>
      <c r="F72" s="87">
        <v>0</v>
      </c>
      <c r="G72" s="47">
        <f t="shared" si="4"/>
        <v>0</v>
      </c>
      <c r="H72" s="88"/>
      <c r="I72" s="22">
        <v>50</v>
      </c>
      <c r="J72" s="82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+'12'!G73</f>
        <v>0</v>
      </c>
      <c r="D73" s="87">
        <v>0</v>
      </c>
      <c r="E73" s="47">
        <f t="shared" si="0"/>
        <v>0</v>
      </c>
      <c r="F73" s="87">
        <v>0</v>
      </c>
      <c r="G73" s="47">
        <f t="shared" si="4"/>
        <v>0</v>
      </c>
      <c r="H73" s="88"/>
      <c r="I73" s="20">
        <v>60</v>
      </c>
      <c r="J73" s="82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+'12'!G74</f>
        <v>9</v>
      </c>
      <c r="D74" s="87">
        <v>0</v>
      </c>
      <c r="E74" s="47">
        <f t="shared" si="0"/>
        <v>9</v>
      </c>
      <c r="F74" s="87">
        <v>0</v>
      </c>
      <c r="G74" s="47">
        <f t="shared" si="4"/>
        <v>4</v>
      </c>
      <c r="H74" s="88">
        <v>5</v>
      </c>
      <c r="I74" s="22">
        <v>120</v>
      </c>
      <c r="J74" s="82">
        <f t="shared" si="5"/>
        <v>600</v>
      </c>
      <c r="K74" s="17" t="s">
        <v>16</v>
      </c>
      <c r="L74" s="18">
        <v>0</v>
      </c>
      <c r="M74" s="23">
        <f t="shared" si="10"/>
        <v>600</v>
      </c>
    </row>
    <row r="75" spans="1:13" ht="25.5" x14ac:dyDescent="0.55000000000000004">
      <c r="A75" s="10">
        <v>71</v>
      </c>
      <c r="B75" s="19" t="s">
        <v>86</v>
      </c>
      <c r="C75" s="79">
        <f>+'12'!G75</f>
        <v>0</v>
      </c>
      <c r="D75" s="87">
        <v>0</v>
      </c>
      <c r="E75" s="47">
        <f t="shared" si="0"/>
        <v>0</v>
      </c>
      <c r="F75" s="87">
        <v>0</v>
      </c>
      <c r="G75" s="47">
        <f t="shared" si="4"/>
        <v>0</v>
      </c>
      <c r="H75" s="88"/>
      <c r="I75" s="22">
        <v>60</v>
      </c>
      <c r="J75" s="82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+'12'!G76</f>
        <v>0</v>
      </c>
      <c r="D76" s="87">
        <v>0</v>
      </c>
      <c r="E76" s="47">
        <f t="shared" si="0"/>
        <v>0</v>
      </c>
      <c r="F76" s="87">
        <v>0</v>
      </c>
      <c r="G76" s="47">
        <f t="shared" si="4"/>
        <v>0</v>
      </c>
      <c r="H76" s="88"/>
      <c r="I76" s="22">
        <v>120</v>
      </c>
      <c r="J76" s="82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272</v>
      </c>
      <c r="C77" s="79">
        <f>+'12'!G77</f>
        <v>2</v>
      </c>
      <c r="D77" s="87">
        <v>0</v>
      </c>
      <c r="E77" s="47">
        <f>C77+D77</f>
        <v>2</v>
      </c>
      <c r="F77" s="87">
        <v>0</v>
      </c>
      <c r="G77" s="47">
        <f>+E77-F77-H77</f>
        <v>0</v>
      </c>
      <c r="H77" s="88">
        <v>2</v>
      </c>
      <c r="I77" s="20">
        <v>50</v>
      </c>
      <c r="J77" s="82">
        <f>+I77*H77</f>
        <v>100</v>
      </c>
      <c r="K77" s="17" t="s">
        <v>16</v>
      </c>
      <c r="L77" s="18">
        <v>0</v>
      </c>
      <c r="M77" s="23">
        <f>SUM(J77-L77)</f>
        <v>100</v>
      </c>
    </row>
    <row r="78" spans="1:13" ht="25.5" x14ac:dyDescent="0.55000000000000004">
      <c r="A78" s="10">
        <v>74</v>
      </c>
      <c r="B78" s="19" t="s">
        <v>277</v>
      </c>
      <c r="C78" s="79">
        <f>+'12'!G78</f>
        <v>1</v>
      </c>
      <c r="D78" s="87">
        <v>0</v>
      </c>
      <c r="E78" s="47">
        <f t="shared" si="0"/>
        <v>1</v>
      </c>
      <c r="F78" s="87">
        <v>0</v>
      </c>
      <c r="G78" s="47">
        <f t="shared" si="4"/>
        <v>0</v>
      </c>
      <c r="H78" s="88">
        <v>1</v>
      </c>
      <c r="I78" s="20">
        <v>50</v>
      </c>
      <c r="J78" s="82">
        <f t="shared" si="5"/>
        <v>50</v>
      </c>
      <c r="K78" s="17" t="s">
        <v>291</v>
      </c>
      <c r="L78" s="18">
        <v>50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278</v>
      </c>
      <c r="C79" s="79">
        <f>+'12'!G79</f>
        <v>0</v>
      </c>
      <c r="D79" s="87">
        <v>0</v>
      </c>
      <c r="E79" s="47">
        <f t="shared" si="0"/>
        <v>0</v>
      </c>
      <c r="F79" s="87">
        <v>0</v>
      </c>
      <c r="G79" s="47">
        <f t="shared" si="4"/>
        <v>0</v>
      </c>
      <c r="H79" s="88"/>
      <c r="I79" s="22">
        <v>120</v>
      </c>
      <c r="J79" s="82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90</v>
      </c>
      <c r="C80" s="79">
        <f>+'12'!G80</f>
        <v>1</v>
      </c>
      <c r="D80" s="87">
        <v>0</v>
      </c>
      <c r="E80" s="47">
        <f t="shared" si="0"/>
        <v>1</v>
      </c>
      <c r="F80" s="87">
        <v>0</v>
      </c>
      <c r="G80" s="47">
        <f t="shared" si="4"/>
        <v>0</v>
      </c>
      <c r="H80" s="88">
        <v>1</v>
      </c>
      <c r="I80" s="22">
        <v>50</v>
      </c>
      <c r="J80" s="82">
        <f t="shared" si="5"/>
        <v>50</v>
      </c>
      <c r="K80" s="17" t="s">
        <v>16</v>
      </c>
      <c r="L80" s="18">
        <v>0</v>
      </c>
      <c r="M80" s="23">
        <f t="shared" si="10"/>
        <v>50</v>
      </c>
    </row>
    <row r="81" spans="1:13" ht="25.5" x14ac:dyDescent="0.55000000000000004">
      <c r="A81" s="10">
        <v>77</v>
      </c>
      <c r="B81" s="19" t="s">
        <v>91</v>
      </c>
      <c r="C81" s="79">
        <f>+'12'!G81</f>
        <v>0</v>
      </c>
      <c r="D81" s="87">
        <v>0</v>
      </c>
      <c r="E81" s="47">
        <f t="shared" si="0"/>
        <v>0</v>
      </c>
      <c r="F81" s="87">
        <v>0</v>
      </c>
      <c r="G81" s="47">
        <f t="shared" si="4"/>
        <v>0</v>
      </c>
      <c r="H81" s="88"/>
      <c r="I81" s="22">
        <v>50</v>
      </c>
      <c r="J81" s="82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92</v>
      </c>
      <c r="C82" s="79">
        <f>+'12'!G82</f>
        <v>2</v>
      </c>
      <c r="D82" s="87">
        <v>0</v>
      </c>
      <c r="E82" s="47">
        <f t="shared" si="0"/>
        <v>2</v>
      </c>
      <c r="F82" s="87">
        <v>0</v>
      </c>
      <c r="G82" s="47">
        <f t="shared" si="4"/>
        <v>2</v>
      </c>
      <c r="H82" s="88"/>
      <c r="I82" s="20">
        <v>55</v>
      </c>
      <c r="J82" s="82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93</v>
      </c>
      <c r="C83" s="79">
        <f>+'12'!G83</f>
        <v>2</v>
      </c>
      <c r="D83" s="87">
        <v>0</v>
      </c>
      <c r="E83" s="47">
        <f t="shared" si="0"/>
        <v>2</v>
      </c>
      <c r="F83" s="87">
        <v>0</v>
      </c>
      <c r="G83" s="47">
        <f t="shared" si="4"/>
        <v>2</v>
      </c>
      <c r="H83" s="88"/>
      <c r="I83" s="22">
        <v>55</v>
      </c>
      <c r="J83" s="82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94</v>
      </c>
      <c r="C84" s="79">
        <f>+'12'!G84</f>
        <v>0</v>
      </c>
      <c r="D84" s="87">
        <v>0</v>
      </c>
      <c r="E84" s="47">
        <f t="shared" si="0"/>
        <v>0</v>
      </c>
      <c r="F84" s="87">
        <v>0</v>
      </c>
      <c r="G84" s="47">
        <f t="shared" si="4"/>
        <v>0</v>
      </c>
      <c r="H84" s="88"/>
      <c r="I84" s="22">
        <v>55</v>
      </c>
      <c r="J84" s="82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95</v>
      </c>
      <c r="C85" s="79">
        <f>+'12'!G85</f>
        <v>0</v>
      </c>
      <c r="D85" s="87">
        <v>0</v>
      </c>
      <c r="E85" s="47">
        <f t="shared" si="0"/>
        <v>0</v>
      </c>
      <c r="F85" s="87">
        <v>0</v>
      </c>
      <c r="G85" s="47">
        <f t="shared" si="4"/>
        <v>0</v>
      </c>
      <c r="H85" s="88"/>
      <c r="I85" s="22">
        <v>55</v>
      </c>
      <c r="J85" s="82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96</v>
      </c>
      <c r="C86" s="79">
        <f>+'12'!G86</f>
        <v>5</v>
      </c>
      <c r="D86" s="87">
        <v>0</v>
      </c>
      <c r="E86" s="47">
        <f t="shared" si="0"/>
        <v>5</v>
      </c>
      <c r="F86" s="87">
        <v>0</v>
      </c>
      <c r="G86" s="47">
        <f t="shared" si="4"/>
        <v>5</v>
      </c>
      <c r="H86" s="88"/>
      <c r="I86" s="22">
        <v>100</v>
      </c>
      <c r="J86" s="82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97</v>
      </c>
      <c r="C87" s="79">
        <f>+'12'!G87</f>
        <v>6</v>
      </c>
      <c r="D87" s="87">
        <v>0</v>
      </c>
      <c r="E87" s="47">
        <f t="shared" si="0"/>
        <v>6</v>
      </c>
      <c r="F87" s="87">
        <v>0</v>
      </c>
      <c r="G87" s="47">
        <f t="shared" si="4"/>
        <v>3</v>
      </c>
      <c r="H87" s="88">
        <v>3</v>
      </c>
      <c r="I87" s="20">
        <v>55</v>
      </c>
      <c r="J87" s="82">
        <f t="shared" si="5"/>
        <v>165</v>
      </c>
      <c r="K87" s="17" t="s">
        <v>16</v>
      </c>
      <c r="L87" s="18">
        <v>0</v>
      </c>
      <c r="M87" s="23">
        <f t="shared" si="10"/>
        <v>165</v>
      </c>
    </row>
    <row r="88" spans="1:13" ht="25.5" x14ac:dyDescent="0.55000000000000004">
      <c r="A88" s="10">
        <v>84</v>
      </c>
      <c r="B88" s="19" t="s">
        <v>98</v>
      </c>
      <c r="C88" s="79">
        <f>+'12'!G88</f>
        <v>2</v>
      </c>
      <c r="D88" s="87">
        <v>0</v>
      </c>
      <c r="E88" s="47">
        <f t="shared" si="0"/>
        <v>2</v>
      </c>
      <c r="F88" s="87">
        <v>0</v>
      </c>
      <c r="G88" s="47">
        <f t="shared" si="4"/>
        <v>2</v>
      </c>
      <c r="H88" s="88"/>
      <c r="I88" s="20">
        <v>60</v>
      </c>
      <c r="J88" s="82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99</v>
      </c>
      <c r="C89" s="79">
        <f>+'12'!G89</f>
        <v>2</v>
      </c>
      <c r="D89" s="87">
        <v>0</v>
      </c>
      <c r="E89" s="47">
        <f t="shared" si="0"/>
        <v>2</v>
      </c>
      <c r="F89" s="87">
        <v>0</v>
      </c>
      <c r="G89" s="47">
        <f t="shared" si="4"/>
        <v>2</v>
      </c>
      <c r="H89" s="88"/>
      <c r="I89" s="20">
        <v>100</v>
      </c>
      <c r="J89" s="82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100</v>
      </c>
      <c r="C90" s="79">
        <f>+'12'!G90</f>
        <v>9</v>
      </c>
      <c r="D90" s="87">
        <v>0</v>
      </c>
      <c r="E90" s="47">
        <f t="shared" si="0"/>
        <v>9</v>
      </c>
      <c r="F90" s="87">
        <v>0</v>
      </c>
      <c r="G90" s="47">
        <f t="shared" si="4"/>
        <v>9</v>
      </c>
      <c r="H90" s="88"/>
      <c r="I90" s="20">
        <v>55</v>
      </c>
      <c r="J90" s="82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101</v>
      </c>
      <c r="C91" s="79">
        <f>+'12'!G91</f>
        <v>0</v>
      </c>
      <c r="D91" s="87">
        <v>0</v>
      </c>
      <c r="E91" s="47">
        <f t="shared" si="0"/>
        <v>0</v>
      </c>
      <c r="F91" s="87">
        <v>0</v>
      </c>
      <c r="G91" s="47">
        <f t="shared" si="4"/>
        <v>0</v>
      </c>
      <c r="H91" s="88"/>
      <c r="I91" s="20">
        <v>50</v>
      </c>
      <c r="J91" s="82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102</v>
      </c>
      <c r="C92" s="79">
        <f>+'12'!G92</f>
        <v>0</v>
      </c>
      <c r="D92" s="87">
        <v>0</v>
      </c>
      <c r="E92" s="47">
        <f t="shared" si="0"/>
        <v>0</v>
      </c>
      <c r="F92" s="87">
        <v>0</v>
      </c>
      <c r="G92" s="47">
        <f t="shared" si="4"/>
        <v>0</v>
      </c>
      <c r="H92" s="88"/>
      <c r="I92" s="22">
        <v>50</v>
      </c>
      <c r="J92" s="82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248</v>
      </c>
      <c r="C93" s="79">
        <f>+'12'!G93</f>
        <v>0</v>
      </c>
      <c r="D93" s="87">
        <v>0</v>
      </c>
      <c r="E93" s="47">
        <f t="shared" si="0"/>
        <v>0</v>
      </c>
      <c r="F93" s="87">
        <v>0</v>
      </c>
      <c r="G93" s="47">
        <f t="shared" si="4"/>
        <v>0</v>
      </c>
      <c r="H93" s="88"/>
      <c r="I93" s="22">
        <v>120</v>
      </c>
      <c r="J93" s="82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104</v>
      </c>
      <c r="C94" s="79">
        <f>+'12'!G94</f>
        <v>0</v>
      </c>
      <c r="D94" s="87">
        <v>0</v>
      </c>
      <c r="E94" s="47">
        <f t="shared" si="0"/>
        <v>0</v>
      </c>
      <c r="F94" s="87">
        <v>0</v>
      </c>
      <c r="G94" s="47">
        <f t="shared" si="4"/>
        <v>0</v>
      </c>
      <c r="H94" s="88"/>
      <c r="I94" s="20">
        <v>250</v>
      </c>
      <c r="J94" s="82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105</v>
      </c>
      <c r="C95" s="79">
        <f>+'12'!G95</f>
        <v>0</v>
      </c>
      <c r="D95" s="87">
        <v>0</v>
      </c>
      <c r="E95" s="47">
        <f t="shared" si="0"/>
        <v>0</v>
      </c>
      <c r="F95" s="87">
        <v>0</v>
      </c>
      <c r="G95" s="47">
        <f t="shared" si="4"/>
        <v>0</v>
      </c>
      <c r="H95" s="88"/>
      <c r="I95" s="20">
        <v>120</v>
      </c>
      <c r="J95" s="82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106</v>
      </c>
      <c r="C96" s="79">
        <f>+'12'!G96</f>
        <v>0</v>
      </c>
      <c r="D96" s="87">
        <v>0</v>
      </c>
      <c r="E96" s="47">
        <f t="shared" si="0"/>
        <v>0</v>
      </c>
      <c r="F96" s="87">
        <v>0</v>
      </c>
      <c r="G96" s="47">
        <f t="shared" si="4"/>
        <v>0</v>
      </c>
      <c r="H96" s="88"/>
      <c r="I96" s="20">
        <v>120</v>
      </c>
      <c r="J96" s="82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107</v>
      </c>
      <c r="C97" s="79">
        <f>+'12'!G97</f>
        <v>0</v>
      </c>
      <c r="D97" s="87">
        <v>0</v>
      </c>
      <c r="E97" s="47">
        <f t="shared" si="0"/>
        <v>0</v>
      </c>
      <c r="F97" s="87">
        <v>0</v>
      </c>
      <c r="G97" s="47">
        <f t="shared" si="4"/>
        <v>0</v>
      </c>
      <c r="H97" s="88"/>
      <c r="I97" s="20">
        <v>120</v>
      </c>
      <c r="J97" s="82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103</v>
      </c>
      <c r="C98" s="79">
        <f>+'12'!G98</f>
        <v>0</v>
      </c>
      <c r="D98" s="87">
        <v>0</v>
      </c>
      <c r="E98" s="47">
        <f t="shared" si="0"/>
        <v>0</v>
      </c>
      <c r="F98" s="87">
        <v>0</v>
      </c>
      <c r="G98" s="47">
        <f t="shared" si="4"/>
        <v>0</v>
      </c>
      <c r="H98" s="88"/>
      <c r="I98" s="20">
        <v>120</v>
      </c>
      <c r="J98" s="82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109</v>
      </c>
      <c r="C99" s="79">
        <f>+'12'!G99</f>
        <v>0</v>
      </c>
      <c r="D99" s="87">
        <v>0</v>
      </c>
      <c r="E99" s="47">
        <f t="shared" si="0"/>
        <v>0</v>
      </c>
      <c r="F99" s="87">
        <v>0</v>
      </c>
      <c r="G99" s="47">
        <f t="shared" si="4"/>
        <v>0</v>
      </c>
      <c r="H99" s="88"/>
      <c r="I99" s="20">
        <v>50</v>
      </c>
      <c r="J99" s="82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110</v>
      </c>
      <c r="C100" s="79">
        <f>+'12'!G100</f>
        <v>0</v>
      </c>
      <c r="D100" s="87">
        <v>0</v>
      </c>
      <c r="E100" s="47">
        <f t="shared" si="0"/>
        <v>0</v>
      </c>
      <c r="F100" s="87">
        <v>0</v>
      </c>
      <c r="G100" s="47">
        <f t="shared" si="4"/>
        <v>0</v>
      </c>
      <c r="H100" s="88"/>
      <c r="I100" s="20">
        <v>50</v>
      </c>
      <c r="J100" s="82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111</v>
      </c>
      <c r="C101" s="79">
        <f>+'12'!G101</f>
        <v>0</v>
      </c>
      <c r="D101" s="87">
        <v>0</v>
      </c>
      <c r="E101" s="47">
        <f t="shared" si="0"/>
        <v>0</v>
      </c>
      <c r="F101" s="87">
        <v>0</v>
      </c>
      <c r="G101" s="47">
        <f t="shared" ref="G101:G164" si="11">+E101-F101-H101</f>
        <v>0</v>
      </c>
      <c r="H101" s="88"/>
      <c r="I101" s="20">
        <v>60</v>
      </c>
      <c r="J101" s="82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112</v>
      </c>
      <c r="C102" s="79">
        <f>+'12'!G102</f>
        <v>0</v>
      </c>
      <c r="D102" s="87">
        <v>0</v>
      </c>
      <c r="E102" s="47">
        <f t="shared" si="0"/>
        <v>0</v>
      </c>
      <c r="F102" s="87">
        <v>0</v>
      </c>
      <c r="G102" s="47">
        <f t="shared" si="11"/>
        <v>0</v>
      </c>
      <c r="H102" s="88"/>
      <c r="I102" s="20">
        <v>55</v>
      </c>
      <c r="J102" s="82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113</v>
      </c>
      <c r="C103" s="79">
        <f>+'12'!G103</f>
        <v>0</v>
      </c>
      <c r="D103" s="87">
        <v>0</v>
      </c>
      <c r="E103" s="47">
        <f t="shared" si="0"/>
        <v>0</v>
      </c>
      <c r="F103" s="87">
        <v>0</v>
      </c>
      <c r="G103" s="47">
        <f t="shared" si="11"/>
        <v>0</v>
      </c>
      <c r="H103" s="88"/>
      <c r="I103" s="20">
        <v>50</v>
      </c>
      <c r="J103" s="82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114</v>
      </c>
      <c r="C104" s="79">
        <f>+'12'!G104</f>
        <v>0</v>
      </c>
      <c r="D104" s="87">
        <v>0</v>
      </c>
      <c r="E104" s="47">
        <f t="shared" si="0"/>
        <v>0</v>
      </c>
      <c r="F104" s="87">
        <v>0</v>
      </c>
      <c r="G104" s="47">
        <f t="shared" si="11"/>
        <v>0</v>
      </c>
      <c r="H104" s="88"/>
      <c r="I104" s="20">
        <v>100</v>
      </c>
      <c r="J104" s="82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115</v>
      </c>
      <c r="C105" s="79">
        <f>+'12'!G105</f>
        <v>0</v>
      </c>
      <c r="D105" s="87">
        <v>0</v>
      </c>
      <c r="E105" s="47">
        <f t="shared" si="0"/>
        <v>0</v>
      </c>
      <c r="F105" s="87">
        <v>0</v>
      </c>
      <c r="G105" s="47">
        <f t="shared" si="11"/>
        <v>0</v>
      </c>
      <c r="H105" s="88"/>
      <c r="I105" s="20">
        <v>100</v>
      </c>
      <c r="J105" s="82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116</v>
      </c>
      <c r="C106" s="79">
        <f>+'12'!G106</f>
        <v>0</v>
      </c>
      <c r="D106" s="87">
        <v>0</v>
      </c>
      <c r="E106" s="47">
        <f t="shared" si="0"/>
        <v>0</v>
      </c>
      <c r="F106" s="87">
        <v>0</v>
      </c>
      <c r="G106" s="47">
        <f t="shared" si="11"/>
        <v>0</v>
      </c>
      <c r="H106" s="88"/>
      <c r="I106" s="22">
        <v>30</v>
      </c>
      <c r="J106" s="82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117</v>
      </c>
      <c r="C107" s="79">
        <f>+'12'!G107</f>
        <v>0</v>
      </c>
      <c r="D107" s="87">
        <v>0</v>
      </c>
      <c r="E107" s="47">
        <f t="shared" si="0"/>
        <v>0</v>
      </c>
      <c r="F107" s="87">
        <v>0</v>
      </c>
      <c r="G107" s="47">
        <f t="shared" si="11"/>
        <v>0</v>
      </c>
      <c r="H107" s="88"/>
      <c r="I107" s="22">
        <v>20</v>
      </c>
      <c r="J107" s="82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118</v>
      </c>
      <c r="C108" s="79">
        <f>+'12'!G108</f>
        <v>0</v>
      </c>
      <c r="D108" s="87">
        <v>0</v>
      </c>
      <c r="E108" s="47">
        <f t="shared" si="0"/>
        <v>0</v>
      </c>
      <c r="F108" s="87">
        <v>0</v>
      </c>
      <c r="G108" s="47">
        <f t="shared" si="11"/>
        <v>0</v>
      </c>
      <c r="H108" s="88"/>
      <c r="I108" s="20">
        <v>100</v>
      </c>
      <c r="J108" s="82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120</v>
      </c>
      <c r="C109" s="79">
        <f>+'12'!G109</f>
        <v>0</v>
      </c>
      <c r="D109" s="87">
        <v>0</v>
      </c>
      <c r="E109" s="47">
        <f t="shared" si="0"/>
        <v>0</v>
      </c>
      <c r="F109" s="87">
        <v>0</v>
      </c>
      <c r="G109" s="47">
        <f t="shared" si="11"/>
        <v>0</v>
      </c>
      <c r="H109" s="88"/>
      <c r="I109" s="20">
        <v>80</v>
      </c>
      <c r="J109" s="82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121</v>
      </c>
      <c r="C110" s="79">
        <f>+'12'!G110</f>
        <v>0</v>
      </c>
      <c r="D110" s="87">
        <v>0</v>
      </c>
      <c r="E110" s="47">
        <f t="shared" si="0"/>
        <v>0</v>
      </c>
      <c r="F110" s="87">
        <v>0</v>
      </c>
      <c r="G110" s="47">
        <f t="shared" si="11"/>
        <v>0</v>
      </c>
      <c r="H110" s="88"/>
      <c r="I110" s="20">
        <v>60</v>
      </c>
      <c r="J110" s="82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122</v>
      </c>
      <c r="C111" s="79">
        <f>+'12'!G111</f>
        <v>0</v>
      </c>
      <c r="D111" s="87">
        <v>0</v>
      </c>
      <c r="E111" s="47">
        <f t="shared" si="0"/>
        <v>0</v>
      </c>
      <c r="F111" s="87">
        <v>0</v>
      </c>
      <c r="G111" s="47">
        <f t="shared" si="11"/>
        <v>0</v>
      </c>
      <c r="H111" s="88"/>
      <c r="I111" s="20">
        <v>35</v>
      </c>
      <c r="J111" s="82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123</v>
      </c>
      <c r="C112" s="79">
        <f>+'12'!G112</f>
        <v>0</v>
      </c>
      <c r="D112" s="87">
        <v>0</v>
      </c>
      <c r="E112" s="47">
        <f t="shared" si="0"/>
        <v>0</v>
      </c>
      <c r="F112" s="87">
        <v>0</v>
      </c>
      <c r="G112" s="47">
        <f t="shared" si="11"/>
        <v>0</v>
      </c>
      <c r="H112" s="88"/>
      <c r="I112" s="20">
        <v>35</v>
      </c>
      <c r="J112" s="82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124</v>
      </c>
      <c r="C113" s="79">
        <f>+'12'!G113</f>
        <v>0</v>
      </c>
      <c r="D113" s="87">
        <v>0</v>
      </c>
      <c r="E113" s="47">
        <f t="shared" si="0"/>
        <v>0</v>
      </c>
      <c r="F113" s="87">
        <v>0</v>
      </c>
      <c r="G113" s="47">
        <f t="shared" si="11"/>
        <v>0</v>
      </c>
      <c r="H113" s="88"/>
      <c r="I113" s="20">
        <v>35</v>
      </c>
      <c r="J113" s="82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125</v>
      </c>
      <c r="C114" s="79">
        <f>+'12'!G114</f>
        <v>0</v>
      </c>
      <c r="D114" s="87">
        <v>0</v>
      </c>
      <c r="E114" s="47">
        <f t="shared" si="0"/>
        <v>0</v>
      </c>
      <c r="F114" s="87">
        <v>0</v>
      </c>
      <c r="G114" s="47">
        <f t="shared" si="11"/>
        <v>0</v>
      </c>
      <c r="H114" s="88"/>
      <c r="I114" s="20">
        <v>35</v>
      </c>
      <c r="J114" s="82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126</v>
      </c>
      <c r="C115" s="79">
        <f>+'12'!G115</f>
        <v>0</v>
      </c>
      <c r="D115" s="87">
        <v>0</v>
      </c>
      <c r="E115" s="47">
        <f t="shared" si="0"/>
        <v>0</v>
      </c>
      <c r="F115" s="87">
        <v>0</v>
      </c>
      <c r="G115" s="47">
        <f t="shared" si="11"/>
        <v>0</v>
      </c>
      <c r="H115" s="88"/>
      <c r="I115" s="20">
        <v>35</v>
      </c>
      <c r="J115" s="82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127</v>
      </c>
      <c r="C116" s="79">
        <f>+'12'!G116</f>
        <v>0</v>
      </c>
      <c r="D116" s="87">
        <v>0</v>
      </c>
      <c r="E116" s="47">
        <f t="shared" si="0"/>
        <v>0</v>
      </c>
      <c r="F116" s="87">
        <v>0</v>
      </c>
      <c r="G116" s="47">
        <f t="shared" si="11"/>
        <v>0</v>
      </c>
      <c r="H116" s="88"/>
      <c r="I116" s="20">
        <v>30</v>
      </c>
      <c r="J116" s="82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128</v>
      </c>
      <c r="C117" s="79">
        <f>+'12'!G117</f>
        <v>0</v>
      </c>
      <c r="D117" s="87">
        <v>0</v>
      </c>
      <c r="E117" s="47">
        <f t="shared" si="0"/>
        <v>0</v>
      </c>
      <c r="F117" s="87">
        <v>0</v>
      </c>
      <c r="G117" s="47">
        <f t="shared" si="11"/>
        <v>0</v>
      </c>
      <c r="H117" s="88"/>
      <c r="I117" s="20">
        <v>30</v>
      </c>
      <c r="J117" s="82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129</v>
      </c>
      <c r="C118" s="79">
        <f>+'12'!G118</f>
        <v>0</v>
      </c>
      <c r="D118" s="87">
        <v>0</v>
      </c>
      <c r="E118" s="47">
        <f t="shared" si="0"/>
        <v>0</v>
      </c>
      <c r="F118" s="87">
        <v>0</v>
      </c>
      <c r="G118" s="47">
        <f t="shared" si="11"/>
        <v>0</v>
      </c>
      <c r="H118" s="88"/>
      <c r="I118" s="20">
        <v>30</v>
      </c>
      <c r="J118" s="82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130</v>
      </c>
      <c r="C119" s="79">
        <f>+'12'!G119</f>
        <v>0</v>
      </c>
      <c r="D119" s="87">
        <v>0</v>
      </c>
      <c r="E119" s="47">
        <f t="shared" si="0"/>
        <v>0</v>
      </c>
      <c r="F119" s="87">
        <v>0</v>
      </c>
      <c r="G119" s="47">
        <f t="shared" si="11"/>
        <v>0</v>
      </c>
      <c r="H119" s="88"/>
      <c r="I119" s="20">
        <v>30</v>
      </c>
      <c r="J119" s="82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131</v>
      </c>
      <c r="C120" s="79">
        <f>+'12'!G120</f>
        <v>0</v>
      </c>
      <c r="D120" s="87">
        <v>0</v>
      </c>
      <c r="E120" s="47">
        <f t="shared" si="0"/>
        <v>0</v>
      </c>
      <c r="F120" s="87">
        <v>0</v>
      </c>
      <c r="G120" s="47">
        <f t="shared" si="11"/>
        <v>0</v>
      </c>
      <c r="H120" s="88"/>
      <c r="I120" s="20">
        <v>30</v>
      </c>
      <c r="J120" s="82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132</v>
      </c>
      <c r="C121" s="79">
        <f>+'12'!G121</f>
        <v>0</v>
      </c>
      <c r="D121" s="87">
        <v>0</v>
      </c>
      <c r="E121" s="47">
        <f t="shared" si="0"/>
        <v>0</v>
      </c>
      <c r="F121" s="87">
        <v>0</v>
      </c>
      <c r="G121" s="47">
        <f t="shared" si="11"/>
        <v>0</v>
      </c>
      <c r="H121" s="88"/>
      <c r="I121" s="20">
        <v>30</v>
      </c>
      <c r="J121" s="82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133</v>
      </c>
      <c r="C122" s="79">
        <f>+'12'!G122</f>
        <v>0</v>
      </c>
      <c r="D122" s="87">
        <v>0</v>
      </c>
      <c r="E122" s="47">
        <f t="shared" si="0"/>
        <v>0</v>
      </c>
      <c r="F122" s="87">
        <v>0</v>
      </c>
      <c r="G122" s="47">
        <f t="shared" si="11"/>
        <v>0</v>
      </c>
      <c r="H122" s="88"/>
      <c r="I122" s="20">
        <v>40</v>
      </c>
      <c r="J122" s="82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134</v>
      </c>
      <c r="C123" s="79">
        <f>+'12'!G123</f>
        <v>0</v>
      </c>
      <c r="D123" s="87">
        <v>0</v>
      </c>
      <c r="E123" s="47">
        <f t="shared" si="0"/>
        <v>0</v>
      </c>
      <c r="F123" s="87">
        <v>0</v>
      </c>
      <c r="G123" s="47">
        <f t="shared" si="11"/>
        <v>0</v>
      </c>
      <c r="H123" s="88"/>
      <c r="I123" s="20">
        <v>35</v>
      </c>
      <c r="J123" s="82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135</v>
      </c>
      <c r="C124" s="79">
        <f>+'12'!G124</f>
        <v>0</v>
      </c>
      <c r="D124" s="87">
        <v>0</v>
      </c>
      <c r="E124" s="47">
        <f t="shared" si="0"/>
        <v>0</v>
      </c>
      <c r="F124" s="87">
        <v>0</v>
      </c>
      <c r="G124" s="47">
        <f t="shared" si="11"/>
        <v>0</v>
      </c>
      <c r="H124" s="88"/>
      <c r="I124" s="20">
        <v>40</v>
      </c>
      <c r="J124" s="82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136</v>
      </c>
      <c r="C125" s="79">
        <f>+'12'!G125</f>
        <v>0</v>
      </c>
      <c r="D125" s="87">
        <v>0</v>
      </c>
      <c r="E125" s="47">
        <f t="shared" si="0"/>
        <v>0</v>
      </c>
      <c r="F125" s="87">
        <v>0</v>
      </c>
      <c r="G125" s="47">
        <f t="shared" si="11"/>
        <v>0</v>
      </c>
      <c r="H125" s="88"/>
      <c r="I125" s="20">
        <v>40</v>
      </c>
      <c r="J125" s="82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137</v>
      </c>
      <c r="C126" s="79">
        <f>+'12'!G126</f>
        <v>0</v>
      </c>
      <c r="D126" s="87">
        <v>0</v>
      </c>
      <c r="E126" s="47">
        <f t="shared" ref="E126:E189" si="13">C126+D126</f>
        <v>0</v>
      </c>
      <c r="F126" s="87">
        <v>0</v>
      </c>
      <c r="G126" s="47">
        <f t="shared" si="11"/>
        <v>0</v>
      </c>
      <c r="H126" s="88"/>
      <c r="I126" s="20">
        <v>30</v>
      </c>
      <c r="J126" s="82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138</v>
      </c>
      <c r="C127" s="79">
        <f>+'12'!G127</f>
        <v>0</v>
      </c>
      <c r="D127" s="87">
        <v>0</v>
      </c>
      <c r="E127" s="47">
        <f t="shared" si="13"/>
        <v>0</v>
      </c>
      <c r="F127" s="87">
        <v>0</v>
      </c>
      <c r="G127" s="47">
        <f t="shared" si="11"/>
        <v>0</v>
      </c>
      <c r="H127" s="88"/>
      <c r="I127" s="20">
        <v>40</v>
      </c>
      <c r="J127" s="82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139</v>
      </c>
      <c r="C128" s="79">
        <f>+'12'!G128</f>
        <v>77</v>
      </c>
      <c r="D128" s="87">
        <v>0</v>
      </c>
      <c r="E128" s="47">
        <f t="shared" si="13"/>
        <v>77</v>
      </c>
      <c r="F128" s="87">
        <v>0</v>
      </c>
      <c r="G128" s="47">
        <f t="shared" si="11"/>
        <v>76</v>
      </c>
      <c r="H128" s="88">
        <v>1</v>
      </c>
      <c r="I128" s="20">
        <v>10</v>
      </c>
      <c r="J128" s="82">
        <f t="shared" si="12"/>
        <v>10</v>
      </c>
      <c r="K128" s="17" t="s">
        <v>16</v>
      </c>
      <c r="L128" s="18">
        <v>0</v>
      </c>
      <c r="M128" s="23">
        <f t="shared" si="10"/>
        <v>10</v>
      </c>
    </row>
    <row r="129" spans="1:13" ht="25.5" x14ac:dyDescent="0.55000000000000004">
      <c r="A129" s="10">
        <v>125</v>
      </c>
      <c r="B129" s="19" t="s">
        <v>140</v>
      </c>
      <c r="C129" s="79">
        <f>+'12'!G129</f>
        <v>0</v>
      </c>
      <c r="D129" s="87">
        <v>0</v>
      </c>
      <c r="E129" s="47">
        <f t="shared" si="13"/>
        <v>0</v>
      </c>
      <c r="F129" s="87">
        <v>0</v>
      </c>
      <c r="G129" s="47">
        <f t="shared" si="11"/>
        <v>0</v>
      </c>
      <c r="H129" s="88"/>
      <c r="I129" s="20">
        <v>35</v>
      </c>
      <c r="J129" s="82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141</v>
      </c>
      <c r="C130" s="79">
        <f>+'12'!G130</f>
        <v>0</v>
      </c>
      <c r="D130" s="87">
        <v>0</v>
      </c>
      <c r="E130" s="47">
        <f t="shared" si="13"/>
        <v>0</v>
      </c>
      <c r="F130" s="87">
        <v>0</v>
      </c>
      <c r="G130" s="47">
        <f t="shared" si="11"/>
        <v>0</v>
      </c>
      <c r="H130" s="88"/>
      <c r="I130" s="20">
        <v>40</v>
      </c>
      <c r="J130" s="82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142</v>
      </c>
      <c r="C131" s="79">
        <f>+'12'!G131</f>
        <v>0</v>
      </c>
      <c r="D131" s="87">
        <v>0</v>
      </c>
      <c r="E131" s="47">
        <f t="shared" si="13"/>
        <v>0</v>
      </c>
      <c r="F131" s="87">
        <v>0</v>
      </c>
      <c r="G131" s="47">
        <f t="shared" si="11"/>
        <v>0</v>
      </c>
      <c r="H131" s="88"/>
      <c r="I131" s="20">
        <v>50</v>
      </c>
      <c r="J131" s="82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143</v>
      </c>
      <c r="C132" s="79">
        <f>+'12'!G132</f>
        <v>0</v>
      </c>
      <c r="D132" s="87">
        <v>0</v>
      </c>
      <c r="E132" s="47">
        <f t="shared" si="13"/>
        <v>0</v>
      </c>
      <c r="F132" s="87">
        <v>0</v>
      </c>
      <c r="G132" s="47">
        <f t="shared" si="11"/>
        <v>0</v>
      </c>
      <c r="H132" s="88"/>
      <c r="I132" s="20">
        <v>55</v>
      </c>
      <c r="J132" s="82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144</v>
      </c>
      <c r="C133" s="79">
        <f>+'12'!G133</f>
        <v>0</v>
      </c>
      <c r="D133" s="87">
        <v>0</v>
      </c>
      <c r="E133" s="47">
        <f t="shared" si="13"/>
        <v>0</v>
      </c>
      <c r="F133" s="87">
        <v>0</v>
      </c>
      <c r="G133" s="47">
        <f t="shared" si="11"/>
        <v>0</v>
      </c>
      <c r="H133" s="88"/>
      <c r="I133" s="20">
        <v>55</v>
      </c>
      <c r="J133" s="82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145</v>
      </c>
      <c r="C134" s="79">
        <f>+'12'!G134</f>
        <v>0</v>
      </c>
      <c r="D134" s="87">
        <v>0</v>
      </c>
      <c r="E134" s="47">
        <f t="shared" si="13"/>
        <v>0</v>
      </c>
      <c r="F134" s="87">
        <v>0</v>
      </c>
      <c r="G134" s="47">
        <f t="shared" si="11"/>
        <v>0</v>
      </c>
      <c r="H134" s="88"/>
      <c r="I134" s="20">
        <v>45</v>
      </c>
      <c r="J134" s="82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5.5" x14ac:dyDescent="0.55000000000000004">
      <c r="A135" s="10">
        <v>131</v>
      </c>
      <c r="B135" s="19" t="s">
        <v>146</v>
      </c>
      <c r="C135" s="79">
        <f>+'12'!G135</f>
        <v>0</v>
      </c>
      <c r="D135" s="87">
        <v>0</v>
      </c>
      <c r="E135" s="47">
        <f t="shared" si="13"/>
        <v>0</v>
      </c>
      <c r="F135" s="87">
        <v>0</v>
      </c>
      <c r="G135" s="47">
        <f t="shared" si="11"/>
        <v>0</v>
      </c>
      <c r="H135" s="88"/>
      <c r="I135" s="20">
        <v>45</v>
      </c>
      <c r="J135" s="82">
        <f t="shared" si="12"/>
        <v>0</v>
      </c>
      <c r="K135" s="17" t="s">
        <v>16</v>
      </c>
      <c r="L135" s="18">
        <v>0</v>
      </c>
      <c r="M135" s="23">
        <f t="shared" ref="M135:M198" si="14">SUM(J135-L135)</f>
        <v>0</v>
      </c>
    </row>
    <row r="136" spans="1:13" ht="25.5" x14ac:dyDescent="0.55000000000000004">
      <c r="A136" s="10">
        <v>132</v>
      </c>
      <c r="B136" s="19" t="s">
        <v>147</v>
      </c>
      <c r="C136" s="79">
        <f>+'12'!G136</f>
        <v>0</v>
      </c>
      <c r="D136" s="87">
        <v>0</v>
      </c>
      <c r="E136" s="47">
        <f t="shared" si="13"/>
        <v>0</v>
      </c>
      <c r="F136" s="87">
        <v>0</v>
      </c>
      <c r="G136" s="47">
        <f t="shared" si="11"/>
        <v>0</v>
      </c>
      <c r="H136" s="88"/>
      <c r="I136" s="20">
        <v>55</v>
      </c>
      <c r="J136" s="82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148</v>
      </c>
      <c r="C137" s="79">
        <f>+'12'!G137</f>
        <v>0</v>
      </c>
      <c r="D137" s="87">
        <v>0</v>
      </c>
      <c r="E137" s="47">
        <f t="shared" si="13"/>
        <v>0</v>
      </c>
      <c r="F137" s="87">
        <v>0</v>
      </c>
      <c r="G137" s="47">
        <f t="shared" si="11"/>
        <v>0</v>
      </c>
      <c r="H137" s="88"/>
      <c r="I137" s="20">
        <v>45</v>
      </c>
      <c r="J137" s="82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149</v>
      </c>
      <c r="C138" s="79">
        <f>+'12'!G138</f>
        <v>0</v>
      </c>
      <c r="D138" s="87">
        <v>0</v>
      </c>
      <c r="E138" s="47">
        <f t="shared" si="13"/>
        <v>0</v>
      </c>
      <c r="F138" s="87">
        <v>0</v>
      </c>
      <c r="G138" s="47">
        <f t="shared" si="11"/>
        <v>0</v>
      </c>
      <c r="H138" s="88"/>
      <c r="I138" s="20">
        <v>45</v>
      </c>
      <c r="J138" s="82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150</v>
      </c>
      <c r="C139" s="79">
        <f>+'12'!G139</f>
        <v>0</v>
      </c>
      <c r="D139" s="87">
        <v>0</v>
      </c>
      <c r="E139" s="47">
        <f t="shared" si="13"/>
        <v>0</v>
      </c>
      <c r="F139" s="87">
        <v>0</v>
      </c>
      <c r="G139" s="47">
        <f t="shared" si="11"/>
        <v>0</v>
      </c>
      <c r="H139" s="88"/>
      <c r="I139" s="20">
        <v>45</v>
      </c>
      <c r="J139" s="82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151</v>
      </c>
      <c r="C140" s="79">
        <f>+'12'!G140</f>
        <v>0</v>
      </c>
      <c r="D140" s="87">
        <v>0</v>
      </c>
      <c r="E140" s="47">
        <f t="shared" si="13"/>
        <v>0</v>
      </c>
      <c r="F140" s="87">
        <v>0</v>
      </c>
      <c r="G140" s="47">
        <f t="shared" si="11"/>
        <v>0</v>
      </c>
      <c r="H140" s="88"/>
      <c r="I140" s="20">
        <v>45</v>
      </c>
      <c r="J140" s="82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152</v>
      </c>
      <c r="C141" s="79">
        <f>+'12'!G141</f>
        <v>0</v>
      </c>
      <c r="D141" s="87">
        <v>0</v>
      </c>
      <c r="E141" s="47">
        <f t="shared" si="13"/>
        <v>0</v>
      </c>
      <c r="F141" s="87">
        <v>0</v>
      </c>
      <c r="G141" s="47">
        <f t="shared" si="11"/>
        <v>0</v>
      </c>
      <c r="H141" s="88"/>
      <c r="I141" s="20">
        <v>45</v>
      </c>
      <c r="J141" s="82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153</v>
      </c>
      <c r="C142" s="79">
        <f>+'12'!G142</f>
        <v>0</v>
      </c>
      <c r="D142" s="87">
        <v>0</v>
      </c>
      <c r="E142" s="47">
        <f t="shared" si="13"/>
        <v>0</v>
      </c>
      <c r="F142" s="87">
        <v>0</v>
      </c>
      <c r="G142" s="47">
        <f t="shared" si="11"/>
        <v>0</v>
      </c>
      <c r="H142" s="88"/>
      <c r="I142" s="20">
        <v>45</v>
      </c>
      <c r="J142" s="82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154</v>
      </c>
      <c r="C143" s="79">
        <f>+'12'!G143</f>
        <v>0</v>
      </c>
      <c r="D143" s="87">
        <v>0</v>
      </c>
      <c r="E143" s="47">
        <f t="shared" si="13"/>
        <v>0</v>
      </c>
      <c r="F143" s="87">
        <v>0</v>
      </c>
      <c r="G143" s="47">
        <f t="shared" si="11"/>
        <v>0</v>
      </c>
      <c r="H143" s="88"/>
      <c r="I143" s="20">
        <v>120</v>
      </c>
      <c r="J143" s="82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155</v>
      </c>
      <c r="C144" s="79">
        <f>+'12'!G144</f>
        <v>0</v>
      </c>
      <c r="D144" s="87">
        <v>0</v>
      </c>
      <c r="E144" s="47">
        <f t="shared" si="13"/>
        <v>0</v>
      </c>
      <c r="F144" s="87">
        <v>0</v>
      </c>
      <c r="G144" s="47">
        <f t="shared" si="11"/>
        <v>0</v>
      </c>
      <c r="H144" s="88"/>
      <c r="I144" s="20">
        <v>120</v>
      </c>
      <c r="J144" s="82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156</v>
      </c>
      <c r="C145" s="79">
        <f>+'12'!G145</f>
        <v>0</v>
      </c>
      <c r="D145" s="87">
        <v>0</v>
      </c>
      <c r="E145" s="47">
        <f t="shared" si="13"/>
        <v>0</v>
      </c>
      <c r="F145" s="87">
        <v>0</v>
      </c>
      <c r="G145" s="47">
        <f t="shared" si="11"/>
        <v>0</v>
      </c>
      <c r="H145" s="88"/>
      <c r="I145" s="20">
        <v>120</v>
      </c>
      <c r="J145" s="82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157</v>
      </c>
      <c r="C146" s="79">
        <f>+'12'!G146</f>
        <v>0</v>
      </c>
      <c r="D146" s="87">
        <v>0</v>
      </c>
      <c r="E146" s="47">
        <f t="shared" si="13"/>
        <v>0</v>
      </c>
      <c r="F146" s="87">
        <v>0</v>
      </c>
      <c r="G146" s="47">
        <f t="shared" si="11"/>
        <v>0</v>
      </c>
      <c r="H146" s="88"/>
      <c r="I146" s="20">
        <v>120</v>
      </c>
      <c r="J146" s="82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158</v>
      </c>
      <c r="C147" s="79">
        <f>+'12'!G147</f>
        <v>0</v>
      </c>
      <c r="D147" s="87">
        <v>0</v>
      </c>
      <c r="E147" s="47">
        <f t="shared" si="13"/>
        <v>0</v>
      </c>
      <c r="F147" s="87">
        <v>0</v>
      </c>
      <c r="G147" s="47">
        <f t="shared" si="11"/>
        <v>0</v>
      </c>
      <c r="H147" s="88"/>
      <c r="I147" s="20">
        <v>185</v>
      </c>
      <c r="J147" s="82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159</v>
      </c>
      <c r="C148" s="79">
        <f>+'12'!G148</f>
        <v>0</v>
      </c>
      <c r="D148" s="87">
        <v>0</v>
      </c>
      <c r="E148" s="47">
        <f t="shared" si="13"/>
        <v>0</v>
      </c>
      <c r="F148" s="87">
        <v>0</v>
      </c>
      <c r="G148" s="47">
        <f t="shared" si="11"/>
        <v>0</v>
      </c>
      <c r="H148" s="88"/>
      <c r="I148" s="20">
        <v>185</v>
      </c>
      <c r="J148" s="82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160</v>
      </c>
      <c r="C149" s="79">
        <f>+'12'!G149</f>
        <v>0</v>
      </c>
      <c r="D149" s="87">
        <v>0</v>
      </c>
      <c r="E149" s="47">
        <f t="shared" si="13"/>
        <v>0</v>
      </c>
      <c r="F149" s="87">
        <v>0</v>
      </c>
      <c r="G149" s="47">
        <f t="shared" si="11"/>
        <v>0</v>
      </c>
      <c r="H149" s="88"/>
      <c r="I149" s="20">
        <v>185</v>
      </c>
      <c r="J149" s="82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161</v>
      </c>
      <c r="C150" s="79">
        <f>+'12'!G150</f>
        <v>0</v>
      </c>
      <c r="D150" s="87">
        <v>0</v>
      </c>
      <c r="E150" s="47">
        <f t="shared" si="13"/>
        <v>0</v>
      </c>
      <c r="F150" s="87">
        <v>0</v>
      </c>
      <c r="G150" s="47">
        <f t="shared" si="11"/>
        <v>0</v>
      </c>
      <c r="H150" s="88"/>
      <c r="I150" s="20">
        <v>185</v>
      </c>
      <c r="J150" s="82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5.5" x14ac:dyDescent="0.55000000000000004">
      <c r="A151" s="10">
        <v>147</v>
      </c>
      <c r="B151" s="19" t="s">
        <v>279</v>
      </c>
      <c r="C151" s="79">
        <f>+'12'!G151</f>
        <v>0</v>
      </c>
      <c r="D151" s="87">
        <v>0</v>
      </c>
      <c r="E151" s="47">
        <f t="shared" si="13"/>
        <v>0</v>
      </c>
      <c r="F151" s="87">
        <v>0</v>
      </c>
      <c r="G151" s="47">
        <f t="shared" si="11"/>
        <v>0</v>
      </c>
      <c r="H151" s="88"/>
      <c r="I151" s="20">
        <v>150</v>
      </c>
      <c r="J151" s="82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280</v>
      </c>
      <c r="C152" s="79">
        <f>+'12'!G152</f>
        <v>1</v>
      </c>
      <c r="D152" s="87">
        <v>0</v>
      </c>
      <c r="E152" s="47">
        <f t="shared" si="13"/>
        <v>1</v>
      </c>
      <c r="F152" s="87">
        <v>0</v>
      </c>
      <c r="G152" s="47">
        <f t="shared" si="11"/>
        <v>1</v>
      </c>
      <c r="H152" s="88"/>
      <c r="I152" s="20">
        <v>150</v>
      </c>
      <c r="J152" s="82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5.5" x14ac:dyDescent="0.55000000000000004">
      <c r="A153" s="10">
        <v>149</v>
      </c>
      <c r="B153" s="19" t="s">
        <v>281</v>
      </c>
      <c r="C153" s="79">
        <f>+'12'!G153</f>
        <v>0</v>
      </c>
      <c r="D153" s="87">
        <v>0</v>
      </c>
      <c r="E153" s="47">
        <f t="shared" si="13"/>
        <v>0</v>
      </c>
      <c r="F153" s="87">
        <v>0</v>
      </c>
      <c r="G153" s="47">
        <f t="shared" si="11"/>
        <v>0</v>
      </c>
      <c r="H153" s="88"/>
      <c r="I153" s="20">
        <v>150</v>
      </c>
      <c r="J153" s="82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282</v>
      </c>
      <c r="C154" s="79">
        <f>+'12'!G154</f>
        <v>0</v>
      </c>
      <c r="D154" s="87">
        <v>0</v>
      </c>
      <c r="E154" s="47">
        <f t="shared" si="13"/>
        <v>0</v>
      </c>
      <c r="F154" s="87">
        <v>0</v>
      </c>
      <c r="G154" s="47">
        <f t="shared" si="11"/>
        <v>0</v>
      </c>
      <c r="H154" s="88"/>
      <c r="I154" s="20">
        <v>150</v>
      </c>
      <c r="J154" s="82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166</v>
      </c>
      <c r="C155" s="79">
        <f>+'12'!G155</f>
        <v>0</v>
      </c>
      <c r="D155" s="87">
        <v>0</v>
      </c>
      <c r="E155" s="47">
        <f t="shared" si="13"/>
        <v>0</v>
      </c>
      <c r="F155" s="87">
        <v>0</v>
      </c>
      <c r="G155" s="47">
        <f t="shared" si="11"/>
        <v>0</v>
      </c>
      <c r="H155" s="88"/>
      <c r="I155" s="20">
        <v>185</v>
      </c>
      <c r="J155" s="82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167</v>
      </c>
      <c r="C156" s="79">
        <f>+'12'!G156</f>
        <v>0</v>
      </c>
      <c r="D156" s="87">
        <v>0</v>
      </c>
      <c r="E156" s="47">
        <f t="shared" si="13"/>
        <v>0</v>
      </c>
      <c r="F156" s="87">
        <v>0</v>
      </c>
      <c r="G156" s="47">
        <f t="shared" si="11"/>
        <v>0</v>
      </c>
      <c r="H156" s="88"/>
      <c r="I156" s="20">
        <v>185</v>
      </c>
      <c r="J156" s="82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168</v>
      </c>
      <c r="C157" s="79">
        <f>+'12'!G157</f>
        <v>0</v>
      </c>
      <c r="D157" s="87">
        <v>0</v>
      </c>
      <c r="E157" s="47">
        <f t="shared" si="13"/>
        <v>0</v>
      </c>
      <c r="F157" s="87">
        <v>0</v>
      </c>
      <c r="G157" s="47">
        <f t="shared" si="11"/>
        <v>0</v>
      </c>
      <c r="H157" s="88"/>
      <c r="I157" s="20">
        <v>185</v>
      </c>
      <c r="J157" s="82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169</v>
      </c>
      <c r="C158" s="79">
        <f>+'12'!G158</f>
        <v>0</v>
      </c>
      <c r="D158" s="87">
        <v>0</v>
      </c>
      <c r="E158" s="47">
        <f t="shared" si="13"/>
        <v>0</v>
      </c>
      <c r="F158" s="87">
        <v>0</v>
      </c>
      <c r="G158" s="47">
        <f t="shared" si="11"/>
        <v>0</v>
      </c>
      <c r="H158" s="88"/>
      <c r="I158" s="20">
        <v>185</v>
      </c>
      <c r="J158" s="82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170</v>
      </c>
      <c r="C159" s="79">
        <f>+'12'!G159</f>
        <v>0</v>
      </c>
      <c r="D159" s="87">
        <v>0</v>
      </c>
      <c r="E159" s="47">
        <f t="shared" si="13"/>
        <v>0</v>
      </c>
      <c r="F159" s="87">
        <v>0</v>
      </c>
      <c r="G159" s="47">
        <f t="shared" si="11"/>
        <v>0</v>
      </c>
      <c r="H159" s="88"/>
      <c r="I159" s="20">
        <v>135</v>
      </c>
      <c r="J159" s="82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171</v>
      </c>
      <c r="C160" s="79">
        <f>+'12'!G160</f>
        <v>0</v>
      </c>
      <c r="D160" s="87">
        <v>0</v>
      </c>
      <c r="E160" s="47">
        <f t="shared" si="13"/>
        <v>0</v>
      </c>
      <c r="F160" s="87">
        <v>0</v>
      </c>
      <c r="G160" s="47">
        <f t="shared" si="11"/>
        <v>0</v>
      </c>
      <c r="H160" s="88"/>
      <c r="I160" s="20">
        <v>90</v>
      </c>
      <c r="J160" s="82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172</v>
      </c>
      <c r="C161" s="79">
        <f>+'12'!G161</f>
        <v>0</v>
      </c>
      <c r="D161" s="87">
        <v>0</v>
      </c>
      <c r="E161" s="47">
        <f t="shared" si="13"/>
        <v>0</v>
      </c>
      <c r="F161" s="87">
        <v>0</v>
      </c>
      <c r="G161" s="47">
        <f t="shared" si="11"/>
        <v>0</v>
      </c>
      <c r="H161" s="88"/>
      <c r="I161" s="20">
        <v>90</v>
      </c>
      <c r="J161" s="82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173</v>
      </c>
      <c r="C162" s="79">
        <f>+'12'!G162</f>
        <v>0</v>
      </c>
      <c r="D162" s="87">
        <v>0</v>
      </c>
      <c r="E162" s="47">
        <f t="shared" si="13"/>
        <v>0</v>
      </c>
      <c r="F162" s="87">
        <v>0</v>
      </c>
      <c r="G162" s="47">
        <f t="shared" si="11"/>
        <v>0</v>
      </c>
      <c r="H162" s="88"/>
      <c r="I162" s="20">
        <v>90</v>
      </c>
      <c r="J162" s="82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174</v>
      </c>
      <c r="C163" s="79">
        <f>+'12'!G163</f>
        <v>0</v>
      </c>
      <c r="D163" s="87">
        <v>0</v>
      </c>
      <c r="E163" s="47">
        <f t="shared" si="13"/>
        <v>0</v>
      </c>
      <c r="F163" s="87">
        <v>0</v>
      </c>
      <c r="G163" s="47">
        <f t="shared" si="11"/>
        <v>0</v>
      </c>
      <c r="H163" s="88"/>
      <c r="I163" s="20">
        <v>90</v>
      </c>
      <c r="J163" s="82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175</v>
      </c>
      <c r="C164" s="79">
        <f>+'12'!G164</f>
        <v>0</v>
      </c>
      <c r="D164" s="87">
        <v>0</v>
      </c>
      <c r="E164" s="47">
        <f t="shared" si="13"/>
        <v>0</v>
      </c>
      <c r="F164" s="87">
        <v>0</v>
      </c>
      <c r="G164" s="47">
        <f t="shared" si="11"/>
        <v>0</v>
      </c>
      <c r="H164" s="88"/>
      <c r="I164" s="20">
        <v>25</v>
      </c>
      <c r="J164" s="82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176</v>
      </c>
      <c r="C165" s="79">
        <f>+'12'!G165</f>
        <v>0</v>
      </c>
      <c r="D165" s="87">
        <v>0</v>
      </c>
      <c r="E165" s="47">
        <f t="shared" si="13"/>
        <v>0</v>
      </c>
      <c r="F165" s="87">
        <v>0</v>
      </c>
      <c r="G165" s="47">
        <f t="shared" ref="G165:G227" si="15">+E165-F165-H165</f>
        <v>0</v>
      </c>
      <c r="H165" s="88"/>
      <c r="I165" s="20">
        <v>50</v>
      </c>
      <c r="J165" s="82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177</v>
      </c>
      <c r="C166" s="79">
        <f>+'12'!G166</f>
        <v>0</v>
      </c>
      <c r="D166" s="87">
        <v>0</v>
      </c>
      <c r="E166" s="47">
        <f t="shared" si="13"/>
        <v>0</v>
      </c>
      <c r="F166" s="87">
        <v>0</v>
      </c>
      <c r="G166" s="47">
        <f t="shared" si="15"/>
        <v>0</v>
      </c>
      <c r="H166" s="88"/>
      <c r="I166" s="20">
        <v>50</v>
      </c>
      <c r="J166" s="82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178</v>
      </c>
      <c r="C167" s="79">
        <f>+'12'!G167</f>
        <v>0</v>
      </c>
      <c r="D167" s="87">
        <v>0</v>
      </c>
      <c r="E167" s="47">
        <f t="shared" si="13"/>
        <v>0</v>
      </c>
      <c r="F167" s="87">
        <v>0</v>
      </c>
      <c r="G167" s="47">
        <f t="shared" si="15"/>
        <v>0</v>
      </c>
      <c r="H167" s="88"/>
      <c r="I167" s="20">
        <v>50</v>
      </c>
      <c r="J167" s="82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179</v>
      </c>
      <c r="C168" s="79">
        <f>+'12'!G168</f>
        <v>7</v>
      </c>
      <c r="D168" s="87">
        <v>0</v>
      </c>
      <c r="E168" s="47">
        <f t="shared" si="13"/>
        <v>7</v>
      </c>
      <c r="F168" s="87">
        <v>0</v>
      </c>
      <c r="G168" s="47">
        <f t="shared" si="15"/>
        <v>7</v>
      </c>
      <c r="H168" s="88"/>
      <c r="I168" s="20">
        <v>50</v>
      </c>
      <c r="J168" s="82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180</v>
      </c>
      <c r="C169" s="79">
        <f>+'12'!G169</f>
        <v>41</v>
      </c>
      <c r="D169" s="87">
        <v>0</v>
      </c>
      <c r="E169" s="47">
        <f t="shared" si="13"/>
        <v>41</v>
      </c>
      <c r="F169" s="87">
        <v>0</v>
      </c>
      <c r="G169" s="47">
        <f t="shared" si="15"/>
        <v>41</v>
      </c>
      <c r="H169" s="88"/>
      <c r="I169" s="20">
        <v>55</v>
      </c>
      <c r="J169" s="82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181</v>
      </c>
      <c r="C170" s="79">
        <f>+'12'!G170</f>
        <v>0</v>
      </c>
      <c r="D170" s="87">
        <v>0</v>
      </c>
      <c r="E170" s="47">
        <f t="shared" si="13"/>
        <v>0</v>
      </c>
      <c r="F170" s="87">
        <v>0</v>
      </c>
      <c r="G170" s="47">
        <f t="shared" si="15"/>
        <v>0</v>
      </c>
      <c r="H170" s="88"/>
      <c r="I170" s="20">
        <v>85</v>
      </c>
      <c r="J170" s="82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182</v>
      </c>
      <c r="C171" s="79">
        <f>+'12'!G171</f>
        <v>9</v>
      </c>
      <c r="D171" s="87">
        <v>0</v>
      </c>
      <c r="E171" s="47">
        <f t="shared" si="13"/>
        <v>9</v>
      </c>
      <c r="F171" s="87">
        <v>0</v>
      </c>
      <c r="G171" s="47">
        <f t="shared" si="15"/>
        <v>8</v>
      </c>
      <c r="H171" s="88">
        <v>1</v>
      </c>
      <c r="I171" s="20">
        <v>80</v>
      </c>
      <c r="J171" s="82">
        <f t="shared" si="16"/>
        <v>80</v>
      </c>
      <c r="K171" s="17" t="s">
        <v>16</v>
      </c>
      <c r="L171" s="18">
        <v>0</v>
      </c>
      <c r="M171" s="23">
        <f t="shared" si="14"/>
        <v>80</v>
      </c>
    </row>
    <row r="172" spans="1:13" ht="25.5" x14ac:dyDescent="0.55000000000000004">
      <c r="A172" s="10">
        <v>168</v>
      </c>
      <c r="B172" s="19" t="s">
        <v>183</v>
      </c>
      <c r="C172" s="79">
        <f>+'12'!G172</f>
        <v>0</v>
      </c>
      <c r="D172" s="87">
        <v>0</v>
      </c>
      <c r="E172" s="47">
        <f t="shared" si="13"/>
        <v>0</v>
      </c>
      <c r="F172" s="87">
        <v>0</v>
      </c>
      <c r="G172" s="47">
        <f t="shared" si="15"/>
        <v>0</v>
      </c>
      <c r="H172" s="88"/>
      <c r="I172" s="20">
        <v>40</v>
      </c>
      <c r="J172" s="82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184</v>
      </c>
      <c r="C173" s="79">
        <f>+'12'!G173</f>
        <v>0</v>
      </c>
      <c r="D173" s="87">
        <v>0</v>
      </c>
      <c r="E173" s="47">
        <f t="shared" si="13"/>
        <v>0</v>
      </c>
      <c r="F173" s="87">
        <v>0</v>
      </c>
      <c r="G173" s="47">
        <f t="shared" si="15"/>
        <v>0</v>
      </c>
      <c r="H173" s="88"/>
      <c r="I173" s="20">
        <v>120</v>
      </c>
      <c r="J173" s="82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185</v>
      </c>
      <c r="C174" s="79">
        <f>+'12'!G174</f>
        <v>0</v>
      </c>
      <c r="D174" s="87">
        <v>0</v>
      </c>
      <c r="E174" s="47">
        <f t="shared" si="13"/>
        <v>0</v>
      </c>
      <c r="F174" s="87">
        <v>0</v>
      </c>
      <c r="G174" s="47">
        <f t="shared" si="15"/>
        <v>0</v>
      </c>
      <c r="H174" s="88"/>
      <c r="I174" s="20">
        <v>120</v>
      </c>
      <c r="J174" s="82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186</v>
      </c>
      <c r="C175" s="79">
        <f>+'12'!G175</f>
        <v>0</v>
      </c>
      <c r="D175" s="87">
        <v>0</v>
      </c>
      <c r="E175" s="47">
        <f t="shared" si="13"/>
        <v>0</v>
      </c>
      <c r="F175" s="87">
        <v>0</v>
      </c>
      <c r="G175" s="47">
        <f t="shared" si="15"/>
        <v>0</v>
      </c>
      <c r="H175" s="88"/>
      <c r="I175" s="20">
        <v>55</v>
      </c>
      <c r="J175" s="82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187</v>
      </c>
      <c r="C176" s="79">
        <f>+'12'!G176</f>
        <v>0</v>
      </c>
      <c r="D176" s="87">
        <v>0</v>
      </c>
      <c r="E176" s="47">
        <f t="shared" si="13"/>
        <v>0</v>
      </c>
      <c r="F176" s="87">
        <v>0</v>
      </c>
      <c r="G176" s="47">
        <f t="shared" si="15"/>
        <v>0</v>
      </c>
      <c r="H176" s="88"/>
      <c r="I176" s="20">
        <v>50</v>
      </c>
      <c r="J176" s="82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188</v>
      </c>
      <c r="C177" s="79">
        <f>+'12'!G177</f>
        <v>5</v>
      </c>
      <c r="D177" s="87">
        <v>0</v>
      </c>
      <c r="E177" s="47">
        <f t="shared" si="13"/>
        <v>5</v>
      </c>
      <c r="F177" s="87">
        <v>0</v>
      </c>
      <c r="G177" s="47">
        <f t="shared" si="15"/>
        <v>5</v>
      </c>
      <c r="H177" s="88"/>
      <c r="I177" s="20">
        <v>50</v>
      </c>
      <c r="J177" s="82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189</v>
      </c>
      <c r="C178" s="79">
        <f>+'12'!G178</f>
        <v>6</v>
      </c>
      <c r="D178" s="87">
        <v>0</v>
      </c>
      <c r="E178" s="47">
        <f t="shared" si="13"/>
        <v>6</v>
      </c>
      <c r="F178" s="87">
        <v>0</v>
      </c>
      <c r="G178" s="47">
        <f t="shared" si="15"/>
        <v>4</v>
      </c>
      <c r="H178" s="88">
        <v>2</v>
      </c>
      <c r="I178" s="20">
        <v>120</v>
      </c>
      <c r="J178" s="82">
        <f t="shared" si="16"/>
        <v>240</v>
      </c>
      <c r="K178" s="17" t="s">
        <v>16</v>
      </c>
      <c r="L178" s="18">
        <v>0</v>
      </c>
      <c r="M178" s="23">
        <f t="shared" si="14"/>
        <v>240</v>
      </c>
    </row>
    <row r="179" spans="1:13" ht="25.5" x14ac:dyDescent="0.55000000000000004">
      <c r="A179" s="10">
        <v>175</v>
      </c>
      <c r="B179" s="19" t="s">
        <v>190</v>
      </c>
      <c r="C179" s="79">
        <f>+'12'!G179</f>
        <v>0</v>
      </c>
      <c r="D179" s="87">
        <v>0</v>
      </c>
      <c r="E179" s="47">
        <f t="shared" si="13"/>
        <v>0</v>
      </c>
      <c r="F179" s="87">
        <v>0</v>
      </c>
      <c r="G179" s="47">
        <f t="shared" si="15"/>
        <v>0</v>
      </c>
      <c r="H179" s="88"/>
      <c r="I179" s="20">
        <v>120</v>
      </c>
      <c r="J179" s="82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191</v>
      </c>
      <c r="C180" s="79">
        <f>+'12'!G180</f>
        <v>0</v>
      </c>
      <c r="D180" s="87">
        <v>0</v>
      </c>
      <c r="E180" s="47">
        <f t="shared" si="13"/>
        <v>0</v>
      </c>
      <c r="F180" s="87">
        <v>0</v>
      </c>
      <c r="G180" s="47">
        <f t="shared" si="15"/>
        <v>0</v>
      </c>
      <c r="H180" s="88"/>
      <c r="I180" s="20">
        <v>10</v>
      </c>
      <c r="J180" s="82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192</v>
      </c>
      <c r="C181" s="79">
        <f>+'12'!G181</f>
        <v>0</v>
      </c>
      <c r="D181" s="87">
        <v>0</v>
      </c>
      <c r="E181" s="47">
        <f t="shared" si="13"/>
        <v>0</v>
      </c>
      <c r="F181" s="87">
        <v>0</v>
      </c>
      <c r="G181" s="47">
        <f t="shared" si="15"/>
        <v>0</v>
      </c>
      <c r="H181" s="88"/>
      <c r="I181" s="20">
        <v>35</v>
      </c>
      <c r="J181" s="82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193</v>
      </c>
      <c r="C182" s="79">
        <f>+'12'!G182</f>
        <v>0</v>
      </c>
      <c r="D182" s="87">
        <v>0</v>
      </c>
      <c r="E182" s="47">
        <f t="shared" si="13"/>
        <v>0</v>
      </c>
      <c r="F182" s="87">
        <v>0</v>
      </c>
      <c r="G182" s="47">
        <f t="shared" si="15"/>
        <v>0</v>
      </c>
      <c r="H182" s="88"/>
      <c r="I182" s="20">
        <v>10</v>
      </c>
      <c r="J182" s="82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194</v>
      </c>
      <c r="C183" s="79">
        <f>+'12'!G183</f>
        <v>0</v>
      </c>
      <c r="D183" s="87">
        <v>0</v>
      </c>
      <c r="E183" s="47">
        <f t="shared" si="13"/>
        <v>0</v>
      </c>
      <c r="F183" s="87">
        <v>0</v>
      </c>
      <c r="G183" s="47">
        <f t="shared" si="15"/>
        <v>0</v>
      </c>
      <c r="H183" s="88"/>
      <c r="I183" s="20">
        <v>10</v>
      </c>
      <c r="J183" s="82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195</v>
      </c>
      <c r="C184" s="79">
        <f>+'12'!G184</f>
        <v>0</v>
      </c>
      <c r="D184" s="87">
        <v>0</v>
      </c>
      <c r="E184" s="47">
        <f t="shared" si="13"/>
        <v>0</v>
      </c>
      <c r="F184" s="87">
        <v>0</v>
      </c>
      <c r="G184" s="47">
        <f t="shared" si="15"/>
        <v>0</v>
      </c>
      <c r="H184" s="88"/>
      <c r="I184" s="20">
        <v>10</v>
      </c>
      <c r="J184" s="82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196</v>
      </c>
      <c r="C185" s="79">
        <f>+'12'!G185</f>
        <v>0</v>
      </c>
      <c r="D185" s="87">
        <v>0</v>
      </c>
      <c r="E185" s="47">
        <f t="shared" si="13"/>
        <v>0</v>
      </c>
      <c r="F185" s="87">
        <v>0</v>
      </c>
      <c r="G185" s="47">
        <f t="shared" si="15"/>
        <v>0</v>
      </c>
      <c r="H185" s="88"/>
      <c r="I185" s="20">
        <v>10</v>
      </c>
      <c r="J185" s="82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197</v>
      </c>
      <c r="C186" s="79">
        <f>+'12'!G186</f>
        <v>0</v>
      </c>
      <c r="D186" s="87">
        <v>0</v>
      </c>
      <c r="E186" s="47">
        <f t="shared" si="13"/>
        <v>0</v>
      </c>
      <c r="F186" s="87">
        <v>0</v>
      </c>
      <c r="G186" s="47">
        <f t="shared" si="15"/>
        <v>0</v>
      </c>
      <c r="H186" s="88"/>
      <c r="I186" s="20">
        <v>10</v>
      </c>
      <c r="J186" s="82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198</v>
      </c>
      <c r="C187" s="79">
        <f>+'12'!G187</f>
        <v>0</v>
      </c>
      <c r="D187" s="87">
        <v>0</v>
      </c>
      <c r="E187" s="47">
        <f t="shared" si="13"/>
        <v>0</v>
      </c>
      <c r="F187" s="87">
        <v>0</v>
      </c>
      <c r="G187" s="47">
        <f t="shared" si="15"/>
        <v>0</v>
      </c>
      <c r="H187" s="88"/>
      <c r="I187" s="20">
        <v>25</v>
      </c>
      <c r="J187" s="82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249</v>
      </c>
      <c r="C188" s="79">
        <f>+'12'!G188</f>
        <v>0</v>
      </c>
      <c r="D188" s="87">
        <v>0</v>
      </c>
      <c r="E188" s="47">
        <f t="shared" si="13"/>
        <v>0</v>
      </c>
      <c r="F188" s="87">
        <v>0</v>
      </c>
      <c r="G188" s="47">
        <f t="shared" si="15"/>
        <v>0</v>
      </c>
      <c r="H188" s="88"/>
      <c r="I188" s="15">
        <v>50</v>
      </c>
      <c r="J188" s="82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250</v>
      </c>
      <c r="C189" s="79">
        <f>+'12'!G189</f>
        <v>0</v>
      </c>
      <c r="D189" s="87">
        <v>0</v>
      </c>
      <c r="E189" s="47">
        <f t="shared" si="13"/>
        <v>0</v>
      </c>
      <c r="F189" s="87">
        <v>0</v>
      </c>
      <c r="G189" s="47">
        <f t="shared" si="15"/>
        <v>0</v>
      </c>
      <c r="H189" s="88"/>
      <c r="I189" s="15">
        <v>10</v>
      </c>
      <c r="J189" s="82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251</v>
      </c>
      <c r="C190" s="79">
        <f>+'12'!G190</f>
        <v>0</v>
      </c>
      <c r="D190" s="87">
        <v>0</v>
      </c>
      <c r="E190" s="47">
        <f t="shared" ref="E190:E252" si="17">C190+D190</f>
        <v>0</v>
      </c>
      <c r="F190" s="87">
        <v>0</v>
      </c>
      <c r="G190" s="47">
        <f t="shared" si="15"/>
        <v>0</v>
      </c>
      <c r="H190" s="88"/>
      <c r="I190" s="15">
        <v>15</v>
      </c>
      <c r="J190" s="82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252</v>
      </c>
      <c r="C191" s="79">
        <f>+'12'!G191</f>
        <v>0</v>
      </c>
      <c r="D191" s="87">
        <v>0</v>
      </c>
      <c r="E191" s="47">
        <f t="shared" si="17"/>
        <v>0</v>
      </c>
      <c r="F191" s="87">
        <v>0</v>
      </c>
      <c r="G191" s="47">
        <f t="shared" si="15"/>
        <v>0</v>
      </c>
      <c r="H191" s="88"/>
      <c r="I191" s="15">
        <v>25</v>
      </c>
      <c r="J191" s="82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253</v>
      </c>
      <c r="C192" s="79">
        <f>+'12'!G192</f>
        <v>0</v>
      </c>
      <c r="D192" s="87">
        <v>0</v>
      </c>
      <c r="E192" s="47">
        <f t="shared" si="17"/>
        <v>0</v>
      </c>
      <c r="F192" s="87">
        <v>0</v>
      </c>
      <c r="G192" s="47">
        <f t="shared" si="15"/>
        <v>0</v>
      </c>
      <c r="H192" s="88"/>
      <c r="I192" s="15">
        <v>50</v>
      </c>
      <c r="J192" s="82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254</v>
      </c>
      <c r="C193" s="79">
        <f>+'12'!G193</f>
        <v>0</v>
      </c>
      <c r="D193" s="87">
        <v>0</v>
      </c>
      <c r="E193" s="47">
        <f t="shared" si="17"/>
        <v>0</v>
      </c>
      <c r="F193" s="87">
        <v>0</v>
      </c>
      <c r="G193" s="47">
        <f t="shared" si="15"/>
        <v>0</v>
      </c>
      <c r="H193" s="88"/>
      <c r="I193" s="15">
        <v>45</v>
      </c>
      <c r="J193" s="82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255</v>
      </c>
      <c r="C194" s="79">
        <f>+'12'!G194</f>
        <v>0</v>
      </c>
      <c r="D194" s="87">
        <v>0</v>
      </c>
      <c r="E194" s="47">
        <f t="shared" si="17"/>
        <v>0</v>
      </c>
      <c r="F194" s="87">
        <v>0</v>
      </c>
      <c r="G194" s="47">
        <f t="shared" si="15"/>
        <v>0</v>
      </c>
      <c r="H194" s="88"/>
      <c r="I194" s="15">
        <v>50</v>
      </c>
      <c r="J194" s="82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199</v>
      </c>
      <c r="C195" s="79">
        <f>+'12'!G195</f>
        <v>0</v>
      </c>
      <c r="D195" s="87">
        <v>0</v>
      </c>
      <c r="E195" s="47">
        <f t="shared" si="17"/>
        <v>0</v>
      </c>
      <c r="F195" s="87">
        <v>0</v>
      </c>
      <c r="G195" s="47">
        <f t="shared" si="15"/>
        <v>0</v>
      </c>
      <c r="H195" s="88"/>
      <c r="I195" s="15">
        <v>150</v>
      </c>
      <c r="J195" s="82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200</v>
      </c>
      <c r="C196" s="79">
        <f>+'12'!G196</f>
        <v>0</v>
      </c>
      <c r="D196" s="87">
        <v>0</v>
      </c>
      <c r="E196" s="47">
        <f t="shared" si="17"/>
        <v>0</v>
      </c>
      <c r="F196" s="87">
        <v>0</v>
      </c>
      <c r="G196" s="47">
        <f t="shared" si="15"/>
        <v>0</v>
      </c>
      <c r="H196" s="88"/>
      <c r="I196" s="15">
        <v>150</v>
      </c>
      <c r="J196" s="82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201</v>
      </c>
      <c r="C197" s="79">
        <f>+'12'!G197</f>
        <v>0</v>
      </c>
      <c r="D197" s="87">
        <v>0</v>
      </c>
      <c r="E197" s="47">
        <f t="shared" si="17"/>
        <v>0</v>
      </c>
      <c r="F197" s="87">
        <v>0</v>
      </c>
      <c r="G197" s="47">
        <f t="shared" si="15"/>
        <v>0</v>
      </c>
      <c r="H197" s="88"/>
      <c r="I197" s="15">
        <v>150</v>
      </c>
      <c r="J197" s="82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256</v>
      </c>
      <c r="C198" s="79">
        <f>+'12'!G198</f>
        <v>0</v>
      </c>
      <c r="D198" s="87">
        <v>0</v>
      </c>
      <c r="E198" s="47">
        <f t="shared" si="17"/>
        <v>0</v>
      </c>
      <c r="F198" s="87">
        <v>0</v>
      </c>
      <c r="G198" s="47">
        <f t="shared" si="15"/>
        <v>0</v>
      </c>
      <c r="H198" s="88"/>
      <c r="I198" s="15">
        <v>55</v>
      </c>
      <c r="J198" s="82">
        <f t="shared" si="16"/>
        <v>0</v>
      </c>
      <c r="K198" s="17" t="s">
        <v>16</v>
      </c>
      <c r="L198" s="18">
        <v>0</v>
      </c>
      <c r="M198" s="23">
        <f t="shared" si="14"/>
        <v>0</v>
      </c>
    </row>
    <row r="199" spans="1:13" ht="25.5" x14ac:dyDescent="0.55000000000000004">
      <c r="A199" s="10">
        <v>195</v>
      </c>
      <c r="B199" s="19" t="s">
        <v>257</v>
      </c>
      <c r="C199" s="79">
        <f>+'12'!G199</f>
        <v>0</v>
      </c>
      <c r="D199" s="87">
        <v>0</v>
      </c>
      <c r="E199" s="47">
        <f t="shared" si="17"/>
        <v>0</v>
      </c>
      <c r="F199" s="87">
        <v>0</v>
      </c>
      <c r="G199" s="47">
        <f t="shared" si="15"/>
        <v>0</v>
      </c>
      <c r="H199" s="88"/>
      <c r="I199" s="15">
        <v>30</v>
      </c>
      <c r="J199" s="82">
        <f t="shared" si="16"/>
        <v>0</v>
      </c>
      <c r="K199" s="17" t="s">
        <v>16</v>
      </c>
      <c r="L199" s="18">
        <v>0</v>
      </c>
      <c r="M199" s="23">
        <f t="shared" ref="M199:M254" si="18">SUM(J199-L199)</f>
        <v>0</v>
      </c>
    </row>
    <row r="200" spans="1:13" ht="25.5" x14ac:dyDescent="0.55000000000000004">
      <c r="A200" s="10">
        <v>196</v>
      </c>
      <c r="B200" s="19" t="s">
        <v>258</v>
      </c>
      <c r="C200" s="79">
        <f>+'12'!G200</f>
        <v>0</v>
      </c>
      <c r="D200" s="87">
        <v>0</v>
      </c>
      <c r="E200" s="47">
        <f t="shared" si="17"/>
        <v>0</v>
      </c>
      <c r="F200" s="87">
        <v>0</v>
      </c>
      <c r="G200" s="47">
        <f t="shared" si="15"/>
        <v>0</v>
      </c>
      <c r="H200" s="88"/>
      <c r="I200" s="15">
        <v>30</v>
      </c>
      <c r="J200" s="82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259</v>
      </c>
      <c r="C201" s="79">
        <f>+'12'!G201</f>
        <v>0</v>
      </c>
      <c r="D201" s="87">
        <v>0</v>
      </c>
      <c r="E201" s="47">
        <f t="shared" si="17"/>
        <v>0</v>
      </c>
      <c r="F201" s="87">
        <v>0</v>
      </c>
      <c r="G201" s="47">
        <f t="shared" si="15"/>
        <v>0</v>
      </c>
      <c r="H201" s="88"/>
      <c r="I201" s="15">
        <v>30</v>
      </c>
      <c r="J201" s="82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260</v>
      </c>
      <c r="C202" s="79">
        <f>+'12'!G202</f>
        <v>0</v>
      </c>
      <c r="D202" s="87">
        <v>0</v>
      </c>
      <c r="E202" s="47">
        <f t="shared" si="17"/>
        <v>0</v>
      </c>
      <c r="F202" s="87">
        <v>0</v>
      </c>
      <c r="G202" s="47">
        <f t="shared" si="15"/>
        <v>0</v>
      </c>
      <c r="H202" s="88"/>
      <c r="I202" s="15">
        <v>30</v>
      </c>
      <c r="J202" s="82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261</v>
      </c>
      <c r="C203" s="79">
        <f>+'12'!G203</f>
        <v>0</v>
      </c>
      <c r="D203" s="87">
        <v>0</v>
      </c>
      <c r="E203" s="47">
        <f t="shared" si="17"/>
        <v>0</v>
      </c>
      <c r="F203" s="87">
        <v>0</v>
      </c>
      <c r="G203" s="47">
        <f t="shared" si="15"/>
        <v>0</v>
      </c>
      <c r="H203" s="88"/>
      <c r="I203" s="20">
        <v>30</v>
      </c>
      <c r="J203" s="82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262</v>
      </c>
      <c r="C204" s="79">
        <f>+'12'!G204</f>
        <v>0</v>
      </c>
      <c r="D204" s="87">
        <v>0</v>
      </c>
      <c r="E204" s="47">
        <f t="shared" si="17"/>
        <v>0</v>
      </c>
      <c r="F204" s="87">
        <v>0</v>
      </c>
      <c r="G204" s="47">
        <f t="shared" si="15"/>
        <v>0</v>
      </c>
      <c r="H204" s="88"/>
      <c r="I204" s="20">
        <v>30</v>
      </c>
      <c r="J204" s="82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263</v>
      </c>
      <c r="C205" s="79">
        <f>+'12'!G205</f>
        <v>0</v>
      </c>
      <c r="D205" s="87">
        <v>0</v>
      </c>
      <c r="E205" s="47">
        <f t="shared" si="17"/>
        <v>0</v>
      </c>
      <c r="F205" s="87">
        <v>0</v>
      </c>
      <c r="G205" s="47">
        <f t="shared" si="15"/>
        <v>0</v>
      </c>
      <c r="H205" s="88"/>
      <c r="I205" s="20">
        <v>50</v>
      </c>
      <c r="J205" s="82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 t="s">
        <v>264</v>
      </c>
      <c r="C206" s="79">
        <f>+'12'!G206</f>
        <v>0</v>
      </c>
      <c r="D206" s="87">
        <v>0</v>
      </c>
      <c r="E206" s="47">
        <f t="shared" si="17"/>
        <v>0</v>
      </c>
      <c r="F206" s="87">
        <v>0</v>
      </c>
      <c r="G206" s="47">
        <f t="shared" si="15"/>
        <v>0</v>
      </c>
      <c r="H206" s="88"/>
      <c r="I206" s="20">
        <v>100</v>
      </c>
      <c r="J206" s="82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265</v>
      </c>
      <c r="C207" s="79">
        <f>+'12'!G207</f>
        <v>0</v>
      </c>
      <c r="D207" s="87">
        <v>0</v>
      </c>
      <c r="E207" s="47">
        <f t="shared" si="17"/>
        <v>0</v>
      </c>
      <c r="F207" s="87">
        <v>0</v>
      </c>
      <c r="G207" s="47">
        <f t="shared" si="15"/>
        <v>0</v>
      </c>
      <c r="H207" s="88"/>
      <c r="I207" s="20">
        <v>100</v>
      </c>
      <c r="J207" s="82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266</v>
      </c>
      <c r="C208" s="79">
        <f>+'12'!G208</f>
        <v>0</v>
      </c>
      <c r="D208" s="87">
        <v>0</v>
      </c>
      <c r="E208" s="47">
        <f t="shared" si="17"/>
        <v>0</v>
      </c>
      <c r="F208" s="87">
        <v>0</v>
      </c>
      <c r="G208" s="47">
        <f t="shared" si="15"/>
        <v>0</v>
      </c>
      <c r="H208" s="88"/>
      <c r="I208" s="20">
        <v>100</v>
      </c>
      <c r="J208" s="82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 t="s">
        <v>267</v>
      </c>
      <c r="C209" s="79">
        <f>+'12'!G209</f>
        <v>0</v>
      </c>
      <c r="D209" s="87">
        <v>0</v>
      </c>
      <c r="E209" s="47">
        <f t="shared" si="17"/>
        <v>0</v>
      </c>
      <c r="F209" s="87">
        <v>0</v>
      </c>
      <c r="G209" s="47">
        <f t="shared" si="15"/>
        <v>0</v>
      </c>
      <c r="H209" s="88"/>
      <c r="I209" s="20">
        <v>100</v>
      </c>
      <c r="J209" s="82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268</v>
      </c>
      <c r="C210" s="79">
        <f>+'12'!G210</f>
        <v>0</v>
      </c>
      <c r="D210" s="87">
        <v>0</v>
      </c>
      <c r="E210" s="47">
        <f t="shared" si="17"/>
        <v>0</v>
      </c>
      <c r="F210" s="87">
        <v>0</v>
      </c>
      <c r="G210" s="47">
        <f t="shared" si="15"/>
        <v>0</v>
      </c>
      <c r="H210" s="88"/>
      <c r="I210" s="20">
        <v>250</v>
      </c>
      <c r="J210" s="82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 t="s">
        <v>269</v>
      </c>
      <c r="C211" s="79">
        <f>+'12'!G211</f>
        <v>0</v>
      </c>
      <c r="D211" s="87">
        <v>0</v>
      </c>
      <c r="E211" s="47">
        <f t="shared" si="17"/>
        <v>0</v>
      </c>
      <c r="F211" s="87">
        <v>0</v>
      </c>
      <c r="G211" s="47">
        <f t="shared" si="15"/>
        <v>0</v>
      </c>
      <c r="H211" s="88"/>
      <c r="I211" s="20">
        <v>250</v>
      </c>
      <c r="J211" s="82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 t="s">
        <v>270</v>
      </c>
      <c r="C212" s="79">
        <f>+'12'!G212</f>
        <v>0</v>
      </c>
      <c r="D212" s="87">
        <v>0</v>
      </c>
      <c r="E212" s="47">
        <f t="shared" si="17"/>
        <v>0</v>
      </c>
      <c r="F212" s="87">
        <v>0</v>
      </c>
      <c r="G212" s="47">
        <f t="shared" si="15"/>
        <v>0</v>
      </c>
      <c r="H212" s="88"/>
      <c r="I212" s="20">
        <v>250</v>
      </c>
      <c r="J212" s="82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 t="s">
        <v>271</v>
      </c>
      <c r="C213" s="79">
        <f>+'12'!G213</f>
        <v>0</v>
      </c>
      <c r="D213" s="87">
        <v>0</v>
      </c>
      <c r="E213" s="47">
        <f t="shared" si="17"/>
        <v>0</v>
      </c>
      <c r="F213" s="87">
        <v>0</v>
      </c>
      <c r="G213" s="47">
        <f t="shared" si="15"/>
        <v>0</v>
      </c>
      <c r="H213" s="88"/>
      <c r="I213" s="20">
        <v>50</v>
      </c>
      <c r="J213" s="82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 t="s">
        <v>273</v>
      </c>
      <c r="C214" s="79">
        <f>+'12'!G214</f>
        <v>0</v>
      </c>
      <c r="D214" s="87">
        <v>0</v>
      </c>
      <c r="E214" s="47">
        <f t="shared" si="17"/>
        <v>0</v>
      </c>
      <c r="F214" s="87">
        <v>0</v>
      </c>
      <c r="G214" s="47">
        <f t="shared" si="15"/>
        <v>0</v>
      </c>
      <c r="H214" s="88"/>
      <c r="I214" s="20">
        <v>50</v>
      </c>
      <c r="J214" s="82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 t="s">
        <v>274</v>
      </c>
      <c r="C215" s="79">
        <f>+'12'!G215</f>
        <v>0</v>
      </c>
      <c r="D215" s="87">
        <v>0</v>
      </c>
      <c r="E215" s="47">
        <f t="shared" si="17"/>
        <v>0</v>
      </c>
      <c r="F215" s="87">
        <v>0</v>
      </c>
      <c r="G215" s="47">
        <f t="shared" si="15"/>
        <v>0</v>
      </c>
      <c r="H215" s="88"/>
      <c r="I215" s="20">
        <v>50</v>
      </c>
      <c r="J215" s="82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 t="s">
        <v>242</v>
      </c>
      <c r="C216" s="79">
        <f>+'12'!G216</f>
        <v>0</v>
      </c>
      <c r="D216" s="87">
        <v>0</v>
      </c>
      <c r="E216" s="47">
        <f t="shared" si="17"/>
        <v>0</v>
      </c>
      <c r="F216" s="87">
        <v>0</v>
      </c>
      <c r="G216" s="47">
        <f t="shared" si="15"/>
        <v>0</v>
      </c>
      <c r="H216" s="88"/>
      <c r="I216" s="20">
        <v>35</v>
      </c>
      <c r="J216" s="82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 t="s">
        <v>275</v>
      </c>
      <c r="C217" s="79">
        <f>+'12'!G217</f>
        <v>0</v>
      </c>
      <c r="D217" s="87">
        <v>0</v>
      </c>
      <c r="E217" s="47">
        <f t="shared" si="17"/>
        <v>0</v>
      </c>
      <c r="F217" s="87">
        <v>0</v>
      </c>
      <c r="G217" s="47">
        <f t="shared" si="15"/>
        <v>0</v>
      </c>
      <c r="H217" s="88"/>
      <c r="I217" s="20">
        <v>199</v>
      </c>
      <c r="J217" s="82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 t="s">
        <v>283</v>
      </c>
      <c r="C218" s="79"/>
      <c r="D218" s="87">
        <v>0</v>
      </c>
      <c r="E218" s="47">
        <f t="shared" si="17"/>
        <v>0</v>
      </c>
      <c r="F218" s="87">
        <v>0</v>
      </c>
      <c r="G218" s="47">
        <f t="shared" si="15"/>
        <v>0</v>
      </c>
      <c r="H218" s="88"/>
      <c r="I218" s="20">
        <v>25</v>
      </c>
      <c r="J218" s="82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 t="s">
        <v>284</v>
      </c>
      <c r="C219" s="79"/>
      <c r="D219" s="87">
        <v>0</v>
      </c>
      <c r="E219" s="47">
        <f t="shared" si="17"/>
        <v>0</v>
      </c>
      <c r="F219" s="87">
        <v>0</v>
      </c>
      <c r="G219" s="47">
        <f t="shared" si="15"/>
        <v>0</v>
      </c>
      <c r="H219" s="88"/>
      <c r="I219" s="20">
        <v>25</v>
      </c>
      <c r="J219" s="82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 t="s">
        <v>314</v>
      </c>
      <c r="C220" s="79">
        <f>+'12'!G220</f>
        <v>26</v>
      </c>
      <c r="D220" s="87">
        <v>0</v>
      </c>
      <c r="E220" s="47">
        <f t="shared" si="17"/>
        <v>26</v>
      </c>
      <c r="F220" s="87">
        <v>0</v>
      </c>
      <c r="G220" s="47">
        <f t="shared" si="15"/>
        <v>26</v>
      </c>
      <c r="H220" s="88"/>
      <c r="I220" s="20">
        <v>35</v>
      </c>
      <c r="J220" s="82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 t="s">
        <v>326</v>
      </c>
      <c r="C221" s="79">
        <f>+'12'!G221</f>
        <v>0</v>
      </c>
      <c r="D221" s="87">
        <v>0</v>
      </c>
      <c r="E221" s="47">
        <f t="shared" si="17"/>
        <v>0</v>
      </c>
      <c r="F221" s="87">
        <v>0</v>
      </c>
      <c r="G221" s="47">
        <f t="shared" si="15"/>
        <v>0</v>
      </c>
      <c r="H221" s="88"/>
      <c r="I221" s="20">
        <v>55</v>
      </c>
      <c r="J221" s="82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 t="s">
        <v>327</v>
      </c>
      <c r="C222" s="79">
        <f>+'12'!G222</f>
        <v>0</v>
      </c>
      <c r="D222" s="87">
        <v>0</v>
      </c>
      <c r="E222" s="47">
        <f t="shared" si="17"/>
        <v>0</v>
      </c>
      <c r="F222" s="87">
        <v>0</v>
      </c>
      <c r="G222" s="47">
        <f t="shared" si="15"/>
        <v>0</v>
      </c>
      <c r="H222" s="88"/>
      <c r="I222" s="20">
        <v>40</v>
      </c>
      <c r="J222" s="82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/>
      <c r="C223" s="79">
        <f>+'12'!G223</f>
        <v>0</v>
      </c>
      <c r="D223" s="87">
        <v>0</v>
      </c>
      <c r="E223" s="47">
        <f t="shared" si="17"/>
        <v>0</v>
      </c>
      <c r="F223" s="87">
        <v>0</v>
      </c>
      <c r="G223" s="47">
        <f t="shared" si="15"/>
        <v>0</v>
      </c>
      <c r="H223" s="88"/>
      <c r="I223" s="20"/>
      <c r="J223" s="82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79">
        <f>+'12'!G224</f>
        <v>0</v>
      </c>
      <c r="D224" s="87">
        <v>0</v>
      </c>
      <c r="E224" s="47">
        <f t="shared" si="17"/>
        <v>0</v>
      </c>
      <c r="F224" s="87">
        <v>0</v>
      </c>
      <c r="G224" s="47">
        <f t="shared" si="15"/>
        <v>0</v>
      </c>
      <c r="H224" s="88"/>
      <c r="I224" s="20"/>
      <c r="J224" s="82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+'12'!G225</f>
        <v>0</v>
      </c>
      <c r="D225" s="87">
        <v>0</v>
      </c>
      <c r="E225" s="47">
        <f t="shared" si="17"/>
        <v>0</v>
      </c>
      <c r="F225" s="87">
        <v>0</v>
      </c>
      <c r="G225" s="47">
        <f t="shared" si="15"/>
        <v>0</v>
      </c>
      <c r="H225" s="88"/>
      <c r="I225" s="20"/>
      <c r="J225" s="82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+'12'!G226</f>
        <v>0</v>
      </c>
      <c r="D226" s="87">
        <v>0</v>
      </c>
      <c r="E226" s="47">
        <f t="shared" si="17"/>
        <v>0</v>
      </c>
      <c r="F226" s="87">
        <v>0</v>
      </c>
      <c r="G226" s="47">
        <f t="shared" si="15"/>
        <v>0</v>
      </c>
      <c r="H226" s="88"/>
      <c r="I226" s="20"/>
      <c r="J226" s="82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+'12'!G227</f>
        <v>0</v>
      </c>
      <c r="D227" s="87">
        <v>0</v>
      </c>
      <c r="E227" s="47">
        <f t="shared" si="17"/>
        <v>0</v>
      </c>
      <c r="F227" s="87">
        <v>0</v>
      </c>
      <c r="G227" s="47">
        <f t="shared" si="15"/>
        <v>0</v>
      </c>
      <c r="H227" s="88"/>
      <c r="I227" s="20"/>
      <c r="J227" s="82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+'12'!G228</f>
        <v>0</v>
      </c>
      <c r="D228" s="87">
        <v>0</v>
      </c>
      <c r="E228" s="47">
        <f t="shared" si="17"/>
        <v>0</v>
      </c>
      <c r="F228" s="87">
        <v>0</v>
      </c>
      <c r="G228" s="47">
        <f t="shared" ref="G228:G254" si="19">+E228-F228-H228</f>
        <v>0</v>
      </c>
      <c r="H228" s="88"/>
      <c r="I228" s="20"/>
      <c r="J228" s="82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+'12'!G229</f>
        <v>0</v>
      </c>
      <c r="D229" s="87">
        <v>0</v>
      </c>
      <c r="E229" s="47">
        <f t="shared" si="17"/>
        <v>0</v>
      </c>
      <c r="F229" s="87">
        <v>0</v>
      </c>
      <c r="G229" s="47">
        <f t="shared" si="19"/>
        <v>0</v>
      </c>
      <c r="H229" s="88"/>
      <c r="I229" s="20"/>
      <c r="J229" s="82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+'12'!G230</f>
        <v>0</v>
      </c>
      <c r="D230" s="87">
        <v>0</v>
      </c>
      <c r="E230" s="47">
        <f t="shared" si="17"/>
        <v>0</v>
      </c>
      <c r="F230" s="87">
        <v>0</v>
      </c>
      <c r="G230" s="47">
        <f t="shared" si="19"/>
        <v>0</v>
      </c>
      <c r="H230" s="88"/>
      <c r="I230" s="20"/>
      <c r="J230" s="82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+'12'!G231</f>
        <v>0</v>
      </c>
      <c r="D231" s="87">
        <v>0</v>
      </c>
      <c r="E231" s="47">
        <f t="shared" si="17"/>
        <v>0</v>
      </c>
      <c r="F231" s="87">
        <v>0</v>
      </c>
      <c r="G231" s="47">
        <f t="shared" si="19"/>
        <v>0</v>
      </c>
      <c r="H231" s="88"/>
      <c r="I231" s="20"/>
      <c r="J231" s="82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+'12'!G232</f>
        <v>0</v>
      </c>
      <c r="D232" s="87">
        <v>0</v>
      </c>
      <c r="E232" s="47">
        <f t="shared" si="17"/>
        <v>0</v>
      </c>
      <c r="F232" s="87">
        <v>0</v>
      </c>
      <c r="G232" s="47">
        <f t="shared" si="19"/>
        <v>0</v>
      </c>
      <c r="H232" s="88"/>
      <c r="I232" s="20"/>
      <c r="J232" s="82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+'12'!G233</f>
        <v>0</v>
      </c>
      <c r="D233" s="87">
        <v>0</v>
      </c>
      <c r="E233" s="47">
        <f t="shared" si="17"/>
        <v>0</v>
      </c>
      <c r="F233" s="87">
        <v>0</v>
      </c>
      <c r="G233" s="47">
        <f t="shared" si="19"/>
        <v>0</v>
      </c>
      <c r="H233" s="88"/>
      <c r="I233" s="20"/>
      <c r="J233" s="82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+'12'!G234</f>
        <v>0</v>
      </c>
      <c r="D234" s="87">
        <v>0</v>
      </c>
      <c r="E234" s="47">
        <f t="shared" si="17"/>
        <v>0</v>
      </c>
      <c r="F234" s="87">
        <v>0</v>
      </c>
      <c r="G234" s="47">
        <f t="shared" si="19"/>
        <v>0</v>
      </c>
      <c r="H234" s="88"/>
      <c r="I234" s="20"/>
      <c r="J234" s="82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+'12'!G235</f>
        <v>0</v>
      </c>
      <c r="D235" s="87">
        <v>0</v>
      </c>
      <c r="E235" s="47">
        <f t="shared" si="17"/>
        <v>0</v>
      </c>
      <c r="F235" s="87">
        <v>0</v>
      </c>
      <c r="G235" s="47">
        <f t="shared" si="19"/>
        <v>0</v>
      </c>
      <c r="H235" s="88"/>
      <c r="I235" s="20"/>
      <c r="J235" s="82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+'12'!G236</f>
        <v>0</v>
      </c>
      <c r="D236" s="87">
        <v>0</v>
      </c>
      <c r="E236" s="47">
        <f t="shared" si="17"/>
        <v>0</v>
      </c>
      <c r="F236" s="87">
        <v>0</v>
      </c>
      <c r="G236" s="47">
        <f t="shared" si="19"/>
        <v>0</v>
      </c>
      <c r="H236" s="88"/>
      <c r="I236" s="20"/>
      <c r="J236" s="82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+'12'!G237</f>
        <v>0</v>
      </c>
      <c r="D237" s="87">
        <v>0</v>
      </c>
      <c r="E237" s="47">
        <f t="shared" si="17"/>
        <v>0</v>
      </c>
      <c r="F237" s="87">
        <v>0</v>
      </c>
      <c r="G237" s="47">
        <f t="shared" si="19"/>
        <v>0</v>
      </c>
      <c r="H237" s="88"/>
      <c r="I237" s="20"/>
      <c r="J237" s="82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+'12'!G238</f>
        <v>0</v>
      </c>
      <c r="D238" s="87">
        <v>0</v>
      </c>
      <c r="E238" s="47">
        <f t="shared" si="17"/>
        <v>0</v>
      </c>
      <c r="F238" s="87">
        <v>0</v>
      </c>
      <c r="G238" s="47">
        <f t="shared" si="19"/>
        <v>0</v>
      </c>
      <c r="H238" s="88"/>
      <c r="I238" s="20"/>
      <c r="J238" s="82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+'12'!G239</f>
        <v>0</v>
      </c>
      <c r="D239" s="87">
        <v>0</v>
      </c>
      <c r="E239" s="47">
        <f t="shared" si="17"/>
        <v>0</v>
      </c>
      <c r="F239" s="87">
        <v>0</v>
      </c>
      <c r="G239" s="47">
        <f t="shared" si="19"/>
        <v>0</v>
      </c>
      <c r="H239" s="88"/>
      <c r="I239" s="20"/>
      <c r="J239" s="82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+'12'!G240</f>
        <v>0</v>
      </c>
      <c r="D240" s="87">
        <v>0</v>
      </c>
      <c r="E240" s="47">
        <f t="shared" si="17"/>
        <v>0</v>
      </c>
      <c r="F240" s="87">
        <v>0</v>
      </c>
      <c r="G240" s="47">
        <f t="shared" si="19"/>
        <v>0</v>
      </c>
      <c r="H240" s="88"/>
      <c r="I240" s="20"/>
      <c r="J240" s="82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+'12'!G241</f>
        <v>0</v>
      </c>
      <c r="D241" s="87">
        <v>0</v>
      </c>
      <c r="E241" s="47">
        <f t="shared" si="17"/>
        <v>0</v>
      </c>
      <c r="F241" s="87">
        <v>0</v>
      </c>
      <c r="G241" s="47">
        <f t="shared" si="19"/>
        <v>0</v>
      </c>
      <c r="H241" s="88"/>
      <c r="I241" s="20"/>
      <c r="J241" s="82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+'12'!G242</f>
        <v>0</v>
      </c>
      <c r="D242" s="87">
        <v>0</v>
      </c>
      <c r="E242" s="47">
        <f t="shared" si="17"/>
        <v>0</v>
      </c>
      <c r="F242" s="87">
        <v>0</v>
      </c>
      <c r="G242" s="47">
        <f t="shared" si="19"/>
        <v>0</v>
      </c>
      <c r="H242" s="88"/>
      <c r="I242" s="20"/>
      <c r="J242" s="82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+'12'!G243</f>
        <v>0</v>
      </c>
      <c r="D243" s="87">
        <v>0</v>
      </c>
      <c r="E243" s="47">
        <f t="shared" si="17"/>
        <v>0</v>
      </c>
      <c r="F243" s="87">
        <v>0</v>
      </c>
      <c r="G243" s="47">
        <f t="shared" si="19"/>
        <v>0</v>
      </c>
      <c r="H243" s="88"/>
      <c r="I243" s="20"/>
      <c r="J243" s="82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+'12'!G244</f>
        <v>0</v>
      </c>
      <c r="D244" s="87">
        <v>0</v>
      </c>
      <c r="E244" s="47">
        <f t="shared" si="17"/>
        <v>0</v>
      </c>
      <c r="F244" s="87">
        <v>0</v>
      </c>
      <c r="G244" s="47">
        <f t="shared" si="19"/>
        <v>0</v>
      </c>
      <c r="H244" s="88"/>
      <c r="I244" s="20"/>
      <c r="J244" s="82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+'12'!G245</f>
        <v>0</v>
      </c>
      <c r="D245" s="87">
        <v>0</v>
      </c>
      <c r="E245" s="47">
        <f t="shared" si="17"/>
        <v>0</v>
      </c>
      <c r="F245" s="87">
        <v>0</v>
      </c>
      <c r="G245" s="47">
        <f t="shared" si="19"/>
        <v>0</v>
      </c>
      <c r="H245" s="88"/>
      <c r="I245" s="20"/>
      <c r="J245" s="82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+'12'!G246</f>
        <v>0</v>
      </c>
      <c r="D246" s="87">
        <v>0</v>
      </c>
      <c r="E246" s="47">
        <f t="shared" si="17"/>
        <v>0</v>
      </c>
      <c r="F246" s="87">
        <v>0</v>
      </c>
      <c r="G246" s="47">
        <f t="shared" si="19"/>
        <v>0</v>
      </c>
      <c r="H246" s="88"/>
      <c r="I246" s="20"/>
      <c r="J246" s="82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+'12'!G247</f>
        <v>0</v>
      </c>
      <c r="D247" s="87">
        <v>0</v>
      </c>
      <c r="E247" s="47">
        <f t="shared" si="17"/>
        <v>0</v>
      </c>
      <c r="F247" s="87">
        <v>0</v>
      </c>
      <c r="G247" s="47">
        <f t="shared" si="19"/>
        <v>0</v>
      </c>
      <c r="H247" s="88"/>
      <c r="I247" s="20"/>
      <c r="J247" s="82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+'12'!G248</f>
        <v>0</v>
      </c>
      <c r="D248" s="87">
        <v>0</v>
      </c>
      <c r="E248" s="47">
        <f t="shared" si="17"/>
        <v>0</v>
      </c>
      <c r="F248" s="87">
        <v>0</v>
      </c>
      <c r="G248" s="47">
        <f t="shared" si="19"/>
        <v>0</v>
      </c>
      <c r="H248" s="88"/>
      <c r="I248" s="20"/>
      <c r="J248" s="82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+'12'!G249</f>
        <v>0</v>
      </c>
      <c r="D249" s="87">
        <v>0</v>
      </c>
      <c r="E249" s="47">
        <f t="shared" si="17"/>
        <v>0</v>
      </c>
      <c r="F249" s="87">
        <v>0</v>
      </c>
      <c r="G249" s="47">
        <f t="shared" si="19"/>
        <v>0</v>
      </c>
      <c r="H249" s="88"/>
      <c r="I249" s="20"/>
      <c r="J249" s="82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+'12'!G250</f>
        <v>0</v>
      </c>
      <c r="D250" s="87">
        <v>0</v>
      </c>
      <c r="E250" s="47">
        <f t="shared" si="17"/>
        <v>0</v>
      </c>
      <c r="F250" s="87">
        <v>0</v>
      </c>
      <c r="G250" s="47">
        <f t="shared" si="19"/>
        <v>0</v>
      </c>
      <c r="H250" s="88"/>
      <c r="I250" s="20"/>
      <c r="J250" s="82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+'12'!G251</f>
        <v>0</v>
      </c>
      <c r="D251" s="87">
        <v>0</v>
      </c>
      <c r="E251" s="47">
        <f t="shared" si="17"/>
        <v>0</v>
      </c>
      <c r="F251" s="87">
        <v>0</v>
      </c>
      <c r="G251" s="47">
        <f t="shared" si="19"/>
        <v>0</v>
      </c>
      <c r="H251" s="88"/>
      <c r="I251" s="20"/>
      <c r="J251" s="82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+'12'!G252</f>
        <v>0</v>
      </c>
      <c r="D252" s="87">
        <v>0</v>
      </c>
      <c r="E252" s="47">
        <f t="shared" si="17"/>
        <v>0</v>
      </c>
      <c r="F252" s="87">
        <v>0</v>
      </c>
      <c r="G252" s="47">
        <f t="shared" si="19"/>
        <v>0</v>
      </c>
      <c r="H252" s="88"/>
      <c r="I252" s="20"/>
      <c r="J252" s="82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+'12'!G253</f>
        <v>0</v>
      </c>
      <c r="D253" s="87">
        <v>0</v>
      </c>
      <c r="E253" s="47">
        <f t="shared" ref="E253:E254" si="21">C253+D253</f>
        <v>0</v>
      </c>
      <c r="F253" s="87">
        <v>0</v>
      </c>
      <c r="G253" s="47">
        <f t="shared" si="19"/>
        <v>0</v>
      </c>
      <c r="H253" s="88"/>
      <c r="I253" s="20"/>
      <c r="J253" s="82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+'12'!G254</f>
        <v>0</v>
      </c>
      <c r="D254" s="87">
        <v>0</v>
      </c>
      <c r="E254" s="47">
        <f t="shared" si="21"/>
        <v>0</v>
      </c>
      <c r="F254" s="87">
        <v>0</v>
      </c>
      <c r="G254" s="47">
        <f t="shared" si="19"/>
        <v>0</v>
      </c>
      <c r="H254" s="88"/>
      <c r="I254" s="20"/>
      <c r="J254" s="82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4110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3" t="s">
        <v>213</v>
      </c>
      <c r="N255" s="143"/>
    </row>
    <row r="256" spans="1:14" ht="25.5" customHeight="1" x14ac:dyDescent="0.5">
      <c r="A256" s="1"/>
      <c r="C256" s="24"/>
      <c r="D256" s="25"/>
      <c r="E256" s="24"/>
      <c r="F256" s="25"/>
      <c r="G256" s="24"/>
      <c r="H256" s="148" t="s">
        <v>212</v>
      </c>
      <c r="I256" s="149"/>
      <c r="J256" s="30">
        <f>+X138</f>
        <v>0</v>
      </c>
      <c r="K256" s="27"/>
      <c r="L256" s="29"/>
    </row>
    <row r="257" spans="1:21" ht="25.5" x14ac:dyDescent="0.55000000000000004">
      <c r="A257" s="1"/>
      <c r="C257" s="31"/>
      <c r="E257" s="31"/>
      <c r="G257" s="31"/>
      <c r="H257" s="32"/>
      <c r="I257" s="150" t="s">
        <v>202</v>
      </c>
      <c r="J257" s="150"/>
      <c r="K257" s="33">
        <f>SUM(J5:J256)</f>
        <v>4260</v>
      </c>
    </row>
    <row r="258" spans="1:21" ht="25.5" x14ac:dyDescent="0.55000000000000004">
      <c r="A258" s="1"/>
      <c r="C258" s="31"/>
      <c r="E258" s="31"/>
      <c r="G258" s="31"/>
      <c r="I258" s="140" t="s">
        <v>203</v>
      </c>
      <c r="J258" s="141"/>
      <c r="K258" s="36">
        <v>15</v>
      </c>
    </row>
    <row r="259" spans="1:21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1790</v>
      </c>
      <c r="L259" s="2">
        <v>240</v>
      </c>
      <c r="M259" s="2">
        <v>130</v>
      </c>
      <c r="N259" s="2">
        <v>605</v>
      </c>
      <c r="O259" s="2">
        <v>100</v>
      </c>
      <c r="P259" s="2">
        <v>130</v>
      </c>
      <c r="Q259" s="2">
        <v>85</v>
      </c>
      <c r="R259" s="2">
        <v>50</v>
      </c>
      <c r="S259" s="2">
        <v>50</v>
      </c>
      <c r="T259" s="2">
        <v>200</v>
      </c>
      <c r="U259" s="2">
        <v>200</v>
      </c>
    </row>
    <row r="260" spans="1:21" ht="25.5" x14ac:dyDescent="0.55000000000000004">
      <c r="A260" s="1"/>
      <c r="C260" s="31"/>
      <c r="E260" s="31"/>
      <c r="G260" s="31"/>
      <c r="I260" s="140" t="s">
        <v>205</v>
      </c>
      <c r="J260" s="141"/>
      <c r="K260" s="36">
        <v>0</v>
      </c>
    </row>
    <row r="261" spans="1:21" ht="25.5" x14ac:dyDescent="0.55000000000000004">
      <c r="A261" s="1"/>
      <c r="C261" s="31"/>
      <c r="E261" s="31"/>
      <c r="G261" s="31"/>
      <c r="I261" s="140" t="s">
        <v>206</v>
      </c>
      <c r="J261" s="141"/>
      <c r="K261" s="36">
        <v>0</v>
      </c>
    </row>
    <row r="262" spans="1:21" ht="25.5" x14ac:dyDescent="0.55000000000000004">
      <c r="A262" s="1"/>
      <c r="C262" s="31"/>
      <c r="E262" s="31"/>
      <c r="G262" s="31"/>
      <c r="I262" s="140" t="s">
        <v>207</v>
      </c>
      <c r="J262" s="141"/>
      <c r="K262" s="37">
        <f>SUM(L5:L255)</f>
        <v>150</v>
      </c>
    </row>
    <row r="263" spans="1:21" ht="25.5" x14ac:dyDescent="0.55000000000000004">
      <c r="A263" s="1"/>
      <c r="C263" s="31"/>
      <c r="E263" s="31"/>
      <c r="G263" s="31"/>
      <c r="I263" s="140" t="s">
        <v>208</v>
      </c>
      <c r="J263" s="141"/>
      <c r="K263" s="33">
        <f>K257-K258-K259-K261-K262</f>
        <v>2305</v>
      </c>
    </row>
    <row r="264" spans="1:21" ht="25.5" x14ac:dyDescent="0.55000000000000004">
      <c r="A264" s="1"/>
      <c r="C264" s="31"/>
      <c r="E264" s="31"/>
      <c r="G264" s="31"/>
      <c r="I264" s="140" t="s">
        <v>209</v>
      </c>
      <c r="J264" s="141"/>
      <c r="K264" s="37">
        <v>2305</v>
      </c>
    </row>
    <row r="265" spans="1:21" ht="25.5" x14ac:dyDescent="0.55000000000000004">
      <c r="A265" s="1"/>
      <c r="C265" s="31"/>
      <c r="E265" s="31"/>
      <c r="G265" s="31"/>
      <c r="I265" s="140" t="s">
        <v>210</v>
      </c>
      <c r="J265" s="141"/>
      <c r="K265" s="33">
        <f>+K264-K263</f>
        <v>0</v>
      </c>
    </row>
    <row r="266" spans="1:21" ht="25.5" x14ac:dyDescent="0.55000000000000004">
      <c r="G266" s="2"/>
      <c r="I266" s="140" t="s">
        <v>211</v>
      </c>
      <c r="J266" s="141"/>
      <c r="K266" s="33">
        <f>+K264-K263</f>
        <v>0</v>
      </c>
    </row>
    <row r="267" spans="1:21" x14ac:dyDescent="0.5">
      <c r="G267" s="2"/>
      <c r="I267" s="2"/>
    </row>
    <row r="268" spans="1:21" ht="25.5" x14ac:dyDescent="0.55000000000000004">
      <c r="G268" s="2"/>
      <c r="I268" s="105" t="s">
        <v>312</v>
      </c>
    </row>
    <row r="269" spans="1:21" x14ac:dyDescent="0.5">
      <c r="G269" s="2"/>
      <c r="I269" s="2"/>
    </row>
    <row r="270" spans="1:21" x14ac:dyDescent="0.5">
      <c r="G270" s="2"/>
      <c r="I270" s="2"/>
    </row>
    <row r="271" spans="1:21" x14ac:dyDescent="0.5">
      <c r="G271" s="2"/>
      <c r="I271" s="2"/>
    </row>
    <row r="272" spans="1:2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3BCB-2D3E-47C2-B0B2-94BEF6D146C3}">
  <sheetPr>
    <tabColor theme="7" tint="-0.249977111117893"/>
  </sheetPr>
  <dimension ref="A1:AB341"/>
  <sheetViews>
    <sheetView zoomScale="85" zoomScaleNormal="85" workbookViewId="0">
      <pane xSplit="7" ySplit="4" topLeftCell="H245" activePane="bottomRight" state="frozen"/>
      <selection activeCell="B20" sqref="B20"/>
      <selection pane="topRight" activeCell="B20" sqref="B20"/>
      <selection pane="bottomLeft" activeCell="B20" sqref="B20"/>
      <selection pane="bottomRight" activeCell="B20" sqref="B20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8" x14ac:dyDescent="0.5">
      <c r="A1" s="1"/>
      <c r="G1" s="2"/>
      <c r="I1" s="2"/>
    </row>
    <row r="2" spans="1:28" s="3" customFormat="1" ht="29.25" x14ac:dyDescent="0.6">
      <c r="A2" s="137" t="s">
        <v>247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8" s="5" customFormat="1" ht="26.25" x14ac:dyDescent="0.55000000000000004">
      <c r="A3" s="139" t="s">
        <v>1</v>
      </c>
      <c r="B3" s="151" t="s">
        <v>2</v>
      </c>
      <c r="C3" s="139" t="s">
        <v>3</v>
      </c>
      <c r="D3" s="139" t="s">
        <v>4</v>
      </c>
      <c r="E3" s="139" t="s">
        <v>5</v>
      </c>
      <c r="F3" s="85" t="s">
        <v>6</v>
      </c>
      <c r="G3" s="139" t="s">
        <v>7</v>
      </c>
      <c r="H3" s="142" t="s">
        <v>8</v>
      </c>
      <c r="I3" s="142"/>
      <c r="J3" s="142"/>
      <c r="K3" s="139" t="s">
        <v>9</v>
      </c>
      <c r="L3" s="144" t="s">
        <v>10</v>
      </c>
      <c r="O3" s="139" t="s">
        <v>1</v>
      </c>
      <c r="P3" s="139" t="s">
        <v>2</v>
      </c>
      <c r="Q3" s="139" t="s">
        <v>3</v>
      </c>
      <c r="R3" s="139" t="s">
        <v>4</v>
      </c>
      <c r="S3" s="139" t="s">
        <v>5</v>
      </c>
      <c r="T3" s="85" t="s">
        <v>6</v>
      </c>
      <c r="U3" s="139" t="s">
        <v>7</v>
      </c>
      <c r="V3" s="142" t="s">
        <v>8</v>
      </c>
      <c r="W3" s="142"/>
      <c r="X3" s="142"/>
      <c r="Y3" s="139" t="s">
        <v>9</v>
      </c>
      <c r="Z3" s="144" t="s">
        <v>10</v>
      </c>
    </row>
    <row r="4" spans="1:28" s="5" customFormat="1" ht="26.25" x14ac:dyDescent="0.55000000000000004">
      <c r="A4" s="139"/>
      <c r="B4" s="151"/>
      <c r="C4" s="139"/>
      <c r="D4" s="139"/>
      <c r="E4" s="139"/>
      <c r="F4" s="85" t="s">
        <v>11</v>
      </c>
      <c r="G4" s="139"/>
      <c r="H4" s="85" t="s">
        <v>12</v>
      </c>
      <c r="I4" s="86" t="s">
        <v>13</v>
      </c>
      <c r="J4" s="85" t="s">
        <v>14</v>
      </c>
      <c r="K4" s="139"/>
      <c r="L4" s="144"/>
      <c r="O4" s="139"/>
      <c r="P4" s="139"/>
      <c r="Q4" s="139"/>
      <c r="R4" s="139"/>
      <c r="S4" s="139"/>
      <c r="T4" s="85" t="s">
        <v>11</v>
      </c>
      <c r="U4" s="139"/>
      <c r="V4" s="85" t="s">
        <v>12</v>
      </c>
      <c r="W4" s="86" t="s">
        <v>13</v>
      </c>
      <c r="X4" s="85" t="s">
        <v>14</v>
      </c>
      <c r="Y4" s="139"/>
      <c r="Z4" s="144"/>
      <c r="AB4" s="5" t="s">
        <v>2</v>
      </c>
    </row>
    <row r="5" spans="1:28" ht="25.5" x14ac:dyDescent="0.55000000000000004">
      <c r="A5" s="10">
        <v>1</v>
      </c>
      <c r="B5" s="19" t="s">
        <v>15</v>
      </c>
      <c r="C5" s="79">
        <f>+'13'!G5</f>
        <v>22</v>
      </c>
      <c r="D5" s="87">
        <v>0</v>
      </c>
      <c r="E5" s="47">
        <f t="shared" ref="E5:E125" si="0">C5+D5</f>
        <v>22</v>
      </c>
      <c r="F5" s="87">
        <v>0</v>
      </c>
      <c r="G5" s="47">
        <f>+E5-F5-H5</f>
        <v>14</v>
      </c>
      <c r="H5" s="88">
        <v>8</v>
      </c>
      <c r="I5" s="15">
        <v>50</v>
      </c>
      <c r="J5" s="82">
        <f>+I5*H5</f>
        <v>400</v>
      </c>
      <c r="K5" s="17" t="s">
        <v>16</v>
      </c>
      <c r="L5" s="18">
        <v>50</v>
      </c>
      <c r="M5" s="23">
        <f>SUM(J5-L5)</f>
        <v>350</v>
      </c>
      <c r="O5" s="10">
        <v>1</v>
      </c>
      <c r="P5" s="19"/>
      <c r="Q5" s="47">
        <v>0</v>
      </c>
      <c r="R5" s="87">
        <v>0</v>
      </c>
      <c r="S5" s="47">
        <f t="shared" ref="S5:S14" si="1">Q5+R5</f>
        <v>0</v>
      </c>
      <c r="T5" s="87">
        <v>0</v>
      </c>
      <c r="U5" s="47">
        <f t="shared" ref="U5:U14" si="2">S5-T5-V5</f>
        <v>0</v>
      </c>
      <c r="V5" s="88">
        <v>0</v>
      </c>
      <c r="W5" s="22"/>
      <c r="X5" s="44">
        <f t="shared" ref="X5:X14" si="3">V5*W5</f>
        <v>0</v>
      </c>
      <c r="Y5" s="17" t="s">
        <v>16</v>
      </c>
      <c r="Z5" s="18">
        <v>0</v>
      </c>
      <c r="AB5" s="2" t="s">
        <v>317</v>
      </c>
    </row>
    <row r="6" spans="1:28" ht="25.5" x14ac:dyDescent="0.55000000000000004">
      <c r="A6" s="10">
        <v>2</v>
      </c>
      <c r="B6" s="19" t="s">
        <v>17</v>
      </c>
      <c r="C6" s="79">
        <f>+'13'!G6</f>
        <v>26</v>
      </c>
      <c r="D6" s="87">
        <v>0</v>
      </c>
      <c r="E6" s="47">
        <f t="shared" si="0"/>
        <v>26</v>
      </c>
      <c r="F6" s="87">
        <v>0</v>
      </c>
      <c r="G6" s="47">
        <f t="shared" ref="G6:G100" si="4">+E6-F6-H6</f>
        <v>19</v>
      </c>
      <c r="H6" s="88">
        <v>7</v>
      </c>
      <c r="I6" s="15">
        <v>100</v>
      </c>
      <c r="J6" s="82">
        <f t="shared" ref="J6:J100" si="5">+I6*H6</f>
        <v>700</v>
      </c>
      <c r="K6" s="17" t="s">
        <v>16</v>
      </c>
      <c r="L6" s="18">
        <v>0</v>
      </c>
      <c r="M6" s="23">
        <f t="shared" ref="M6:M69" si="6">SUM(J6-L6)</f>
        <v>700</v>
      </c>
      <c r="O6" s="10">
        <v>2</v>
      </c>
      <c r="P6" s="19"/>
      <c r="Q6" s="47">
        <v>0</v>
      </c>
      <c r="R6" s="87">
        <v>0</v>
      </c>
      <c r="S6" s="47">
        <f t="shared" si="1"/>
        <v>0</v>
      </c>
      <c r="T6" s="87">
        <v>0</v>
      </c>
      <c r="U6" s="47">
        <f t="shared" si="2"/>
        <v>0</v>
      </c>
      <c r="V6" s="88">
        <v>0</v>
      </c>
      <c r="W6" s="22"/>
      <c r="X6" s="44">
        <f t="shared" si="3"/>
        <v>0</v>
      </c>
      <c r="Y6" s="17" t="s">
        <v>16</v>
      </c>
      <c r="Z6" s="18">
        <v>0</v>
      </c>
      <c r="AB6" s="2" t="s">
        <v>318</v>
      </c>
    </row>
    <row r="7" spans="1:28" ht="25.5" x14ac:dyDescent="0.55000000000000004">
      <c r="A7" s="10">
        <v>3</v>
      </c>
      <c r="B7" s="19" t="s">
        <v>18</v>
      </c>
      <c r="C7" s="79">
        <f>+'13'!G7</f>
        <v>0</v>
      </c>
      <c r="D7" s="87">
        <v>0</v>
      </c>
      <c r="E7" s="47">
        <f>C7+D7</f>
        <v>0</v>
      </c>
      <c r="F7" s="87">
        <v>0</v>
      </c>
      <c r="G7" s="47">
        <f t="shared" si="4"/>
        <v>0</v>
      </c>
      <c r="H7" s="88"/>
      <c r="I7" s="15">
        <v>50</v>
      </c>
      <c r="J7" s="8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7">
        <v>0</v>
      </c>
      <c r="S7" s="47">
        <f t="shared" si="1"/>
        <v>0</v>
      </c>
      <c r="T7" s="87">
        <v>0</v>
      </c>
      <c r="U7" s="47">
        <f t="shared" si="2"/>
        <v>0</v>
      </c>
      <c r="V7" s="88">
        <v>0</v>
      </c>
      <c r="W7" s="22"/>
      <c r="X7" s="44">
        <f t="shared" si="3"/>
        <v>0</v>
      </c>
      <c r="Y7" s="17" t="s">
        <v>16</v>
      </c>
      <c r="Z7" s="18">
        <v>0</v>
      </c>
      <c r="AB7" s="2" t="s">
        <v>319</v>
      </c>
    </row>
    <row r="8" spans="1:28" ht="25.5" x14ac:dyDescent="0.55000000000000004">
      <c r="A8" s="10">
        <v>4</v>
      </c>
      <c r="B8" s="19" t="s">
        <v>19</v>
      </c>
      <c r="C8" s="79">
        <f>+'13'!G8</f>
        <v>0</v>
      </c>
      <c r="D8" s="87">
        <v>0</v>
      </c>
      <c r="E8" s="47">
        <f>C8+D8</f>
        <v>0</v>
      </c>
      <c r="F8" s="87">
        <v>0</v>
      </c>
      <c r="G8" s="47">
        <f t="shared" si="4"/>
        <v>0</v>
      </c>
      <c r="H8" s="88"/>
      <c r="I8" s="15">
        <v>100</v>
      </c>
      <c r="J8" s="8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7">
        <v>0</v>
      </c>
      <c r="S8" s="47">
        <f t="shared" si="1"/>
        <v>0</v>
      </c>
      <c r="T8" s="87">
        <v>0</v>
      </c>
      <c r="U8" s="47">
        <f t="shared" si="2"/>
        <v>0</v>
      </c>
      <c r="V8" s="88">
        <v>0</v>
      </c>
      <c r="W8" s="22"/>
      <c r="X8" s="44">
        <f t="shared" si="3"/>
        <v>0</v>
      </c>
      <c r="Y8" s="17" t="s">
        <v>16</v>
      </c>
      <c r="Z8" s="18">
        <v>0</v>
      </c>
      <c r="AB8" s="2" t="s">
        <v>320</v>
      </c>
    </row>
    <row r="9" spans="1:28" ht="25.5" x14ac:dyDescent="0.55000000000000004">
      <c r="A9" s="10">
        <v>5</v>
      </c>
      <c r="B9" s="19" t="s">
        <v>20</v>
      </c>
      <c r="C9" s="79">
        <f>+'13'!G9</f>
        <v>0</v>
      </c>
      <c r="D9" s="87">
        <v>0</v>
      </c>
      <c r="E9" s="47">
        <f>C9+D9</f>
        <v>0</v>
      </c>
      <c r="F9" s="87">
        <v>0</v>
      </c>
      <c r="G9" s="47">
        <f t="shared" si="4"/>
        <v>0</v>
      </c>
      <c r="H9" s="88"/>
      <c r="I9" s="15">
        <v>12</v>
      </c>
      <c r="J9" s="8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7">
        <v>0</v>
      </c>
      <c r="S9" s="47">
        <f t="shared" si="1"/>
        <v>0</v>
      </c>
      <c r="T9" s="87">
        <v>0</v>
      </c>
      <c r="U9" s="47">
        <f t="shared" si="2"/>
        <v>0</v>
      </c>
      <c r="V9" s="88">
        <v>0</v>
      </c>
      <c r="W9" s="22"/>
      <c r="X9" s="44">
        <f t="shared" si="3"/>
        <v>0</v>
      </c>
      <c r="Y9" s="17" t="s">
        <v>16</v>
      </c>
      <c r="Z9" s="18">
        <v>0</v>
      </c>
      <c r="AB9" s="2" t="s">
        <v>307</v>
      </c>
    </row>
    <row r="10" spans="1:28" ht="25.5" x14ac:dyDescent="0.55000000000000004">
      <c r="A10" s="10">
        <v>6</v>
      </c>
      <c r="B10" s="19" t="s">
        <v>21</v>
      </c>
      <c r="C10" s="79">
        <f>+'13'!G10</f>
        <v>0</v>
      </c>
      <c r="D10" s="87">
        <v>0</v>
      </c>
      <c r="E10" s="47">
        <f>C10+D10</f>
        <v>0</v>
      </c>
      <c r="F10" s="87">
        <v>0</v>
      </c>
      <c r="G10" s="47">
        <f t="shared" si="4"/>
        <v>0</v>
      </c>
      <c r="H10" s="88"/>
      <c r="I10" s="15">
        <v>15</v>
      </c>
      <c r="J10" s="8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7">
        <v>0</v>
      </c>
      <c r="S10" s="47">
        <f t="shared" si="1"/>
        <v>0</v>
      </c>
      <c r="T10" s="87">
        <v>0</v>
      </c>
      <c r="U10" s="47">
        <f t="shared" si="2"/>
        <v>0</v>
      </c>
      <c r="V10" s="88">
        <v>0</v>
      </c>
      <c r="W10" s="22"/>
      <c r="X10" s="44">
        <f t="shared" si="3"/>
        <v>0</v>
      </c>
      <c r="Y10" s="17" t="s">
        <v>16</v>
      </c>
      <c r="Z10" s="18">
        <v>0</v>
      </c>
      <c r="AB10" s="2" t="s">
        <v>311</v>
      </c>
    </row>
    <row r="11" spans="1:28" ht="25.5" x14ac:dyDescent="0.55000000000000004">
      <c r="A11" s="10">
        <v>7</v>
      </c>
      <c r="B11" s="19" t="s">
        <v>22</v>
      </c>
      <c r="C11" s="79">
        <f>+'13'!G11</f>
        <v>0</v>
      </c>
      <c r="D11" s="87">
        <v>0</v>
      </c>
      <c r="E11" s="47">
        <f t="shared" si="0"/>
        <v>0</v>
      </c>
      <c r="F11" s="87">
        <v>0</v>
      </c>
      <c r="G11" s="47">
        <f t="shared" si="4"/>
        <v>0</v>
      </c>
      <c r="H11" s="88"/>
      <c r="I11" s="15">
        <v>40</v>
      </c>
      <c r="J11" s="8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7">
        <v>0</v>
      </c>
      <c r="S11" s="47">
        <f t="shared" si="1"/>
        <v>0</v>
      </c>
      <c r="T11" s="87">
        <v>0</v>
      </c>
      <c r="U11" s="47">
        <f t="shared" si="2"/>
        <v>0</v>
      </c>
      <c r="V11" s="88">
        <v>0</v>
      </c>
      <c r="W11" s="22"/>
      <c r="X11" s="44">
        <f t="shared" si="3"/>
        <v>0</v>
      </c>
      <c r="Y11" s="17" t="s">
        <v>16</v>
      </c>
      <c r="Z11" s="18">
        <v>0</v>
      </c>
      <c r="AB11" s="2" t="s">
        <v>321</v>
      </c>
    </row>
    <row r="12" spans="1:28" ht="25.5" x14ac:dyDescent="0.55000000000000004">
      <c r="A12" s="10">
        <v>8</v>
      </c>
      <c r="B12" s="19" t="s">
        <v>23</v>
      </c>
      <c r="C12" s="79">
        <f>+'13'!G12</f>
        <v>0</v>
      </c>
      <c r="D12" s="87">
        <v>0</v>
      </c>
      <c r="E12" s="47">
        <f t="shared" si="0"/>
        <v>0</v>
      </c>
      <c r="F12" s="87">
        <v>0</v>
      </c>
      <c r="G12" s="47">
        <f t="shared" si="4"/>
        <v>0</v>
      </c>
      <c r="H12" s="88"/>
      <c r="I12" s="20">
        <v>50</v>
      </c>
      <c r="J12" s="8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7">
        <v>0</v>
      </c>
      <c r="S12" s="47">
        <f t="shared" si="1"/>
        <v>0</v>
      </c>
      <c r="T12" s="87">
        <v>0</v>
      </c>
      <c r="U12" s="47">
        <f t="shared" si="2"/>
        <v>0</v>
      </c>
      <c r="V12" s="88">
        <v>0</v>
      </c>
      <c r="W12" s="22"/>
      <c r="X12" s="44">
        <f t="shared" si="3"/>
        <v>0</v>
      </c>
      <c r="Y12" s="17" t="s">
        <v>16</v>
      </c>
      <c r="Z12" s="18">
        <v>0</v>
      </c>
      <c r="AB12" s="2" t="s">
        <v>289</v>
      </c>
    </row>
    <row r="13" spans="1:28" ht="25.5" x14ac:dyDescent="0.55000000000000004">
      <c r="A13" s="10">
        <v>9</v>
      </c>
      <c r="B13" s="19" t="s">
        <v>24</v>
      </c>
      <c r="C13" s="79">
        <f>+'13'!G13</f>
        <v>0</v>
      </c>
      <c r="D13" s="87">
        <v>0</v>
      </c>
      <c r="E13" s="47">
        <f>C13+D13</f>
        <v>0</v>
      </c>
      <c r="F13" s="87">
        <v>0</v>
      </c>
      <c r="G13" s="47">
        <f t="shared" si="4"/>
        <v>0</v>
      </c>
      <c r="H13" s="88"/>
      <c r="I13" s="20">
        <v>55</v>
      </c>
      <c r="J13" s="8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7">
        <v>0</v>
      </c>
      <c r="S13" s="47">
        <f t="shared" si="1"/>
        <v>0</v>
      </c>
      <c r="T13" s="87">
        <v>0</v>
      </c>
      <c r="U13" s="47">
        <f t="shared" si="2"/>
        <v>0</v>
      </c>
      <c r="V13" s="88">
        <v>0</v>
      </c>
      <c r="W13" s="22"/>
      <c r="X13" s="44">
        <f t="shared" si="3"/>
        <v>0</v>
      </c>
      <c r="Y13" s="17" t="s">
        <v>16</v>
      </c>
      <c r="Z13" s="18">
        <v>0</v>
      </c>
      <c r="AB13" s="2" t="s">
        <v>322</v>
      </c>
    </row>
    <row r="14" spans="1:28" ht="25.5" x14ac:dyDescent="0.55000000000000004">
      <c r="A14" s="10">
        <v>10</v>
      </c>
      <c r="B14" s="19" t="s">
        <v>25</v>
      </c>
      <c r="C14" s="79">
        <f>+'13'!G14</f>
        <v>0</v>
      </c>
      <c r="D14" s="87">
        <v>0</v>
      </c>
      <c r="E14" s="47">
        <f t="shared" si="0"/>
        <v>0</v>
      </c>
      <c r="F14" s="87">
        <v>0</v>
      </c>
      <c r="G14" s="47">
        <f t="shared" si="4"/>
        <v>0</v>
      </c>
      <c r="H14" s="88"/>
      <c r="I14" s="20">
        <v>65</v>
      </c>
      <c r="J14" s="8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7">
        <v>0</v>
      </c>
      <c r="S14" s="47">
        <f t="shared" si="1"/>
        <v>0</v>
      </c>
      <c r="T14" s="87">
        <v>0</v>
      </c>
      <c r="U14" s="47">
        <f t="shared" si="2"/>
        <v>0</v>
      </c>
      <c r="V14" s="88">
        <v>0</v>
      </c>
      <c r="W14" s="22"/>
      <c r="X14" s="44">
        <f t="shared" si="3"/>
        <v>0</v>
      </c>
      <c r="Y14" s="17" t="s">
        <v>16</v>
      </c>
      <c r="Z14" s="18">
        <v>0</v>
      </c>
      <c r="AB14" s="2" t="s">
        <v>306</v>
      </c>
    </row>
    <row r="15" spans="1:28" ht="25.5" x14ac:dyDescent="0.55000000000000004">
      <c r="A15" s="10">
        <v>11</v>
      </c>
      <c r="B15" s="19" t="s">
        <v>26</v>
      </c>
      <c r="C15" s="79">
        <f>+'13'!G15</f>
        <v>0</v>
      </c>
      <c r="D15" s="87">
        <v>0</v>
      </c>
      <c r="E15" s="47">
        <f t="shared" si="0"/>
        <v>0</v>
      </c>
      <c r="F15" s="87">
        <v>0</v>
      </c>
      <c r="G15" s="47">
        <f t="shared" si="4"/>
        <v>0</v>
      </c>
      <c r="H15" s="88"/>
      <c r="I15" s="20">
        <v>50</v>
      </c>
      <c r="J15" s="8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7">
        <v>0</v>
      </c>
      <c r="S15" s="47">
        <f t="shared" ref="S15:S29" si="7">Q15+R15</f>
        <v>0</v>
      </c>
      <c r="T15" s="87">
        <v>0</v>
      </c>
      <c r="U15" s="47">
        <f t="shared" ref="U15:U29" si="8">S15-T15-V15</f>
        <v>0</v>
      </c>
      <c r="V15" s="88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8" ht="25.5" x14ac:dyDescent="0.55000000000000004">
      <c r="A16" s="10">
        <v>12</v>
      </c>
      <c r="B16" s="19" t="s">
        <v>27</v>
      </c>
      <c r="C16" s="79">
        <f>+'13'!G16</f>
        <v>0</v>
      </c>
      <c r="D16" s="87">
        <v>0</v>
      </c>
      <c r="E16" s="47">
        <f t="shared" si="0"/>
        <v>0</v>
      </c>
      <c r="F16" s="87">
        <v>0</v>
      </c>
      <c r="G16" s="47">
        <f t="shared" si="4"/>
        <v>0</v>
      </c>
      <c r="H16" s="88"/>
      <c r="I16" s="15">
        <v>50</v>
      </c>
      <c r="J16" s="8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7">
        <v>0</v>
      </c>
      <c r="S16" s="47">
        <f t="shared" si="7"/>
        <v>0</v>
      </c>
      <c r="T16" s="87">
        <v>0</v>
      </c>
      <c r="U16" s="47">
        <f t="shared" si="8"/>
        <v>0</v>
      </c>
      <c r="V16" s="88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+'13'!G17</f>
        <v>0</v>
      </c>
      <c r="D17" s="87">
        <v>0</v>
      </c>
      <c r="E17" s="47">
        <f t="shared" si="0"/>
        <v>0</v>
      </c>
      <c r="F17" s="87">
        <v>0</v>
      </c>
      <c r="G17" s="47">
        <f t="shared" si="4"/>
        <v>0</v>
      </c>
      <c r="H17" s="88"/>
      <c r="I17" s="15">
        <v>50</v>
      </c>
      <c r="J17" s="8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7">
        <v>0</v>
      </c>
      <c r="S17" s="47">
        <f t="shared" si="7"/>
        <v>0</v>
      </c>
      <c r="T17" s="87">
        <v>0</v>
      </c>
      <c r="U17" s="47">
        <f t="shared" si="8"/>
        <v>0</v>
      </c>
      <c r="V17" s="88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+'13'!G18</f>
        <v>0</v>
      </c>
      <c r="D18" s="87">
        <v>0</v>
      </c>
      <c r="E18" s="47">
        <f t="shared" si="0"/>
        <v>0</v>
      </c>
      <c r="F18" s="87">
        <v>0</v>
      </c>
      <c r="G18" s="47">
        <f t="shared" si="4"/>
        <v>0</v>
      </c>
      <c r="H18" s="88"/>
      <c r="I18" s="20">
        <v>50</v>
      </c>
      <c r="J18" s="8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7">
        <v>0</v>
      </c>
      <c r="S18" s="47">
        <f t="shared" si="7"/>
        <v>0</v>
      </c>
      <c r="T18" s="87">
        <v>0</v>
      </c>
      <c r="U18" s="47">
        <f t="shared" si="8"/>
        <v>0</v>
      </c>
      <c r="V18" s="88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329</v>
      </c>
      <c r="C19" s="79">
        <f>+'13'!G19</f>
        <v>0</v>
      </c>
      <c r="D19" s="87">
        <v>0</v>
      </c>
      <c r="E19" s="47">
        <f t="shared" si="0"/>
        <v>0</v>
      </c>
      <c r="F19" s="87">
        <v>0</v>
      </c>
      <c r="G19" s="47">
        <f t="shared" si="4"/>
        <v>0</v>
      </c>
      <c r="H19" s="88"/>
      <c r="I19" s="15">
        <v>50</v>
      </c>
      <c r="J19" s="8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7">
        <v>0</v>
      </c>
      <c r="S19" s="47">
        <f t="shared" si="7"/>
        <v>0</v>
      </c>
      <c r="T19" s="87">
        <v>0</v>
      </c>
      <c r="U19" s="47">
        <f t="shared" si="8"/>
        <v>0</v>
      </c>
      <c r="V19" s="88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+'13'!G20</f>
        <v>0</v>
      </c>
      <c r="D20" s="87">
        <v>0</v>
      </c>
      <c r="E20" s="47">
        <f t="shared" si="0"/>
        <v>0</v>
      </c>
      <c r="F20" s="87">
        <v>0</v>
      </c>
      <c r="G20" s="47">
        <f t="shared" si="4"/>
        <v>0</v>
      </c>
      <c r="H20" s="88"/>
      <c r="I20" s="15">
        <v>50</v>
      </c>
      <c r="J20" s="8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7">
        <v>0</v>
      </c>
      <c r="S20" s="47">
        <f t="shared" si="7"/>
        <v>0</v>
      </c>
      <c r="T20" s="87">
        <v>0</v>
      </c>
      <c r="U20" s="47">
        <f t="shared" si="8"/>
        <v>0</v>
      </c>
      <c r="V20" s="88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+'13'!G21</f>
        <v>0</v>
      </c>
      <c r="D21" s="87">
        <v>0</v>
      </c>
      <c r="E21" s="47">
        <f t="shared" si="0"/>
        <v>0</v>
      </c>
      <c r="F21" s="87">
        <v>0</v>
      </c>
      <c r="G21" s="47">
        <f t="shared" si="4"/>
        <v>0</v>
      </c>
      <c r="H21" s="88"/>
      <c r="I21" s="15">
        <v>50</v>
      </c>
      <c r="J21" s="8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7">
        <v>0</v>
      </c>
      <c r="S21" s="47">
        <f t="shared" si="7"/>
        <v>0</v>
      </c>
      <c r="T21" s="87">
        <v>0</v>
      </c>
      <c r="U21" s="47">
        <f t="shared" si="8"/>
        <v>0</v>
      </c>
      <c r="V21" s="88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+'13'!G22</f>
        <v>6</v>
      </c>
      <c r="D22" s="87">
        <v>0</v>
      </c>
      <c r="E22" s="47">
        <f t="shared" si="0"/>
        <v>6</v>
      </c>
      <c r="F22" s="87">
        <v>0</v>
      </c>
      <c r="G22" s="47">
        <f t="shared" si="4"/>
        <v>3</v>
      </c>
      <c r="H22" s="88">
        <v>3</v>
      </c>
      <c r="I22" s="15">
        <v>85</v>
      </c>
      <c r="J22" s="82">
        <f t="shared" si="5"/>
        <v>255</v>
      </c>
      <c r="K22" s="17" t="s">
        <v>16</v>
      </c>
      <c r="L22" s="18">
        <v>0</v>
      </c>
      <c r="M22" s="23">
        <f t="shared" si="6"/>
        <v>255</v>
      </c>
      <c r="O22" s="10">
        <v>18</v>
      </c>
      <c r="P22" s="19"/>
      <c r="Q22" s="47">
        <v>0</v>
      </c>
      <c r="R22" s="87">
        <v>0</v>
      </c>
      <c r="S22" s="47">
        <f t="shared" si="7"/>
        <v>0</v>
      </c>
      <c r="T22" s="87">
        <v>0</v>
      </c>
      <c r="U22" s="47">
        <f t="shared" si="8"/>
        <v>0</v>
      </c>
      <c r="V22" s="88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v>5</v>
      </c>
      <c r="D23" s="87">
        <v>0</v>
      </c>
      <c r="E23" s="47">
        <f t="shared" si="0"/>
        <v>5</v>
      </c>
      <c r="F23" s="87">
        <v>0</v>
      </c>
      <c r="G23" s="47">
        <f t="shared" si="4"/>
        <v>0</v>
      </c>
      <c r="H23" s="88">
        <v>5</v>
      </c>
      <c r="I23" s="15">
        <v>100</v>
      </c>
      <c r="J23" s="82">
        <f t="shared" si="5"/>
        <v>500</v>
      </c>
      <c r="K23" s="17" t="s">
        <v>16</v>
      </c>
      <c r="L23" s="18">
        <v>0</v>
      </c>
      <c r="M23" s="23">
        <f t="shared" si="6"/>
        <v>500</v>
      </c>
      <c r="O23" s="10">
        <v>19</v>
      </c>
      <c r="P23" s="19"/>
      <c r="Q23" s="47">
        <v>0</v>
      </c>
      <c r="R23" s="87">
        <v>0</v>
      </c>
      <c r="S23" s="47">
        <f t="shared" si="7"/>
        <v>0</v>
      </c>
      <c r="T23" s="87">
        <v>0</v>
      </c>
      <c r="U23" s="47">
        <f t="shared" si="8"/>
        <v>0</v>
      </c>
      <c r="V23" s="88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+'13'!G24</f>
        <v>10</v>
      </c>
      <c r="D24" s="87">
        <v>0</v>
      </c>
      <c r="E24" s="47">
        <f t="shared" si="0"/>
        <v>10</v>
      </c>
      <c r="F24" s="87">
        <v>0</v>
      </c>
      <c r="G24" s="47">
        <f t="shared" si="4"/>
        <v>1</v>
      </c>
      <c r="H24" s="88">
        <v>9</v>
      </c>
      <c r="I24" s="21">
        <v>100</v>
      </c>
      <c r="J24" s="82">
        <f t="shared" si="5"/>
        <v>900</v>
      </c>
      <c r="K24" s="17" t="s">
        <v>16</v>
      </c>
      <c r="L24" s="18">
        <v>0</v>
      </c>
      <c r="M24" s="23">
        <f t="shared" si="6"/>
        <v>900</v>
      </c>
      <c r="O24" s="10">
        <v>20</v>
      </c>
      <c r="P24" s="19"/>
      <c r="Q24" s="47">
        <v>0</v>
      </c>
      <c r="R24" s="87">
        <v>0</v>
      </c>
      <c r="S24" s="47">
        <f t="shared" si="7"/>
        <v>0</v>
      </c>
      <c r="T24" s="87">
        <v>0</v>
      </c>
      <c r="U24" s="47">
        <f t="shared" si="8"/>
        <v>0</v>
      </c>
      <c r="V24" s="88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+'13'!G25</f>
        <v>0</v>
      </c>
      <c r="D25" s="87">
        <v>0</v>
      </c>
      <c r="E25" s="47">
        <f t="shared" si="0"/>
        <v>0</v>
      </c>
      <c r="F25" s="87">
        <v>0</v>
      </c>
      <c r="G25" s="47">
        <f t="shared" si="4"/>
        <v>0</v>
      </c>
      <c r="H25" s="88"/>
      <c r="I25" s="21">
        <v>100</v>
      </c>
      <c r="J25" s="8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7">
        <v>0</v>
      </c>
      <c r="S25" s="47">
        <f t="shared" si="7"/>
        <v>0</v>
      </c>
      <c r="T25" s="87">
        <v>0</v>
      </c>
      <c r="U25" s="47">
        <f t="shared" si="8"/>
        <v>0</v>
      </c>
      <c r="V25" s="88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+'13'!G26</f>
        <v>0</v>
      </c>
      <c r="D26" s="87">
        <v>0</v>
      </c>
      <c r="E26" s="47">
        <f t="shared" si="0"/>
        <v>0</v>
      </c>
      <c r="F26" s="87">
        <v>0</v>
      </c>
      <c r="G26" s="47">
        <f t="shared" si="4"/>
        <v>0</v>
      </c>
      <c r="H26" s="88"/>
      <c r="I26" s="21">
        <v>100</v>
      </c>
      <c r="J26" s="8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7">
        <v>0</v>
      </c>
      <c r="S26" s="47">
        <f t="shared" si="7"/>
        <v>0</v>
      </c>
      <c r="T26" s="87">
        <v>0</v>
      </c>
      <c r="U26" s="47">
        <f t="shared" si="8"/>
        <v>0</v>
      </c>
      <c r="V26" s="88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+'13'!G27</f>
        <v>0</v>
      </c>
      <c r="D27" s="87">
        <v>0</v>
      </c>
      <c r="E27" s="47">
        <f t="shared" si="0"/>
        <v>0</v>
      </c>
      <c r="F27" s="87">
        <v>0</v>
      </c>
      <c r="G27" s="47">
        <f t="shared" si="4"/>
        <v>0</v>
      </c>
      <c r="H27" s="88"/>
      <c r="I27" s="20">
        <v>100</v>
      </c>
      <c r="J27" s="8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7">
        <v>0</v>
      </c>
      <c r="S27" s="47">
        <f t="shared" si="7"/>
        <v>0</v>
      </c>
      <c r="T27" s="87">
        <v>0</v>
      </c>
      <c r="U27" s="47">
        <f t="shared" si="8"/>
        <v>0</v>
      </c>
      <c r="V27" s="88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+'13'!G28</f>
        <v>0</v>
      </c>
      <c r="D28" s="87">
        <v>0</v>
      </c>
      <c r="E28" s="47">
        <f t="shared" si="0"/>
        <v>0</v>
      </c>
      <c r="F28" s="87">
        <v>0</v>
      </c>
      <c r="G28" s="47">
        <f t="shared" si="4"/>
        <v>0</v>
      </c>
      <c r="H28" s="88"/>
      <c r="I28" s="20">
        <v>100</v>
      </c>
      <c r="J28" s="8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7">
        <v>0</v>
      </c>
      <c r="S28" s="47">
        <f t="shared" si="7"/>
        <v>0</v>
      </c>
      <c r="T28" s="87">
        <v>0</v>
      </c>
      <c r="U28" s="47">
        <f t="shared" si="8"/>
        <v>0</v>
      </c>
      <c r="V28" s="88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v>9</v>
      </c>
      <c r="D29" s="87">
        <v>0</v>
      </c>
      <c r="E29" s="47">
        <f t="shared" si="0"/>
        <v>9</v>
      </c>
      <c r="F29" s="87">
        <v>0</v>
      </c>
      <c r="G29" s="47">
        <f t="shared" si="4"/>
        <v>6</v>
      </c>
      <c r="H29" s="88">
        <v>3</v>
      </c>
      <c r="I29" s="15">
        <v>100</v>
      </c>
      <c r="J29" s="82">
        <f t="shared" si="5"/>
        <v>300</v>
      </c>
      <c r="K29" s="17" t="s">
        <v>16</v>
      </c>
      <c r="L29" s="18">
        <v>0</v>
      </c>
      <c r="M29" s="23">
        <f t="shared" si="6"/>
        <v>300</v>
      </c>
      <c r="O29" s="10">
        <v>25</v>
      </c>
      <c r="P29" s="19"/>
      <c r="Q29" s="47">
        <v>0</v>
      </c>
      <c r="R29" s="87">
        <v>0</v>
      </c>
      <c r="S29" s="47">
        <f t="shared" si="7"/>
        <v>0</v>
      </c>
      <c r="T29" s="87">
        <v>0</v>
      </c>
      <c r="U29" s="47">
        <f t="shared" si="8"/>
        <v>0</v>
      </c>
      <c r="V29" s="88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+'13'!G30</f>
        <v>0</v>
      </c>
      <c r="D30" s="87">
        <v>0</v>
      </c>
      <c r="E30" s="47">
        <f t="shared" si="0"/>
        <v>0</v>
      </c>
      <c r="F30" s="87">
        <v>0</v>
      </c>
      <c r="G30" s="47">
        <f t="shared" si="4"/>
        <v>0</v>
      </c>
      <c r="H30" s="88"/>
      <c r="I30" s="15">
        <v>100</v>
      </c>
      <c r="J30" s="8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+'13'!G31</f>
        <v>2</v>
      </c>
      <c r="D31" s="87">
        <v>0</v>
      </c>
      <c r="E31" s="47">
        <f t="shared" si="0"/>
        <v>2</v>
      </c>
      <c r="F31" s="87">
        <v>0</v>
      </c>
      <c r="G31" s="47">
        <f t="shared" si="4"/>
        <v>1</v>
      </c>
      <c r="H31" s="88">
        <v>1</v>
      </c>
      <c r="I31" s="15">
        <v>100</v>
      </c>
      <c r="J31" s="82">
        <f t="shared" si="5"/>
        <v>100</v>
      </c>
      <c r="K31" s="17" t="s">
        <v>16</v>
      </c>
      <c r="L31" s="18">
        <v>0</v>
      </c>
      <c r="M31" s="23">
        <f t="shared" si="6"/>
        <v>100</v>
      </c>
    </row>
    <row r="32" spans="1:26" ht="25.5" x14ac:dyDescent="0.55000000000000004">
      <c r="A32" s="10">
        <v>28</v>
      </c>
      <c r="B32" s="19" t="s">
        <v>43</v>
      </c>
      <c r="C32" s="79">
        <f>+'13'!G32</f>
        <v>0</v>
      </c>
      <c r="D32" s="87">
        <v>0</v>
      </c>
      <c r="E32" s="47">
        <f t="shared" si="0"/>
        <v>0</v>
      </c>
      <c r="F32" s="87">
        <v>0</v>
      </c>
      <c r="G32" s="47">
        <f t="shared" si="4"/>
        <v>0</v>
      </c>
      <c r="H32" s="88"/>
      <c r="I32" s="15">
        <v>130</v>
      </c>
      <c r="J32" s="82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5" t="s">
        <v>119</v>
      </c>
      <c r="Q32" s="146"/>
      <c r="R32" s="146"/>
      <c r="S32" s="146"/>
      <c r="T32" s="146"/>
      <c r="U32" s="146"/>
      <c r="V32" s="146"/>
      <c r="W32" s="147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+'13'!G33</f>
        <v>9</v>
      </c>
      <c r="D33" s="87">
        <v>0</v>
      </c>
      <c r="E33" s="47">
        <f t="shared" si="0"/>
        <v>9</v>
      </c>
      <c r="F33" s="87">
        <v>0</v>
      </c>
      <c r="G33" s="47">
        <f t="shared" si="4"/>
        <v>7</v>
      </c>
      <c r="H33" s="88">
        <v>2</v>
      </c>
      <c r="I33" s="15">
        <v>130</v>
      </c>
      <c r="J33" s="82">
        <f t="shared" si="5"/>
        <v>260</v>
      </c>
      <c r="K33" s="17" t="s">
        <v>16</v>
      </c>
      <c r="L33" s="18">
        <v>0</v>
      </c>
      <c r="M33" s="23">
        <f t="shared" si="6"/>
        <v>260</v>
      </c>
    </row>
    <row r="34" spans="1:13" ht="25.5" x14ac:dyDescent="0.55000000000000004">
      <c r="A34" s="10">
        <v>30</v>
      </c>
      <c r="B34" s="19" t="s">
        <v>45</v>
      </c>
      <c r="C34" s="79">
        <f>+'13'!G34</f>
        <v>11</v>
      </c>
      <c r="D34" s="87">
        <v>0</v>
      </c>
      <c r="E34" s="47">
        <f t="shared" si="0"/>
        <v>11</v>
      </c>
      <c r="F34" s="87">
        <v>0</v>
      </c>
      <c r="G34" s="47">
        <f t="shared" si="4"/>
        <v>10</v>
      </c>
      <c r="H34" s="88">
        <v>1</v>
      </c>
      <c r="I34" s="15">
        <v>130</v>
      </c>
      <c r="J34" s="82">
        <f t="shared" si="5"/>
        <v>130</v>
      </c>
      <c r="K34" s="17" t="s">
        <v>16</v>
      </c>
      <c r="L34" s="18">
        <v>0</v>
      </c>
      <c r="M34" s="23">
        <f t="shared" si="6"/>
        <v>130</v>
      </c>
    </row>
    <row r="35" spans="1:13" ht="25.5" x14ac:dyDescent="0.55000000000000004">
      <c r="A35" s="10">
        <v>31</v>
      </c>
      <c r="B35" s="19" t="s">
        <v>46</v>
      </c>
      <c r="C35" s="79">
        <f>+'13'!G35</f>
        <v>0</v>
      </c>
      <c r="D35" s="87">
        <v>0</v>
      </c>
      <c r="E35" s="47">
        <f t="shared" si="0"/>
        <v>0</v>
      </c>
      <c r="F35" s="87">
        <v>0</v>
      </c>
      <c r="G35" s="47">
        <f t="shared" si="4"/>
        <v>0</v>
      </c>
      <c r="H35" s="88"/>
      <c r="I35" s="15">
        <v>130</v>
      </c>
      <c r="J35" s="82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+'13'!G36</f>
        <v>0</v>
      </c>
      <c r="D36" s="87">
        <v>0</v>
      </c>
      <c r="E36" s="47">
        <f t="shared" si="0"/>
        <v>0</v>
      </c>
      <c r="F36" s="87">
        <v>0</v>
      </c>
      <c r="G36" s="47">
        <f t="shared" si="4"/>
        <v>0</v>
      </c>
      <c r="H36" s="88"/>
      <c r="I36" s="15">
        <v>100</v>
      </c>
      <c r="J36" s="82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+'13'!G37</f>
        <v>0</v>
      </c>
      <c r="D37" s="87">
        <v>0</v>
      </c>
      <c r="E37" s="47">
        <f t="shared" si="0"/>
        <v>0</v>
      </c>
      <c r="F37" s="87">
        <v>0</v>
      </c>
      <c r="G37" s="47">
        <f t="shared" si="4"/>
        <v>0</v>
      </c>
      <c r="H37" s="88"/>
      <c r="I37" s="15">
        <v>100</v>
      </c>
      <c r="J37" s="82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 t="s">
        <v>49</v>
      </c>
      <c r="C38" s="79">
        <f>+'13'!G38</f>
        <v>7</v>
      </c>
      <c r="D38" s="87">
        <v>0</v>
      </c>
      <c r="E38" s="47">
        <f t="shared" si="0"/>
        <v>7</v>
      </c>
      <c r="F38" s="87">
        <v>0</v>
      </c>
      <c r="G38" s="47">
        <f t="shared" si="4"/>
        <v>5</v>
      </c>
      <c r="H38" s="88">
        <v>2</v>
      </c>
      <c r="I38" s="15">
        <v>50</v>
      </c>
      <c r="J38" s="82">
        <f t="shared" si="5"/>
        <v>100</v>
      </c>
      <c r="K38" s="17" t="s">
        <v>16</v>
      </c>
      <c r="L38" s="18">
        <v>0</v>
      </c>
      <c r="M38" s="23">
        <f t="shared" si="6"/>
        <v>100</v>
      </c>
    </row>
    <row r="39" spans="1:13" ht="25.5" x14ac:dyDescent="0.55000000000000004">
      <c r="A39" s="10">
        <v>35</v>
      </c>
      <c r="B39" s="19" t="s">
        <v>50</v>
      </c>
      <c r="C39" s="79">
        <f>+'13'!G39</f>
        <v>6</v>
      </c>
      <c r="D39" s="87">
        <v>0</v>
      </c>
      <c r="E39" s="47">
        <f t="shared" si="0"/>
        <v>6</v>
      </c>
      <c r="F39" s="87">
        <v>0</v>
      </c>
      <c r="G39" s="47">
        <f t="shared" si="4"/>
        <v>5</v>
      </c>
      <c r="H39" s="88">
        <v>1</v>
      </c>
      <c r="I39" s="15">
        <v>50</v>
      </c>
      <c r="J39" s="82">
        <f t="shared" si="5"/>
        <v>50</v>
      </c>
      <c r="K39" s="17" t="s">
        <v>16</v>
      </c>
      <c r="L39" s="18">
        <v>0</v>
      </c>
      <c r="M39" s="23">
        <f t="shared" si="6"/>
        <v>50</v>
      </c>
    </row>
    <row r="40" spans="1:13" ht="25.5" x14ac:dyDescent="0.55000000000000004">
      <c r="A40" s="10">
        <v>36</v>
      </c>
      <c r="B40" s="19" t="s">
        <v>51</v>
      </c>
      <c r="C40" s="79">
        <f>+'13'!G40</f>
        <v>7</v>
      </c>
      <c r="D40" s="87">
        <v>0</v>
      </c>
      <c r="E40" s="47">
        <f t="shared" si="0"/>
        <v>7</v>
      </c>
      <c r="F40" s="87">
        <v>0</v>
      </c>
      <c r="G40" s="47">
        <f t="shared" si="4"/>
        <v>7</v>
      </c>
      <c r="H40" s="88"/>
      <c r="I40" s="15">
        <v>50</v>
      </c>
      <c r="J40" s="82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+'13'!G41</f>
        <v>0</v>
      </c>
      <c r="D41" s="87">
        <v>0</v>
      </c>
      <c r="E41" s="47">
        <f t="shared" si="0"/>
        <v>0</v>
      </c>
      <c r="F41" s="87">
        <v>0</v>
      </c>
      <c r="G41" s="47">
        <f t="shared" si="4"/>
        <v>0</v>
      </c>
      <c r="H41" s="88"/>
      <c r="I41" s="15">
        <v>50</v>
      </c>
      <c r="J41" s="82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285</v>
      </c>
      <c r="C42" s="79">
        <f>+'13'!G42</f>
        <v>0</v>
      </c>
      <c r="D42" s="87">
        <v>0</v>
      </c>
      <c r="E42" s="47">
        <f t="shared" si="0"/>
        <v>0</v>
      </c>
      <c r="F42" s="87">
        <v>0</v>
      </c>
      <c r="G42" s="47">
        <f t="shared" si="4"/>
        <v>0</v>
      </c>
      <c r="H42" s="88"/>
      <c r="I42" s="15">
        <v>50</v>
      </c>
      <c r="J42" s="82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+'13'!G43</f>
        <v>1</v>
      </c>
      <c r="D43" s="87">
        <v>0</v>
      </c>
      <c r="E43" s="47">
        <f t="shared" si="0"/>
        <v>1</v>
      </c>
      <c r="F43" s="87">
        <v>0</v>
      </c>
      <c r="G43" s="47">
        <f t="shared" si="4"/>
        <v>0</v>
      </c>
      <c r="H43" s="88">
        <v>1</v>
      </c>
      <c r="I43" s="15">
        <v>50</v>
      </c>
      <c r="J43" s="82">
        <f t="shared" si="5"/>
        <v>50</v>
      </c>
      <c r="K43" s="17" t="s">
        <v>16</v>
      </c>
      <c r="L43" s="18">
        <v>0</v>
      </c>
      <c r="M43" s="23">
        <f t="shared" si="6"/>
        <v>50</v>
      </c>
    </row>
    <row r="44" spans="1:13" ht="25.5" x14ac:dyDescent="0.55000000000000004">
      <c r="A44" s="10">
        <v>40</v>
      </c>
      <c r="B44" s="19" t="s">
        <v>55</v>
      </c>
      <c r="C44" s="79">
        <f>+'13'!G44</f>
        <v>0</v>
      </c>
      <c r="D44" s="87">
        <v>0</v>
      </c>
      <c r="E44" s="47">
        <f t="shared" si="0"/>
        <v>0</v>
      </c>
      <c r="F44" s="87">
        <v>0</v>
      </c>
      <c r="G44" s="47">
        <f t="shared" si="4"/>
        <v>0</v>
      </c>
      <c r="H44" s="88"/>
      <c r="I44" s="15">
        <v>50</v>
      </c>
      <c r="J44" s="82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+'13'!G45</f>
        <v>0</v>
      </c>
      <c r="D45" s="87">
        <v>0</v>
      </c>
      <c r="E45" s="47">
        <f t="shared" si="0"/>
        <v>0</v>
      </c>
      <c r="F45" s="87">
        <v>0</v>
      </c>
      <c r="G45" s="47">
        <f t="shared" si="4"/>
        <v>0</v>
      </c>
      <c r="H45" s="88"/>
      <c r="I45" s="15">
        <v>50</v>
      </c>
      <c r="J45" s="82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286</v>
      </c>
      <c r="C46" s="79">
        <f>+'13'!G46</f>
        <v>1</v>
      </c>
      <c r="D46" s="87">
        <v>0</v>
      </c>
      <c r="E46" s="47">
        <f t="shared" si="0"/>
        <v>1</v>
      </c>
      <c r="F46" s="87">
        <v>0</v>
      </c>
      <c r="G46" s="47">
        <f t="shared" si="4"/>
        <v>0</v>
      </c>
      <c r="H46" s="88">
        <v>1</v>
      </c>
      <c r="I46" s="15">
        <v>50</v>
      </c>
      <c r="J46" s="82">
        <f t="shared" si="5"/>
        <v>50</v>
      </c>
      <c r="K46" s="17" t="s">
        <v>16</v>
      </c>
      <c r="L46" s="18">
        <v>0</v>
      </c>
      <c r="M46" s="23">
        <f t="shared" si="6"/>
        <v>50</v>
      </c>
    </row>
    <row r="47" spans="1:13" ht="25.5" x14ac:dyDescent="0.55000000000000004">
      <c r="A47" s="10">
        <v>43</v>
      </c>
      <c r="B47" s="19" t="s">
        <v>58</v>
      </c>
      <c r="C47" s="79">
        <f>+'13'!G47</f>
        <v>1</v>
      </c>
      <c r="D47" s="87">
        <v>0</v>
      </c>
      <c r="E47" s="47">
        <f t="shared" si="0"/>
        <v>1</v>
      </c>
      <c r="F47" s="87">
        <v>0</v>
      </c>
      <c r="G47" s="47">
        <f t="shared" si="4"/>
        <v>0</v>
      </c>
      <c r="H47" s="88">
        <v>1</v>
      </c>
      <c r="I47" s="15">
        <v>50</v>
      </c>
      <c r="J47" s="82">
        <f t="shared" si="5"/>
        <v>50</v>
      </c>
      <c r="K47" s="17" t="s">
        <v>16</v>
      </c>
      <c r="L47" s="18">
        <v>0</v>
      </c>
      <c r="M47" s="23">
        <f t="shared" si="6"/>
        <v>50</v>
      </c>
    </row>
    <row r="48" spans="1:13" ht="25.5" x14ac:dyDescent="0.55000000000000004">
      <c r="A48" s="10">
        <v>44</v>
      </c>
      <c r="B48" s="19" t="s">
        <v>59</v>
      </c>
      <c r="C48" s="79">
        <f>+'13'!G48</f>
        <v>1</v>
      </c>
      <c r="D48" s="87">
        <v>0</v>
      </c>
      <c r="E48" s="47">
        <f t="shared" si="0"/>
        <v>1</v>
      </c>
      <c r="F48" s="87">
        <v>0</v>
      </c>
      <c r="G48" s="47">
        <f t="shared" si="4"/>
        <v>0</v>
      </c>
      <c r="H48" s="88">
        <v>1</v>
      </c>
      <c r="I48" s="15">
        <v>50</v>
      </c>
      <c r="J48" s="82">
        <f t="shared" si="5"/>
        <v>50</v>
      </c>
      <c r="K48" s="17" t="s">
        <v>287</v>
      </c>
      <c r="L48" s="18">
        <v>50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+'13'!G49</f>
        <v>2</v>
      </c>
      <c r="D49" s="87">
        <v>0</v>
      </c>
      <c r="E49" s="47">
        <f t="shared" si="0"/>
        <v>2</v>
      </c>
      <c r="F49" s="87">
        <v>0</v>
      </c>
      <c r="G49" s="47">
        <f t="shared" si="4"/>
        <v>1</v>
      </c>
      <c r="H49" s="88">
        <v>1</v>
      </c>
      <c r="I49" s="15">
        <v>50</v>
      </c>
      <c r="J49" s="82">
        <f t="shared" si="5"/>
        <v>50</v>
      </c>
      <c r="K49" s="17" t="s">
        <v>16</v>
      </c>
      <c r="L49" s="18">
        <v>0</v>
      </c>
      <c r="M49" s="23">
        <f t="shared" si="6"/>
        <v>50</v>
      </c>
    </row>
    <row r="50" spans="1:13" ht="25.5" x14ac:dyDescent="0.55000000000000004">
      <c r="A50" s="10">
        <v>46</v>
      </c>
      <c r="B50" s="19" t="s">
        <v>61</v>
      </c>
      <c r="C50" s="79">
        <f>+'13'!G50</f>
        <v>4</v>
      </c>
      <c r="D50" s="87">
        <v>0</v>
      </c>
      <c r="E50" s="47">
        <f t="shared" si="0"/>
        <v>4</v>
      </c>
      <c r="F50" s="87">
        <v>0</v>
      </c>
      <c r="G50" s="47">
        <f t="shared" si="4"/>
        <v>4</v>
      </c>
      <c r="H50" s="88"/>
      <c r="I50" s="15">
        <v>120</v>
      </c>
      <c r="J50" s="82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+'13'!G51</f>
        <v>1</v>
      </c>
      <c r="D51" s="87">
        <v>0</v>
      </c>
      <c r="E51" s="47">
        <f t="shared" si="0"/>
        <v>1</v>
      </c>
      <c r="F51" s="87">
        <v>0</v>
      </c>
      <c r="G51" s="47">
        <f t="shared" si="4"/>
        <v>1</v>
      </c>
      <c r="H51" s="88"/>
      <c r="I51" s="15">
        <v>120</v>
      </c>
      <c r="J51" s="82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+'13'!G52</f>
        <v>0</v>
      </c>
      <c r="D52" s="87">
        <v>0</v>
      </c>
      <c r="E52" s="47">
        <f t="shared" si="0"/>
        <v>0</v>
      </c>
      <c r="F52" s="87">
        <v>0</v>
      </c>
      <c r="G52" s="47">
        <f t="shared" si="4"/>
        <v>0</v>
      </c>
      <c r="H52" s="88"/>
      <c r="I52" s="21">
        <v>120</v>
      </c>
      <c r="J52" s="82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+'13'!G53</f>
        <v>0</v>
      </c>
      <c r="D53" s="87">
        <v>0</v>
      </c>
      <c r="E53" s="47">
        <f t="shared" si="0"/>
        <v>0</v>
      </c>
      <c r="F53" s="87">
        <v>0</v>
      </c>
      <c r="G53" s="47">
        <f t="shared" si="4"/>
        <v>0</v>
      </c>
      <c r="H53" s="88"/>
      <c r="I53" s="15">
        <v>120</v>
      </c>
      <c r="J53" s="82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+'13'!G54</f>
        <v>0</v>
      </c>
      <c r="D54" s="87">
        <v>0</v>
      </c>
      <c r="E54" s="47">
        <f t="shared" si="0"/>
        <v>0</v>
      </c>
      <c r="F54" s="87">
        <v>0</v>
      </c>
      <c r="G54" s="47">
        <f t="shared" si="4"/>
        <v>0</v>
      </c>
      <c r="H54" s="88"/>
      <c r="I54" s="15">
        <v>120</v>
      </c>
      <c r="J54" s="82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+'13'!G55</f>
        <v>0</v>
      </c>
      <c r="D55" s="87">
        <v>0</v>
      </c>
      <c r="E55" s="47">
        <f t="shared" si="0"/>
        <v>0</v>
      </c>
      <c r="F55" s="87">
        <v>0</v>
      </c>
      <c r="G55" s="47">
        <f t="shared" si="4"/>
        <v>0</v>
      </c>
      <c r="H55" s="88"/>
      <c r="I55" s="21">
        <v>120</v>
      </c>
      <c r="J55" s="82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+'13'!G56</f>
        <v>1</v>
      </c>
      <c r="D56" s="87">
        <v>0</v>
      </c>
      <c r="E56" s="47">
        <f t="shared" si="0"/>
        <v>1</v>
      </c>
      <c r="F56" s="87">
        <v>0</v>
      </c>
      <c r="G56" s="47">
        <f t="shared" si="4"/>
        <v>0</v>
      </c>
      <c r="H56" s="88">
        <v>1</v>
      </c>
      <c r="I56" s="21">
        <v>120</v>
      </c>
      <c r="J56" s="82">
        <f t="shared" si="5"/>
        <v>120</v>
      </c>
      <c r="K56" s="17" t="s">
        <v>16</v>
      </c>
      <c r="L56" s="18">
        <v>0</v>
      </c>
      <c r="M56" s="23">
        <f t="shared" si="6"/>
        <v>120</v>
      </c>
    </row>
    <row r="57" spans="1:13" ht="25.5" x14ac:dyDescent="0.55000000000000004">
      <c r="A57" s="10">
        <v>53</v>
      </c>
      <c r="B57" s="19" t="s">
        <v>68</v>
      </c>
      <c r="C57" s="79">
        <f>+'13'!G57</f>
        <v>0</v>
      </c>
      <c r="D57" s="87">
        <v>0</v>
      </c>
      <c r="E57" s="47">
        <f t="shared" si="0"/>
        <v>0</v>
      </c>
      <c r="F57" s="87">
        <v>0</v>
      </c>
      <c r="G57" s="47">
        <f t="shared" si="4"/>
        <v>0</v>
      </c>
      <c r="H57" s="88"/>
      <c r="I57" s="21">
        <v>120</v>
      </c>
      <c r="J57" s="82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+'13'!G58</f>
        <v>0</v>
      </c>
      <c r="D58" s="87">
        <v>0</v>
      </c>
      <c r="E58" s="47">
        <f t="shared" si="0"/>
        <v>0</v>
      </c>
      <c r="F58" s="87">
        <v>0</v>
      </c>
      <c r="G58" s="47">
        <f t="shared" si="4"/>
        <v>0</v>
      </c>
      <c r="H58" s="88"/>
      <c r="I58" s="21">
        <v>120</v>
      </c>
      <c r="J58" s="82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+'13'!G59</f>
        <v>0</v>
      </c>
      <c r="D59" s="87">
        <v>0</v>
      </c>
      <c r="E59" s="47">
        <f t="shared" si="0"/>
        <v>0</v>
      </c>
      <c r="F59" s="87">
        <v>0</v>
      </c>
      <c r="G59" s="47">
        <f t="shared" si="4"/>
        <v>0</v>
      </c>
      <c r="H59" s="88"/>
      <c r="I59" s="15">
        <v>70</v>
      </c>
      <c r="J59" s="82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+'13'!G60</f>
        <v>0</v>
      </c>
      <c r="D60" s="87">
        <v>0</v>
      </c>
      <c r="E60" s="47">
        <f t="shared" si="0"/>
        <v>0</v>
      </c>
      <c r="F60" s="87">
        <v>0</v>
      </c>
      <c r="G60" s="47">
        <f t="shared" si="4"/>
        <v>0</v>
      </c>
      <c r="H60" s="88"/>
      <c r="I60" s="21">
        <v>80</v>
      </c>
      <c r="J60" s="82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+'13'!G61</f>
        <v>0</v>
      </c>
      <c r="D61" s="87">
        <v>0</v>
      </c>
      <c r="E61" s="47">
        <f t="shared" si="0"/>
        <v>0</v>
      </c>
      <c r="F61" s="87">
        <v>0</v>
      </c>
      <c r="G61" s="47">
        <f t="shared" si="4"/>
        <v>0</v>
      </c>
      <c r="H61" s="88"/>
      <c r="I61" s="15">
        <v>50</v>
      </c>
      <c r="J61" s="82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+'13'!G62</f>
        <v>1</v>
      </c>
      <c r="D62" s="87">
        <v>0</v>
      </c>
      <c r="E62" s="47">
        <f t="shared" si="0"/>
        <v>1</v>
      </c>
      <c r="F62" s="87">
        <v>0</v>
      </c>
      <c r="G62" s="47">
        <f t="shared" si="4"/>
        <v>1</v>
      </c>
      <c r="H62" s="88"/>
      <c r="I62" s="20">
        <v>50</v>
      </c>
      <c r="J62" s="82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+'13'!G63</f>
        <v>0</v>
      </c>
      <c r="D63" s="87">
        <v>0</v>
      </c>
      <c r="E63" s="47">
        <f t="shared" si="0"/>
        <v>0</v>
      </c>
      <c r="F63" s="87">
        <v>0</v>
      </c>
      <c r="G63" s="47">
        <f t="shared" si="4"/>
        <v>0</v>
      </c>
      <c r="H63" s="88"/>
      <c r="I63" s="20">
        <v>50</v>
      </c>
      <c r="J63" s="82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+'13'!G64</f>
        <v>0</v>
      </c>
      <c r="D64" s="87">
        <v>0</v>
      </c>
      <c r="E64" s="47">
        <f t="shared" si="0"/>
        <v>0</v>
      </c>
      <c r="F64" s="87">
        <v>0</v>
      </c>
      <c r="G64" s="47">
        <f t="shared" si="4"/>
        <v>0</v>
      </c>
      <c r="H64" s="88"/>
      <c r="I64" s="21">
        <v>30</v>
      </c>
      <c r="J64" s="82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+'13'!G65</f>
        <v>0</v>
      </c>
      <c r="D65" s="87">
        <v>0</v>
      </c>
      <c r="E65" s="47">
        <f t="shared" si="0"/>
        <v>0</v>
      </c>
      <c r="F65" s="87">
        <v>0</v>
      </c>
      <c r="G65" s="47">
        <f t="shared" si="4"/>
        <v>0</v>
      </c>
      <c r="H65" s="88"/>
      <c r="I65" s="21">
        <v>30</v>
      </c>
      <c r="J65" s="82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+'13'!G66</f>
        <v>1</v>
      </c>
      <c r="D66" s="87">
        <v>0</v>
      </c>
      <c r="E66" s="47">
        <f t="shared" si="0"/>
        <v>1</v>
      </c>
      <c r="F66" s="87">
        <v>0</v>
      </c>
      <c r="G66" s="47">
        <f t="shared" si="4"/>
        <v>1</v>
      </c>
      <c r="H66" s="88"/>
      <c r="I66" s="15">
        <v>50</v>
      </c>
      <c r="J66" s="82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+'13'!G67</f>
        <v>7</v>
      </c>
      <c r="D67" s="87">
        <v>0</v>
      </c>
      <c r="E67" s="47">
        <f t="shared" si="0"/>
        <v>7</v>
      </c>
      <c r="F67" s="87">
        <v>0</v>
      </c>
      <c r="G67" s="47">
        <f t="shared" si="4"/>
        <v>7</v>
      </c>
      <c r="H67" s="88"/>
      <c r="I67" s="15">
        <v>50</v>
      </c>
      <c r="J67" s="82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+'13'!G68</f>
        <v>0</v>
      </c>
      <c r="D68" s="87">
        <v>0</v>
      </c>
      <c r="E68" s="47">
        <f t="shared" si="0"/>
        <v>0</v>
      </c>
      <c r="F68" s="87">
        <v>0</v>
      </c>
      <c r="G68" s="47">
        <f t="shared" si="4"/>
        <v>0</v>
      </c>
      <c r="H68" s="88"/>
      <c r="I68" s="20">
        <v>35</v>
      </c>
      <c r="J68" s="82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+'13'!G69</f>
        <v>0</v>
      </c>
      <c r="D69" s="87">
        <v>0</v>
      </c>
      <c r="E69" s="47">
        <f t="shared" si="0"/>
        <v>0</v>
      </c>
      <c r="F69" s="87">
        <v>0</v>
      </c>
      <c r="G69" s="47">
        <f t="shared" si="4"/>
        <v>0</v>
      </c>
      <c r="H69" s="88"/>
      <c r="I69" s="20">
        <v>25</v>
      </c>
      <c r="J69" s="82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+'13'!G70</f>
        <v>12</v>
      </c>
      <c r="D70" s="87">
        <v>0</v>
      </c>
      <c r="E70" s="47">
        <f t="shared" si="0"/>
        <v>12</v>
      </c>
      <c r="F70" s="87">
        <v>0</v>
      </c>
      <c r="G70" s="47">
        <f t="shared" si="4"/>
        <v>10</v>
      </c>
      <c r="H70" s="88">
        <v>2</v>
      </c>
      <c r="I70" s="20">
        <v>50</v>
      </c>
      <c r="J70" s="82">
        <f t="shared" si="5"/>
        <v>100</v>
      </c>
      <c r="K70" s="17" t="s">
        <v>16</v>
      </c>
      <c r="L70" s="18">
        <v>0</v>
      </c>
      <c r="M70" s="23">
        <f t="shared" ref="M70:M134" si="10">SUM(J70-L70)</f>
        <v>100</v>
      </c>
    </row>
    <row r="71" spans="1:13" ht="25.5" x14ac:dyDescent="0.55000000000000004">
      <c r="A71" s="10">
        <v>67</v>
      </c>
      <c r="B71" s="19" t="s">
        <v>82</v>
      </c>
      <c r="C71" s="79">
        <f>+'13'!G71</f>
        <v>12</v>
      </c>
      <c r="D71" s="87">
        <v>0</v>
      </c>
      <c r="E71" s="47">
        <f t="shared" si="0"/>
        <v>12</v>
      </c>
      <c r="F71" s="87">
        <v>0</v>
      </c>
      <c r="G71" s="47">
        <f t="shared" si="4"/>
        <v>11</v>
      </c>
      <c r="H71" s="88">
        <v>1</v>
      </c>
      <c r="I71" s="20">
        <v>60</v>
      </c>
      <c r="J71" s="82">
        <f t="shared" si="5"/>
        <v>60</v>
      </c>
      <c r="K71" s="17" t="s">
        <v>16</v>
      </c>
      <c r="L71" s="18">
        <v>0</v>
      </c>
      <c r="M71" s="23">
        <f t="shared" si="10"/>
        <v>60</v>
      </c>
    </row>
    <row r="72" spans="1:13" ht="25.5" x14ac:dyDescent="0.55000000000000004">
      <c r="A72" s="10">
        <v>68</v>
      </c>
      <c r="B72" s="19" t="s">
        <v>83</v>
      </c>
      <c r="C72" s="79">
        <f>+'13'!G72</f>
        <v>0</v>
      </c>
      <c r="D72" s="87">
        <v>0</v>
      </c>
      <c r="E72" s="47">
        <f t="shared" si="0"/>
        <v>0</v>
      </c>
      <c r="F72" s="87">
        <v>0</v>
      </c>
      <c r="G72" s="47">
        <f t="shared" si="4"/>
        <v>0</v>
      </c>
      <c r="H72" s="88"/>
      <c r="I72" s="22">
        <v>50</v>
      </c>
      <c r="J72" s="82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+'13'!G73</f>
        <v>0</v>
      </c>
      <c r="D73" s="87">
        <v>0</v>
      </c>
      <c r="E73" s="47">
        <f t="shared" si="0"/>
        <v>0</v>
      </c>
      <c r="F73" s="87">
        <v>0</v>
      </c>
      <c r="G73" s="47">
        <f t="shared" si="4"/>
        <v>0</v>
      </c>
      <c r="H73" s="88"/>
      <c r="I73" s="20">
        <v>60</v>
      </c>
      <c r="J73" s="82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+'13'!G74</f>
        <v>4</v>
      </c>
      <c r="D74" s="87">
        <v>0</v>
      </c>
      <c r="E74" s="47">
        <f t="shared" si="0"/>
        <v>4</v>
      </c>
      <c r="F74" s="87">
        <v>0</v>
      </c>
      <c r="G74" s="47">
        <f t="shared" si="4"/>
        <v>2</v>
      </c>
      <c r="H74" s="88">
        <v>2</v>
      </c>
      <c r="I74" s="22">
        <v>120</v>
      </c>
      <c r="J74" s="82">
        <f t="shared" si="5"/>
        <v>240</v>
      </c>
      <c r="K74" s="17" t="s">
        <v>16</v>
      </c>
      <c r="L74" s="18">
        <v>0</v>
      </c>
      <c r="M74" s="23">
        <f t="shared" si="10"/>
        <v>240</v>
      </c>
    </row>
    <row r="75" spans="1:13" ht="25.5" x14ac:dyDescent="0.55000000000000004">
      <c r="A75" s="10">
        <v>71</v>
      </c>
      <c r="B75" s="19" t="s">
        <v>86</v>
      </c>
      <c r="C75" s="79">
        <f>+'13'!G75</f>
        <v>0</v>
      </c>
      <c r="D75" s="87">
        <v>0</v>
      </c>
      <c r="E75" s="47">
        <f t="shared" si="0"/>
        <v>0</v>
      </c>
      <c r="F75" s="87">
        <v>0</v>
      </c>
      <c r="G75" s="47">
        <f t="shared" si="4"/>
        <v>0</v>
      </c>
      <c r="H75" s="88"/>
      <c r="I75" s="22">
        <v>60</v>
      </c>
      <c r="J75" s="82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+'13'!G76</f>
        <v>0</v>
      </c>
      <c r="D76" s="87">
        <v>0</v>
      </c>
      <c r="E76" s="47">
        <f t="shared" si="0"/>
        <v>0</v>
      </c>
      <c r="F76" s="87">
        <v>0</v>
      </c>
      <c r="G76" s="47">
        <f t="shared" si="4"/>
        <v>0</v>
      </c>
      <c r="H76" s="88"/>
      <c r="I76" s="22">
        <v>120</v>
      </c>
      <c r="J76" s="82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272</v>
      </c>
      <c r="C77" s="79">
        <f>+'13'!G77</f>
        <v>0</v>
      </c>
      <c r="D77" s="87">
        <v>0</v>
      </c>
      <c r="E77" s="47">
        <f>C77+D77</f>
        <v>0</v>
      </c>
      <c r="F77" s="87">
        <v>0</v>
      </c>
      <c r="G77" s="47">
        <f>+E77-F77-H77</f>
        <v>0</v>
      </c>
      <c r="H77" s="88"/>
      <c r="I77" s="20">
        <v>50</v>
      </c>
      <c r="J77" s="82">
        <f>+I77*H77</f>
        <v>0</v>
      </c>
      <c r="K77" s="17" t="s">
        <v>16</v>
      </c>
      <c r="L77" s="18">
        <v>0</v>
      </c>
      <c r="M77" s="23">
        <f>SUM(J77-L77)</f>
        <v>0</v>
      </c>
    </row>
    <row r="78" spans="1:13" ht="25.5" x14ac:dyDescent="0.55000000000000004">
      <c r="A78" s="10">
        <v>74</v>
      </c>
      <c r="B78" s="19" t="s">
        <v>277</v>
      </c>
      <c r="C78" s="79">
        <f>+'13'!G78</f>
        <v>0</v>
      </c>
      <c r="D78" s="87">
        <v>0</v>
      </c>
      <c r="E78" s="47">
        <f t="shared" si="0"/>
        <v>0</v>
      </c>
      <c r="F78" s="87">
        <v>0</v>
      </c>
      <c r="G78" s="47">
        <f t="shared" si="4"/>
        <v>0</v>
      </c>
      <c r="H78" s="88"/>
      <c r="I78" s="20">
        <v>50</v>
      </c>
      <c r="J78" s="82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278</v>
      </c>
      <c r="C79" s="79">
        <f>+'13'!G79</f>
        <v>0</v>
      </c>
      <c r="D79" s="87">
        <v>0</v>
      </c>
      <c r="E79" s="47">
        <f t="shared" si="0"/>
        <v>0</v>
      </c>
      <c r="F79" s="87">
        <v>0</v>
      </c>
      <c r="G79" s="47">
        <f t="shared" si="4"/>
        <v>0</v>
      </c>
      <c r="H79" s="88"/>
      <c r="I79" s="22">
        <v>120</v>
      </c>
      <c r="J79" s="82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90</v>
      </c>
      <c r="C80" s="79">
        <f>+'13'!G80</f>
        <v>0</v>
      </c>
      <c r="D80" s="87">
        <v>0</v>
      </c>
      <c r="E80" s="47">
        <f t="shared" si="0"/>
        <v>0</v>
      </c>
      <c r="F80" s="87">
        <v>0</v>
      </c>
      <c r="G80" s="47">
        <f t="shared" si="4"/>
        <v>0</v>
      </c>
      <c r="H80" s="88"/>
      <c r="I80" s="22">
        <v>50</v>
      </c>
      <c r="J80" s="82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91</v>
      </c>
      <c r="C81" s="79">
        <f>+'13'!G81</f>
        <v>0</v>
      </c>
      <c r="D81" s="87">
        <v>0</v>
      </c>
      <c r="E81" s="47">
        <f t="shared" si="0"/>
        <v>0</v>
      </c>
      <c r="F81" s="87">
        <v>0</v>
      </c>
      <c r="G81" s="47">
        <f t="shared" si="4"/>
        <v>0</v>
      </c>
      <c r="H81" s="88"/>
      <c r="I81" s="22">
        <v>50</v>
      </c>
      <c r="J81" s="82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92</v>
      </c>
      <c r="C82" s="79">
        <f>+'13'!G82</f>
        <v>2</v>
      </c>
      <c r="D82" s="87">
        <v>0</v>
      </c>
      <c r="E82" s="47">
        <f t="shared" si="0"/>
        <v>2</v>
      </c>
      <c r="F82" s="87">
        <v>0</v>
      </c>
      <c r="G82" s="47">
        <f t="shared" si="4"/>
        <v>2</v>
      </c>
      <c r="H82" s="88"/>
      <c r="I82" s="20">
        <v>55</v>
      </c>
      <c r="J82" s="82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93</v>
      </c>
      <c r="C83" s="79">
        <f>+'13'!G83</f>
        <v>2</v>
      </c>
      <c r="D83" s="87">
        <v>0</v>
      </c>
      <c r="E83" s="47">
        <f t="shared" si="0"/>
        <v>2</v>
      </c>
      <c r="F83" s="87">
        <v>0</v>
      </c>
      <c r="G83" s="47">
        <f t="shared" si="4"/>
        <v>1</v>
      </c>
      <c r="H83" s="88">
        <v>1</v>
      </c>
      <c r="I83" s="22">
        <v>55</v>
      </c>
      <c r="J83" s="82">
        <f t="shared" si="5"/>
        <v>55</v>
      </c>
      <c r="K83" s="17" t="s">
        <v>16</v>
      </c>
      <c r="L83" s="18">
        <v>0</v>
      </c>
      <c r="M83" s="23">
        <f t="shared" si="10"/>
        <v>55</v>
      </c>
    </row>
    <row r="84" spans="1:13" ht="25.5" x14ac:dyDescent="0.55000000000000004">
      <c r="A84" s="10">
        <v>80</v>
      </c>
      <c r="B84" s="19" t="s">
        <v>94</v>
      </c>
      <c r="C84" s="79">
        <f>+'13'!G84</f>
        <v>0</v>
      </c>
      <c r="D84" s="87">
        <v>0</v>
      </c>
      <c r="E84" s="47">
        <f t="shared" si="0"/>
        <v>0</v>
      </c>
      <c r="F84" s="87">
        <v>0</v>
      </c>
      <c r="G84" s="47">
        <f t="shared" si="4"/>
        <v>0</v>
      </c>
      <c r="H84" s="88"/>
      <c r="I84" s="22">
        <v>55</v>
      </c>
      <c r="J84" s="82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95</v>
      </c>
      <c r="C85" s="79">
        <f>+'13'!G85</f>
        <v>0</v>
      </c>
      <c r="D85" s="87">
        <v>0</v>
      </c>
      <c r="E85" s="47">
        <f t="shared" si="0"/>
        <v>0</v>
      </c>
      <c r="F85" s="87">
        <v>0</v>
      </c>
      <c r="G85" s="47">
        <f t="shared" si="4"/>
        <v>0</v>
      </c>
      <c r="H85" s="88"/>
      <c r="I85" s="22">
        <v>55</v>
      </c>
      <c r="J85" s="82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96</v>
      </c>
      <c r="C86" s="79">
        <f>+'13'!G86</f>
        <v>5</v>
      </c>
      <c r="D86" s="87">
        <v>0</v>
      </c>
      <c r="E86" s="47">
        <f t="shared" si="0"/>
        <v>5</v>
      </c>
      <c r="F86" s="87">
        <v>0</v>
      </c>
      <c r="G86" s="47">
        <f t="shared" si="4"/>
        <v>4</v>
      </c>
      <c r="H86" s="88">
        <v>1</v>
      </c>
      <c r="I86" s="22">
        <v>100</v>
      </c>
      <c r="J86" s="82">
        <f t="shared" si="5"/>
        <v>100</v>
      </c>
      <c r="K86" s="17" t="s">
        <v>16</v>
      </c>
      <c r="L86" s="18">
        <v>0</v>
      </c>
      <c r="M86" s="23">
        <f t="shared" si="10"/>
        <v>100</v>
      </c>
    </row>
    <row r="87" spans="1:13" ht="25.5" x14ac:dyDescent="0.55000000000000004">
      <c r="A87" s="10">
        <v>83</v>
      </c>
      <c r="B87" s="19" t="s">
        <v>97</v>
      </c>
      <c r="C87" s="79">
        <f>+'13'!G87</f>
        <v>3</v>
      </c>
      <c r="D87" s="87">
        <v>0</v>
      </c>
      <c r="E87" s="47">
        <f t="shared" si="0"/>
        <v>3</v>
      </c>
      <c r="F87" s="87">
        <v>0</v>
      </c>
      <c r="G87" s="47">
        <f t="shared" si="4"/>
        <v>3</v>
      </c>
      <c r="H87" s="88"/>
      <c r="I87" s="20">
        <v>55</v>
      </c>
      <c r="J87" s="82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98</v>
      </c>
      <c r="C88" s="79">
        <f>+'13'!G88</f>
        <v>2</v>
      </c>
      <c r="D88" s="87">
        <v>0</v>
      </c>
      <c r="E88" s="47">
        <f t="shared" si="0"/>
        <v>2</v>
      </c>
      <c r="F88" s="87">
        <v>0</v>
      </c>
      <c r="G88" s="47">
        <f t="shared" si="4"/>
        <v>2</v>
      </c>
      <c r="H88" s="88"/>
      <c r="I88" s="20">
        <v>60</v>
      </c>
      <c r="J88" s="82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99</v>
      </c>
      <c r="C89" s="79">
        <f>+'13'!G89</f>
        <v>2</v>
      </c>
      <c r="D89" s="87">
        <v>0</v>
      </c>
      <c r="E89" s="47">
        <f t="shared" si="0"/>
        <v>2</v>
      </c>
      <c r="F89" s="87">
        <v>0</v>
      </c>
      <c r="G89" s="47">
        <f t="shared" si="4"/>
        <v>2</v>
      </c>
      <c r="H89" s="88"/>
      <c r="I89" s="20">
        <v>100</v>
      </c>
      <c r="J89" s="82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100</v>
      </c>
      <c r="C90" s="79">
        <f>+'13'!G90</f>
        <v>9</v>
      </c>
      <c r="D90" s="87">
        <v>0</v>
      </c>
      <c r="E90" s="47">
        <f t="shared" si="0"/>
        <v>9</v>
      </c>
      <c r="F90" s="87">
        <v>0</v>
      </c>
      <c r="G90" s="47">
        <f t="shared" si="4"/>
        <v>9</v>
      </c>
      <c r="H90" s="88"/>
      <c r="I90" s="20">
        <v>55</v>
      </c>
      <c r="J90" s="82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101</v>
      </c>
      <c r="C91" s="79">
        <f>+'13'!G91</f>
        <v>0</v>
      </c>
      <c r="D91" s="87">
        <v>0</v>
      </c>
      <c r="E91" s="47">
        <f t="shared" si="0"/>
        <v>0</v>
      </c>
      <c r="F91" s="87">
        <v>0</v>
      </c>
      <c r="G91" s="47">
        <f t="shared" si="4"/>
        <v>0</v>
      </c>
      <c r="H91" s="88"/>
      <c r="I91" s="20">
        <v>50</v>
      </c>
      <c r="J91" s="82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102</v>
      </c>
      <c r="C92" s="79">
        <f>+'13'!G92</f>
        <v>0</v>
      </c>
      <c r="D92" s="87">
        <v>0</v>
      </c>
      <c r="E92" s="47">
        <f t="shared" si="0"/>
        <v>0</v>
      </c>
      <c r="F92" s="87">
        <v>0</v>
      </c>
      <c r="G92" s="47">
        <f t="shared" si="4"/>
        <v>0</v>
      </c>
      <c r="H92" s="88"/>
      <c r="I92" s="22">
        <v>50</v>
      </c>
      <c r="J92" s="82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248</v>
      </c>
      <c r="C93" s="79">
        <f>+'13'!G93</f>
        <v>0</v>
      </c>
      <c r="D93" s="87">
        <v>0</v>
      </c>
      <c r="E93" s="47">
        <f t="shared" si="0"/>
        <v>0</v>
      </c>
      <c r="F93" s="87">
        <v>0</v>
      </c>
      <c r="G93" s="47">
        <f t="shared" si="4"/>
        <v>0</v>
      </c>
      <c r="H93" s="88"/>
      <c r="I93" s="22">
        <v>120</v>
      </c>
      <c r="J93" s="82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104</v>
      </c>
      <c r="C94" s="79">
        <f>+'13'!G94</f>
        <v>0</v>
      </c>
      <c r="D94" s="87">
        <v>0</v>
      </c>
      <c r="E94" s="47">
        <f t="shared" si="0"/>
        <v>0</v>
      </c>
      <c r="F94" s="87">
        <v>0</v>
      </c>
      <c r="G94" s="47">
        <f t="shared" si="4"/>
        <v>0</v>
      </c>
      <c r="H94" s="88"/>
      <c r="I94" s="20">
        <v>250</v>
      </c>
      <c r="J94" s="82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105</v>
      </c>
      <c r="C95" s="79">
        <f>+'13'!G95</f>
        <v>0</v>
      </c>
      <c r="D95" s="87">
        <v>0</v>
      </c>
      <c r="E95" s="47">
        <f t="shared" si="0"/>
        <v>0</v>
      </c>
      <c r="F95" s="87">
        <v>0</v>
      </c>
      <c r="G95" s="47">
        <f t="shared" si="4"/>
        <v>0</v>
      </c>
      <c r="H95" s="88"/>
      <c r="I95" s="20">
        <v>120</v>
      </c>
      <c r="J95" s="82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106</v>
      </c>
      <c r="C96" s="79">
        <f>+'13'!G96</f>
        <v>0</v>
      </c>
      <c r="D96" s="87">
        <v>0</v>
      </c>
      <c r="E96" s="47">
        <f t="shared" si="0"/>
        <v>0</v>
      </c>
      <c r="F96" s="87">
        <v>0</v>
      </c>
      <c r="G96" s="47">
        <f t="shared" si="4"/>
        <v>0</v>
      </c>
      <c r="H96" s="88"/>
      <c r="I96" s="20">
        <v>120</v>
      </c>
      <c r="J96" s="82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107</v>
      </c>
      <c r="C97" s="79">
        <f>+'13'!G97</f>
        <v>0</v>
      </c>
      <c r="D97" s="87">
        <v>0</v>
      </c>
      <c r="E97" s="47">
        <f t="shared" si="0"/>
        <v>0</v>
      </c>
      <c r="F97" s="87">
        <v>0</v>
      </c>
      <c r="G97" s="47">
        <f t="shared" si="4"/>
        <v>0</v>
      </c>
      <c r="H97" s="88"/>
      <c r="I97" s="20">
        <v>120</v>
      </c>
      <c r="J97" s="82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103</v>
      </c>
      <c r="C98" s="79">
        <f>+'13'!G98</f>
        <v>0</v>
      </c>
      <c r="D98" s="87">
        <v>0</v>
      </c>
      <c r="E98" s="47">
        <f t="shared" si="0"/>
        <v>0</v>
      </c>
      <c r="F98" s="87">
        <v>0</v>
      </c>
      <c r="G98" s="47">
        <f t="shared" si="4"/>
        <v>0</v>
      </c>
      <c r="H98" s="88"/>
      <c r="I98" s="20">
        <v>120</v>
      </c>
      <c r="J98" s="82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109</v>
      </c>
      <c r="C99" s="79">
        <f>+'13'!G99</f>
        <v>0</v>
      </c>
      <c r="D99" s="87">
        <v>0</v>
      </c>
      <c r="E99" s="47">
        <f t="shared" si="0"/>
        <v>0</v>
      </c>
      <c r="F99" s="87">
        <v>0</v>
      </c>
      <c r="G99" s="47">
        <f t="shared" si="4"/>
        <v>0</v>
      </c>
      <c r="H99" s="88"/>
      <c r="I99" s="20">
        <v>50</v>
      </c>
      <c r="J99" s="82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110</v>
      </c>
      <c r="C100" s="79">
        <f>+'13'!G100</f>
        <v>0</v>
      </c>
      <c r="D100" s="87">
        <v>0</v>
      </c>
      <c r="E100" s="47">
        <f t="shared" si="0"/>
        <v>0</v>
      </c>
      <c r="F100" s="87">
        <v>0</v>
      </c>
      <c r="G100" s="47">
        <f t="shared" si="4"/>
        <v>0</v>
      </c>
      <c r="H100" s="88"/>
      <c r="I100" s="20">
        <v>50</v>
      </c>
      <c r="J100" s="82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111</v>
      </c>
      <c r="C101" s="79">
        <f>+'13'!G101</f>
        <v>0</v>
      </c>
      <c r="D101" s="87">
        <v>0</v>
      </c>
      <c r="E101" s="47">
        <f t="shared" si="0"/>
        <v>0</v>
      </c>
      <c r="F101" s="87">
        <v>0</v>
      </c>
      <c r="G101" s="47">
        <f t="shared" ref="G101:G164" si="11">+E101-F101-H101</f>
        <v>0</v>
      </c>
      <c r="H101" s="88"/>
      <c r="I101" s="20">
        <v>60</v>
      </c>
      <c r="J101" s="82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112</v>
      </c>
      <c r="C102" s="79">
        <f>+'13'!G102</f>
        <v>0</v>
      </c>
      <c r="D102" s="87">
        <v>0</v>
      </c>
      <c r="E102" s="47">
        <f t="shared" si="0"/>
        <v>0</v>
      </c>
      <c r="F102" s="87">
        <v>0</v>
      </c>
      <c r="G102" s="47">
        <f t="shared" si="11"/>
        <v>0</v>
      </c>
      <c r="H102" s="88"/>
      <c r="I102" s="20">
        <v>55</v>
      </c>
      <c r="J102" s="82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113</v>
      </c>
      <c r="C103" s="79">
        <f>+'13'!G103</f>
        <v>0</v>
      </c>
      <c r="D103" s="87">
        <v>0</v>
      </c>
      <c r="E103" s="47">
        <f t="shared" si="0"/>
        <v>0</v>
      </c>
      <c r="F103" s="87">
        <v>0</v>
      </c>
      <c r="G103" s="47">
        <f t="shared" si="11"/>
        <v>0</v>
      </c>
      <c r="H103" s="88"/>
      <c r="I103" s="20">
        <v>50</v>
      </c>
      <c r="J103" s="82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114</v>
      </c>
      <c r="C104" s="79">
        <f>+'13'!G104</f>
        <v>0</v>
      </c>
      <c r="D104" s="87">
        <v>0</v>
      </c>
      <c r="E104" s="47">
        <f t="shared" si="0"/>
        <v>0</v>
      </c>
      <c r="F104" s="87">
        <v>0</v>
      </c>
      <c r="G104" s="47">
        <f t="shared" si="11"/>
        <v>0</v>
      </c>
      <c r="H104" s="88"/>
      <c r="I104" s="20">
        <v>100</v>
      </c>
      <c r="J104" s="82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115</v>
      </c>
      <c r="C105" s="79">
        <f>+'13'!G105</f>
        <v>0</v>
      </c>
      <c r="D105" s="87">
        <v>0</v>
      </c>
      <c r="E105" s="47">
        <f t="shared" si="0"/>
        <v>0</v>
      </c>
      <c r="F105" s="87">
        <v>0</v>
      </c>
      <c r="G105" s="47">
        <f t="shared" si="11"/>
        <v>0</v>
      </c>
      <c r="H105" s="88"/>
      <c r="I105" s="20">
        <v>100</v>
      </c>
      <c r="J105" s="82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116</v>
      </c>
      <c r="C106" s="79">
        <f>+'13'!G106</f>
        <v>0</v>
      </c>
      <c r="D106" s="87">
        <v>0</v>
      </c>
      <c r="E106" s="47">
        <f t="shared" si="0"/>
        <v>0</v>
      </c>
      <c r="F106" s="87">
        <v>0</v>
      </c>
      <c r="G106" s="47">
        <f t="shared" si="11"/>
        <v>0</v>
      </c>
      <c r="H106" s="88"/>
      <c r="I106" s="22">
        <v>30</v>
      </c>
      <c r="J106" s="82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117</v>
      </c>
      <c r="C107" s="79">
        <f>+'13'!G107</f>
        <v>0</v>
      </c>
      <c r="D107" s="87">
        <v>0</v>
      </c>
      <c r="E107" s="47">
        <f t="shared" si="0"/>
        <v>0</v>
      </c>
      <c r="F107" s="87">
        <v>0</v>
      </c>
      <c r="G107" s="47">
        <f t="shared" si="11"/>
        <v>0</v>
      </c>
      <c r="H107" s="88"/>
      <c r="I107" s="22">
        <v>20</v>
      </c>
      <c r="J107" s="82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118</v>
      </c>
      <c r="C108" s="79">
        <f>+'13'!G108</f>
        <v>0</v>
      </c>
      <c r="D108" s="87">
        <v>0</v>
      </c>
      <c r="E108" s="47">
        <f t="shared" si="0"/>
        <v>0</v>
      </c>
      <c r="F108" s="87">
        <v>0</v>
      </c>
      <c r="G108" s="47">
        <f t="shared" si="11"/>
        <v>0</v>
      </c>
      <c r="H108" s="88"/>
      <c r="I108" s="20">
        <v>100</v>
      </c>
      <c r="J108" s="82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120</v>
      </c>
      <c r="C109" s="79">
        <f>+'13'!G109</f>
        <v>0</v>
      </c>
      <c r="D109" s="87">
        <v>0</v>
      </c>
      <c r="E109" s="47">
        <f t="shared" si="0"/>
        <v>0</v>
      </c>
      <c r="F109" s="87">
        <v>0</v>
      </c>
      <c r="G109" s="47">
        <f t="shared" si="11"/>
        <v>0</v>
      </c>
      <c r="H109" s="88"/>
      <c r="I109" s="20">
        <v>80</v>
      </c>
      <c r="J109" s="82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121</v>
      </c>
      <c r="C110" s="79">
        <f>+'13'!G110</f>
        <v>0</v>
      </c>
      <c r="D110" s="87">
        <v>0</v>
      </c>
      <c r="E110" s="47">
        <f t="shared" si="0"/>
        <v>0</v>
      </c>
      <c r="F110" s="87">
        <v>0</v>
      </c>
      <c r="G110" s="47">
        <f t="shared" si="11"/>
        <v>0</v>
      </c>
      <c r="H110" s="88"/>
      <c r="I110" s="20">
        <v>60</v>
      </c>
      <c r="J110" s="82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122</v>
      </c>
      <c r="C111" s="79">
        <f>+'13'!G111</f>
        <v>0</v>
      </c>
      <c r="D111" s="87">
        <v>0</v>
      </c>
      <c r="E111" s="47">
        <f t="shared" si="0"/>
        <v>0</v>
      </c>
      <c r="F111" s="87">
        <v>0</v>
      </c>
      <c r="G111" s="47">
        <f t="shared" si="11"/>
        <v>0</v>
      </c>
      <c r="H111" s="88"/>
      <c r="I111" s="20">
        <v>35</v>
      </c>
      <c r="J111" s="82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123</v>
      </c>
      <c r="C112" s="79">
        <f>+'13'!G112</f>
        <v>0</v>
      </c>
      <c r="D112" s="87">
        <v>0</v>
      </c>
      <c r="E112" s="47">
        <f t="shared" si="0"/>
        <v>0</v>
      </c>
      <c r="F112" s="87">
        <v>0</v>
      </c>
      <c r="G112" s="47">
        <f t="shared" si="11"/>
        <v>0</v>
      </c>
      <c r="H112" s="88"/>
      <c r="I112" s="20">
        <v>35</v>
      </c>
      <c r="J112" s="82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124</v>
      </c>
      <c r="C113" s="79">
        <f>+'13'!G113</f>
        <v>0</v>
      </c>
      <c r="D113" s="87">
        <v>0</v>
      </c>
      <c r="E113" s="47">
        <f t="shared" si="0"/>
        <v>0</v>
      </c>
      <c r="F113" s="87">
        <v>0</v>
      </c>
      <c r="G113" s="47">
        <f t="shared" si="11"/>
        <v>0</v>
      </c>
      <c r="H113" s="88"/>
      <c r="I113" s="20">
        <v>35</v>
      </c>
      <c r="J113" s="82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125</v>
      </c>
      <c r="C114" s="79">
        <f>+'13'!G114</f>
        <v>0</v>
      </c>
      <c r="D114" s="87">
        <v>0</v>
      </c>
      <c r="E114" s="47">
        <f t="shared" si="0"/>
        <v>0</v>
      </c>
      <c r="F114" s="87">
        <v>0</v>
      </c>
      <c r="G114" s="47">
        <f t="shared" si="11"/>
        <v>0</v>
      </c>
      <c r="H114" s="88"/>
      <c r="I114" s="20">
        <v>35</v>
      </c>
      <c r="J114" s="82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126</v>
      </c>
      <c r="C115" s="79">
        <f>+'13'!G115</f>
        <v>0</v>
      </c>
      <c r="D115" s="87">
        <v>0</v>
      </c>
      <c r="E115" s="47">
        <f t="shared" si="0"/>
        <v>0</v>
      </c>
      <c r="F115" s="87">
        <v>0</v>
      </c>
      <c r="G115" s="47">
        <f t="shared" si="11"/>
        <v>0</v>
      </c>
      <c r="H115" s="88"/>
      <c r="I115" s="20">
        <v>35</v>
      </c>
      <c r="J115" s="82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127</v>
      </c>
      <c r="C116" s="79">
        <f>+'13'!G116</f>
        <v>0</v>
      </c>
      <c r="D116" s="87">
        <v>0</v>
      </c>
      <c r="E116" s="47">
        <f t="shared" si="0"/>
        <v>0</v>
      </c>
      <c r="F116" s="87">
        <v>0</v>
      </c>
      <c r="G116" s="47">
        <f t="shared" si="11"/>
        <v>0</v>
      </c>
      <c r="H116" s="88"/>
      <c r="I116" s="20">
        <v>30</v>
      </c>
      <c r="J116" s="82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128</v>
      </c>
      <c r="C117" s="79">
        <f>+'13'!G117</f>
        <v>0</v>
      </c>
      <c r="D117" s="87">
        <v>0</v>
      </c>
      <c r="E117" s="47">
        <f t="shared" si="0"/>
        <v>0</v>
      </c>
      <c r="F117" s="87">
        <v>0</v>
      </c>
      <c r="G117" s="47">
        <f t="shared" si="11"/>
        <v>0</v>
      </c>
      <c r="H117" s="88"/>
      <c r="I117" s="20">
        <v>30</v>
      </c>
      <c r="J117" s="82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129</v>
      </c>
      <c r="C118" s="79">
        <f>+'13'!G118</f>
        <v>0</v>
      </c>
      <c r="D118" s="87">
        <v>0</v>
      </c>
      <c r="E118" s="47">
        <f t="shared" si="0"/>
        <v>0</v>
      </c>
      <c r="F118" s="87">
        <v>0</v>
      </c>
      <c r="G118" s="47">
        <f t="shared" si="11"/>
        <v>0</v>
      </c>
      <c r="H118" s="88"/>
      <c r="I118" s="20">
        <v>30</v>
      </c>
      <c r="J118" s="82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130</v>
      </c>
      <c r="C119" s="79">
        <f>+'13'!G119</f>
        <v>0</v>
      </c>
      <c r="D119" s="87">
        <v>0</v>
      </c>
      <c r="E119" s="47">
        <f t="shared" si="0"/>
        <v>0</v>
      </c>
      <c r="F119" s="87">
        <v>0</v>
      </c>
      <c r="G119" s="47">
        <f t="shared" si="11"/>
        <v>0</v>
      </c>
      <c r="H119" s="88"/>
      <c r="I119" s="20">
        <v>30</v>
      </c>
      <c r="J119" s="82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131</v>
      </c>
      <c r="C120" s="79">
        <f>+'13'!G120</f>
        <v>0</v>
      </c>
      <c r="D120" s="87">
        <v>0</v>
      </c>
      <c r="E120" s="47">
        <f t="shared" si="0"/>
        <v>0</v>
      </c>
      <c r="F120" s="87">
        <v>0</v>
      </c>
      <c r="G120" s="47">
        <f t="shared" si="11"/>
        <v>0</v>
      </c>
      <c r="H120" s="88"/>
      <c r="I120" s="20">
        <v>30</v>
      </c>
      <c r="J120" s="82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132</v>
      </c>
      <c r="C121" s="79">
        <f>+'13'!G121</f>
        <v>0</v>
      </c>
      <c r="D121" s="87">
        <v>0</v>
      </c>
      <c r="E121" s="47">
        <f t="shared" si="0"/>
        <v>0</v>
      </c>
      <c r="F121" s="87">
        <v>0</v>
      </c>
      <c r="G121" s="47">
        <f t="shared" si="11"/>
        <v>0</v>
      </c>
      <c r="H121" s="88"/>
      <c r="I121" s="20">
        <v>30</v>
      </c>
      <c r="J121" s="82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133</v>
      </c>
      <c r="C122" s="79">
        <f>+'13'!G122</f>
        <v>0</v>
      </c>
      <c r="D122" s="87">
        <v>0</v>
      </c>
      <c r="E122" s="47">
        <f t="shared" si="0"/>
        <v>0</v>
      </c>
      <c r="F122" s="87">
        <v>0</v>
      </c>
      <c r="G122" s="47">
        <f t="shared" si="11"/>
        <v>0</v>
      </c>
      <c r="H122" s="88"/>
      <c r="I122" s="20">
        <v>40</v>
      </c>
      <c r="J122" s="82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134</v>
      </c>
      <c r="C123" s="79">
        <f>+'13'!G123</f>
        <v>0</v>
      </c>
      <c r="D123" s="87">
        <v>0</v>
      </c>
      <c r="E123" s="47">
        <f t="shared" si="0"/>
        <v>0</v>
      </c>
      <c r="F123" s="87">
        <v>0</v>
      </c>
      <c r="G123" s="47">
        <f t="shared" si="11"/>
        <v>0</v>
      </c>
      <c r="H123" s="88"/>
      <c r="I123" s="20">
        <v>35</v>
      </c>
      <c r="J123" s="82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135</v>
      </c>
      <c r="C124" s="79">
        <f>+'13'!G124</f>
        <v>0</v>
      </c>
      <c r="D124" s="87">
        <v>0</v>
      </c>
      <c r="E124" s="47">
        <f t="shared" si="0"/>
        <v>0</v>
      </c>
      <c r="F124" s="87">
        <v>0</v>
      </c>
      <c r="G124" s="47">
        <f t="shared" si="11"/>
        <v>0</v>
      </c>
      <c r="H124" s="88"/>
      <c r="I124" s="20">
        <v>40</v>
      </c>
      <c r="J124" s="82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136</v>
      </c>
      <c r="C125" s="79">
        <f>+'13'!G125</f>
        <v>0</v>
      </c>
      <c r="D125" s="87">
        <v>0</v>
      </c>
      <c r="E125" s="47">
        <f t="shared" si="0"/>
        <v>0</v>
      </c>
      <c r="F125" s="87">
        <v>0</v>
      </c>
      <c r="G125" s="47">
        <f t="shared" si="11"/>
        <v>0</v>
      </c>
      <c r="H125" s="88"/>
      <c r="I125" s="20">
        <v>40</v>
      </c>
      <c r="J125" s="82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137</v>
      </c>
      <c r="C126" s="79">
        <f>+'13'!G126</f>
        <v>0</v>
      </c>
      <c r="D126" s="87">
        <v>0</v>
      </c>
      <c r="E126" s="47">
        <f t="shared" ref="E126:E189" si="13">C126+D126</f>
        <v>0</v>
      </c>
      <c r="F126" s="87">
        <v>0</v>
      </c>
      <c r="G126" s="47">
        <f t="shared" si="11"/>
        <v>0</v>
      </c>
      <c r="H126" s="88"/>
      <c r="I126" s="20">
        <v>30</v>
      </c>
      <c r="J126" s="82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138</v>
      </c>
      <c r="C127" s="79">
        <f>+'13'!G127</f>
        <v>0</v>
      </c>
      <c r="D127" s="87">
        <v>0</v>
      </c>
      <c r="E127" s="47">
        <f t="shared" si="13"/>
        <v>0</v>
      </c>
      <c r="F127" s="87">
        <v>0</v>
      </c>
      <c r="G127" s="47">
        <f t="shared" si="11"/>
        <v>0</v>
      </c>
      <c r="H127" s="88"/>
      <c r="I127" s="20">
        <v>40</v>
      </c>
      <c r="J127" s="82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139</v>
      </c>
      <c r="C128" s="79">
        <f>+'13'!G128</f>
        <v>76</v>
      </c>
      <c r="D128" s="87">
        <v>0</v>
      </c>
      <c r="E128" s="47">
        <f t="shared" si="13"/>
        <v>76</v>
      </c>
      <c r="F128" s="87">
        <v>0</v>
      </c>
      <c r="G128" s="47">
        <f t="shared" si="11"/>
        <v>74</v>
      </c>
      <c r="H128" s="88">
        <v>2</v>
      </c>
      <c r="I128" s="20">
        <v>10</v>
      </c>
      <c r="J128" s="82">
        <f t="shared" si="12"/>
        <v>20</v>
      </c>
      <c r="K128" s="17" t="s">
        <v>16</v>
      </c>
      <c r="L128" s="18">
        <v>0</v>
      </c>
      <c r="M128" s="23">
        <f t="shared" si="10"/>
        <v>20</v>
      </c>
    </row>
    <row r="129" spans="1:13" ht="25.5" x14ac:dyDescent="0.55000000000000004">
      <c r="A129" s="10">
        <v>125</v>
      </c>
      <c r="B129" s="19" t="s">
        <v>140</v>
      </c>
      <c r="C129" s="79">
        <f>+'13'!G129</f>
        <v>0</v>
      </c>
      <c r="D129" s="87">
        <v>0</v>
      </c>
      <c r="E129" s="47">
        <f t="shared" si="13"/>
        <v>0</v>
      </c>
      <c r="F129" s="87">
        <v>0</v>
      </c>
      <c r="G129" s="47">
        <f t="shared" si="11"/>
        <v>0</v>
      </c>
      <c r="H129" s="88"/>
      <c r="I129" s="20">
        <v>35</v>
      </c>
      <c r="J129" s="82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141</v>
      </c>
      <c r="C130" s="79">
        <f>+'13'!G130</f>
        <v>0</v>
      </c>
      <c r="D130" s="87">
        <v>0</v>
      </c>
      <c r="E130" s="47">
        <f t="shared" si="13"/>
        <v>0</v>
      </c>
      <c r="F130" s="87">
        <v>0</v>
      </c>
      <c r="G130" s="47">
        <f t="shared" si="11"/>
        <v>0</v>
      </c>
      <c r="H130" s="88"/>
      <c r="I130" s="20">
        <v>40</v>
      </c>
      <c r="J130" s="82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142</v>
      </c>
      <c r="C131" s="79">
        <f>+'13'!G131</f>
        <v>0</v>
      </c>
      <c r="D131" s="87">
        <v>0</v>
      </c>
      <c r="E131" s="47">
        <f t="shared" si="13"/>
        <v>0</v>
      </c>
      <c r="F131" s="87">
        <v>0</v>
      </c>
      <c r="G131" s="47">
        <f t="shared" si="11"/>
        <v>0</v>
      </c>
      <c r="H131" s="88"/>
      <c r="I131" s="20">
        <v>50</v>
      </c>
      <c r="J131" s="82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143</v>
      </c>
      <c r="C132" s="79">
        <f>+'13'!G132</f>
        <v>0</v>
      </c>
      <c r="D132" s="87">
        <v>0</v>
      </c>
      <c r="E132" s="47">
        <f t="shared" si="13"/>
        <v>0</v>
      </c>
      <c r="F132" s="87">
        <v>0</v>
      </c>
      <c r="G132" s="47">
        <f t="shared" si="11"/>
        <v>0</v>
      </c>
      <c r="H132" s="88"/>
      <c r="I132" s="20">
        <v>55</v>
      </c>
      <c r="J132" s="82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144</v>
      </c>
      <c r="C133" s="79">
        <f>+'13'!G133</f>
        <v>0</v>
      </c>
      <c r="D133" s="87">
        <v>0</v>
      </c>
      <c r="E133" s="47">
        <f t="shared" si="13"/>
        <v>0</v>
      </c>
      <c r="F133" s="87">
        <v>0</v>
      </c>
      <c r="G133" s="47">
        <f t="shared" si="11"/>
        <v>0</v>
      </c>
      <c r="H133" s="88"/>
      <c r="I133" s="20">
        <v>55</v>
      </c>
      <c r="J133" s="82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145</v>
      </c>
      <c r="C134" s="79">
        <f>+'13'!G134</f>
        <v>0</v>
      </c>
      <c r="D134" s="87">
        <v>0</v>
      </c>
      <c r="E134" s="47">
        <f t="shared" si="13"/>
        <v>0</v>
      </c>
      <c r="F134" s="87">
        <v>0</v>
      </c>
      <c r="G134" s="47">
        <f t="shared" si="11"/>
        <v>0</v>
      </c>
      <c r="H134" s="88"/>
      <c r="I134" s="20">
        <v>45</v>
      </c>
      <c r="J134" s="82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5.5" x14ac:dyDescent="0.55000000000000004">
      <c r="A135" s="10">
        <v>131</v>
      </c>
      <c r="B135" s="19" t="s">
        <v>146</v>
      </c>
      <c r="C135" s="79">
        <f>+'13'!G135</f>
        <v>0</v>
      </c>
      <c r="D135" s="87">
        <v>0</v>
      </c>
      <c r="E135" s="47">
        <f t="shared" si="13"/>
        <v>0</v>
      </c>
      <c r="F135" s="87">
        <v>0</v>
      </c>
      <c r="G135" s="47">
        <f t="shared" si="11"/>
        <v>0</v>
      </c>
      <c r="H135" s="88"/>
      <c r="I135" s="20">
        <v>45</v>
      </c>
      <c r="J135" s="82">
        <f t="shared" si="12"/>
        <v>0</v>
      </c>
      <c r="K135" s="17" t="s">
        <v>16</v>
      </c>
      <c r="L135" s="18">
        <v>0</v>
      </c>
      <c r="M135" s="23">
        <f t="shared" ref="M135:M198" si="14">SUM(J135-L135)</f>
        <v>0</v>
      </c>
    </row>
    <row r="136" spans="1:13" ht="25.5" x14ac:dyDescent="0.55000000000000004">
      <c r="A136" s="10">
        <v>132</v>
      </c>
      <c r="B136" s="19" t="s">
        <v>147</v>
      </c>
      <c r="C136" s="79">
        <f>+'13'!G136</f>
        <v>0</v>
      </c>
      <c r="D136" s="87">
        <v>0</v>
      </c>
      <c r="E136" s="47">
        <f t="shared" si="13"/>
        <v>0</v>
      </c>
      <c r="F136" s="87">
        <v>0</v>
      </c>
      <c r="G136" s="47">
        <f t="shared" si="11"/>
        <v>0</v>
      </c>
      <c r="H136" s="88"/>
      <c r="I136" s="20">
        <v>55</v>
      </c>
      <c r="J136" s="82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148</v>
      </c>
      <c r="C137" s="79">
        <f>+'13'!G137</f>
        <v>0</v>
      </c>
      <c r="D137" s="87">
        <v>0</v>
      </c>
      <c r="E137" s="47">
        <f t="shared" si="13"/>
        <v>0</v>
      </c>
      <c r="F137" s="87">
        <v>0</v>
      </c>
      <c r="G137" s="47">
        <f t="shared" si="11"/>
        <v>0</v>
      </c>
      <c r="H137" s="88"/>
      <c r="I137" s="20">
        <v>45</v>
      </c>
      <c r="J137" s="82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149</v>
      </c>
      <c r="C138" s="79">
        <f>+'13'!G138</f>
        <v>0</v>
      </c>
      <c r="D138" s="87">
        <v>0</v>
      </c>
      <c r="E138" s="47">
        <f t="shared" si="13"/>
        <v>0</v>
      </c>
      <c r="F138" s="87">
        <v>0</v>
      </c>
      <c r="G138" s="47">
        <f t="shared" si="11"/>
        <v>0</v>
      </c>
      <c r="H138" s="88"/>
      <c r="I138" s="20">
        <v>45</v>
      </c>
      <c r="J138" s="82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150</v>
      </c>
      <c r="C139" s="79">
        <f>+'13'!G139</f>
        <v>0</v>
      </c>
      <c r="D139" s="87">
        <v>0</v>
      </c>
      <c r="E139" s="47">
        <f t="shared" si="13"/>
        <v>0</v>
      </c>
      <c r="F139" s="87">
        <v>0</v>
      </c>
      <c r="G139" s="47">
        <f t="shared" si="11"/>
        <v>0</v>
      </c>
      <c r="H139" s="88"/>
      <c r="I139" s="20">
        <v>45</v>
      </c>
      <c r="J139" s="82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151</v>
      </c>
      <c r="C140" s="79">
        <f>+'13'!G140</f>
        <v>0</v>
      </c>
      <c r="D140" s="87">
        <v>0</v>
      </c>
      <c r="E140" s="47">
        <f t="shared" si="13"/>
        <v>0</v>
      </c>
      <c r="F140" s="87">
        <v>0</v>
      </c>
      <c r="G140" s="47">
        <f t="shared" si="11"/>
        <v>0</v>
      </c>
      <c r="H140" s="88"/>
      <c r="I140" s="20">
        <v>45</v>
      </c>
      <c r="J140" s="82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152</v>
      </c>
      <c r="C141" s="79">
        <f>+'13'!G141</f>
        <v>0</v>
      </c>
      <c r="D141" s="87">
        <v>0</v>
      </c>
      <c r="E141" s="47">
        <f t="shared" si="13"/>
        <v>0</v>
      </c>
      <c r="F141" s="87">
        <v>0</v>
      </c>
      <c r="G141" s="47">
        <f t="shared" si="11"/>
        <v>0</v>
      </c>
      <c r="H141" s="88"/>
      <c r="I141" s="20">
        <v>45</v>
      </c>
      <c r="J141" s="82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153</v>
      </c>
      <c r="C142" s="79">
        <f>+'13'!G142</f>
        <v>0</v>
      </c>
      <c r="D142" s="87">
        <v>0</v>
      </c>
      <c r="E142" s="47">
        <f t="shared" si="13"/>
        <v>0</v>
      </c>
      <c r="F142" s="87">
        <v>0</v>
      </c>
      <c r="G142" s="47">
        <f t="shared" si="11"/>
        <v>0</v>
      </c>
      <c r="H142" s="88"/>
      <c r="I142" s="20">
        <v>45</v>
      </c>
      <c r="J142" s="82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154</v>
      </c>
      <c r="C143" s="79">
        <f>+'13'!G143</f>
        <v>0</v>
      </c>
      <c r="D143" s="87">
        <v>0</v>
      </c>
      <c r="E143" s="47">
        <f t="shared" si="13"/>
        <v>0</v>
      </c>
      <c r="F143" s="87">
        <v>0</v>
      </c>
      <c r="G143" s="47">
        <f t="shared" si="11"/>
        <v>0</v>
      </c>
      <c r="H143" s="88"/>
      <c r="I143" s="20">
        <v>120</v>
      </c>
      <c r="J143" s="82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155</v>
      </c>
      <c r="C144" s="79">
        <f>+'13'!G144</f>
        <v>0</v>
      </c>
      <c r="D144" s="87">
        <v>0</v>
      </c>
      <c r="E144" s="47">
        <f t="shared" si="13"/>
        <v>0</v>
      </c>
      <c r="F144" s="87">
        <v>0</v>
      </c>
      <c r="G144" s="47">
        <f t="shared" si="11"/>
        <v>0</v>
      </c>
      <c r="H144" s="88"/>
      <c r="I144" s="20">
        <v>120</v>
      </c>
      <c r="J144" s="82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156</v>
      </c>
      <c r="C145" s="79">
        <f>+'13'!G145</f>
        <v>0</v>
      </c>
      <c r="D145" s="87">
        <v>0</v>
      </c>
      <c r="E145" s="47">
        <f t="shared" si="13"/>
        <v>0</v>
      </c>
      <c r="F145" s="87">
        <v>0</v>
      </c>
      <c r="G145" s="47">
        <f t="shared" si="11"/>
        <v>0</v>
      </c>
      <c r="H145" s="88"/>
      <c r="I145" s="20">
        <v>120</v>
      </c>
      <c r="J145" s="82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157</v>
      </c>
      <c r="C146" s="79">
        <f>+'13'!G146</f>
        <v>0</v>
      </c>
      <c r="D146" s="87">
        <v>0</v>
      </c>
      <c r="E146" s="47">
        <f t="shared" si="13"/>
        <v>0</v>
      </c>
      <c r="F146" s="87">
        <v>0</v>
      </c>
      <c r="G146" s="47">
        <f t="shared" si="11"/>
        <v>0</v>
      </c>
      <c r="H146" s="88"/>
      <c r="I146" s="20">
        <v>120</v>
      </c>
      <c r="J146" s="82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158</v>
      </c>
      <c r="C147" s="79">
        <f>+'13'!G147</f>
        <v>0</v>
      </c>
      <c r="D147" s="87">
        <v>0</v>
      </c>
      <c r="E147" s="47">
        <f t="shared" si="13"/>
        <v>0</v>
      </c>
      <c r="F147" s="87">
        <v>0</v>
      </c>
      <c r="G147" s="47">
        <f t="shared" si="11"/>
        <v>0</v>
      </c>
      <c r="H147" s="88"/>
      <c r="I147" s="20">
        <v>185</v>
      </c>
      <c r="J147" s="82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159</v>
      </c>
      <c r="C148" s="79">
        <f>+'13'!G148</f>
        <v>0</v>
      </c>
      <c r="D148" s="87">
        <v>0</v>
      </c>
      <c r="E148" s="47">
        <f t="shared" si="13"/>
        <v>0</v>
      </c>
      <c r="F148" s="87">
        <v>0</v>
      </c>
      <c r="G148" s="47">
        <f t="shared" si="11"/>
        <v>0</v>
      </c>
      <c r="H148" s="88"/>
      <c r="I148" s="20">
        <v>185</v>
      </c>
      <c r="J148" s="82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160</v>
      </c>
      <c r="C149" s="79">
        <f>+'13'!G149</f>
        <v>0</v>
      </c>
      <c r="D149" s="87">
        <v>0</v>
      </c>
      <c r="E149" s="47">
        <f t="shared" si="13"/>
        <v>0</v>
      </c>
      <c r="F149" s="87">
        <v>0</v>
      </c>
      <c r="G149" s="47">
        <f t="shared" si="11"/>
        <v>0</v>
      </c>
      <c r="H149" s="88"/>
      <c r="I149" s="20">
        <v>185</v>
      </c>
      <c r="J149" s="82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161</v>
      </c>
      <c r="C150" s="79">
        <f>+'13'!G150</f>
        <v>0</v>
      </c>
      <c r="D150" s="87">
        <v>0</v>
      </c>
      <c r="E150" s="47">
        <f t="shared" si="13"/>
        <v>0</v>
      </c>
      <c r="F150" s="87">
        <v>0</v>
      </c>
      <c r="G150" s="47">
        <f t="shared" si="11"/>
        <v>0</v>
      </c>
      <c r="H150" s="88"/>
      <c r="I150" s="20">
        <v>185</v>
      </c>
      <c r="J150" s="82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5.5" x14ac:dyDescent="0.55000000000000004">
      <c r="A151" s="10">
        <v>147</v>
      </c>
      <c r="B151" s="19" t="s">
        <v>279</v>
      </c>
      <c r="C151" s="79">
        <f>+'13'!G151</f>
        <v>0</v>
      </c>
      <c r="D151" s="87">
        <v>0</v>
      </c>
      <c r="E151" s="47">
        <f t="shared" si="13"/>
        <v>0</v>
      </c>
      <c r="F151" s="87">
        <v>0</v>
      </c>
      <c r="G151" s="47">
        <f t="shared" si="11"/>
        <v>0</v>
      </c>
      <c r="H151" s="88"/>
      <c r="I151" s="20">
        <v>150</v>
      </c>
      <c r="J151" s="82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280</v>
      </c>
      <c r="C152" s="79">
        <f>+'13'!G152</f>
        <v>1</v>
      </c>
      <c r="D152" s="87">
        <v>0</v>
      </c>
      <c r="E152" s="47">
        <f t="shared" si="13"/>
        <v>1</v>
      </c>
      <c r="F152" s="87">
        <v>0</v>
      </c>
      <c r="G152" s="47">
        <f t="shared" si="11"/>
        <v>1</v>
      </c>
      <c r="H152" s="88"/>
      <c r="I152" s="20">
        <v>150</v>
      </c>
      <c r="J152" s="82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5.5" x14ac:dyDescent="0.55000000000000004">
      <c r="A153" s="10">
        <v>149</v>
      </c>
      <c r="B153" s="19" t="s">
        <v>281</v>
      </c>
      <c r="C153" s="79">
        <f>+'13'!G153</f>
        <v>0</v>
      </c>
      <c r="D153" s="87">
        <v>0</v>
      </c>
      <c r="E153" s="47">
        <f t="shared" si="13"/>
        <v>0</v>
      </c>
      <c r="F153" s="87">
        <v>0</v>
      </c>
      <c r="G153" s="47">
        <f t="shared" si="11"/>
        <v>0</v>
      </c>
      <c r="H153" s="88"/>
      <c r="I153" s="20">
        <v>150</v>
      </c>
      <c r="J153" s="82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282</v>
      </c>
      <c r="C154" s="79">
        <f>+'13'!G154</f>
        <v>0</v>
      </c>
      <c r="D154" s="87">
        <v>0</v>
      </c>
      <c r="E154" s="47">
        <f t="shared" si="13"/>
        <v>0</v>
      </c>
      <c r="F154" s="87">
        <v>0</v>
      </c>
      <c r="G154" s="47">
        <f t="shared" si="11"/>
        <v>0</v>
      </c>
      <c r="H154" s="88"/>
      <c r="I154" s="20">
        <v>150</v>
      </c>
      <c r="J154" s="82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166</v>
      </c>
      <c r="C155" s="79">
        <f>+'13'!G155</f>
        <v>0</v>
      </c>
      <c r="D155" s="87">
        <v>0</v>
      </c>
      <c r="E155" s="47">
        <f t="shared" si="13"/>
        <v>0</v>
      </c>
      <c r="F155" s="87">
        <v>0</v>
      </c>
      <c r="G155" s="47">
        <f t="shared" si="11"/>
        <v>0</v>
      </c>
      <c r="H155" s="88"/>
      <c r="I155" s="20">
        <v>185</v>
      </c>
      <c r="J155" s="82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167</v>
      </c>
      <c r="C156" s="79">
        <f>+'13'!G156</f>
        <v>0</v>
      </c>
      <c r="D156" s="87">
        <v>0</v>
      </c>
      <c r="E156" s="47">
        <f t="shared" si="13"/>
        <v>0</v>
      </c>
      <c r="F156" s="87">
        <v>0</v>
      </c>
      <c r="G156" s="47">
        <f t="shared" si="11"/>
        <v>0</v>
      </c>
      <c r="H156" s="88"/>
      <c r="I156" s="20">
        <v>185</v>
      </c>
      <c r="J156" s="82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168</v>
      </c>
      <c r="C157" s="79">
        <f>+'13'!G157</f>
        <v>0</v>
      </c>
      <c r="D157" s="87">
        <v>0</v>
      </c>
      <c r="E157" s="47">
        <f t="shared" si="13"/>
        <v>0</v>
      </c>
      <c r="F157" s="87">
        <v>0</v>
      </c>
      <c r="G157" s="47">
        <f t="shared" si="11"/>
        <v>0</v>
      </c>
      <c r="H157" s="88"/>
      <c r="I157" s="20">
        <v>185</v>
      </c>
      <c r="J157" s="82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169</v>
      </c>
      <c r="C158" s="79">
        <f>+'13'!G158</f>
        <v>0</v>
      </c>
      <c r="D158" s="87">
        <v>0</v>
      </c>
      <c r="E158" s="47">
        <f t="shared" si="13"/>
        <v>0</v>
      </c>
      <c r="F158" s="87">
        <v>0</v>
      </c>
      <c r="G158" s="47">
        <f t="shared" si="11"/>
        <v>0</v>
      </c>
      <c r="H158" s="88"/>
      <c r="I158" s="20">
        <v>185</v>
      </c>
      <c r="J158" s="82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170</v>
      </c>
      <c r="C159" s="79">
        <f>+'13'!G159</f>
        <v>0</v>
      </c>
      <c r="D159" s="87">
        <v>0</v>
      </c>
      <c r="E159" s="47">
        <f t="shared" si="13"/>
        <v>0</v>
      </c>
      <c r="F159" s="87">
        <v>0</v>
      </c>
      <c r="G159" s="47">
        <f t="shared" si="11"/>
        <v>0</v>
      </c>
      <c r="H159" s="88"/>
      <c r="I159" s="20">
        <v>135</v>
      </c>
      <c r="J159" s="82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171</v>
      </c>
      <c r="C160" s="79">
        <f>+'13'!G160</f>
        <v>0</v>
      </c>
      <c r="D160" s="87">
        <v>0</v>
      </c>
      <c r="E160" s="47">
        <f t="shared" si="13"/>
        <v>0</v>
      </c>
      <c r="F160" s="87">
        <v>0</v>
      </c>
      <c r="G160" s="47">
        <f t="shared" si="11"/>
        <v>0</v>
      </c>
      <c r="H160" s="88"/>
      <c r="I160" s="20">
        <v>90</v>
      </c>
      <c r="J160" s="82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172</v>
      </c>
      <c r="C161" s="79">
        <f>+'13'!G161</f>
        <v>0</v>
      </c>
      <c r="D161" s="87">
        <v>0</v>
      </c>
      <c r="E161" s="47">
        <f t="shared" si="13"/>
        <v>0</v>
      </c>
      <c r="F161" s="87">
        <v>0</v>
      </c>
      <c r="G161" s="47">
        <f t="shared" si="11"/>
        <v>0</v>
      </c>
      <c r="H161" s="88"/>
      <c r="I161" s="20">
        <v>90</v>
      </c>
      <c r="J161" s="82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173</v>
      </c>
      <c r="C162" s="79">
        <f>+'13'!G162</f>
        <v>0</v>
      </c>
      <c r="D162" s="87">
        <v>0</v>
      </c>
      <c r="E162" s="47">
        <f t="shared" si="13"/>
        <v>0</v>
      </c>
      <c r="F162" s="87">
        <v>0</v>
      </c>
      <c r="G162" s="47">
        <f t="shared" si="11"/>
        <v>0</v>
      </c>
      <c r="H162" s="88"/>
      <c r="I162" s="20">
        <v>90</v>
      </c>
      <c r="J162" s="82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174</v>
      </c>
      <c r="C163" s="79">
        <f>+'13'!G163</f>
        <v>0</v>
      </c>
      <c r="D163" s="87">
        <v>0</v>
      </c>
      <c r="E163" s="47">
        <f t="shared" si="13"/>
        <v>0</v>
      </c>
      <c r="F163" s="87">
        <v>0</v>
      </c>
      <c r="G163" s="47">
        <f t="shared" si="11"/>
        <v>0</v>
      </c>
      <c r="H163" s="88"/>
      <c r="I163" s="20">
        <v>90</v>
      </c>
      <c r="J163" s="82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175</v>
      </c>
      <c r="C164" s="79">
        <f>+'13'!G164</f>
        <v>0</v>
      </c>
      <c r="D164" s="87">
        <v>0</v>
      </c>
      <c r="E164" s="47">
        <f t="shared" si="13"/>
        <v>0</v>
      </c>
      <c r="F164" s="87">
        <v>0</v>
      </c>
      <c r="G164" s="47">
        <f t="shared" si="11"/>
        <v>0</v>
      </c>
      <c r="H164" s="88"/>
      <c r="I164" s="20">
        <v>25</v>
      </c>
      <c r="J164" s="82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176</v>
      </c>
      <c r="C165" s="79">
        <f>+'13'!G165</f>
        <v>0</v>
      </c>
      <c r="D165" s="87">
        <v>0</v>
      </c>
      <c r="E165" s="47">
        <f t="shared" si="13"/>
        <v>0</v>
      </c>
      <c r="F165" s="87">
        <v>0</v>
      </c>
      <c r="G165" s="47">
        <f t="shared" ref="G165:G227" si="15">+E165-F165-H165</f>
        <v>0</v>
      </c>
      <c r="H165" s="88"/>
      <c r="I165" s="20">
        <v>50</v>
      </c>
      <c r="J165" s="82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177</v>
      </c>
      <c r="C166" s="79">
        <f>+'13'!G166</f>
        <v>0</v>
      </c>
      <c r="D166" s="87">
        <v>0</v>
      </c>
      <c r="E166" s="47">
        <f t="shared" si="13"/>
        <v>0</v>
      </c>
      <c r="F166" s="87">
        <v>0</v>
      </c>
      <c r="G166" s="47">
        <f t="shared" si="15"/>
        <v>0</v>
      </c>
      <c r="H166" s="88"/>
      <c r="I166" s="20">
        <v>50</v>
      </c>
      <c r="J166" s="82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178</v>
      </c>
      <c r="C167" s="79">
        <f>+'13'!G167</f>
        <v>0</v>
      </c>
      <c r="D167" s="87">
        <v>0</v>
      </c>
      <c r="E167" s="47">
        <f t="shared" si="13"/>
        <v>0</v>
      </c>
      <c r="F167" s="87">
        <v>0</v>
      </c>
      <c r="G167" s="47">
        <f t="shared" si="15"/>
        <v>0</v>
      </c>
      <c r="H167" s="88"/>
      <c r="I167" s="20">
        <v>50</v>
      </c>
      <c r="J167" s="82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179</v>
      </c>
      <c r="C168" s="79">
        <f>+'13'!G168</f>
        <v>7</v>
      </c>
      <c r="D168" s="87">
        <v>0</v>
      </c>
      <c r="E168" s="47">
        <f t="shared" si="13"/>
        <v>7</v>
      </c>
      <c r="F168" s="87">
        <v>0</v>
      </c>
      <c r="G168" s="47">
        <f t="shared" si="15"/>
        <v>7</v>
      </c>
      <c r="H168" s="88"/>
      <c r="I168" s="20">
        <v>50</v>
      </c>
      <c r="J168" s="82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180</v>
      </c>
      <c r="C169" s="79">
        <f>+'13'!G169</f>
        <v>41</v>
      </c>
      <c r="D169" s="87">
        <v>0</v>
      </c>
      <c r="E169" s="47">
        <f t="shared" si="13"/>
        <v>41</v>
      </c>
      <c r="F169" s="87">
        <v>0</v>
      </c>
      <c r="G169" s="47">
        <f t="shared" si="15"/>
        <v>40</v>
      </c>
      <c r="H169" s="88">
        <v>1</v>
      </c>
      <c r="I169" s="20">
        <v>55</v>
      </c>
      <c r="J169" s="82">
        <f t="shared" si="16"/>
        <v>55</v>
      </c>
      <c r="K169" s="17" t="s">
        <v>16</v>
      </c>
      <c r="L169" s="18">
        <v>0</v>
      </c>
      <c r="M169" s="23">
        <f t="shared" si="14"/>
        <v>55</v>
      </c>
    </row>
    <row r="170" spans="1:13" ht="25.5" x14ac:dyDescent="0.55000000000000004">
      <c r="A170" s="10">
        <v>166</v>
      </c>
      <c r="B170" s="19" t="s">
        <v>181</v>
      </c>
      <c r="C170" s="79">
        <f>+'13'!G170</f>
        <v>0</v>
      </c>
      <c r="D170" s="87">
        <v>0</v>
      </c>
      <c r="E170" s="47">
        <f t="shared" si="13"/>
        <v>0</v>
      </c>
      <c r="F170" s="87">
        <v>0</v>
      </c>
      <c r="G170" s="47">
        <f t="shared" si="15"/>
        <v>0</v>
      </c>
      <c r="H170" s="88"/>
      <c r="I170" s="20">
        <v>85</v>
      </c>
      <c r="J170" s="82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182</v>
      </c>
      <c r="C171" s="79">
        <f>+'13'!G171</f>
        <v>8</v>
      </c>
      <c r="D171" s="87">
        <v>0</v>
      </c>
      <c r="E171" s="47">
        <f t="shared" si="13"/>
        <v>8</v>
      </c>
      <c r="F171" s="87">
        <v>0</v>
      </c>
      <c r="G171" s="47">
        <f t="shared" si="15"/>
        <v>7</v>
      </c>
      <c r="H171" s="88">
        <v>1</v>
      </c>
      <c r="I171" s="20">
        <v>80</v>
      </c>
      <c r="J171" s="82">
        <f t="shared" si="16"/>
        <v>80</v>
      </c>
      <c r="K171" s="17" t="s">
        <v>16</v>
      </c>
      <c r="L171" s="18">
        <v>0</v>
      </c>
      <c r="M171" s="23">
        <f t="shared" si="14"/>
        <v>80</v>
      </c>
    </row>
    <row r="172" spans="1:13" ht="25.5" x14ac:dyDescent="0.55000000000000004">
      <c r="A172" s="10">
        <v>168</v>
      </c>
      <c r="B172" s="19" t="s">
        <v>183</v>
      </c>
      <c r="C172" s="79">
        <f>+'13'!G172</f>
        <v>0</v>
      </c>
      <c r="D172" s="87">
        <v>0</v>
      </c>
      <c r="E172" s="47">
        <f t="shared" si="13"/>
        <v>0</v>
      </c>
      <c r="F172" s="87">
        <v>0</v>
      </c>
      <c r="G172" s="47">
        <f t="shared" si="15"/>
        <v>0</v>
      </c>
      <c r="H172" s="88"/>
      <c r="I172" s="20">
        <v>40</v>
      </c>
      <c r="J172" s="82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184</v>
      </c>
      <c r="C173" s="79">
        <f>+'13'!G173</f>
        <v>0</v>
      </c>
      <c r="D173" s="87">
        <v>0</v>
      </c>
      <c r="E173" s="47">
        <f t="shared" si="13"/>
        <v>0</v>
      </c>
      <c r="F173" s="87">
        <v>0</v>
      </c>
      <c r="G173" s="47">
        <f t="shared" si="15"/>
        <v>0</v>
      </c>
      <c r="H173" s="88"/>
      <c r="I173" s="20">
        <v>120</v>
      </c>
      <c r="J173" s="82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185</v>
      </c>
      <c r="C174" s="79">
        <f>+'13'!G174</f>
        <v>0</v>
      </c>
      <c r="D174" s="87">
        <v>0</v>
      </c>
      <c r="E174" s="47">
        <f t="shared" si="13"/>
        <v>0</v>
      </c>
      <c r="F174" s="87">
        <v>0</v>
      </c>
      <c r="G174" s="47">
        <f t="shared" si="15"/>
        <v>0</v>
      </c>
      <c r="H174" s="88"/>
      <c r="I174" s="20">
        <v>120</v>
      </c>
      <c r="J174" s="82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186</v>
      </c>
      <c r="C175" s="79">
        <f>+'13'!G175</f>
        <v>0</v>
      </c>
      <c r="D175" s="87">
        <v>0</v>
      </c>
      <c r="E175" s="47">
        <f t="shared" si="13"/>
        <v>0</v>
      </c>
      <c r="F175" s="87">
        <v>0</v>
      </c>
      <c r="G175" s="47">
        <f t="shared" si="15"/>
        <v>0</v>
      </c>
      <c r="H175" s="88"/>
      <c r="I175" s="20">
        <v>55</v>
      </c>
      <c r="J175" s="82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187</v>
      </c>
      <c r="C176" s="79">
        <f>+'13'!G176</f>
        <v>0</v>
      </c>
      <c r="D176" s="87">
        <v>0</v>
      </c>
      <c r="E176" s="47">
        <f t="shared" si="13"/>
        <v>0</v>
      </c>
      <c r="F176" s="87">
        <v>0</v>
      </c>
      <c r="G176" s="47">
        <f t="shared" si="15"/>
        <v>0</v>
      </c>
      <c r="H176" s="88"/>
      <c r="I176" s="20">
        <v>50</v>
      </c>
      <c r="J176" s="82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188</v>
      </c>
      <c r="C177" s="79">
        <f>+'13'!G177</f>
        <v>5</v>
      </c>
      <c r="D177" s="87">
        <v>0</v>
      </c>
      <c r="E177" s="47">
        <f t="shared" si="13"/>
        <v>5</v>
      </c>
      <c r="F177" s="87">
        <v>0</v>
      </c>
      <c r="G177" s="47">
        <f t="shared" si="15"/>
        <v>5</v>
      </c>
      <c r="H177" s="88"/>
      <c r="I177" s="20">
        <v>50</v>
      </c>
      <c r="J177" s="82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189</v>
      </c>
      <c r="C178" s="79">
        <f>+'13'!G178</f>
        <v>4</v>
      </c>
      <c r="D178" s="87">
        <v>0</v>
      </c>
      <c r="E178" s="47">
        <f t="shared" si="13"/>
        <v>4</v>
      </c>
      <c r="F178" s="87">
        <v>0</v>
      </c>
      <c r="G178" s="47">
        <f t="shared" si="15"/>
        <v>3</v>
      </c>
      <c r="H178" s="88">
        <v>1</v>
      </c>
      <c r="I178" s="20">
        <v>120</v>
      </c>
      <c r="J178" s="82">
        <f t="shared" si="16"/>
        <v>120</v>
      </c>
      <c r="K178" s="17" t="s">
        <v>16</v>
      </c>
      <c r="L178" s="18">
        <v>0</v>
      </c>
      <c r="M178" s="23">
        <f t="shared" si="14"/>
        <v>120</v>
      </c>
    </row>
    <row r="179" spans="1:13" ht="25.5" x14ac:dyDescent="0.55000000000000004">
      <c r="A179" s="10">
        <v>175</v>
      </c>
      <c r="B179" s="19" t="s">
        <v>190</v>
      </c>
      <c r="C179" s="79">
        <f>+'13'!G179</f>
        <v>0</v>
      </c>
      <c r="D179" s="87">
        <v>0</v>
      </c>
      <c r="E179" s="47">
        <f t="shared" si="13"/>
        <v>0</v>
      </c>
      <c r="F179" s="87">
        <v>0</v>
      </c>
      <c r="G179" s="47">
        <f t="shared" si="15"/>
        <v>0</v>
      </c>
      <c r="H179" s="88"/>
      <c r="I179" s="20">
        <v>120</v>
      </c>
      <c r="J179" s="82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191</v>
      </c>
      <c r="C180" s="79">
        <f>+'13'!G180</f>
        <v>0</v>
      </c>
      <c r="D180" s="87">
        <v>0</v>
      </c>
      <c r="E180" s="47">
        <f t="shared" si="13"/>
        <v>0</v>
      </c>
      <c r="F180" s="87">
        <v>0</v>
      </c>
      <c r="G180" s="47">
        <f t="shared" si="15"/>
        <v>0</v>
      </c>
      <c r="H180" s="88"/>
      <c r="I180" s="20">
        <v>10</v>
      </c>
      <c r="J180" s="82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192</v>
      </c>
      <c r="C181" s="79">
        <f>+'13'!G181</f>
        <v>0</v>
      </c>
      <c r="D181" s="87">
        <v>0</v>
      </c>
      <c r="E181" s="47">
        <f t="shared" si="13"/>
        <v>0</v>
      </c>
      <c r="F181" s="87">
        <v>0</v>
      </c>
      <c r="G181" s="47">
        <f t="shared" si="15"/>
        <v>0</v>
      </c>
      <c r="H181" s="88"/>
      <c r="I181" s="20">
        <v>35</v>
      </c>
      <c r="J181" s="82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193</v>
      </c>
      <c r="C182" s="79">
        <f>+'13'!G182</f>
        <v>0</v>
      </c>
      <c r="D182" s="87">
        <v>0</v>
      </c>
      <c r="E182" s="47">
        <f t="shared" si="13"/>
        <v>0</v>
      </c>
      <c r="F182" s="87">
        <v>0</v>
      </c>
      <c r="G182" s="47">
        <f t="shared" si="15"/>
        <v>0</v>
      </c>
      <c r="H182" s="88"/>
      <c r="I182" s="20">
        <v>10</v>
      </c>
      <c r="J182" s="82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194</v>
      </c>
      <c r="C183" s="79">
        <f>+'13'!G183</f>
        <v>0</v>
      </c>
      <c r="D183" s="87">
        <v>0</v>
      </c>
      <c r="E183" s="47">
        <f t="shared" si="13"/>
        <v>0</v>
      </c>
      <c r="F183" s="87">
        <v>0</v>
      </c>
      <c r="G183" s="47">
        <f t="shared" si="15"/>
        <v>0</v>
      </c>
      <c r="H183" s="88"/>
      <c r="I183" s="20">
        <v>10</v>
      </c>
      <c r="J183" s="82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195</v>
      </c>
      <c r="C184" s="79">
        <f>+'13'!G184</f>
        <v>0</v>
      </c>
      <c r="D184" s="87">
        <v>0</v>
      </c>
      <c r="E184" s="47">
        <f t="shared" si="13"/>
        <v>0</v>
      </c>
      <c r="F184" s="87">
        <v>0</v>
      </c>
      <c r="G184" s="47">
        <f t="shared" si="15"/>
        <v>0</v>
      </c>
      <c r="H184" s="88"/>
      <c r="I184" s="20">
        <v>10</v>
      </c>
      <c r="J184" s="82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196</v>
      </c>
      <c r="C185" s="79">
        <f>+'13'!G185</f>
        <v>0</v>
      </c>
      <c r="D185" s="87">
        <v>0</v>
      </c>
      <c r="E185" s="47">
        <f t="shared" si="13"/>
        <v>0</v>
      </c>
      <c r="F185" s="87">
        <v>0</v>
      </c>
      <c r="G185" s="47">
        <f t="shared" si="15"/>
        <v>0</v>
      </c>
      <c r="H185" s="88"/>
      <c r="I185" s="20">
        <v>10</v>
      </c>
      <c r="J185" s="82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197</v>
      </c>
      <c r="C186" s="79">
        <f>+'13'!G186</f>
        <v>0</v>
      </c>
      <c r="D186" s="87">
        <v>0</v>
      </c>
      <c r="E186" s="47">
        <f t="shared" si="13"/>
        <v>0</v>
      </c>
      <c r="F186" s="87">
        <v>0</v>
      </c>
      <c r="G186" s="47">
        <f t="shared" si="15"/>
        <v>0</v>
      </c>
      <c r="H186" s="88"/>
      <c r="I186" s="20">
        <v>10</v>
      </c>
      <c r="J186" s="82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198</v>
      </c>
      <c r="C187" s="79">
        <f>+'13'!G187</f>
        <v>0</v>
      </c>
      <c r="D187" s="87">
        <v>0</v>
      </c>
      <c r="E187" s="47">
        <f t="shared" si="13"/>
        <v>0</v>
      </c>
      <c r="F187" s="87">
        <v>0</v>
      </c>
      <c r="G187" s="47">
        <f t="shared" si="15"/>
        <v>0</v>
      </c>
      <c r="H187" s="88"/>
      <c r="I187" s="20">
        <v>25</v>
      </c>
      <c r="J187" s="82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249</v>
      </c>
      <c r="C188" s="79">
        <f>+'13'!G188</f>
        <v>0</v>
      </c>
      <c r="D188" s="87">
        <v>0</v>
      </c>
      <c r="E188" s="47">
        <f t="shared" si="13"/>
        <v>0</v>
      </c>
      <c r="F188" s="87">
        <v>0</v>
      </c>
      <c r="G188" s="47">
        <f t="shared" si="15"/>
        <v>0</v>
      </c>
      <c r="H188" s="88"/>
      <c r="I188" s="15">
        <v>50</v>
      </c>
      <c r="J188" s="82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250</v>
      </c>
      <c r="C189" s="79">
        <f>+'13'!G189</f>
        <v>0</v>
      </c>
      <c r="D189" s="87">
        <v>0</v>
      </c>
      <c r="E189" s="47">
        <f t="shared" si="13"/>
        <v>0</v>
      </c>
      <c r="F189" s="87">
        <v>0</v>
      </c>
      <c r="G189" s="47">
        <f t="shared" si="15"/>
        <v>0</v>
      </c>
      <c r="H189" s="88"/>
      <c r="I189" s="15">
        <v>10</v>
      </c>
      <c r="J189" s="82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251</v>
      </c>
      <c r="C190" s="79">
        <f>+'13'!G190</f>
        <v>0</v>
      </c>
      <c r="D190" s="87">
        <v>0</v>
      </c>
      <c r="E190" s="47">
        <f t="shared" ref="E190:E252" si="17">C190+D190</f>
        <v>0</v>
      </c>
      <c r="F190" s="87">
        <v>0</v>
      </c>
      <c r="G190" s="47">
        <f t="shared" si="15"/>
        <v>0</v>
      </c>
      <c r="H190" s="88"/>
      <c r="I190" s="15">
        <v>15</v>
      </c>
      <c r="J190" s="82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252</v>
      </c>
      <c r="C191" s="79">
        <f>+'13'!G191</f>
        <v>0</v>
      </c>
      <c r="D191" s="87">
        <v>0</v>
      </c>
      <c r="E191" s="47">
        <f t="shared" si="17"/>
        <v>0</v>
      </c>
      <c r="F191" s="87">
        <v>0</v>
      </c>
      <c r="G191" s="47">
        <f t="shared" si="15"/>
        <v>0</v>
      </c>
      <c r="H191" s="88"/>
      <c r="I191" s="15">
        <v>25</v>
      </c>
      <c r="J191" s="82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253</v>
      </c>
      <c r="C192" s="79">
        <f>+'13'!G192</f>
        <v>0</v>
      </c>
      <c r="D192" s="87">
        <v>0</v>
      </c>
      <c r="E192" s="47">
        <f t="shared" si="17"/>
        <v>0</v>
      </c>
      <c r="F192" s="87">
        <v>0</v>
      </c>
      <c r="G192" s="47">
        <f t="shared" si="15"/>
        <v>0</v>
      </c>
      <c r="H192" s="88"/>
      <c r="I192" s="15">
        <v>50</v>
      </c>
      <c r="J192" s="82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254</v>
      </c>
      <c r="C193" s="79">
        <f>+'13'!G193</f>
        <v>0</v>
      </c>
      <c r="D193" s="87">
        <v>0</v>
      </c>
      <c r="E193" s="47">
        <f t="shared" si="17"/>
        <v>0</v>
      </c>
      <c r="F193" s="87">
        <v>0</v>
      </c>
      <c r="G193" s="47">
        <f t="shared" si="15"/>
        <v>0</v>
      </c>
      <c r="H193" s="88"/>
      <c r="I193" s="15">
        <v>45</v>
      </c>
      <c r="J193" s="82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255</v>
      </c>
      <c r="C194" s="79">
        <f>+'13'!G194</f>
        <v>0</v>
      </c>
      <c r="D194" s="87">
        <v>0</v>
      </c>
      <c r="E194" s="47">
        <f t="shared" si="17"/>
        <v>0</v>
      </c>
      <c r="F194" s="87">
        <v>0</v>
      </c>
      <c r="G194" s="47">
        <f t="shared" si="15"/>
        <v>0</v>
      </c>
      <c r="H194" s="88"/>
      <c r="I194" s="15">
        <v>50</v>
      </c>
      <c r="J194" s="82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199</v>
      </c>
      <c r="C195" s="79">
        <f>+'13'!G195</f>
        <v>0</v>
      </c>
      <c r="D195" s="87">
        <v>0</v>
      </c>
      <c r="E195" s="47">
        <f t="shared" si="17"/>
        <v>0</v>
      </c>
      <c r="F195" s="87">
        <v>0</v>
      </c>
      <c r="G195" s="47">
        <f t="shared" si="15"/>
        <v>0</v>
      </c>
      <c r="H195" s="88"/>
      <c r="I195" s="15">
        <v>150</v>
      </c>
      <c r="J195" s="82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200</v>
      </c>
      <c r="C196" s="79">
        <f>+'13'!G196</f>
        <v>0</v>
      </c>
      <c r="D196" s="87">
        <v>0</v>
      </c>
      <c r="E196" s="47">
        <f t="shared" si="17"/>
        <v>0</v>
      </c>
      <c r="F196" s="87">
        <v>0</v>
      </c>
      <c r="G196" s="47">
        <f t="shared" si="15"/>
        <v>0</v>
      </c>
      <c r="H196" s="88"/>
      <c r="I196" s="15">
        <v>150</v>
      </c>
      <c r="J196" s="82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201</v>
      </c>
      <c r="C197" s="79">
        <f>+'13'!G197</f>
        <v>0</v>
      </c>
      <c r="D197" s="87">
        <v>0</v>
      </c>
      <c r="E197" s="47">
        <f t="shared" si="17"/>
        <v>0</v>
      </c>
      <c r="F197" s="87">
        <v>0</v>
      </c>
      <c r="G197" s="47">
        <f t="shared" si="15"/>
        <v>0</v>
      </c>
      <c r="H197" s="88"/>
      <c r="I197" s="15">
        <v>150</v>
      </c>
      <c r="J197" s="82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256</v>
      </c>
      <c r="C198" s="79">
        <f>+'13'!G198</f>
        <v>0</v>
      </c>
      <c r="D198" s="87">
        <v>0</v>
      </c>
      <c r="E198" s="47">
        <f t="shared" si="17"/>
        <v>0</v>
      </c>
      <c r="F198" s="87">
        <v>0</v>
      </c>
      <c r="G198" s="47">
        <f t="shared" si="15"/>
        <v>0</v>
      </c>
      <c r="H198" s="88"/>
      <c r="I198" s="15">
        <v>55</v>
      </c>
      <c r="J198" s="82">
        <f t="shared" si="16"/>
        <v>0</v>
      </c>
      <c r="K198" s="17" t="s">
        <v>16</v>
      </c>
      <c r="L198" s="18">
        <v>0</v>
      </c>
      <c r="M198" s="23">
        <f t="shared" si="14"/>
        <v>0</v>
      </c>
    </row>
    <row r="199" spans="1:13" ht="25.5" x14ac:dyDescent="0.55000000000000004">
      <c r="A199" s="10">
        <v>195</v>
      </c>
      <c r="B199" s="19" t="s">
        <v>257</v>
      </c>
      <c r="C199" s="79">
        <f>+'13'!G199</f>
        <v>0</v>
      </c>
      <c r="D199" s="87">
        <v>0</v>
      </c>
      <c r="E199" s="47">
        <f t="shared" si="17"/>
        <v>0</v>
      </c>
      <c r="F199" s="87">
        <v>0</v>
      </c>
      <c r="G199" s="47">
        <f t="shared" si="15"/>
        <v>0</v>
      </c>
      <c r="H199" s="88"/>
      <c r="I199" s="15">
        <v>30</v>
      </c>
      <c r="J199" s="82">
        <f t="shared" si="16"/>
        <v>0</v>
      </c>
      <c r="K199" s="17" t="s">
        <v>16</v>
      </c>
      <c r="L199" s="18">
        <v>0</v>
      </c>
      <c r="M199" s="23">
        <f t="shared" ref="M199:M254" si="18">SUM(J199-L199)</f>
        <v>0</v>
      </c>
    </row>
    <row r="200" spans="1:13" ht="25.5" x14ac:dyDescent="0.55000000000000004">
      <c r="A200" s="10">
        <v>196</v>
      </c>
      <c r="B200" s="19" t="s">
        <v>258</v>
      </c>
      <c r="C200" s="79">
        <f>+'13'!G200</f>
        <v>0</v>
      </c>
      <c r="D200" s="87">
        <v>0</v>
      </c>
      <c r="E200" s="47">
        <f t="shared" si="17"/>
        <v>0</v>
      </c>
      <c r="F200" s="87">
        <v>0</v>
      </c>
      <c r="G200" s="47">
        <f t="shared" si="15"/>
        <v>0</v>
      </c>
      <c r="H200" s="88"/>
      <c r="I200" s="15">
        <v>30</v>
      </c>
      <c r="J200" s="82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259</v>
      </c>
      <c r="C201" s="79">
        <f>+'13'!G201</f>
        <v>0</v>
      </c>
      <c r="D201" s="87">
        <v>0</v>
      </c>
      <c r="E201" s="47">
        <f t="shared" si="17"/>
        <v>0</v>
      </c>
      <c r="F201" s="87">
        <v>0</v>
      </c>
      <c r="G201" s="47">
        <f t="shared" si="15"/>
        <v>0</v>
      </c>
      <c r="H201" s="88"/>
      <c r="I201" s="15">
        <v>30</v>
      </c>
      <c r="J201" s="82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260</v>
      </c>
      <c r="C202" s="79">
        <f>+'13'!G202</f>
        <v>0</v>
      </c>
      <c r="D202" s="87">
        <v>0</v>
      </c>
      <c r="E202" s="47">
        <f t="shared" si="17"/>
        <v>0</v>
      </c>
      <c r="F202" s="87">
        <v>0</v>
      </c>
      <c r="G202" s="47">
        <f t="shared" si="15"/>
        <v>0</v>
      </c>
      <c r="H202" s="88"/>
      <c r="I202" s="15">
        <v>30</v>
      </c>
      <c r="J202" s="82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261</v>
      </c>
      <c r="C203" s="79">
        <f>+'13'!G203</f>
        <v>0</v>
      </c>
      <c r="D203" s="87">
        <v>0</v>
      </c>
      <c r="E203" s="47">
        <f t="shared" si="17"/>
        <v>0</v>
      </c>
      <c r="F203" s="87">
        <v>0</v>
      </c>
      <c r="G203" s="47">
        <f t="shared" si="15"/>
        <v>0</v>
      </c>
      <c r="H203" s="88"/>
      <c r="I203" s="20">
        <v>30</v>
      </c>
      <c r="J203" s="82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262</v>
      </c>
      <c r="C204" s="79">
        <f>+'13'!G204</f>
        <v>0</v>
      </c>
      <c r="D204" s="87">
        <v>0</v>
      </c>
      <c r="E204" s="47">
        <f t="shared" si="17"/>
        <v>0</v>
      </c>
      <c r="F204" s="87">
        <v>0</v>
      </c>
      <c r="G204" s="47">
        <f t="shared" si="15"/>
        <v>0</v>
      </c>
      <c r="H204" s="88"/>
      <c r="I204" s="20">
        <v>30</v>
      </c>
      <c r="J204" s="82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263</v>
      </c>
      <c r="C205" s="79">
        <f>+'13'!G205</f>
        <v>0</v>
      </c>
      <c r="D205" s="87">
        <v>0</v>
      </c>
      <c r="E205" s="47">
        <f t="shared" si="17"/>
        <v>0</v>
      </c>
      <c r="F205" s="87">
        <v>0</v>
      </c>
      <c r="G205" s="47">
        <f t="shared" si="15"/>
        <v>0</v>
      </c>
      <c r="H205" s="88"/>
      <c r="I205" s="20">
        <v>50</v>
      </c>
      <c r="J205" s="82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 t="s">
        <v>264</v>
      </c>
      <c r="C206" s="79">
        <f>+'13'!G206</f>
        <v>0</v>
      </c>
      <c r="D206" s="87">
        <v>0</v>
      </c>
      <c r="E206" s="47">
        <f t="shared" si="17"/>
        <v>0</v>
      </c>
      <c r="F206" s="87">
        <v>0</v>
      </c>
      <c r="G206" s="47">
        <f t="shared" si="15"/>
        <v>0</v>
      </c>
      <c r="H206" s="88"/>
      <c r="I206" s="20">
        <v>100</v>
      </c>
      <c r="J206" s="82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265</v>
      </c>
      <c r="C207" s="79">
        <f>+'13'!G207</f>
        <v>0</v>
      </c>
      <c r="D207" s="87">
        <v>0</v>
      </c>
      <c r="E207" s="47">
        <f t="shared" si="17"/>
        <v>0</v>
      </c>
      <c r="F207" s="87">
        <v>0</v>
      </c>
      <c r="G207" s="47">
        <f t="shared" si="15"/>
        <v>0</v>
      </c>
      <c r="H207" s="88"/>
      <c r="I207" s="20">
        <v>100</v>
      </c>
      <c r="J207" s="82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266</v>
      </c>
      <c r="C208" s="79">
        <f>+'13'!G208</f>
        <v>0</v>
      </c>
      <c r="D208" s="87">
        <v>0</v>
      </c>
      <c r="E208" s="47">
        <f t="shared" si="17"/>
        <v>0</v>
      </c>
      <c r="F208" s="87">
        <v>0</v>
      </c>
      <c r="G208" s="47">
        <f t="shared" si="15"/>
        <v>0</v>
      </c>
      <c r="H208" s="88"/>
      <c r="I208" s="20">
        <v>100</v>
      </c>
      <c r="J208" s="82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 t="s">
        <v>267</v>
      </c>
      <c r="C209" s="79">
        <f>+'13'!G209</f>
        <v>0</v>
      </c>
      <c r="D209" s="87">
        <v>0</v>
      </c>
      <c r="E209" s="47">
        <f t="shared" si="17"/>
        <v>0</v>
      </c>
      <c r="F209" s="87">
        <v>0</v>
      </c>
      <c r="G209" s="47">
        <f t="shared" si="15"/>
        <v>0</v>
      </c>
      <c r="H209" s="88"/>
      <c r="I209" s="20">
        <v>100</v>
      </c>
      <c r="J209" s="82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268</v>
      </c>
      <c r="C210" s="79">
        <f>+'13'!G210</f>
        <v>0</v>
      </c>
      <c r="D210" s="87">
        <v>0</v>
      </c>
      <c r="E210" s="47">
        <f t="shared" si="17"/>
        <v>0</v>
      </c>
      <c r="F210" s="87">
        <v>0</v>
      </c>
      <c r="G210" s="47">
        <f t="shared" si="15"/>
        <v>0</v>
      </c>
      <c r="H210" s="88"/>
      <c r="I210" s="20">
        <v>250</v>
      </c>
      <c r="J210" s="82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 t="s">
        <v>269</v>
      </c>
      <c r="C211" s="79">
        <f>+'13'!G211</f>
        <v>0</v>
      </c>
      <c r="D211" s="87">
        <v>0</v>
      </c>
      <c r="E211" s="47">
        <f t="shared" si="17"/>
        <v>0</v>
      </c>
      <c r="F211" s="87">
        <v>0</v>
      </c>
      <c r="G211" s="47">
        <f t="shared" si="15"/>
        <v>0</v>
      </c>
      <c r="H211" s="88"/>
      <c r="I211" s="20">
        <v>250</v>
      </c>
      <c r="J211" s="82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 t="s">
        <v>270</v>
      </c>
      <c r="C212" s="79">
        <f>+'13'!G212</f>
        <v>0</v>
      </c>
      <c r="D212" s="87">
        <v>0</v>
      </c>
      <c r="E212" s="47">
        <f t="shared" si="17"/>
        <v>0</v>
      </c>
      <c r="F212" s="87">
        <v>0</v>
      </c>
      <c r="G212" s="47">
        <f t="shared" si="15"/>
        <v>0</v>
      </c>
      <c r="H212" s="88"/>
      <c r="I212" s="20">
        <v>250</v>
      </c>
      <c r="J212" s="82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 t="s">
        <v>271</v>
      </c>
      <c r="C213" s="79">
        <f>+'13'!G213</f>
        <v>0</v>
      </c>
      <c r="D213" s="87">
        <v>0</v>
      </c>
      <c r="E213" s="47">
        <f t="shared" si="17"/>
        <v>0</v>
      </c>
      <c r="F213" s="87">
        <v>0</v>
      </c>
      <c r="G213" s="47">
        <f t="shared" si="15"/>
        <v>0</v>
      </c>
      <c r="H213" s="88"/>
      <c r="I213" s="20">
        <v>50</v>
      </c>
      <c r="J213" s="82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 t="s">
        <v>273</v>
      </c>
      <c r="C214" s="79">
        <f>+'13'!G214</f>
        <v>0</v>
      </c>
      <c r="D214" s="87">
        <v>0</v>
      </c>
      <c r="E214" s="47">
        <f t="shared" si="17"/>
        <v>0</v>
      </c>
      <c r="F214" s="87">
        <v>0</v>
      </c>
      <c r="G214" s="47">
        <f t="shared" si="15"/>
        <v>0</v>
      </c>
      <c r="H214" s="88"/>
      <c r="I214" s="20">
        <v>50</v>
      </c>
      <c r="J214" s="82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 t="s">
        <v>274</v>
      </c>
      <c r="C215" s="79">
        <f>+'13'!G215</f>
        <v>0</v>
      </c>
      <c r="D215" s="87">
        <v>0</v>
      </c>
      <c r="E215" s="47">
        <f t="shared" si="17"/>
        <v>0</v>
      </c>
      <c r="F215" s="87">
        <v>0</v>
      </c>
      <c r="G215" s="47">
        <f t="shared" si="15"/>
        <v>0</v>
      </c>
      <c r="H215" s="88"/>
      <c r="I215" s="20">
        <v>50</v>
      </c>
      <c r="J215" s="82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 t="s">
        <v>242</v>
      </c>
      <c r="C216" s="79">
        <f>+'13'!G216</f>
        <v>0</v>
      </c>
      <c r="D216" s="87">
        <v>0</v>
      </c>
      <c r="E216" s="47">
        <f t="shared" si="17"/>
        <v>0</v>
      </c>
      <c r="F216" s="87">
        <v>0</v>
      </c>
      <c r="G216" s="47">
        <f t="shared" si="15"/>
        <v>0</v>
      </c>
      <c r="H216" s="88"/>
      <c r="I216" s="20">
        <v>35</v>
      </c>
      <c r="J216" s="82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 t="s">
        <v>275</v>
      </c>
      <c r="C217" s="79">
        <f>+'13'!G217</f>
        <v>0</v>
      </c>
      <c r="D217" s="87">
        <v>0</v>
      </c>
      <c r="E217" s="47">
        <f t="shared" si="17"/>
        <v>0</v>
      </c>
      <c r="F217" s="87">
        <v>0</v>
      </c>
      <c r="G217" s="47">
        <f t="shared" si="15"/>
        <v>0</v>
      </c>
      <c r="H217" s="88"/>
      <c r="I217" s="20">
        <v>199</v>
      </c>
      <c r="J217" s="82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 t="s">
        <v>283</v>
      </c>
      <c r="C218" s="79"/>
      <c r="D218" s="87">
        <v>0</v>
      </c>
      <c r="E218" s="47">
        <f t="shared" si="17"/>
        <v>0</v>
      </c>
      <c r="F218" s="87">
        <v>0</v>
      </c>
      <c r="G218" s="47">
        <f t="shared" si="15"/>
        <v>0</v>
      </c>
      <c r="H218" s="88"/>
      <c r="I218" s="20">
        <v>25</v>
      </c>
      <c r="J218" s="82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 t="s">
        <v>284</v>
      </c>
      <c r="C219" s="79"/>
      <c r="D219" s="87">
        <v>0</v>
      </c>
      <c r="E219" s="47">
        <f t="shared" si="17"/>
        <v>0</v>
      </c>
      <c r="F219" s="87">
        <v>0</v>
      </c>
      <c r="G219" s="47">
        <f t="shared" si="15"/>
        <v>0</v>
      </c>
      <c r="H219" s="88"/>
      <c r="I219" s="20">
        <v>25</v>
      </c>
      <c r="J219" s="82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 t="s">
        <v>314</v>
      </c>
      <c r="C220" s="79">
        <f>+'13'!G220</f>
        <v>26</v>
      </c>
      <c r="D220" s="87">
        <v>0</v>
      </c>
      <c r="E220" s="47">
        <f t="shared" si="17"/>
        <v>26</v>
      </c>
      <c r="F220" s="87">
        <v>0</v>
      </c>
      <c r="G220" s="47">
        <f t="shared" si="15"/>
        <v>26</v>
      </c>
      <c r="H220" s="88"/>
      <c r="I220" s="20">
        <v>35</v>
      </c>
      <c r="J220" s="82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 t="s">
        <v>326</v>
      </c>
      <c r="C221" s="79">
        <f>+'13'!G221</f>
        <v>0</v>
      </c>
      <c r="D221" s="87">
        <v>5</v>
      </c>
      <c r="E221" s="47">
        <f t="shared" si="17"/>
        <v>5</v>
      </c>
      <c r="F221" s="87">
        <v>0</v>
      </c>
      <c r="G221" s="47">
        <f t="shared" si="15"/>
        <v>4</v>
      </c>
      <c r="H221" s="88">
        <v>1</v>
      </c>
      <c r="I221" s="20">
        <v>55</v>
      </c>
      <c r="J221" s="82">
        <f t="shared" si="16"/>
        <v>55</v>
      </c>
      <c r="K221" s="17" t="s">
        <v>16</v>
      </c>
      <c r="L221" s="18">
        <v>0</v>
      </c>
      <c r="M221" s="23">
        <f t="shared" si="18"/>
        <v>55</v>
      </c>
    </row>
    <row r="222" spans="1:13" ht="25.5" x14ac:dyDescent="0.55000000000000004">
      <c r="A222" s="10">
        <v>218</v>
      </c>
      <c r="B222" s="19" t="s">
        <v>327</v>
      </c>
      <c r="C222" s="79">
        <f>+'13'!G222</f>
        <v>0</v>
      </c>
      <c r="D222" s="87">
        <v>0</v>
      </c>
      <c r="E222" s="47">
        <f t="shared" si="17"/>
        <v>0</v>
      </c>
      <c r="F222" s="87">
        <v>0</v>
      </c>
      <c r="G222" s="47">
        <f t="shared" si="15"/>
        <v>0</v>
      </c>
      <c r="H222" s="88"/>
      <c r="I222" s="20">
        <v>40</v>
      </c>
      <c r="J222" s="82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/>
      <c r="C223" s="79">
        <f>+'13'!G223</f>
        <v>0</v>
      </c>
      <c r="D223" s="87">
        <v>0</v>
      </c>
      <c r="E223" s="47">
        <f t="shared" si="17"/>
        <v>0</v>
      </c>
      <c r="F223" s="87">
        <v>0</v>
      </c>
      <c r="G223" s="47">
        <f t="shared" si="15"/>
        <v>0</v>
      </c>
      <c r="H223" s="88"/>
      <c r="I223" s="20"/>
      <c r="J223" s="82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79">
        <f>+'13'!G224</f>
        <v>0</v>
      </c>
      <c r="D224" s="87">
        <v>0</v>
      </c>
      <c r="E224" s="47">
        <f t="shared" si="17"/>
        <v>0</v>
      </c>
      <c r="F224" s="87">
        <v>0</v>
      </c>
      <c r="G224" s="47">
        <f t="shared" si="15"/>
        <v>0</v>
      </c>
      <c r="H224" s="88"/>
      <c r="I224" s="20"/>
      <c r="J224" s="82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+'13'!G225</f>
        <v>0</v>
      </c>
      <c r="D225" s="87">
        <v>0</v>
      </c>
      <c r="E225" s="47">
        <f t="shared" si="17"/>
        <v>0</v>
      </c>
      <c r="F225" s="87">
        <v>0</v>
      </c>
      <c r="G225" s="47">
        <f t="shared" si="15"/>
        <v>0</v>
      </c>
      <c r="H225" s="88"/>
      <c r="I225" s="20"/>
      <c r="J225" s="82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+'13'!G226</f>
        <v>0</v>
      </c>
      <c r="D226" s="87">
        <v>0</v>
      </c>
      <c r="E226" s="47">
        <f t="shared" si="17"/>
        <v>0</v>
      </c>
      <c r="F226" s="87">
        <v>0</v>
      </c>
      <c r="G226" s="47">
        <f t="shared" si="15"/>
        <v>0</v>
      </c>
      <c r="H226" s="88"/>
      <c r="I226" s="20"/>
      <c r="J226" s="82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+'13'!G227</f>
        <v>0</v>
      </c>
      <c r="D227" s="87">
        <v>0</v>
      </c>
      <c r="E227" s="47">
        <f t="shared" si="17"/>
        <v>0</v>
      </c>
      <c r="F227" s="87">
        <v>0</v>
      </c>
      <c r="G227" s="47">
        <f t="shared" si="15"/>
        <v>0</v>
      </c>
      <c r="H227" s="88"/>
      <c r="I227" s="20"/>
      <c r="J227" s="82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+'13'!G228</f>
        <v>0</v>
      </c>
      <c r="D228" s="87">
        <v>0</v>
      </c>
      <c r="E228" s="47">
        <f t="shared" si="17"/>
        <v>0</v>
      </c>
      <c r="F228" s="87">
        <v>0</v>
      </c>
      <c r="G228" s="47">
        <f t="shared" ref="G228:G254" si="19">+E228-F228-H228</f>
        <v>0</v>
      </c>
      <c r="H228" s="88"/>
      <c r="I228" s="20"/>
      <c r="J228" s="82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+'13'!G229</f>
        <v>0</v>
      </c>
      <c r="D229" s="87">
        <v>0</v>
      </c>
      <c r="E229" s="47">
        <f t="shared" si="17"/>
        <v>0</v>
      </c>
      <c r="F229" s="87">
        <v>0</v>
      </c>
      <c r="G229" s="47">
        <f t="shared" si="19"/>
        <v>0</v>
      </c>
      <c r="H229" s="88"/>
      <c r="I229" s="20"/>
      <c r="J229" s="82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+'13'!G230</f>
        <v>0</v>
      </c>
      <c r="D230" s="87">
        <v>0</v>
      </c>
      <c r="E230" s="47">
        <f t="shared" si="17"/>
        <v>0</v>
      </c>
      <c r="F230" s="87">
        <v>0</v>
      </c>
      <c r="G230" s="47">
        <f t="shared" si="19"/>
        <v>0</v>
      </c>
      <c r="H230" s="88"/>
      <c r="I230" s="20"/>
      <c r="J230" s="82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+'13'!G231</f>
        <v>0</v>
      </c>
      <c r="D231" s="87">
        <v>0</v>
      </c>
      <c r="E231" s="47">
        <f t="shared" si="17"/>
        <v>0</v>
      </c>
      <c r="F231" s="87">
        <v>0</v>
      </c>
      <c r="G231" s="47">
        <f t="shared" si="19"/>
        <v>0</v>
      </c>
      <c r="H231" s="88"/>
      <c r="I231" s="20"/>
      <c r="J231" s="82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+'13'!G232</f>
        <v>0</v>
      </c>
      <c r="D232" s="87">
        <v>0</v>
      </c>
      <c r="E232" s="47">
        <f t="shared" si="17"/>
        <v>0</v>
      </c>
      <c r="F232" s="87">
        <v>0</v>
      </c>
      <c r="G232" s="47">
        <f t="shared" si="19"/>
        <v>0</v>
      </c>
      <c r="H232" s="88"/>
      <c r="I232" s="20"/>
      <c r="J232" s="82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+'13'!G233</f>
        <v>0</v>
      </c>
      <c r="D233" s="87">
        <v>0</v>
      </c>
      <c r="E233" s="47">
        <f t="shared" si="17"/>
        <v>0</v>
      </c>
      <c r="F233" s="87">
        <v>0</v>
      </c>
      <c r="G233" s="47">
        <f t="shared" si="19"/>
        <v>0</v>
      </c>
      <c r="H233" s="88"/>
      <c r="I233" s="20"/>
      <c r="J233" s="82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+'13'!G234</f>
        <v>0</v>
      </c>
      <c r="D234" s="87">
        <v>0</v>
      </c>
      <c r="E234" s="47">
        <f t="shared" si="17"/>
        <v>0</v>
      </c>
      <c r="F234" s="87">
        <v>0</v>
      </c>
      <c r="G234" s="47">
        <f t="shared" si="19"/>
        <v>0</v>
      </c>
      <c r="H234" s="88"/>
      <c r="I234" s="20"/>
      <c r="J234" s="82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+'13'!G235</f>
        <v>0</v>
      </c>
      <c r="D235" s="87">
        <v>0</v>
      </c>
      <c r="E235" s="47">
        <f t="shared" si="17"/>
        <v>0</v>
      </c>
      <c r="F235" s="87">
        <v>0</v>
      </c>
      <c r="G235" s="47">
        <f t="shared" si="19"/>
        <v>0</v>
      </c>
      <c r="H235" s="88"/>
      <c r="I235" s="20"/>
      <c r="J235" s="82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+'13'!G236</f>
        <v>0</v>
      </c>
      <c r="D236" s="87">
        <v>0</v>
      </c>
      <c r="E236" s="47">
        <f t="shared" si="17"/>
        <v>0</v>
      </c>
      <c r="F236" s="87">
        <v>0</v>
      </c>
      <c r="G236" s="47">
        <f t="shared" si="19"/>
        <v>0</v>
      </c>
      <c r="H236" s="88"/>
      <c r="I236" s="20"/>
      <c r="J236" s="82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+'13'!G237</f>
        <v>0</v>
      </c>
      <c r="D237" s="87">
        <v>0</v>
      </c>
      <c r="E237" s="47">
        <f t="shared" si="17"/>
        <v>0</v>
      </c>
      <c r="F237" s="87">
        <v>0</v>
      </c>
      <c r="G237" s="47">
        <f t="shared" si="19"/>
        <v>0</v>
      </c>
      <c r="H237" s="88"/>
      <c r="I237" s="20"/>
      <c r="J237" s="82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+'13'!G238</f>
        <v>0</v>
      </c>
      <c r="D238" s="87">
        <v>0</v>
      </c>
      <c r="E238" s="47">
        <f t="shared" si="17"/>
        <v>0</v>
      </c>
      <c r="F238" s="87">
        <v>0</v>
      </c>
      <c r="G238" s="47">
        <f t="shared" si="19"/>
        <v>0</v>
      </c>
      <c r="H238" s="88"/>
      <c r="I238" s="20"/>
      <c r="J238" s="82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+'13'!G239</f>
        <v>0</v>
      </c>
      <c r="D239" s="87">
        <v>0</v>
      </c>
      <c r="E239" s="47">
        <f t="shared" si="17"/>
        <v>0</v>
      </c>
      <c r="F239" s="87">
        <v>0</v>
      </c>
      <c r="G239" s="47">
        <f t="shared" si="19"/>
        <v>0</v>
      </c>
      <c r="H239" s="88"/>
      <c r="I239" s="20"/>
      <c r="J239" s="82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+'13'!G240</f>
        <v>0</v>
      </c>
      <c r="D240" s="87">
        <v>0</v>
      </c>
      <c r="E240" s="47">
        <f t="shared" si="17"/>
        <v>0</v>
      </c>
      <c r="F240" s="87">
        <v>0</v>
      </c>
      <c r="G240" s="47">
        <f t="shared" si="19"/>
        <v>0</v>
      </c>
      <c r="H240" s="88"/>
      <c r="I240" s="20"/>
      <c r="J240" s="82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+'13'!G241</f>
        <v>0</v>
      </c>
      <c r="D241" s="87">
        <v>0</v>
      </c>
      <c r="E241" s="47">
        <f t="shared" si="17"/>
        <v>0</v>
      </c>
      <c r="F241" s="87">
        <v>0</v>
      </c>
      <c r="G241" s="47">
        <f t="shared" si="19"/>
        <v>0</v>
      </c>
      <c r="H241" s="88"/>
      <c r="I241" s="20"/>
      <c r="J241" s="82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+'13'!G242</f>
        <v>0</v>
      </c>
      <c r="D242" s="87">
        <v>0</v>
      </c>
      <c r="E242" s="47">
        <f t="shared" si="17"/>
        <v>0</v>
      </c>
      <c r="F242" s="87">
        <v>0</v>
      </c>
      <c r="G242" s="47">
        <f t="shared" si="19"/>
        <v>0</v>
      </c>
      <c r="H242" s="88"/>
      <c r="I242" s="20"/>
      <c r="J242" s="82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+'13'!G243</f>
        <v>0</v>
      </c>
      <c r="D243" s="87">
        <v>0</v>
      </c>
      <c r="E243" s="47">
        <f t="shared" si="17"/>
        <v>0</v>
      </c>
      <c r="F243" s="87">
        <v>0</v>
      </c>
      <c r="G243" s="47">
        <f t="shared" si="19"/>
        <v>0</v>
      </c>
      <c r="H243" s="88"/>
      <c r="I243" s="20"/>
      <c r="J243" s="82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+'13'!G244</f>
        <v>0</v>
      </c>
      <c r="D244" s="87">
        <v>0</v>
      </c>
      <c r="E244" s="47">
        <f t="shared" si="17"/>
        <v>0</v>
      </c>
      <c r="F244" s="87">
        <v>0</v>
      </c>
      <c r="G244" s="47">
        <f t="shared" si="19"/>
        <v>0</v>
      </c>
      <c r="H244" s="88"/>
      <c r="I244" s="20"/>
      <c r="J244" s="82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+'13'!G245</f>
        <v>0</v>
      </c>
      <c r="D245" s="87">
        <v>0</v>
      </c>
      <c r="E245" s="47">
        <f t="shared" si="17"/>
        <v>0</v>
      </c>
      <c r="F245" s="87">
        <v>0</v>
      </c>
      <c r="G245" s="47">
        <f t="shared" si="19"/>
        <v>0</v>
      </c>
      <c r="H245" s="88"/>
      <c r="I245" s="20"/>
      <c r="J245" s="82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+'13'!G246</f>
        <v>0</v>
      </c>
      <c r="D246" s="87">
        <v>0</v>
      </c>
      <c r="E246" s="47">
        <f t="shared" si="17"/>
        <v>0</v>
      </c>
      <c r="F246" s="87">
        <v>0</v>
      </c>
      <c r="G246" s="47">
        <f t="shared" si="19"/>
        <v>0</v>
      </c>
      <c r="H246" s="88"/>
      <c r="I246" s="20"/>
      <c r="J246" s="82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+'13'!G247</f>
        <v>0</v>
      </c>
      <c r="D247" s="87">
        <v>0</v>
      </c>
      <c r="E247" s="47">
        <f t="shared" si="17"/>
        <v>0</v>
      </c>
      <c r="F247" s="87">
        <v>0</v>
      </c>
      <c r="G247" s="47">
        <f t="shared" si="19"/>
        <v>0</v>
      </c>
      <c r="H247" s="88"/>
      <c r="I247" s="20"/>
      <c r="J247" s="82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+'13'!G248</f>
        <v>0</v>
      </c>
      <c r="D248" s="87">
        <v>0</v>
      </c>
      <c r="E248" s="47">
        <f t="shared" si="17"/>
        <v>0</v>
      </c>
      <c r="F248" s="87">
        <v>0</v>
      </c>
      <c r="G248" s="47">
        <f t="shared" si="19"/>
        <v>0</v>
      </c>
      <c r="H248" s="88"/>
      <c r="I248" s="20"/>
      <c r="J248" s="82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+'13'!G249</f>
        <v>0</v>
      </c>
      <c r="D249" s="87">
        <v>0</v>
      </c>
      <c r="E249" s="47">
        <f t="shared" si="17"/>
        <v>0</v>
      </c>
      <c r="F249" s="87">
        <v>0</v>
      </c>
      <c r="G249" s="47">
        <f t="shared" si="19"/>
        <v>0</v>
      </c>
      <c r="H249" s="88"/>
      <c r="I249" s="20"/>
      <c r="J249" s="82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+'13'!G250</f>
        <v>0</v>
      </c>
      <c r="D250" s="87">
        <v>0</v>
      </c>
      <c r="E250" s="47">
        <f t="shared" si="17"/>
        <v>0</v>
      </c>
      <c r="F250" s="87">
        <v>0</v>
      </c>
      <c r="G250" s="47">
        <f t="shared" si="19"/>
        <v>0</v>
      </c>
      <c r="H250" s="88"/>
      <c r="I250" s="20"/>
      <c r="J250" s="82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+'13'!G251</f>
        <v>0</v>
      </c>
      <c r="D251" s="87">
        <v>0</v>
      </c>
      <c r="E251" s="47">
        <f t="shared" si="17"/>
        <v>0</v>
      </c>
      <c r="F251" s="87">
        <v>0</v>
      </c>
      <c r="G251" s="47">
        <f t="shared" si="19"/>
        <v>0</v>
      </c>
      <c r="H251" s="88"/>
      <c r="I251" s="20"/>
      <c r="J251" s="82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+'13'!G252</f>
        <v>0</v>
      </c>
      <c r="D252" s="87">
        <v>0</v>
      </c>
      <c r="E252" s="47">
        <f t="shared" si="17"/>
        <v>0</v>
      </c>
      <c r="F252" s="87">
        <v>0</v>
      </c>
      <c r="G252" s="47">
        <f t="shared" si="19"/>
        <v>0</v>
      </c>
      <c r="H252" s="88"/>
      <c r="I252" s="20"/>
      <c r="J252" s="82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+'13'!G253</f>
        <v>0</v>
      </c>
      <c r="D253" s="87">
        <v>0</v>
      </c>
      <c r="E253" s="47">
        <f t="shared" ref="E253:E254" si="21">C253+D253</f>
        <v>0</v>
      </c>
      <c r="F253" s="87">
        <v>0</v>
      </c>
      <c r="G253" s="47">
        <f t="shared" si="19"/>
        <v>0</v>
      </c>
      <c r="H253" s="88"/>
      <c r="I253" s="20"/>
      <c r="J253" s="82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+'13'!G254</f>
        <v>0</v>
      </c>
      <c r="D254" s="87">
        <v>0</v>
      </c>
      <c r="E254" s="47">
        <f t="shared" si="21"/>
        <v>0</v>
      </c>
      <c r="F254" s="87">
        <v>0</v>
      </c>
      <c r="G254" s="47">
        <f t="shared" si="19"/>
        <v>0</v>
      </c>
      <c r="H254" s="88"/>
      <c r="I254" s="20"/>
      <c r="J254" s="82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4850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3" t="s">
        <v>213</v>
      </c>
      <c r="N255" s="143"/>
    </row>
    <row r="256" spans="1:14" ht="25.5" customHeight="1" x14ac:dyDescent="0.5">
      <c r="A256" s="1"/>
      <c r="C256" s="24"/>
      <c r="D256" s="25"/>
      <c r="E256" s="24"/>
      <c r="F256" s="25"/>
      <c r="G256" s="24"/>
      <c r="H256" s="148" t="s">
        <v>212</v>
      </c>
      <c r="I256" s="149"/>
      <c r="J256" s="30">
        <f>+X138</f>
        <v>0</v>
      </c>
      <c r="K256" s="27"/>
      <c r="L256" s="29"/>
    </row>
    <row r="257" spans="1:21" ht="25.5" x14ac:dyDescent="0.55000000000000004">
      <c r="A257" s="1"/>
      <c r="C257" s="31"/>
      <c r="E257" s="31"/>
      <c r="G257" s="31"/>
      <c r="H257" s="32"/>
      <c r="I257" s="150" t="s">
        <v>202</v>
      </c>
      <c r="J257" s="150"/>
      <c r="K257" s="33">
        <f>SUM(J5:J256)</f>
        <v>4950</v>
      </c>
    </row>
    <row r="258" spans="1:21" ht="25.5" x14ac:dyDescent="0.55000000000000004">
      <c r="A258" s="1"/>
      <c r="C258" s="31"/>
      <c r="E258" s="31"/>
      <c r="G258" s="31"/>
      <c r="I258" s="140" t="s">
        <v>203</v>
      </c>
      <c r="J258" s="141"/>
      <c r="K258" s="36">
        <v>15</v>
      </c>
    </row>
    <row r="259" spans="1:21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2205</v>
      </c>
      <c r="L259" s="2">
        <v>300</v>
      </c>
      <c r="M259" s="2">
        <v>50</v>
      </c>
      <c r="N259" s="2">
        <v>155</v>
      </c>
      <c r="O259" s="2">
        <v>400</v>
      </c>
      <c r="P259" s="2">
        <v>250</v>
      </c>
      <c r="Q259" s="2">
        <v>250</v>
      </c>
      <c r="R259" s="2">
        <v>300</v>
      </c>
      <c r="S259" s="2">
        <v>50</v>
      </c>
      <c r="T259" s="2">
        <v>150</v>
      </c>
      <c r="U259" s="2">
        <v>300</v>
      </c>
    </row>
    <row r="260" spans="1:21" ht="25.5" x14ac:dyDescent="0.55000000000000004">
      <c r="A260" s="1"/>
      <c r="C260" s="31"/>
      <c r="E260" s="31"/>
      <c r="G260" s="31"/>
      <c r="I260" s="140" t="s">
        <v>205</v>
      </c>
      <c r="J260" s="141"/>
      <c r="K260" s="36">
        <v>0</v>
      </c>
    </row>
    <row r="261" spans="1:21" ht="25.5" x14ac:dyDescent="0.55000000000000004">
      <c r="A261" s="1"/>
      <c r="C261" s="31"/>
      <c r="E261" s="31"/>
      <c r="G261" s="31"/>
      <c r="I261" s="140" t="s">
        <v>206</v>
      </c>
      <c r="J261" s="141"/>
      <c r="K261" s="36">
        <v>0</v>
      </c>
    </row>
    <row r="262" spans="1:21" ht="25.5" x14ac:dyDescent="0.55000000000000004">
      <c r="A262" s="1"/>
      <c r="C262" s="31"/>
      <c r="E262" s="31"/>
      <c r="G262" s="31"/>
      <c r="I262" s="140" t="s">
        <v>207</v>
      </c>
      <c r="J262" s="141"/>
      <c r="K262" s="37">
        <f>SUM(L5:L255)</f>
        <v>100</v>
      </c>
    </row>
    <row r="263" spans="1:21" ht="25.5" x14ac:dyDescent="0.55000000000000004">
      <c r="A263" s="1"/>
      <c r="C263" s="31"/>
      <c r="E263" s="31"/>
      <c r="G263" s="31"/>
      <c r="I263" s="140" t="s">
        <v>208</v>
      </c>
      <c r="J263" s="141"/>
      <c r="K263" s="33">
        <f>K257-K258-K259-K261-K262</f>
        <v>2630</v>
      </c>
    </row>
    <row r="264" spans="1:21" ht="25.5" x14ac:dyDescent="0.55000000000000004">
      <c r="A264" s="1"/>
      <c r="C264" s="31"/>
      <c r="E264" s="31"/>
      <c r="G264" s="31"/>
      <c r="I264" s="140" t="s">
        <v>209</v>
      </c>
      <c r="J264" s="141"/>
      <c r="K264" s="37">
        <v>2630</v>
      </c>
    </row>
    <row r="265" spans="1:21" ht="25.5" x14ac:dyDescent="0.55000000000000004">
      <c r="A265" s="1"/>
      <c r="C265" s="31"/>
      <c r="E265" s="31"/>
      <c r="G265" s="31"/>
      <c r="I265" s="140" t="s">
        <v>210</v>
      </c>
      <c r="J265" s="141"/>
      <c r="K265" s="33">
        <f>+K264-K263</f>
        <v>0</v>
      </c>
    </row>
    <row r="266" spans="1:21" ht="25.5" x14ac:dyDescent="0.55000000000000004">
      <c r="G266" s="2"/>
      <c r="I266" s="140" t="s">
        <v>211</v>
      </c>
      <c r="J266" s="141"/>
      <c r="K266" s="33">
        <f>+K264-K263</f>
        <v>0</v>
      </c>
    </row>
    <row r="267" spans="1:21" x14ac:dyDescent="0.5">
      <c r="G267" s="2"/>
      <c r="I267" s="2"/>
    </row>
    <row r="268" spans="1:21" ht="25.5" x14ac:dyDescent="0.55000000000000004">
      <c r="G268" s="2"/>
      <c r="I268" s="105" t="s">
        <v>312</v>
      </c>
    </row>
    <row r="269" spans="1:21" x14ac:dyDescent="0.5">
      <c r="G269" s="2"/>
      <c r="I269" s="2"/>
    </row>
    <row r="270" spans="1:21" x14ac:dyDescent="0.5">
      <c r="G270" s="2"/>
      <c r="I270" s="2"/>
    </row>
    <row r="271" spans="1:21" x14ac:dyDescent="0.5">
      <c r="G271" s="2"/>
      <c r="I271" s="2"/>
    </row>
    <row r="272" spans="1:2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4D336-50F8-4503-BB6D-07111F66CD60}">
  <sheetPr>
    <tabColor theme="7" tint="-0.249977111117893"/>
  </sheetPr>
  <dimension ref="A1:AB341"/>
  <sheetViews>
    <sheetView zoomScaleNormal="100" workbookViewId="0">
      <pane xSplit="7" ySplit="4" topLeftCell="H254" activePane="bottomRight" state="frozen"/>
      <selection activeCell="B20" sqref="B20"/>
      <selection pane="topRight" activeCell="B20" sqref="B20"/>
      <selection pane="bottomLeft" activeCell="B20" sqref="B20"/>
      <selection pane="bottomRight" activeCell="B20" sqref="B20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8" x14ac:dyDescent="0.5">
      <c r="A1" s="1"/>
      <c r="G1" s="2"/>
      <c r="I1" s="2"/>
    </row>
    <row r="2" spans="1:28" s="3" customFormat="1" ht="29.25" x14ac:dyDescent="0.6">
      <c r="A2" s="137" t="s">
        <v>247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8" s="5" customFormat="1" ht="26.25" x14ac:dyDescent="0.55000000000000004">
      <c r="A3" s="139" t="s">
        <v>1</v>
      </c>
      <c r="B3" s="151" t="s">
        <v>2</v>
      </c>
      <c r="C3" s="139" t="s">
        <v>3</v>
      </c>
      <c r="D3" s="139" t="s">
        <v>4</v>
      </c>
      <c r="E3" s="139" t="s">
        <v>5</v>
      </c>
      <c r="F3" s="85" t="s">
        <v>6</v>
      </c>
      <c r="G3" s="139" t="s">
        <v>7</v>
      </c>
      <c r="H3" s="142" t="s">
        <v>8</v>
      </c>
      <c r="I3" s="142"/>
      <c r="J3" s="142"/>
      <c r="K3" s="139" t="s">
        <v>9</v>
      </c>
      <c r="L3" s="144" t="s">
        <v>10</v>
      </c>
      <c r="O3" s="139" t="s">
        <v>1</v>
      </c>
      <c r="P3" s="139" t="s">
        <v>2</v>
      </c>
      <c r="Q3" s="139" t="s">
        <v>3</v>
      </c>
      <c r="R3" s="139" t="s">
        <v>4</v>
      </c>
      <c r="S3" s="139" t="s">
        <v>5</v>
      </c>
      <c r="T3" s="85" t="s">
        <v>6</v>
      </c>
      <c r="U3" s="139" t="s">
        <v>7</v>
      </c>
      <c r="V3" s="142" t="s">
        <v>8</v>
      </c>
      <c r="W3" s="142"/>
      <c r="X3" s="142"/>
      <c r="Y3" s="139" t="s">
        <v>9</v>
      </c>
      <c r="Z3" s="144" t="s">
        <v>10</v>
      </c>
    </row>
    <row r="4" spans="1:28" s="5" customFormat="1" ht="26.25" x14ac:dyDescent="0.55000000000000004">
      <c r="A4" s="139"/>
      <c r="B4" s="151"/>
      <c r="C4" s="139"/>
      <c r="D4" s="139"/>
      <c r="E4" s="139"/>
      <c r="F4" s="85" t="s">
        <v>11</v>
      </c>
      <c r="G4" s="139"/>
      <c r="H4" s="85" t="s">
        <v>12</v>
      </c>
      <c r="I4" s="86" t="s">
        <v>13</v>
      </c>
      <c r="J4" s="85" t="s">
        <v>14</v>
      </c>
      <c r="K4" s="139"/>
      <c r="L4" s="144"/>
      <c r="O4" s="139"/>
      <c r="P4" s="139"/>
      <c r="Q4" s="139"/>
      <c r="R4" s="139"/>
      <c r="S4" s="139"/>
      <c r="T4" s="85" t="s">
        <v>11</v>
      </c>
      <c r="U4" s="139"/>
      <c r="V4" s="85" t="s">
        <v>12</v>
      </c>
      <c r="W4" s="86" t="s">
        <v>13</v>
      </c>
      <c r="X4" s="85" t="s">
        <v>14</v>
      </c>
      <c r="Y4" s="139"/>
      <c r="Z4" s="144"/>
      <c r="AB4" s="5" t="s">
        <v>2</v>
      </c>
    </row>
    <row r="5" spans="1:28" ht="25.5" x14ac:dyDescent="0.55000000000000004">
      <c r="A5" s="10">
        <v>1</v>
      </c>
      <c r="B5" s="19" t="s">
        <v>15</v>
      </c>
      <c r="C5" s="79">
        <f>+'14'!G5</f>
        <v>14</v>
      </c>
      <c r="D5" s="87">
        <v>10</v>
      </c>
      <c r="E5" s="47">
        <f t="shared" ref="E5:E125" si="0">C5+D5</f>
        <v>24</v>
      </c>
      <c r="F5" s="87">
        <v>0</v>
      </c>
      <c r="G5" s="47">
        <f>+E5-F5-H5</f>
        <v>19</v>
      </c>
      <c r="H5" s="88">
        <v>5</v>
      </c>
      <c r="I5" s="15">
        <v>50</v>
      </c>
      <c r="J5" s="82">
        <f>+I5*H5</f>
        <v>250</v>
      </c>
      <c r="K5" s="17" t="s">
        <v>16</v>
      </c>
      <c r="L5" s="18">
        <v>0</v>
      </c>
      <c r="M5" s="104">
        <f>SUM(J5-L5)</f>
        <v>250</v>
      </c>
      <c r="O5" s="10">
        <v>1</v>
      </c>
      <c r="P5" s="19"/>
      <c r="Q5" s="47">
        <v>0</v>
      </c>
      <c r="R5" s="87">
        <v>0</v>
      </c>
      <c r="S5" s="47">
        <f t="shared" ref="S5:S14" si="1">Q5+R5</f>
        <v>0</v>
      </c>
      <c r="T5" s="87">
        <v>0</v>
      </c>
      <c r="U5" s="47">
        <f t="shared" ref="U5:U14" si="2">S5-T5-V5</f>
        <v>0</v>
      </c>
      <c r="V5" s="88">
        <v>0</v>
      </c>
      <c r="W5" s="22"/>
      <c r="X5" s="44">
        <f t="shared" ref="X5:X14" si="3">V5*W5</f>
        <v>0</v>
      </c>
      <c r="Y5" s="17" t="s">
        <v>16</v>
      </c>
      <c r="Z5" s="18">
        <v>0</v>
      </c>
      <c r="AB5" s="2" t="s">
        <v>317</v>
      </c>
    </row>
    <row r="6" spans="1:28" ht="25.5" x14ac:dyDescent="0.55000000000000004">
      <c r="A6" s="10">
        <v>2</v>
      </c>
      <c r="B6" s="19" t="s">
        <v>17</v>
      </c>
      <c r="C6" s="79">
        <f>+'14'!G6</f>
        <v>19</v>
      </c>
      <c r="D6" s="87">
        <v>10</v>
      </c>
      <c r="E6" s="47">
        <f t="shared" si="0"/>
        <v>29</v>
      </c>
      <c r="F6" s="87">
        <v>0</v>
      </c>
      <c r="G6" s="47">
        <f t="shared" ref="G6:G100" si="4">+E6-F6-H6</f>
        <v>27</v>
      </c>
      <c r="H6" s="88">
        <v>2</v>
      </c>
      <c r="I6" s="15">
        <v>100</v>
      </c>
      <c r="J6" s="82">
        <f t="shared" ref="J6:J100" si="5">+I6*H6</f>
        <v>200</v>
      </c>
      <c r="K6" s="17" t="s">
        <v>16</v>
      </c>
      <c r="L6" s="18">
        <v>0</v>
      </c>
      <c r="M6" s="104">
        <f t="shared" ref="M6:M69" si="6">SUM(J6-L6)</f>
        <v>200</v>
      </c>
      <c r="O6" s="10">
        <v>2</v>
      </c>
      <c r="P6" s="19"/>
      <c r="Q6" s="47">
        <v>0</v>
      </c>
      <c r="R6" s="87">
        <v>0</v>
      </c>
      <c r="S6" s="47">
        <f t="shared" si="1"/>
        <v>0</v>
      </c>
      <c r="T6" s="87">
        <v>0</v>
      </c>
      <c r="U6" s="47">
        <f t="shared" si="2"/>
        <v>0</v>
      </c>
      <c r="V6" s="88">
        <v>0</v>
      </c>
      <c r="W6" s="22"/>
      <c r="X6" s="44">
        <f t="shared" si="3"/>
        <v>0</v>
      </c>
      <c r="Y6" s="17" t="s">
        <v>16</v>
      </c>
      <c r="Z6" s="18">
        <v>0</v>
      </c>
      <c r="AB6" s="2" t="s">
        <v>318</v>
      </c>
    </row>
    <row r="7" spans="1:28" ht="25.5" x14ac:dyDescent="0.55000000000000004">
      <c r="A7" s="10">
        <v>3</v>
      </c>
      <c r="B7" s="19" t="s">
        <v>18</v>
      </c>
      <c r="C7" s="79">
        <f>+'14'!G7</f>
        <v>0</v>
      </c>
      <c r="D7" s="87">
        <v>0</v>
      </c>
      <c r="E7" s="47">
        <f>C7+D7</f>
        <v>0</v>
      </c>
      <c r="F7" s="87">
        <v>0</v>
      </c>
      <c r="G7" s="47">
        <f t="shared" si="4"/>
        <v>0</v>
      </c>
      <c r="H7" s="88"/>
      <c r="I7" s="15">
        <v>50</v>
      </c>
      <c r="J7" s="8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7">
        <v>0</v>
      </c>
      <c r="S7" s="47">
        <f t="shared" si="1"/>
        <v>0</v>
      </c>
      <c r="T7" s="87">
        <v>0</v>
      </c>
      <c r="U7" s="47">
        <f t="shared" si="2"/>
        <v>0</v>
      </c>
      <c r="V7" s="88">
        <v>0</v>
      </c>
      <c r="W7" s="22"/>
      <c r="X7" s="44">
        <f t="shared" si="3"/>
        <v>0</v>
      </c>
      <c r="Y7" s="17" t="s">
        <v>16</v>
      </c>
      <c r="Z7" s="18">
        <v>0</v>
      </c>
      <c r="AB7" s="2" t="s">
        <v>319</v>
      </c>
    </row>
    <row r="8" spans="1:28" ht="25.5" x14ac:dyDescent="0.55000000000000004">
      <c r="A8" s="10">
        <v>4</v>
      </c>
      <c r="B8" s="19" t="s">
        <v>19</v>
      </c>
      <c r="C8" s="79">
        <f>+'14'!G8</f>
        <v>0</v>
      </c>
      <c r="D8" s="87">
        <v>0</v>
      </c>
      <c r="E8" s="47">
        <f>C8+D8</f>
        <v>0</v>
      </c>
      <c r="F8" s="87">
        <v>0</v>
      </c>
      <c r="G8" s="47">
        <f t="shared" si="4"/>
        <v>0</v>
      </c>
      <c r="H8" s="88"/>
      <c r="I8" s="15">
        <v>100</v>
      </c>
      <c r="J8" s="8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7">
        <v>0</v>
      </c>
      <c r="S8" s="47">
        <f t="shared" si="1"/>
        <v>0</v>
      </c>
      <c r="T8" s="87">
        <v>0</v>
      </c>
      <c r="U8" s="47">
        <f t="shared" si="2"/>
        <v>0</v>
      </c>
      <c r="V8" s="88">
        <v>0</v>
      </c>
      <c r="W8" s="22"/>
      <c r="X8" s="44">
        <f t="shared" si="3"/>
        <v>0</v>
      </c>
      <c r="Y8" s="17" t="s">
        <v>16</v>
      </c>
      <c r="Z8" s="18">
        <v>0</v>
      </c>
      <c r="AB8" s="2" t="s">
        <v>320</v>
      </c>
    </row>
    <row r="9" spans="1:28" ht="25.5" x14ac:dyDescent="0.55000000000000004">
      <c r="A9" s="10">
        <v>5</v>
      </c>
      <c r="B9" s="19" t="s">
        <v>20</v>
      </c>
      <c r="C9" s="79">
        <f>+'14'!G9</f>
        <v>0</v>
      </c>
      <c r="D9" s="87">
        <v>0</v>
      </c>
      <c r="E9" s="47">
        <f>C9+D9</f>
        <v>0</v>
      </c>
      <c r="F9" s="87">
        <v>0</v>
      </c>
      <c r="G9" s="47">
        <f t="shared" si="4"/>
        <v>0</v>
      </c>
      <c r="H9" s="88"/>
      <c r="I9" s="15">
        <v>12</v>
      </c>
      <c r="J9" s="8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7">
        <v>0</v>
      </c>
      <c r="S9" s="47">
        <f t="shared" si="1"/>
        <v>0</v>
      </c>
      <c r="T9" s="87">
        <v>0</v>
      </c>
      <c r="U9" s="47">
        <f t="shared" si="2"/>
        <v>0</v>
      </c>
      <c r="V9" s="88">
        <v>0</v>
      </c>
      <c r="W9" s="22"/>
      <c r="X9" s="44">
        <f t="shared" si="3"/>
        <v>0</v>
      </c>
      <c r="Y9" s="17" t="s">
        <v>16</v>
      </c>
      <c r="Z9" s="18">
        <v>0</v>
      </c>
      <c r="AB9" s="2" t="s">
        <v>307</v>
      </c>
    </row>
    <row r="10" spans="1:28" ht="25.5" x14ac:dyDescent="0.55000000000000004">
      <c r="A10" s="10">
        <v>6</v>
      </c>
      <c r="B10" s="19" t="s">
        <v>21</v>
      </c>
      <c r="C10" s="79">
        <f>+'14'!G10</f>
        <v>0</v>
      </c>
      <c r="D10" s="87">
        <v>0</v>
      </c>
      <c r="E10" s="47">
        <f>C10+D10</f>
        <v>0</v>
      </c>
      <c r="F10" s="87">
        <v>0</v>
      </c>
      <c r="G10" s="47">
        <f t="shared" si="4"/>
        <v>0</v>
      </c>
      <c r="H10" s="88"/>
      <c r="I10" s="15">
        <v>15</v>
      </c>
      <c r="J10" s="8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7">
        <v>0</v>
      </c>
      <c r="S10" s="47">
        <f t="shared" si="1"/>
        <v>0</v>
      </c>
      <c r="T10" s="87">
        <v>0</v>
      </c>
      <c r="U10" s="47">
        <f t="shared" si="2"/>
        <v>0</v>
      </c>
      <c r="V10" s="88">
        <v>0</v>
      </c>
      <c r="W10" s="22"/>
      <c r="X10" s="44">
        <f t="shared" si="3"/>
        <v>0</v>
      </c>
      <c r="Y10" s="17" t="s">
        <v>16</v>
      </c>
      <c r="Z10" s="18">
        <v>0</v>
      </c>
      <c r="AB10" s="2" t="s">
        <v>311</v>
      </c>
    </row>
    <row r="11" spans="1:28" ht="25.5" x14ac:dyDescent="0.55000000000000004">
      <c r="A11" s="10">
        <v>7</v>
      </c>
      <c r="B11" s="19" t="s">
        <v>22</v>
      </c>
      <c r="C11" s="79">
        <f>+'14'!G11</f>
        <v>0</v>
      </c>
      <c r="D11" s="87">
        <v>0</v>
      </c>
      <c r="E11" s="47">
        <f t="shared" si="0"/>
        <v>0</v>
      </c>
      <c r="F11" s="87">
        <v>0</v>
      </c>
      <c r="G11" s="47">
        <f t="shared" si="4"/>
        <v>0</v>
      </c>
      <c r="H11" s="88"/>
      <c r="I11" s="15">
        <v>40</v>
      </c>
      <c r="J11" s="8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7">
        <v>0</v>
      </c>
      <c r="S11" s="47">
        <f t="shared" si="1"/>
        <v>0</v>
      </c>
      <c r="T11" s="87">
        <v>0</v>
      </c>
      <c r="U11" s="47">
        <f t="shared" si="2"/>
        <v>0</v>
      </c>
      <c r="V11" s="88">
        <v>0</v>
      </c>
      <c r="W11" s="22"/>
      <c r="X11" s="44">
        <f t="shared" si="3"/>
        <v>0</v>
      </c>
      <c r="Y11" s="17" t="s">
        <v>16</v>
      </c>
      <c r="Z11" s="18">
        <v>0</v>
      </c>
      <c r="AB11" s="2" t="s">
        <v>321</v>
      </c>
    </row>
    <row r="12" spans="1:28" ht="25.5" x14ac:dyDescent="0.55000000000000004">
      <c r="A12" s="10">
        <v>8</v>
      </c>
      <c r="B12" s="19" t="s">
        <v>23</v>
      </c>
      <c r="C12" s="79">
        <f>+'14'!G12</f>
        <v>0</v>
      </c>
      <c r="D12" s="87">
        <v>0</v>
      </c>
      <c r="E12" s="47">
        <f t="shared" si="0"/>
        <v>0</v>
      </c>
      <c r="F12" s="87">
        <v>0</v>
      </c>
      <c r="G12" s="47">
        <f t="shared" si="4"/>
        <v>0</v>
      </c>
      <c r="H12" s="88"/>
      <c r="I12" s="20">
        <v>50</v>
      </c>
      <c r="J12" s="8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7">
        <v>0</v>
      </c>
      <c r="S12" s="47">
        <f t="shared" si="1"/>
        <v>0</v>
      </c>
      <c r="T12" s="87">
        <v>0</v>
      </c>
      <c r="U12" s="47">
        <f t="shared" si="2"/>
        <v>0</v>
      </c>
      <c r="V12" s="88">
        <v>0</v>
      </c>
      <c r="W12" s="22"/>
      <c r="X12" s="44">
        <f t="shared" si="3"/>
        <v>0</v>
      </c>
      <c r="Y12" s="17" t="s">
        <v>16</v>
      </c>
      <c r="Z12" s="18">
        <v>0</v>
      </c>
      <c r="AB12" s="2" t="s">
        <v>289</v>
      </c>
    </row>
    <row r="13" spans="1:28" ht="25.5" x14ac:dyDescent="0.55000000000000004">
      <c r="A13" s="10">
        <v>9</v>
      </c>
      <c r="B13" s="19" t="s">
        <v>24</v>
      </c>
      <c r="C13" s="79">
        <f>+'14'!G13</f>
        <v>0</v>
      </c>
      <c r="D13" s="87">
        <v>0</v>
      </c>
      <c r="E13" s="47">
        <f>C13+D13</f>
        <v>0</v>
      </c>
      <c r="F13" s="87">
        <v>0</v>
      </c>
      <c r="G13" s="47">
        <f t="shared" si="4"/>
        <v>0</v>
      </c>
      <c r="H13" s="88"/>
      <c r="I13" s="20">
        <v>55</v>
      </c>
      <c r="J13" s="8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7">
        <v>0</v>
      </c>
      <c r="S13" s="47">
        <f t="shared" si="1"/>
        <v>0</v>
      </c>
      <c r="T13" s="87">
        <v>0</v>
      </c>
      <c r="U13" s="47">
        <f t="shared" si="2"/>
        <v>0</v>
      </c>
      <c r="V13" s="88">
        <v>0</v>
      </c>
      <c r="W13" s="22"/>
      <c r="X13" s="44">
        <f t="shared" si="3"/>
        <v>0</v>
      </c>
      <c r="Y13" s="17" t="s">
        <v>16</v>
      </c>
      <c r="Z13" s="18">
        <v>0</v>
      </c>
      <c r="AB13" s="2" t="s">
        <v>322</v>
      </c>
    </row>
    <row r="14" spans="1:28" ht="25.5" x14ac:dyDescent="0.55000000000000004">
      <c r="A14" s="10">
        <v>10</v>
      </c>
      <c r="B14" s="19" t="s">
        <v>25</v>
      </c>
      <c r="C14" s="79">
        <f>+'14'!G14</f>
        <v>0</v>
      </c>
      <c r="D14" s="87">
        <v>0</v>
      </c>
      <c r="E14" s="47">
        <f t="shared" si="0"/>
        <v>0</v>
      </c>
      <c r="F14" s="87">
        <v>0</v>
      </c>
      <c r="G14" s="47">
        <f t="shared" si="4"/>
        <v>0</v>
      </c>
      <c r="H14" s="88"/>
      <c r="I14" s="20">
        <v>65</v>
      </c>
      <c r="J14" s="8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7">
        <v>0</v>
      </c>
      <c r="S14" s="47">
        <f t="shared" si="1"/>
        <v>0</v>
      </c>
      <c r="T14" s="87">
        <v>0</v>
      </c>
      <c r="U14" s="47">
        <f t="shared" si="2"/>
        <v>0</v>
      </c>
      <c r="V14" s="88">
        <v>0</v>
      </c>
      <c r="W14" s="22"/>
      <c r="X14" s="44">
        <f t="shared" si="3"/>
        <v>0</v>
      </c>
      <c r="Y14" s="17" t="s">
        <v>16</v>
      </c>
      <c r="Z14" s="18">
        <v>0</v>
      </c>
      <c r="AB14" s="2" t="s">
        <v>306</v>
      </c>
    </row>
    <row r="15" spans="1:28" ht="25.5" x14ac:dyDescent="0.55000000000000004">
      <c r="A15" s="10">
        <v>11</v>
      </c>
      <c r="B15" s="19" t="s">
        <v>26</v>
      </c>
      <c r="C15" s="79">
        <f>+'14'!G15</f>
        <v>0</v>
      </c>
      <c r="D15" s="87">
        <v>0</v>
      </c>
      <c r="E15" s="47">
        <f t="shared" si="0"/>
        <v>0</v>
      </c>
      <c r="F15" s="87">
        <v>0</v>
      </c>
      <c r="G15" s="47">
        <f t="shared" si="4"/>
        <v>0</v>
      </c>
      <c r="H15" s="88"/>
      <c r="I15" s="20">
        <v>50</v>
      </c>
      <c r="J15" s="8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7">
        <v>0</v>
      </c>
      <c r="S15" s="47">
        <f t="shared" ref="S15:S29" si="7">Q15+R15</f>
        <v>0</v>
      </c>
      <c r="T15" s="87">
        <v>0</v>
      </c>
      <c r="U15" s="47">
        <f t="shared" ref="U15:U29" si="8">S15-T15-V15</f>
        <v>0</v>
      </c>
      <c r="V15" s="88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8" ht="25.5" x14ac:dyDescent="0.55000000000000004">
      <c r="A16" s="10">
        <v>12</v>
      </c>
      <c r="B16" s="19" t="s">
        <v>27</v>
      </c>
      <c r="C16" s="79">
        <f>+'14'!G16</f>
        <v>0</v>
      </c>
      <c r="D16" s="87">
        <v>0</v>
      </c>
      <c r="E16" s="47">
        <f t="shared" si="0"/>
        <v>0</v>
      </c>
      <c r="F16" s="87">
        <v>0</v>
      </c>
      <c r="G16" s="47">
        <f t="shared" si="4"/>
        <v>0</v>
      </c>
      <c r="H16" s="88"/>
      <c r="I16" s="15">
        <v>50</v>
      </c>
      <c r="J16" s="8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7">
        <v>0</v>
      </c>
      <c r="S16" s="47">
        <f t="shared" si="7"/>
        <v>0</v>
      </c>
      <c r="T16" s="87">
        <v>0</v>
      </c>
      <c r="U16" s="47">
        <f t="shared" si="8"/>
        <v>0</v>
      </c>
      <c r="V16" s="88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+'14'!G17</f>
        <v>0</v>
      </c>
      <c r="D17" s="87">
        <v>0</v>
      </c>
      <c r="E17" s="47">
        <f t="shared" si="0"/>
        <v>0</v>
      </c>
      <c r="F17" s="87">
        <v>0</v>
      </c>
      <c r="G17" s="47">
        <f t="shared" si="4"/>
        <v>0</v>
      </c>
      <c r="H17" s="88"/>
      <c r="I17" s="15">
        <v>50</v>
      </c>
      <c r="J17" s="8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7">
        <v>0</v>
      </c>
      <c r="S17" s="47">
        <f t="shared" si="7"/>
        <v>0</v>
      </c>
      <c r="T17" s="87">
        <v>0</v>
      </c>
      <c r="U17" s="47">
        <f t="shared" si="8"/>
        <v>0</v>
      </c>
      <c r="V17" s="88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+'14'!G18</f>
        <v>0</v>
      </c>
      <c r="D18" s="87">
        <v>0</v>
      </c>
      <c r="E18" s="47">
        <f t="shared" si="0"/>
        <v>0</v>
      </c>
      <c r="F18" s="87">
        <v>0</v>
      </c>
      <c r="G18" s="47">
        <f t="shared" si="4"/>
        <v>0</v>
      </c>
      <c r="H18" s="88"/>
      <c r="I18" s="20">
        <v>50</v>
      </c>
      <c r="J18" s="8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7">
        <v>0</v>
      </c>
      <c r="S18" s="47">
        <f t="shared" si="7"/>
        <v>0</v>
      </c>
      <c r="T18" s="87">
        <v>0</v>
      </c>
      <c r="U18" s="47">
        <f t="shared" si="8"/>
        <v>0</v>
      </c>
      <c r="V18" s="88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329</v>
      </c>
      <c r="C19" s="79">
        <f>+'14'!G19</f>
        <v>0</v>
      </c>
      <c r="D19" s="87">
        <v>0</v>
      </c>
      <c r="E19" s="47">
        <f t="shared" si="0"/>
        <v>0</v>
      </c>
      <c r="F19" s="87">
        <v>0</v>
      </c>
      <c r="G19" s="47">
        <f t="shared" si="4"/>
        <v>0</v>
      </c>
      <c r="H19" s="88"/>
      <c r="I19" s="15">
        <v>50</v>
      </c>
      <c r="J19" s="8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7">
        <v>0</v>
      </c>
      <c r="S19" s="47">
        <f t="shared" si="7"/>
        <v>0</v>
      </c>
      <c r="T19" s="87">
        <v>0</v>
      </c>
      <c r="U19" s="47">
        <f t="shared" si="8"/>
        <v>0</v>
      </c>
      <c r="V19" s="88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+'14'!G20</f>
        <v>0</v>
      </c>
      <c r="D20" s="87">
        <v>0</v>
      </c>
      <c r="E20" s="47">
        <f t="shared" si="0"/>
        <v>0</v>
      </c>
      <c r="F20" s="87">
        <v>0</v>
      </c>
      <c r="G20" s="47">
        <f t="shared" si="4"/>
        <v>0</v>
      </c>
      <c r="H20" s="88"/>
      <c r="I20" s="15">
        <v>50</v>
      </c>
      <c r="J20" s="8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7">
        <v>0</v>
      </c>
      <c r="S20" s="47">
        <f t="shared" si="7"/>
        <v>0</v>
      </c>
      <c r="T20" s="87">
        <v>0</v>
      </c>
      <c r="U20" s="47">
        <f t="shared" si="8"/>
        <v>0</v>
      </c>
      <c r="V20" s="88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+'14'!G21</f>
        <v>0</v>
      </c>
      <c r="D21" s="87">
        <v>0</v>
      </c>
      <c r="E21" s="47">
        <f t="shared" si="0"/>
        <v>0</v>
      </c>
      <c r="F21" s="87">
        <v>0</v>
      </c>
      <c r="G21" s="47">
        <f t="shared" si="4"/>
        <v>0</v>
      </c>
      <c r="H21" s="88"/>
      <c r="I21" s="15">
        <v>50</v>
      </c>
      <c r="J21" s="8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7">
        <v>0</v>
      </c>
      <c r="S21" s="47">
        <f t="shared" si="7"/>
        <v>0</v>
      </c>
      <c r="T21" s="87">
        <v>0</v>
      </c>
      <c r="U21" s="47">
        <f t="shared" si="8"/>
        <v>0</v>
      </c>
      <c r="V21" s="88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+'14'!G22</f>
        <v>3</v>
      </c>
      <c r="D22" s="87">
        <v>5</v>
      </c>
      <c r="E22" s="47">
        <f t="shared" si="0"/>
        <v>8</v>
      </c>
      <c r="F22" s="87">
        <v>0</v>
      </c>
      <c r="G22" s="47">
        <f t="shared" si="4"/>
        <v>7</v>
      </c>
      <c r="H22" s="88">
        <v>1</v>
      </c>
      <c r="I22" s="15">
        <v>85</v>
      </c>
      <c r="J22" s="82">
        <f t="shared" si="5"/>
        <v>85</v>
      </c>
      <c r="K22" s="17" t="s">
        <v>16</v>
      </c>
      <c r="L22" s="18">
        <v>0</v>
      </c>
      <c r="M22" s="104">
        <f t="shared" si="6"/>
        <v>85</v>
      </c>
      <c r="O22" s="10">
        <v>18</v>
      </c>
      <c r="P22" s="19"/>
      <c r="Q22" s="47">
        <v>0</v>
      </c>
      <c r="R22" s="87">
        <v>0</v>
      </c>
      <c r="S22" s="47">
        <f t="shared" si="7"/>
        <v>0</v>
      </c>
      <c r="T22" s="87">
        <v>0</v>
      </c>
      <c r="U22" s="47">
        <f t="shared" si="8"/>
        <v>0</v>
      </c>
      <c r="V22" s="88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+'14'!G23</f>
        <v>0</v>
      </c>
      <c r="D23" s="87">
        <v>5</v>
      </c>
      <c r="E23" s="47">
        <f t="shared" si="0"/>
        <v>5</v>
      </c>
      <c r="F23" s="87">
        <v>0</v>
      </c>
      <c r="G23" s="47">
        <f t="shared" si="4"/>
        <v>5</v>
      </c>
      <c r="H23" s="88"/>
      <c r="I23" s="15">
        <v>100</v>
      </c>
      <c r="J23" s="8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v>0</v>
      </c>
      <c r="R23" s="87">
        <v>0</v>
      </c>
      <c r="S23" s="47">
        <f t="shared" si="7"/>
        <v>0</v>
      </c>
      <c r="T23" s="87">
        <v>0</v>
      </c>
      <c r="U23" s="47">
        <f t="shared" si="8"/>
        <v>0</v>
      </c>
      <c r="V23" s="88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+'14'!G24</f>
        <v>1</v>
      </c>
      <c r="D24" s="87">
        <v>5</v>
      </c>
      <c r="E24" s="47">
        <f t="shared" si="0"/>
        <v>6</v>
      </c>
      <c r="F24" s="87">
        <v>1</v>
      </c>
      <c r="G24" s="47">
        <f t="shared" si="4"/>
        <v>5</v>
      </c>
      <c r="H24" s="88"/>
      <c r="I24" s="21">
        <v>100</v>
      </c>
      <c r="J24" s="8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7">
        <v>0</v>
      </c>
      <c r="S24" s="47">
        <f t="shared" si="7"/>
        <v>0</v>
      </c>
      <c r="T24" s="87">
        <v>0</v>
      </c>
      <c r="U24" s="47">
        <f t="shared" si="8"/>
        <v>0</v>
      </c>
      <c r="V24" s="88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+'14'!G25</f>
        <v>0</v>
      </c>
      <c r="D25" s="87">
        <v>0</v>
      </c>
      <c r="E25" s="47">
        <f t="shared" si="0"/>
        <v>0</v>
      </c>
      <c r="F25" s="87">
        <v>0</v>
      </c>
      <c r="G25" s="47">
        <f t="shared" si="4"/>
        <v>0</v>
      </c>
      <c r="H25" s="88"/>
      <c r="I25" s="21">
        <v>100</v>
      </c>
      <c r="J25" s="8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7">
        <v>0</v>
      </c>
      <c r="S25" s="47">
        <f t="shared" si="7"/>
        <v>0</v>
      </c>
      <c r="T25" s="87">
        <v>0</v>
      </c>
      <c r="U25" s="47">
        <f t="shared" si="8"/>
        <v>0</v>
      </c>
      <c r="V25" s="88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+'14'!G26</f>
        <v>0</v>
      </c>
      <c r="D26" s="87">
        <v>0</v>
      </c>
      <c r="E26" s="47">
        <f t="shared" si="0"/>
        <v>0</v>
      </c>
      <c r="F26" s="87">
        <v>0</v>
      </c>
      <c r="G26" s="47">
        <f t="shared" si="4"/>
        <v>0</v>
      </c>
      <c r="H26" s="88"/>
      <c r="I26" s="21">
        <v>100</v>
      </c>
      <c r="J26" s="8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7">
        <v>0</v>
      </c>
      <c r="S26" s="47">
        <f t="shared" si="7"/>
        <v>0</v>
      </c>
      <c r="T26" s="87">
        <v>0</v>
      </c>
      <c r="U26" s="47">
        <f t="shared" si="8"/>
        <v>0</v>
      </c>
      <c r="V26" s="88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+'14'!G27</f>
        <v>0</v>
      </c>
      <c r="D27" s="87">
        <v>0</v>
      </c>
      <c r="E27" s="47">
        <f t="shared" si="0"/>
        <v>0</v>
      </c>
      <c r="F27" s="87">
        <v>0</v>
      </c>
      <c r="G27" s="47">
        <f t="shared" si="4"/>
        <v>0</v>
      </c>
      <c r="H27" s="88"/>
      <c r="I27" s="20">
        <v>100</v>
      </c>
      <c r="J27" s="8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7">
        <v>0</v>
      </c>
      <c r="S27" s="47">
        <f t="shared" si="7"/>
        <v>0</v>
      </c>
      <c r="T27" s="87">
        <v>0</v>
      </c>
      <c r="U27" s="47">
        <f t="shared" si="8"/>
        <v>0</v>
      </c>
      <c r="V27" s="88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+'14'!G28</f>
        <v>0</v>
      </c>
      <c r="D28" s="87">
        <v>0</v>
      </c>
      <c r="E28" s="47">
        <f t="shared" si="0"/>
        <v>0</v>
      </c>
      <c r="F28" s="87">
        <v>0</v>
      </c>
      <c r="G28" s="47">
        <f t="shared" si="4"/>
        <v>0</v>
      </c>
      <c r="H28" s="88"/>
      <c r="I28" s="20">
        <v>100</v>
      </c>
      <c r="J28" s="8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7">
        <v>0</v>
      </c>
      <c r="S28" s="47">
        <f t="shared" si="7"/>
        <v>0</v>
      </c>
      <c r="T28" s="87">
        <v>0</v>
      </c>
      <c r="U28" s="47">
        <f t="shared" si="8"/>
        <v>0</v>
      </c>
      <c r="V28" s="88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v>7</v>
      </c>
      <c r="D29" s="87">
        <v>0</v>
      </c>
      <c r="E29" s="47">
        <f t="shared" si="0"/>
        <v>7</v>
      </c>
      <c r="F29" s="87">
        <v>2</v>
      </c>
      <c r="G29" s="47">
        <f t="shared" si="4"/>
        <v>3</v>
      </c>
      <c r="H29" s="88">
        <v>2</v>
      </c>
      <c r="I29" s="15">
        <v>100</v>
      </c>
      <c r="J29" s="82">
        <f t="shared" si="5"/>
        <v>200</v>
      </c>
      <c r="K29" s="17" t="s">
        <v>16</v>
      </c>
      <c r="L29" s="18">
        <v>100</v>
      </c>
      <c r="M29" s="104">
        <f t="shared" si="6"/>
        <v>100</v>
      </c>
      <c r="O29" s="10">
        <v>25</v>
      </c>
      <c r="P29" s="19"/>
      <c r="Q29" s="47">
        <v>0</v>
      </c>
      <c r="R29" s="87">
        <v>0</v>
      </c>
      <c r="S29" s="47">
        <f t="shared" si="7"/>
        <v>0</v>
      </c>
      <c r="T29" s="87">
        <v>0</v>
      </c>
      <c r="U29" s="47">
        <f t="shared" si="8"/>
        <v>0</v>
      </c>
      <c r="V29" s="88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+'14'!G30</f>
        <v>0</v>
      </c>
      <c r="D30" s="87">
        <v>0</v>
      </c>
      <c r="E30" s="47">
        <f t="shared" si="0"/>
        <v>0</v>
      </c>
      <c r="F30" s="87">
        <v>0</v>
      </c>
      <c r="G30" s="47">
        <f t="shared" si="4"/>
        <v>0</v>
      </c>
      <c r="H30" s="88"/>
      <c r="I30" s="15">
        <v>100</v>
      </c>
      <c r="J30" s="8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+'14'!G31</f>
        <v>1</v>
      </c>
      <c r="D31" s="87">
        <v>0</v>
      </c>
      <c r="E31" s="47">
        <f t="shared" si="0"/>
        <v>1</v>
      </c>
      <c r="F31" s="87">
        <v>0</v>
      </c>
      <c r="G31" s="47">
        <f t="shared" si="4"/>
        <v>1</v>
      </c>
      <c r="H31" s="88"/>
      <c r="I31" s="15">
        <v>100</v>
      </c>
      <c r="J31" s="82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+'14'!G32</f>
        <v>0</v>
      </c>
      <c r="D32" s="87">
        <v>0</v>
      </c>
      <c r="E32" s="47">
        <f t="shared" si="0"/>
        <v>0</v>
      </c>
      <c r="F32" s="87">
        <v>0</v>
      </c>
      <c r="G32" s="47">
        <f t="shared" si="4"/>
        <v>0</v>
      </c>
      <c r="H32" s="88"/>
      <c r="I32" s="15">
        <v>130</v>
      </c>
      <c r="J32" s="82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5" t="s">
        <v>119</v>
      </c>
      <c r="Q32" s="146"/>
      <c r="R32" s="146"/>
      <c r="S32" s="146"/>
      <c r="T32" s="146"/>
      <c r="U32" s="146"/>
      <c r="V32" s="146"/>
      <c r="W32" s="147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+'14'!G33</f>
        <v>7</v>
      </c>
      <c r="D33" s="87">
        <v>5</v>
      </c>
      <c r="E33" s="47">
        <f t="shared" si="0"/>
        <v>12</v>
      </c>
      <c r="F33" s="87">
        <v>0</v>
      </c>
      <c r="G33" s="47">
        <f t="shared" si="4"/>
        <v>12</v>
      </c>
      <c r="H33" s="88"/>
      <c r="I33" s="15">
        <v>130</v>
      </c>
      <c r="J33" s="82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v>11</v>
      </c>
      <c r="D34" s="87">
        <v>5</v>
      </c>
      <c r="E34" s="47">
        <f t="shared" si="0"/>
        <v>16</v>
      </c>
      <c r="F34" s="87">
        <v>0</v>
      </c>
      <c r="G34" s="47">
        <f t="shared" si="4"/>
        <v>15</v>
      </c>
      <c r="H34" s="88">
        <v>1</v>
      </c>
      <c r="I34" s="15">
        <v>130</v>
      </c>
      <c r="J34" s="82">
        <f t="shared" si="5"/>
        <v>130</v>
      </c>
      <c r="K34" s="17" t="s">
        <v>16</v>
      </c>
      <c r="L34" s="18">
        <v>0</v>
      </c>
      <c r="M34" s="104">
        <f t="shared" si="6"/>
        <v>130</v>
      </c>
    </row>
    <row r="35" spans="1:13" ht="25.5" x14ac:dyDescent="0.55000000000000004">
      <c r="A35" s="10">
        <v>31</v>
      </c>
      <c r="B35" s="19" t="s">
        <v>46</v>
      </c>
      <c r="C35" s="79">
        <v>0</v>
      </c>
      <c r="D35" s="87">
        <v>0</v>
      </c>
      <c r="E35" s="47">
        <f t="shared" si="0"/>
        <v>0</v>
      </c>
      <c r="F35" s="87">
        <v>0</v>
      </c>
      <c r="G35" s="47">
        <f t="shared" si="4"/>
        <v>0</v>
      </c>
      <c r="H35" s="88"/>
      <c r="I35" s="15">
        <v>130</v>
      </c>
      <c r="J35" s="82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+'14'!G36</f>
        <v>0</v>
      </c>
      <c r="D36" s="87">
        <v>0</v>
      </c>
      <c r="E36" s="47">
        <f t="shared" si="0"/>
        <v>0</v>
      </c>
      <c r="F36" s="87">
        <v>0</v>
      </c>
      <c r="G36" s="47">
        <f t="shared" si="4"/>
        <v>0</v>
      </c>
      <c r="H36" s="88"/>
      <c r="I36" s="15">
        <v>100</v>
      </c>
      <c r="J36" s="82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+'14'!G37</f>
        <v>0</v>
      </c>
      <c r="D37" s="87">
        <v>0</v>
      </c>
      <c r="E37" s="47">
        <f t="shared" si="0"/>
        <v>0</v>
      </c>
      <c r="F37" s="87">
        <v>0</v>
      </c>
      <c r="G37" s="47">
        <f t="shared" si="4"/>
        <v>0</v>
      </c>
      <c r="H37" s="88"/>
      <c r="I37" s="15">
        <v>100</v>
      </c>
      <c r="J37" s="82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 t="s">
        <v>49</v>
      </c>
      <c r="C38" s="79">
        <v>4</v>
      </c>
      <c r="D38" s="87">
        <v>5</v>
      </c>
      <c r="E38" s="47">
        <f t="shared" si="0"/>
        <v>9</v>
      </c>
      <c r="F38" s="87">
        <v>0</v>
      </c>
      <c r="G38" s="47">
        <f t="shared" si="4"/>
        <v>7</v>
      </c>
      <c r="H38" s="88">
        <v>2</v>
      </c>
      <c r="I38" s="15">
        <v>50</v>
      </c>
      <c r="J38" s="82">
        <f t="shared" si="5"/>
        <v>100</v>
      </c>
      <c r="K38" s="17" t="s">
        <v>16</v>
      </c>
      <c r="L38" s="18">
        <v>0</v>
      </c>
      <c r="M38" s="104">
        <f t="shared" si="6"/>
        <v>100</v>
      </c>
    </row>
    <row r="39" spans="1:13" ht="25.5" x14ac:dyDescent="0.55000000000000004">
      <c r="A39" s="10">
        <v>35</v>
      </c>
      <c r="B39" s="19" t="s">
        <v>50</v>
      </c>
      <c r="C39" s="79">
        <v>4</v>
      </c>
      <c r="D39" s="87">
        <v>5</v>
      </c>
      <c r="E39" s="47">
        <f t="shared" si="0"/>
        <v>9</v>
      </c>
      <c r="F39" s="87">
        <v>0</v>
      </c>
      <c r="G39" s="47">
        <f t="shared" si="4"/>
        <v>8</v>
      </c>
      <c r="H39" s="88">
        <v>1</v>
      </c>
      <c r="I39" s="15">
        <v>50</v>
      </c>
      <c r="J39" s="82">
        <f t="shared" si="5"/>
        <v>50</v>
      </c>
      <c r="K39" s="17" t="s">
        <v>16</v>
      </c>
      <c r="L39" s="18">
        <v>0</v>
      </c>
      <c r="M39" s="104">
        <f t="shared" si="6"/>
        <v>50</v>
      </c>
    </row>
    <row r="40" spans="1:13" ht="25.5" x14ac:dyDescent="0.55000000000000004">
      <c r="A40" s="10">
        <v>36</v>
      </c>
      <c r="B40" s="19" t="s">
        <v>51</v>
      </c>
      <c r="C40" s="79">
        <f>+'14'!G40</f>
        <v>7</v>
      </c>
      <c r="D40" s="87">
        <v>5</v>
      </c>
      <c r="E40" s="47">
        <f t="shared" si="0"/>
        <v>12</v>
      </c>
      <c r="F40" s="87">
        <v>0</v>
      </c>
      <c r="G40" s="47">
        <f t="shared" si="4"/>
        <v>10</v>
      </c>
      <c r="H40" s="88">
        <v>2</v>
      </c>
      <c r="I40" s="15">
        <v>50</v>
      </c>
      <c r="J40" s="82">
        <f t="shared" si="5"/>
        <v>100</v>
      </c>
      <c r="K40" s="17" t="s">
        <v>16</v>
      </c>
      <c r="L40" s="18">
        <v>0</v>
      </c>
      <c r="M40" s="104">
        <f t="shared" si="6"/>
        <v>100</v>
      </c>
    </row>
    <row r="41" spans="1:13" ht="25.5" x14ac:dyDescent="0.55000000000000004">
      <c r="A41" s="10">
        <v>37</v>
      </c>
      <c r="B41" s="19" t="s">
        <v>52</v>
      </c>
      <c r="C41" s="79">
        <f>+'14'!G41</f>
        <v>0</v>
      </c>
      <c r="D41" s="87">
        <v>0</v>
      </c>
      <c r="E41" s="47">
        <f t="shared" si="0"/>
        <v>0</v>
      </c>
      <c r="F41" s="87">
        <v>0</v>
      </c>
      <c r="G41" s="47">
        <f t="shared" si="4"/>
        <v>0</v>
      </c>
      <c r="H41" s="88"/>
      <c r="I41" s="15">
        <v>50</v>
      </c>
      <c r="J41" s="82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285</v>
      </c>
      <c r="C42" s="79">
        <f>+'14'!G42</f>
        <v>0</v>
      </c>
      <c r="D42" s="87">
        <v>0</v>
      </c>
      <c r="E42" s="47">
        <f t="shared" si="0"/>
        <v>0</v>
      </c>
      <c r="F42" s="87">
        <v>0</v>
      </c>
      <c r="G42" s="47">
        <f t="shared" si="4"/>
        <v>0</v>
      </c>
      <c r="H42" s="88"/>
      <c r="I42" s="15">
        <v>50</v>
      </c>
      <c r="J42" s="82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+'14'!G43</f>
        <v>0</v>
      </c>
      <c r="D43" s="87">
        <v>0</v>
      </c>
      <c r="E43" s="47">
        <f t="shared" si="0"/>
        <v>0</v>
      </c>
      <c r="F43" s="87">
        <v>0</v>
      </c>
      <c r="G43" s="47">
        <f t="shared" si="4"/>
        <v>0</v>
      </c>
      <c r="H43" s="88"/>
      <c r="I43" s="15">
        <v>50</v>
      </c>
      <c r="J43" s="82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+'14'!G44</f>
        <v>0</v>
      </c>
      <c r="D44" s="87">
        <v>0</v>
      </c>
      <c r="E44" s="47">
        <f t="shared" si="0"/>
        <v>0</v>
      </c>
      <c r="F44" s="87">
        <v>0</v>
      </c>
      <c r="G44" s="47">
        <f t="shared" si="4"/>
        <v>0</v>
      </c>
      <c r="H44" s="88"/>
      <c r="I44" s="15">
        <v>50</v>
      </c>
      <c r="J44" s="82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+'14'!G45</f>
        <v>0</v>
      </c>
      <c r="D45" s="87">
        <v>0</v>
      </c>
      <c r="E45" s="47">
        <f t="shared" si="0"/>
        <v>0</v>
      </c>
      <c r="F45" s="87">
        <v>0</v>
      </c>
      <c r="G45" s="47">
        <f t="shared" si="4"/>
        <v>0</v>
      </c>
      <c r="H45" s="88"/>
      <c r="I45" s="15">
        <v>50</v>
      </c>
      <c r="J45" s="82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286</v>
      </c>
      <c r="C46" s="79">
        <f>+'14'!G46</f>
        <v>0</v>
      </c>
      <c r="D46" s="87">
        <v>0</v>
      </c>
      <c r="E46" s="47">
        <f t="shared" si="0"/>
        <v>0</v>
      </c>
      <c r="F46" s="87">
        <v>0</v>
      </c>
      <c r="G46" s="47">
        <f t="shared" si="4"/>
        <v>0</v>
      </c>
      <c r="H46" s="88"/>
      <c r="I46" s="15">
        <v>50</v>
      </c>
      <c r="J46" s="82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+'14'!G47</f>
        <v>0</v>
      </c>
      <c r="D47" s="87">
        <v>0</v>
      </c>
      <c r="E47" s="47">
        <f t="shared" si="0"/>
        <v>0</v>
      </c>
      <c r="F47" s="87">
        <v>0</v>
      </c>
      <c r="G47" s="47">
        <f t="shared" si="4"/>
        <v>0</v>
      </c>
      <c r="H47" s="88"/>
      <c r="I47" s="15">
        <v>50</v>
      </c>
      <c r="J47" s="82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+'14'!G48</f>
        <v>0</v>
      </c>
      <c r="D48" s="87">
        <v>0</v>
      </c>
      <c r="E48" s="47">
        <f t="shared" si="0"/>
        <v>0</v>
      </c>
      <c r="F48" s="87">
        <v>0</v>
      </c>
      <c r="G48" s="47">
        <f t="shared" si="4"/>
        <v>0</v>
      </c>
      <c r="H48" s="88"/>
      <c r="I48" s="15">
        <v>50</v>
      </c>
      <c r="J48" s="82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+'14'!G49</f>
        <v>1</v>
      </c>
      <c r="D49" s="87">
        <v>0</v>
      </c>
      <c r="E49" s="47">
        <f t="shared" si="0"/>
        <v>1</v>
      </c>
      <c r="F49" s="87">
        <v>0</v>
      </c>
      <c r="G49" s="47">
        <f t="shared" si="4"/>
        <v>1</v>
      </c>
      <c r="H49" s="88"/>
      <c r="I49" s="15">
        <v>50</v>
      </c>
      <c r="J49" s="82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+'14'!G50</f>
        <v>4</v>
      </c>
      <c r="D50" s="87">
        <v>0</v>
      </c>
      <c r="E50" s="47">
        <f t="shared" si="0"/>
        <v>4</v>
      </c>
      <c r="F50" s="87">
        <v>0</v>
      </c>
      <c r="G50" s="47">
        <f t="shared" si="4"/>
        <v>2</v>
      </c>
      <c r="H50" s="88">
        <v>2</v>
      </c>
      <c r="I50" s="15">
        <v>120</v>
      </c>
      <c r="J50" s="82">
        <f t="shared" si="5"/>
        <v>240</v>
      </c>
      <c r="K50" s="17" t="s">
        <v>16</v>
      </c>
      <c r="L50" s="18">
        <v>70</v>
      </c>
      <c r="M50" s="104">
        <f t="shared" si="6"/>
        <v>170</v>
      </c>
    </row>
    <row r="51" spans="1:13" ht="25.5" x14ac:dyDescent="0.55000000000000004">
      <c r="A51" s="10">
        <v>47</v>
      </c>
      <c r="B51" s="19" t="s">
        <v>62</v>
      </c>
      <c r="C51" s="79">
        <f>+'14'!G51</f>
        <v>1</v>
      </c>
      <c r="D51" s="87">
        <v>0</v>
      </c>
      <c r="E51" s="47">
        <f t="shared" si="0"/>
        <v>1</v>
      </c>
      <c r="F51" s="87">
        <v>0</v>
      </c>
      <c r="G51" s="47">
        <f t="shared" si="4"/>
        <v>0</v>
      </c>
      <c r="H51" s="88">
        <v>1</v>
      </c>
      <c r="I51" s="15">
        <v>120</v>
      </c>
      <c r="J51" s="82">
        <f t="shared" si="5"/>
        <v>120</v>
      </c>
      <c r="K51" s="17" t="s">
        <v>16</v>
      </c>
      <c r="L51" s="18">
        <v>0</v>
      </c>
      <c r="M51" s="104">
        <f t="shared" si="6"/>
        <v>120</v>
      </c>
    </row>
    <row r="52" spans="1:13" ht="25.5" x14ac:dyDescent="0.55000000000000004">
      <c r="A52" s="10">
        <v>48</v>
      </c>
      <c r="B52" s="19" t="s">
        <v>63</v>
      </c>
      <c r="C52" s="79">
        <f>+'14'!G52</f>
        <v>0</v>
      </c>
      <c r="D52" s="87">
        <v>0</v>
      </c>
      <c r="E52" s="47">
        <f t="shared" si="0"/>
        <v>0</v>
      </c>
      <c r="F52" s="87">
        <v>0</v>
      </c>
      <c r="G52" s="47">
        <f t="shared" si="4"/>
        <v>0</v>
      </c>
      <c r="H52" s="88"/>
      <c r="I52" s="21">
        <v>120</v>
      </c>
      <c r="J52" s="82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+'14'!G53</f>
        <v>0</v>
      </c>
      <c r="D53" s="87">
        <v>0</v>
      </c>
      <c r="E53" s="47">
        <f t="shared" si="0"/>
        <v>0</v>
      </c>
      <c r="F53" s="87">
        <v>0</v>
      </c>
      <c r="G53" s="47">
        <f t="shared" si="4"/>
        <v>0</v>
      </c>
      <c r="H53" s="88"/>
      <c r="I53" s="15">
        <v>120</v>
      </c>
      <c r="J53" s="82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+'14'!G54</f>
        <v>0</v>
      </c>
      <c r="D54" s="87">
        <v>0</v>
      </c>
      <c r="E54" s="47">
        <f t="shared" si="0"/>
        <v>0</v>
      </c>
      <c r="F54" s="87">
        <v>0</v>
      </c>
      <c r="G54" s="47">
        <f t="shared" si="4"/>
        <v>0</v>
      </c>
      <c r="H54" s="88"/>
      <c r="I54" s="15">
        <v>120</v>
      </c>
      <c r="J54" s="82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+'14'!G55</f>
        <v>0</v>
      </c>
      <c r="D55" s="87">
        <v>0</v>
      </c>
      <c r="E55" s="47">
        <f t="shared" si="0"/>
        <v>0</v>
      </c>
      <c r="F55" s="87">
        <v>0</v>
      </c>
      <c r="G55" s="47">
        <f t="shared" si="4"/>
        <v>0</v>
      </c>
      <c r="H55" s="88"/>
      <c r="I55" s="21">
        <v>120</v>
      </c>
      <c r="J55" s="82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+'14'!G56</f>
        <v>0</v>
      </c>
      <c r="D56" s="87">
        <v>0</v>
      </c>
      <c r="E56" s="47">
        <f t="shared" si="0"/>
        <v>0</v>
      </c>
      <c r="F56" s="87">
        <v>0</v>
      </c>
      <c r="G56" s="47">
        <f t="shared" si="4"/>
        <v>0</v>
      </c>
      <c r="H56" s="88"/>
      <c r="I56" s="21">
        <v>120</v>
      </c>
      <c r="J56" s="82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+'14'!G57</f>
        <v>0</v>
      </c>
      <c r="D57" s="87">
        <v>0</v>
      </c>
      <c r="E57" s="47">
        <f t="shared" si="0"/>
        <v>0</v>
      </c>
      <c r="F57" s="87">
        <v>0</v>
      </c>
      <c r="G57" s="47">
        <f t="shared" si="4"/>
        <v>0</v>
      </c>
      <c r="H57" s="88"/>
      <c r="I57" s="21">
        <v>120</v>
      </c>
      <c r="J57" s="82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+'14'!G58</f>
        <v>0</v>
      </c>
      <c r="D58" s="87">
        <v>0</v>
      </c>
      <c r="E58" s="47">
        <f t="shared" si="0"/>
        <v>0</v>
      </c>
      <c r="F58" s="87">
        <v>0</v>
      </c>
      <c r="G58" s="47">
        <f t="shared" si="4"/>
        <v>0</v>
      </c>
      <c r="H58" s="88"/>
      <c r="I58" s="21">
        <v>120</v>
      </c>
      <c r="J58" s="82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+'14'!G59</f>
        <v>0</v>
      </c>
      <c r="D59" s="87">
        <v>0</v>
      </c>
      <c r="E59" s="47">
        <f t="shared" si="0"/>
        <v>0</v>
      </c>
      <c r="F59" s="87">
        <v>0</v>
      </c>
      <c r="G59" s="47">
        <f t="shared" si="4"/>
        <v>0</v>
      </c>
      <c r="H59" s="88"/>
      <c r="I59" s="15">
        <v>70</v>
      </c>
      <c r="J59" s="82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+'14'!G60</f>
        <v>0</v>
      </c>
      <c r="D60" s="87">
        <v>0</v>
      </c>
      <c r="E60" s="47">
        <f t="shared" si="0"/>
        <v>0</v>
      </c>
      <c r="F60" s="87">
        <v>0</v>
      </c>
      <c r="G60" s="47">
        <f t="shared" si="4"/>
        <v>0</v>
      </c>
      <c r="H60" s="88"/>
      <c r="I60" s="21">
        <v>80</v>
      </c>
      <c r="J60" s="82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+'14'!G61</f>
        <v>0</v>
      </c>
      <c r="D61" s="87">
        <v>0</v>
      </c>
      <c r="E61" s="47">
        <f t="shared" si="0"/>
        <v>0</v>
      </c>
      <c r="F61" s="87">
        <v>0</v>
      </c>
      <c r="G61" s="47">
        <f t="shared" si="4"/>
        <v>0</v>
      </c>
      <c r="H61" s="88"/>
      <c r="I61" s="15">
        <v>50</v>
      </c>
      <c r="J61" s="82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+'14'!G62</f>
        <v>1</v>
      </c>
      <c r="D62" s="87">
        <v>0</v>
      </c>
      <c r="E62" s="47">
        <f t="shared" si="0"/>
        <v>1</v>
      </c>
      <c r="F62" s="87">
        <v>0</v>
      </c>
      <c r="G62" s="47">
        <f t="shared" si="4"/>
        <v>1</v>
      </c>
      <c r="H62" s="88"/>
      <c r="I62" s="20">
        <v>50</v>
      </c>
      <c r="J62" s="82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+'14'!G63</f>
        <v>0</v>
      </c>
      <c r="D63" s="87">
        <v>0</v>
      </c>
      <c r="E63" s="47">
        <f t="shared" si="0"/>
        <v>0</v>
      </c>
      <c r="F63" s="87">
        <v>0</v>
      </c>
      <c r="G63" s="47">
        <f t="shared" si="4"/>
        <v>0</v>
      </c>
      <c r="H63" s="88"/>
      <c r="I63" s="20">
        <v>50</v>
      </c>
      <c r="J63" s="82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+'14'!G64</f>
        <v>0</v>
      </c>
      <c r="D64" s="87">
        <v>0</v>
      </c>
      <c r="E64" s="47">
        <f t="shared" si="0"/>
        <v>0</v>
      </c>
      <c r="F64" s="87">
        <v>0</v>
      </c>
      <c r="G64" s="47">
        <f t="shared" si="4"/>
        <v>0</v>
      </c>
      <c r="H64" s="88"/>
      <c r="I64" s="21">
        <v>30</v>
      </c>
      <c r="J64" s="82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+'14'!G65</f>
        <v>0</v>
      </c>
      <c r="D65" s="87">
        <v>0</v>
      </c>
      <c r="E65" s="47">
        <f t="shared" si="0"/>
        <v>0</v>
      </c>
      <c r="F65" s="87">
        <v>0</v>
      </c>
      <c r="G65" s="47">
        <f t="shared" si="4"/>
        <v>0</v>
      </c>
      <c r="H65" s="88"/>
      <c r="I65" s="21">
        <v>30</v>
      </c>
      <c r="J65" s="82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+'14'!G66</f>
        <v>1</v>
      </c>
      <c r="D66" s="87">
        <v>0</v>
      </c>
      <c r="E66" s="47">
        <f t="shared" si="0"/>
        <v>1</v>
      </c>
      <c r="F66" s="87">
        <v>0</v>
      </c>
      <c r="G66" s="47">
        <f t="shared" si="4"/>
        <v>1</v>
      </c>
      <c r="H66" s="88"/>
      <c r="I66" s="15">
        <v>50</v>
      </c>
      <c r="J66" s="82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+'14'!G67</f>
        <v>7</v>
      </c>
      <c r="D67" s="87">
        <v>5</v>
      </c>
      <c r="E67" s="47">
        <f t="shared" si="0"/>
        <v>12</v>
      </c>
      <c r="F67" s="87">
        <v>0</v>
      </c>
      <c r="G67" s="47">
        <f t="shared" si="4"/>
        <v>11</v>
      </c>
      <c r="H67" s="88">
        <v>1</v>
      </c>
      <c r="I67" s="15">
        <v>50</v>
      </c>
      <c r="J67" s="82">
        <f t="shared" si="5"/>
        <v>50</v>
      </c>
      <c r="K67" s="17" t="s">
        <v>16</v>
      </c>
      <c r="L67" s="18">
        <v>0</v>
      </c>
      <c r="M67" s="104">
        <f t="shared" si="6"/>
        <v>50</v>
      </c>
    </row>
    <row r="68" spans="1:13" ht="25.5" x14ac:dyDescent="0.55000000000000004">
      <c r="A68" s="10">
        <v>64</v>
      </c>
      <c r="B68" s="19" t="s">
        <v>79</v>
      </c>
      <c r="C68" s="79">
        <f>+'14'!G68</f>
        <v>0</v>
      </c>
      <c r="D68" s="87">
        <v>0</v>
      </c>
      <c r="E68" s="47">
        <f t="shared" si="0"/>
        <v>0</v>
      </c>
      <c r="F68" s="87">
        <v>0</v>
      </c>
      <c r="G68" s="47">
        <f t="shared" si="4"/>
        <v>0</v>
      </c>
      <c r="H68" s="88"/>
      <c r="I68" s="20">
        <v>35</v>
      </c>
      <c r="J68" s="82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+'14'!G69</f>
        <v>0</v>
      </c>
      <c r="D69" s="87">
        <v>0</v>
      </c>
      <c r="E69" s="47">
        <f t="shared" si="0"/>
        <v>0</v>
      </c>
      <c r="F69" s="87">
        <v>0</v>
      </c>
      <c r="G69" s="47">
        <f t="shared" si="4"/>
        <v>0</v>
      </c>
      <c r="H69" s="88"/>
      <c r="I69" s="20">
        <v>25</v>
      </c>
      <c r="J69" s="82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+'14'!G70</f>
        <v>10</v>
      </c>
      <c r="D70" s="87">
        <v>0</v>
      </c>
      <c r="E70" s="47">
        <f t="shared" si="0"/>
        <v>10</v>
      </c>
      <c r="F70" s="87">
        <v>0</v>
      </c>
      <c r="G70" s="47">
        <f t="shared" si="4"/>
        <v>9</v>
      </c>
      <c r="H70" s="88">
        <v>1</v>
      </c>
      <c r="I70" s="20">
        <v>50</v>
      </c>
      <c r="J70" s="82">
        <f t="shared" si="5"/>
        <v>50</v>
      </c>
      <c r="K70" s="17" t="s">
        <v>16</v>
      </c>
      <c r="L70" s="18">
        <v>0</v>
      </c>
      <c r="M70" s="104">
        <f t="shared" ref="M70:M134" si="10">SUM(J70-L70)</f>
        <v>50</v>
      </c>
    </row>
    <row r="71" spans="1:13" ht="25.5" x14ac:dyDescent="0.55000000000000004">
      <c r="A71" s="10">
        <v>67</v>
      </c>
      <c r="B71" s="19" t="s">
        <v>82</v>
      </c>
      <c r="C71" s="79">
        <f>+'14'!G71</f>
        <v>11</v>
      </c>
      <c r="D71" s="87">
        <v>5</v>
      </c>
      <c r="E71" s="47">
        <f t="shared" si="0"/>
        <v>16</v>
      </c>
      <c r="F71" s="87">
        <v>2</v>
      </c>
      <c r="G71" s="47">
        <f t="shared" si="4"/>
        <v>14</v>
      </c>
      <c r="H71" s="88"/>
      <c r="I71" s="20">
        <v>60</v>
      </c>
      <c r="J71" s="82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+'14'!G72</f>
        <v>0</v>
      </c>
      <c r="D72" s="87">
        <v>0</v>
      </c>
      <c r="E72" s="47">
        <f t="shared" si="0"/>
        <v>0</v>
      </c>
      <c r="F72" s="87">
        <v>0</v>
      </c>
      <c r="G72" s="47">
        <f t="shared" si="4"/>
        <v>0</v>
      </c>
      <c r="H72" s="88"/>
      <c r="I72" s="22">
        <v>50</v>
      </c>
      <c r="J72" s="82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+'14'!G73</f>
        <v>0</v>
      </c>
      <c r="D73" s="87">
        <v>0</v>
      </c>
      <c r="E73" s="47">
        <f t="shared" si="0"/>
        <v>0</v>
      </c>
      <c r="F73" s="87">
        <v>0</v>
      </c>
      <c r="G73" s="47">
        <f t="shared" si="4"/>
        <v>0</v>
      </c>
      <c r="H73" s="88"/>
      <c r="I73" s="20">
        <v>60</v>
      </c>
      <c r="J73" s="82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+'14'!G74</f>
        <v>2</v>
      </c>
      <c r="D74" s="87">
        <v>0</v>
      </c>
      <c r="E74" s="47">
        <f t="shared" si="0"/>
        <v>2</v>
      </c>
      <c r="F74" s="87">
        <v>0</v>
      </c>
      <c r="G74" s="47">
        <f t="shared" si="4"/>
        <v>2</v>
      </c>
      <c r="H74" s="88"/>
      <c r="I74" s="22">
        <v>120</v>
      </c>
      <c r="J74" s="82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+'14'!G75</f>
        <v>0</v>
      </c>
      <c r="D75" s="87">
        <v>0</v>
      </c>
      <c r="E75" s="47">
        <f t="shared" si="0"/>
        <v>0</v>
      </c>
      <c r="F75" s="87">
        <v>0</v>
      </c>
      <c r="G75" s="47">
        <f t="shared" si="4"/>
        <v>0</v>
      </c>
      <c r="H75" s="88"/>
      <c r="I75" s="22">
        <v>60</v>
      </c>
      <c r="J75" s="82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+'14'!G76</f>
        <v>0</v>
      </c>
      <c r="D76" s="87">
        <v>0</v>
      </c>
      <c r="E76" s="47">
        <f t="shared" si="0"/>
        <v>0</v>
      </c>
      <c r="F76" s="87">
        <v>0</v>
      </c>
      <c r="G76" s="47">
        <f t="shared" si="4"/>
        <v>0</v>
      </c>
      <c r="H76" s="88"/>
      <c r="I76" s="22">
        <v>120</v>
      </c>
      <c r="J76" s="82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272</v>
      </c>
      <c r="C77" s="79">
        <f>+'14'!G77</f>
        <v>0</v>
      </c>
      <c r="D77" s="87">
        <v>2</v>
      </c>
      <c r="E77" s="47">
        <f>C77+D77</f>
        <v>2</v>
      </c>
      <c r="F77" s="87">
        <v>0</v>
      </c>
      <c r="G77" s="47">
        <f>+E77-F77-H77</f>
        <v>2</v>
      </c>
      <c r="H77" s="88"/>
      <c r="I77" s="20">
        <v>50</v>
      </c>
      <c r="J77" s="82">
        <f>+I77*H77</f>
        <v>0</v>
      </c>
      <c r="K77" s="17" t="s">
        <v>16</v>
      </c>
      <c r="L77" s="18">
        <v>0</v>
      </c>
      <c r="M77" s="23">
        <f>SUM(J77-L77)</f>
        <v>0</v>
      </c>
    </row>
    <row r="78" spans="1:13" ht="25.5" x14ac:dyDescent="0.55000000000000004">
      <c r="A78" s="10">
        <v>74</v>
      </c>
      <c r="B78" s="19" t="s">
        <v>277</v>
      </c>
      <c r="C78" s="79">
        <f>+'14'!G78</f>
        <v>0</v>
      </c>
      <c r="D78" s="87">
        <v>2</v>
      </c>
      <c r="E78" s="47">
        <f t="shared" si="0"/>
        <v>2</v>
      </c>
      <c r="F78" s="87">
        <v>0</v>
      </c>
      <c r="G78" s="47">
        <f t="shared" si="4"/>
        <v>2</v>
      </c>
      <c r="H78" s="88"/>
      <c r="I78" s="20">
        <v>50</v>
      </c>
      <c r="J78" s="82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278</v>
      </c>
      <c r="C79" s="79">
        <f>+'14'!G79</f>
        <v>0</v>
      </c>
      <c r="D79" s="87">
        <v>0</v>
      </c>
      <c r="E79" s="47">
        <f t="shared" si="0"/>
        <v>0</v>
      </c>
      <c r="F79" s="87">
        <v>0</v>
      </c>
      <c r="G79" s="47">
        <f t="shared" si="4"/>
        <v>0</v>
      </c>
      <c r="H79" s="88"/>
      <c r="I79" s="22">
        <v>120</v>
      </c>
      <c r="J79" s="82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90</v>
      </c>
      <c r="C80" s="79">
        <f>+'14'!G80</f>
        <v>0</v>
      </c>
      <c r="D80" s="87">
        <v>0</v>
      </c>
      <c r="E80" s="47">
        <f t="shared" si="0"/>
        <v>0</v>
      </c>
      <c r="F80" s="87">
        <v>0</v>
      </c>
      <c r="G80" s="47">
        <f t="shared" si="4"/>
        <v>0</v>
      </c>
      <c r="H80" s="88"/>
      <c r="I80" s="22">
        <v>50</v>
      </c>
      <c r="J80" s="82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91</v>
      </c>
      <c r="C81" s="79">
        <f>+'14'!G81</f>
        <v>0</v>
      </c>
      <c r="D81" s="87">
        <v>0</v>
      </c>
      <c r="E81" s="47">
        <f t="shared" si="0"/>
        <v>0</v>
      </c>
      <c r="F81" s="87">
        <v>0</v>
      </c>
      <c r="G81" s="47">
        <f t="shared" si="4"/>
        <v>0</v>
      </c>
      <c r="H81" s="88"/>
      <c r="I81" s="22">
        <v>50</v>
      </c>
      <c r="J81" s="82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92</v>
      </c>
      <c r="C82" s="79">
        <f>+'14'!G82</f>
        <v>2</v>
      </c>
      <c r="D82" s="87">
        <v>0</v>
      </c>
      <c r="E82" s="47">
        <f t="shared" si="0"/>
        <v>2</v>
      </c>
      <c r="F82" s="87">
        <v>0</v>
      </c>
      <c r="G82" s="47">
        <f t="shared" si="4"/>
        <v>2</v>
      </c>
      <c r="H82" s="88"/>
      <c r="I82" s="20">
        <v>55</v>
      </c>
      <c r="J82" s="82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93</v>
      </c>
      <c r="C83" s="79">
        <f>+'14'!G83</f>
        <v>1</v>
      </c>
      <c r="D83" s="87">
        <v>0</v>
      </c>
      <c r="E83" s="47">
        <f t="shared" si="0"/>
        <v>1</v>
      </c>
      <c r="F83" s="87">
        <v>0</v>
      </c>
      <c r="G83" s="47">
        <f t="shared" si="4"/>
        <v>1</v>
      </c>
      <c r="H83" s="88"/>
      <c r="I83" s="22">
        <v>55</v>
      </c>
      <c r="J83" s="82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94</v>
      </c>
      <c r="C84" s="79">
        <f>+'14'!G84</f>
        <v>0</v>
      </c>
      <c r="D84" s="87">
        <v>0</v>
      </c>
      <c r="E84" s="47">
        <f t="shared" si="0"/>
        <v>0</v>
      </c>
      <c r="F84" s="87">
        <v>0</v>
      </c>
      <c r="G84" s="47">
        <f t="shared" si="4"/>
        <v>0</v>
      </c>
      <c r="H84" s="88"/>
      <c r="I84" s="22">
        <v>55</v>
      </c>
      <c r="J84" s="82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95</v>
      </c>
      <c r="C85" s="79">
        <f>+'14'!G85</f>
        <v>0</v>
      </c>
      <c r="D85" s="87">
        <v>0</v>
      </c>
      <c r="E85" s="47">
        <f t="shared" si="0"/>
        <v>0</v>
      </c>
      <c r="F85" s="87">
        <v>0</v>
      </c>
      <c r="G85" s="47">
        <f t="shared" si="4"/>
        <v>0</v>
      </c>
      <c r="H85" s="88"/>
      <c r="I85" s="22">
        <v>55</v>
      </c>
      <c r="J85" s="82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96</v>
      </c>
      <c r="C86" s="79">
        <f>+'14'!G86</f>
        <v>4</v>
      </c>
      <c r="D86" s="87">
        <v>0</v>
      </c>
      <c r="E86" s="47">
        <f t="shared" si="0"/>
        <v>4</v>
      </c>
      <c r="F86" s="87">
        <v>0</v>
      </c>
      <c r="G86" s="47">
        <f t="shared" si="4"/>
        <v>4</v>
      </c>
      <c r="H86" s="88"/>
      <c r="I86" s="22">
        <v>100</v>
      </c>
      <c r="J86" s="82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97</v>
      </c>
      <c r="C87" s="79">
        <f>+'14'!G87</f>
        <v>3</v>
      </c>
      <c r="D87" s="87">
        <v>0</v>
      </c>
      <c r="E87" s="47">
        <f t="shared" si="0"/>
        <v>3</v>
      </c>
      <c r="F87" s="87">
        <v>0</v>
      </c>
      <c r="G87" s="47">
        <f t="shared" si="4"/>
        <v>3</v>
      </c>
      <c r="H87" s="88"/>
      <c r="I87" s="20">
        <v>55</v>
      </c>
      <c r="J87" s="82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98</v>
      </c>
      <c r="C88" s="79">
        <f>+'14'!G88</f>
        <v>2</v>
      </c>
      <c r="D88" s="87">
        <v>0</v>
      </c>
      <c r="E88" s="47">
        <f t="shared" si="0"/>
        <v>2</v>
      </c>
      <c r="F88" s="87">
        <v>0</v>
      </c>
      <c r="G88" s="47">
        <f t="shared" si="4"/>
        <v>2</v>
      </c>
      <c r="H88" s="88"/>
      <c r="I88" s="20">
        <v>60</v>
      </c>
      <c r="J88" s="82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99</v>
      </c>
      <c r="C89" s="79">
        <f>+'14'!G89</f>
        <v>2</v>
      </c>
      <c r="D89" s="87">
        <v>0</v>
      </c>
      <c r="E89" s="47">
        <f t="shared" si="0"/>
        <v>2</v>
      </c>
      <c r="F89" s="87">
        <v>0</v>
      </c>
      <c r="G89" s="47">
        <f t="shared" si="4"/>
        <v>2</v>
      </c>
      <c r="H89" s="88"/>
      <c r="I89" s="20">
        <v>100</v>
      </c>
      <c r="J89" s="82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100</v>
      </c>
      <c r="C90" s="79">
        <f>+'14'!G90</f>
        <v>9</v>
      </c>
      <c r="D90" s="87">
        <v>0</v>
      </c>
      <c r="E90" s="47">
        <f t="shared" si="0"/>
        <v>9</v>
      </c>
      <c r="F90" s="87">
        <v>0</v>
      </c>
      <c r="G90" s="47">
        <f t="shared" si="4"/>
        <v>8</v>
      </c>
      <c r="H90" s="88">
        <v>1</v>
      </c>
      <c r="I90" s="20">
        <v>55</v>
      </c>
      <c r="J90" s="82">
        <f t="shared" si="5"/>
        <v>55</v>
      </c>
      <c r="K90" s="17" t="s">
        <v>16</v>
      </c>
      <c r="L90" s="18">
        <v>0</v>
      </c>
      <c r="M90" s="104">
        <f t="shared" si="10"/>
        <v>55</v>
      </c>
    </row>
    <row r="91" spans="1:13" ht="25.5" x14ac:dyDescent="0.55000000000000004">
      <c r="A91" s="10">
        <v>87</v>
      </c>
      <c r="B91" s="19" t="s">
        <v>101</v>
      </c>
      <c r="C91" s="79">
        <f>+'14'!G91</f>
        <v>0</v>
      </c>
      <c r="D91" s="87">
        <v>0</v>
      </c>
      <c r="E91" s="47">
        <f t="shared" si="0"/>
        <v>0</v>
      </c>
      <c r="F91" s="87">
        <v>0</v>
      </c>
      <c r="G91" s="47">
        <f t="shared" si="4"/>
        <v>0</v>
      </c>
      <c r="H91" s="88"/>
      <c r="I91" s="20">
        <v>50</v>
      </c>
      <c r="J91" s="82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102</v>
      </c>
      <c r="C92" s="79">
        <f>+'14'!G92</f>
        <v>0</v>
      </c>
      <c r="D92" s="87">
        <v>0</v>
      </c>
      <c r="E92" s="47">
        <f t="shared" si="0"/>
        <v>0</v>
      </c>
      <c r="F92" s="87">
        <v>0</v>
      </c>
      <c r="G92" s="47">
        <f t="shared" si="4"/>
        <v>0</v>
      </c>
      <c r="H92" s="88"/>
      <c r="I92" s="22">
        <v>50</v>
      </c>
      <c r="J92" s="82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248</v>
      </c>
      <c r="C93" s="79">
        <f>+'14'!G93</f>
        <v>0</v>
      </c>
      <c r="D93" s="87">
        <v>0</v>
      </c>
      <c r="E93" s="47">
        <f t="shared" si="0"/>
        <v>0</v>
      </c>
      <c r="F93" s="87">
        <v>0</v>
      </c>
      <c r="G93" s="47">
        <f t="shared" si="4"/>
        <v>0</v>
      </c>
      <c r="H93" s="88"/>
      <c r="I93" s="22">
        <v>120</v>
      </c>
      <c r="J93" s="82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104</v>
      </c>
      <c r="C94" s="79">
        <f>+'14'!G94</f>
        <v>0</v>
      </c>
      <c r="D94" s="87">
        <v>0</v>
      </c>
      <c r="E94" s="47">
        <f t="shared" si="0"/>
        <v>0</v>
      </c>
      <c r="F94" s="87">
        <v>0</v>
      </c>
      <c r="G94" s="47">
        <f t="shared" si="4"/>
        <v>0</v>
      </c>
      <c r="H94" s="88"/>
      <c r="I94" s="20">
        <v>250</v>
      </c>
      <c r="J94" s="82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105</v>
      </c>
      <c r="C95" s="79">
        <f>+'14'!G95</f>
        <v>0</v>
      </c>
      <c r="D95" s="87">
        <v>0</v>
      </c>
      <c r="E95" s="47">
        <f t="shared" si="0"/>
        <v>0</v>
      </c>
      <c r="F95" s="87">
        <v>0</v>
      </c>
      <c r="G95" s="47">
        <f t="shared" si="4"/>
        <v>0</v>
      </c>
      <c r="H95" s="88"/>
      <c r="I95" s="20">
        <v>120</v>
      </c>
      <c r="J95" s="82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106</v>
      </c>
      <c r="C96" s="79">
        <f>+'14'!G96</f>
        <v>0</v>
      </c>
      <c r="D96" s="87">
        <v>0</v>
      </c>
      <c r="E96" s="47">
        <f t="shared" si="0"/>
        <v>0</v>
      </c>
      <c r="F96" s="87">
        <v>0</v>
      </c>
      <c r="G96" s="47">
        <f t="shared" si="4"/>
        <v>0</v>
      </c>
      <c r="H96" s="88"/>
      <c r="I96" s="20">
        <v>120</v>
      </c>
      <c r="J96" s="82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107</v>
      </c>
      <c r="C97" s="79">
        <f>+'14'!G97</f>
        <v>0</v>
      </c>
      <c r="D97" s="87">
        <v>0</v>
      </c>
      <c r="E97" s="47">
        <f t="shared" si="0"/>
        <v>0</v>
      </c>
      <c r="F97" s="87">
        <v>0</v>
      </c>
      <c r="G97" s="47">
        <f t="shared" si="4"/>
        <v>0</v>
      </c>
      <c r="H97" s="88"/>
      <c r="I97" s="20">
        <v>120</v>
      </c>
      <c r="J97" s="82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103</v>
      </c>
      <c r="C98" s="79">
        <f>+'14'!G98</f>
        <v>0</v>
      </c>
      <c r="D98" s="87">
        <v>0</v>
      </c>
      <c r="E98" s="47">
        <f t="shared" si="0"/>
        <v>0</v>
      </c>
      <c r="F98" s="87">
        <v>0</v>
      </c>
      <c r="G98" s="47">
        <f t="shared" si="4"/>
        <v>0</v>
      </c>
      <c r="H98" s="88"/>
      <c r="I98" s="20">
        <v>120</v>
      </c>
      <c r="J98" s="82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109</v>
      </c>
      <c r="C99" s="79">
        <f>+'14'!G99</f>
        <v>0</v>
      </c>
      <c r="D99" s="87">
        <v>0</v>
      </c>
      <c r="E99" s="47">
        <f t="shared" si="0"/>
        <v>0</v>
      </c>
      <c r="F99" s="87">
        <v>0</v>
      </c>
      <c r="G99" s="47">
        <f t="shared" si="4"/>
        <v>0</v>
      </c>
      <c r="H99" s="88"/>
      <c r="I99" s="20">
        <v>50</v>
      </c>
      <c r="J99" s="82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110</v>
      </c>
      <c r="C100" s="79">
        <f>+'14'!G100</f>
        <v>0</v>
      </c>
      <c r="D100" s="87">
        <v>0</v>
      </c>
      <c r="E100" s="47">
        <f t="shared" si="0"/>
        <v>0</v>
      </c>
      <c r="F100" s="87">
        <v>0</v>
      </c>
      <c r="G100" s="47">
        <f t="shared" si="4"/>
        <v>0</v>
      </c>
      <c r="H100" s="88"/>
      <c r="I100" s="20">
        <v>50</v>
      </c>
      <c r="J100" s="82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111</v>
      </c>
      <c r="C101" s="79">
        <f>+'14'!G101</f>
        <v>0</v>
      </c>
      <c r="D101" s="87">
        <v>0</v>
      </c>
      <c r="E101" s="47">
        <f t="shared" si="0"/>
        <v>0</v>
      </c>
      <c r="F101" s="87">
        <v>0</v>
      </c>
      <c r="G101" s="47">
        <f t="shared" ref="G101:G164" si="11">+E101-F101-H101</f>
        <v>0</v>
      </c>
      <c r="H101" s="88"/>
      <c r="I101" s="20">
        <v>60</v>
      </c>
      <c r="J101" s="82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112</v>
      </c>
      <c r="C102" s="79">
        <f>+'14'!G102</f>
        <v>0</v>
      </c>
      <c r="D102" s="87">
        <v>0</v>
      </c>
      <c r="E102" s="47">
        <f t="shared" si="0"/>
        <v>0</v>
      </c>
      <c r="F102" s="87">
        <v>0</v>
      </c>
      <c r="G102" s="47">
        <f t="shared" si="11"/>
        <v>0</v>
      </c>
      <c r="H102" s="88"/>
      <c r="I102" s="20">
        <v>55</v>
      </c>
      <c r="J102" s="82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113</v>
      </c>
      <c r="C103" s="79">
        <f>+'14'!G103</f>
        <v>0</v>
      </c>
      <c r="D103" s="87">
        <v>0</v>
      </c>
      <c r="E103" s="47">
        <f t="shared" si="0"/>
        <v>0</v>
      </c>
      <c r="F103" s="87">
        <v>0</v>
      </c>
      <c r="G103" s="47">
        <f t="shared" si="11"/>
        <v>0</v>
      </c>
      <c r="H103" s="88"/>
      <c r="I103" s="20">
        <v>50</v>
      </c>
      <c r="J103" s="82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114</v>
      </c>
      <c r="C104" s="79">
        <f>+'14'!G104</f>
        <v>0</v>
      </c>
      <c r="D104" s="87">
        <v>0</v>
      </c>
      <c r="E104" s="47">
        <f t="shared" si="0"/>
        <v>0</v>
      </c>
      <c r="F104" s="87">
        <v>0</v>
      </c>
      <c r="G104" s="47">
        <f t="shared" si="11"/>
        <v>0</v>
      </c>
      <c r="H104" s="88"/>
      <c r="I104" s="20">
        <v>100</v>
      </c>
      <c r="J104" s="82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115</v>
      </c>
      <c r="C105" s="79">
        <f>+'14'!G105</f>
        <v>0</v>
      </c>
      <c r="D105" s="87">
        <v>0</v>
      </c>
      <c r="E105" s="47">
        <f t="shared" si="0"/>
        <v>0</v>
      </c>
      <c r="F105" s="87">
        <v>0</v>
      </c>
      <c r="G105" s="47">
        <f t="shared" si="11"/>
        <v>0</v>
      </c>
      <c r="H105" s="88"/>
      <c r="I105" s="20">
        <v>100</v>
      </c>
      <c r="J105" s="82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116</v>
      </c>
      <c r="C106" s="79">
        <f>+'14'!G106</f>
        <v>0</v>
      </c>
      <c r="D106" s="87">
        <v>0</v>
      </c>
      <c r="E106" s="47">
        <f t="shared" si="0"/>
        <v>0</v>
      </c>
      <c r="F106" s="87">
        <v>0</v>
      </c>
      <c r="G106" s="47">
        <f t="shared" si="11"/>
        <v>0</v>
      </c>
      <c r="H106" s="88"/>
      <c r="I106" s="22">
        <v>30</v>
      </c>
      <c r="J106" s="82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117</v>
      </c>
      <c r="C107" s="79">
        <f>+'14'!G107</f>
        <v>0</v>
      </c>
      <c r="D107" s="87">
        <v>0</v>
      </c>
      <c r="E107" s="47">
        <f t="shared" si="0"/>
        <v>0</v>
      </c>
      <c r="F107" s="87">
        <v>0</v>
      </c>
      <c r="G107" s="47">
        <f t="shared" si="11"/>
        <v>0</v>
      </c>
      <c r="H107" s="88"/>
      <c r="I107" s="22">
        <v>20</v>
      </c>
      <c r="J107" s="82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118</v>
      </c>
      <c r="C108" s="79">
        <f>+'14'!G108</f>
        <v>0</v>
      </c>
      <c r="D108" s="87">
        <v>0</v>
      </c>
      <c r="E108" s="47">
        <f t="shared" si="0"/>
        <v>0</v>
      </c>
      <c r="F108" s="87">
        <v>0</v>
      </c>
      <c r="G108" s="47">
        <f t="shared" si="11"/>
        <v>0</v>
      </c>
      <c r="H108" s="88"/>
      <c r="I108" s="20">
        <v>100</v>
      </c>
      <c r="J108" s="82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120</v>
      </c>
      <c r="C109" s="79">
        <f>+'14'!G109</f>
        <v>0</v>
      </c>
      <c r="D109" s="87">
        <v>0</v>
      </c>
      <c r="E109" s="47">
        <f t="shared" si="0"/>
        <v>0</v>
      </c>
      <c r="F109" s="87">
        <v>0</v>
      </c>
      <c r="G109" s="47">
        <f t="shared" si="11"/>
        <v>0</v>
      </c>
      <c r="H109" s="88"/>
      <c r="I109" s="20">
        <v>80</v>
      </c>
      <c r="J109" s="82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121</v>
      </c>
      <c r="C110" s="79">
        <f>+'14'!G110</f>
        <v>0</v>
      </c>
      <c r="D110" s="87">
        <v>0</v>
      </c>
      <c r="E110" s="47">
        <f t="shared" si="0"/>
        <v>0</v>
      </c>
      <c r="F110" s="87">
        <v>0</v>
      </c>
      <c r="G110" s="47">
        <f t="shared" si="11"/>
        <v>0</v>
      </c>
      <c r="H110" s="88"/>
      <c r="I110" s="20">
        <v>60</v>
      </c>
      <c r="J110" s="82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122</v>
      </c>
      <c r="C111" s="79">
        <f>+'14'!G111</f>
        <v>0</v>
      </c>
      <c r="D111" s="87">
        <v>0</v>
      </c>
      <c r="E111" s="47">
        <f t="shared" si="0"/>
        <v>0</v>
      </c>
      <c r="F111" s="87">
        <v>0</v>
      </c>
      <c r="G111" s="47">
        <f t="shared" si="11"/>
        <v>0</v>
      </c>
      <c r="H111" s="88"/>
      <c r="I111" s="20">
        <v>35</v>
      </c>
      <c r="J111" s="82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123</v>
      </c>
      <c r="C112" s="79">
        <f>+'14'!G112</f>
        <v>0</v>
      </c>
      <c r="D112" s="87">
        <v>0</v>
      </c>
      <c r="E112" s="47">
        <f t="shared" si="0"/>
        <v>0</v>
      </c>
      <c r="F112" s="87">
        <v>0</v>
      </c>
      <c r="G112" s="47">
        <f t="shared" si="11"/>
        <v>0</v>
      </c>
      <c r="H112" s="88"/>
      <c r="I112" s="20">
        <v>35</v>
      </c>
      <c r="J112" s="82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124</v>
      </c>
      <c r="C113" s="79">
        <f>+'14'!G113</f>
        <v>0</v>
      </c>
      <c r="D113" s="87">
        <v>0</v>
      </c>
      <c r="E113" s="47">
        <f t="shared" si="0"/>
        <v>0</v>
      </c>
      <c r="F113" s="87">
        <v>0</v>
      </c>
      <c r="G113" s="47">
        <f t="shared" si="11"/>
        <v>0</v>
      </c>
      <c r="H113" s="88"/>
      <c r="I113" s="20">
        <v>35</v>
      </c>
      <c r="J113" s="82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125</v>
      </c>
      <c r="C114" s="79">
        <f>+'14'!G114</f>
        <v>0</v>
      </c>
      <c r="D114" s="87">
        <v>0</v>
      </c>
      <c r="E114" s="47">
        <f t="shared" si="0"/>
        <v>0</v>
      </c>
      <c r="F114" s="87">
        <v>0</v>
      </c>
      <c r="G114" s="47">
        <f t="shared" si="11"/>
        <v>0</v>
      </c>
      <c r="H114" s="88"/>
      <c r="I114" s="20">
        <v>35</v>
      </c>
      <c r="J114" s="82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126</v>
      </c>
      <c r="C115" s="79">
        <f>+'14'!G115</f>
        <v>0</v>
      </c>
      <c r="D115" s="87">
        <v>0</v>
      </c>
      <c r="E115" s="47">
        <f t="shared" si="0"/>
        <v>0</v>
      </c>
      <c r="F115" s="87">
        <v>0</v>
      </c>
      <c r="G115" s="47">
        <f t="shared" si="11"/>
        <v>0</v>
      </c>
      <c r="H115" s="88"/>
      <c r="I115" s="20">
        <v>35</v>
      </c>
      <c r="J115" s="82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127</v>
      </c>
      <c r="C116" s="79">
        <f>+'14'!G116</f>
        <v>0</v>
      </c>
      <c r="D116" s="87">
        <v>0</v>
      </c>
      <c r="E116" s="47">
        <f t="shared" si="0"/>
        <v>0</v>
      </c>
      <c r="F116" s="87">
        <v>0</v>
      </c>
      <c r="G116" s="47">
        <f t="shared" si="11"/>
        <v>0</v>
      </c>
      <c r="H116" s="88"/>
      <c r="I116" s="20">
        <v>30</v>
      </c>
      <c r="J116" s="82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128</v>
      </c>
      <c r="C117" s="79">
        <f>+'14'!G117</f>
        <v>0</v>
      </c>
      <c r="D117" s="87">
        <v>0</v>
      </c>
      <c r="E117" s="47">
        <f t="shared" si="0"/>
        <v>0</v>
      </c>
      <c r="F117" s="87">
        <v>0</v>
      </c>
      <c r="G117" s="47">
        <f t="shared" si="11"/>
        <v>0</v>
      </c>
      <c r="H117" s="88"/>
      <c r="I117" s="20">
        <v>30</v>
      </c>
      <c r="J117" s="82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129</v>
      </c>
      <c r="C118" s="79">
        <f>+'14'!G118</f>
        <v>0</v>
      </c>
      <c r="D118" s="87">
        <v>0</v>
      </c>
      <c r="E118" s="47">
        <f t="shared" si="0"/>
        <v>0</v>
      </c>
      <c r="F118" s="87">
        <v>0</v>
      </c>
      <c r="G118" s="47">
        <f t="shared" si="11"/>
        <v>0</v>
      </c>
      <c r="H118" s="88"/>
      <c r="I118" s="20">
        <v>30</v>
      </c>
      <c r="J118" s="82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130</v>
      </c>
      <c r="C119" s="79">
        <f>+'14'!G119</f>
        <v>0</v>
      </c>
      <c r="D119" s="87">
        <v>0</v>
      </c>
      <c r="E119" s="47">
        <f t="shared" si="0"/>
        <v>0</v>
      </c>
      <c r="F119" s="87">
        <v>0</v>
      </c>
      <c r="G119" s="47">
        <f t="shared" si="11"/>
        <v>0</v>
      </c>
      <c r="H119" s="88"/>
      <c r="I119" s="20">
        <v>30</v>
      </c>
      <c r="J119" s="82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131</v>
      </c>
      <c r="C120" s="79">
        <f>+'14'!G120</f>
        <v>0</v>
      </c>
      <c r="D120" s="87">
        <v>0</v>
      </c>
      <c r="E120" s="47">
        <f t="shared" si="0"/>
        <v>0</v>
      </c>
      <c r="F120" s="87">
        <v>0</v>
      </c>
      <c r="G120" s="47">
        <f t="shared" si="11"/>
        <v>0</v>
      </c>
      <c r="H120" s="88"/>
      <c r="I120" s="20">
        <v>30</v>
      </c>
      <c r="J120" s="82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132</v>
      </c>
      <c r="C121" s="79">
        <f>+'14'!G121</f>
        <v>0</v>
      </c>
      <c r="D121" s="87">
        <v>0</v>
      </c>
      <c r="E121" s="47">
        <f t="shared" si="0"/>
        <v>0</v>
      </c>
      <c r="F121" s="87">
        <v>0</v>
      </c>
      <c r="G121" s="47">
        <f t="shared" si="11"/>
        <v>0</v>
      </c>
      <c r="H121" s="88"/>
      <c r="I121" s="20">
        <v>30</v>
      </c>
      <c r="J121" s="82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133</v>
      </c>
      <c r="C122" s="79">
        <f>+'14'!G122</f>
        <v>0</v>
      </c>
      <c r="D122" s="87">
        <v>0</v>
      </c>
      <c r="E122" s="47">
        <f t="shared" si="0"/>
        <v>0</v>
      </c>
      <c r="F122" s="87">
        <v>0</v>
      </c>
      <c r="G122" s="47">
        <f t="shared" si="11"/>
        <v>0</v>
      </c>
      <c r="H122" s="88"/>
      <c r="I122" s="20">
        <v>40</v>
      </c>
      <c r="J122" s="82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134</v>
      </c>
      <c r="C123" s="79">
        <f>+'14'!G123</f>
        <v>0</v>
      </c>
      <c r="D123" s="87">
        <v>0</v>
      </c>
      <c r="E123" s="47">
        <f t="shared" si="0"/>
        <v>0</v>
      </c>
      <c r="F123" s="87">
        <v>0</v>
      </c>
      <c r="G123" s="47">
        <f t="shared" si="11"/>
        <v>0</v>
      </c>
      <c r="H123" s="88"/>
      <c r="I123" s="20">
        <v>35</v>
      </c>
      <c r="J123" s="82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135</v>
      </c>
      <c r="C124" s="79">
        <f>+'14'!G124</f>
        <v>0</v>
      </c>
      <c r="D124" s="87">
        <v>0</v>
      </c>
      <c r="E124" s="47">
        <f t="shared" si="0"/>
        <v>0</v>
      </c>
      <c r="F124" s="87">
        <v>0</v>
      </c>
      <c r="G124" s="47">
        <f t="shared" si="11"/>
        <v>0</v>
      </c>
      <c r="H124" s="88"/>
      <c r="I124" s="20">
        <v>40</v>
      </c>
      <c r="J124" s="82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136</v>
      </c>
      <c r="C125" s="79">
        <f>+'14'!G125</f>
        <v>0</v>
      </c>
      <c r="D125" s="87">
        <v>0</v>
      </c>
      <c r="E125" s="47">
        <f t="shared" si="0"/>
        <v>0</v>
      </c>
      <c r="F125" s="87">
        <v>0</v>
      </c>
      <c r="G125" s="47">
        <f t="shared" si="11"/>
        <v>0</v>
      </c>
      <c r="H125" s="88"/>
      <c r="I125" s="20">
        <v>40</v>
      </c>
      <c r="J125" s="82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137</v>
      </c>
      <c r="C126" s="79">
        <f>+'14'!G126</f>
        <v>0</v>
      </c>
      <c r="D126" s="87">
        <v>0</v>
      </c>
      <c r="E126" s="47">
        <f t="shared" ref="E126:E189" si="13">C126+D126</f>
        <v>0</v>
      </c>
      <c r="F126" s="87">
        <v>0</v>
      </c>
      <c r="G126" s="47">
        <f t="shared" si="11"/>
        <v>0</v>
      </c>
      <c r="H126" s="88"/>
      <c r="I126" s="20">
        <v>30</v>
      </c>
      <c r="J126" s="82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138</v>
      </c>
      <c r="C127" s="79">
        <f>+'14'!G127</f>
        <v>0</v>
      </c>
      <c r="D127" s="87">
        <v>0</v>
      </c>
      <c r="E127" s="47">
        <f t="shared" si="13"/>
        <v>0</v>
      </c>
      <c r="F127" s="87">
        <v>0</v>
      </c>
      <c r="G127" s="47">
        <f t="shared" si="11"/>
        <v>0</v>
      </c>
      <c r="H127" s="88"/>
      <c r="I127" s="20">
        <v>40</v>
      </c>
      <c r="J127" s="82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139</v>
      </c>
      <c r="C128" s="79">
        <f>+'14'!G128</f>
        <v>74</v>
      </c>
      <c r="D128" s="87">
        <v>0</v>
      </c>
      <c r="E128" s="47">
        <f t="shared" si="13"/>
        <v>74</v>
      </c>
      <c r="F128" s="87">
        <v>0</v>
      </c>
      <c r="G128" s="47">
        <f t="shared" si="11"/>
        <v>74</v>
      </c>
      <c r="H128" s="88"/>
      <c r="I128" s="20">
        <v>10</v>
      </c>
      <c r="J128" s="82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140</v>
      </c>
      <c r="C129" s="79">
        <f>+'14'!G129</f>
        <v>0</v>
      </c>
      <c r="D129" s="87">
        <v>0</v>
      </c>
      <c r="E129" s="47">
        <f t="shared" si="13"/>
        <v>0</v>
      </c>
      <c r="F129" s="87">
        <v>0</v>
      </c>
      <c r="G129" s="47">
        <f t="shared" si="11"/>
        <v>0</v>
      </c>
      <c r="H129" s="88"/>
      <c r="I129" s="20">
        <v>35</v>
      </c>
      <c r="J129" s="82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141</v>
      </c>
      <c r="C130" s="79">
        <f>+'14'!G130</f>
        <v>0</v>
      </c>
      <c r="D130" s="87">
        <v>0</v>
      </c>
      <c r="E130" s="47">
        <f t="shared" si="13"/>
        <v>0</v>
      </c>
      <c r="F130" s="87">
        <v>0</v>
      </c>
      <c r="G130" s="47">
        <f t="shared" si="11"/>
        <v>0</v>
      </c>
      <c r="H130" s="88"/>
      <c r="I130" s="20">
        <v>40</v>
      </c>
      <c r="J130" s="82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142</v>
      </c>
      <c r="C131" s="79">
        <f>+'14'!G131</f>
        <v>0</v>
      </c>
      <c r="D131" s="87">
        <v>0</v>
      </c>
      <c r="E131" s="47">
        <f t="shared" si="13"/>
        <v>0</v>
      </c>
      <c r="F131" s="87">
        <v>0</v>
      </c>
      <c r="G131" s="47">
        <f t="shared" si="11"/>
        <v>0</v>
      </c>
      <c r="H131" s="88"/>
      <c r="I131" s="20">
        <v>50</v>
      </c>
      <c r="J131" s="82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143</v>
      </c>
      <c r="C132" s="79">
        <f>+'14'!G132</f>
        <v>0</v>
      </c>
      <c r="D132" s="87">
        <v>0</v>
      </c>
      <c r="E132" s="47">
        <f t="shared" si="13"/>
        <v>0</v>
      </c>
      <c r="F132" s="87">
        <v>0</v>
      </c>
      <c r="G132" s="47">
        <f t="shared" si="11"/>
        <v>0</v>
      </c>
      <c r="H132" s="88"/>
      <c r="I132" s="20">
        <v>55</v>
      </c>
      <c r="J132" s="82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144</v>
      </c>
      <c r="C133" s="79">
        <f>+'14'!G133</f>
        <v>0</v>
      </c>
      <c r="D133" s="87">
        <v>0</v>
      </c>
      <c r="E133" s="47">
        <f t="shared" si="13"/>
        <v>0</v>
      </c>
      <c r="F133" s="87">
        <v>0</v>
      </c>
      <c r="G133" s="47">
        <f t="shared" si="11"/>
        <v>0</v>
      </c>
      <c r="H133" s="88"/>
      <c r="I133" s="20">
        <v>55</v>
      </c>
      <c r="J133" s="82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145</v>
      </c>
      <c r="C134" s="79">
        <f>+'14'!G134</f>
        <v>0</v>
      </c>
      <c r="D134" s="87">
        <v>0</v>
      </c>
      <c r="E134" s="47">
        <f t="shared" si="13"/>
        <v>0</v>
      </c>
      <c r="F134" s="87">
        <v>0</v>
      </c>
      <c r="G134" s="47">
        <f t="shared" si="11"/>
        <v>0</v>
      </c>
      <c r="H134" s="88"/>
      <c r="I134" s="20">
        <v>45</v>
      </c>
      <c r="J134" s="82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5.5" x14ac:dyDescent="0.55000000000000004">
      <c r="A135" s="10">
        <v>131</v>
      </c>
      <c r="B135" s="19" t="s">
        <v>146</v>
      </c>
      <c r="C135" s="79">
        <f>+'14'!G135</f>
        <v>0</v>
      </c>
      <c r="D135" s="87">
        <v>0</v>
      </c>
      <c r="E135" s="47">
        <f t="shared" si="13"/>
        <v>0</v>
      </c>
      <c r="F135" s="87">
        <v>0</v>
      </c>
      <c r="G135" s="47">
        <f t="shared" si="11"/>
        <v>0</v>
      </c>
      <c r="H135" s="88"/>
      <c r="I135" s="20">
        <v>45</v>
      </c>
      <c r="J135" s="82">
        <f t="shared" si="12"/>
        <v>0</v>
      </c>
      <c r="K135" s="17" t="s">
        <v>16</v>
      </c>
      <c r="L135" s="18">
        <v>0</v>
      </c>
      <c r="M135" s="23">
        <f t="shared" ref="M135:M198" si="14">SUM(J135-L135)</f>
        <v>0</v>
      </c>
    </row>
    <row r="136" spans="1:13" ht="25.5" x14ac:dyDescent="0.55000000000000004">
      <c r="A136" s="10">
        <v>132</v>
      </c>
      <c r="B136" s="19" t="s">
        <v>147</v>
      </c>
      <c r="C136" s="79">
        <f>+'14'!G136</f>
        <v>0</v>
      </c>
      <c r="D136" s="87">
        <v>0</v>
      </c>
      <c r="E136" s="47">
        <f t="shared" si="13"/>
        <v>0</v>
      </c>
      <c r="F136" s="87">
        <v>0</v>
      </c>
      <c r="G136" s="47">
        <f t="shared" si="11"/>
        <v>0</v>
      </c>
      <c r="H136" s="88"/>
      <c r="I136" s="20">
        <v>55</v>
      </c>
      <c r="J136" s="82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148</v>
      </c>
      <c r="C137" s="79">
        <f>+'14'!G137</f>
        <v>0</v>
      </c>
      <c r="D137" s="87">
        <v>0</v>
      </c>
      <c r="E137" s="47">
        <f t="shared" si="13"/>
        <v>0</v>
      </c>
      <c r="F137" s="87">
        <v>0</v>
      </c>
      <c r="G137" s="47">
        <f t="shared" si="11"/>
        <v>0</v>
      </c>
      <c r="H137" s="88"/>
      <c r="I137" s="20">
        <v>45</v>
      </c>
      <c r="J137" s="82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149</v>
      </c>
      <c r="C138" s="79">
        <f>+'14'!G138</f>
        <v>0</v>
      </c>
      <c r="D138" s="87">
        <v>0</v>
      </c>
      <c r="E138" s="47">
        <f t="shared" si="13"/>
        <v>0</v>
      </c>
      <c r="F138" s="87">
        <v>0</v>
      </c>
      <c r="G138" s="47">
        <f t="shared" si="11"/>
        <v>0</v>
      </c>
      <c r="H138" s="88"/>
      <c r="I138" s="20">
        <v>45</v>
      </c>
      <c r="J138" s="82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150</v>
      </c>
      <c r="C139" s="79">
        <f>+'14'!G139</f>
        <v>0</v>
      </c>
      <c r="D139" s="87">
        <v>0</v>
      </c>
      <c r="E139" s="47">
        <f t="shared" si="13"/>
        <v>0</v>
      </c>
      <c r="F139" s="87">
        <v>0</v>
      </c>
      <c r="G139" s="47">
        <f t="shared" si="11"/>
        <v>0</v>
      </c>
      <c r="H139" s="88"/>
      <c r="I139" s="20">
        <v>45</v>
      </c>
      <c r="J139" s="82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151</v>
      </c>
      <c r="C140" s="79">
        <f>+'14'!G140</f>
        <v>0</v>
      </c>
      <c r="D140" s="87">
        <v>0</v>
      </c>
      <c r="E140" s="47">
        <f t="shared" si="13"/>
        <v>0</v>
      </c>
      <c r="F140" s="87">
        <v>0</v>
      </c>
      <c r="G140" s="47">
        <f t="shared" si="11"/>
        <v>0</v>
      </c>
      <c r="H140" s="88"/>
      <c r="I140" s="20">
        <v>45</v>
      </c>
      <c r="J140" s="82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152</v>
      </c>
      <c r="C141" s="79">
        <f>+'14'!G141</f>
        <v>0</v>
      </c>
      <c r="D141" s="87">
        <v>0</v>
      </c>
      <c r="E141" s="47">
        <f t="shared" si="13"/>
        <v>0</v>
      </c>
      <c r="F141" s="87">
        <v>0</v>
      </c>
      <c r="G141" s="47">
        <f t="shared" si="11"/>
        <v>0</v>
      </c>
      <c r="H141" s="88"/>
      <c r="I141" s="20">
        <v>45</v>
      </c>
      <c r="J141" s="82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153</v>
      </c>
      <c r="C142" s="79">
        <f>+'14'!G142</f>
        <v>0</v>
      </c>
      <c r="D142" s="87">
        <v>0</v>
      </c>
      <c r="E142" s="47">
        <f t="shared" si="13"/>
        <v>0</v>
      </c>
      <c r="F142" s="87">
        <v>0</v>
      </c>
      <c r="G142" s="47">
        <f t="shared" si="11"/>
        <v>0</v>
      </c>
      <c r="H142" s="88"/>
      <c r="I142" s="20">
        <v>45</v>
      </c>
      <c r="J142" s="82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154</v>
      </c>
      <c r="C143" s="79">
        <f>+'14'!G143</f>
        <v>0</v>
      </c>
      <c r="D143" s="87">
        <v>0</v>
      </c>
      <c r="E143" s="47">
        <f t="shared" si="13"/>
        <v>0</v>
      </c>
      <c r="F143" s="87">
        <v>0</v>
      </c>
      <c r="G143" s="47">
        <f t="shared" si="11"/>
        <v>0</v>
      </c>
      <c r="H143" s="88"/>
      <c r="I143" s="20">
        <v>120</v>
      </c>
      <c r="J143" s="82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155</v>
      </c>
      <c r="C144" s="79">
        <f>+'14'!G144</f>
        <v>0</v>
      </c>
      <c r="D144" s="87">
        <v>0</v>
      </c>
      <c r="E144" s="47">
        <f t="shared" si="13"/>
        <v>0</v>
      </c>
      <c r="F144" s="87">
        <v>0</v>
      </c>
      <c r="G144" s="47">
        <f t="shared" si="11"/>
        <v>0</v>
      </c>
      <c r="H144" s="88"/>
      <c r="I144" s="20">
        <v>120</v>
      </c>
      <c r="J144" s="82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156</v>
      </c>
      <c r="C145" s="79">
        <f>+'14'!G145</f>
        <v>0</v>
      </c>
      <c r="D145" s="87">
        <v>0</v>
      </c>
      <c r="E145" s="47">
        <f t="shared" si="13"/>
        <v>0</v>
      </c>
      <c r="F145" s="87">
        <v>0</v>
      </c>
      <c r="G145" s="47">
        <f t="shared" si="11"/>
        <v>0</v>
      </c>
      <c r="H145" s="88"/>
      <c r="I145" s="20">
        <v>120</v>
      </c>
      <c r="J145" s="82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157</v>
      </c>
      <c r="C146" s="79">
        <f>+'14'!G146</f>
        <v>0</v>
      </c>
      <c r="D146" s="87">
        <v>0</v>
      </c>
      <c r="E146" s="47">
        <f t="shared" si="13"/>
        <v>0</v>
      </c>
      <c r="F146" s="87">
        <v>0</v>
      </c>
      <c r="G146" s="47">
        <f t="shared" si="11"/>
        <v>0</v>
      </c>
      <c r="H146" s="88"/>
      <c r="I146" s="20">
        <v>120</v>
      </c>
      <c r="J146" s="82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158</v>
      </c>
      <c r="C147" s="79">
        <f>+'14'!G147</f>
        <v>0</v>
      </c>
      <c r="D147" s="87">
        <v>0</v>
      </c>
      <c r="E147" s="47">
        <f t="shared" si="13"/>
        <v>0</v>
      </c>
      <c r="F147" s="87">
        <v>0</v>
      </c>
      <c r="G147" s="47">
        <f t="shared" si="11"/>
        <v>0</v>
      </c>
      <c r="H147" s="88"/>
      <c r="I147" s="20">
        <v>185</v>
      </c>
      <c r="J147" s="82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159</v>
      </c>
      <c r="C148" s="79">
        <f>+'14'!G148</f>
        <v>0</v>
      </c>
      <c r="D148" s="87">
        <v>0</v>
      </c>
      <c r="E148" s="47">
        <f t="shared" si="13"/>
        <v>0</v>
      </c>
      <c r="F148" s="87">
        <v>0</v>
      </c>
      <c r="G148" s="47">
        <f t="shared" si="11"/>
        <v>0</v>
      </c>
      <c r="H148" s="88"/>
      <c r="I148" s="20">
        <v>185</v>
      </c>
      <c r="J148" s="82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160</v>
      </c>
      <c r="C149" s="79">
        <f>+'14'!G149</f>
        <v>0</v>
      </c>
      <c r="D149" s="87">
        <v>0</v>
      </c>
      <c r="E149" s="47">
        <f t="shared" si="13"/>
        <v>0</v>
      </c>
      <c r="F149" s="87">
        <v>0</v>
      </c>
      <c r="G149" s="47">
        <f t="shared" si="11"/>
        <v>0</v>
      </c>
      <c r="H149" s="88"/>
      <c r="I149" s="20">
        <v>185</v>
      </c>
      <c r="J149" s="82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161</v>
      </c>
      <c r="C150" s="79">
        <f>+'14'!G150</f>
        <v>0</v>
      </c>
      <c r="D150" s="87">
        <v>0</v>
      </c>
      <c r="E150" s="47">
        <f t="shared" si="13"/>
        <v>0</v>
      </c>
      <c r="F150" s="87">
        <v>0</v>
      </c>
      <c r="G150" s="47">
        <f t="shared" si="11"/>
        <v>0</v>
      </c>
      <c r="H150" s="88"/>
      <c r="I150" s="20">
        <v>185</v>
      </c>
      <c r="J150" s="82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5.5" x14ac:dyDescent="0.55000000000000004">
      <c r="A151" s="10">
        <v>147</v>
      </c>
      <c r="B151" s="19" t="s">
        <v>279</v>
      </c>
      <c r="C151" s="79">
        <f>+'14'!G151</f>
        <v>0</v>
      </c>
      <c r="D151" s="87">
        <v>0</v>
      </c>
      <c r="E151" s="47">
        <f t="shared" si="13"/>
        <v>0</v>
      </c>
      <c r="F151" s="87">
        <v>0</v>
      </c>
      <c r="G151" s="47">
        <f t="shared" si="11"/>
        <v>0</v>
      </c>
      <c r="H151" s="88"/>
      <c r="I151" s="20">
        <v>150</v>
      </c>
      <c r="J151" s="82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280</v>
      </c>
      <c r="C152" s="79">
        <f>+'14'!G152</f>
        <v>1</v>
      </c>
      <c r="D152" s="87">
        <v>0</v>
      </c>
      <c r="E152" s="47">
        <f t="shared" si="13"/>
        <v>1</v>
      </c>
      <c r="F152" s="87">
        <v>0</v>
      </c>
      <c r="G152" s="47">
        <f t="shared" si="11"/>
        <v>1</v>
      </c>
      <c r="H152" s="88"/>
      <c r="I152" s="20">
        <v>150</v>
      </c>
      <c r="J152" s="82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5.5" x14ac:dyDescent="0.55000000000000004">
      <c r="A153" s="10">
        <v>149</v>
      </c>
      <c r="B153" s="19" t="s">
        <v>281</v>
      </c>
      <c r="C153" s="79">
        <f>+'14'!G153</f>
        <v>0</v>
      </c>
      <c r="D153" s="87">
        <v>0</v>
      </c>
      <c r="E153" s="47">
        <f t="shared" si="13"/>
        <v>0</v>
      </c>
      <c r="F153" s="87">
        <v>0</v>
      </c>
      <c r="G153" s="47">
        <f t="shared" si="11"/>
        <v>0</v>
      </c>
      <c r="H153" s="88"/>
      <c r="I153" s="20">
        <v>150</v>
      </c>
      <c r="J153" s="82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282</v>
      </c>
      <c r="C154" s="79">
        <f>+'14'!G154</f>
        <v>0</v>
      </c>
      <c r="D154" s="87">
        <v>0</v>
      </c>
      <c r="E154" s="47">
        <f t="shared" si="13"/>
        <v>0</v>
      </c>
      <c r="F154" s="87">
        <v>0</v>
      </c>
      <c r="G154" s="47">
        <f t="shared" si="11"/>
        <v>0</v>
      </c>
      <c r="H154" s="88"/>
      <c r="I154" s="20">
        <v>150</v>
      </c>
      <c r="J154" s="82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166</v>
      </c>
      <c r="C155" s="79">
        <f>+'14'!G155</f>
        <v>0</v>
      </c>
      <c r="D155" s="87">
        <v>0</v>
      </c>
      <c r="E155" s="47">
        <f t="shared" si="13"/>
        <v>0</v>
      </c>
      <c r="F155" s="87">
        <v>0</v>
      </c>
      <c r="G155" s="47">
        <f t="shared" si="11"/>
        <v>0</v>
      </c>
      <c r="H155" s="88"/>
      <c r="I155" s="20">
        <v>185</v>
      </c>
      <c r="J155" s="82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167</v>
      </c>
      <c r="C156" s="79">
        <f>+'14'!G156</f>
        <v>0</v>
      </c>
      <c r="D156" s="87">
        <v>0</v>
      </c>
      <c r="E156" s="47">
        <f t="shared" si="13"/>
        <v>0</v>
      </c>
      <c r="F156" s="87">
        <v>0</v>
      </c>
      <c r="G156" s="47">
        <f t="shared" si="11"/>
        <v>0</v>
      </c>
      <c r="H156" s="88"/>
      <c r="I156" s="20">
        <v>185</v>
      </c>
      <c r="J156" s="82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168</v>
      </c>
      <c r="C157" s="79">
        <f>+'14'!G157</f>
        <v>0</v>
      </c>
      <c r="D157" s="87">
        <v>0</v>
      </c>
      <c r="E157" s="47">
        <f t="shared" si="13"/>
        <v>0</v>
      </c>
      <c r="F157" s="87">
        <v>0</v>
      </c>
      <c r="G157" s="47">
        <f t="shared" si="11"/>
        <v>0</v>
      </c>
      <c r="H157" s="88"/>
      <c r="I157" s="20">
        <v>185</v>
      </c>
      <c r="J157" s="82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169</v>
      </c>
      <c r="C158" s="79">
        <f>+'14'!G158</f>
        <v>0</v>
      </c>
      <c r="D158" s="87">
        <v>0</v>
      </c>
      <c r="E158" s="47">
        <f t="shared" si="13"/>
        <v>0</v>
      </c>
      <c r="F158" s="87">
        <v>0</v>
      </c>
      <c r="G158" s="47">
        <f t="shared" si="11"/>
        <v>0</v>
      </c>
      <c r="H158" s="88"/>
      <c r="I158" s="20">
        <v>185</v>
      </c>
      <c r="J158" s="82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170</v>
      </c>
      <c r="C159" s="79">
        <f>+'14'!G159</f>
        <v>0</v>
      </c>
      <c r="D159" s="87">
        <v>0</v>
      </c>
      <c r="E159" s="47">
        <f t="shared" si="13"/>
        <v>0</v>
      </c>
      <c r="F159" s="87">
        <v>0</v>
      </c>
      <c r="G159" s="47">
        <f t="shared" si="11"/>
        <v>0</v>
      </c>
      <c r="H159" s="88"/>
      <c r="I159" s="20">
        <v>135</v>
      </c>
      <c r="J159" s="82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171</v>
      </c>
      <c r="C160" s="79">
        <f>+'14'!G160</f>
        <v>0</v>
      </c>
      <c r="D160" s="87">
        <v>0</v>
      </c>
      <c r="E160" s="47">
        <f t="shared" si="13"/>
        <v>0</v>
      </c>
      <c r="F160" s="87">
        <v>0</v>
      </c>
      <c r="G160" s="47">
        <f t="shared" si="11"/>
        <v>0</v>
      </c>
      <c r="H160" s="88"/>
      <c r="I160" s="20">
        <v>90</v>
      </c>
      <c r="J160" s="82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172</v>
      </c>
      <c r="C161" s="79">
        <f>+'14'!G161</f>
        <v>0</v>
      </c>
      <c r="D161" s="87">
        <v>0</v>
      </c>
      <c r="E161" s="47">
        <f t="shared" si="13"/>
        <v>0</v>
      </c>
      <c r="F161" s="87">
        <v>0</v>
      </c>
      <c r="G161" s="47">
        <f t="shared" si="11"/>
        <v>0</v>
      </c>
      <c r="H161" s="88"/>
      <c r="I161" s="20">
        <v>90</v>
      </c>
      <c r="J161" s="82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173</v>
      </c>
      <c r="C162" s="79">
        <f>+'14'!G162</f>
        <v>0</v>
      </c>
      <c r="D162" s="87">
        <v>0</v>
      </c>
      <c r="E162" s="47">
        <f t="shared" si="13"/>
        <v>0</v>
      </c>
      <c r="F162" s="87">
        <v>0</v>
      </c>
      <c r="G162" s="47">
        <f t="shared" si="11"/>
        <v>0</v>
      </c>
      <c r="H162" s="88"/>
      <c r="I162" s="20">
        <v>90</v>
      </c>
      <c r="J162" s="82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174</v>
      </c>
      <c r="C163" s="79">
        <f>+'14'!G163</f>
        <v>0</v>
      </c>
      <c r="D163" s="87">
        <v>0</v>
      </c>
      <c r="E163" s="47">
        <f t="shared" si="13"/>
        <v>0</v>
      </c>
      <c r="F163" s="87">
        <v>0</v>
      </c>
      <c r="G163" s="47">
        <f t="shared" si="11"/>
        <v>0</v>
      </c>
      <c r="H163" s="88"/>
      <c r="I163" s="20">
        <v>90</v>
      </c>
      <c r="J163" s="82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175</v>
      </c>
      <c r="C164" s="79">
        <f>+'14'!G164</f>
        <v>0</v>
      </c>
      <c r="D164" s="87">
        <v>0</v>
      </c>
      <c r="E164" s="47">
        <f t="shared" si="13"/>
        <v>0</v>
      </c>
      <c r="F164" s="87">
        <v>0</v>
      </c>
      <c r="G164" s="47">
        <f t="shared" si="11"/>
        <v>0</v>
      </c>
      <c r="H164" s="88"/>
      <c r="I164" s="20">
        <v>25</v>
      </c>
      <c r="J164" s="82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176</v>
      </c>
      <c r="C165" s="79">
        <f>+'14'!G165</f>
        <v>0</v>
      </c>
      <c r="D165" s="87">
        <v>0</v>
      </c>
      <c r="E165" s="47">
        <f t="shared" si="13"/>
        <v>0</v>
      </c>
      <c r="F165" s="87">
        <v>0</v>
      </c>
      <c r="G165" s="47">
        <f t="shared" ref="G165:G227" si="15">+E165-F165-H165</f>
        <v>0</v>
      </c>
      <c r="H165" s="88"/>
      <c r="I165" s="20">
        <v>50</v>
      </c>
      <c r="J165" s="82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177</v>
      </c>
      <c r="C166" s="79">
        <f>+'14'!G166</f>
        <v>0</v>
      </c>
      <c r="D166" s="87">
        <v>0</v>
      </c>
      <c r="E166" s="47">
        <f t="shared" si="13"/>
        <v>0</v>
      </c>
      <c r="F166" s="87">
        <v>0</v>
      </c>
      <c r="G166" s="47">
        <f t="shared" si="15"/>
        <v>0</v>
      </c>
      <c r="H166" s="88"/>
      <c r="I166" s="20">
        <v>50</v>
      </c>
      <c r="J166" s="82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178</v>
      </c>
      <c r="C167" s="79">
        <f>+'14'!G167</f>
        <v>0</v>
      </c>
      <c r="D167" s="87">
        <v>0</v>
      </c>
      <c r="E167" s="47">
        <f t="shared" si="13"/>
        <v>0</v>
      </c>
      <c r="F167" s="87">
        <v>0</v>
      </c>
      <c r="G167" s="47">
        <f t="shared" si="15"/>
        <v>0</v>
      </c>
      <c r="H167" s="88"/>
      <c r="I167" s="20">
        <v>50</v>
      </c>
      <c r="J167" s="82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179</v>
      </c>
      <c r="C168" s="79">
        <f>+'14'!G168</f>
        <v>7</v>
      </c>
      <c r="D168" s="87">
        <v>0</v>
      </c>
      <c r="E168" s="47">
        <f t="shared" si="13"/>
        <v>7</v>
      </c>
      <c r="F168" s="87">
        <v>0</v>
      </c>
      <c r="G168" s="47">
        <f t="shared" si="15"/>
        <v>7</v>
      </c>
      <c r="H168" s="88"/>
      <c r="I168" s="20">
        <v>50</v>
      </c>
      <c r="J168" s="82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180</v>
      </c>
      <c r="C169" s="79">
        <f>+'14'!G169</f>
        <v>40</v>
      </c>
      <c r="D169" s="87">
        <v>0</v>
      </c>
      <c r="E169" s="47">
        <f t="shared" si="13"/>
        <v>40</v>
      </c>
      <c r="F169" s="87">
        <v>0</v>
      </c>
      <c r="G169" s="47">
        <f t="shared" si="15"/>
        <v>40</v>
      </c>
      <c r="H169" s="88"/>
      <c r="I169" s="20">
        <v>55</v>
      </c>
      <c r="J169" s="82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181</v>
      </c>
      <c r="C170" s="79">
        <f>+'14'!G170</f>
        <v>0</v>
      </c>
      <c r="D170" s="87">
        <v>0</v>
      </c>
      <c r="E170" s="47">
        <f t="shared" si="13"/>
        <v>0</v>
      </c>
      <c r="F170" s="87">
        <v>0</v>
      </c>
      <c r="G170" s="47">
        <f t="shared" si="15"/>
        <v>0</v>
      </c>
      <c r="H170" s="88"/>
      <c r="I170" s="20">
        <v>85</v>
      </c>
      <c r="J170" s="82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182</v>
      </c>
      <c r="C171" s="79">
        <f>+'14'!G171</f>
        <v>7</v>
      </c>
      <c r="D171" s="87">
        <v>0</v>
      </c>
      <c r="E171" s="47">
        <f t="shared" si="13"/>
        <v>7</v>
      </c>
      <c r="F171" s="87">
        <v>0</v>
      </c>
      <c r="G171" s="47">
        <f t="shared" si="15"/>
        <v>7</v>
      </c>
      <c r="H171" s="88"/>
      <c r="I171" s="20">
        <v>80</v>
      </c>
      <c r="J171" s="82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183</v>
      </c>
      <c r="C172" s="79">
        <f>+'14'!G172</f>
        <v>0</v>
      </c>
      <c r="D172" s="87">
        <v>0</v>
      </c>
      <c r="E172" s="47">
        <f t="shared" si="13"/>
        <v>0</v>
      </c>
      <c r="F172" s="87">
        <v>0</v>
      </c>
      <c r="G172" s="47">
        <f t="shared" si="15"/>
        <v>0</v>
      </c>
      <c r="H172" s="88"/>
      <c r="I172" s="20">
        <v>40</v>
      </c>
      <c r="J172" s="82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184</v>
      </c>
      <c r="C173" s="79">
        <f>+'14'!G173</f>
        <v>0</v>
      </c>
      <c r="D173" s="87">
        <v>0</v>
      </c>
      <c r="E173" s="47">
        <f t="shared" si="13"/>
        <v>0</v>
      </c>
      <c r="F173" s="87">
        <v>0</v>
      </c>
      <c r="G173" s="47">
        <f t="shared" si="15"/>
        <v>0</v>
      </c>
      <c r="H173" s="88"/>
      <c r="I173" s="20">
        <v>120</v>
      </c>
      <c r="J173" s="82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185</v>
      </c>
      <c r="C174" s="79">
        <f>+'14'!G174</f>
        <v>0</v>
      </c>
      <c r="D174" s="87">
        <v>0</v>
      </c>
      <c r="E174" s="47">
        <f t="shared" si="13"/>
        <v>0</v>
      </c>
      <c r="F174" s="87">
        <v>0</v>
      </c>
      <c r="G174" s="47">
        <f t="shared" si="15"/>
        <v>0</v>
      </c>
      <c r="H174" s="88"/>
      <c r="I174" s="20">
        <v>120</v>
      </c>
      <c r="J174" s="82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186</v>
      </c>
      <c r="C175" s="79">
        <f>+'14'!G175</f>
        <v>0</v>
      </c>
      <c r="D175" s="87">
        <v>0</v>
      </c>
      <c r="E175" s="47">
        <f t="shared" si="13"/>
        <v>0</v>
      </c>
      <c r="F175" s="87">
        <v>0</v>
      </c>
      <c r="G175" s="47">
        <f t="shared" si="15"/>
        <v>0</v>
      </c>
      <c r="H175" s="88"/>
      <c r="I175" s="20">
        <v>55</v>
      </c>
      <c r="J175" s="82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187</v>
      </c>
      <c r="C176" s="79">
        <f>+'14'!G176</f>
        <v>0</v>
      </c>
      <c r="D176" s="87">
        <v>0</v>
      </c>
      <c r="E176" s="47">
        <f t="shared" si="13"/>
        <v>0</v>
      </c>
      <c r="F176" s="87">
        <v>0</v>
      </c>
      <c r="G176" s="47">
        <f t="shared" si="15"/>
        <v>0</v>
      </c>
      <c r="H176" s="88"/>
      <c r="I176" s="20">
        <v>50</v>
      </c>
      <c r="J176" s="82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188</v>
      </c>
      <c r="C177" s="79">
        <f>+'14'!G177</f>
        <v>5</v>
      </c>
      <c r="D177" s="87">
        <v>0</v>
      </c>
      <c r="E177" s="47">
        <f t="shared" si="13"/>
        <v>5</v>
      </c>
      <c r="F177" s="87">
        <v>0</v>
      </c>
      <c r="G177" s="47">
        <f t="shared" si="15"/>
        <v>2</v>
      </c>
      <c r="H177" s="88">
        <v>3</v>
      </c>
      <c r="I177" s="20">
        <v>50</v>
      </c>
      <c r="J177" s="82">
        <f t="shared" si="16"/>
        <v>150</v>
      </c>
      <c r="K177" s="17" t="s">
        <v>16</v>
      </c>
      <c r="L177" s="18">
        <v>50</v>
      </c>
      <c r="M177" s="104">
        <f t="shared" si="14"/>
        <v>100</v>
      </c>
    </row>
    <row r="178" spans="1:13" ht="25.5" x14ac:dyDescent="0.55000000000000004">
      <c r="A178" s="10">
        <v>174</v>
      </c>
      <c r="B178" s="19" t="s">
        <v>189</v>
      </c>
      <c r="C178" s="79">
        <f>+'14'!G178</f>
        <v>3</v>
      </c>
      <c r="D178" s="87">
        <v>0</v>
      </c>
      <c r="E178" s="47">
        <f t="shared" si="13"/>
        <v>3</v>
      </c>
      <c r="F178" s="87">
        <v>0</v>
      </c>
      <c r="G178" s="47">
        <f t="shared" si="15"/>
        <v>2</v>
      </c>
      <c r="H178" s="88">
        <v>1</v>
      </c>
      <c r="I178" s="20">
        <v>120</v>
      </c>
      <c r="J178" s="82">
        <f t="shared" si="16"/>
        <v>120</v>
      </c>
      <c r="K178" s="17" t="s">
        <v>16</v>
      </c>
      <c r="L178" s="18">
        <v>0</v>
      </c>
      <c r="M178" s="104">
        <f t="shared" si="14"/>
        <v>120</v>
      </c>
    </row>
    <row r="179" spans="1:13" ht="25.5" x14ac:dyDescent="0.55000000000000004">
      <c r="A179" s="10">
        <v>175</v>
      </c>
      <c r="B179" s="19" t="s">
        <v>190</v>
      </c>
      <c r="C179" s="79">
        <f>+'14'!G179</f>
        <v>0</v>
      </c>
      <c r="D179" s="87">
        <v>0</v>
      </c>
      <c r="E179" s="47">
        <f t="shared" si="13"/>
        <v>0</v>
      </c>
      <c r="F179" s="87">
        <v>0</v>
      </c>
      <c r="G179" s="47">
        <f t="shared" si="15"/>
        <v>0</v>
      </c>
      <c r="H179" s="88"/>
      <c r="I179" s="20">
        <v>120</v>
      </c>
      <c r="J179" s="82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191</v>
      </c>
      <c r="C180" s="79">
        <f>+'14'!G180</f>
        <v>0</v>
      </c>
      <c r="D180" s="87">
        <v>0</v>
      </c>
      <c r="E180" s="47">
        <f t="shared" si="13"/>
        <v>0</v>
      </c>
      <c r="F180" s="87">
        <v>0</v>
      </c>
      <c r="G180" s="47">
        <f t="shared" si="15"/>
        <v>0</v>
      </c>
      <c r="H180" s="88"/>
      <c r="I180" s="20">
        <v>10</v>
      </c>
      <c r="J180" s="82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192</v>
      </c>
      <c r="C181" s="79">
        <f>+'14'!G181</f>
        <v>0</v>
      </c>
      <c r="D181" s="87">
        <v>0</v>
      </c>
      <c r="E181" s="47">
        <f t="shared" si="13"/>
        <v>0</v>
      </c>
      <c r="F181" s="87">
        <v>0</v>
      </c>
      <c r="G181" s="47">
        <f t="shared" si="15"/>
        <v>0</v>
      </c>
      <c r="H181" s="88"/>
      <c r="I181" s="20">
        <v>35</v>
      </c>
      <c r="J181" s="82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193</v>
      </c>
      <c r="C182" s="79">
        <f>+'14'!G182</f>
        <v>0</v>
      </c>
      <c r="D182" s="87">
        <v>0</v>
      </c>
      <c r="E182" s="47">
        <f t="shared" si="13"/>
        <v>0</v>
      </c>
      <c r="F182" s="87">
        <v>0</v>
      </c>
      <c r="G182" s="47">
        <f t="shared" si="15"/>
        <v>0</v>
      </c>
      <c r="H182" s="88"/>
      <c r="I182" s="20">
        <v>10</v>
      </c>
      <c r="J182" s="82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194</v>
      </c>
      <c r="C183" s="79">
        <f>+'14'!G183</f>
        <v>0</v>
      </c>
      <c r="D183" s="87">
        <v>0</v>
      </c>
      <c r="E183" s="47">
        <f t="shared" si="13"/>
        <v>0</v>
      </c>
      <c r="F183" s="87">
        <v>0</v>
      </c>
      <c r="G183" s="47">
        <f t="shared" si="15"/>
        <v>0</v>
      </c>
      <c r="H183" s="88"/>
      <c r="I183" s="20">
        <v>10</v>
      </c>
      <c r="J183" s="82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195</v>
      </c>
      <c r="C184" s="79">
        <f>+'14'!G184</f>
        <v>0</v>
      </c>
      <c r="D184" s="87">
        <v>0</v>
      </c>
      <c r="E184" s="47">
        <f t="shared" si="13"/>
        <v>0</v>
      </c>
      <c r="F184" s="87">
        <v>0</v>
      </c>
      <c r="G184" s="47">
        <f t="shared" si="15"/>
        <v>0</v>
      </c>
      <c r="H184" s="88"/>
      <c r="I184" s="20">
        <v>10</v>
      </c>
      <c r="J184" s="82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196</v>
      </c>
      <c r="C185" s="79">
        <f>+'14'!G185</f>
        <v>0</v>
      </c>
      <c r="D185" s="87">
        <v>0</v>
      </c>
      <c r="E185" s="47">
        <f t="shared" si="13"/>
        <v>0</v>
      </c>
      <c r="F185" s="87">
        <v>0</v>
      </c>
      <c r="G185" s="47">
        <f t="shared" si="15"/>
        <v>0</v>
      </c>
      <c r="H185" s="88"/>
      <c r="I185" s="20">
        <v>10</v>
      </c>
      <c r="J185" s="82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197</v>
      </c>
      <c r="C186" s="79">
        <f>+'14'!G186</f>
        <v>0</v>
      </c>
      <c r="D186" s="87">
        <v>0</v>
      </c>
      <c r="E186" s="47">
        <f t="shared" si="13"/>
        <v>0</v>
      </c>
      <c r="F186" s="87">
        <v>0</v>
      </c>
      <c r="G186" s="47">
        <f t="shared" si="15"/>
        <v>0</v>
      </c>
      <c r="H186" s="88"/>
      <c r="I186" s="20">
        <v>10</v>
      </c>
      <c r="J186" s="82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198</v>
      </c>
      <c r="C187" s="79">
        <f>+'14'!G187</f>
        <v>0</v>
      </c>
      <c r="D187" s="87">
        <v>0</v>
      </c>
      <c r="E187" s="47">
        <f t="shared" si="13"/>
        <v>0</v>
      </c>
      <c r="F187" s="87">
        <v>0</v>
      </c>
      <c r="G187" s="47">
        <f t="shared" si="15"/>
        <v>0</v>
      </c>
      <c r="H187" s="88"/>
      <c r="I187" s="20">
        <v>25</v>
      </c>
      <c r="J187" s="82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249</v>
      </c>
      <c r="C188" s="79">
        <f>+'14'!G188</f>
        <v>0</v>
      </c>
      <c r="D188" s="87">
        <v>0</v>
      </c>
      <c r="E188" s="47">
        <f t="shared" si="13"/>
        <v>0</v>
      </c>
      <c r="F188" s="87">
        <v>0</v>
      </c>
      <c r="G188" s="47">
        <f t="shared" si="15"/>
        <v>0</v>
      </c>
      <c r="H188" s="88"/>
      <c r="I188" s="15">
        <v>50</v>
      </c>
      <c r="J188" s="82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250</v>
      </c>
      <c r="C189" s="79">
        <f>+'14'!G189</f>
        <v>0</v>
      </c>
      <c r="D189" s="87">
        <v>0</v>
      </c>
      <c r="E189" s="47">
        <f t="shared" si="13"/>
        <v>0</v>
      </c>
      <c r="F189" s="87">
        <v>0</v>
      </c>
      <c r="G189" s="47">
        <f t="shared" si="15"/>
        <v>0</v>
      </c>
      <c r="H189" s="88"/>
      <c r="I189" s="15">
        <v>10</v>
      </c>
      <c r="J189" s="82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251</v>
      </c>
      <c r="C190" s="79">
        <f>+'14'!G190</f>
        <v>0</v>
      </c>
      <c r="D190" s="87">
        <v>0</v>
      </c>
      <c r="E190" s="47">
        <f t="shared" ref="E190:E252" si="17">C190+D190</f>
        <v>0</v>
      </c>
      <c r="F190" s="87">
        <v>0</v>
      </c>
      <c r="G190" s="47">
        <f t="shared" si="15"/>
        <v>0</v>
      </c>
      <c r="H190" s="88"/>
      <c r="I190" s="15">
        <v>15</v>
      </c>
      <c r="J190" s="82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252</v>
      </c>
      <c r="C191" s="79">
        <f>+'14'!G191</f>
        <v>0</v>
      </c>
      <c r="D191" s="87">
        <v>0</v>
      </c>
      <c r="E191" s="47">
        <f t="shared" si="17"/>
        <v>0</v>
      </c>
      <c r="F191" s="87">
        <v>0</v>
      </c>
      <c r="G191" s="47">
        <f t="shared" si="15"/>
        <v>0</v>
      </c>
      <c r="H191" s="88"/>
      <c r="I191" s="15">
        <v>25</v>
      </c>
      <c r="J191" s="82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253</v>
      </c>
      <c r="C192" s="79">
        <f>+'14'!G192</f>
        <v>0</v>
      </c>
      <c r="D192" s="87">
        <v>0</v>
      </c>
      <c r="E192" s="47">
        <f t="shared" si="17"/>
        <v>0</v>
      </c>
      <c r="F192" s="87">
        <v>0</v>
      </c>
      <c r="G192" s="47">
        <f t="shared" si="15"/>
        <v>0</v>
      </c>
      <c r="H192" s="88"/>
      <c r="I192" s="15">
        <v>50</v>
      </c>
      <c r="J192" s="82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254</v>
      </c>
      <c r="C193" s="79">
        <f>+'14'!G193</f>
        <v>0</v>
      </c>
      <c r="D193" s="87">
        <v>0</v>
      </c>
      <c r="E193" s="47">
        <f t="shared" si="17"/>
        <v>0</v>
      </c>
      <c r="F193" s="87">
        <v>0</v>
      </c>
      <c r="G193" s="47">
        <f t="shared" si="15"/>
        <v>0</v>
      </c>
      <c r="H193" s="88"/>
      <c r="I193" s="15">
        <v>45</v>
      </c>
      <c r="J193" s="82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255</v>
      </c>
      <c r="C194" s="79">
        <f>+'14'!G194</f>
        <v>0</v>
      </c>
      <c r="D194" s="87">
        <v>0</v>
      </c>
      <c r="E194" s="47">
        <f t="shared" si="17"/>
        <v>0</v>
      </c>
      <c r="F194" s="87">
        <v>0</v>
      </c>
      <c r="G194" s="47">
        <f t="shared" si="15"/>
        <v>0</v>
      </c>
      <c r="H194" s="88"/>
      <c r="I194" s="15">
        <v>50</v>
      </c>
      <c r="J194" s="82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199</v>
      </c>
      <c r="C195" s="79">
        <f>+'14'!G195</f>
        <v>0</v>
      </c>
      <c r="D195" s="87">
        <v>0</v>
      </c>
      <c r="E195" s="47">
        <f t="shared" si="17"/>
        <v>0</v>
      </c>
      <c r="F195" s="87">
        <v>0</v>
      </c>
      <c r="G195" s="47">
        <f t="shared" si="15"/>
        <v>0</v>
      </c>
      <c r="H195" s="88"/>
      <c r="I195" s="15">
        <v>150</v>
      </c>
      <c r="J195" s="82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200</v>
      </c>
      <c r="C196" s="79">
        <f>+'14'!G196</f>
        <v>0</v>
      </c>
      <c r="D196" s="87">
        <v>0</v>
      </c>
      <c r="E196" s="47">
        <f t="shared" si="17"/>
        <v>0</v>
      </c>
      <c r="F196" s="87">
        <v>0</v>
      </c>
      <c r="G196" s="47">
        <f t="shared" si="15"/>
        <v>0</v>
      </c>
      <c r="H196" s="88"/>
      <c r="I196" s="15">
        <v>150</v>
      </c>
      <c r="J196" s="82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201</v>
      </c>
      <c r="C197" s="79">
        <f>+'14'!G197</f>
        <v>0</v>
      </c>
      <c r="D197" s="87">
        <v>0</v>
      </c>
      <c r="E197" s="47">
        <f t="shared" si="17"/>
        <v>0</v>
      </c>
      <c r="F197" s="87">
        <v>0</v>
      </c>
      <c r="G197" s="47">
        <f t="shared" si="15"/>
        <v>0</v>
      </c>
      <c r="H197" s="88"/>
      <c r="I197" s="15">
        <v>150</v>
      </c>
      <c r="J197" s="82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256</v>
      </c>
      <c r="C198" s="79">
        <f>+'14'!G198</f>
        <v>0</v>
      </c>
      <c r="D198" s="87">
        <v>0</v>
      </c>
      <c r="E198" s="47">
        <f t="shared" si="17"/>
        <v>0</v>
      </c>
      <c r="F198" s="87">
        <v>0</v>
      </c>
      <c r="G198" s="47">
        <f t="shared" si="15"/>
        <v>0</v>
      </c>
      <c r="H198" s="88"/>
      <c r="I198" s="15">
        <v>55</v>
      </c>
      <c r="J198" s="82">
        <f t="shared" si="16"/>
        <v>0</v>
      </c>
      <c r="K198" s="17" t="s">
        <v>16</v>
      </c>
      <c r="L198" s="18">
        <v>0</v>
      </c>
      <c r="M198" s="23">
        <f t="shared" si="14"/>
        <v>0</v>
      </c>
    </row>
    <row r="199" spans="1:13" ht="25.5" x14ac:dyDescent="0.55000000000000004">
      <c r="A199" s="10">
        <v>195</v>
      </c>
      <c r="B199" s="19" t="s">
        <v>257</v>
      </c>
      <c r="C199" s="79">
        <f>+'14'!G199</f>
        <v>0</v>
      </c>
      <c r="D199" s="87">
        <v>0</v>
      </c>
      <c r="E199" s="47">
        <f t="shared" si="17"/>
        <v>0</v>
      </c>
      <c r="F199" s="87">
        <v>0</v>
      </c>
      <c r="G199" s="47">
        <f t="shared" si="15"/>
        <v>0</v>
      </c>
      <c r="H199" s="88"/>
      <c r="I199" s="15">
        <v>30</v>
      </c>
      <c r="J199" s="82">
        <f t="shared" si="16"/>
        <v>0</v>
      </c>
      <c r="K199" s="17" t="s">
        <v>16</v>
      </c>
      <c r="L199" s="18">
        <v>0</v>
      </c>
      <c r="M199" s="23">
        <f t="shared" ref="M199:M254" si="18">SUM(J199-L199)</f>
        <v>0</v>
      </c>
    </row>
    <row r="200" spans="1:13" ht="25.5" x14ac:dyDescent="0.55000000000000004">
      <c r="A200" s="10">
        <v>196</v>
      </c>
      <c r="B200" s="19" t="s">
        <v>258</v>
      </c>
      <c r="C200" s="79">
        <f>+'14'!G200</f>
        <v>0</v>
      </c>
      <c r="D200" s="87">
        <v>0</v>
      </c>
      <c r="E200" s="47">
        <f t="shared" si="17"/>
        <v>0</v>
      </c>
      <c r="F200" s="87">
        <v>0</v>
      </c>
      <c r="G200" s="47">
        <f t="shared" si="15"/>
        <v>0</v>
      </c>
      <c r="H200" s="88"/>
      <c r="I200" s="15">
        <v>30</v>
      </c>
      <c r="J200" s="82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259</v>
      </c>
      <c r="C201" s="79">
        <f>+'14'!G201</f>
        <v>0</v>
      </c>
      <c r="D201" s="87">
        <v>0</v>
      </c>
      <c r="E201" s="47">
        <f t="shared" si="17"/>
        <v>0</v>
      </c>
      <c r="F201" s="87">
        <v>0</v>
      </c>
      <c r="G201" s="47">
        <f t="shared" si="15"/>
        <v>0</v>
      </c>
      <c r="H201" s="88"/>
      <c r="I201" s="15">
        <v>30</v>
      </c>
      <c r="J201" s="82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260</v>
      </c>
      <c r="C202" s="79">
        <f>+'14'!G202</f>
        <v>0</v>
      </c>
      <c r="D202" s="87">
        <v>0</v>
      </c>
      <c r="E202" s="47">
        <f t="shared" si="17"/>
        <v>0</v>
      </c>
      <c r="F202" s="87">
        <v>0</v>
      </c>
      <c r="G202" s="47">
        <f t="shared" si="15"/>
        <v>0</v>
      </c>
      <c r="H202" s="88"/>
      <c r="I202" s="15">
        <v>30</v>
      </c>
      <c r="J202" s="82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261</v>
      </c>
      <c r="C203" s="79">
        <f>+'14'!G203</f>
        <v>0</v>
      </c>
      <c r="D203" s="87">
        <v>0</v>
      </c>
      <c r="E203" s="47">
        <f t="shared" si="17"/>
        <v>0</v>
      </c>
      <c r="F203" s="87">
        <v>0</v>
      </c>
      <c r="G203" s="47">
        <f t="shared" si="15"/>
        <v>0</v>
      </c>
      <c r="H203" s="88"/>
      <c r="I203" s="20">
        <v>30</v>
      </c>
      <c r="J203" s="82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262</v>
      </c>
      <c r="C204" s="79">
        <f>+'14'!G204</f>
        <v>0</v>
      </c>
      <c r="D204" s="87">
        <v>0</v>
      </c>
      <c r="E204" s="47">
        <f t="shared" si="17"/>
        <v>0</v>
      </c>
      <c r="F204" s="87">
        <v>0</v>
      </c>
      <c r="G204" s="47">
        <f t="shared" si="15"/>
        <v>0</v>
      </c>
      <c r="H204" s="88"/>
      <c r="I204" s="20">
        <v>30</v>
      </c>
      <c r="J204" s="82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263</v>
      </c>
      <c r="C205" s="79">
        <f>+'14'!G205</f>
        <v>0</v>
      </c>
      <c r="D205" s="87">
        <v>0</v>
      </c>
      <c r="E205" s="47">
        <f t="shared" si="17"/>
        <v>0</v>
      </c>
      <c r="F205" s="87">
        <v>0</v>
      </c>
      <c r="G205" s="47">
        <f t="shared" si="15"/>
        <v>0</v>
      </c>
      <c r="H205" s="88"/>
      <c r="I205" s="20">
        <v>50</v>
      </c>
      <c r="J205" s="82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 t="s">
        <v>264</v>
      </c>
      <c r="C206" s="79">
        <f>+'14'!G206</f>
        <v>0</v>
      </c>
      <c r="D206" s="87">
        <v>0</v>
      </c>
      <c r="E206" s="47">
        <f t="shared" si="17"/>
        <v>0</v>
      </c>
      <c r="F206" s="87">
        <v>0</v>
      </c>
      <c r="G206" s="47">
        <f t="shared" si="15"/>
        <v>0</v>
      </c>
      <c r="H206" s="88"/>
      <c r="I206" s="20">
        <v>100</v>
      </c>
      <c r="J206" s="82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265</v>
      </c>
      <c r="C207" s="79">
        <f>+'14'!G207</f>
        <v>0</v>
      </c>
      <c r="D207" s="87">
        <v>0</v>
      </c>
      <c r="E207" s="47">
        <f t="shared" si="17"/>
        <v>0</v>
      </c>
      <c r="F207" s="87">
        <v>0</v>
      </c>
      <c r="G207" s="47">
        <f t="shared" si="15"/>
        <v>0</v>
      </c>
      <c r="H207" s="88"/>
      <c r="I207" s="20">
        <v>100</v>
      </c>
      <c r="J207" s="82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266</v>
      </c>
      <c r="C208" s="79">
        <f>+'14'!G208</f>
        <v>0</v>
      </c>
      <c r="D208" s="87">
        <v>0</v>
      </c>
      <c r="E208" s="47">
        <f t="shared" si="17"/>
        <v>0</v>
      </c>
      <c r="F208" s="87">
        <v>0</v>
      </c>
      <c r="G208" s="47">
        <f t="shared" si="15"/>
        <v>0</v>
      </c>
      <c r="H208" s="88"/>
      <c r="I208" s="20">
        <v>100</v>
      </c>
      <c r="J208" s="82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 t="s">
        <v>267</v>
      </c>
      <c r="C209" s="79">
        <f>+'14'!G209</f>
        <v>0</v>
      </c>
      <c r="D209" s="87">
        <v>0</v>
      </c>
      <c r="E209" s="47">
        <f t="shared" si="17"/>
        <v>0</v>
      </c>
      <c r="F209" s="87">
        <v>0</v>
      </c>
      <c r="G209" s="47">
        <f t="shared" si="15"/>
        <v>0</v>
      </c>
      <c r="H209" s="88"/>
      <c r="I209" s="20">
        <v>100</v>
      </c>
      <c r="J209" s="82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268</v>
      </c>
      <c r="C210" s="79">
        <f>+'14'!G210</f>
        <v>0</v>
      </c>
      <c r="D210" s="87">
        <v>0</v>
      </c>
      <c r="E210" s="47">
        <f t="shared" si="17"/>
        <v>0</v>
      </c>
      <c r="F210" s="87">
        <v>0</v>
      </c>
      <c r="G210" s="47">
        <f t="shared" si="15"/>
        <v>0</v>
      </c>
      <c r="H210" s="88"/>
      <c r="I210" s="20">
        <v>250</v>
      </c>
      <c r="J210" s="82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 t="s">
        <v>269</v>
      </c>
      <c r="C211" s="79">
        <f>+'14'!G211</f>
        <v>0</v>
      </c>
      <c r="D211" s="87">
        <v>0</v>
      </c>
      <c r="E211" s="47">
        <f t="shared" si="17"/>
        <v>0</v>
      </c>
      <c r="F211" s="87">
        <v>0</v>
      </c>
      <c r="G211" s="47">
        <f t="shared" si="15"/>
        <v>0</v>
      </c>
      <c r="H211" s="88"/>
      <c r="I211" s="20">
        <v>250</v>
      </c>
      <c r="J211" s="82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 t="s">
        <v>270</v>
      </c>
      <c r="C212" s="79">
        <f>+'14'!G212</f>
        <v>0</v>
      </c>
      <c r="D212" s="87">
        <v>0</v>
      </c>
      <c r="E212" s="47">
        <f t="shared" si="17"/>
        <v>0</v>
      </c>
      <c r="F212" s="87">
        <v>0</v>
      </c>
      <c r="G212" s="47">
        <f t="shared" si="15"/>
        <v>0</v>
      </c>
      <c r="H212" s="88"/>
      <c r="I212" s="20">
        <v>250</v>
      </c>
      <c r="J212" s="82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 t="s">
        <v>271</v>
      </c>
      <c r="C213" s="79">
        <f>+'14'!G213</f>
        <v>0</v>
      </c>
      <c r="D213" s="87">
        <v>0</v>
      </c>
      <c r="E213" s="47">
        <f t="shared" si="17"/>
        <v>0</v>
      </c>
      <c r="F213" s="87">
        <v>0</v>
      </c>
      <c r="G213" s="47">
        <f t="shared" si="15"/>
        <v>0</v>
      </c>
      <c r="H213" s="88"/>
      <c r="I213" s="20">
        <v>50</v>
      </c>
      <c r="J213" s="82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 t="s">
        <v>273</v>
      </c>
      <c r="C214" s="79">
        <f>+'14'!G214</f>
        <v>0</v>
      </c>
      <c r="D214" s="87">
        <v>0</v>
      </c>
      <c r="E214" s="47">
        <f t="shared" si="17"/>
        <v>0</v>
      </c>
      <c r="F214" s="87">
        <v>0</v>
      </c>
      <c r="G214" s="47">
        <f t="shared" si="15"/>
        <v>0</v>
      </c>
      <c r="H214" s="88"/>
      <c r="I214" s="20">
        <v>50</v>
      </c>
      <c r="J214" s="82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 t="s">
        <v>274</v>
      </c>
      <c r="C215" s="79">
        <f>+'14'!G215</f>
        <v>0</v>
      </c>
      <c r="D215" s="87">
        <v>0</v>
      </c>
      <c r="E215" s="47">
        <f t="shared" si="17"/>
        <v>0</v>
      </c>
      <c r="F215" s="87">
        <v>0</v>
      </c>
      <c r="G215" s="47">
        <f t="shared" si="15"/>
        <v>0</v>
      </c>
      <c r="H215" s="88"/>
      <c r="I215" s="20">
        <v>50</v>
      </c>
      <c r="J215" s="82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 t="s">
        <v>242</v>
      </c>
      <c r="C216" s="79">
        <f>+'14'!G216</f>
        <v>0</v>
      </c>
      <c r="D216" s="87">
        <v>0</v>
      </c>
      <c r="E216" s="47">
        <f t="shared" si="17"/>
        <v>0</v>
      </c>
      <c r="F216" s="87">
        <v>0</v>
      </c>
      <c r="G216" s="47">
        <f t="shared" si="15"/>
        <v>0</v>
      </c>
      <c r="H216" s="88"/>
      <c r="I216" s="20">
        <v>35</v>
      </c>
      <c r="J216" s="82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 t="s">
        <v>275</v>
      </c>
      <c r="C217" s="79">
        <f>+'14'!G217</f>
        <v>0</v>
      </c>
      <c r="D217" s="87">
        <v>0</v>
      </c>
      <c r="E217" s="47">
        <f t="shared" si="17"/>
        <v>0</v>
      </c>
      <c r="F217" s="87">
        <v>0</v>
      </c>
      <c r="G217" s="47">
        <f t="shared" si="15"/>
        <v>0</v>
      </c>
      <c r="H217" s="88"/>
      <c r="I217" s="20">
        <v>199</v>
      </c>
      <c r="J217" s="82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 t="s">
        <v>283</v>
      </c>
      <c r="C218" s="79"/>
      <c r="D218" s="87">
        <v>0</v>
      </c>
      <c r="E218" s="47">
        <f t="shared" si="17"/>
        <v>0</v>
      </c>
      <c r="F218" s="87">
        <v>0</v>
      </c>
      <c r="G218" s="47">
        <f t="shared" si="15"/>
        <v>0</v>
      </c>
      <c r="H218" s="88"/>
      <c r="I218" s="20">
        <v>25</v>
      </c>
      <c r="J218" s="82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 t="s">
        <v>284</v>
      </c>
      <c r="C219" s="79"/>
      <c r="D219" s="87">
        <v>0</v>
      </c>
      <c r="E219" s="47">
        <f t="shared" si="17"/>
        <v>0</v>
      </c>
      <c r="F219" s="87">
        <v>0</v>
      </c>
      <c r="G219" s="47">
        <f t="shared" si="15"/>
        <v>0</v>
      </c>
      <c r="H219" s="88"/>
      <c r="I219" s="20">
        <v>25</v>
      </c>
      <c r="J219" s="82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 t="s">
        <v>314</v>
      </c>
      <c r="C220" s="79">
        <f>+'14'!G220</f>
        <v>26</v>
      </c>
      <c r="D220" s="87">
        <v>0</v>
      </c>
      <c r="E220" s="47">
        <f t="shared" si="17"/>
        <v>26</v>
      </c>
      <c r="F220" s="87">
        <v>26</v>
      </c>
      <c r="G220" s="47">
        <f t="shared" si="15"/>
        <v>0</v>
      </c>
      <c r="H220" s="88"/>
      <c r="I220" s="20">
        <v>35</v>
      </c>
      <c r="J220" s="82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 t="s">
        <v>326</v>
      </c>
      <c r="C221" s="79">
        <f>+'14'!G221</f>
        <v>4</v>
      </c>
      <c r="D221" s="87">
        <v>0</v>
      </c>
      <c r="E221" s="47">
        <f t="shared" si="17"/>
        <v>4</v>
      </c>
      <c r="F221" s="87">
        <v>0</v>
      </c>
      <c r="G221" s="47">
        <f t="shared" si="15"/>
        <v>3</v>
      </c>
      <c r="H221" s="88">
        <v>1</v>
      </c>
      <c r="I221" s="20">
        <v>55</v>
      </c>
      <c r="J221" s="82">
        <f t="shared" si="16"/>
        <v>55</v>
      </c>
      <c r="K221" s="17" t="s">
        <v>16</v>
      </c>
      <c r="L221" s="18">
        <v>0</v>
      </c>
      <c r="M221" s="104">
        <f t="shared" si="18"/>
        <v>55</v>
      </c>
    </row>
    <row r="222" spans="1:13" ht="25.5" x14ac:dyDescent="0.55000000000000004">
      <c r="A222" s="10">
        <v>218</v>
      </c>
      <c r="B222" s="19" t="s">
        <v>327</v>
      </c>
      <c r="C222" s="79">
        <f>+'14'!G222</f>
        <v>0</v>
      </c>
      <c r="D222" s="87">
        <v>0</v>
      </c>
      <c r="E222" s="47">
        <f t="shared" si="17"/>
        <v>0</v>
      </c>
      <c r="F222" s="87">
        <v>0</v>
      </c>
      <c r="G222" s="47">
        <f t="shared" si="15"/>
        <v>0</v>
      </c>
      <c r="H222" s="88"/>
      <c r="I222" s="20">
        <v>40</v>
      </c>
      <c r="J222" s="82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/>
      <c r="C223" s="79">
        <f>+'14'!G223</f>
        <v>0</v>
      </c>
      <c r="D223" s="87">
        <v>0</v>
      </c>
      <c r="E223" s="47">
        <f t="shared" si="17"/>
        <v>0</v>
      </c>
      <c r="F223" s="87">
        <v>0</v>
      </c>
      <c r="G223" s="47">
        <f t="shared" si="15"/>
        <v>0</v>
      </c>
      <c r="H223" s="88"/>
      <c r="I223" s="20"/>
      <c r="J223" s="82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79">
        <f>+'14'!G224</f>
        <v>0</v>
      </c>
      <c r="D224" s="87">
        <v>0</v>
      </c>
      <c r="E224" s="47">
        <f t="shared" si="17"/>
        <v>0</v>
      </c>
      <c r="F224" s="87">
        <v>0</v>
      </c>
      <c r="G224" s="47">
        <f t="shared" si="15"/>
        <v>0</v>
      </c>
      <c r="H224" s="88"/>
      <c r="I224" s="20"/>
      <c r="J224" s="82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+'14'!G225</f>
        <v>0</v>
      </c>
      <c r="D225" s="87">
        <v>0</v>
      </c>
      <c r="E225" s="47">
        <f t="shared" si="17"/>
        <v>0</v>
      </c>
      <c r="F225" s="87">
        <v>0</v>
      </c>
      <c r="G225" s="47">
        <f t="shared" si="15"/>
        <v>0</v>
      </c>
      <c r="H225" s="88"/>
      <c r="I225" s="20"/>
      <c r="J225" s="82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+'14'!G226</f>
        <v>0</v>
      </c>
      <c r="D226" s="87">
        <v>0</v>
      </c>
      <c r="E226" s="47">
        <f t="shared" si="17"/>
        <v>0</v>
      </c>
      <c r="F226" s="87">
        <v>0</v>
      </c>
      <c r="G226" s="47">
        <f t="shared" si="15"/>
        <v>0</v>
      </c>
      <c r="H226" s="88"/>
      <c r="I226" s="20"/>
      <c r="J226" s="82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+'14'!G227</f>
        <v>0</v>
      </c>
      <c r="D227" s="87">
        <v>0</v>
      </c>
      <c r="E227" s="47">
        <f t="shared" si="17"/>
        <v>0</v>
      </c>
      <c r="F227" s="87">
        <v>0</v>
      </c>
      <c r="G227" s="47">
        <f t="shared" si="15"/>
        <v>0</v>
      </c>
      <c r="H227" s="88"/>
      <c r="I227" s="20"/>
      <c r="J227" s="82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+'14'!G228</f>
        <v>0</v>
      </c>
      <c r="D228" s="87">
        <v>0</v>
      </c>
      <c r="E228" s="47">
        <f t="shared" si="17"/>
        <v>0</v>
      </c>
      <c r="F228" s="87">
        <v>0</v>
      </c>
      <c r="G228" s="47">
        <f t="shared" ref="G228:G254" si="19">+E228-F228-H228</f>
        <v>0</v>
      </c>
      <c r="H228" s="88"/>
      <c r="I228" s="20"/>
      <c r="J228" s="82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+'14'!G229</f>
        <v>0</v>
      </c>
      <c r="D229" s="87">
        <v>0</v>
      </c>
      <c r="E229" s="47">
        <f t="shared" si="17"/>
        <v>0</v>
      </c>
      <c r="F229" s="87">
        <v>0</v>
      </c>
      <c r="G229" s="47">
        <f t="shared" si="19"/>
        <v>0</v>
      </c>
      <c r="H229" s="88"/>
      <c r="I229" s="20"/>
      <c r="J229" s="82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+'14'!G230</f>
        <v>0</v>
      </c>
      <c r="D230" s="87">
        <v>0</v>
      </c>
      <c r="E230" s="47">
        <f t="shared" si="17"/>
        <v>0</v>
      </c>
      <c r="F230" s="87">
        <v>0</v>
      </c>
      <c r="G230" s="47">
        <f t="shared" si="19"/>
        <v>0</v>
      </c>
      <c r="H230" s="88"/>
      <c r="I230" s="20"/>
      <c r="J230" s="82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+'14'!G231</f>
        <v>0</v>
      </c>
      <c r="D231" s="87">
        <v>0</v>
      </c>
      <c r="E231" s="47">
        <f t="shared" si="17"/>
        <v>0</v>
      </c>
      <c r="F231" s="87">
        <v>0</v>
      </c>
      <c r="G231" s="47">
        <f t="shared" si="19"/>
        <v>0</v>
      </c>
      <c r="H231" s="88"/>
      <c r="I231" s="20"/>
      <c r="J231" s="82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+'14'!G232</f>
        <v>0</v>
      </c>
      <c r="D232" s="87">
        <v>0</v>
      </c>
      <c r="E232" s="47">
        <f t="shared" si="17"/>
        <v>0</v>
      </c>
      <c r="F232" s="87">
        <v>0</v>
      </c>
      <c r="G232" s="47">
        <f t="shared" si="19"/>
        <v>0</v>
      </c>
      <c r="H232" s="88"/>
      <c r="I232" s="20"/>
      <c r="J232" s="82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+'14'!G233</f>
        <v>0</v>
      </c>
      <c r="D233" s="87">
        <v>0</v>
      </c>
      <c r="E233" s="47">
        <f t="shared" si="17"/>
        <v>0</v>
      </c>
      <c r="F233" s="87">
        <v>0</v>
      </c>
      <c r="G233" s="47">
        <f t="shared" si="19"/>
        <v>0</v>
      </c>
      <c r="H233" s="88"/>
      <c r="I233" s="20"/>
      <c r="J233" s="82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+'14'!G234</f>
        <v>0</v>
      </c>
      <c r="D234" s="87">
        <v>0</v>
      </c>
      <c r="E234" s="47">
        <f t="shared" si="17"/>
        <v>0</v>
      </c>
      <c r="F234" s="87">
        <v>0</v>
      </c>
      <c r="G234" s="47">
        <f t="shared" si="19"/>
        <v>0</v>
      </c>
      <c r="H234" s="88"/>
      <c r="I234" s="20"/>
      <c r="J234" s="82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+'14'!G235</f>
        <v>0</v>
      </c>
      <c r="D235" s="87">
        <v>0</v>
      </c>
      <c r="E235" s="47">
        <f t="shared" si="17"/>
        <v>0</v>
      </c>
      <c r="F235" s="87">
        <v>0</v>
      </c>
      <c r="G235" s="47">
        <f t="shared" si="19"/>
        <v>0</v>
      </c>
      <c r="H235" s="88"/>
      <c r="I235" s="20"/>
      <c r="J235" s="82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+'14'!G236</f>
        <v>0</v>
      </c>
      <c r="D236" s="87">
        <v>0</v>
      </c>
      <c r="E236" s="47">
        <f t="shared" si="17"/>
        <v>0</v>
      </c>
      <c r="F236" s="87">
        <v>0</v>
      </c>
      <c r="G236" s="47">
        <f t="shared" si="19"/>
        <v>0</v>
      </c>
      <c r="H236" s="88"/>
      <c r="I236" s="20"/>
      <c r="J236" s="82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+'14'!G237</f>
        <v>0</v>
      </c>
      <c r="D237" s="87">
        <v>0</v>
      </c>
      <c r="E237" s="47">
        <f t="shared" si="17"/>
        <v>0</v>
      </c>
      <c r="F237" s="87">
        <v>0</v>
      </c>
      <c r="G237" s="47">
        <f t="shared" si="19"/>
        <v>0</v>
      </c>
      <c r="H237" s="88"/>
      <c r="I237" s="20"/>
      <c r="J237" s="82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+'14'!G238</f>
        <v>0</v>
      </c>
      <c r="D238" s="87">
        <v>0</v>
      </c>
      <c r="E238" s="47">
        <f t="shared" si="17"/>
        <v>0</v>
      </c>
      <c r="F238" s="87">
        <v>0</v>
      </c>
      <c r="G238" s="47">
        <f t="shared" si="19"/>
        <v>0</v>
      </c>
      <c r="H238" s="88"/>
      <c r="I238" s="20"/>
      <c r="J238" s="82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+'14'!G239</f>
        <v>0</v>
      </c>
      <c r="D239" s="87">
        <v>0</v>
      </c>
      <c r="E239" s="47">
        <f t="shared" si="17"/>
        <v>0</v>
      </c>
      <c r="F239" s="87">
        <v>0</v>
      </c>
      <c r="G239" s="47">
        <f t="shared" si="19"/>
        <v>0</v>
      </c>
      <c r="H239" s="88"/>
      <c r="I239" s="20"/>
      <c r="J239" s="82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+'14'!G240</f>
        <v>0</v>
      </c>
      <c r="D240" s="87">
        <v>0</v>
      </c>
      <c r="E240" s="47">
        <f t="shared" si="17"/>
        <v>0</v>
      </c>
      <c r="F240" s="87">
        <v>0</v>
      </c>
      <c r="G240" s="47">
        <f t="shared" si="19"/>
        <v>0</v>
      </c>
      <c r="H240" s="88"/>
      <c r="I240" s="20"/>
      <c r="J240" s="82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+'14'!G241</f>
        <v>0</v>
      </c>
      <c r="D241" s="87">
        <v>0</v>
      </c>
      <c r="E241" s="47">
        <f t="shared" si="17"/>
        <v>0</v>
      </c>
      <c r="F241" s="87">
        <v>0</v>
      </c>
      <c r="G241" s="47">
        <f t="shared" si="19"/>
        <v>0</v>
      </c>
      <c r="H241" s="88"/>
      <c r="I241" s="20"/>
      <c r="J241" s="82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+'14'!G242</f>
        <v>0</v>
      </c>
      <c r="D242" s="87">
        <v>0</v>
      </c>
      <c r="E242" s="47">
        <f t="shared" si="17"/>
        <v>0</v>
      </c>
      <c r="F242" s="87">
        <v>0</v>
      </c>
      <c r="G242" s="47">
        <f t="shared" si="19"/>
        <v>0</v>
      </c>
      <c r="H242" s="88"/>
      <c r="I242" s="20"/>
      <c r="J242" s="82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+'14'!G243</f>
        <v>0</v>
      </c>
      <c r="D243" s="87">
        <v>0</v>
      </c>
      <c r="E243" s="47">
        <f t="shared" si="17"/>
        <v>0</v>
      </c>
      <c r="F243" s="87">
        <v>0</v>
      </c>
      <c r="G243" s="47">
        <f t="shared" si="19"/>
        <v>0</v>
      </c>
      <c r="H243" s="88"/>
      <c r="I243" s="20"/>
      <c r="J243" s="82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+'14'!G244</f>
        <v>0</v>
      </c>
      <c r="D244" s="87">
        <v>0</v>
      </c>
      <c r="E244" s="47">
        <f t="shared" si="17"/>
        <v>0</v>
      </c>
      <c r="F244" s="87">
        <v>0</v>
      </c>
      <c r="G244" s="47">
        <f t="shared" si="19"/>
        <v>0</v>
      </c>
      <c r="H244" s="88"/>
      <c r="I244" s="20"/>
      <c r="J244" s="82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+'14'!G245</f>
        <v>0</v>
      </c>
      <c r="D245" s="87">
        <v>0</v>
      </c>
      <c r="E245" s="47">
        <f t="shared" si="17"/>
        <v>0</v>
      </c>
      <c r="F245" s="87">
        <v>0</v>
      </c>
      <c r="G245" s="47">
        <f t="shared" si="19"/>
        <v>0</v>
      </c>
      <c r="H245" s="88"/>
      <c r="I245" s="20"/>
      <c r="J245" s="82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+'14'!G246</f>
        <v>0</v>
      </c>
      <c r="D246" s="87">
        <v>0</v>
      </c>
      <c r="E246" s="47">
        <f t="shared" si="17"/>
        <v>0</v>
      </c>
      <c r="F246" s="87">
        <v>0</v>
      </c>
      <c r="G246" s="47">
        <f t="shared" si="19"/>
        <v>0</v>
      </c>
      <c r="H246" s="88"/>
      <c r="I246" s="20"/>
      <c r="J246" s="82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+'14'!G247</f>
        <v>0</v>
      </c>
      <c r="D247" s="87">
        <v>0</v>
      </c>
      <c r="E247" s="47">
        <f t="shared" si="17"/>
        <v>0</v>
      </c>
      <c r="F247" s="87">
        <v>0</v>
      </c>
      <c r="G247" s="47">
        <f t="shared" si="19"/>
        <v>0</v>
      </c>
      <c r="H247" s="88"/>
      <c r="I247" s="20"/>
      <c r="J247" s="82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+'14'!G248</f>
        <v>0</v>
      </c>
      <c r="D248" s="87">
        <v>0</v>
      </c>
      <c r="E248" s="47">
        <f t="shared" si="17"/>
        <v>0</v>
      </c>
      <c r="F248" s="87">
        <v>0</v>
      </c>
      <c r="G248" s="47">
        <f t="shared" si="19"/>
        <v>0</v>
      </c>
      <c r="H248" s="88"/>
      <c r="I248" s="20"/>
      <c r="J248" s="82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+'14'!G249</f>
        <v>0</v>
      </c>
      <c r="D249" s="87">
        <v>0</v>
      </c>
      <c r="E249" s="47">
        <f t="shared" si="17"/>
        <v>0</v>
      </c>
      <c r="F249" s="87">
        <v>0</v>
      </c>
      <c r="G249" s="47">
        <f t="shared" si="19"/>
        <v>0</v>
      </c>
      <c r="H249" s="88"/>
      <c r="I249" s="20"/>
      <c r="J249" s="82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+'14'!G250</f>
        <v>0</v>
      </c>
      <c r="D250" s="87">
        <v>0</v>
      </c>
      <c r="E250" s="47">
        <f t="shared" si="17"/>
        <v>0</v>
      </c>
      <c r="F250" s="87">
        <v>0</v>
      </c>
      <c r="G250" s="47">
        <f t="shared" si="19"/>
        <v>0</v>
      </c>
      <c r="H250" s="88"/>
      <c r="I250" s="20"/>
      <c r="J250" s="82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+'14'!G251</f>
        <v>0</v>
      </c>
      <c r="D251" s="87">
        <v>0</v>
      </c>
      <c r="E251" s="47">
        <f t="shared" si="17"/>
        <v>0</v>
      </c>
      <c r="F251" s="87">
        <v>0</v>
      </c>
      <c r="G251" s="47">
        <f t="shared" si="19"/>
        <v>0</v>
      </c>
      <c r="H251" s="88"/>
      <c r="I251" s="20"/>
      <c r="J251" s="82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+'14'!G252</f>
        <v>0</v>
      </c>
      <c r="D252" s="87">
        <v>0</v>
      </c>
      <c r="E252" s="47">
        <f t="shared" si="17"/>
        <v>0</v>
      </c>
      <c r="F252" s="87">
        <v>0</v>
      </c>
      <c r="G252" s="47">
        <f t="shared" si="19"/>
        <v>0</v>
      </c>
      <c r="H252" s="88"/>
      <c r="I252" s="20"/>
      <c r="J252" s="82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+'14'!G253</f>
        <v>0</v>
      </c>
      <c r="D253" s="87">
        <v>0</v>
      </c>
      <c r="E253" s="47">
        <f t="shared" ref="E253:E254" si="21">C253+D253</f>
        <v>0</v>
      </c>
      <c r="F253" s="87">
        <v>0</v>
      </c>
      <c r="G253" s="47">
        <f t="shared" si="19"/>
        <v>0</v>
      </c>
      <c r="H253" s="88"/>
      <c r="I253" s="20"/>
      <c r="J253" s="82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+'14'!G254</f>
        <v>0</v>
      </c>
      <c r="D254" s="87">
        <v>0</v>
      </c>
      <c r="E254" s="47">
        <f t="shared" si="21"/>
        <v>0</v>
      </c>
      <c r="F254" s="87">
        <v>0</v>
      </c>
      <c r="G254" s="47">
        <f t="shared" si="19"/>
        <v>0</v>
      </c>
      <c r="H254" s="88"/>
      <c r="I254" s="20"/>
      <c r="J254" s="82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1735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3" t="s">
        <v>213</v>
      </c>
      <c r="N255" s="143"/>
    </row>
    <row r="256" spans="1:14" ht="25.5" customHeight="1" x14ac:dyDescent="0.5">
      <c r="A256" s="1"/>
      <c r="C256" s="24"/>
      <c r="D256" s="25"/>
      <c r="E256" s="24"/>
      <c r="F256" s="25"/>
      <c r="G256" s="24"/>
      <c r="H256" s="148" t="s">
        <v>212</v>
      </c>
      <c r="I256" s="149"/>
      <c r="J256" s="30">
        <f>+X138</f>
        <v>0</v>
      </c>
      <c r="K256" s="27"/>
      <c r="L256" s="29"/>
    </row>
    <row r="257" spans="1:15" ht="25.5" x14ac:dyDescent="0.55000000000000004">
      <c r="A257" s="1"/>
      <c r="C257" s="31"/>
      <c r="E257" s="31"/>
      <c r="G257" s="31"/>
      <c r="H257" s="32"/>
      <c r="I257" s="150" t="s">
        <v>202</v>
      </c>
      <c r="J257" s="150"/>
      <c r="K257" s="33">
        <f>SUM(J5:J256)</f>
        <v>1955</v>
      </c>
    </row>
    <row r="258" spans="1:15" ht="25.5" x14ac:dyDescent="0.55000000000000004">
      <c r="A258" s="1"/>
      <c r="C258" s="31"/>
      <c r="E258" s="31"/>
      <c r="G258" s="31"/>
      <c r="I258" s="140" t="s">
        <v>203</v>
      </c>
      <c r="J258" s="141"/>
      <c r="K258" s="36">
        <v>15</v>
      </c>
    </row>
    <row r="259" spans="1:15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570</v>
      </c>
      <c r="L259" s="2">
        <v>120</v>
      </c>
      <c r="M259" s="2">
        <v>300</v>
      </c>
      <c r="N259" s="2">
        <v>50</v>
      </c>
      <c r="O259" s="2">
        <v>100</v>
      </c>
    </row>
    <row r="260" spans="1:15" ht="25.5" x14ac:dyDescent="0.55000000000000004">
      <c r="A260" s="1"/>
      <c r="C260" s="31"/>
      <c r="E260" s="31"/>
      <c r="G260" s="31"/>
      <c r="I260" s="140" t="s">
        <v>205</v>
      </c>
      <c r="J260" s="141"/>
      <c r="K260" s="36">
        <v>0</v>
      </c>
    </row>
    <row r="261" spans="1:15" ht="25.5" x14ac:dyDescent="0.55000000000000004">
      <c r="A261" s="1"/>
      <c r="C261" s="31"/>
      <c r="E261" s="31"/>
      <c r="G261" s="31"/>
      <c r="I261" s="140" t="s">
        <v>206</v>
      </c>
      <c r="J261" s="141"/>
      <c r="K261" s="36">
        <v>0</v>
      </c>
    </row>
    <row r="262" spans="1:15" ht="25.5" x14ac:dyDescent="0.55000000000000004">
      <c r="A262" s="1"/>
      <c r="C262" s="31"/>
      <c r="E262" s="31"/>
      <c r="G262" s="31"/>
      <c r="I262" s="140" t="s">
        <v>207</v>
      </c>
      <c r="J262" s="141"/>
      <c r="K262" s="37">
        <f>SUM(L5:L255)</f>
        <v>220</v>
      </c>
    </row>
    <row r="263" spans="1:15" ht="25.5" x14ac:dyDescent="0.55000000000000004">
      <c r="A263" s="1"/>
      <c r="C263" s="31"/>
      <c r="E263" s="31"/>
      <c r="G263" s="31"/>
      <c r="I263" s="140" t="s">
        <v>208</v>
      </c>
      <c r="J263" s="141"/>
      <c r="K263" s="33">
        <f>K257-K258-K259-K261-K262</f>
        <v>1150</v>
      </c>
    </row>
    <row r="264" spans="1:15" ht="25.5" x14ac:dyDescent="0.55000000000000004">
      <c r="A264" s="1"/>
      <c r="C264" s="31"/>
      <c r="E264" s="31"/>
      <c r="G264" s="31"/>
      <c r="I264" s="140" t="s">
        <v>209</v>
      </c>
      <c r="J264" s="141"/>
      <c r="K264" s="37">
        <v>1150</v>
      </c>
    </row>
    <row r="265" spans="1:15" ht="25.5" x14ac:dyDescent="0.55000000000000004">
      <c r="A265" s="1"/>
      <c r="C265" s="31"/>
      <c r="E265" s="31"/>
      <c r="G265" s="31"/>
      <c r="I265" s="140" t="s">
        <v>210</v>
      </c>
      <c r="J265" s="141"/>
      <c r="K265" s="33">
        <f>+K264-K263</f>
        <v>0</v>
      </c>
    </row>
    <row r="266" spans="1:15" ht="25.5" x14ac:dyDescent="0.55000000000000004">
      <c r="G266" s="2"/>
      <c r="I266" s="140" t="s">
        <v>211</v>
      </c>
      <c r="J266" s="141"/>
      <c r="K266" s="33">
        <f>+K264-K263</f>
        <v>0</v>
      </c>
    </row>
    <row r="267" spans="1:15" x14ac:dyDescent="0.5">
      <c r="G267" s="2"/>
      <c r="I267" s="2"/>
    </row>
    <row r="268" spans="1:15" ht="25.5" x14ac:dyDescent="0.55000000000000004">
      <c r="G268" s="2"/>
      <c r="I268" s="105" t="s">
        <v>312</v>
      </c>
    </row>
    <row r="269" spans="1:15" x14ac:dyDescent="0.5">
      <c r="G269" s="2"/>
      <c r="I269" s="2"/>
    </row>
    <row r="270" spans="1:15" x14ac:dyDescent="0.5">
      <c r="G270" s="2"/>
      <c r="I270" s="2"/>
    </row>
    <row r="271" spans="1:15" x14ac:dyDescent="0.5">
      <c r="G271" s="2"/>
      <c r="I271" s="2"/>
    </row>
    <row r="272" spans="1:15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60611-4521-494B-BD1C-61047FA45098}">
  <sheetPr>
    <tabColor theme="7" tint="-0.249977111117893"/>
  </sheetPr>
  <dimension ref="A1:AB341"/>
  <sheetViews>
    <sheetView zoomScaleNormal="100" workbookViewId="0">
      <pane xSplit="7" ySplit="4" topLeftCell="H5" activePane="bottomRight" state="frozen"/>
      <selection activeCell="B20" sqref="B20"/>
      <selection pane="topRight" activeCell="B20" sqref="B20"/>
      <selection pane="bottomLeft" activeCell="B20" sqref="B20"/>
      <selection pane="bottomRight" activeCell="B20" sqref="B20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8" x14ac:dyDescent="0.5">
      <c r="A1" s="1"/>
      <c r="G1" s="2"/>
      <c r="I1" s="2"/>
    </row>
    <row r="2" spans="1:28" s="3" customFormat="1" ht="29.25" x14ac:dyDescent="0.6">
      <c r="A2" s="137" t="s">
        <v>247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8" s="5" customFormat="1" ht="26.25" x14ac:dyDescent="0.55000000000000004">
      <c r="A3" s="139" t="s">
        <v>1</v>
      </c>
      <c r="B3" s="151" t="s">
        <v>2</v>
      </c>
      <c r="C3" s="139" t="s">
        <v>3</v>
      </c>
      <c r="D3" s="139" t="s">
        <v>4</v>
      </c>
      <c r="E3" s="139" t="s">
        <v>5</v>
      </c>
      <c r="F3" s="85" t="s">
        <v>6</v>
      </c>
      <c r="G3" s="139" t="s">
        <v>7</v>
      </c>
      <c r="H3" s="142" t="s">
        <v>8</v>
      </c>
      <c r="I3" s="142"/>
      <c r="J3" s="142"/>
      <c r="K3" s="139" t="s">
        <v>9</v>
      </c>
      <c r="L3" s="144" t="s">
        <v>10</v>
      </c>
      <c r="O3" s="139" t="s">
        <v>1</v>
      </c>
      <c r="P3" s="139" t="s">
        <v>2</v>
      </c>
      <c r="Q3" s="139" t="s">
        <v>3</v>
      </c>
      <c r="R3" s="139" t="s">
        <v>4</v>
      </c>
      <c r="S3" s="139" t="s">
        <v>5</v>
      </c>
      <c r="T3" s="85" t="s">
        <v>6</v>
      </c>
      <c r="U3" s="139" t="s">
        <v>7</v>
      </c>
      <c r="V3" s="142" t="s">
        <v>8</v>
      </c>
      <c r="W3" s="142"/>
      <c r="X3" s="142"/>
      <c r="Y3" s="139" t="s">
        <v>9</v>
      </c>
      <c r="Z3" s="144" t="s">
        <v>10</v>
      </c>
    </row>
    <row r="4" spans="1:28" s="5" customFormat="1" ht="26.25" x14ac:dyDescent="0.55000000000000004">
      <c r="A4" s="139"/>
      <c r="B4" s="151"/>
      <c r="C4" s="139"/>
      <c r="D4" s="139"/>
      <c r="E4" s="139"/>
      <c r="F4" s="85" t="s">
        <v>11</v>
      </c>
      <c r="G4" s="139"/>
      <c r="H4" s="85" t="s">
        <v>12</v>
      </c>
      <c r="I4" s="86" t="s">
        <v>13</v>
      </c>
      <c r="J4" s="85" t="s">
        <v>14</v>
      </c>
      <c r="K4" s="139"/>
      <c r="L4" s="144"/>
      <c r="O4" s="139"/>
      <c r="P4" s="139"/>
      <c r="Q4" s="139"/>
      <c r="R4" s="139"/>
      <c r="S4" s="139"/>
      <c r="T4" s="85" t="s">
        <v>11</v>
      </c>
      <c r="U4" s="139"/>
      <c r="V4" s="85" t="s">
        <v>12</v>
      </c>
      <c r="W4" s="86" t="s">
        <v>13</v>
      </c>
      <c r="X4" s="85" t="s">
        <v>14</v>
      </c>
      <c r="Y4" s="139"/>
      <c r="Z4" s="144"/>
      <c r="AB4" s="5" t="s">
        <v>2</v>
      </c>
    </row>
    <row r="5" spans="1:28" ht="25.5" x14ac:dyDescent="0.55000000000000004">
      <c r="A5" s="10">
        <v>1</v>
      </c>
      <c r="B5" s="19" t="s">
        <v>15</v>
      </c>
      <c r="C5" s="79">
        <f>+'15'!G5</f>
        <v>19</v>
      </c>
      <c r="D5" s="87">
        <v>0</v>
      </c>
      <c r="E5" s="47">
        <f t="shared" ref="E5:E125" si="0">C5+D5</f>
        <v>19</v>
      </c>
      <c r="F5" s="87">
        <v>0</v>
      </c>
      <c r="G5" s="47">
        <f>+E5-F5-H5</f>
        <v>18</v>
      </c>
      <c r="H5" s="88">
        <v>1</v>
      </c>
      <c r="I5" s="15">
        <v>50</v>
      </c>
      <c r="J5" s="82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9"/>
      <c r="Q5" s="47">
        <v>0</v>
      </c>
      <c r="R5" s="87">
        <v>0</v>
      </c>
      <c r="S5" s="47">
        <f t="shared" ref="S5:S14" si="1">Q5+R5</f>
        <v>0</v>
      </c>
      <c r="T5" s="87">
        <v>0</v>
      </c>
      <c r="U5" s="47">
        <f t="shared" ref="U5:U14" si="2">S5-T5-V5</f>
        <v>0</v>
      </c>
      <c r="V5" s="88">
        <v>0</v>
      </c>
      <c r="W5" s="22"/>
      <c r="X5" s="44">
        <f t="shared" ref="X5:X14" si="3">V5*W5</f>
        <v>0</v>
      </c>
      <c r="Y5" s="17" t="s">
        <v>16</v>
      </c>
      <c r="Z5" s="18">
        <v>0</v>
      </c>
      <c r="AB5" s="2" t="s">
        <v>317</v>
      </c>
    </row>
    <row r="6" spans="1:28" ht="25.5" x14ac:dyDescent="0.55000000000000004">
      <c r="A6" s="10">
        <v>2</v>
      </c>
      <c r="B6" s="19" t="s">
        <v>17</v>
      </c>
      <c r="C6" s="79">
        <f>+'15'!G6</f>
        <v>27</v>
      </c>
      <c r="D6" s="87">
        <v>0</v>
      </c>
      <c r="E6" s="47">
        <f t="shared" si="0"/>
        <v>27</v>
      </c>
      <c r="F6" s="87">
        <v>0</v>
      </c>
      <c r="G6" s="47">
        <f t="shared" ref="G6:G100" si="4">+E6-F6-H6</f>
        <v>24</v>
      </c>
      <c r="H6" s="88">
        <v>3</v>
      </c>
      <c r="I6" s="15">
        <v>100</v>
      </c>
      <c r="J6" s="82">
        <f t="shared" ref="J6:J100" si="5">+I6*H6</f>
        <v>300</v>
      </c>
      <c r="K6" s="17" t="s">
        <v>16</v>
      </c>
      <c r="L6" s="18">
        <v>0</v>
      </c>
      <c r="M6" s="23">
        <f t="shared" ref="M6:M69" si="6">SUM(J6-L6)</f>
        <v>300</v>
      </c>
      <c r="O6" s="10">
        <v>2</v>
      </c>
      <c r="P6" s="19"/>
      <c r="Q6" s="47">
        <v>0</v>
      </c>
      <c r="R6" s="87">
        <v>0</v>
      </c>
      <c r="S6" s="47">
        <f t="shared" si="1"/>
        <v>0</v>
      </c>
      <c r="T6" s="87">
        <v>0</v>
      </c>
      <c r="U6" s="47">
        <f t="shared" si="2"/>
        <v>0</v>
      </c>
      <c r="V6" s="88">
        <v>0</v>
      </c>
      <c r="W6" s="22"/>
      <c r="X6" s="44">
        <f t="shared" si="3"/>
        <v>0</v>
      </c>
      <c r="Y6" s="17" t="s">
        <v>16</v>
      </c>
      <c r="Z6" s="18">
        <v>0</v>
      </c>
      <c r="AB6" s="2" t="s">
        <v>318</v>
      </c>
    </row>
    <row r="7" spans="1:28" ht="25.5" x14ac:dyDescent="0.55000000000000004">
      <c r="A7" s="10">
        <v>3</v>
      </c>
      <c r="B7" s="19" t="s">
        <v>18</v>
      </c>
      <c r="C7" s="79">
        <f>+'15'!G7</f>
        <v>0</v>
      </c>
      <c r="D7" s="87">
        <v>0</v>
      </c>
      <c r="E7" s="47">
        <f>C7+D7</f>
        <v>0</v>
      </c>
      <c r="F7" s="87">
        <v>0</v>
      </c>
      <c r="G7" s="47">
        <f t="shared" si="4"/>
        <v>0</v>
      </c>
      <c r="H7" s="88"/>
      <c r="I7" s="15">
        <v>50</v>
      </c>
      <c r="J7" s="8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7">
        <v>0</v>
      </c>
      <c r="S7" s="47">
        <f t="shared" si="1"/>
        <v>0</v>
      </c>
      <c r="T7" s="87">
        <v>0</v>
      </c>
      <c r="U7" s="47">
        <f t="shared" si="2"/>
        <v>0</v>
      </c>
      <c r="V7" s="88">
        <v>0</v>
      </c>
      <c r="W7" s="22"/>
      <c r="X7" s="44">
        <f t="shared" si="3"/>
        <v>0</v>
      </c>
      <c r="Y7" s="17" t="s">
        <v>16</v>
      </c>
      <c r="Z7" s="18">
        <v>0</v>
      </c>
      <c r="AB7" s="2" t="s">
        <v>319</v>
      </c>
    </row>
    <row r="8" spans="1:28" ht="25.5" x14ac:dyDescent="0.55000000000000004">
      <c r="A8" s="10">
        <v>4</v>
      </c>
      <c r="B8" s="19" t="s">
        <v>19</v>
      </c>
      <c r="C8" s="79">
        <f>+'15'!G8</f>
        <v>0</v>
      </c>
      <c r="D8" s="87">
        <v>0</v>
      </c>
      <c r="E8" s="47">
        <f>C8+D8</f>
        <v>0</v>
      </c>
      <c r="F8" s="87">
        <v>0</v>
      </c>
      <c r="G8" s="47">
        <f t="shared" si="4"/>
        <v>0</v>
      </c>
      <c r="H8" s="88"/>
      <c r="I8" s="15">
        <v>100</v>
      </c>
      <c r="J8" s="8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7">
        <v>0</v>
      </c>
      <c r="S8" s="47">
        <f t="shared" si="1"/>
        <v>0</v>
      </c>
      <c r="T8" s="87">
        <v>0</v>
      </c>
      <c r="U8" s="47">
        <f t="shared" si="2"/>
        <v>0</v>
      </c>
      <c r="V8" s="88">
        <v>0</v>
      </c>
      <c r="W8" s="22"/>
      <c r="X8" s="44">
        <f t="shared" si="3"/>
        <v>0</v>
      </c>
      <c r="Y8" s="17" t="s">
        <v>16</v>
      </c>
      <c r="Z8" s="18">
        <v>0</v>
      </c>
      <c r="AB8" s="2" t="s">
        <v>320</v>
      </c>
    </row>
    <row r="9" spans="1:28" ht="25.5" x14ac:dyDescent="0.55000000000000004">
      <c r="A9" s="10">
        <v>5</v>
      </c>
      <c r="B9" s="19" t="s">
        <v>20</v>
      </c>
      <c r="C9" s="79">
        <f>+'15'!G9</f>
        <v>0</v>
      </c>
      <c r="D9" s="87">
        <v>0</v>
      </c>
      <c r="E9" s="47">
        <f>C9+D9</f>
        <v>0</v>
      </c>
      <c r="F9" s="87">
        <v>0</v>
      </c>
      <c r="G9" s="47">
        <f t="shared" si="4"/>
        <v>0</v>
      </c>
      <c r="H9" s="88"/>
      <c r="I9" s="15">
        <v>12</v>
      </c>
      <c r="J9" s="8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7">
        <v>0</v>
      </c>
      <c r="S9" s="47">
        <f t="shared" si="1"/>
        <v>0</v>
      </c>
      <c r="T9" s="87">
        <v>0</v>
      </c>
      <c r="U9" s="47">
        <f t="shared" si="2"/>
        <v>0</v>
      </c>
      <c r="V9" s="88">
        <v>0</v>
      </c>
      <c r="W9" s="22"/>
      <c r="X9" s="44">
        <f t="shared" si="3"/>
        <v>0</v>
      </c>
      <c r="Y9" s="17" t="s">
        <v>16</v>
      </c>
      <c r="Z9" s="18">
        <v>0</v>
      </c>
      <c r="AB9" s="2" t="s">
        <v>307</v>
      </c>
    </row>
    <row r="10" spans="1:28" ht="25.5" x14ac:dyDescent="0.55000000000000004">
      <c r="A10" s="10">
        <v>6</v>
      </c>
      <c r="B10" s="19" t="s">
        <v>21</v>
      </c>
      <c r="C10" s="79">
        <f>+'15'!G10</f>
        <v>0</v>
      </c>
      <c r="D10" s="87">
        <v>0</v>
      </c>
      <c r="E10" s="47">
        <f>C10+D10</f>
        <v>0</v>
      </c>
      <c r="F10" s="87">
        <v>0</v>
      </c>
      <c r="G10" s="47">
        <f t="shared" si="4"/>
        <v>0</v>
      </c>
      <c r="H10" s="88"/>
      <c r="I10" s="15">
        <v>15</v>
      </c>
      <c r="J10" s="8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7">
        <v>0</v>
      </c>
      <c r="S10" s="47">
        <f t="shared" si="1"/>
        <v>0</v>
      </c>
      <c r="T10" s="87">
        <v>0</v>
      </c>
      <c r="U10" s="47">
        <f t="shared" si="2"/>
        <v>0</v>
      </c>
      <c r="V10" s="88">
        <v>0</v>
      </c>
      <c r="W10" s="22"/>
      <c r="X10" s="44">
        <f t="shared" si="3"/>
        <v>0</v>
      </c>
      <c r="Y10" s="17" t="s">
        <v>16</v>
      </c>
      <c r="Z10" s="18">
        <v>0</v>
      </c>
      <c r="AB10" s="2" t="s">
        <v>311</v>
      </c>
    </row>
    <row r="11" spans="1:28" ht="25.5" x14ac:dyDescent="0.55000000000000004">
      <c r="A11" s="10">
        <v>7</v>
      </c>
      <c r="B11" s="19" t="s">
        <v>22</v>
      </c>
      <c r="C11" s="79">
        <f>+'15'!G11</f>
        <v>0</v>
      </c>
      <c r="D11" s="87">
        <v>0</v>
      </c>
      <c r="E11" s="47">
        <f t="shared" si="0"/>
        <v>0</v>
      </c>
      <c r="F11" s="87">
        <v>0</v>
      </c>
      <c r="G11" s="47">
        <f t="shared" si="4"/>
        <v>0</v>
      </c>
      <c r="H11" s="88"/>
      <c r="I11" s="15">
        <v>40</v>
      </c>
      <c r="J11" s="8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7">
        <v>0</v>
      </c>
      <c r="S11" s="47">
        <f t="shared" si="1"/>
        <v>0</v>
      </c>
      <c r="T11" s="87">
        <v>0</v>
      </c>
      <c r="U11" s="47">
        <f t="shared" si="2"/>
        <v>0</v>
      </c>
      <c r="V11" s="88">
        <v>0</v>
      </c>
      <c r="W11" s="22"/>
      <c r="X11" s="44">
        <f t="shared" si="3"/>
        <v>0</v>
      </c>
      <c r="Y11" s="17" t="s">
        <v>16</v>
      </c>
      <c r="Z11" s="18">
        <v>0</v>
      </c>
      <c r="AB11" s="2" t="s">
        <v>321</v>
      </c>
    </row>
    <row r="12" spans="1:28" ht="25.5" x14ac:dyDescent="0.55000000000000004">
      <c r="A12" s="10">
        <v>8</v>
      </c>
      <c r="B12" s="19" t="s">
        <v>23</v>
      </c>
      <c r="C12" s="79">
        <f>+'15'!G12</f>
        <v>0</v>
      </c>
      <c r="D12" s="87">
        <v>0</v>
      </c>
      <c r="E12" s="47">
        <f t="shared" si="0"/>
        <v>0</v>
      </c>
      <c r="F12" s="87">
        <v>0</v>
      </c>
      <c r="G12" s="47">
        <f t="shared" si="4"/>
        <v>0</v>
      </c>
      <c r="H12" s="88"/>
      <c r="I12" s="20">
        <v>50</v>
      </c>
      <c r="J12" s="8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7">
        <v>0</v>
      </c>
      <c r="S12" s="47">
        <f t="shared" si="1"/>
        <v>0</v>
      </c>
      <c r="T12" s="87">
        <v>0</v>
      </c>
      <c r="U12" s="47">
        <f t="shared" si="2"/>
        <v>0</v>
      </c>
      <c r="V12" s="88">
        <v>0</v>
      </c>
      <c r="W12" s="22"/>
      <c r="X12" s="44">
        <f t="shared" si="3"/>
        <v>0</v>
      </c>
      <c r="Y12" s="17" t="s">
        <v>16</v>
      </c>
      <c r="Z12" s="18">
        <v>0</v>
      </c>
      <c r="AB12" s="2" t="s">
        <v>289</v>
      </c>
    </row>
    <row r="13" spans="1:28" ht="25.5" x14ac:dyDescent="0.55000000000000004">
      <c r="A13" s="10">
        <v>9</v>
      </c>
      <c r="B13" s="19" t="s">
        <v>24</v>
      </c>
      <c r="C13" s="79">
        <f>+'15'!G13</f>
        <v>0</v>
      </c>
      <c r="D13" s="87">
        <v>0</v>
      </c>
      <c r="E13" s="47">
        <f>C13+D13</f>
        <v>0</v>
      </c>
      <c r="F13" s="87">
        <v>0</v>
      </c>
      <c r="G13" s="47">
        <f t="shared" si="4"/>
        <v>0</v>
      </c>
      <c r="H13" s="88"/>
      <c r="I13" s="20">
        <v>55</v>
      </c>
      <c r="J13" s="8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7">
        <v>0</v>
      </c>
      <c r="S13" s="47">
        <f t="shared" si="1"/>
        <v>0</v>
      </c>
      <c r="T13" s="87">
        <v>0</v>
      </c>
      <c r="U13" s="47">
        <f t="shared" si="2"/>
        <v>0</v>
      </c>
      <c r="V13" s="88">
        <v>0</v>
      </c>
      <c r="W13" s="22"/>
      <c r="X13" s="44">
        <f t="shared" si="3"/>
        <v>0</v>
      </c>
      <c r="Y13" s="17" t="s">
        <v>16</v>
      </c>
      <c r="Z13" s="18">
        <v>0</v>
      </c>
      <c r="AB13" s="2" t="s">
        <v>322</v>
      </c>
    </row>
    <row r="14" spans="1:28" ht="25.5" x14ac:dyDescent="0.55000000000000004">
      <c r="A14" s="10">
        <v>10</v>
      </c>
      <c r="B14" s="19" t="s">
        <v>25</v>
      </c>
      <c r="C14" s="79">
        <f>+'15'!G14</f>
        <v>0</v>
      </c>
      <c r="D14" s="87">
        <v>0</v>
      </c>
      <c r="E14" s="47">
        <f t="shared" si="0"/>
        <v>0</v>
      </c>
      <c r="F14" s="87">
        <v>0</v>
      </c>
      <c r="G14" s="47">
        <f t="shared" si="4"/>
        <v>0</v>
      </c>
      <c r="H14" s="88"/>
      <c r="I14" s="20">
        <v>65</v>
      </c>
      <c r="J14" s="8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7">
        <v>0</v>
      </c>
      <c r="S14" s="47">
        <f t="shared" si="1"/>
        <v>0</v>
      </c>
      <c r="T14" s="87">
        <v>0</v>
      </c>
      <c r="U14" s="47">
        <f t="shared" si="2"/>
        <v>0</v>
      </c>
      <c r="V14" s="88">
        <v>0</v>
      </c>
      <c r="W14" s="22"/>
      <c r="X14" s="44">
        <f t="shared" si="3"/>
        <v>0</v>
      </c>
      <c r="Y14" s="17" t="s">
        <v>16</v>
      </c>
      <c r="Z14" s="18">
        <v>0</v>
      </c>
      <c r="AB14" s="2" t="s">
        <v>306</v>
      </c>
    </row>
    <row r="15" spans="1:28" ht="25.5" x14ac:dyDescent="0.55000000000000004">
      <c r="A15" s="10">
        <v>11</v>
      </c>
      <c r="B15" s="19" t="s">
        <v>26</v>
      </c>
      <c r="C15" s="79">
        <f>+'15'!G15</f>
        <v>0</v>
      </c>
      <c r="D15" s="87">
        <v>0</v>
      </c>
      <c r="E15" s="47">
        <f t="shared" si="0"/>
        <v>0</v>
      </c>
      <c r="F15" s="87">
        <v>0</v>
      </c>
      <c r="G15" s="47">
        <f t="shared" si="4"/>
        <v>0</v>
      </c>
      <c r="H15" s="88"/>
      <c r="I15" s="20">
        <v>50</v>
      </c>
      <c r="J15" s="8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7">
        <v>0</v>
      </c>
      <c r="S15" s="47">
        <f t="shared" ref="S15:S29" si="7">Q15+R15</f>
        <v>0</v>
      </c>
      <c r="T15" s="87">
        <v>0</v>
      </c>
      <c r="U15" s="47">
        <f t="shared" ref="U15:U29" si="8">S15-T15-V15</f>
        <v>0</v>
      </c>
      <c r="V15" s="88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8" ht="25.5" x14ac:dyDescent="0.55000000000000004">
      <c r="A16" s="10">
        <v>12</v>
      </c>
      <c r="B16" s="19" t="s">
        <v>27</v>
      </c>
      <c r="C16" s="79">
        <f>+'15'!G16</f>
        <v>0</v>
      </c>
      <c r="D16" s="87">
        <v>0</v>
      </c>
      <c r="E16" s="47">
        <f t="shared" si="0"/>
        <v>0</v>
      </c>
      <c r="F16" s="87">
        <v>0</v>
      </c>
      <c r="G16" s="47">
        <f t="shared" si="4"/>
        <v>0</v>
      </c>
      <c r="H16" s="88"/>
      <c r="I16" s="15">
        <v>50</v>
      </c>
      <c r="J16" s="8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7">
        <v>0</v>
      </c>
      <c r="S16" s="47">
        <f t="shared" si="7"/>
        <v>0</v>
      </c>
      <c r="T16" s="87">
        <v>0</v>
      </c>
      <c r="U16" s="47">
        <f t="shared" si="8"/>
        <v>0</v>
      </c>
      <c r="V16" s="88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+'15'!G17</f>
        <v>0</v>
      </c>
      <c r="D17" s="87">
        <v>0</v>
      </c>
      <c r="E17" s="47">
        <f t="shared" si="0"/>
        <v>0</v>
      </c>
      <c r="F17" s="87">
        <v>0</v>
      </c>
      <c r="G17" s="47">
        <f t="shared" si="4"/>
        <v>0</v>
      </c>
      <c r="H17" s="88"/>
      <c r="I17" s="15">
        <v>50</v>
      </c>
      <c r="J17" s="8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7">
        <v>0</v>
      </c>
      <c r="S17" s="47">
        <f t="shared" si="7"/>
        <v>0</v>
      </c>
      <c r="T17" s="87">
        <v>0</v>
      </c>
      <c r="U17" s="47">
        <f t="shared" si="8"/>
        <v>0</v>
      </c>
      <c r="V17" s="88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+'15'!G18</f>
        <v>0</v>
      </c>
      <c r="D18" s="87">
        <v>0</v>
      </c>
      <c r="E18" s="47">
        <f t="shared" si="0"/>
        <v>0</v>
      </c>
      <c r="F18" s="87">
        <v>0</v>
      </c>
      <c r="G18" s="47">
        <f t="shared" si="4"/>
        <v>0</v>
      </c>
      <c r="H18" s="88"/>
      <c r="I18" s="20">
        <v>50</v>
      </c>
      <c r="J18" s="8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7">
        <v>0</v>
      </c>
      <c r="S18" s="47">
        <f t="shared" si="7"/>
        <v>0</v>
      </c>
      <c r="T18" s="87">
        <v>0</v>
      </c>
      <c r="U18" s="47">
        <f t="shared" si="8"/>
        <v>0</v>
      </c>
      <c r="V18" s="88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329</v>
      </c>
      <c r="C19" s="79">
        <f>+'15'!G19</f>
        <v>0</v>
      </c>
      <c r="D19" s="87">
        <v>0</v>
      </c>
      <c r="E19" s="47">
        <f t="shared" si="0"/>
        <v>0</v>
      </c>
      <c r="F19" s="87">
        <v>0</v>
      </c>
      <c r="G19" s="47">
        <f t="shared" si="4"/>
        <v>0</v>
      </c>
      <c r="H19" s="88"/>
      <c r="I19" s="15">
        <v>50</v>
      </c>
      <c r="J19" s="8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7">
        <v>0</v>
      </c>
      <c r="S19" s="47">
        <f t="shared" si="7"/>
        <v>0</v>
      </c>
      <c r="T19" s="87">
        <v>0</v>
      </c>
      <c r="U19" s="47">
        <f t="shared" si="8"/>
        <v>0</v>
      </c>
      <c r="V19" s="88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+'15'!G20</f>
        <v>0</v>
      </c>
      <c r="D20" s="87">
        <v>0</v>
      </c>
      <c r="E20" s="47">
        <f t="shared" si="0"/>
        <v>0</v>
      </c>
      <c r="F20" s="87">
        <v>0</v>
      </c>
      <c r="G20" s="47">
        <f t="shared" si="4"/>
        <v>0</v>
      </c>
      <c r="H20" s="88"/>
      <c r="I20" s="15">
        <v>50</v>
      </c>
      <c r="J20" s="8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7">
        <v>0</v>
      </c>
      <c r="S20" s="47">
        <f t="shared" si="7"/>
        <v>0</v>
      </c>
      <c r="T20" s="87">
        <v>0</v>
      </c>
      <c r="U20" s="47">
        <f t="shared" si="8"/>
        <v>0</v>
      </c>
      <c r="V20" s="88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+'15'!G21</f>
        <v>0</v>
      </c>
      <c r="D21" s="87">
        <v>0</v>
      </c>
      <c r="E21" s="47">
        <f t="shared" si="0"/>
        <v>0</v>
      </c>
      <c r="F21" s="87">
        <v>0</v>
      </c>
      <c r="G21" s="47">
        <f t="shared" si="4"/>
        <v>0</v>
      </c>
      <c r="H21" s="88"/>
      <c r="I21" s="15">
        <v>50</v>
      </c>
      <c r="J21" s="8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7">
        <v>0</v>
      </c>
      <c r="S21" s="47">
        <f t="shared" si="7"/>
        <v>0</v>
      </c>
      <c r="T21" s="87">
        <v>0</v>
      </c>
      <c r="U21" s="47">
        <f t="shared" si="8"/>
        <v>0</v>
      </c>
      <c r="V21" s="88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+'15'!G22</f>
        <v>7</v>
      </c>
      <c r="D22" s="87">
        <v>0</v>
      </c>
      <c r="E22" s="47">
        <f t="shared" si="0"/>
        <v>7</v>
      </c>
      <c r="F22" s="87">
        <v>0</v>
      </c>
      <c r="G22" s="47">
        <f t="shared" si="4"/>
        <v>6</v>
      </c>
      <c r="H22" s="88">
        <v>1</v>
      </c>
      <c r="I22" s="15">
        <v>85</v>
      </c>
      <c r="J22" s="82">
        <f t="shared" si="5"/>
        <v>85</v>
      </c>
      <c r="K22" s="17" t="s">
        <v>16</v>
      </c>
      <c r="L22" s="18">
        <v>0</v>
      </c>
      <c r="M22" s="23">
        <f t="shared" si="6"/>
        <v>85</v>
      </c>
      <c r="O22" s="10">
        <v>18</v>
      </c>
      <c r="P22" s="19"/>
      <c r="Q22" s="47">
        <v>0</v>
      </c>
      <c r="R22" s="87">
        <v>0</v>
      </c>
      <c r="S22" s="47">
        <f t="shared" si="7"/>
        <v>0</v>
      </c>
      <c r="T22" s="87">
        <v>0</v>
      </c>
      <c r="U22" s="47">
        <f t="shared" si="8"/>
        <v>0</v>
      </c>
      <c r="V22" s="88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+'15'!G23</f>
        <v>5</v>
      </c>
      <c r="D23" s="87">
        <v>0</v>
      </c>
      <c r="E23" s="47">
        <f t="shared" si="0"/>
        <v>5</v>
      </c>
      <c r="F23" s="87">
        <v>0</v>
      </c>
      <c r="G23" s="47">
        <f t="shared" si="4"/>
        <v>5</v>
      </c>
      <c r="H23" s="88"/>
      <c r="I23" s="15">
        <v>100</v>
      </c>
      <c r="J23" s="8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v>0</v>
      </c>
      <c r="R23" s="87">
        <v>0</v>
      </c>
      <c r="S23" s="47">
        <f t="shared" si="7"/>
        <v>0</v>
      </c>
      <c r="T23" s="87">
        <v>0</v>
      </c>
      <c r="U23" s="47">
        <f t="shared" si="8"/>
        <v>0</v>
      </c>
      <c r="V23" s="88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+'15'!G24</f>
        <v>5</v>
      </c>
      <c r="D24" s="87">
        <v>0</v>
      </c>
      <c r="E24" s="47">
        <f t="shared" si="0"/>
        <v>5</v>
      </c>
      <c r="F24" s="87">
        <v>0</v>
      </c>
      <c r="G24" s="47">
        <f t="shared" si="4"/>
        <v>5</v>
      </c>
      <c r="H24" s="88"/>
      <c r="I24" s="21">
        <v>100</v>
      </c>
      <c r="J24" s="8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7">
        <v>0</v>
      </c>
      <c r="S24" s="47">
        <f t="shared" si="7"/>
        <v>0</v>
      </c>
      <c r="T24" s="87">
        <v>0</v>
      </c>
      <c r="U24" s="47">
        <f t="shared" si="8"/>
        <v>0</v>
      </c>
      <c r="V24" s="88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+'15'!G25</f>
        <v>0</v>
      </c>
      <c r="D25" s="87">
        <v>0</v>
      </c>
      <c r="E25" s="47">
        <f t="shared" si="0"/>
        <v>0</v>
      </c>
      <c r="F25" s="87">
        <v>0</v>
      </c>
      <c r="G25" s="47">
        <f t="shared" si="4"/>
        <v>0</v>
      </c>
      <c r="H25" s="88"/>
      <c r="I25" s="21">
        <v>100</v>
      </c>
      <c r="J25" s="8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7">
        <v>0</v>
      </c>
      <c r="S25" s="47">
        <f t="shared" si="7"/>
        <v>0</v>
      </c>
      <c r="T25" s="87">
        <v>0</v>
      </c>
      <c r="U25" s="47">
        <f t="shared" si="8"/>
        <v>0</v>
      </c>
      <c r="V25" s="88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+'15'!G26</f>
        <v>0</v>
      </c>
      <c r="D26" s="87">
        <v>0</v>
      </c>
      <c r="E26" s="47">
        <f t="shared" si="0"/>
        <v>0</v>
      </c>
      <c r="F26" s="87">
        <v>0</v>
      </c>
      <c r="G26" s="47">
        <f t="shared" si="4"/>
        <v>0</v>
      </c>
      <c r="H26" s="88"/>
      <c r="I26" s="21">
        <v>100</v>
      </c>
      <c r="J26" s="8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7">
        <v>0</v>
      </c>
      <c r="S26" s="47">
        <f t="shared" si="7"/>
        <v>0</v>
      </c>
      <c r="T26" s="87">
        <v>0</v>
      </c>
      <c r="U26" s="47">
        <f t="shared" si="8"/>
        <v>0</v>
      </c>
      <c r="V26" s="88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+'15'!G27</f>
        <v>0</v>
      </c>
      <c r="D27" s="87">
        <v>0</v>
      </c>
      <c r="E27" s="47">
        <f t="shared" si="0"/>
        <v>0</v>
      </c>
      <c r="F27" s="87">
        <v>0</v>
      </c>
      <c r="G27" s="47">
        <f t="shared" si="4"/>
        <v>0</v>
      </c>
      <c r="H27" s="88"/>
      <c r="I27" s="20">
        <v>100</v>
      </c>
      <c r="J27" s="8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7">
        <v>0</v>
      </c>
      <c r="S27" s="47">
        <f t="shared" si="7"/>
        <v>0</v>
      </c>
      <c r="T27" s="87">
        <v>0</v>
      </c>
      <c r="U27" s="47">
        <f t="shared" si="8"/>
        <v>0</v>
      </c>
      <c r="V27" s="88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+'15'!G28</f>
        <v>0</v>
      </c>
      <c r="D28" s="87">
        <v>0</v>
      </c>
      <c r="E28" s="47">
        <f t="shared" si="0"/>
        <v>0</v>
      </c>
      <c r="F28" s="87">
        <v>0</v>
      </c>
      <c r="G28" s="47">
        <f t="shared" si="4"/>
        <v>0</v>
      </c>
      <c r="H28" s="88"/>
      <c r="I28" s="20">
        <v>100</v>
      </c>
      <c r="J28" s="8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7">
        <v>0</v>
      </c>
      <c r="S28" s="47">
        <f t="shared" si="7"/>
        <v>0</v>
      </c>
      <c r="T28" s="87">
        <v>0</v>
      </c>
      <c r="U28" s="47">
        <f t="shared" si="8"/>
        <v>0</v>
      </c>
      <c r="V28" s="88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+'15'!G29</f>
        <v>3</v>
      </c>
      <c r="D29" s="87">
        <v>0</v>
      </c>
      <c r="E29" s="47">
        <f t="shared" si="0"/>
        <v>3</v>
      </c>
      <c r="F29" s="87">
        <v>0</v>
      </c>
      <c r="G29" s="47">
        <f t="shared" si="4"/>
        <v>2</v>
      </c>
      <c r="H29" s="88">
        <v>1</v>
      </c>
      <c r="I29" s="15">
        <v>100</v>
      </c>
      <c r="J29" s="82">
        <f t="shared" si="5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47">
        <v>0</v>
      </c>
      <c r="R29" s="87">
        <v>0</v>
      </c>
      <c r="S29" s="47">
        <f t="shared" si="7"/>
        <v>0</v>
      </c>
      <c r="T29" s="87">
        <v>0</v>
      </c>
      <c r="U29" s="47">
        <f t="shared" si="8"/>
        <v>0</v>
      </c>
      <c r="V29" s="88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+'15'!G30</f>
        <v>0</v>
      </c>
      <c r="D30" s="87">
        <v>0</v>
      </c>
      <c r="E30" s="47">
        <f t="shared" si="0"/>
        <v>0</v>
      </c>
      <c r="F30" s="87">
        <v>0</v>
      </c>
      <c r="G30" s="47">
        <f t="shared" si="4"/>
        <v>0</v>
      </c>
      <c r="H30" s="88"/>
      <c r="I30" s="15">
        <v>100</v>
      </c>
      <c r="J30" s="8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+'15'!G31</f>
        <v>1</v>
      </c>
      <c r="D31" s="87">
        <v>0</v>
      </c>
      <c r="E31" s="47">
        <f t="shared" si="0"/>
        <v>1</v>
      </c>
      <c r="F31" s="87">
        <v>0</v>
      </c>
      <c r="G31" s="47">
        <f t="shared" si="4"/>
        <v>1</v>
      </c>
      <c r="H31" s="88"/>
      <c r="I31" s="15">
        <v>100</v>
      </c>
      <c r="J31" s="82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+'15'!G32</f>
        <v>0</v>
      </c>
      <c r="D32" s="87">
        <v>0</v>
      </c>
      <c r="E32" s="47">
        <f t="shared" si="0"/>
        <v>0</v>
      </c>
      <c r="F32" s="87">
        <v>0</v>
      </c>
      <c r="G32" s="47">
        <f t="shared" si="4"/>
        <v>0</v>
      </c>
      <c r="H32" s="88"/>
      <c r="I32" s="15">
        <v>130</v>
      </c>
      <c r="J32" s="82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5" t="s">
        <v>119</v>
      </c>
      <c r="Q32" s="146"/>
      <c r="R32" s="146"/>
      <c r="S32" s="146"/>
      <c r="T32" s="146"/>
      <c r="U32" s="146"/>
      <c r="V32" s="146"/>
      <c r="W32" s="147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+'15'!G33</f>
        <v>12</v>
      </c>
      <c r="D33" s="87">
        <v>0</v>
      </c>
      <c r="E33" s="47">
        <f t="shared" si="0"/>
        <v>12</v>
      </c>
      <c r="F33" s="87">
        <v>0</v>
      </c>
      <c r="G33" s="47">
        <f t="shared" si="4"/>
        <v>12</v>
      </c>
      <c r="H33" s="88"/>
      <c r="I33" s="15">
        <v>130</v>
      </c>
      <c r="J33" s="82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+'15'!G34</f>
        <v>15</v>
      </c>
      <c r="D34" s="87">
        <v>0</v>
      </c>
      <c r="E34" s="47">
        <f t="shared" si="0"/>
        <v>15</v>
      </c>
      <c r="F34" s="87">
        <v>0</v>
      </c>
      <c r="G34" s="47">
        <f t="shared" si="4"/>
        <v>15</v>
      </c>
      <c r="H34" s="88"/>
      <c r="I34" s="15">
        <v>130</v>
      </c>
      <c r="J34" s="82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+'15'!G35</f>
        <v>0</v>
      </c>
      <c r="D35" s="87">
        <v>0</v>
      </c>
      <c r="E35" s="47">
        <f t="shared" si="0"/>
        <v>0</v>
      </c>
      <c r="F35" s="87">
        <v>0</v>
      </c>
      <c r="G35" s="47">
        <f t="shared" si="4"/>
        <v>0</v>
      </c>
      <c r="H35" s="88"/>
      <c r="I35" s="15">
        <v>130</v>
      </c>
      <c r="J35" s="82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+'15'!G36</f>
        <v>0</v>
      </c>
      <c r="D36" s="87">
        <v>0</v>
      </c>
      <c r="E36" s="47">
        <f t="shared" si="0"/>
        <v>0</v>
      </c>
      <c r="F36" s="87">
        <v>0</v>
      </c>
      <c r="G36" s="47">
        <f t="shared" si="4"/>
        <v>0</v>
      </c>
      <c r="H36" s="88"/>
      <c r="I36" s="15">
        <v>100</v>
      </c>
      <c r="J36" s="82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+'15'!G37</f>
        <v>0</v>
      </c>
      <c r="D37" s="87">
        <v>0</v>
      </c>
      <c r="E37" s="47">
        <f t="shared" si="0"/>
        <v>0</v>
      </c>
      <c r="F37" s="87">
        <v>0</v>
      </c>
      <c r="G37" s="47">
        <f t="shared" si="4"/>
        <v>0</v>
      </c>
      <c r="H37" s="88"/>
      <c r="I37" s="15">
        <v>100</v>
      </c>
      <c r="J37" s="82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 t="s">
        <v>49</v>
      </c>
      <c r="C38" s="79">
        <f>+'15'!G38</f>
        <v>7</v>
      </c>
      <c r="D38" s="87">
        <v>0</v>
      </c>
      <c r="E38" s="47">
        <f t="shared" si="0"/>
        <v>7</v>
      </c>
      <c r="F38" s="87">
        <v>0</v>
      </c>
      <c r="G38" s="47">
        <f t="shared" si="4"/>
        <v>5</v>
      </c>
      <c r="H38" s="88">
        <v>2</v>
      </c>
      <c r="I38" s="15">
        <v>50</v>
      </c>
      <c r="J38" s="82">
        <f t="shared" si="5"/>
        <v>100</v>
      </c>
      <c r="K38" s="17" t="s">
        <v>16</v>
      </c>
      <c r="L38" s="18">
        <v>0</v>
      </c>
      <c r="M38" s="23">
        <f t="shared" si="6"/>
        <v>100</v>
      </c>
    </row>
    <row r="39" spans="1:13" ht="25.5" x14ac:dyDescent="0.55000000000000004">
      <c r="A39" s="10">
        <v>35</v>
      </c>
      <c r="B39" s="19" t="s">
        <v>50</v>
      </c>
      <c r="C39" s="79">
        <f>+'15'!G39</f>
        <v>8</v>
      </c>
      <c r="D39" s="87">
        <v>0</v>
      </c>
      <c r="E39" s="47">
        <f t="shared" si="0"/>
        <v>8</v>
      </c>
      <c r="F39" s="87">
        <v>0</v>
      </c>
      <c r="G39" s="47">
        <f t="shared" si="4"/>
        <v>8</v>
      </c>
      <c r="H39" s="88"/>
      <c r="I39" s="15">
        <v>50</v>
      </c>
      <c r="J39" s="82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+'15'!G40</f>
        <v>10</v>
      </c>
      <c r="D40" s="87">
        <v>0</v>
      </c>
      <c r="E40" s="47">
        <f t="shared" si="0"/>
        <v>10</v>
      </c>
      <c r="F40" s="87">
        <v>0</v>
      </c>
      <c r="G40" s="47">
        <f t="shared" si="4"/>
        <v>9</v>
      </c>
      <c r="H40" s="88">
        <v>1</v>
      </c>
      <c r="I40" s="15">
        <v>50</v>
      </c>
      <c r="J40" s="82">
        <f t="shared" si="5"/>
        <v>50</v>
      </c>
      <c r="K40" s="17" t="s">
        <v>16</v>
      </c>
      <c r="L40" s="18">
        <v>0</v>
      </c>
      <c r="M40" s="23">
        <f t="shared" si="6"/>
        <v>50</v>
      </c>
    </row>
    <row r="41" spans="1:13" ht="25.5" x14ac:dyDescent="0.55000000000000004">
      <c r="A41" s="10">
        <v>37</v>
      </c>
      <c r="B41" s="19" t="s">
        <v>52</v>
      </c>
      <c r="C41" s="79">
        <f>+'15'!G41</f>
        <v>0</v>
      </c>
      <c r="D41" s="87">
        <v>0</v>
      </c>
      <c r="E41" s="47">
        <f t="shared" si="0"/>
        <v>0</v>
      </c>
      <c r="F41" s="87">
        <v>0</v>
      </c>
      <c r="G41" s="47">
        <f t="shared" si="4"/>
        <v>0</v>
      </c>
      <c r="H41" s="88"/>
      <c r="I41" s="15">
        <v>50</v>
      </c>
      <c r="J41" s="82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285</v>
      </c>
      <c r="C42" s="79">
        <f>+'15'!G42</f>
        <v>0</v>
      </c>
      <c r="D42" s="87">
        <v>0</v>
      </c>
      <c r="E42" s="47">
        <f t="shared" si="0"/>
        <v>0</v>
      </c>
      <c r="F42" s="87">
        <v>0</v>
      </c>
      <c r="G42" s="47">
        <f t="shared" si="4"/>
        <v>0</v>
      </c>
      <c r="H42" s="88"/>
      <c r="I42" s="15">
        <v>50</v>
      </c>
      <c r="J42" s="82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+'15'!G43</f>
        <v>0</v>
      </c>
      <c r="D43" s="87">
        <v>0</v>
      </c>
      <c r="E43" s="47">
        <f t="shared" si="0"/>
        <v>0</v>
      </c>
      <c r="F43" s="87">
        <v>0</v>
      </c>
      <c r="G43" s="47">
        <f t="shared" si="4"/>
        <v>0</v>
      </c>
      <c r="H43" s="88"/>
      <c r="I43" s="15">
        <v>50</v>
      </c>
      <c r="J43" s="82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+'15'!G44</f>
        <v>0</v>
      </c>
      <c r="D44" s="87">
        <v>0</v>
      </c>
      <c r="E44" s="47">
        <f t="shared" si="0"/>
        <v>0</v>
      </c>
      <c r="F44" s="87">
        <v>0</v>
      </c>
      <c r="G44" s="47">
        <f t="shared" si="4"/>
        <v>0</v>
      </c>
      <c r="H44" s="88"/>
      <c r="I44" s="15">
        <v>50</v>
      </c>
      <c r="J44" s="82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+'15'!G45</f>
        <v>0</v>
      </c>
      <c r="D45" s="87">
        <v>0</v>
      </c>
      <c r="E45" s="47">
        <f t="shared" si="0"/>
        <v>0</v>
      </c>
      <c r="F45" s="87">
        <v>0</v>
      </c>
      <c r="G45" s="47">
        <f t="shared" si="4"/>
        <v>0</v>
      </c>
      <c r="H45" s="88"/>
      <c r="I45" s="15">
        <v>50</v>
      </c>
      <c r="J45" s="82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286</v>
      </c>
      <c r="C46" s="79">
        <f>+'15'!G46</f>
        <v>0</v>
      </c>
      <c r="D46" s="87">
        <v>0</v>
      </c>
      <c r="E46" s="47">
        <f t="shared" si="0"/>
        <v>0</v>
      </c>
      <c r="F46" s="87">
        <v>0</v>
      </c>
      <c r="G46" s="47">
        <f t="shared" si="4"/>
        <v>0</v>
      </c>
      <c r="H46" s="88"/>
      <c r="I46" s="15">
        <v>50</v>
      </c>
      <c r="J46" s="82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+'15'!G47</f>
        <v>0</v>
      </c>
      <c r="D47" s="87">
        <v>0</v>
      </c>
      <c r="E47" s="47">
        <f t="shared" si="0"/>
        <v>0</v>
      </c>
      <c r="F47" s="87">
        <v>0</v>
      </c>
      <c r="G47" s="47">
        <f t="shared" si="4"/>
        <v>0</v>
      </c>
      <c r="H47" s="88"/>
      <c r="I47" s="15">
        <v>50</v>
      </c>
      <c r="J47" s="82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+'15'!G48</f>
        <v>0</v>
      </c>
      <c r="D48" s="87">
        <v>0</v>
      </c>
      <c r="E48" s="47">
        <f t="shared" si="0"/>
        <v>0</v>
      </c>
      <c r="F48" s="87">
        <v>0</v>
      </c>
      <c r="G48" s="47">
        <f t="shared" si="4"/>
        <v>0</v>
      </c>
      <c r="H48" s="88"/>
      <c r="I48" s="15">
        <v>50</v>
      </c>
      <c r="J48" s="82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+'15'!G49</f>
        <v>1</v>
      </c>
      <c r="D49" s="87">
        <v>0</v>
      </c>
      <c r="E49" s="47">
        <f t="shared" si="0"/>
        <v>1</v>
      </c>
      <c r="F49" s="87">
        <v>0</v>
      </c>
      <c r="G49" s="47">
        <f t="shared" si="4"/>
        <v>1</v>
      </c>
      <c r="H49" s="88"/>
      <c r="I49" s="15">
        <v>50</v>
      </c>
      <c r="J49" s="82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+'15'!G50</f>
        <v>2</v>
      </c>
      <c r="D50" s="87">
        <v>0</v>
      </c>
      <c r="E50" s="47">
        <f t="shared" si="0"/>
        <v>2</v>
      </c>
      <c r="F50" s="87">
        <v>0</v>
      </c>
      <c r="G50" s="47">
        <f t="shared" si="4"/>
        <v>2</v>
      </c>
      <c r="H50" s="88"/>
      <c r="I50" s="15">
        <v>120</v>
      </c>
      <c r="J50" s="82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+'15'!G51</f>
        <v>0</v>
      </c>
      <c r="D51" s="87">
        <v>0</v>
      </c>
      <c r="E51" s="47">
        <f t="shared" si="0"/>
        <v>0</v>
      </c>
      <c r="F51" s="87">
        <v>0</v>
      </c>
      <c r="G51" s="47">
        <f t="shared" si="4"/>
        <v>0</v>
      </c>
      <c r="H51" s="88"/>
      <c r="I51" s="15">
        <v>120</v>
      </c>
      <c r="J51" s="82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+'15'!G52</f>
        <v>0</v>
      </c>
      <c r="D52" s="87">
        <v>0</v>
      </c>
      <c r="E52" s="47">
        <f t="shared" si="0"/>
        <v>0</v>
      </c>
      <c r="F52" s="87">
        <v>0</v>
      </c>
      <c r="G52" s="47">
        <f t="shared" si="4"/>
        <v>0</v>
      </c>
      <c r="H52" s="88"/>
      <c r="I52" s="21">
        <v>120</v>
      </c>
      <c r="J52" s="82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+'15'!G53</f>
        <v>0</v>
      </c>
      <c r="D53" s="87">
        <v>0</v>
      </c>
      <c r="E53" s="47">
        <f t="shared" si="0"/>
        <v>0</v>
      </c>
      <c r="F53" s="87">
        <v>0</v>
      </c>
      <c r="G53" s="47">
        <f t="shared" si="4"/>
        <v>0</v>
      </c>
      <c r="H53" s="88"/>
      <c r="I53" s="15">
        <v>120</v>
      </c>
      <c r="J53" s="82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+'15'!G54</f>
        <v>0</v>
      </c>
      <c r="D54" s="87">
        <v>0</v>
      </c>
      <c r="E54" s="47">
        <f t="shared" si="0"/>
        <v>0</v>
      </c>
      <c r="F54" s="87">
        <v>0</v>
      </c>
      <c r="G54" s="47">
        <f t="shared" si="4"/>
        <v>0</v>
      </c>
      <c r="H54" s="88"/>
      <c r="I54" s="15">
        <v>120</v>
      </c>
      <c r="J54" s="82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+'15'!G55</f>
        <v>0</v>
      </c>
      <c r="D55" s="87">
        <v>0</v>
      </c>
      <c r="E55" s="47">
        <f t="shared" si="0"/>
        <v>0</v>
      </c>
      <c r="F55" s="87">
        <v>0</v>
      </c>
      <c r="G55" s="47">
        <f t="shared" si="4"/>
        <v>0</v>
      </c>
      <c r="H55" s="88"/>
      <c r="I55" s="21">
        <v>120</v>
      </c>
      <c r="J55" s="82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+'15'!G56</f>
        <v>0</v>
      </c>
      <c r="D56" s="87">
        <v>0</v>
      </c>
      <c r="E56" s="47">
        <f t="shared" si="0"/>
        <v>0</v>
      </c>
      <c r="F56" s="87">
        <v>0</v>
      </c>
      <c r="G56" s="47">
        <f t="shared" si="4"/>
        <v>0</v>
      </c>
      <c r="H56" s="88"/>
      <c r="I56" s="21">
        <v>120</v>
      </c>
      <c r="J56" s="82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+'15'!G57</f>
        <v>0</v>
      </c>
      <c r="D57" s="87">
        <v>0</v>
      </c>
      <c r="E57" s="47">
        <f t="shared" si="0"/>
        <v>0</v>
      </c>
      <c r="F57" s="87">
        <v>0</v>
      </c>
      <c r="G57" s="47">
        <f t="shared" si="4"/>
        <v>0</v>
      </c>
      <c r="H57" s="88"/>
      <c r="I57" s="21">
        <v>120</v>
      </c>
      <c r="J57" s="82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+'15'!G58</f>
        <v>0</v>
      </c>
      <c r="D58" s="87">
        <v>0</v>
      </c>
      <c r="E58" s="47">
        <f t="shared" si="0"/>
        <v>0</v>
      </c>
      <c r="F58" s="87">
        <v>0</v>
      </c>
      <c r="G58" s="47">
        <f t="shared" si="4"/>
        <v>0</v>
      </c>
      <c r="H58" s="88"/>
      <c r="I58" s="21">
        <v>120</v>
      </c>
      <c r="J58" s="82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+'15'!G59</f>
        <v>0</v>
      </c>
      <c r="D59" s="87">
        <v>0</v>
      </c>
      <c r="E59" s="47">
        <f t="shared" si="0"/>
        <v>0</v>
      </c>
      <c r="F59" s="87">
        <v>0</v>
      </c>
      <c r="G59" s="47">
        <f t="shared" si="4"/>
        <v>0</v>
      </c>
      <c r="H59" s="88"/>
      <c r="I59" s="15">
        <v>70</v>
      </c>
      <c r="J59" s="82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+'15'!G60</f>
        <v>0</v>
      </c>
      <c r="D60" s="87">
        <v>0</v>
      </c>
      <c r="E60" s="47">
        <f t="shared" si="0"/>
        <v>0</v>
      </c>
      <c r="F60" s="87">
        <v>0</v>
      </c>
      <c r="G60" s="47">
        <f t="shared" si="4"/>
        <v>0</v>
      </c>
      <c r="H60" s="88"/>
      <c r="I60" s="21">
        <v>80</v>
      </c>
      <c r="J60" s="82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+'15'!G61</f>
        <v>0</v>
      </c>
      <c r="D61" s="87">
        <v>0</v>
      </c>
      <c r="E61" s="47">
        <f t="shared" si="0"/>
        <v>0</v>
      </c>
      <c r="F61" s="87">
        <v>0</v>
      </c>
      <c r="G61" s="47">
        <f t="shared" si="4"/>
        <v>0</v>
      </c>
      <c r="H61" s="88"/>
      <c r="I61" s="15">
        <v>50</v>
      </c>
      <c r="J61" s="82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+'15'!G62</f>
        <v>1</v>
      </c>
      <c r="D62" s="87">
        <v>0</v>
      </c>
      <c r="E62" s="47">
        <f t="shared" si="0"/>
        <v>1</v>
      </c>
      <c r="F62" s="87">
        <v>0</v>
      </c>
      <c r="G62" s="47">
        <f t="shared" si="4"/>
        <v>1</v>
      </c>
      <c r="H62" s="88"/>
      <c r="I62" s="20">
        <v>50</v>
      </c>
      <c r="J62" s="82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+'15'!G63</f>
        <v>0</v>
      </c>
      <c r="D63" s="87">
        <v>0</v>
      </c>
      <c r="E63" s="47">
        <f t="shared" si="0"/>
        <v>0</v>
      </c>
      <c r="F63" s="87">
        <v>0</v>
      </c>
      <c r="G63" s="47">
        <f t="shared" si="4"/>
        <v>0</v>
      </c>
      <c r="H63" s="88"/>
      <c r="I63" s="20">
        <v>50</v>
      </c>
      <c r="J63" s="82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+'15'!G64</f>
        <v>0</v>
      </c>
      <c r="D64" s="87">
        <v>0</v>
      </c>
      <c r="E64" s="47">
        <f t="shared" si="0"/>
        <v>0</v>
      </c>
      <c r="F64" s="87">
        <v>0</v>
      </c>
      <c r="G64" s="47">
        <f t="shared" si="4"/>
        <v>0</v>
      </c>
      <c r="H64" s="88"/>
      <c r="I64" s="21">
        <v>30</v>
      </c>
      <c r="J64" s="82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+'15'!G65</f>
        <v>0</v>
      </c>
      <c r="D65" s="87">
        <v>0</v>
      </c>
      <c r="E65" s="47">
        <f t="shared" si="0"/>
        <v>0</v>
      </c>
      <c r="F65" s="87">
        <v>0</v>
      </c>
      <c r="G65" s="47">
        <f t="shared" si="4"/>
        <v>0</v>
      </c>
      <c r="H65" s="88"/>
      <c r="I65" s="21">
        <v>30</v>
      </c>
      <c r="J65" s="82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+'15'!G66</f>
        <v>1</v>
      </c>
      <c r="D66" s="87">
        <v>0</v>
      </c>
      <c r="E66" s="47">
        <f t="shared" si="0"/>
        <v>1</v>
      </c>
      <c r="F66" s="87">
        <v>0</v>
      </c>
      <c r="G66" s="47">
        <f t="shared" si="4"/>
        <v>1</v>
      </c>
      <c r="H66" s="88"/>
      <c r="I66" s="15">
        <v>50</v>
      </c>
      <c r="J66" s="82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+'15'!G67</f>
        <v>11</v>
      </c>
      <c r="D67" s="87">
        <v>0</v>
      </c>
      <c r="E67" s="47">
        <f t="shared" si="0"/>
        <v>11</v>
      </c>
      <c r="F67" s="87">
        <v>0</v>
      </c>
      <c r="G67" s="47">
        <f t="shared" si="4"/>
        <v>11</v>
      </c>
      <c r="H67" s="88"/>
      <c r="I67" s="15">
        <v>50</v>
      </c>
      <c r="J67" s="82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+'15'!G68</f>
        <v>0</v>
      </c>
      <c r="D68" s="87">
        <v>0</v>
      </c>
      <c r="E68" s="47">
        <f t="shared" si="0"/>
        <v>0</v>
      </c>
      <c r="F68" s="87">
        <v>0</v>
      </c>
      <c r="G68" s="47">
        <f t="shared" si="4"/>
        <v>0</v>
      </c>
      <c r="H68" s="88"/>
      <c r="I68" s="20">
        <v>35</v>
      </c>
      <c r="J68" s="82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+'15'!G69</f>
        <v>0</v>
      </c>
      <c r="D69" s="87">
        <v>0</v>
      </c>
      <c r="E69" s="47">
        <f t="shared" si="0"/>
        <v>0</v>
      </c>
      <c r="F69" s="87">
        <v>0</v>
      </c>
      <c r="G69" s="47">
        <f t="shared" si="4"/>
        <v>0</v>
      </c>
      <c r="H69" s="88"/>
      <c r="I69" s="20">
        <v>25</v>
      </c>
      <c r="J69" s="82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+'15'!G70</f>
        <v>9</v>
      </c>
      <c r="D70" s="87">
        <v>0</v>
      </c>
      <c r="E70" s="47">
        <f t="shared" si="0"/>
        <v>9</v>
      </c>
      <c r="F70" s="87">
        <v>0</v>
      </c>
      <c r="G70" s="47">
        <f t="shared" si="4"/>
        <v>9</v>
      </c>
      <c r="H70" s="88"/>
      <c r="I70" s="20">
        <v>50</v>
      </c>
      <c r="J70" s="82">
        <f t="shared" si="5"/>
        <v>0</v>
      </c>
      <c r="K70" s="17" t="s">
        <v>16</v>
      </c>
      <c r="L70" s="18">
        <v>0</v>
      </c>
      <c r="M70" s="23">
        <f t="shared" ref="M70:M134" si="10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+'15'!G71</f>
        <v>14</v>
      </c>
      <c r="D71" s="87">
        <v>0</v>
      </c>
      <c r="E71" s="47">
        <f t="shared" si="0"/>
        <v>14</v>
      </c>
      <c r="F71" s="87">
        <v>0</v>
      </c>
      <c r="G71" s="47">
        <f t="shared" si="4"/>
        <v>14</v>
      </c>
      <c r="H71" s="88"/>
      <c r="I71" s="20">
        <v>60</v>
      </c>
      <c r="J71" s="82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+'15'!G72</f>
        <v>0</v>
      </c>
      <c r="D72" s="87">
        <v>0</v>
      </c>
      <c r="E72" s="47">
        <f t="shared" si="0"/>
        <v>0</v>
      </c>
      <c r="F72" s="87">
        <v>0</v>
      </c>
      <c r="G72" s="47">
        <f t="shared" si="4"/>
        <v>0</v>
      </c>
      <c r="H72" s="88"/>
      <c r="I72" s="22">
        <v>50</v>
      </c>
      <c r="J72" s="82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+'15'!G73</f>
        <v>0</v>
      </c>
      <c r="D73" s="87">
        <v>0</v>
      </c>
      <c r="E73" s="47">
        <f t="shared" si="0"/>
        <v>0</v>
      </c>
      <c r="F73" s="87">
        <v>0</v>
      </c>
      <c r="G73" s="47">
        <f t="shared" si="4"/>
        <v>0</v>
      </c>
      <c r="H73" s="88"/>
      <c r="I73" s="20">
        <v>60</v>
      </c>
      <c r="J73" s="82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+'15'!G74</f>
        <v>2</v>
      </c>
      <c r="D74" s="87">
        <v>0</v>
      </c>
      <c r="E74" s="47">
        <f t="shared" si="0"/>
        <v>2</v>
      </c>
      <c r="F74" s="87">
        <v>0</v>
      </c>
      <c r="G74" s="47">
        <f t="shared" si="4"/>
        <v>2</v>
      </c>
      <c r="H74" s="88"/>
      <c r="I74" s="22">
        <v>120</v>
      </c>
      <c r="J74" s="82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+'15'!G75</f>
        <v>0</v>
      </c>
      <c r="D75" s="87">
        <v>0</v>
      </c>
      <c r="E75" s="47">
        <f t="shared" si="0"/>
        <v>0</v>
      </c>
      <c r="F75" s="87">
        <v>0</v>
      </c>
      <c r="G75" s="47">
        <f t="shared" si="4"/>
        <v>0</v>
      </c>
      <c r="H75" s="88"/>
      <c r="I75" s="22">
        <v>60</v>
      </c>
      <c r="J75" s="82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+'15'!G76</f>
        <v>0</v>
      </c>
      <c r="D76" s="87">
        <v>0</v>
      </c>
      <c r="E76" s="47">
        <f t="shared" si="0"/>
        <v>0</v>
      </c>
      <c r="F76" s="87">
        <v>0</v>
      </c>
      <c r="G76" s="47">
        <f t="shared" si="4"/>
        <v>0</v>
      </c>
      <c r="H76" s="88"/>
      <c r="I76" s="22">
        <v>120</v>
      </c>
      <c r="J76" s="82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1" t="s">
        <v>272</v>
      </c>
      <c r="C77" s="79">
        <f>+'15'!G77</f>
        <v>2</v>
      </c>
      <c r="D77" s="87">
        <v>0</v>
      </c>
      <c r="E77" s="47">
        <f>C77+D77</f>
        <v>2</v>
      </c>
      <c r="F77" s="87">
        <v>0</v>
      </c>
      <c r="G77" s="47">
        <f>+E77-F77-H77</f>
        <v>2</v>
      </c>
      <c r="H77" s="88"/>
      <c r="I77" s="20">
        <v>50</v>
      </c>
      <c r="J77" s="82">
        <f>+I77*H77</f>
        <v>0</v>
      </c>
      <c r="K77" s="17" t="s">
        <v>16</v>
      </c>
      <c r="L77" s="18">
        <v>0</v>
      </c>
      <c r="M77" s="23">
        <f>SUM(J77-L77)</f>
        <v>0</v>
      </c>
    </row>
    <row r="78" spans="1:13" ht="25.5" x14ac:dyDescent="0.55000000000000004">
      <c r="A78" s="10">
        <v>74</v>
      </c>
      <c r="B78" s="19" t="s">
        <v>277</v>
      </c>
      <c r="C78" s="79">
        <f>+'15'!G78</f>
        <v>2</v>
      </c>
      <c r="D78" s="87">
        <v>0</v>
      </c>
      <c r="E78" s="47">
        <f t="shared" si="0"/>
        <v>2</v>
      </c>
      <c r="F78" s="87">
        <v>0</v>
      </c>
      <c r="G78" s="47">
        <f t="shared" si="4"/>
        <v>2</v>
      </c>
      <c r="H78" s="88"/>
      <c r="I78" s="20">
        <v>50</v>
      </c>
      <c r="J78" s="82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278</v>
      </c>
      <c r="C79" s="79">
        <f>+'15'!G79</f>
        <v>0</v>
      </c>
      <c r="D79" s="87">
        <v>0</v>
      </c>
      <c r="E79" s="47">
        <f t="shared" si="0"/>
        <v>0</v>
      </c>
      <c r="F79" s="87">
        <v>0</v>
      </c>
      <c r="G79" s="47">
        <f t="shared" si="4"/>
        <v>0</v>
      </c>
      <c r="H79" s="88"/>
      <c r="I79" s="22">
        <v>120</v>
      </c>
      <c r="J79" s="82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90</v>
      </c>
      <c r="C80" s="79">
        <f>+'15'!G80</f>
        <v>0</v>
      </c>
      <c r="D80" s="87">
        <v>0</v>
      </c>
      <c r="E80" s="47">
        <f t="shared" si="0"/>
        <v>0</v>
      </c>
      <c r="F80" s="87">
        <v>0</v>
      </c>
      <c r="G80" s="47">
        <f t="shared" si="4"/>
        <v>0</v>
      </c>
      <c r="H80" s="88"/>
      <c r="I80" s="22">
        <v>50</v>
      </c>
      <c r="J80" s="82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91</v>
      </c>
      <c r="C81" s="79">
        <f>+'15'!G81</f>
        <v>0</v>
      </c>
      <c r="D81" s="87">
        <v>0</v>
      </c>
      <c r="E81" s="47">
        <f t="shared" si="0"/>
        <v>0</v>
      </c>
      <c r="F81" s="87">
        <v>0</v>
      </c>
      <c r="G81" s="47">
        <f t="shared" si="4"/>
        <v>0</v>
      </c>
      <c r="H81" s="88"/>
      <c r="I81" s="22">
        <v>50</v>
      </c>
      <c r="J81" s="82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92</v>
      </c>
      <c r="C82" s="79">
        <f>+'15'!G82</f>
        <v>2</v>
      </c>
      <c r="D82" s="87">
        <v>0</v>
      </c>
      <c r="E82" s="47">
        <f t="shared" si="0"/>
        <v>2</v>
      </c>
      <c r="F82" s="87">
        <v>0</v>
      </c>
      <c r="G82" s="47">
        <f t="shared" si="4"/>
        <v>2</v>
      </c>
      <c r="H82" s="88"/>
      <c r="I82" s="20">
        <v>55</v>
      </c>
      <c r="J82" s="82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93</v>
      </c>
      <c r="C83" s="79">
        <f>+'15'!G83</f>
        <v>1</v>
      </c>
      <c r="D83" s="87">
        <v>0</v>
      </c>
      <c r="E83" s="47">
        <f t="shared" si="0"/>
        <v>1</v>
      </c>
      <c r="F83" s="87">
        <v>0</v>
      </c>
      <c r="G83" s="47">
        <f t="shared" si="4"/>
        <v>1</v>
      </c>
      <c r="H83" s="88"/>
      <c r="I83" s="22">
        <v>55</v>
      </c>
      <c r="J83" s="82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94</v>
      </c>
      <c r="C84" s="79">
        <f>+'15'!G84</f>
        <v>0</v>
      </c>
      <c r="D84" s="87">
        <v>0</v>
      </c>
      <c r="E84" s="47">
        <f t="shared" si="0"/>
        <v>0</v>
      </c>
      <c r="F84" s="87">
        <v>0</v>
      </c>
      <c r="G84" s="47">
        <f t="shared" si="4"/>
        <v>0</v>
      </c>
      <c r="H84" s="88"/>
      <c r="I84" s="22">
        <v>55</v>
      </c>
      <c r="J84" s="82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95</v>
      </c>
      <c r="C85" s="79">
        <f>+'15'!G85</f>
        <v>0</v>
      </c>
      <c r="D85" s="87">
        <v>0</v>
      </c>
      <c r="E85" s="47">
        <f t="shared" si="0"/>
        <v>0</v>
      </c>
      <c r="F85" s="87">
        <v>0</v>
      </c>
      <c r="G85" s="47">
        <f t="shared" si="4"/>
        <v>0</v>
      </c>
      <c r="H85" s="88"/>
      <c r="I85" s="22">
        <v>55</v>
      </c>
      <c r="J85" s="82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96</v>
      </c>
      <c r="C86" s="79">
        <f>+'15'!G86</f>
        <v>4</v>
      </c>
      <c r="D86" s="87">
        <v>0</v>
      </c>
      <c r="E86" s="47">
        <f t="shared" si="0"/>
        <v>4</v>
      </c>
      <c r="F86" s="87">
        <v>0</v>
      </c>
      <c r="G86" s="47">
        <f t="shared" si="4"/>
        <v>4</v>
      </c>
      <c r="H86" s="88"/>
      <c r="I86" s="22">
        <v>100</v>
      </c>
      <c r="J86" s="82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97</v>
      </c>
      <c r="C87" s="79">
        <f>+'15'!G87</f>
        <v>3</v>
      </c>
      <c r="D87" s="87">
        <v>0</v>
      </c>
      <c r="E87" s="47">
        <f t="shared" si="0"/>
        <v>3</v>
      </c>
      <c r="F87" s="87">
        <v>0</v>
      </c>
      <c r="G87" s="47">
        <f t="shared" si="4"/>
        <v>3</v>
      </c>
      <c r="H87" s="88"/>
      <c r="I87" s="20">
        <v>55</v>
      </c>
      <c r="J87" s="82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98</v>
      </c>
      <c r="C88" s="79">
        <f>+'15'!G88</f>
        <v>2</v>
      </c>
      <c r="D88" s="87">
        <v>0</v>
      </c>
      <c r="E88" s="47">
        <f t="shared" si="0"/>
        <v>2</v>
      </c>
      <c r="F88" s="87">
        <v>0</v>
      </c>
      <c r="G88" s="47">
        <f t="shared" si="4"/>
        <v>2</v>
      </c>
      <c r="H88" s="88"/>
      <c r="I88" s="20">
        <v>60</v>
      </c>
      <c r="J88" s="82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99</v>
      </c>
      <c r="C89" s="79">
        <f>+'15'!G89</f>
        <v>2</v>
      </c>
      <c r="D89" s="87">
        <v>0</v>
      </c>
      <c r="E89" s="47">
        <f t="shared" si="0"/>
        <v>2</v>
      </c>
      <c r="F89" s="87">
        <v>0</v>
      </c>
      <c r="G89" s="47">
        <f t="shared" si="4"/>
        <v>2</v>
      </c>
      <c r="H89" s="88"/>
      <c r="I89" s="20">
        <v>100</v>
      </c>
      <c r="J89" s="82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100</v>
      </c>
      <c r="C90" s="79">
        <f>+'15'!G90</f>
        <v>8</v>
      </c>
      <c r="D90" s="87">
        <v>0</v>
      </c>
      <c r="E90" s="47">
        <f t="shared" si="0"/>
        <v>8</v>
      </c>
      <c r="F90" s="87">
        <v>0</v>
      </c>
      <c r="G90" s="47">
        <f t="shared" si="4"/>
        <v>8</v>
      </c>
      <c r="H90" s="88"/>
      <c r="I90" s="20">
        <v>55</v>
      </c>
      <c r="J90" s="82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101</v>
      </c>
      <c r="C91" s="79">
        <f>+'15'!G91</f>
        <v>0</v>
      </c>
      <c r="D91" s="87">
        <v>0</v>
      </c>
      <c r="E91" s="47">
        <f t="shared" si="0"/>
        <v>0</v>
      </c>
      <c r="F91" s="87">
        <v>0</v>
      </c>
      <c r="G91" s="47">
        <f t="shared" si="4"/>
        <v>0</v>
      </c>
      <c r="H91" s="88"/>
      <c r="I91" s="20">
        <v>50</v>
      </c>
      <c r="J91" s="82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102</v>
      </c>
      <c r="C92" s="79">
        <f>+'15'!G92</f>
        <v>0</v>
      </c>
      <c r="D92" s="87">
        <v>0</v>
      </c>
      <c r="E92" s="47">
        <f t="shared" si="0"/>
        <v>0</v>
      </c>
      <c r="F92" s="87">
        <v>0</v>
      </c>
      <c r="G92" s="47">
        <f t="shared" si="4"/>
        <v>0</v>
      </c>
      <c r="H92" s="88"/>
      <c r="I92" s="22">
        <v>50</v>
      </c>
      <c r="J92" s="82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248</v>
      </c>
      <c r="C93" s="79">
        <f>+'15'!G93</f>
        <v>0</v>
      </c>
      <c r="D93" s="87">
        <v>0</v>
      </c>
      <c r="E93" s="47">
        <f t="shared" si="0"/>
        <v>0</v>
      </c>
      <c r="F93" s="87">
        <v>0</v>
      </c>
      <c r="G93" s="47">
        <f t="shared" si="4"/>
        <v>0</v>
      </c>
      <c r="H93" s="88"/>
      <c r="I93" s="22">
        <v>120</v>
      </c>
      <c r="J93" s="82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104</v>
      </c>
      <c r="C94" s="79">
        <f>+'15'!G94</f>
        <v>0</v>
      </c>
      <c r="D94" s="87">
        <v>0</v>
      </c>
      <c r="E94" s="47">
        <f t="shared" si="0"/>
        <v>0</v>
      </c>
      <c r="F94" s="87">
        <v>0</v>
      </c>
      <c r="G94" s="47">
        <f t="shared" si="4"/>
        <v>0</v>
      </c>
      <c r="H94" s="88"/>
      <c r="I94" s="20">
        <v>250</v>
      </c>
      <c r="J94" s="82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105</v>
      </c>
      <c r="C95" s="79">
        <f>+'15'!G95</f>
        <v>0</v>
      </c>
      <c r="D95" s="87">
        <v>0</v>
      </c>
      <c r="E95" s="47">
        <f t="shared" si="0"/>
        <v>0</v>
      </c>
      <c r="F95" s="87">
        <v>0</v>
      </c>
      <c r="G95" s="47">
        <f t="shared" si="4"/>
        <v>0</v>
      </c>
      <c r="H95" s="88"/>
      <c r="I95" s="20">
        <v>120</v>
      </c>
      <c r="J95" s="82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106</v>
      </c>
      <c r="C96" s="79">
        <f>+'15'!G96</f>
        <v>0</v>
      </c>
      <c r="D96" s="87">
        <v>0</v>
      </c>
      <c r="E96" s="47">
        <f t="shared" si="0"/>
        <v>0</v>
      </c>
      <c r="F96" s="87">
        <v>0</v>
      </c>
      <c r="G96" s="47">
        <f t="shared" si="4"/>
        <v>0</v>
      </c>
      <c r="H96" s="88"/>
      <c r="I96" s="20">
        <v>120</v>
      </c>
      <c r="J96" s="82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107</v>
      </c>
      <c r="C97" s="79">
        <f>+'15'!G97</f>
        <v>0</v>
      </c>
      <c r="D97" s="87">
        <v>0</v>
      </c>
      <c r="E97" s="47">
        <f t="shared" si="0"/>
        <v>0</v>
      </c>
      <c r="F97" s="87">
        <v>0</v>
      </c>
      <c r="G97" s="47">
        <f t="shared" si="4"/>
        <v>0</v>
      </c>
      <c r="H97" s="88"/>
      <c r="I97" s="20">
        <v>120</v>
      </c>
      <c r="J97" s="82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103</v>
      </c>
      <c r="C98" s="79">
        <f>+'15'!G98</f>
        <v>0</v>
      </c>
      <c r="D98" s="87">
        <v>0</v>
      </c>
      <c r="E98" s="47">
        <f t="shared" si="0"/>
        <v>0</v>
      </c>
      <c r="F98" s="87">
        <v>0</v>
      </c>
      <c r="G98" s="47">
        <f t="shared" si="4"/>
        <v>0</v>
      </c>
      <c r="H98" s="88"/>
      <c r="I98" s="20">
        <v>120</v>
      </c>
      <c r="J98" s="82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109</v>
      </c>
      <c r="C99" s="79">
        <f>+'15'!G99</f>
        <v>0</v>
      </c>
      <c r="D99" s="87">
        <v>0</v>
      </c>
      <c r="E99" s="47">
        <f t="shared" si="0"/>
        <v>0</v>
      </c>
      <c r="F99" s="87">
        <v>0</v>
      </c>
      <c r="G99" s="47">
        <f t="shared" si="4"/>
        <v>0</v>
      </c>
      <c r="H99" s="88"/>
      <c r="I99" s="20">
        <v>50</v>
      </c>
      <c r="J99" s="82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110</v>
      </c>
      <c r="C100" s="79">
        <f>+'15'!G100</f>
        <v>0</v>
      </c>
      <c r="D100" s="87">
        <v>0</v>
      </c>
      <c r="E100" s="47">
        <f t="shared" si="0"/>
        <v>0</v>
      </c>
      <c r="F100" s="87">
        <v>0</v>
      </c>
      <c r="G100" s="47">
        <f t="shared" si="4"/>
        <v>0</v>
      </c>
      <c r="H100" s="88"/>
      <c r="I100" s="20">
        <v>50</v>
      </c>
      <c r="J100" s="82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111</v>
      </c>
      <c r="C101" s="79">
        <f>+'15'!G101</f>
        <v>0</v>
      </c>
      <c r="D101" s="87">
        <v>0</v>
      </c>
      <c r="E101" s="47">
        <f t="shared" si="0"/>
        <v>0</v>
      </c>
      <c r="F101" s="87">
        <v>0</v>
      </c>
      <c r="G101" s="47">
        <f t="shared" ref="G101:G164" si="11">+E101-F101-H101</f>
        <v>0</v>
      </c>
      <c r="H101" s="88"/>
      <c r="I101" s="20">
        <v>60</v>
      </c>
      <c r="J101" s="82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112</v>
      </c>
      <c r="C102" s="79">
        <f>+'15'!G102</f>
        <v>0</v>
      </c>
      <c r="D102" s="87">
        <v>0</v>
      </c>
      <c r="E102" s="47">
        <f t="shared" si="0"/>
        <v>0</v>
      </c>
      <c r="F102" s="87">
        <v>0</v>
      </c>
      <c r="G102" s="47">
        <f t="shared" si="11"/>
        <v>0</v>
      </c>
      <c r="H102" s="88"/>
      <c r="I102" s="20">
        <v>55</v>
      </c>
      <c r="J102" s="82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113</v>
      </c>
      <c r="C103" s="79">
        <f>+'15'!G103</f>
        <v>0</v>
      </c>
      <c r="D103" s="87">
        <v>0</v>
      </c>
      <c r="E103" s="47">
        <f t="shared" si="0"/>
        <v>0</v>
      </c>
      <c r="F103" s="87">
        <v>0</v>
      </c>
      <c r="G103" s="47">
        <f t="shared" si="11"/>
        <v>0</v>
      </c>
      <c r="H103" s="88"/>
      <c r="I103" s="20">
        <v>50</v>
      </c>
      <c r="J103" s="82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114</v>
      </c>
      <c r="C104" s="79">
        <f>+'15'!G104</f>
        <v>0</v>
      </c>
      <c r="D104" s="87">
        <v>0</v>
      </c>
      <c r="E104" s="47">
        <f t="shared" si="0"/>
        <v>0</v>
      </c>
      <c r="F104" s="87">
        <v>0</v>
      </c>
      <c r="G104" s="47">
        <f t="shared" si="11"/>
        <v>0</v>
      </c>
      <c r="H104" s="88"/>
      <c r="I104" s="20">
        <v>100</v>
      </c>
      <c r="J104" s="82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115</v>
      </c>
      <c r="C105" s="79">
        <f>+'15'!G105</f>
        <v>0</v>
      </c>
      <c r="D105" s="87">
        <v>0</v>
      </c>
      <c r="E105" s="47">
        <f t="shared" si="0"/>
        <v>0</v>
      </c>
      <c r="F105" s="87">
        <v>0</v>
      </c>
      <c r="G105" s="47">
        <f t="shared" si="11"/>
        <v>0</v>
      </c>
      <c r="H105" s="88"/>
      <c r="I105" s="20">
        <v>100</v>
      </c>
      <c r="J105" s="82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116</v>
      </c>
      <c r="C106" s="79">
        <f>+'15'!G106</f>
        <v>0</v>
      </c>
      <c r="D106" s="87">
        <v>0</v>
      </c>
      <c r="E106" s="47">
        <f t="shared" si="0"/>
        <v>0</v>
      </c>
      <c r="F106" s="87">
        <v>0</v>
      </c>
      <c r="G106" s="47">
        <f t="shared" si="11"/>
        <v>0</v>
      </c>
      <c r="H106" s="88"/>
      <c r="I106" s="22">
        <v>30</v>
      </c>
      <c r="J106" s="82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117</v>
      </c>
      <c r="C107" s="79">
        <f>+'15'!G107</f>
        <v>0</v>
      </c>
      <c r="D107" s="87">
        <v>0</v>
      </c>
      <c r="E107" s="47">
        <f t="shared" si="0"/>
        <v>0</v>
      </c>
      <c r="F107" s="87">
        <v>0</v>
      </c>
      <c r="G107" s="47">
        <f t="shared" si="11"/>
        <v>0</v>
      </c>
      <c r="H107" s="88"/>
      <c r="I107" s="22">
        <v>20</v>
      </c>
      <c r="J107" s="82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118</v>
      </c>
      <c r="C108" s="79">
        <f>+'15'!G108</f>
        <v>0</v>
      </c>
      <c r="D108" s="87">
        <v>0</v>
      </c>
      <c r="E108" s="47">
        <f t="shared" si="0"/>
        <v>0</v>
      </c>
      <c r="F108" s="87">
        <v>0</v>
      </c>
      <c r="G108" s="47">
        <f t="shared" si="11"/>
        <v>0</v>
      </c>
      <c r="H108" s="88"/>
      <c r="I108" s="20">
        <v>100</v>
      </c>
      <c r="J108" s="82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120</v>
      </c>
      <c r="C109" s="79">
        <f>+'15'!G109</f>
        <v>0</v>
      </c>
      <c r="D109" s="87">
        <v>0</v>
      </c>
      <c r="E109" s="47">
        <f t="shared" si="0"/>
        <v>0</v>
      </c>
      <c r="F109" s="87">
        <v>0</v>
      </c>
      <c r="G109" s="47">
        <f t="shared" si="11"/>
        <v>0</v>
      </c>
      <c r="H109" s="88"/>
      <c r="I109" s="20">
        <v>80</v>
      </c>
      <c r="J109" s="82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121</v>
      </c>
      <c r="C110" s="79">
        <f>+'15'!G110</f>
        <v>0</v>
      </c>
      <c r="D110" s="87">
        <v>0</v>
      </c>
      <c r="E110" s="47">
        <f t="shared" si="0"/>
        <v>0</v>
      </c>
      <c r="F110" s="87">
        <v>0</v>
      </c>
      <c r="G110" s="47">
        <f t="shared" si="11"/>
        <v>0</v>
      </c>
      <c r="H110" s="88"/>
      <c r="I110" s="20">
        <v>60</v>
      </c>
      <c r="J110" s="82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122</v>
      </c>
      <c r="C111" s="79">
        <f>+'15'!G111</f>
        <v>0</v>
      </c>
      <c r="D111" s="87">
        <v>0</v>
      </c>
      <c r="E111" s="47">
        <f t="shared" si="0"/>
        <v>0</v>
      </c>
      <c r="F111" s="87">
        <v>0</v>
      </c>
      <c r="G111" s="47">
        <f t="shared" si="11"/>
        <v>0</v>
      </c>
      <c r="H111" s="88"/>
      <c r="I111" s="20">
        <v>35</v>
      </c>
      <c r="J111" s="82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123</v>
      </c>
      <c r="C112" s="79">
        <f>+'15'!G112</f>
        <v>0</v>
      </c>
      <c r="D112" s="87">
        <v>0</v>
      </c>
      <c r="E112" s="47">
        <f t="shared" si="0"/>
        <v>0</v>
      </c>
      <c r="F112" s="87">
        <v>0</v>
      </c>
      <c r="G112" s="47">
        <f t="shared" si="11"/>
        <v>0</v>
      </c>
      <c r="H112" s="88"/>
      <c r="I112" s="20">
        <v>35</v>
      </c>
      <c r="J112" s="82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124</v>
      </c>
      <c r="C113" s="79">
        <f>+'15'!G113</f>
        <v>0</v>
      </c>
      <c r="D113" s="87">
        <v>0</v>
      </c>
      <c r="E113" s="47">
        <f t="shared" si="0"/>
        <v>0</v>
      </c>
      <c r="F113" s="87">
        <v>0</v>
      </c>
      <c r="G113" s="47">
        <f t="shared" si="11"/>
        <v>0</v>
      </c>
      <c r="H113" s="88"/>
      <c r="I113" s="20">
        <v>35</v>
      </c>
      <c r="J113" s="82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125</v>
      </c>
      <c r="C114" s="79">
        <f>+'15'!G114</f>
        <v>0</v>
      </c>
      <c r="D114" s="87">
        <v>0</v>
      </c>
      <c r="E114" s="47">
        <f t="shared" si="0"/>
        <v>0</v>
      </c>
      <c r="F114" s="87">
        <v>0</v>
      </c>
      <c r="G114" s="47">
        <f t="shared" si="11"/>
        <v>0</v>
      </c>
      <c r="H114" s="88"/>
      <c r="I114" s="20">
        <v>35</v>
      </c>
      <c r="J114" s="82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126</v>
      </c>
      <c r="C115" s="79">
        <f>+'15'!G115</f>
        <v>0</v>
      </c>
      <c r="D115" s="87">
        <v>0</v>
      </c>
      <c r="E115" s="47">
        <f t="shared" si="0"/>
        <v>0</v>
      </c>
      <c r="F115" s="87">
        <v>0</v>
      </c>
      <c r="G115" s="47">
        <f t="shared" si="11"/>
        <v>0</v>
      </c>
      <c r="H115" s="88"/>
      <c r="I115" s="20">
        <v>35</v>
      </c>
      <c r="J115" s="82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127</v>
      </c>
      <c r="C116" s="79">
        <f>+'15'!G116</f>
        <v>0</v>
      </c>
      <c r="D116" s="87">
        <v>0</v>
      </c>
      <c r="E116" s="47">
        <f t="shared" si="0"/>
        <v>0</v>
      </c>
      <c r="F116" s="87">
        <v>0</v>
      </c>
      <c r="G116" s="47">
        <f t="shared" si="11"/>
        <v>0</v>
      </c>
      <c r="H116" s="88"/>
      <c r="I116" s="20">
        <v>30</v>
      </c>
      <c r="J116" s="82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128</v>
      </c>
      <c r="C117" s="79">
        <f>+'15'!G117</f>
        <v>0</v>
      </c>
      <c r="D117" s="87">
        <v>0</v>
      </c>
      <c r="E117" s="47">
        <f t="shared" si="0"/>
        <v>0</v>
      </c>
      <c r="F117" s="87">
        <v>0</v>
      </c>
      <c r="G117" s="47">
        <f t="shared" si="11"/>
        <v>0</v>
      </c>
      <c r="H117" s="88"/>
      <c r="I117" s="20">
        <v>30</v>
      </c>
      <c r="J117" s="82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129</v>
      </c>
      <c r="C118" s="79">
        <f>+'15'!G118</f>
        <v>0</v>
      </c>
      <c r="D118" s="87">
        <v>0</v>
      </c>
      <c r="E118" s="47">
        <f t="shared" si="0"/>
        <v>0</v>
      </c>
      <c r="F118" s="87">
        <v>0</v>
      </c>
      <c r="G118" s="47">
        <f t="shared" si="11"/>
        <v>0</v>
      </c>
      <c r="H118" s="88"/>
      <c r="I118" s="20">
        <v>30</v>
      </c>
      <c r="J118" s="82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130</v>
      </c>
      <c r="C119" s="79">
        <f>+'15'!G119</f>
        <v>0</v>
      </c>
      <c r="D119" s="87">
        <v>0</v>
      </c>
      <c r="E119" s="47">
        <f t="shared" si="0"/>
        <v>0</v>
      </c>
      <c r="F119" s="87">
        <v>0</v>
      </c>
      <c r="G119" s="47">
        <f t="shared" si="11"/>
        <v>0</v>
      </c>
      <c r="H119" s="88"/>
      <c r="I119" s="20">
        <v>30</v>
      </c>
      <c r="J119" s="82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131</v>
      </c>
      <c r="C120" s="79">
        <f>+'15'!G120</f>
        <v>0</v>
      </c>
      <c r="D120" s="87">
        <v>0</v>
      </c>
      <c r="E120" s="47">
        <f t="shared" si="0"/>
        <v>0</v>
      </c>
      <c r="F120" s="87">
        <v>0</v>
      </c>
      <c r="G120" s="47">
        <f t="shared" si="11"/>
        <v>0</v>
      </c>
      <c r="H120" s="88"/>
      <c r="I120" s="20">
        <v>30</v>
      </c>
      <c r="J120" s="82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132</v>
      </c>
      <c r="C121" s="79">
        <f>+'15'!G121</f>
        <v>0</v>
      </c>
      <c r="D121" s="87">
        <v>0</v>
      </c>
      <c r="E121" s="47">
        <f t="shared" si="0"/>
        <v>0</v>
      </c>
      <c r="F121" s="87">
        <v>0</v>
      </c>
      <c r="G121" s="47">
        <f t="shared" si="11"/>
        <v>0</v>
      </c>
      <c r="H121" s="88"/>
      <c r="I121" s="20">
        <v>30</v>
      </c>
      <c r="J121" s="82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133</v>
      </c>
      <c r="C122" s="79">
        <f>+'15'!G122</f>
        <v>0</v>
      </c>
      <c r="D122" s="87">
        <v>0</v>
      </c>
      <c r="E122" s="47">
        <f t="shared" si="0"/>
        <v>0</v>
      </c>
      <c r="F122" s="87">
        <v>0</v>
      </c>
      <c r="G122" s="47">
        <f t="shared" si="11"/>
        <v>0</v>
      </c>
      <c r="H122" s="88"/>
      <c r="I122" s="20">
        <v>40</v>
      </c>
      <c r="J122" s="82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134</v>
      </c>
      <c r="C123" s="79">
        <f>+'15'!G123</f>
        <v>0</v>
      </c>
      <c r="D123" s="87">
        <v>0</v>
      </c>
      <c r="E123" s="47">
        <f t="shared" si="0"/>
        <v>0</v>
      </c>
      <c r="F123" s="87">
        <v>0</v>
      </c>
      <c r="G123" s="47">
        <f t="shared" si="11"/>
        <v>0</v>
      </c>
      <c r="H123" s="88"/>
      <c r="I123" s="20">
        <v>35</v>
      </c>
      <c r="J123" s="82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135</v>
      </c>
      <c r="C124" s="79">
        <f>+'15'!G124</f>
        <v>0</v>
      </c>
      <c r="D124" s="87">
        <v>0</v>
      </c>
      <c r="E124" s="47">
        <f t="shared" si="0"/>
        <v>0</v>
      </c>
      <c r="F124" s="87">
        <v>0</v>
      </c>
      <c r="G124" s="47">
        <f t="shared" si="11"/>
        <v>0</v>
      </c>
      <c r="H124" s="88"/>
      <c r="I124" s="20">
        <v>40</v>
      </c>
      <c r="J124" s="82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136</v>
      </c>
      <c r="C125" s="79">
        <f>+'15'!G125</f>
        <v>0</v>
      </c>
      <c r="D125" s="87">
        <v>0</v>
      </c>
      <c r="E125" s="47">
        <f t="shared" si="0"/>
        <v>0</v>
      </c>
      <c r="F125" s="87">
        <v>0</v>
      </c>
      <c r="G125" s="47">
        <f t="shared" si="11"/>
        <v>0</v>
      </c>
      <c r="H125" s="88"/>
      <c r="I125" s="20">
        <v>40</v>
      </c>
      <c r="J125" s="82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137</v>
      </c>
      <c r="C126" s="79">
        <f>+'15'!G126</f>
        <v>0</v>
      </c>
      <c r="D126" s="87">
        <v>0</v>
      </c>
      <c r="E126" s="47">
        <f t="shared" ref="E126:E189" si="13">C126+D126</f>
        <v>0</v>
      </c>
      <c r="F126" s="87">
        <v>0</v>
      </c>
      <c r="G126" s="47">
        <f t="shared" si="11"/>
        <v>0</v>
      </c>
      <c r="H126" s="88"/>
      <c r="I126" s="20">
        <v>30</v>
      </c>
      <c r="J126" s="82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138</v>
      </c>
      <c r="C127" s="79">
        <f>+'15'!G127</f>
        <v>0</v>
      </c>
      <c r="D127" s="87">
        <v>0</v>
      </c>
      <c r="E127" s="47">
        <f t="shared" si="13"/>
        <v>0</v>
      </c>
      <c r="F127" s="87">
        <v>0</v>
      </c>
      <c r="G127" s="47">
        <f t="shared" si="11"/>
        <v>0</v>
      </c>
      <c r="H127" s="88"/>
      <c r="I127" s="20">
        <v>40</v>
      </c>
      <c r="J127" s="82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139</v>
      </c>
      <c r="C128" s="79">
        <f>+'15'!G128</f>
        <v>74</v>
      </c>
      <c r="D128" s="87">
        <v>0</v>
      </c>
      <c r="E128" s="47">
        <f t="shared" si="13"/>
        <v>74</v>
      </c>
      <c r="F128" s="87">
        <v>0</v>
      </c>
      <c r="G128" s="47">
        <f t="shared" si="11"/>
        <v>74</v>
      </c>
      <c r="H128" s="88"/>
      <c r="I128" s="20">
        <v>10</v>
      </c>
      <c r="J128" s="82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140</v>
      </c>
      <c r="C129" s="79">
        <f>+'15'!G129</f>
        <v>0</v>
      </c>
      <c r="D129" s="87">
        <v>0</v>
      </c>
      <c r="E129" s="47">
        <f t="shared" si="13"/>
        <v>0</v>
      </c>
      <c r="F129" s="87">
        <v>0</v>
      </c>
      <c r="G129" s="47">
        <f t="shared" si="11"/>
        <v>0</v>
      </c>
      <c r="H129" s="88"/>
      <c r="I129" s="20">
        <v>35</v>
      </c>
      <c r="J129" s="82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141</v>
      </c>
      <c r="C130" s="79">
        <f>+'15'!G130</f>
        <v>0</v>
      </c>
      <c r="D130" s="87">
        <v>0</v>
      </c>
      <c r="E130" s="47">
        <f t="shared" si="13"/>
        <v>0</v>
      </c>
      <c r="F130" s="87">
        <v>0</v>
      </c>
      <c r="G130" s="47">
        <f t="shared" si="11"/>
        <v>0</v>
      </c>
      <c r="H130" s="88"/>
      <c r="I130" s="20">
        <v>40</v>
      </c>
      <c r="J130" s="82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142</v>
      </c>
      <c r="C131" s="79">
        <f>+'15'!G131</f>
        <v>0</v>
      </c>
      <c r="D131" s="87">
        <v>0</v>
      </c>
      <c r="E131" s="47">
        <f t="shared" si="13"/>
        <v>0</v>
      </c>
      <c r="F131" s="87">
        <v>0</v>
      </c>
      <c r="G131" s="47">
        <f t="shared" si="11"/>
        <v>0</v>
      </c>
      <c r="H131" s="88"/>
      <c r="I131" s="20">
        <v>50</v>
      </c>
      <c r="J131" s="82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143</v>
      </c>
      <c r="C132" s="79">
        <f>+'15'!G132</f>
        <v>0</v>
      </c>
      <c r="D132" s="87">
        <v>0</v>
      </c>
      <c r="E132" s="47">
        <f t="shared" si="13"/>
        <v>0</v>
      </c>
      <c r="F132" s="87">
        <v>0</v>
      </c>
      <c r="G132" s="47">
        <f t="shared" si="11"/>
        <v>0</v>
      </c>
      <c r="H132" s="88"/>
      <c r="I132" s="20">
        <v>55</v>
      </c>
      <c r="J132" s="82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144</v>
      </c>
      <c r="C133" s="79">
        <f>+'15'!G133</f>
        <v>0</v>
      </c>
      <c r="D133" s="87">
        <v>0</v>
      </c>
      <c r="E133" s="47">
        <f t="shared" si="13"/>
        <v>0</v>
      </c>
      <c r="F133" s="87">
        <v>0</v>
      </c>
      <c r="G133" s="47">
        <f t="shared" si="11"/>
        <v>0</v>
      </c>
      <c r="H133" s="88"/>
      <c r="I133" s="20">
        <v>55</v>
      </c>
      <c r="J133" s="82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145</v>
      </c>
      <c r="C134" s="79">
        <f>+'15'!G134</f>
        <v>0</v>
      </c>
      <c r="D134" s="87">
        <v>0</v>
      </c>
      <c r="E134" s="47">
        <f t="shared" si="13"/>
        <v>0</v>
      </c>
      <c r="F134" s="87">
        <v>0</v>
      </c>
      <c r="G134" s="47">
        <f t="shared" si="11"/>
        <v>0</v>
      </c>
      <c r="H134" s="88"/>
      <c r="I134" s="20">
        <v>45</v>
      </c>
      <c r="J134" s="82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5.5" x14ac:dyDescent="0.55000000000000004">
      <c r="A135" s="10">
        <v>131</v>
      </c>
      <c r="B135" s="19" t="s">
        <v>146</v>
      </c>
      <c r="C135" s="79">
        <f>+'15'!G135</f>
        <v>0</v>
      </c>
      <c r="D135" s="87">
        <v>0</v>
      </c>
      <c r="E135" s="47">
        <f t="shared" si="13"/>
        <v>0</v>
      </c>
      <c r="F135" s="87">
        <v>0</v>
      </c>
      <c r="G135" s="47">
        <f t="shared" si="11"/>
        <v>0</v>
      </c>
      <c r="H135" s="88"/>
      <c r="I135" s="20">
        <v>45</v>
      </c>
      <c r="J135" s="82">
        <f t="shared" si="12"/>
        <v>0</v>
      </c>
      <c r="K135" s="17" t="s">
        <v>16</v>
      </c>
      <c r="L135" s="18">
        <v>0</v>
      </c>
      <c r="M135" s="23">
        <f t="shared" ref="M135:M198" si="14">SUM(J135-L135)</f>
        <v>0</v>
      </c>
    </row>
    <row r="136" spans="1:13" ht="25.5" x14ac:dyDescent="0.55000000000000004">
      <c r="A136" s="10">
        <v>132</v>
      </c>
      <c r="B136" s="19" t="s">
        <v>147</v>
      </c>
      <c r="C136" s="79">
        <f>+'15'!G136</f>
        <v>0</v>
      </c>
      <c r="D136" s="87">
        <v>0</v>
      </c>
      <c r="E136" s="47">
        <f t="shared" si="13"/>
        <v>0</v>
      </c>
      <c r="F136" s="87">
        <v>0</v>
      </c>
      <c r="G136" s="47">
        <f t="shared" si="11"/>
        <v>0</v>
      </c>
      <c r="H136" s="88"/>
      <c r="I136" s="20">
        <v>55</v>
      </c>
      <c r="J136" s="82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148</v>
      </c>
      <c r="C137" s="79">
        <f>+'15'!G137</f>
        <v>0</v>
      </c>
      <c r="D137" s="87">
        <v>0</v>
      </c>
      <c r="E137" s="47">
        <f t="shared" si="13"/>
        <v>0</v>
      </c>
      <c r="F137" s="87">
        <v>0</v>
      </c>
      <c r="G137" s="47">
        <f t="shared" si="11"/>
        <v>0</v>
      </c>
      <c r="H137" s="88"/>
      <c r="I137" s="20">
        <v>45</v>
      </c>
      <c r="J137" s="82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149</v>
      </c>
      <c r="C138" s="79">
        <f>+'15'!G138</f>
        <v>0</v>
      </c>
      <c r="D138" s="87">
        <v>0</v>
      </c>
      <c r="E138" s="47">
        <f t="shared" si="13"/>
        <v>0</v>
      </c>
      <c r="F138" s="87">
        <v>0</v>
      </c>
      <c r="G138" s="47">
        <f t="shared" si="11"/>
        <v>0</v>
      </c>
      <c r="H138" s="88"/>
      <c r="I138" s="20">
        <v>45</v>
      </c>
      <c r="J138" s="82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150</v>
      </c>
      <c r="C139" s="79">
        <f>+'15'!G139</f>
        <v>0</v>
      </c>
      <c r="D139" s="87">
        <v>0</v>
      </c>
      <c r="E139" s="47">
        <f t="shared" si="13"/>
        <v>0</v>
      </c>
      <c r="F139" s="87">
        <v>0</v>
      </c>
      <c r="G139" s="47">
        <f t="shared" si="11"/>
        <v>0</v>
      </c>
      <c r="H139" s="88"/>
      <c r="I139" s="20">
        <v>45</v>
      </c>
      <c r="J139" s="82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151</v>
      </c>
      <c r="C140" s="79">
        <f>+'15'!G140</f>
        <v>0</v>
      </c>
      <c r="D140" s="87">
        <v>0</v>
      </c>
      <c r="E140" s="47">
        <f t="shared" si="13"/>
        <v>0</v>
      </c>
      <c r="F140" s="87">
        <v>0</v>
      </c>
      <c r="G140" s="47">
        <f t="shared" si="11"/>
        <v>0</v>
      </c>
      <c r="H140" s="88"/>
      <c r="I140" s="20">
        <v>45</v>
      </c>
      <c r="J140" s="82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152</v>
      </c>
      <c r="C141" s="79">
        <f>+'15'!G141</f>
        <v>0</v>
      </c>
      <c r="D141" s="87">
        <v>0</v>
      </c>
      <c r="E141" s="47">
        <f t="shared" si="13"/>
        <v>0</v>
      </c>
      <c r="F141" s="87">
        <v>0</v>
      </c>
      <c r="G141" s="47">
        <f t="shared" si="11"/>
        <v>0</v>
      </c>
      <c r="H141" s="88"/>
      <c r="I141" s="20">
        <v>45</v>
      </c>
      <c r="J141" s="82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153</v>
      </c>
      <c r="C142" s="79">
        <f>+'15'!G142</f>
        <v>0</v>
      </c>
      <c r="D142" s="87">
        <v>0</v>
      </c>
      <c r="E142" s="47">
        <f t="shared" si="13"/>
        <v>0</v>
      </c>
      <c r="F142" s="87">
        <v>0</v>
      </c>
      <c r="G142" s="47">
        <f t="shared" si="11"/>
        <v>0</v>
      </c>
      <c r="H142" s="88"/>
      <c r="I142" s="20">
        <v>45</v>
      </c>
      <c r="J142" s="82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154</v>
      </c>
      <c r="C143" s="79">
        <f>+'15'!G143</f>
        <v>0</v>
      </c>
      <c r="D143" s="87">
        <v>0</v>
      </c>
      <c r="E143" s="47">
        <f t="shared" si="13"/>
        <v>0</v>
      </c>
      <c r="F143" s="87">
        <v>0</v>
      </c>
      <c r="G143" s="47">
        <f t="shared" si="11"/>
        <v>0</v>
      </c>
      <c r="H143" s="88"/>
      <c r="I143" s="20">
        <v>120</v>
      </c>
      <c r="J143" s="82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155</v>
      </c>
      <c r="C144" s="79">
        <f>+'15'!G144</f>
        <v>0</v>
      </c>
      <c r="D144" s="87">
        <v>0</v>
      </c>
      <c r="E144" s="47">
        <f t="shared" si="13"/>
        <v>0</v>
      </c>
      <c r="F144" s="87">
        <v>0</v>
      </c>
      <c r="G144" s="47">
        <f t="shared" si="11"/>
        <v>0</v>
      </c>
      <c r="H144" s="88"/>
      <c r="I144" s="20">
        <v>120</v>
      </c>
      <c r="J144" s="82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156</v>
      </c>
      <c r="C145" s="79">
        <f>+'15'!G145</f>
        <v>0</v>
      </c>
      <c r="D145" s="87">
        <v>0</v>
      </c>
      <c r="E145" s="47">
        <f t="shared" si="13"/>
        <v>0</v>
      </c>
      <c r="F145" s="87">
        <v>0</v>
      </c>
      <c r="G145" s="47">
        <f t="shared" si="11"/>
        <v>0</v>
      </c>
      <c r="H145" s="88"/>
      <c r="I145" s="20">
        <v>120</v>
      </c>
      <c r="J145" s="82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157</v>
      </c>
      <c r="C146" s="79">
        <f>+'15'!G146</f>
        <v>0</v>
      </c>
      <c r="D146" s="87">
        <v>0</v>
      </c>
      <c r="E146" s="47">
        <f t="shared" si="13"/>
        <v>0</v>
      </c>
      <c r="F146" s="87">
        <v>0</v>
      </c>
      <c r="G146" s="47">
        <f t="shared" si="11"/>
        <v>0</v>
      </c>
      <c r="H146" s="88"/>
      <c r="I146" s="20">
        <v>120</v>
      </c>
      <c r="J146" s="82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158</v>
      </c>
      <c r="C147" s="79">
        <f>+'15'!G147</f>
        <v>0</v>
      </c>
      <c r="D147" s="87">
        <v>0</v>
      </c>
      <c r="E147" s="47">
        <f t="shared" si="13"/>
        <v>0</v>
      </c>
      <c r="F147" s="87">
        <v>0</v>
      </c>
      <c r="G147" s="47">
        <f t="shared" si="11"/>
        <v>0</v>
      </c>
      <c r="H147" s="88"/>
      <c r="I147" s="20">
        <v>185</v>
      </c>
      <c r="J147" s="82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159</v>
      </c>
      <c r="C148" s="79">
        <f>+'15'!G148</f>
        <v>0</v>
      </c>
      <c r="D148" s="87">
        <v>0</v>
      </c>
      <c r="E148" s="47">
        <f t="shared" si="13"/>
        <v>0</v>
      </c>
      <c r="F148" s="87">
        <v>0</v>
      </c>
      <c r="G148" s="47">
        <f t="shared" si="11"/>
        <v>0</v>
      </c>
      <c r="H148" s="88"/>
      <c r="I148" s="20">
        <v>185</v>
      </c>
      <c r="J148" s="82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160</v>
      </c>
      <c r="C149" s="79">
        <f>+'15'!G149</f>
        <v>0</v>
      </c>
      <c r="D149" s="87">
        <v>0</v>
      </c>
      <c r="E149" s="47">
        <f t="shared" si="13"/>
        <v>0</v>
      </c>
      <c r="F149" s="87">
        <v>0</v>
      </c>
      <c r="G149" s="47">
        <f t="shared" si="11"/>
        <v>0</v>
      </c>
      <c r="H149" s="88"/>
      <c r="I149" s="20">
        <v>185</v>
      </c>
      <c r="J149" s="82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161</v>
      </c>
      <c r="C150" s="79">
        <f>+'15'!G150</f>
        <v>0</v>
      </c>
      <c r="D150" s="87">
        <v>0</v>
      </c>
      <c r="E150" s="47">
        <f t="shared" si="13"/>
        <v>0</v>
      </c>
      <c r="F150" s="87">
        <v>0</v>
      </c>
      <c r="G150" s="47">
        <f t="shared" si="11"/>
        <v>0</v>
      </c>
      <c r="H150" s="88"/>
      <c r="I150" s="20">
        <v>185</v>
      </c>
      <c r="J150" s="82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5.5" x14ac:dyDescent="0.55000000000000004">
      <c r="A151" s="10">
        <v>147</v>
      </c>
      <c r="B151" s="19" t="s">
        <v>279</v>
      </c>
      <c r="C151" s="79">
        <f>+'15'!G151</f>
        <v>0</v>
      </c>
      <c r="D151" s="87">
        <v>0</v>
      </c>
      <c r="E151" s="47">
        <f t="shared" si="13"/>
        <v>0</v>
      </c>
      <c r="F151" s="87">
        <v>0</v>
      </c>
      <c r="G151" s="47">
        <f t="shared" si="11"/>
        <v>0</v>
      </c>
      <c r="H151" s="88"/>
      <c r="I151" s="20">
        <v>150</v>
      </c>
      <c r="J151" s="82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280</v>
      </c>
      <c r="C152" s="79">
        <f>+'15'!G152</f>
        <v>1</v>
      </c>
      <c r="D152" s="87">
        <v>0</v>
      </c>
      <c r="E152" s="47">
        <f t="shared" si="13"/>
        <v>1</v>
      </c>
      <c r="F152" s="87">
        <v>0</v>
      </c>
      <c r="G152" s="47">
        <f t="shared" si="11"/>
        <v>1</v>
      </c>
      <c r="H152" s="88"/>
      <c r="I152" s="20">
        <v>150</v>
      </c>
      <c r="J152" s="82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5.5" x14ac:dyDescent="0.55000000000000004">
      <c r="A153" s="10">
        <v>149</v>
      </c>
      <c r="B153" s="19" t="s">
        <v>281</v>
      </c>
      <c r="C153" s="79">
        <f>+'15'!G153</f>
        <v>0</v>
      </c>
      <c r="D153" s="87">
        <v>0</v>
      </c>
      <c r="E153" s="47">
        <f t="shared" si="13"/>
        <v>0</v>
      </c>
      <c r="F153" s="87">
        <v>0</v>
      </c>
      <c r="G153" s="47">
        <f t="shared" si="11"/>
        <v>0</v>
      </c>
      <c r="H153" s="88"/>
      <c r="I153" s="20">
        <v>150</v>
      </c>
      <c r="J153" s="82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282</v>
      </c>
      <c r="C154" s="79">
        <f>+'15'!G154</f>
        <v>0</v>
      </c>
      <c r="D154" s="87">
        <v>0</v>
      </c>
      <c r="E154" s="47">
        <f t="shared" si="13"/>
        <v>0</v>
      </c>
      <c r="F154" s="87">
        <v>0</v>
      </c>
      <c r="G154" s="47">
        <f t="shared" si="11"/>
        <v>0</v>
      </c>
      <c r="H154" s="88"/>
      <c r="I154" s="20">
        <v>150</v>
      </c>
      <c r="J154" s="82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166</v>
      </c>
      <c r="C155" s="79">
        <f>+'15'!G155</f>
        <v>0</v>
      </c>
      <c r="D155" s="87">
        <v>0</v>
      </c>
      <c r="E155" s="47">
        <f t="shared" si="13"/>
        <v>0</v>
      </c>
      <c r="F155" s="87">
        <v>0</v>
      </c>
      <c r="G155" s="47">
        <f t="shared" si="11"/>
        <v>0</v>
      </c>
      <c r="H155" s="88"/>
      <c r="I155" s="20">
        <v>185</v>
      </c>
      <c r="J155" s="82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167</v>
      </c>
      <c r="C156" s="79">
        <f>+'15'!G156</f>
        <v>0</v>
      </c>
      <c r="D156" s="87">
        <v>0</v>
      </c>
      <c r="E156" s="47">
        <f t="shared" si="13"/>
        <v>0</v>
      </c>
      <c r="F156" s="87">
        <v>0</v>
      </c>
      <c r="G156" s="47">
        <f t="shared" si="11"/>
        <v>0</v>
      </c>
      <c r="H156" s="88"/>
      <c r="I156" s="20">
        <v>185</v>
      </c>
      <c r="J156" s="82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168</v>
      </c>
      <c r="C157" s="79">
        <f>+'15'!G157</f>
        <v>0</v>
      </c>
      <c r="D157" s="87">
        <v>0</v>
      </c>
      <c r="E157" s="47">
        <f t="shared" si="13"/>
        <v>0</v>
      </c>
      <c r="F157" s="87">
        <v>0</v>
      </c>
      <c r="G157" s="47">
        <f t="shared" si="11"/>
        <v>0</v>
      </c>
      <c r="H157" s="88"/>
      <c r="I157" s="20">
        <v>185</v>
      </c>
      <c r="J157" s="82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169</v>
      </c>
      <c r="C158" s="79">
        <f>+'15'!G158</f>
        <v>0</v>
      </c>
      <c r="D158" s="87">
        <v>0</v>
      </c>
      <c r="E158" s="47">
        <f t="shared" si="13"/>
        <v>0</v>
      </c>
      <c r="F158" s="87">
        <v>0</v>
      </c>
      <c r="G158" s="47">
        <f t="shared" si="11"/>
        <v>0</v>
      </c>
      <c r="H158" s="88"/>
      <c r="I158" s="20">
        <v>185</v>
      </c>
      <c r="J158" s="82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170</v>
      </c>
      <c r="C159" s="79">
        <f>+'15'!G159</f>
        <v>0</v>
      </c>
      <c r="D159" s="87">
        <v>0</v>
      </c>
      <c r="E159" s="47">
        <f t="shared" si="13"/>
        <v>0</v>
      </c>
      <c r="F159" s="87">
        <v>0</v>
      </c>
      <c r="G159" s="47">
        <f t="shared" si="11"/>
        <v>0</v>
      </c>
      <c r="H159" s="88"/>
      <c r="I159" s="20">
        <v>135</v>
      </c>
      <c r="J159" s="82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171</v>
      </c>
      <c r="C160" s="79">
        <f>+'15'!G160</f>
        <v>0</v>
      </c>
      <c r="D160" s="87">
        <v>0</v>
      </c>
      <c r="E160" s="47">
        <f t="shared" si="13"/>
        <v>0</v>
      </c>
      <c r="F160" s="87">
        <v>0</v>
      </c>
      <c r="G160" s="47">
        <f t="shared" si="11"/>
        <v>0</v>
      </c>
      <c r="H160" s="88"/>
      <c r="I160" s="20">
        <v>90</v>
      </c>
      <c r="J160" s="82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172</v>
      </c>
      <c r="C161" s="79">
        <f>+'15'!G161</f>
        <v>0</v>
      </c>
      <c r="D161" s="87">
        <v>0</v>
      </c>
      <c r="E161" s="47">
        <f t="shared" si="13"/>
        <v>0</v>
      </c>
      <c r="F161" s="87">
        <v>0</v>
      </c>
      <c r="G161" s="47">
        <f t="shared" si="11"/>
        <v>0</v>
      </c>
      <c r="H161" s="88"/>
      <c r="I161" s="20">
        <v>90</v>
      </c>
      <c r="J161" s="82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173</v>
      </c>
      <c r="C162" s="79">
        <f>+'15'!G162</f>
        <v>0</v>
      </c>
      <c r="D162" s="87">
        <v>0</v>
      </c>
      <c r="E162" s="47">
        <f t="shared" si="13"/>
        <v>0</v>
      </c>
      <c r="F162" s="87">
        <v>0</v>
      </c>
      <c r="G162" s="47">
        <f t="shared" si="11"/>
        <v>0</v>
      </c>
      <c r="H162" s="88"/>
      <c r="I162" s="20">
        <v>90</v>
      </c>
      <c r="J162" s="82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174</v>
      </c>
      <c r="C163" s="79">
        <f>+'15'!G163</f>
        <v>0</v>
      </c>
      <c r="D163" s="87">
        <v>0</v>
      </c>
      <c r="E163" s="47">
        <f t="shared" si="13"/>
        <v>0</v>
      </c>
      <c r="F163" s="87">
        <v>0</v>
      </c>
      <c r="G163" s="47">
        <f t="shared" si="11"/>
        <v>0</v>
      </c>
      <c r="H163" s="88"/>
      <c r="I163" s="20">
        <v>90</v>
      </c>
      <c r="J163" s="82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175</v>
      </c>
      <c r="C164" s="79">
        <f>+'15'!G164</f>
        <v>0</v>
      </c>
      <c r="D164" s="87">
        <v>0</v>
      </c>
      <c r="E164" s="47">
        <f t="shared" si="13"/>
        <v>0</v>
      </c>
      <c r="F164" s="87">
        <v>0</v>
      </c>
      <c r="G164" s="47">
        <f t="shared" si="11"/>
        <v>0</v>
      </c>
      <c r="H164" s="88"/>
      <c r="I164" s="20">
        <v>25</v>
      </c>
      <c r="J164" s="82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176</v>
      </c>
      <c r="C165" s="79">
        <f>+'15'!G165</f>
        <v>0</v>
      </c>
      <c r="D165" s="87">
        <v>0</v>
      </c>
      <c r="E165" s="47">
        <f t="shared" si="13"/>
        <v>0</v>
      </c>
      <c r="F165" s="87">
        <v>0</v>
      </c>
      <c r="G165" s="47">
        <f t="shared" ref="G165:G227" si="15">+E165-F165-H165</f>
        <v>0</v>
      </c>
      <c r="H165" s="88"/>
      <c r="I165" s="20">
        <v>50</v>
      </c>
      <c r="J165" s="82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177</v>
      </c>
      <c r="C166" s="79">
        <f>+'15'!G166</f>
        <v>0</v>
      </c>
      <c r="D166" s="87">
        <v>0</v>
      </c>
      <c r="E166" s="47">
        <f t="shared" si="13"/>
        <v>0</v>
      </c>
      <c r="F166" s="87">
        <v>0</v>
      </c>
      <c r="G166" s="47">
        <f t="shared" si="15"/>
        <v>0</v>
      </c>
      <c r="H166" s="88"/>
      <c r="I166" s="20">
        <v>50</v>
      </c>
      <c r="J166" s="82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178</v>
      </c>
      <c r="C167" s="79">
        <f>+'15'!G167</f>
        <v>0</v>
      </c>
      <c r="D167" s="87">
        <v>0</v>
      </c>
      <c r="E167" s="47">
        <f t="shared" si="13"/>
        <v>0</v>
      </c>
      <c r="F167" s="87">
        <v>0</v>
      </c>
      <c r="G167" s="47">
        <f t="shared" si="15"/>
        <v>0</v>
      </c>
      <c r="H167" s="88"/>
      <c r="I167" s="20">
        <v>50</v>
      </c>
      <c r="J167" s="82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179</v>
      </c>
      <c r="C168" s="79">
        <f>+'15'!G168</f>
        <v>7</v>
      </c>
      <c r="D168" s="87">
        <v>0</v>
      </c>
      <c r="E168" s="47">
        <f t="shared" si="13"/>
        <v>7</v>
      </c>
      <c r="F168" s="87">
        <v>0</v>
      </c>
      <c r="G168" s="47">
        <f t="shared" si="15"/>
        <v>7</v>
      </c>
      <c r="H168" s="88"/>
      <c r="I168" s="20">
        <v>50</v>
      </c>
      <c r="J168" s="82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180</v>
      </c>
      <c r="C169" s="79">
        <f>+'15'!G169</f>
        <v>40</v>
      </c>
      <c r="D169" s="87">
        <v>0</v>
      </c>
      <c r="E169" s="47">
        <f t="shared" si="13"/>
        <v>40</v>
      </c>
      <c r="F169" s="87">
        <v>0</v>
      </c>
      <c r="G169" s="47">
        <f t="shared" si="15"/>
        <v>40</v>
      </c>
      <c r="H169" s="88"/>
      <c r="I169" s="20">
        <v>55</v>
      </c>
      <c r="J169" s="82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181</v>
      </c>
      <c r="C170" s="79">
        <f>+'15'!G170</f>
        <v>0</v>
      </c>
      <c r="D170" s="87">
        <v>0</v>
      </c>
      <c r="E170" s="47">
        <f t="shared" si="13"/>
        <v>0</v>
      </c>
      <c r="F170" s="87">
        <v>0</v>
      </c>
      <c r="G170" s="47">
        <f t="shared" si="15"/>
        <v>0</v>
      </c>
      <c r="H170" s="88"/>
      <c r="I170" s="20">
        <v>85</v>
      </c>
      <c r="J170" s="82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182</v>
      </c>
      <c r="C171" s="79">
        <f>+'15'!G171</f>
        <v>7</v>
      </c>
      <c r="D171" s="87">
        <v>0</v>
      </c>
      <c r="E171" s="47">
        <f t="shared" si="13"/>
        <v>7</v>
      </c>
      <c r="F171" s="87">
        <v>0</v>
      </c>
      <c r="G171" s="47">
        <f t="shared" si="15"/>
        <v>7</v>
      </c>
      <c r="H171" s="88"/>
      <c r="I171" s="20">
        <v>80</v>
      </c>
      <c r="J171" s="82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183</v>
      </c>
      <c r="C172" s="79">
        <f>+'15'!G172</f>
        <v>0</v>
      </c>
      <c r="D172" s="87">
        <v>0</v>
      </c>
      <c r="E172" s="47">
        <f t="shared" si="13"/>
        <v>0</v>
      </c>
      <c r="F172" s="87">
        <v>0</v>
      </c>
      <c r="G172" s="47">
        <f t="shared" si="15"/>
        <v>0</v>
      </c>
      <c r="H172" s="88"/>
      <c r="I172" s="20">
        <v>40</v>
      </c>
      <c r="J172" s="82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184</v>
      </c>
      <c r="C173" s="79">
        <f>+'15'!G173</f>
        <v>0</v>
      </c>
      <c r="D173" s="87">
        <v>0</v>
      </c>
      <c r="E173" s="47">
        <f t="shared" si="13"/>
        <v>0</v>
      </c>
      <c r="F173" s="87">
        <v>0</v>
      </c>
      <c r="G173" s="47">
        <f t="shared" si="15"/>
        <v>0</v>
      </c>
      <c r="H173" s="88"/>
      <c r="I173" s="20">
        <v>120</v>
      </c>
      <c r="J173" s="82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185</v>
      </c>
      <c r="C174" s="79">
        <f>+'15'!G174</f>
        <v>0</v>
      </c>
      <c r="D174" s="87">
        <v>0</v>
      </c>
      <c r="E174" s="47">
        <f t="shared" si="13"/>
        <v>0</v>
      </c>
      <c r="F174" s="87">
        <v>0</v>
      </c>
      <c r="G174" s="47">
        <f t="shared" si="15"/>
        <v>0</v>
      </c>
      <c r="H174" s="88"/>
      <c r="I174" s="20">
        <v>120</v>
      </c>
      <c r="J174" s="82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186</v>
      </c>
      <c r="C175" s="79">
        <f>+'15'!G175</f>
        <v>0</v>
      </c>
      <c r="D175" s="87">
        <v>0</v>
      </c>
      <c r="E175" s="47">
        <f t="shared" si="13"/>
        <v>0</v>
      </c>
      <c r="F175" s="87">
        <v>0</v>
      </c>
      <c r="G175" s="47">
        <f t="shared" si="15"/>
        <v>0</v>
      </c>
      <c r="H175" s="88"/>
      <c r="I175" s="20">
        <v>55</v>
      </c>
      <c r="J175" s="82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187</v>
      </c>
      <c r="C176" s="79">
        <f>+'15'!G176</f>
        <v>0</v>
      </c>
      <c r="D176" s="87">
        <v>0</v>
      </c>
      <c r="E176" s="47">
        <f t="shared" si="13"/>
        <v>0</v>
      </c>
      <c r="F176" s="87">
        <v>0</v>
      </c>
      <c r="G176" s="47">
        <f t="shared" si="15"/>
        <v>0</v>
      </c>
      <c r="H176" s="88"/>
      <c r="I176" s="20">
        <v>50</v>
      </c>
      <c r="J176" s="82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188</v>
      </c>
      <c r="C177" s="79">
        <f>+'15'!G177</f>
        <v>2</v>
      </c>
      <c r="D177" s="87">
        <v>0</v>
      </c>
      <c r="E177" s="47">
        <f t="shared" si="13"/>
        <v>2</v>
      </c>
      <c r="F177" s="87">
        <v>0</v>
      </c>
      <c r="G177" s="47">
        <f t="shared" si="15"/>
        <v>1</v>
      </c>
      <c r="H177" s="88">
        <v>1</v>
      </c>
      <c r="I177" s="20">
        <v>50</v>
      </c>
      <c r="J177" s="82">
        <f t="shared" si="16"/>
        <v>50</v>
      </c>
      <c r="K177" s="17" t="s">
        <v>16</v>
      </c>
      <c r="L177" s="18">
        <v>0</v>
      </c>
      <c r="M177" s="23">
        <f t="shared" si="14"/>
        <v>50</v>
      </c>
    </row>
    <row r="178" spans="1:13" ht="25.5" x14ac:dyDescent="0.55000000000000004">
      <c r="A178" s="10">
        <v>174</v>
      </c>
      <c r="B178" s="19" t="s">
        <v>189</v>
      </c>
      <c r="C178" s="79">
        <f>+'15'!G178</f>
        <v>2</v>
      </c>
      <c r="D178" s="87">
        <v>0</v>
      </c>
      <c r="E178" s="47">
        <f t="shared" si="13"/>
        <v>2</v>
      </c>
      <c r="F178" s="87">
        <v>0</v>
      </c>
      <c r="G178" s="47">
        <f t="shared" si="15"/>
        <v>2</v>
      </c>
      <c r="H178" s="88"/>
      <c r="I178" s="20">
        <v>120</v>
      </c>
      <c r="J178" s="82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190</v>
      </c>
      <c r="C179" s="79">
        <f>+'15'!G179</f>
        <v>0</v>
      </c>
      <c r="D179" s="87">
        <v>0</v>
      </c>
      <c r="E179" s="47">
        <f t="shared" si="13"/>
        <v>0</v>
      </c>
      <c r="F179" s="87">
        <v>0</v>
      </c>
      <c r="G179" s="47">
        <f t="shared" si="15"/>
        <v>0</v>
      </c>
      <c r="H179" s="88"/>
      <c r="I179" s="20">
        <v>120</v>
      </c>
      <c r="J179" s="82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191</v>
      </c>
      <c r="C180" s="79">
        <f>+'15'!G180</f>
        <v>0</v>
      </c>
      <c r="D180" s="87">
        <v>0</v>
      </c>
      <c r="E180" s="47">
        <f t="shared" si="13"/>
        <v>0</v>
      </c>
      <c r="F180" s="87">
        <v>0</v>
      </c>
      <c r="G180" s="47">
        <f t="shared" si="15"/>
        <v>0</v>
      </c>
      <c r="H180" s="88"/>
      <c r="I180" s="20">
        <v>10</v>
      </c>
      <c r="J180" s="82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192</v>
      </c>
      <c r="C181" s="79">
        <f>+'15'!G181</f>
        <v>0</v>
      </c>
      <c r="D181" s="87">
        <v>0</v>
      </c>
      <c r="E181" s="47">
        <f t="shared" si="13"/>
        <v>0</v>
      </c>
      <c r="F181" s="87">
        <v>0</v>
      </c>
      <c r="G181" s="47">
        <f t="shared" si="15"/>
        <v>0</v>
      </c>
      <c r="H181" s="88"/>
      <c r="I181" s="20">
        <v>35</v>
      </c>
      <c r="J181" s="82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193</v>
      </c>
      <c r="C182" s="79">
        <f>+'15'!G182</f>
        <v>0</v>
      </c>
      <c r="D182" s="87">
        <v>0</v>
      </c>
      <c r="E182" s="47">
        <f t="shared" si="13"/>
        <v>0</v>
      </c>
      <c r="F182" s="87">
        <v>0</v>
      </c>
      <c r="G182" s="47">
        <f t="shared" si="15"/>
        <v>0</v>
      </c>
      <c r="H182" s="88"/>
      <c r="I182" s="20">
        <v>10</v>
      </c>
      <c r="J182" s="82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194</v>
      </c>
      <c r="C183" s="79">
        <f>+'15'!G183</f>
        <v>0</v>
      </c>
      <c r="D183" s="87">
        <v>0</v>
      </c>
      <c r="E183" s="47">
        <f t="shared" si="13"/>
        <v>0</v>
      </c>
      <c r="F183" s="87">
        <v>0</v>
      </c>
      <c r="G183" s="47">
        <f t="shared" si="15"/>
        <v>0</v>
      </c>
      <c r="H183" s="88"/>
      <c r="I183" s="20">
        <v>10</v>
      </c>
      <c r="J183" s="82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195</v>
      </c>
      <c r="C184" s="79">
        <f>+'15'!G184</f>
        <v>0</v>
      </c>
      <c r="D184" s="87">
        <v>0</v>
      </c>
      <c r="E184" s="47">
        <f t="shared" si="13"/>
        <v>0</v>
      </c>
      <c r="F184" s="87">
        <v>0</v>
      </c>
      <c r="G184" s="47">
        <f t="shared" si="15"/>
        <v>0</v>
      </c>
      <c r="H184" s="88"/>
      <c r="I184" s="20">
        <v>10</v>
      </c>
      <c r="J184" s="82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196</v>
      </c>
      <c r="C185" s="79">
        <f>+'15'!G185</f>
        <v>0</v>
      </c>
      <c r="D185" s="87">
        <v>0</v>
      </c>
      <c r="E185" s="47">
        <f t="shared" si="13"/>
        <v>0</v>
      </c>
      <c r="F185" s="87">
        <v>0</v>
      </c>
      <c r="G185" s="47">
        <f t="shared" si="15"/>
        <v>0</v>
      </c>
      <c r="H185" s="88"/>
      <c r="I185" s="20">
        <v>10</v>
      </c>
      <c r="J185" s="82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197</v>
      </c>
      <c r="C186" s="79">
        <f>+'15'!G186</f>
        <v>0</v>
      </c>
      <c r="D186" s="87">
        <v>0</v>
      </c>
      <c r="E186" s="47">
        <f t="shared" si="13"/>
        <v>0</v>
      </c>
      <c r="F186" s="87">
        <v>0</v>
      </c>
      <c r="G186" s="47">
        <f t="shared" si="15"/>
        <v>0</v>
      </c>
      <c r="H186" s="88"/>
      <c r="I186" s="20">
        <v>10</v>
      </c>
      <c r="J186" s="82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198</v>
      </c>
      <c r="C187" s="79">
        <f>+'15'!G187</f>
        <v>0</v>
      </c>
      <c r="D187" s="87">
        <v>0</v>
      </c>
      <c r="E187" s="47">
        <f t="shared" si="13"/>
        <v>0</v>
      </c>
      <c r="F187" s="87">
        <v>0</v>
      </c>
      <c r="G187" s="47">
        <f t="shared" si="15"/>
        <v>0</v>
      </c>
      <c r="H187" s="88"/>
      <c r="I187" s="20">
        <v>25</v>
      </c>
      <c r="J187" s="82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249</v>
      </c>
      <c r="C188" s="79">
        <f>+'15'!G188</f>
        <v>0</v>
      </c>
      <c r="D188" s="87">
        <v>0</v>
      </c>
      <c r="E188" s="47">
        <f t="shared" si="13"/>
        <v>0</v>
      </c>
      <c r="F188" s="87">
        <v>0</v>
      </c>
      <c r="G188" s="47">
        <f t="shared" si="15"/>
        <v>0</v>
      </c>
      <c r="H188" s="88"/>
      <c r="I188" s="15">
        <v>50</v>
      </c>
      <c r="J188" s="82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250</v>
      </c>
      <c r="C189" s="79">
        <f>+'15'!G189</f>
        <v>0</v>
      </c>
      <c r="D189" s="87">
        <v>0</v>
      </c>
      <c r="E189" s="47">
        <f t="shared" si="13"/>
        <v>0</v>
      </c>
      <c r="F189" s="87">
        <v>0</v>
      </c>
      <c r="G189" s="47">
        <f t="shared" si="15"/>
        <v>0</v>
      </c>
      <c r="H189" s="88"/>
      <c r="I189" s="15">
        <v>10</v>
      </c>
      <c r="J189" s="82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251</v>
      </c>
      <c r="C190" s="79">
        <f>+'15'!G190</f>
        <v>0</v>
      </c>
      <c r="D190" s="87">
        <v>0</v>
      </c>
      <c r="E190" s="47">
        <f t="shared" ref="E190:E252" si="17">C190+D190</f>
        <v>0</v>
      </c>
      <c r="F190" s="87">
        <v>0</v>
      </c>
      <c r="G190" s="47">
        <f t="shared" si="15"/>
        <v>0</v>
      </c>
      <c r="H190" s="88"/>
      <c r="I190" s="15">
        <v>15</v>
      </c>
      <c r="J190" s="82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252</v>
      </c>
      <c r="C191" s="79">
        <f>+'15'!G191</f>
        <v>0</v>
      </c>
      <c r="D191" s="87">
        <v>0</v>
      </c>
      <c r="E191" s="47">
        <f t="shared" si="17"/>
        <v>0</v>
      </c>
      <c r="F191" s="87">
        <v>0</v>
      </c>
      <c r="G191" s="47">
        <f t="shared" si="15"/>
        <v>0</v>
      </c>
      <c r="H191" s="88"/>
      <c r="I191" s="15">
        <v>25</v>
      </c>
      <c r="J191" s="82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253</v>
      </c>
      <c r="C192" s="79">
        <f>+'15'!G192</f>
        <v>0</v>
      </c>
      <c r="D192" s="87">
        <v>0</v>
      </c>
      <c r="E192" s="47">
        <f t="shared" si="17"/>
        <v>0</v>
      </c>
      <c r="F192" s="87">
        <v>0</v>
      </c>
      <c r="G192" s="47">
        <f t="shared" si="15"/>
        <v>0</v>
      </c>
      <c r="H192" s="88"/>
      <c r="I192" s="15">
        <v>50</v>
      </c>
      <c r="J192" s="82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254</v>
      </c>
      <c r="C193" s="79">
        <f>+'15'!G193</f>
        <v>0</v>
      </c>
      <c r="D193" s="87">
        <v>0</v>
      </c>
      <c r="E193" s="47">
        <f t="shared" si="17"/>
        <v>0</v>
      </c>
      <c r="F193" s="87">
        <v>0</v>
      </c>
      <c r="G193" s="47">
        <f t="shared" si="15"/>
        <v>0</v>
      </c>
      <c r="H193" s="88"/>
      <c r="I193" s="15">
        <v>45</v>
      </c>
      <c r="J193" s="82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255</v>
      </c>
      <c r="C194" s="79">
        <f>+'15'!G194</f>
        <v>0</v>
      </c>
      <c r="D194" s="87">
        <v>0</v>
      </c>
      <c r="E194" s="47">
        <f t="shared" si="17"/>
        <v>0</v>
      </c>
      <c r="F194" s="87">
        <v>0</v>
      </c>
      <c r="G194" s="47">
        <f t="shared" si="15"/>
        <v>0</v>
      </c>
      <c r="H194" s="88"/>
      <c r="I194" s="15">
        <v>50</v>
      </c>
      <c r="J194" s="82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199</v>
      </c>
      <c r="C195" s="79">
        <f>+'15'!G195</f>
        <v>0</v>
      </c>
      <c r="D195" s="87">
        <v>0</v>
      </c>
      <c r="E195" s="47">
        <f t="shared" si="17"/>
        <v>0</v>
      </c>
      <c r="F195" s="87">
        <v>0</v>
      </c>
      <c r="G195" s="47">
        <f t="shared" si="15"/>
        <v>0</v>
      </c>
      <c r="H195" s="88"/>
      <c r="I195" s="15">
        <v>150</v>
      </c>
      <c r="J195" s="82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200</v>
      </c>
      <c r="C196" s="79">
        <f>+'15'!G196</f>
        <v>0</v>
      </c>
      <c r="D196" s="87">
        <v>0</v>
      </c>
      <c r="E196" s="47">
        <f t="shared" si="17"/>
        <v>0</v>
      </c>
      <c r="F196" s="87">
        <v>0</v>
      </c>
      <c r="G196" s="47">
        <f t="shared" si="15"/>
        <v>0</v>
      </c>
      <c r="H196" s="88"/>
      <c r="I196" s="15">
        <v>150</v>
      </c>
      <c r="J196" s="82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201</v>
      </c>
      <c r="C197" s="79">
        <f>+'15'!G197</f>
        <v>0</v>
      </c>
      <c r="D197" s="87">
        <v>0</v>
      </c>
      <c r="E197" s="47">
        <f t="shared" si="17"/>
        <v>0</v>
      </c>
      <c r="F197" s="87">
        <v>0</v>
      </c>
      <c r="G197" s="47">
        <f t="shared" si="15"/>
        <v>0</v>
      </c>
      <c r="H197" s="88"/>
      <c r="I197" s="15">
        <v>150</v>
      </c>
      <c r="J197" s="82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256</v>
      </c>
      <c r="C198" s="79">
        <f>+'15'!G198</f>
        <v>0</v>
      </c>
      <c r="D198" s="87">
        <v>0</v>
      </c>
      <c r="E198" s="47">
        <f t="shared" si="17"/>
        <v>0</v>
      </c>
      <c r="F198" s="87">
        <v>0</v>
      </c>
      <c r="G198" s="47">
        <f t="shared" si="15"/>
        <v>0</v>
      </c>
      <c r="H198" s="88"/>
      <c r="I198" s="15">
        <v>55</v>
      </c>
      <c r="J198" s="82">
        <f t="shared" si="16"/>
        <v>0</v>
      </c>
      <c r="K198" s="17" t="s">
        <v>16</v>
      </c>
      <c r="L198" s="18">
        <v>0</v>
      </c>
      <c r="M198" s="23">
        <f t="shared" si="14"/>
        <v>0</v>
      </c>
    </row>
    <row r="199" spans="1:13" ht="25.5" x14ac:dyDescent="0.55000000000000004">
      <c r="A199" s="10">
        <v>195</v>
      </c>
      <c r="B199" s="19" t="s">
        <v>257</v>
      </c>
      <c r="C199" s="79">
        <f>+'15'!G199</f>
        <v>0</v>
      </c>
      <c r="D199" s="87">
        <v>0</v>
      </c>
      <c r="E199" s="47">
        <f t="shared" si="17"/>
        <v>0</v>
      </c>
      <c r="F199" s="87">
        <v>0</v>
      </c>
      <c r="G199" s="47">
        <f t="shared" si="15"/>
        <v>0</v>
      </c>
      <c r="H199" s="88"/>
      <c r="I199" s="15">
        <v>30</v>
      </c>
      <c r="J199" s="82">
        <f t="shared" si="16"/>
        <v>0</v>
      </c>
      <c r="K199" s="17" t="s">
        <v>16</v>
      </c>
      <c r="L199" s="18">
        <v>0</v>
      </c>
      <c r="M199" s="23">
        <f t="shared" ref="M199:M254" si="18">SUM(J199-L199)</f>
        <v>0</v>
      </c>
    </row>
    <row r="200" spans="1:13" ht="25.5" x14ac:dyDescent="0.55000000000000004">
      <c r="A200" s="10">
        <v>196</v>
      </c>
      <c r="B200" s="19" t="s">
        <v>258</v>
      </c>
      <c r="C200" s="79">
        <f>+'15'!G200</f>
        <v>0</v>
      </c>
      <c r="D200" s="87">
        <v>0</v>
      </c>
      <c r="E200" s="47">
        <f t="shared" si="17"/>
        <v>0</v>
      </c>
      <c r="F200" s="87">
        <v>0</v>
      </c>
      <c r="G200" s="47">
        <f t="shared" si="15"/>
        <v>0</v>
      </c>
      <c r="H200" s="88"/>
      <c r="I200" s="15">
        <v>30</v>
      </c>
      <c r="J200" s="82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259</v>
      </c>
      <c r="C201" s="79">
        <f>+'15'!G201</f>
        <v>0</v>
      </c>
      <c r="D201" s="87">
        <v>0</v>
      </c>
      <c r="E201" s="47">
        <f t="shared" si="17"/>
        <v>0</v>
      </c>
      <c r="F201" s="87">
        <v>0</v>
      </c>
      <c r="G201" s="47">
        <f t="shared" si="15"/>
        <v>0</v>
      </c>
      <c r="H201" s="88"/>
      <c r="I201" s="15">
        <v>30</v>
      </c>
      <c r="J201" s="82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260</v>
      </c>
      <c r="C202" s="79">
        <f>+'15'!G202</f>
        <v>0</v>
      </c>
      <c r="D202" s="87">
        <v>0</v>
      </c>
      <c r="E202" s="47">
        <f t="shared" si="17"/>
        <v>0</v>
      </c>
      <c r="F202" s="87">
        <v>0</v>
      </c>
      <c r="G202" s="47">
        <f t="shared" si="15"/>
        <v>0</v>
      </c>
      <c r="H202" s="88"/>
      <c r="I202" s="15">
        <v>30</v>
      </c>
      <c r="J202" s="82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1" t="s">
        <v>261</v>
      </c>
      <c r="C203" s="79">
        <f>+'15'!G203</f>
        <v>0</v>
      </c>
      <c r="D203" s="87">
        <v>0</v>
      </c>
      <c r="E203" s="47">
        <f t="shared" si="17"/>
        <v>0</v>
      </c>
      <c r="F203" s="87">
        <v>0</v>
      </c>
      <c r="G203" s="47">
        <f t="shared" si="15"/>
        <v>0</v>
      </c>
      <c r="H203" s="88"/>
      <c r="I203" s="20">
        <v>30</v>
      </c>
      <c r="J203" s="82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1" t="s">
        <v>262</v>
      </c>
      <c r="C204" s="79">
        <f>+'15'!G204</f>
        <v>0</v>
      </c>
      <c r="D204" s="87">
        <v>0</v>
      </c>
      <c r="E204" s="47">
        <f t="shared" si="17"/>
        <v>0</v>
      </c>
      <c r="F204" s="87">
        <v>0</v>
      </c>
      <c r="G204" s="47">
        <f t="shared" si="15"/>
        <v>0</v>
      </c>
      <c r="H204" s="88"/>
      <c r="I204" s="20">
        <v>30</v>
      </c>
      <c r="J204" s="82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1" t="s">
        <v>263</v>
      </c>
      <c r="C205" s="79">
        <f>+'15'!G205</f>
        <v>0</v>
      </c>
      <c r="D205" s="87">
        <v>0</v>
      </c>
      <c r="E205" s="47">
        <f t="shared" si="17"/>
        <v>0</v>
      </c>
      <c r="F205" s="87">
        <v>0</v>
      </c>
      <c r="G205" s="47">
        <f t="shared" si="15"/>
        <v>0</v>
      </c>
      <c r="H205" s="88"/>
      <c r="I205" s="20">
        <v>50</v>
      </c>
      <c r="J205" s="82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1" t="s">
        <v>264</v>
      </c>
      <c r="C206" s="79">
        <f>+'15'!G206</f>
        <v>0</v>
      </c>
      <c r="D206" s="87">
        <v>0</v>
      </c>
      <c r="E206" s="47">
        <f t="shared" si="17"/>
        <v>0</v>
      </c>
      <c r="F206" s="87">
        <v>0</v>
      </c>
      <c r="G206" s="47">
        <f t="shared" si="15"/>
        <v>0</v>
      </c>
      <c r="H206" s="88"/>
      <c r="I206" s="20">
        <v>100</v>
      </c>
      <c r="J206" s="82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1" t="s">
        <v>265</v>
      </c>
      <c r="C207" s="79">
        <f>+'15'!G207</f>
        <v>0</v>
      </c>
      <c r="D207" s="87">
        <v>0</v>
      </c>
      <c r="E207" s="47">
        <f t="shared" si="17"/>
        <v>0</v>
      </c>
      <c r="F207" s="87">
        <v>0</v>
      </c>
      <c r="G207" s="47">
        <f t="shared" si="15"/>
        <v>0</v>
      </c>
      <c r="H207" s="88"/>
      <c r="I207" s="20">
        <v>100</v>
      </c>
      <c r="J207" s="82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1" t="s">
        <v>266</v>
      </c>
      <c r="C208" s="79">
        <f>+'15'!G208</f>
        <v>0</v>
      </c>
      <c r="D208" s="87">
        <v>0</v>
      </c>
      <c r="E208" s="47">
        <f t="shared" si="17"/>
        <v>0</v>
      </c>
      <c r="F208" s="87">
        <v>0</v>
      </c>
      <c r="G208" s="47">
        <f t="shared" si="15"/>
        <v>0</v>
      </c>
      <c r="H208" s="88"/>
      <c r="I208" s="20">
        <v>100</v>
      </c>
      <c r="J208" s="82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1" t="s">
        <v>267</v>
      </c>
      <c r="C209" s="79">
        <f>+'15'!G209</f>
        <v>0</v>
      </c>
      <c r="D209" s="87">
        <v>0</v>
      </c>
      <c r="E209" s="47">
        <f t="shared" si="17"/>
        <v>0</v>
      </c>
      <c r="F209" s="87">
        <v>0</v>
      </c>
      <c r="G209" s="47">
        <f t="shared" si="15"/>
        <v>0</v>
      </c>
      <c r="H209" s="88"/>
      <c r="I209" s="20">
        <v>100</v>
      </c>
      <c r="J209" s="82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1" t="s">
        <v>268</v>
      </c>
      <c r="C210" s="79">
        <f>+'15'!G210</f>
        <v>0</v>
      </c>
      <c r="D210" s="87">
        <v>0</v>
      </c>
      <c r="E210" s="47">
        <f t="shared" si="17"/>
        <v>0</v>
      </c>
      <c r="F210" s="87">
        <v>0</v>
      </c>
      <c r="G210" s="47">
        <f t="shared" si="15"/>
        <v>0</v>
      </c>
      <c r="H210" s="88"/>
      <c r="I210" s="20">
        <v>250</v>
      </c>
      <c r="J210" s="82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1" t="s">
        <v>269</v>
      </c>
      <c r="C211" s="79">
        <f>+'15'!G211</f>
        <v>0</v>
      </c>
      <c r="D211" s="87">
        <v>0</v>
      </c>
      <c r="E211" s="47">
        <f t="shared" si="17"/>
        <v>0</v>
      </c>
      <c r="F211" s="87">
        <v>0</v>
      </c>
      <c r="G211" s="47">
        <f t="shared" si="15"/>
        <v>0</v>
      </c>
      <c r="H211" s="88"/>
      <c r="I211" s="20">
        <v>250</v>
      </c>
      <c r="J211" s="82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1" t="s">
        <v>270</v>
      </c>
      <c r="C212" s="79">
        <f>+'15'!G212</f>
        <v>0</v>
      </c>
      <c r="D212" s="87">
        <v>0</v>
      </c>
      <c r="E212" s="47">
        <f t="shared" si="17"/>
        <v>0</v>
      </c>
      <c r="F212" s="87">
        <v>0</v>
      </c>
      <c r="G212" s="47">
        <f t="shared" si="15"/>
        <v>0</v>
      </c>
      <c r="H212" s="88"/>
      <c r="I212" s="20">
        <v>250</v>
      </c>
      <c r="J212" s="82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1" t="s">
        <v>271</v>
      </c>
      <c r="C213" s="79">
        <f>+'15'!G213</f>
        <v>0</v>
      </c>
      <c r="D213" s="87">
        <v>0</v>
      </c>
      <c r="E213" s="47">
        <f t="shared" si="17"/>
        <v>0</v>
      </c>
      <c r="F213" s="87">
        <v>0</v>
      </c>
      <c r="G213" s="47">
        <f t="shared" si="15"/>
        <v>0</v>
      </c>
      <c r="H213" s="88"/>
      <c r="I213" s="20">
        <v>50</v>
      </c>
      <c r="J213" s="82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1" t="s">
        <v>273</v>
      </c>
      <c r="C214" s="79">
        <f>+'15'!G214</f>
        <v>0</v>
      </c>
      <c r="D214" s="87">
        <v>0</v>
      </c>
      <c r="E214" s="47">
        <f t="shared" si="17"/>
        <v>0</v>
      </c>
      <c r="F214" s="87">
        <v>0</v>
      </c>
      <c r="G214" s="47">
        <f t="shared" si="15"/>
        <v>0</v>
      </c>
      <c r="H214" s="88"/>
      <c r="I214" s="20">
        <v>50</v>
      </c>
      <c r="J214" s="82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1" t="s">
        <v>274</v>
      </c>
      <c r="C215" s="79">
        <f>+'15'!G215</f>
        <v>0</v>
      </c>
      <c r="D215" s="87">
        <v>0</v>
      </c>
      <c r="E215" s="47">
        <f t="shared" si="17"/>
        <v>0</v>
      </c>
      <c r="F215" s="87">
        <v>0</v>
      </c>
      <c r="G215" s="47">
        <f t="shared" si="15"/>
        <v>0</v>
      </c>
      <c r="H215" s="88"/>
      <c r="I215" s="20">
        <v>50</v>
      </c>
      <c r="J215" s="82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1" t="s">
        <v>242</v>
      </c>
      <c r="C216" s="79">
        <f>+'15'!G216</f>
        <v>0</v>
      </c>
      <c r="D216" s="87">
        <v>0</v>
      </c>
      <c r="E216" s="47">
        <f t="shared" si="17"/>
        <v>0</v>
      </c>
      <c r="F216" s="87">
        <v>0</v>
      </c>
      <c r="G216" s="47">
        <f t="shared" si="15"/>
        <v>0</v>
      </c>
      <c r="H216" s="88"/>
      <c r="I216" s="20">
        <v>35</v>
      </c>
      <c r="J216" s="82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1" t="s">
        <v>275</v>
      </c>
      <c r="C217" s="79">
        <f>+'15'!G217</f>
        <v>0</v>
      </c>
      <c r="D217" s="87">
        <v>0</v>
      </c>
      <c r="E217" s="47">
        <f t="shared" si="17"/>
        <v>0</v>
      </c>
      <c r="F217" s="87">
        <v>0</v>
      </c>
      <c r="G217" s="47">
        <f t="shared" si="15"/>
        <v>0</v>
      </c>
      <c r="H217" s="88"/>
      <c r="I217" s="20">
        <v>199</v>
      </c>
      <c r="J217" s="82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1" t="s">
        <v>283</v>
      </c>
      <c r="C218" s="79"/>
      <c r="D218" s="87">
        <v>0</v>
      </c>
      <c r="E218" s="47">
        <f t="shared" si="17"/>
        <v>0</v>
      </c>
      <c r="F218" s="87">
        <v>0</v>
      </c>
      <c r="G218" s="47">
        <f t="shared" si="15"/>
        <v>0</v>
      </c>
      <c r="H218" s="88"/>
      <c r="I218" s="20">
        <v>25</v>
      </c>
      <c r="J218" s="82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1" t="s">
        <v>284</v>
      </c>
      <c r="C219" s="79"/>
      <c r="D219" s="87">
        <v>0</v>
      </c>
      <c r="E219" s="47">
        <f t="shared" si="17"/>
        <v>0</v>
      </c>
      <c r="F219" s="87">
        <v>0</v>
      </c>
      <c r="G219" s="47">
        <f t="shared" si="15"/>
        <v>0</v>
      </c>
      <c r="H219" s="88"/>
      <c r="I219" s="20">
        <v>25</v>
      </c>
      <c r="J219" s="82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1" t="s">
        <v>314</v>
      </c>
      <c r="C220" s="79">
        <f>+'15'!G220</f>
        <v>0</v>
      </c>
      <c r="D220" s="87">
        <v>0</v>
      </c>
      <c r="E220" s="47">
        <f t="shared" si="17"/>
        <v>0</v>
      </c>
      <c r="F220" s="87">
        <v>0</v>
      </c>
      <c r="G220" s="47">
        <f t="shared" si="15"/>
        <v>0</v>
      </c>
      <c r="H220" s="88"/>
      <c r="I220" s="20">
        <v>35</v>
      </c>
      <c r="J220" s="82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1" t="s">
        <v>326</v>
      </c>
      <c r="C221" s="79">
        <f>+'15'!G221</f>
        <v>3</v>
      </c>
      <c r="D221" s="87">
        <v>0</v>
      </c>
      <c r="E221" s="47">
        <f t="shared" si="17"/>
        <v>3</v>
      </c>
      <c r="F221" s="87">
        <v>0</v>
      </c>
      <c r="G221" s="47">
        <f t="shared" si="15"/>
        <v>3</v>
      </c>
      <c r="H221" s="88"/>
      <c r="I221" s="20">
        <v>55</v>
      </c>
      <c r="J221" s="82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1" t="s">
        <v>327</v>
      </c>
      <c r="C222" s="79">
        <f>+'15'!G222</f>
        <v>0</v>
      </c>
      <c r="D222" s="87">
        <v>0</v>
      </c>
      <c r="E222" s="47">
        <f t="shared" si="17"/>
        <v>0</v>
      </c>
      <c r="F222" s="87">
        <v>0</v>
      </c>
      <c r="G222" s="47">
        <f t="shared" si="15"/>
        <v>0</v>
      </c>
      <c r="H222" s="88"/>
      <c r="I222" s="20">
        <v>40</v>
      </c>
      <c r="J222" s="82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1"/>
      <c r="C223" s="79">
        <f>+'15'!G223</f>
        <v>0</v>
      </c>
      <c r="D223" s="87">
        <v>0</v>
      </c>
      <c r="E223" s="47">
        <f t="shared" si="17"/>
        <v>0</v>
      </c>
      <c r="F223" s="87">
        <v>0</v>
      </c>
      <c r="G223" s="47">
        <f t="shared" si="15"/>
        <v>0</v>
      </c>
      <c r="H223" s="88"/>
      <c r="I223" s="20"/>
      <c r="J223" s="82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1"/>
      <c r="C224" s="79">
        <f>+'15'!G224</f>
        <v>0</v>
      </c>
      <c r="D224" s="87">
        <v>0</v>
      </c>
      <c r="E224" s="47">
        <f t="shared" si="17"/>
        <v>0</v>
      </c>
      <c r="F224" s="87">
        <v>0</v>
      </c>
      <c r="G224" s="47">
        <f t="shared" si="15"/>
        <v>0</v>
      </c>
      <c r="H224" s="88"/>
      <c r="I224" s="20"/>
      <c r="J224" s="82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1"/>
      <c r="C225" s="79">
        <f>+'15'!G225</f>
        <v>0</v>
      </c>
      <c r="D225" s="87">
        <v>0</v>
      </c>
      <c r="E225" s="47">
        <f t="shared" si="17"/>
        <v>0</v>
      </c>
      <c r="F225" s="87">
        <v>0</v>
      </c>
      <c r="G225" s="47">
        <f t="shared" si="15"/>
        <v>0</v>
      </c>
      <c r="H225" s="88"/>
      <c r="I225" s="20"/>
      <c r="J225" s="82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1"/>
      <c r="C226" s="79">
        <f>+'15'!G226</f>
        <v>0</v>
      </c>
      <c r="D226" s="87">
        <v>0</v>
      </c>
      <c r="E226" s="47">
        <f t="shared" si="17"/>
        <v>0</v>
      </c>
      <c r="F226" s="87">
        <v>0</v>
      </c>
      <c r="G226" s="47">
        <f t="shared" si="15"/>
        <v>0</v>
      </c>
      <c r="H226" s="88"/>
      <c r="I226" s="20"/>
      <c r="J226" s="82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1"/>
      <c r="C227" s="79">
        <f>+'15'!G227</f>
        <v>0</v>
      </c>
      <c r="D227" s="87">
        <v>0</v>
      </c>
      <c r="E227" s="47">
        <f t="shared" si="17"/>
        <v>0</v>
      </c>
      <c r="F227" s="87">
        <v>0</v>
      </c>
      <c r="G227" s="47">
        <f t="shared" si="15"/>
        <v>0</v>
      </c>
      <c r="H227" s="88"/>
      <c r="I227" s="20"/>
      <c r="J227" s="82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1"/>
      <c r="C228" s="79">
        <f>+'15'!G228</f>
        <v>0</v>
      </c>
      <c r="D228" s="87">
        <v>0</v>
      </c>
      <c r="E228" s="47">
        <f t="shared" si="17"/>
        <v>0</v>
      </c>
      <c r="F228" s="87">
        <v>0</v>
      </c>
      <c r="G228" s="47">
        <f t="shared" ref="G228:G254" si="19">+E228-F228-H228</f>
        <v>0</v>
      </c>
      <c r="H228" s="88"/>
      <c r="I228" s="20"/>
      <c r="J228" s="82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1"/>
      <c r="C229" s="79">
        <f>+'15'!G229</f>
        <v>0</v>
      </c>
      <c r="D229" s="87">
        <v>0</v>
      </c>
      <c r="E229" s="47">
        <f t="shared" si="17"/>
        <v>0</v>
      </c>
      <c r="F229" s="87">
        <v>0</v>
      </c>
      <c r="G229" s="47">
        <f t="shared" si="19"/>
        <v>0</v>
      </c>
      <c r="H229" s="88"/>
      <c r="I229" s="20"/>
      <c r="J229" s="82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+'15'!G230</f>
        <v>0</v>
      </c>
      <c r="D230" s="87">
        <v>0</v>
      </c>
      <c r="E230" s="47">
        <f t="shared" si="17"/>
        <v>0</v>
      </c>
      <c r="F230" s="87">
        <v>0</v>
      </c>
      <c r="G230" s="47">
        <f t="shared" si="19"/>
        <v>0</v>
      </c>
      <c r="H230" s="88"/>
      <c r="I230" s="20"/>
      <c r="J230" s="82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+'15'!G231</f>
        <v>0</v>
      </c>
      <c r="D231" s="87">
        <v>0</v>
      </c>
      <c r="E231" s="47">
        <f t="shared" si="17"/>
        <v>0</v>
      </c>
      <c r="F231" s="87">
        <v>0</v>
      </c>
      <c r="G231" s="47">
        <f t="shared" si="19"/>
        <v>0</v>
      </c>
      <c r="H231" s="88"/>
      <c r="I231" s="20"/>
      <c r="J231" s="82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+'15'!G232</f>
        <v>0</v>
      </c>
      <c r="D232" s="87">
        <v>0</v>
      </c>
      <c r="E232" s="47">
        <f t="shared" si="17"/>
        <v>0</v>
      </c>
      <c r="F232" s="87">
        <v>0</v>
      </c>
      <c r="G232" s="47">
        <f t="shared" si="19"/>
        <v>0</v>
      </c>
      <c r="H232" s="88"/>
      <c r="I232" s="20"/>
      <c r="J232" s="82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+'15'!G233</f>
        <v>0</v>
      </c>
      <c r="D233" s="87">
        <v>0</v>
      </c>
      <c r="E233" s="47">
        <f t="shared" si="17"/>
        <v>0</v>
      </c>
      <c r="F233" s="87">
        <v>0</v>
      </c>
      <c r="G233" s="47">
        <f t="shared" si="19"/>
        <v>0</v>
      </c>
      <c r="H233" s="88"/>
      <c r="I233" s="20"/>
      <c r="J233" s="82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+'15'!G234</f>
        <v>0</v>
      </c>
      <c r="D234" s="87">
        <v>0</v>
      </c>
      <c r="E234" s="47">
        <f t="shared" si="17"/>
        <v>0</v>
      </c>
      <c r="F234" s="87">
        <v>0</v>
      </c>
      <c r="G234" s="47">
        <f t="shared" si="19"/>
        <v>0</v>
      </c>
      <c r="H234" s="88"/>
      <c r="I234" s="20"/>
      <c r="J234" s="82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+'15'!G235</f>
        <v>0</v>
      </c>
      <c r="D235" s="87">
        <v>0</v>
      </c>
      <c r="E235" s="47">
        <f t="shared" si="17"/>
        <v>0</v>
      </c>
      <c r="F235" s="87">
        <v>0</v>
      </c>
      <c r="G235" s="47">
        <f t="shared" si="19"/>
        <v>0</v>
      </c>
      <c r="H235" s="88"/>
      <c r="I235" s="20"/>
      <c r="J235" s="82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+'15'!G236</f>
        <v>0</v>
      </c>
      <c r="D236" s="87">
        <v>0</v>
      </c>
      <c r="E236" s="47">
        <f t="shared" si="17"/>
        <v>0</v>
      </c>
      <c r="F236" s="87">
        <v>0</v>
      </c>
      <c r="G236" s="47">
        <f t="shared" si="19"/>
        <v>0</v>
      </c>
      <c r="H236" s="88"/>
      <c r="I236" s="20"/>
      <c r="J236" s="82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+'15'!G237</f>
        <v>0</v>
      </c>
      <c r="D237" s="87">
        <v>0</v>
      </c>
      <c r="E237" s="47">
        <f t="shared" si="17"/>
        <v>0</v>
      </c>
      <c r="F237" s="87">
        <v>0</v>
      </c>
      <c r="G237" s="47">
        <f t="shared" si="19"/>
        <v>0</v>
      </c>
      <c r="H237" s="88"/>
      <c r="I237" s="20"/>
      <c r="J237" s="82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+'15'!G238</f>
        <v>0</v>
      </c>
      <c r="D238" s="87">
        <v>0</v>
      </c>
      <c r="E238" s="47">
        <f t="shared" si="17"/>
        <v>0</v>
      </c>
      <c r="F238" s="87">
        <v>0</v>
      </c>
      <c r="G238" s="47">
        <f t="shared" si="19"/>
        <v>0</v>
      </c>
      <c r="H238" s="88"/>
      <c r="I238" s="20"/>
      <c r="J238" s="82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+'15'!G239</f>
        <v>0</v>
      </c>
      <c r="D239" s="87">
        <v>0</v>
      </c>
      <c r="E239" s="47">
        <f t="shared" si="17"/>
        <v>0</v>
      </c>
      <c r="F239" s="87">
        <v>0</v>
      </c>
      <c r="G239" s="47">
        <f t="shared" si="19"/>
        <v>0</v>
      </c>
      <c r="H239" s="88"/>
      <c r="I239" s="20"/>
      <c r="J239" s="82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+'15'!G240</f>
        <v>0</v>
      </c>
      <c r="D240" s="87">
        <v>0</v>
      </c>
      <c r="E240" s="47">
        <f t="shared" si="17"/>
        <v>0</v>
      </c>
      <c r="F240" s="87">
        <v>0</v>
      </c>
      <c r="G240" s="47">
        <f t="shared" si="19"/>
        <v>0</v>
      </c>
      <c r="H240" s="88"/>
      <c r="I240" s="20"/>
      <c r="J240" s="82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+'15'!G241</f>
        <v>0</v>
      </c>
      <c r="D241" s="87">
        <v>0</v>
      </c>
      <c r="E241" s="47">
        <f t="shared" si="17"/>
        <v>0</v>
      </c>
      <c r="F241" s="87">
        <v>0</v>
      </c>
      <c r="G241" s="47">
        <f t="shared" si="19"/>
        <v>0</v>
      </c>
      <c r="H241" s="88"/>
      <c r="I241" s="20"/>
      <c r="J241" s="82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+'15'!G242</f>
        <v>0</v>
      </c>
      <c r="D242" s="87">
        <v>0</v>
      </c>
      <c r="E242" s="47">
        <f t="shared" si="17"/>
        <v>0</v>
      </c>
      <c r="F242" s="87">
        <v>0</v>
      </c>
      <c r="G242" s="47">
        <f t="shared" si="19"/>
        <v>0</v>
      </c>
      <c r="H242" s="88"/>
      <c r="I242" s="20"/>
      <c r="J242" s="82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+'15'!G243</f>
        <v>0</v>
      </c>
      <c r="D243" s="87">
        <v>0</v>
      </c>
      <c r="E243" s="47">
        <f t="shared" si="17"/>
        <v>0</v>
      </c>
      <c r="F243" s="87">
        <v>0</v>
      </c>
      <c r="G243" s="47">
        <f t="shared" si="19"/>
        <v>0</v>
      </c>
      <c r="H243" s="88"/>
      <c r="I243" s="20"/>
      <c r="J243" s="82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+'15'!G244</f>
        <v>0</v>
      </c>
      <c r="D244" s="87">
        <v>0</v>
      </c>
      <c r="E244" s="47">
        <f t="shared" si="17"/>
        <v>0</v>
      </c>
      <c r="F244" s="87">
        <v>0</v>
      </c>
      <c r="G244" s="47">
        <f t="shared" si="19"/>
        <v>0</v>
      </c>
      <c r="H244" s="88"/>
      <c r="I244" s="20"/>
      <c r="J244" s="82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+'15'!G245</f>
        <v>0</v>
      </c>
      <c r="D245" s="87">
        <v>0</v>
      </c>
      <c r="E245" s="47">
        <f t="shared" si="17"/>
        <v>0</v>
      </c>
      <c r="F245" s="87">
        <v>0</v>
      </c>
      <c r="G245" s="47">
        <f t="shared" si="19"/>
        <v>0</v>
      </c>
      <c r="H245" s="88"/>
      <c r="I245" s="20"/>
      <c r="J245" s="82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+'15'!G246</f>
        <v>0</v>
      </c>
      <c r="D246" s="87">
        <v>0</v>
      </c>
      <c r="E246" s="47">
        <f t="shared" si="17"/>
        <v>0</v>
      </c>
      <c r="F246" s="87">
        <v>0</v>
      </c>
      <c r="G246" s="47">
        <f t="shared" si="19"/>
        <v>0</v>
      </c>
      <c r="H246" s="88"/>
      <c r="I246" s="20"/>
      <c r="J246" s="82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+'15'!G247</f>
        <v>0</v>
      </c>
      <c r="D247" s="87">
        <v>0</v>
      </c>
      <c r="E247" s="47">
        <f t="shared" si="17"/>
        <v>0</v>
      </c>
      <c r="F247" s="87">
        <v>0</v>
      </c>
      <c r="G247" s="47">
        <f t="shared" si="19"/>
        <v>0</v>
      </c>
      <c r="H247" s="88"/>
      <c r="I247" s="20"/>
      <c r="J247" s="82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+'15'!G248</f>
        <v>0</v>
      </c>
      <c r="D248" s="87">
        <v>0</v>
      </c>
      <c r="E248" s="47">
        <f t="shared" si="17"/>
        <v>0</v>
      </c>
      <c r="F248" s="87">
        <v>0</v>
      </c>
      <c r="G248" s="47">
        <f t="shared" si="19"/>
        <v>0</v>
      </c>
      <c r="H248" s="88"/>
      <c r="I248" s="20"/>
      <c r="J248" s="82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+'15'!G249</f>
        <v>0</v>
      </c>
      <c r="D249" s="87">
        <v>0</v>
      </c>
      <c r="E249" s="47">
        <f t="shared" si="17"/>
        <v>0</v>
      </c>
      <c r="F249" s="87">
        <v>0</v>
      </c>
      <c r="G249" s="47">
        <f t="shared" si="19"/>
        <v>0</v>
      </c>
      <c r="H249" s="88"/>
      <c r="I249" s="20"/>
      <c r="J249" s="82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+'15'!G250</f>
        <v>0</v>
      </c>
      <c r="D250" s="87">
        <v>0</v>
      </c>
      <c r="E250" s="47">
        <f t="shared" si="17"/>
        <v>0</v>
      </c>
      <c r="F250" s="87">
        <v>0</v>
      </c>
      <c r="G250" s="47">
        <f t="shared" si="19"/>
        <v>0</v>
      </c>
      <c r="H250" s="88"/>
      <c r="I250" s="20"/>
      <c r="J250" s="82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+'15'!G251</f>
        <v>0</v>
      </c>
      <c r="D251" s="87">
        <v>0</v>
      </c>
      <c r="E251" s="47">
        <f t="shared" si="17"/>
        <v>0</v>
      </c>
      <c r="F251" s="87">
        <v>0</v>
      </c>
      <c r="G251" s="47">
        <f t="shared" si="19"/>
        <v>0</v>
      </c>
      <c r="H251" s="88"/>
      <c r="I251" s="20"/>
      <c r="J251" s="82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+'15'!G252</f>
        <v>0</v>
      </c>
      <c r="D252" s="87">
        <v>0</v>
      </c>
      <c r="E252" s="47">
        <f t="shared" si="17"/>
        <v>0</v>
      </c>
      <c r="F252" s="87">
        <v>0</v>
      </c>
      <c r="G252" s="47">
        <f t="shared" si="19"/>
        <v>0</v>
      </c>
      <c r="H252" s="88"/>
      <c r="I252" s="20"/>
      <c r="J252" s="82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+'15'!G253</f>
        <v>0</v>
      </c>
      <c r="D253" s="87">
        <v>0</v>
      </c>
      <c r="E253" s="47">
        <f t="shared" ref="E253:E254" si="21">C253+D253</f>
        <v>0</v>
      </c>
      <c r="F253" s="87">
        <v>0</v>
      </c>
      <c r="G253" s="47">
        <f t="shared" si="19"/>
        <v>0</v>
      </c>
      <c r="H253" s="88"/>
      <c r="I253" s="20"/>
      <c r="J253" s="82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+'15'!G254</f>
        <v>0</v>
      </c>
      <c r="D254" s="87">
        <v>0</v>
      </c>
      <c r="E254" s="47">
        <f t="shared" si="21"/>
        <v>0</v>
      </c>
      <c r="F254" s="87">
        <v>0</v>
      </c>
      <c r="G254" s="47">
        <f t="shared" si="19"/>
        <v>0</v>
      </c>
      <c r="H254" s="88"/>
      <c r="I254" s="20"/>
      <c r="J254" s="82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735</v>
      </c>
    </row>
    <row r="255" spans="1:14" ht="25.5" x14ac:dyDescent="0.55000000000000004">
      <c r="A255" s="1"/>
      <c r="B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3" t="s">
        <v>213</v>
      </c>
      <c r="N255" s="143"/>
    </row>
    <row r="256" spans="1:14" ht="25.5" customHeight="1" x14ac:dyDescent="0.5">
      <c r="A256" s="1"/>
      <c r="B256" s="1"/>
      <c r="C256" s="24"/>
      <c r="D256" s="25"/>
      <c r="E256" s="24"/>
      <c r="F256" s="25"/>
      <c r="G256" s="24"/>
      <c r="H256" s="148" t="s">
        <v>212</v>
      </c>
      <c r="I256" s="149"/>
      <c r="J256" s="30">
        <f>+X138</f>
        <v>0</v>
      </c>
      <c r="K256" s="27"/>
      <c r="L256" s="29"/>
    </row>
    <row r="257" spans="1:14" ht="25.5" x14ac:dyDescent="0.55000000000000004">
      <c r="A257" s="1"/>
      <c r="B257" s="1"/>
      <c r="C257" s="31"/>
      <c r="E257" s="31"/>
      <c r="G257" s="31"/>
      <c r="H257" s="32"/>
      <c r="I257" s="150" t="s">
        <v>202</v>
      </c>
      <c r="J257" s="150"/>
      <c r="K257" s="33">
        <f>SUM(J5:J256)</f>
        <v>735</v>
      </c>
    </row>
    <row r="258" spans="1:14" ht="25.5" x14ac:dyDescent="0.55000000000000004">
      <c r="A258" s="1"/>
      <c r="B258" s="1"/>
      <c r="C258" s="31"/>
      <c r="E258" s="31"/>
      <c r="G258" s="31"/>
      <c r="I258" s="140" t="s">
        <v>203</v>
      </c>
      <c r="J258" s="141"/>
      <c r="K258" s="36">
        <v>15</v>
      </c>
    </row>
    <row r="259" spans="1:14" ht="25.5" x14ac:dyDescent="0.55000000000000004">
      <c r="A259" s="1"/>
      <c r="B259" s="1"/>
      <c r="C259" s="31"/>
      <c r="E259" s="31"/>
      <c r="G259" s="31"/>
      <c r="I259" s="34" t="s">
        <v>204</v>
      </c>
      <c r="J259" s="35"/>
      <c r="K259" s="36">
        <f>SUM(L259:AO259)</f>
        <v>485</v>
      </c>
      <c r="L259" s="2">
        <v>100</v>
      </c>
      <c r="M259" s="2">
        <v>85</v>
      </c>
      <c r="N259" s="2">
        <v>300</v>
      </c>
    </row>
    <row r="260" spans="1:14" ht="25.5" x14ac:dyDescent="0.55000000000000004">
      <c r="A260" s="1"/>
      <c r="B260" s="1"/>
      <c r="C260" s="31"/>
      <c r="E260" s="31"/>
      <c r="G260" s="31"/>
      <c r="I260" s="140" t="s">
        <v>205</v>
      </c>
      <c r="J260" s="141"/>
      <c r="K260" s="36">
        <v>0</v>
      </c>
    </row>
    <row r="261" spans="1:14" ht="25.5" x14ac:dyDescent="0.55000000000000004">
      <c r="A261" s="1"/>
      <c r="B261" s="1"/>
      <c r="C261" s="31"/>
      <c r="E261" s="31"/>
      <c r="G261" s="31"/>
      <c r="I261" s="140" t="s">
        <v>206</v>
      </c>
      <c r="J261" s="141"/>
      <c r="K261" s="36">
        <v>0</v>
      </c>
    </row>
    <row r="262" spans="1:14" ht="25.5" x14ac:dyDescent="0.55000000000000004">
      <c r="A262" s="1"/>
      <c r="B262" s="1"/>
      <c r="C262" s="31"/>
      <c r="E262" s="31"/>
      <c r="G262" s="31"/>
      <c r="I262" s="140" t="s">
        <v>207</v>
      </c>
      <c r="J262" s="141"/>
      <c r="K262" s="37">
        <f>SUM(L5:L255)</f>
        <v>0</v>
      </c>
    </row>
    <row r="263" spans="1:14" ht="25.5" x14ac:dyDescent="0.55000000000000004">
      <c r="A263" s="1"/>
      <c r="B263" s="1"/>
      <c r="C263" s="31"/>
      <c r="E263" s="31"/>
      <c r="G263" s="31"/>
      <c r="I263" s="140" t="s">
        <v>208</v>
      </c>
      <c r="J263" s="141"/>
      <c r="K263" s="33">
        <f>K257-K258-K259-K261-K262</f>
        <v>235</v>
      </c>
    </row>
    <row r="264" spans="1:14" ht="25.5" x14ac:dyDescent="0.55000000000000004">
      <c r="A264" s="1"/>
      <c r="B264" s="1"/>
      <c r="C264" s="31"/>
      <c r="E264" s="31"/>
      <c r="G264" s="31"/>
      <c r="I264" s="140" t="s">
        <v>209</v>
      </c>
      <c r="J264" s="141"/>
      <c r="K264" s="37">
        <v>235</v>
      </c>
    </row>
    <row r="265" spans="1:14" ht="25.5" x14ac:dyDescent="0.55000000000000004">
      <c r="A265" s="1"/>
      <c r="B265" s="1"/>
      <c r="C265" s="31"/>
      <c r="E265" s="31"/>
      <c r="G265" s="31"/>
      <c r="I265" s="140" t="s">
        <v>210</v>
      </c>
      <c r="J265" s="141"/>
      <c r="K265" s="33">
        <f>+K264-K263</f>
        <v>0</v>
      </c>
    </row>
    <row r="266" spans="1:14" ht="25.5" x14ac:dyDescent="0.55000000000000004">
      <c r="G266" s="2"/>
      <c r="I266" s="140" t="s">
        <v>211</v>
      </c>
      <c r="J266" s="141"/>
      <c r="K266" s="33">
        <f>+K264-K263</f>
        <v>0</v>
      </c>
    </row>
    <row r="267" spans="1:14" x14ac:dyDescent="0.5">
      <c r="G267" s="2"/>
      <c r="I267" s="2"/>
    </row>
    <row r="268" spans="1:14" ht="25.5" x14ac:dyDescent="0.55000000000000004">
      <c r="G268" s="2"/>
      <c r="I268" s="105" t="s">
        <v>312</v>
      </c>
    </row>
    <row r="269" spans="1:14" x14ac:dyDescent="0.5">
      <c r="G269" s="2"/>
      <c r="I269" s="2"/>
    </row>
    <row r="270" spans="1:14" x14ac:dyDescent="0.5">
      <c r="G270" s="2"/>
      <c r="I270" s="2"/>
    </row>
    <row r="271" spans="1:14" x14ac:dyDescent="0.5">
      <c r="G271" s="2"/>
      <c r="I271" s="2"/>
    </row>
    <row r="272" spans="1:14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08369-60C7-44DE-99FF-5E082EF8725C}">
  <sheetPr>
    <tabColor theme="7" tint="-0.249977111117893"/>
  </sheetPr>
  <dimension ref="A1:AB341"/>
  <sheetViews>
    <sheetView zoomScaleNormal="100" workbookViewId="0">
      <pane xSplit="7" ySplit="4" topLeftCell="H250" activePane="bottomRight" state="frozen"/>
      <selection activeCell="B20" sqref="B20"/>
      <selection pane="topRight" activeCell="B20" sqref="B20"/>
      <selection pane="bottomLeft" activeCell="B20" sqref="B20"/>
      <selection pane="bottomRight" activeCell="B20" sqref="B20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8" x14ac:dyDescent="0.5">
      <c r="A1" s="1"/>
      <c r="G1" s="2"/>
      <c r="I1" s="2"/>
    </row>
    <row r="2" spans="1:28" s="3" customFormat="1" ht="29.25" x14ac:dyDescent="0.6">
      <c r="A2" s="137" t="s">
        <v>247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8" s="5" customFormat="1" ht="26.25" x14ac:dyDescent="0.55000000000000004">
      <c r="A3" s="139" t="s">
        <v>1</v>
      </c>
      <c r="B3" s="151" t="s">
        <v>2</v>
      </c>
      <c r="C3" s="139" t="s">
        <v>3</v>
      </c>
      <c r="D3" s="139" t="s">
        <v>4</v>
      </c>
      <c r="E3" s="139" t="s">
        <v>5</v>
      </c>
      <c r="F3" s="85" t="s">
        <v>6</v>
      </c>
      <c r="G3" s="139" t="s">
        <v>7</v>
      </c>
      <c r="H3" s="142" t="s">
        <v>8</v>
      </c>
      <c r="I3" s="142"/>
      <c r="J3" s="142"/>
      <c r="K3" s="139" t="s">
        <v>9</v>
      </c>
      <c r="L3" s="144" t="s">
        <v>10</v>
      </c>
      <c r="O3" s="139" t="s">
        <v>1</v>
      </c>
      <c r="P3" s="139" t="s">
        <v>2</v>
      </c>
      <c r="Q3" s="139" t="s">
        <v>3</v>
      </c>
      <c r="R3" s="139" t="s">
        <v>4</v>
      </c>
      <c r="S3" s="139" t="s">
        <v>5</v>
      </c>
      <c r="T3" s="85" t="s">
        <v>6</v>
      </c>
      <c r="U3" s="139" t="s">
        <v>7</v>
      </c>
      <c r="V3" s="142" t="s">
        <v>8</v>
      </c>
      <c r="W3" s="142"/>
      <c r="X3" s="142"/>
      <c r="Y3" s="139" t="s">
        <v>9</v>
      </c>
      <c r="Z3" s="144" t="s">
        <v>10</v>
      </c>
    </row>
    <row r="4" spans="1:28" s="5" customFormat="1" ht="26.25" x14ac:dyDescent="0.55000000000000004">
      <c r="A4" s="139"/>
      <c r="B4" s="151"/>
      <c r="C4" s="139"/>
      <c r="D4" s="139"/>
      <c r="E4" s="139"/>
      <c r="F4" s="85" t="s">
        <v>11</v>
      </c>
      <c r="G4" s="139"/>
      <c r="H4" s="85" t="s">
        <v>12</v>
      </c>
      <c r="I4" s="86" t="s">
        <v>13</v>
      </c>
      <c r="J4" s="85" t="s">
        <v>14</v>
      </c>
      <c r="K4" s="139"/>
      <c r="L4" s="144"/>
      <c r="O4" s="139"/>
      <c r="P4" s="139"/>
      <c r="Q4" s="139"/>
      <c r="R4" s="139"/>
      <c r="S4" s="139"/>
      <c r="T4" s="85" t="s">
        <v>11</v>
      </c>
      <c r="U4" s="139"/>
      <c r="V4" s="85" t="s">
        <v>12</v>
      </c>
      <c r="W4" s="86" t="s">
        <v>13</v>
      </c>
      <c r="X4" s="85" t="s">
        <v>14</v>
      </c>
      <c r="Y4" s="139"/>
      <c r="Z4" s="144"/>
      <c r="AB4" s="5" t="s">
        <v>2</v>
      </c>
    </row>
    <row r="5" spans="1:28" ht="25.5" x14ac:dyDescent="0.55000000000000004">
      <c r="A5" s="10">
        <v>1</v>
      </c>
      <c r="B5" s="19" t="s">
        <v>15</v>
      </c>
      <c r="C5" s="79">
        <f>+'16'!G5</f>
        <v>18</v>
      </c>
      <c r="D5" s="87">
        <v>0</v>
      </c>
      <c r="E5" s="47">
        <f t="shared" ref="E5:E125" si="0">C5+D5</f>
        <v>18</v>
      </c>
      <c r="F5" s="87">
        <v>0</v>
      </c>
      <c r="G5" s="47">
        <f>+E5-F5-H5</f>
        <v>17</v>
      </c>
      <c r="H5" s="88">
        <v>1</v>
      </c>
      <c r="I5" s="15">
        <v>50</v>
      </c>
      <c r="J5" s="82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9"/>
      <c r="Q5" s="47">
        <v>0</v>
      </c>
      <c r="R5" s="87">
        <v>0</v>
      </c>
      <c r="S5" s="47">
        <f t="shared" ref="S5:S14" si="1">Q5+R5</f>
        <v>0</v>
      </c>
      <c r="T5" s="87">
        <v>0</v>
      </c>
      <c r="U5" s="47">
        <f t="shared" ref="U5:U14" si="2">S5-T5-V5</f>
        <v>0</v>
      </c>
      <c r="V5" s="88">
        <v>0</v>
      </c>
      <c r="W5" s="22"/>
      <c r="X5" s="44">
        <f t="shared" ref="X5:X14" si="3">V5*W5</f>
        <v>0</v>
      </c>
      <c r="Y5" s="17" t="s">
        <v>16</v>
      </c>
      <c r="Z5" s="18">
        <v>0</v>
      </c>
      <c r="AB5" s="2" t="s">
        <v>317</v>
      </c>
    </row>
    <row r="6" spans="1:28" ht="25.5" x14ac:dyDescent="0.55000000000000004">
      <c r="A6" s="10">
        <v>2</v>
      </c>
      <c r="B6" s="19" t="s">
        <v>17</v>
      </c>
      <c r="C6" s="79">
        <f>+'16'!G6</f>
        <v>24</v>
      </c>
      <c r="D6" s="87">
        <v>0</v>
      </c>
      <c r="E6" s="47">
        <f t="shared" si="0"/>
        <v>24</v>
      </c>
      <c r="F6" s="87">
        <v>0</v>
      </c>
      <c r="G6" s="47">
        <f t="shared" ref="G6:G100" si="4">+E6-F6-H6</f>
        <v>23</v>
      </c>
      <c r="H6" s="88">
        <v>1</v>
      </c>
      <c r="I6" s="15">
        <v>100</v>
      </c>
      <c r="J6" s="82">
        <f t="shared" ref="J6:J100" si="5">+I6*H6</f>
        <v>100</v>
      </c>
      <c r="K6" s="17" t="s">
        <v>16</v>
      </c>
      <c r="L6" s="18">
        <v>0</v>
      </c>
      <c r="M6" s="23">
        <f t="shared" ref="M6:M69" si="6">SUM(J6-L6)</f>
        <v>100</v>
      </c>
      <c r="O6" s="10">
        <v>2</v>
      </c>
      <c r="P6" s="19"/>
      <c r="Q6" s="47">
        <v>0</v>
      </c>
      <c r="R6" s="87">
        <v>0</v>
      </c>
      <c r="S6" s="47">
        <f t="shared" si="1"/>
        <v>0</v>
      </c>
      <c r="T6" s="87">
        <v>0</v>
      </c>
      <c r="U6" s="47">
        <f t="shared" si="2"/>
        <v>0</v>
      </c>
      <c r="V6" s="88">
        <v>0</v>
      </c>
      <c r="W6" s="22"/>
      <c r="X6" s="44">
        <f t="shared" si="3"/>
        <v>0</v>
      </c>
      <c r="Y6" s="17" t="s">
        <v>16</v>
      </c>
      <c r="Z6" s="18">
        <v>0</v>
      </c>
      <c r="AB6" s="2" t="s">
        <v>318</v>
      </c>
    </row>
    <row r="7" spans="1:28" ht="25.5" x14ac:dyDescent="0.55000000000000004">
      <c r="A7" s="10">
        <v>3</v>
      </c>
      <c r="B7" s="19" t="s">
        <v>18</v>
      </c>
      <c r="C7" s="79">
        <f>+'16'!G7</f>
        <v>0</v>
      </c>
      <c r="D7" s="87">
        <v>0</v>
      </c>
      <c r="E7" s="47">
        <f>C7+D7</f>
        <v>0</v>
      </c>
      <c r="F7" s="87">
        <v>0</v>
      </c>
      <c r="G7" s="47">
        <f t="shared" si="4"/>
        <v>0</v>
      </c>
      <c r="H7" s="88"/>
      <c r="I7" s="15">
        <v>50</v>
      </c>
      <c r="J7" s="8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7">
        <v>0</v>
      </c>
      <c r="S7" s="47">
        <f t="shared" si="1"/>
        <v>0</v>
      </c>
      <c r="T7" s="87">
        <v>0</v>
      </c>
      <c r="U7" s="47">
        <f t="shared" si="2"/>
        <v>0</v>
      </c>
      <c r="V7" s="88">
        <v>0</v>
      </c>
      <c r="W7" s="22"/>
      <c r="X7" s="44">
        <f t="shared" si="3"/>
        <v>0</v>
      </c>
      <c r="Y7" s="17" t="s">
        <v>16</v>
      </c>
      <c r="Z7" s="18">
        <v>0</v>
      </c>
      <c r="AB7" s="2" t="s">
        <v>319</v>
      </c>
    </row>
    <row r="8" spans="1:28" ht="25.5" x14ac:dyDescent="0.55000000000000004">
      <c r="A8" s="10">
        <v>4</v>
      </c>
      <c r="B8" s="19" t="s">
        <v>19</v>
      </c>
      <c r="C8" s="79">
        <f>+'16'!G8</f>
        <v>0</v>
      </c>
      <c r="D8" s="87">
        <v>0</v>
      </c>
      <c r="E8" s="47">
        <f>C8+D8</f>
        <v>0</v>
      </c>
      <c r="F8" s="87">
        <v>0</v>
      </c>
      <c r="G8" s="47">
        <f t="shared" si="4"/>
        <v>0</v>
      </c>
      <c r="H8" s="88"/>
      <c r="I8" s="15">
        <v>100</v>
      </c>
      <c r="J8" s="8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7">
        <v>0</v>
      </c>
      <c r="S8" s="47">
        <f t="shared" si="1"/>
        <v>0</v>
      </c>
      <c r="T8" s="87">
        <v>0</v>
      </c>
      <c r="U8" s="47">
        <f t="shared" si="2"/>
        <v>0</v>
      </c>
      <c r="V8" s="88">
        <v>0</v>
      </c>
      <c r="W8" s="22"/>
      <c r="X8" s="44">
        <f t="shared" si="3"/>
        <v>0</v>
      </c>
      <c r="Y8" s="17" t="s">
        <v>16</v>
      </c>
      <c r="Z8" s="18">
        <v>0</v>
      </c>
      <c r="AB8" s="2" t="s">
        <v>320</v>
      </c>
    </row>
    <row r="9" spans="1:28" ht="25.5" x14ac:dyDescent="0.55000000000000004">
      <c r="A9" s="10">
        <v>5</v>
      </c>
      <c r="B9" s="19" t="s">
        <v>20</v>
      </c>
      <c r="C9" s="79">
        <f>+'16'!G9</f>
        <v>0</v>
      </c>
      <c r="D9" s="87">
        <v>0</v>
      </c>
      <c r="E9" s="47">
        <f>C9+D9</f>
        <v>0</v>
      </c>
      <c r="F9" s="87">
        <v>0</v>
      </c>
      <c r="G9" s="47">
        <f t="shared" si="4"/>
        <v>0</v>
      </c>
      <c r="H9" s="88"/>
      <c r="I9" s="15">
        <v>12</v>
      </c>
      <c r="J9" s="8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7">
        <v>0</v>
      </c>
      <c r="S9" s="47">
        <f t="shared" si="1"/>
        <v>0</v>
      </c>
      <c r="T9" s="87">
        <v>0</v>
      </c>
      <c r="U9" s="47">
        <f t="shared" si="2"/>
        <v>0</v>
      </c>
      <c r="V9" s="88">
        <v>0</v>
      </c>
      <c r="W9" s="22"/>
      <c r="X9" s="44">
        <f t="shared" si="3"/>
        <v>0</v>
      </c>
      <c r="Y9" s="17" t="s">
        <v>16</v>
      </c>
      <c r="Z9" s="18">
        <v>0</v>
      </c>
      <c r="AB9" s="2" t="s">
        <v>307</v>
      </c>
    </row>
    <row r="10" spans="1:28" ht="25.5" x14ac:dyDescent="0.55000000000000004">
      <c r="A10" s="10">
        <v>6</v>
      </c>
      <c r="B10" s="19" t="s">
        <v>21</v>
      </c>
      <c r="C10" s="79">
        <f>+'16'!G10</f>
        <v>0</v>
      </c>
      <c r="D10" s="87">
        <v>0</v>
      </c>
      <c r="E10" s="47">
        <f>C10+D10</f>
        <v>0</v>
      </c>
      <c r="F10" s="87">
        <v>0</v>
      </c>
      <c r="G10" s="47">
        <f t="shared" si="4"/>
        <v>0</v>
      </c>
      <c r="H10" s="88"/>
      <c r="I10" s="15">
        <v>15</v>
      </c>
      <c r="J10" s="8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7">
        <v>0</v>
      </c>
      <c r="S10" s="47">
        <f t="shared" si="1"/>
        <v>0</v>
      </c>
      <c r="T10" s="87">
        <v>0</v>
      </c>
      <c r="U10" s="47">
        <f t="shared" si="2"/>
        <v>0</v>
      </c>
      <c r="V10" s="88">
        <v>0</v>
      </c>
      <c r="W10" s="22"/>
      <c r="X10" s="44">
        <f t="shared" si="3"/>
        <v>0</v>
      </c>
      <c r="Y10" s="17" t="s">
        <v>16</v>
      </c>
      <c r="Z10" s="18">
        <v>0</v>
      </c>
      <c r="AB10" s="2" t="s">
        <v>311</v>
      </c>
    </row>
    <row r="11" spans="1:28" ht="25.5" x14ac:dyDescent="0.55000000000000004">
      <c r="A11" s="10">
        <v>7</v>
      </c>
      <c r="B11" s="19" t="s">
        <v>22</v>
      </c>
      <c r="C11" s="79">
        <f>+'16'!G11</f>
        <v>0</v>
      </c>
      <c r="D11" s="87">
        <v>0</v>
      </c>
      <c r="E11" s="47">
        <f t="shared" si="0"/>
        <v>0</v>
      </c>
      <c r="F11" s="87">
        <v>0</v>
      </c>
      <c r="G11" s="47">
        <f t="shared" si="4"/>
        <v>0</v>
      </c>
      <c r="H11" s="88"/>
      <c r="I11" s="15">
        <v>40</v>
      </c>
      <c r="J11" s="8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7">
        <v>0</v>
      </c>
      <c r="S11" s="47">
        <f t="shared" si="1"/>
        <v>0</v>
      </c>
      <c r="T11" s="87">
        <v>0</v>
      </c>
      <c r="U11" s="47">
        <f t="shared" si="2"/>
        <v>0</v>
      </c>
      <c r="V11" s="88">
        <v>0</v>
      </c>
      <c r="W11" s="22"/>
      <c r="X11" s="44">
        <f t="shared" si="3"/>
        <v>0</v>
      </c>
      <c r="Y11" s="17" t="s">
        <v>16</v>
      </c>
      <c r="Z11" s="18">
        <v>0</v>
      </c>
      <c r="AB11" s="2" t="s">
        <v>321</v>
      </c>
    </row>
    <row r="12" spans="1:28" ht="25.5" x14ac:dyDescent="0.55000000000000004">
      <c r="A12" s="10">
        <v>8</v>
      </c>
      <c r="B12" s="19" t="s">
        <v>23</v>
      </c>
      <c r="C12" s="79">
        <f>+'16'!G12</f>
        <v>0</v>
      </c>
      <c r="D12" s="87">
        <v>0</v>
      </c>
      <c r="E12" s="47">
        <f t="shared" si="0"/>
        <v>0</v>
      </c>
      <c r="F12" s="87">
        <v>0</v>
      </c>
      <c r="G12" s="47">
        <f t="shared" si="4"/>
        <v>0</v>
      </c>
      <c r="H12" s="88"/>
      <c r="I12" s="20">
        <v>50</v>
      </c>
      <c r="J12" s="8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7">
        <v>0</v>
      </c>
      <c r="S12" s="47">
        <f t="shared" si="1"/>
        <v>0</v>
      </c>
      <c r="T12" s="87">
        <v>0</v>
      </c>
      <c r="U12" s="47">
        <f t="shared" si="2"/>
        <v>0</v>
      </c>
      <c r="V12" s="88">
        <v>0</v>
      </c>
      <c r="W12" s="22"/>
      <c r="X12" s="44">
        <f t="shared" si="3"/>
        <v>0</v>
      </c>
      <c r="Y12" s="17" t="s">
        <v>16</v>
      </c>
      <c r="Z12" s="18">
        <v>0</v>
      </c>
      <c r="AB12" s="2" t="s">
        <v>289</v>
      </c>
    </row>
    <row r="13" spans="1:28" ht="25.5" x14ac:dyDescent="0.55000000000000004">
      <c r="A13" s="10">
        <v>9</v>
      </c>
      <c r="B13" s="19" t="s">
        <v>24</v>
      </c>
      <c r="C13" s="79">
        <f>+'16'!G13</f>
        <v>0</v>
      </c>
      <c r="D13" s="87">
        <v>0</v>
      </c>
      <c r="E13" s="47">
        <f>C13+D13</f>
        <v>0</v>
      </c>
      <c r="F13" s="87">
        <v>0</v>
      </c>
      <c r="G13" s="47">
        <f t="shared" si="4"/>
        <v>0</v>
      </c>
      <c r="H13" s="88"/>
      <c r="I13" s="20">
        <v>55</v>
      </c>
      <c r="J13" s="8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7">
        <v>0</v>
      </c>
      <c r="S13" s="47">
        <f t="shared" si="1"/>
        <v>0</v>
      </c>
      <c r="T13" s="87">
        <v>0</v>
      </c>
      <c r="U13" s="47">
        <f t="shared" si="2"/>
        <v>0</v>
      </c>
      <c r="V13" s="88">
        <v>0</v>
      </c>
      <c r="W13" s="22"/>
      <c r="X13" s="44">
        <f t="shared" si="3"/>
        <v>0</v>
      </c>
      <c r="Y13" s="17" t="s">
        <v>16</v>
      </c>
      <c r="Z13" s="18">
        <v>0</v>
      </c>
      <c r="AB13" s="2" t="s">
        <v>322</v>
      </c>
    </row>
    <row r="14" spans="1:28" ht="25.5" x14ac:dyDescent="0.55000000000000004">
      <c r="A14" s="10">
        <v>10</v>
      </c>
      <c r="B14" s="19" t="s">
        <v>25</v>
      </c>
      <c r="C14" s="79">
        <f>+'16'!G14</f>
        <v>0</v>
      </c>
      <c r="D14" s="87">
        <v>0</v>
      </c>
      <c r="E14" s="47">
        <f t="shared" si="0"/>
        <v>0</v>
      </c>
      <c r="F14" s="87">
        <v>0</v>
      </c>
      <c r="G14" s="47">
        <f t="shared" si="4"/>
        <v>0</v>
      </c>
      <c r="H14" s="88"/>
      <c r="I14" s="20">
        <v>65</v>
      </c>
      <c r="J14" s="8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7">
        <v>0</v>
      </c>
      <c r="S14" s="47">
        <f t="shared" si="1"/>
        <v>0</v>
      </c>
      <c r="T14" s="87">
        <v>0</v>
      </c>
      <c r="U14" s="47">
        <f t="shared" si="2"/>
        <v>0</v>
      </c>
      <c r="V14" s="88">
        <v>0</v>
      </c>
      <c r="W14" s="22"/>
      <c r="X14" s="44">
        <f t="shared" si="3"/>
        <v>0</v>
      </c>
      <c r="Y14" s="17" t="s">
        <v>16</v>
      </c>
      <c r="Z14" s="18">
        <v>0</v>
      </c>
      <c r="AB14" s="2" t="s">
        <v>306</v>
      </c>
    </row>
    <row r="15" spans="1:28" ht="25.5" x14ac:dyDescent="0.55000000000000004">
      <c r="A15" s="10">
        <v>11</v>
      </c>
      <c r="B15" s="19" t="s">
        <v>26</v>
      </c>
      <c r="C15" s="79">
        <f>+'16'!G15</f>
        <v>0</v>
      </c>
      <c r="D15" s="87">
        <v>0</v>
      </c>
      <c r="E15" s="47">
        <f t="shared" si="0"/>
        <v>0</v>
      </c>
      <c r="F15" s="87">
        <v>0</v>
      </c>
      <c r="G15" s="47">
        <f t="shared" si="4"/>
        <v>0</v>
      </c>
      <c r="H15" s="88"/>
      <c r="I15" s="20">
        <v>50</v>
      </c>
      <c r="J15" s="8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7">
        <v>0</v>
      </c>
      <c r="S15" s="47">
        <f t="shared" ref="S15:S29" si="7">Q15+R15</f>
        <v>0</v>
      </c>
      <c r="T15" s="87">
        <v>0</v>
      </c>
      <c r="U15" s="47">
        <f t="shared" ref="U15:U29" si="8">S15-T15-V15</f>
        <v>0</v>
      </c>
      <c r="V15" s="88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8" ht="25.5" x14ac:dyDescent="0.55000000000000004">
      <c r="A16" s="10">
        <v>12</v>
      </c>
      <c r="B16" s="19" t="s">
        <v>27</v>
      </c>
      <c r="C16" s="79">
        <f>+'16'!G16</f>
        <v>0</v>
      </c>
      <c r="D16" s="87">
        <v>0</v>
      </c>
      <c r="E16" s="47">
        <f t="shared" si="0"/>
        <v>0</v>
      </c>
      <c r="F16" s="87">
        <v>0</v>
      </c>
      <c r="G16" s="47">
        <f t="shared" si="4"/>
        <v>0</v>
      </c>
      <c r="H16" s="88"/>
      <c r="I16" s="15">
        <v>50</v>
      </c>
      <c r="J16" s="8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7">
        <v>0</v>
      </c>
      <c r="S16" s="47">
        <f t="shared" si="7"/>
        <v>0</v>
      </c>
      <c r="T16" s="87">
        <v>0</v>
      </c>
      <c r="U16" s="47">
        <f t="shared" si="8"/>
        <v>0</v>
      </c>
      <c r="V16" s="88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+'16'!G17</f>
        <v>0</v>
      </c>
      <c r="D17" s="87">
        <v>0</v>
      </c>
      <c r="E17" s="47">
        <f t="shared" si="0"/>
        <v>0</v>
      </c>
      <c r="F17" s="87">
        <v>0</v>
      </c>
      <c r="G17" s="47">
        <f t="shared" si="4"/>
        <v>0</v>
      </c>
      <c r="H17" s="88"/>
      <c r="I17" s="15">
        <v>50</v>
      </c>
      <c r="J17" s="8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7">
        <v>0</v>
      </c>
      <c r="S17" s="47">
        <f t="shared" si="7"/>
        <v>0</v>
      </c>
      <c r="T17" s="87">
        <v>0</v>
      </c>
      <c r="U17" s="47">
        <f t="shared" si="8"/>
        <v>0</v>
      </c>
      <c r="V17" s="88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+'16'!G18</f>
        <v>0</v>
      </c>
      <c r="D18" s="87">
        <v>0</v>
      </c>
      <c r="E18" s="47">
        <f t="shared" si="0"/>
        <v>0</v>
      </c>
      <c r="F18" s="87">
        <v>0</v>
      </c>
      <c r="G18" s="47">
        <f t="shared" si="4"/>
        <v>0</v>
      </c>
      <c r="H18" s="88"/>
      <c r="I18" s="20">
        <v>50</v>
      </c>
      <c r="J18" s="8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7">
        <v>0</v>
      </c>
      <c r="S18" s="47">
        <f t="shared" si="7"/>
        <v>0</v>
      </c>
      <c r="T18" s="87">
        <v>0</v>
      </c>
      <c r="U18" s="47">
        <f t="shared" si="8"/>
        <v>0</v>
      </c>
      <c r="V18" s="88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329</v>
      </c>
      <c r="C19" s="79">
        <f>+'16'!G19</f>
        <v>0</v>
      </c>
      <c r="D19" s="87">
        <v>0</v>
      </c>
      <c r="E19" s="47">
        <f t="shared" si="0"/>
        <v>0</v>
      </c>
      <c r="F19" s="87">
        <v>0</v>
      </c>
      <c r="G19" s="47">
        <f t="shared" si="4"/>
        <v>0</v>
      </c>
      <c r="H19" s="88"/>
      <c r="I19" s="15">
        <v>50</v>
      </c>
      <c r="J19" s="8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7">
        <v>0</v>
      </c>
      <c r="S19" s="47">
        <f t="shared" si="7"/>
        <v>0</v>
      </c>
      <c r="T19" s="87">
        <v>0</v>
      </c>
      <c r="U19" s="47">
        <f t="shared" si="8"/>
        <v>0</v>
      </c>
      <c r="V19" s="88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+'16'!G20</f>
        <v>0</v>
      </c>
      <c r="D20" s="87">
        <v>0</v>
      </c>
      <c r="E20" s="47">
        <f t="shared" si="0"/>
        <v>0</v>
      </c>
      <c r="F20" s="87">
        <v>0</v>
      </c>
      <c r="G20" s="47">
        <f t="shared" si="4"/>
        <v>0</v>
      </c>
      <c r="H20" s="88"/>
      <c r="I20" s="15">
        <v>50</v>
      </c>
      <c r="J20" s="8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7">
        <v>0</v>
      </c>
      <c r="S20" s="47">
        <f t="shared" si="7"/>
        <v>0</v>
      </c>
      <c r="T20" s="87">
        <v>0</v>
      </c>
      <c r="U20" s="47">
        <f t="shared" si="8"/>
        <v>0</v>
      </c>
      <c r="V20" s="88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+'16'!G21</f>
        <v>0</v>
      </c>
      <c r="D21" s="87">
        <v>0</v>
      </c>
      <c r="E21" s="47">
        <f t="shared" si="0"/>
        <v>0</v>
      </c>
      <c r="F21" s="87">
        <v>0</v>
      </c>
      <c r="G21" s="47">
        <f t="shared" si="4"/>
        <v>0</v>
      </c>
      <c r="H21" s="88"/>
      <c r="I21" s="15">
        <v>50</v>
      </c>
      <c r="J21" s="8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7">
        <v>0</v>
      </c>
      <c r="S21" s="47">
        <f t="shared" si="7"/>
        <v>0</v>
      </c>
      <c r="T21" s="87">
        <v>0</v>
      </c>
      <c r="U21" s="47">
        <f t="shared" si="8"/>
        <v>0</v>
      </c>
      <c r="V21" s="88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+'16'!G22</f>
        <v>6</v>
      </c>
      <c r="D22" s="87">
        <v>0</v>
      </c>
      <c r="E22" s="47">
        <f t="shared" si="0"/>
        <v>6</v>
      </c>
      <c r="F22" s="87">
        <v>0</v>
      </c>
      <c r="G22" s="47">
        <f t="shared" si="4"/>
        <v>5</v>
      </c>
      <c r="H22" s="88">
        <v>1</v>
      </c>
      <c r="I22" s="15">
        <v>85</v>
      </c>
      <c r="J22" s="82">
        <f t="shared" si="5"/>
        <v>85</v>
      </c>
      <c r="K22" s="17" t="s">
        <v>16</v>
      </c>
      <c r="L22" s="18">
        <v>0</v>
      </c>
      <c r="M22" s="23">
        <f t="shared" si="6"/>
        <v>85</v>
      </c>
      <c r="O22" s="10">
        <v>18</v>
      </c>
      <c r="P22" s="19"/>
      <c r="Q22" s="47">
        <v>0</v>
      </c>
      <c r="R22" s="87">
        <v>0</v>
      </c>
      <c r="S22" s="47">
        <f t="shared" si="7"/>
        <v>0</v>
      </c>
      <c r="T22" s="87">
        <v>0</v>
      </c>
      <c r="U22" s="47">
        <f t="shared" si="8"/>
        <v>0</v>
      </c>
      <c r="V22" s="88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+'16'!G23</f>
        <v>5</v>
      </c>
      <c r="D23" s="87">
        <v>0</v>
      </c>
      <c r="E23" s="47">
        <f t="shared" si="0"/>
        <v>5</v>
      </c>
      <c r="F23" s="87">
        <v>0</v>
      </c>
      <c r="G23" s="47">
        <f t="shared" si="4"/>
        <v>1</v>
      </c>
      <c r="H23" s="88">
        <v>4</v>
      </c>
      <c r="I23" s="15">
        <v>100</v>
      </c>
      <c r="J23" s="82">
        <f t="shared" si="5"/>
        <v>400</v>
      </c>
      <c r="K23" s="17" t="s">
        <v>16</v>
      </c>
      <c r="L23" s="18">
        <v>0</v>
      </c>
      <c r="M23" s="23">
        <f t="shared" si="6"/>
        <v>400</v>
      </c>
      <c r="O23" s="10">
        <v>19</v>
      </c>
      <c r="P23" s="19"/>
      <c r="Q23" s="47">
        <v>0</v>
      </c>
      <c r="R23" s="87">
        <v>0</v>
      </c>
      <c r="S23" s="47">
        <f t="shared" si="7"/>
        <v>0</v>
      </c>
      <c r="T23" s="87">
        <v>0</v>
      </c>
      <c r="U23" s="47">
        <f t="shared" si="8"/>
        <v>0</v>
      </c>
      <c r="V23" s="88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+'16'!G24</f>
        <v>5</v>
      </c>
      <c r="D24" s="87">
        <v>0</v>
      </c>
      <c r="E24" s="47">
        <f t="shared" si="0"/>
        <v>5</v>
      </c>
      <c r="F24" s="87">
        <v>0</v>
      </c>
      <c r="G24" s="47">
        <f t="shared" si="4"/>
        <v>5</v>
      </c>
      <c r="H24" s="88"/>
      <c r="I24" s="21">
        <v>100</v>
      </c>
      <c r="J24" s="8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7">
        <v>0</v>
      </c>
      <c r="S24" s="47">
        <f t="shared" si="7"/>
        <v>0</v>
      </c>
      <c r="T24" s="87">
        <v>0</v>
      </c>
      <c r="U24" s="47">
        <f t="shared" si="8"/>
        <v>0</v>
      </c>
      <c r="V24" s="88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+'16'!G25</f>
        <v>0</v>
      </c>
      <c r="D25" s="87">
        <v>0</v>
      </c>
      <c r="E25" s="47">
        <f t="shared" si="0"/>
        <v>0</v>
      </c>
      <c r="F25" s="87">
        <v>0</v>
      </c>
      <c r="G25" s="47">
        <f t="shared" si="4"/>
        <v>0</v>
      </c>
      <c r="H25" s="88"/>
      <c r="I25" s="21">
        <v>100</v>
      </c>
      <c r="J25" s="8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7">
        <v>0</v>
      </c>
      <c r="S25" s="47">
        <f t="shared" si="7"/>
        <v>0</v>
      </c>
      <c r="T25" s="87">
        <v>0</v>
      </c>
      <c r="U25" s="47">
        <f t="shared" si="8"/>
        <v>0</v>
      </c>
      <c r="V25" s="88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+'16'!G26</f>
        <v>0</v>
      </c>
      <c r="D26" s="87">
        <v>0</v>
      </c>
      <c r="E26" s="47">
        <f t="shared" si="0"/>
        <v>0</v>
      </c>
      <c r="F26" s="87">
        <v>0</v>
      </c>
      <c r="G26" s="47">
        <f t="shared" si="4"/>
        <v>0</v>
      </c>
      <c r="H26" s="88"/>
      <c r="I26" s="21">
        <v>100</v>
      </c>
      <c r="J26" s="8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7">
        <v>0</v>
      </c>
      <c r="S26" s="47">
        <f t="shared" si="7"/>
        <v>0</v>
      </c>
      <c r="T26" s="87">
        <v>0</v>
      </c>
      <c r="U26" s="47">
        <f t="shared" si="8"/>
        <v>0</v>
      </c>
      <c r="V26" s="88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+'16'!G27</f>
        <v>0</v>
      </c>
      <c r="D27" s="87">
        <v>0</v>
      </c>
      <c r="E27" s="47">
        <f t="shared" si="0"/>
        <v>0</v>
      </c>
      <c r="F27" s="87">
        <v>0</v>
      </c>
      <c r="G27" s="47">
        <f t="shared" si="4"/>
        <v>0</v>
      </c>
      <c r="H27" s="88"/>
      <c r="I27" s="20">
        <v>100</v>
      </c>
      <c r="J27" s="8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7">
        <v>0</v>
      </c>
      <c r="S27" s="47">
        <f t="shared" si="7"/>
        <v>0</v>
      </c>
      <c r="T27" s="87">
        <v>0</v>
      </c>
      <c r="U27" s="47">
        <f t="shared" si="8"/>
        <v>0</v>
      </c>
      <c r="V27" s="88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+'16'!G28</f>
        <v>0</v>
      </c>
      <c r="D28" s="87">
        <v>0</v>
      </c>
      <c r="E28" s="47">
        <f t="shared" si="0"/>
        <v>0</v>
      </c>
      <c r="F28" s="87">
        <v>0</v>
      </c>
      <c r="G28" s="47">
        <f t="shared" si="4"/>
        <v>0</v>
      </c>
      <c r="H28" s="88"/>
      <c r="I28" s="20">
        <v>100</v>
      </c>
      <c r="J28" s="8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7">
        <v>0</v>
      </c>
      <c r="S28" s="47">
        <f t="shared" si="7"/>
        <v>0</v>
      </c>
      <c r="T28" s="87">
        <v>0</v>
      </c>
      <c r="U28" s="47">
        <f t="shared" si="8"/>
        <v>0</v>
      </c>
      <c r="V28" s="88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+'16'!G29</f>
        <v>2</v>
      </c>
      <c r="D29" s="87">
        <v>0</v>
      </c>
      <c r="E29" s="47">
        <f t="shared" si="0"/>
        <v>2</v>
      </c>
      <c r="F29" s="87">
        <v>0</v>
      </c>
      <c r="G29" s="47">
        <f t="shared" si="4"/>
        <v>2</v>
      </c>
      <c r="H29" s="88"/>
      <c r="I29" s="15">
        <v>100</v>
      </c>
      <c r="J29" s="8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7">
        <v>0</v>
      </c>
      <c r="S29" s="47">
        <f t="shared" si="7"/>
        <v>0</v>
      </c>
      <c r="T29" s="87">
        <v>0</v>
      </c>
      <c r="U29" s="47">
        <f t="shared" si="8"/>
        <v>0</v>
      </c>
      <c r="V29" s="88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+'16'!G30</f>
        <v>0</v>
      </c>
      <c r="D30" s="87">
        <v>0</v>
      </c>
      <c r="E30" s="47">
        <f t="shared" si="0"/>
        <v>0</v>
      </c>
      <c r="F30" s="87">
        <v>0</v>
      </c>
      <c r="G30" s="47">
        <f t="shared" si="4"/>
        <v>0</v>
      </c>
      <c r="H30" s="88"/>
      <c r="I30" s="15">
        <v>100</v>
      </c>
      <c r="J30" s="8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+'16'!G31</f>
        <v>1</v>
      </c>
      <c r="D31" s="87">
        <v>0</v>
      </c>
      <c r="E31" s="47">
        <f t="shared" si="0"/>
        <v>1</v>
      </c>
      <c r="F31" s="87">
        <v>0</v>
      </c>
      <c r="G31" s="47">
        <f t="shared" si="4"/>
        <v>1</v>
      </c>
      <c r="H31" s="88"/>
      <c r="I31" s="15">
        <v>100</v>
      </c>
      <c r="J31" s="82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+'16'!G32</f>
        <v>0</v>
      </c>
      <c r="D32" s="87">
        <v>0</v>
      </c>
      <c r="E32" s="47">
        <f t="shared" si="0"/>
        <v>0</v>
      </c>
      <c r="F32" s="87">
        <v>0</v>
      </c>
      <c r="G32" s="47">
        <f t="shared" si="4"/>
        <v>0</v>
      </c>
      <c r="H32" s="88"/>
      <c r="I32" s="15">
        <v>130</v>
      </c>
      <c r="J32" s="82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5" t="s">
        <v>119</v>
      </c>
      <c r="Q32" s="146"/>
      <c r="R32" s="146"/>
      <c r="S32" s="146"/>
      <c r="T32" s="146"/>
      <c r="U32" s="146"/>
      <c r="V32" s="146"/>
      <c r="W32" s="147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+'16'!G33</f>
        <v>12</v>
      </c>
      <c r="D33" s="87">
        <v>0</v>
      </c>
      <c r="E33" s="47">
        <f t="shared" si="0"/>
        <v>12</v>
      </c>
      <c r="F33" s="87">
        <v>0</v>
      </c>
      <c r="G33" s="47">
        <f t="shared" si="4"/>
        <v>12</v>
      </c>
      <c r="H33" s="88"/>
      <c r="I33" s="15">
        <v>130</v>
      </c>
      <c r="J33" s="82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v>14</v>
      </c>
      <c r="D34" s="87">
        <v>0</v>
      </c>
      <c r="E34" s="47">
        <f t="shared" si="0"/>
        <v>14</v>
      </c>
      <c r="F34" s="87">
        <v>0</v>
      </c>
      <c r="G34" s="47">
        <f t="shared" si="4"/>
        <v>13</v>
      </c>
      <c r="H34" s="88">
        <v>1</v>
      </c>
      <c r="I34" s="15">
        <v>130</v>
      </c>
      <c r="J34" s="82">
        <f t="shared" si="5"/>
        <v>130</v>
      </c>
      <c r="K34" s="17" t="s">
        <v>16</v>
      </c>
      <c r="L34" s="18">
        <v>0</v>
      </c>
      <c r="M34" s="23">
        <f t="shared" si="6"/>
        <v>130</v>
      </c>
    </row>
    <row r="35" spans="1:13" ht="25.5" x14ac:dyDescent="0.55000000000000004">
      <c r="A35" s="10">
        <v>31</v>
      </c>
      <c r="B35" s="19" t="s">
        <v>46</v>
      </c>
      <c r="C35" s="79">
        <f>+'16'!G35</f>
        <v>0</v>
      </c>
      <c r="D35" s="87">
        <v>0</v>
      </c>
      <c r="E35" s="47">
        <f t="shared" si="0"/>
        <v>0</v>
      </c>
      <c r="F35" s="87">
        <v>0</v>
      </c>
      <c r="G35" s="47">
        <f t="shared" si="4"/>
        <v>0</v>
      </c>
      <c r="H35" s="88"/>
      <c r="I35" s="15">
        <v>130</v>
      </c>
      <c r="J35" s="82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+'16'!G36</f>
        <v>0</v>
      </c>
      <c r="D36" s="87">
        <v>0</v>
      </c>
      <c r="E36" s="47">
        <f t="shared" si="0"/>
        <v>0</v>
      </c>
      <c r="F36" s="87">
        <v>0</v>
      </c>
      <c r="G36" s="47">
        <f t="shared" si="4"/>
        <v>0</v>
      </c>
      <c r="H36" s="88"/>
      <c r="I36" s="15">
        <v>100</v>
      </c>
      <c r="J36" s="82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+'16'!G37</f>
        <v>0</v>
      </c>
      <c r="D37" s="87">
        <v>0</v>
      </c>
      <c r="E37" s="47">
        <f t="shared" si="0"/>
        <v>0</v>
      </c>
      <c r="F37" s="87">
        <v>0</v>
      </c>
      <c r="G37" s="47">
        <f t="shared" si="4"/>
        <v>0</v>
      </c>
      <c r="H37" s="88"/>
      <c r="I37" s="15">
        <v>100</v>
      </c>
      <c r="J37" s="82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 t="s">
        <v>49</v>
      </c>
      <c r="C38" s="79">
        <f>+'16'!G38</f>
        <v>5</v>
      </c>
      <c r="D38" s="87">
        <v>0</v>
      </c>
      <c r="E38" s="47">
        <f t="shared" si="0"/>
        <v>5</v>
      </c>
      <c r="F38" s="87">
        <v>0</v>
      </c>
      <c r="G38" s="47">
        <f t="shared" si="4"/>
        <v>1</v>
      </c>
      <c r="H38" s="88">
        <v>4</v>
      </c>
      <c r="I38" s="15">
        <v>50</v>
      </c>
      <c r="J38" s="82">
        <f t="shared" si="5"/>
        <v>200</v>
      </c>
      <c r="K38" s="17" t="s">
        <v>16</v>
      </c>
      <c r="L38" s="18">
        <v>50</v>
      </c>
      <c r="M38" s="23">
        <f t="shared" si="6"/>
        <v>150</v>
      </c>
    </row>
    <row r="39" spans="1:13" ht="25.5" x14ac:dyDescent="0.55000000000000004">
      <c r="A39" s="10">
        <v>35</v>
      </c>
      <c r="B39" s="19" t="s">
        <v>50</v>
      </c>
      <c r="C39" s="79">
        <f>+'16'!G39</f>
        <v>8</v>
      </c>
      <c r="D39" s="87">
        <v>0</v>
      </c>
      <c r="E39" s="47">
        <f t="shared" si="0"/>
        <v>8</v>
      </c>
      <c r="F39" s="87">
        <v>0</v>
      </c>
      <c r="G39" s="47">
        <f t="shared" si="4"/>
        <v>7</v>
      </c>
      <c r="H39" s="88">
        <v>1</v>
      </c>
      <c r="I39" s="15">
        <v>50</v>
      </c>
      <c r="J39" s="82">
        <f t="shared" si="5"/>
        <v>50</v>
      </c>
      <c r="K39" s="17" t="s">
        <v>16</v>
      </c>
      <c r="L39" s="18">
        <v>0</v>
      </c>
      <c r="M39" s="23">
        <f t="shared" si="6"/>
        <v>50</v>
      </c>
    </row>
    <row r="40" spans="1:13" ht="25.5" x14ac:dyDescent="0.55000000000000004">
      <c r="A40" s="10">
        <v>36</v>
      </c>
      <c r="B40" s="19" t="s">
        <v>51</v>
      </c>
      <c r="C40" s="79">
        <f>+'16'!G40</f>
        <v>9</v>
      </c>
      <c r="D40" s="87">
        <v>0</v>
      </c>
      <c r="E40" s="47">
        <f t="shared" si="0"/>
        <v>9</v>
      </c>
      <c r="F40" s="87">
        <v>0</v>
      </c>
      <c r="G40" s="47">
        <f t="shared" si="4"/>
        <v>7</v>
      </c>
      <c r="H40" s="88">
        <v>2</v>
      </c>
      <c r="I40" s="15">
        <v>50</v>
      </c>
      <c r="J40" s="82">
        <f t="shared" si="5"/>
        <v>100</v>
      </c>
      <c r="K40" s="17" t="s">
        <v>16</v>
      </c>
      <c r="L40" s="18">
        <v>0</v>
      </c>
      <c r="M40" s="23">
        <f t="shared" si="6"/>
        <v>100</v>
      </c>
    </row>
    <row r="41" spans="1:13" ht="25.5" x14ac:dyDescent="0.55000000000000004">
      <c r="A41" s="10">
        <v>37</v>
      </c>
      <c r="B41" s="19" t="s">
        <v>52</v>
      </c>
      <c r="C41" s="79">
        <f>+'16'!G41</f>
        <v>0</v>
      </c>
      <c r="D41" s="87">
        <v>0</v>
      </c>
      <c r="E41" s="47">
        <f t="shared" si="0"/>
        <v>0</v>
      </c>
      <c r="F41" s="87">
        <v>0</v>
      </c>
      <c r="G41" s="47">
        <f t="shared" si="4"/>
        <v>0</v>
      </c>
      <c r="H41" s="88"/>
      <c r="I41" s="15">
        <v>50</v>
      </c>
      <c r="J41" s="82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285</v>
      </c>
      <c r="C42" s="79">
        <f>+'16'!G42</f>
        <v>0</v>
      </c>
      <c r="D42" s="87">
        <v>0</v>
      </c>
      <c r="E42" s="47">
        <f t="shared" si="0"/>
        <v>0</v>
      </c>
      <c r="F42" s="87">
        <v>0</v>
      </c>
      <c r="G42" s="47">
        <f t="shared" si="4"/>
        <v>0</v>
      </c>
      <c r="H42" s="88"/>
      <c r="I42" s="15">
        <v>50</v>
      </c>
      <c r="J42" s="82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+'16'!G43</f>
        <v>0</v>
      </c>
      <c r="D43" s="87">
        <v>0</v>
      </c>
      <c r="E43" s="47">
        <f t="shared" si="0"/>
        <v>0</v>
      </c>
      <c r="F43" s="87">
        <v>0</v>
      </c>
      <c r="G43" s="47">
        <f t="shared" si="4"/>
        <v>0</v>
      </c>
      <c r="H43" s="88"/>
      <c r="I43" s="15">
        <v>50</v>
      </c>
      <c r="J43" s="82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+'16'!G44</f>
        <v>0</v>
      </c>
      <c r="D44" s="87">
        <v>0</v>
      </c>
      <c r="E44" s="47">
        <f t="shared" si="0"/>
        <v>0</v>
      </c>
      <c r="F44" s="87">
        <v>0</v>
      </c>
      <c r="G44" s="47">
        <f t="shared" si="4"/>
        <v>0</v>
      </c>
      <c r="H44" s="88"/>
      <c r="I44" s="15">
        <v>50</v>
      </c>
      <c r="J44" s="82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+'16'!G45</f>
        <v>0</v>
      </c>
      <c r="D45" s="87">
        <v>0</v>
      </c>
      <c r="E45" s="47">
        <f t="shared" si="0"/>
        <v>0</v>
      </c>
      <c r="F45" s="87">
        <v>0</v>
      </c>
      <c r="G45" s="47">
        <f t="shared" si="4"/>
        <v>0</v>
      </c>
      <c r="H45" s="88"/>
      <c r="I45" s="15">
        <v>50</v>
      </c>
      <c r="J45" s="82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286</v>
      </c>
      <c r="C46" s="79">
        <f>+'16'!G46</f>
        <v>0</v>
      </c>
      <c r="D46" s="87">
        <v>0</v>
      </c>
      <c r="E46" s="47">
        <f t="shared" si="0"/>
        <v>0</v>
      </c>
      <c r="F46" s="87">
        <v>0</v>
      </c>
      <c r="G46" s="47">
        <f t="shared" si="4"/>
        <v>0</v>
      </c>
      <c r="H46" s="88"/>
      <c r="I46" s="15">
        <v>50</v>
      </c>
      <c r="J46" s="82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+'16'!G47</f>
        <v>0</v>
      </c>
      <c r="D47" s="87">
        <v>0</v>
      </c>
      <c r="E47" s="47">
        <f t="shared" si="0"/>
        <v>0</v>
      </c>
      <c r="F47" s="87">
        <v>0</v>
      </c>
      <c r="G47" s="47">
        <f t="shared" si="4"/>
        <v>0</v>
      </c>
      <c r="H47" s="88"/>
      <c r="I47" s="15">
        <v>50</v>
      </c>
      <c r="J47" s="82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+'16'!G48</f>
        <v>0</v>
      </c>
      <c r="D48" s="87">
        <v>0</v>
      </c>
      <c r="E48" s="47">
        <f t="shared" si="0"/>
        <v>0</v>
      </c>
      <c r="F48" s="87">
        <v>0</v>
      </c>
      <c r="G48" s="47">
        <f t="shared" si="4"/>
        <v>0</v>
      </c>
      <c r="H48" s="88"/>
      <c r="I48" s="15">
        <v>50</v>
      </c>
      <c r="J48" s="82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+'16'!G49</f>
        <v>1</v>
      </c>
      <c r="D49" s="87">
        <v>0</v>
      </c>
      <c r="E49" s="47">
        <f t="shared" si="0"/>
        <v>1</v>
      </c>
      <c r="F49" s="87">
        <v>0</v>
      </c>
      <c r="G49" s="47">
        <f t="shared" si="4"/>
        <v>0</v>
      </c>
      <c r="H49" s="88">
        <v>1</v>
      </c>
      <c r="I49" s="15">
        <v>50</v>
      </c>
      <c r="J49" s="82">
        <f t="shared" si="5"/>
        <v>50</v>
      </c>
      <c r="K49" s="17" t="s">
        <v>16</v>
      </c>
      <c r="L49" s="18">
        <v>0</v>
      </c>
      <c r="M49" s="23">
        <f t="shared" si="6"/>
        <v>50</v>
      </c>
    </row>
    <row r="50" spans="1:13" ht="25.5" x14ac:dyDescent="0.55000000000000004">
      <c r="A50" s="10">
        <v>46</v>
      </c>
      <c r="B50" s="19" t="s">
        <v>61</v>
      </c>
      <c r="C50" s="79">
        <f>+'16'!G50</f>
        <v>2</v>
      </c>
      <c r="D50" s="87">
        <v>0</v>
      </c>
      <c r="E50" s="47">
        <f t="shared" si="0"/>
        <v>2</v>
      </c>
      <c r="F50" s="87">
        <v>0</v>
      </c>
      <c r="G50" s="47">
        <f t="shared" si="4"/>
        <v>2</v>
      </c>
      <c r="H50" s="88"/>
      <c r="I50" s="15">
        <v>120</v>
      </c>
      <c r="J50" s="82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+'16'!G51</f>
        <v>0</v>
      </c>
      <c r="D51" s="87">
        <v>0</v>
      </c>
      <c r="E51" s="47">
        <f t="shared" si="0"/>
        <v>0</v>
      </c>
      <c r="F51" s="87">
        <v>0</v>
      </c>
      <c r="G51" s="47">
        <f t="shared" si="4"/>
        <v>0</v>
      </c>
      <c r="H51" s="88"/>
      <c r="I51" s="15">
        <v>120</v>
      </c>
      <c r="J51" s="82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+'16'!G52</f>
        <v>0</v>
      </c>
      <c r="D52" s="87">
        <v>0</v>
      </c>
      <c r="E52" s="47">
        <f t="shared" si="0"/>
        <v>0</v>
      </c>
      <c r="F52" s="87">
        <v>0</v>
      </c>
      <c r="G52" s="47">
        <f t="shared" si="4"/>
        <v>0</v>
      </c>
      <c r="H52" s="88"/>
      <c r="I52" s="21">
        <v>120</v>
      </c>
      <c r="J52" s="82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+'16'!G53</f>
        <v>0</v>
      </c>
      <c r="D53" s="87">
        <v>0</v>
      </c>
      <c r="E53" s="47">
        <f t="shared" si="0"/>
        <v>0</v>
      </c>
      <c r="F53" s="87">
        <v>0</v>
      </c>
      <c r="G53" s="47">
        <f t="shared" si="4"/>
        <v>0</v>
      </c>
      <c r="H53" s="88"/>
      <c r="I53" s="15">
        <v>120</v>
      </c>
      <c r="J53" s="82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+'16'!G54</f>
        <v>0</v>
      </c>
      <c r="D54" s="87">
        <v>0</v>
      </c>
      <c r="E54" s="47">
        <f t="shared" si="0"/>
        <v>0</v>
      </c>
      <c r="F54" s="87">
        <v>0</v>
      </c>
      <c r="G54" s="47">
        <f t="shared" si="4"/>
        <v>0</v>
      </c>
      <c r="H54" s="88"/>
      <c r="I54" s="15">
        <v>120</v>
      </c>
      <c r="J54" s="82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+'16'!G55</f>
        <v>0</v>
      </c>
      <c r="D55" s="87">
        <v>0</v>
      </c>
      <c r="E55" s="47">
        <f t="shared" si="0"/>
        <v>0</v>
      </c>
      <c r="F55" s="87">
        <v>0</v>
      </c>
      <c r="G55" s="47">
        <f t="shared" si="4"/>
        <v>0</v>
      </c>
      <c r="H55" s="88"/>
      <c r="I55" s="21">
        <v>120</v>
      </c>
      <c r="J55" s="82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+'16'!G56</f>
        <v>0</v>
      </c>
      <c r="D56" s="87">
        <v>0</v>
      </c>
      <c r="E56" s="47">
        <f t="shared" si="0"/>
        <v>0</v>
      </c>
      <c r="F56" s="87">
        <v>0</v>
      </c>
      <c r="G56" s="47">
        <f t="shared" si="4"/>
        <v>0</v>
      </c>
      <c r="H56" s="88"/>
      <c r="I56" s="21">
        <v>120</v>
      </c>
      <c r="J56" s="82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+'16'!G57</f>
        <v>0</v>
      </c>
      <c r="D57" s="87">
        <v>0</v>
      </c>
      <c r="E57" s="47">
        <f t="shared" si="0"/>
        <v>0</v>
      </c>
      <c r="F57" s="87">
        <v>0</v>
      </c>
      <c r="G57" s="47">
        <f t="shared" si="4"/>
        <v>0</v>
      </c>
      <c r="H57" s="88"/>
      <c r="I57" s="21">
        <v>120</v>
      </c>
      <c r="J57" s="82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+'16'!G58</f>
        <v>0</v>
      </c>
      <c r="D58" s="87">
        <v>0</v>
      </c>
      <c r="E58" s="47">
        <f t="shared" si="0"/>
        <v>0</v>
      </c>
      <c r="F58" s="87">
        <v>0</v>
      </c>
      <c r="G58" s="47">
        <f t="shared" si="4"/>
        <v>0</v>
      </c>
      <c r="H58" s="88"/>
      <c r="I58" s="21">
        <v>120</v>
      </c>
      <c r="J58" s="82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+'16'!G59</f>
        <v>0</v>
      </c>
      <c r="D59" s="87">
        <v>0</v>
      </c>
      <c r="E59" s="47">
        <f t="shared" si="0"/>
        <v>0</v>
      </c>
      <c r="F59" s="87">
        <v>0</v>
      </c>
      <c r="G59" s="47">
        <f t="shared" si="4"/>
        <v>0</v>
      </c>
      <c r="H59" s="88"/>
      <c r="I59" s="15">
        <v>70</v>
      </c>
      <c r="J59" s="82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+'16'!G60</f>
        <v>0</v>
      </c>
      <c r="D60" s="87">
        <v>0</v>
      </c>
      <c r="E60" s="47">
        <f t="shared" si="0"/>
        <v>0</v>
      </c>
      <c r="F60" s="87">
        <v>0</v>
      </c>
      <c r="G60" s="47">
        <f t="shared" si="4"/>
        <v>0</v>
      </c>
      <c r="H60" s="88"/>
      <c r="I60" s="21">
        <v>80</v>
      </c>
      <c r="J60" s="82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+'16'!G61</f>
        <v>0</v>
      </c>
      <c r="D61" s="87">
        <v>0</v>
      </c>
      <c r="E61" s="47">
        <f t="shared" si="0"/>
        <v>0</v>
      </c>
      <c r="F61" s="87">
        <v>0</v>
      </c>
      <c r="G61" s="47">
        <f t="shared" si="4"/>
        <v>0</v>
      </c>
      <c r="H61" s="88"/>
      <c r="I61" s="15">
        <v>50</v>
      </c>
      <c r="J61" s="82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+'16'!G62</f>
        <v>1</v>
      </c>
      <c r="D62" s="87">
        <v>0</v>
      </c>
      <c r="E62" s="47">
        <f t="shared" si="0"/>
        <v>1</v>
      </c>
      <c r="F62" s="87">
        <v>0</v>
      </c>
      <c r="G62" s="47">
        <f t="shared" si="4"/>
        <v>1</v>
      </c>
      <c r="H62" s="88"/>
      <c r="I62" s="20">
        <v>50</v>
      </c>
      <c r="J62" s="82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+'16'!G63</f>
        <v>0</v>
      </c>
      <c r="D63" s="87">
        <v>0</v>
      </c>
      <c r="E63" s="47">
        <f t="shared" si="0"/>
        <v>0</v>
      </c>
      <c r="F63" s="87">
        <v>0</v>
      </c>
      <c r="G63" s="47">
        <f t="shared" si="4"/>
        <v>0</v>
      </c>
      <c r="H63" s="88"/>
      <c r="I63" s="20">
        <v>50</v>
      </c>
      <c r="J63" s="82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+'16'!G64</f>
        <v>0</v>
      </c>
      <c r="D64" s="87">
        <v>0</v>
      </c>
      <c r="E64" s="47">
        <f t="shared" si="0"/>
        <v>0</v>
      </c>
      <c r="F64" s="87">
        <v>0</v>
      </c>
      <c r="G64" s="47">
        <f t="shared" si="4"/>
        <v>0</v>
      </c>
      <c r="H64" s="88"/>
      <c r="I64" s="21">
        <v>30</v>
      </c>
      <c r="J64" s="82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+'16'!G65</f>
        <v>0</v>
      </c>
      <c r="D65" s="87">
        <v>0</v>
      </c>
      <c r="E65" s="47">
        <f t="shared" si="0"/>
        <v>0</v>
      </c>
      <c r="F65" s="87">
        <v>0</v>
      </c>
      <c r="G65" s="47">
        <f t="shared" si="4"/>
        <v>0</v>
      </c>
      <c r="H65" s="88"/>
      <c r="I65" s="21">
        <v>30</v>
      </c>
      <c r="J65" s="82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+'16'!G66</f>
        <v>1</v>
      </c>
      <c r="D66" s="87">
        <v>0</v>
      </c>
      <c r="E66" s="47">
        <f t="shared" si="0"/>
        <v>1</v>
      </c>
      <c r="F66" s="87">
        <v>0</v>
      </c>
      <c r="G66" s="47">
        <f t="shared" si="4"/>
        <v>1</v>
      </c>
      <c r="H66" s="88"/>
      <c r="I66" s="15">
        <v>50</v>
      </c>
      <c r="J66" s="82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+'16'!G67</f>
        <v>11</v>
      </c>
      <c r="D67" s="87">
        <v>0</v>
      </c>
      <c r="E67" s="47">
        <f t="shared" si="0"/>
        <v>11</v>
      </c>
      <c r="F67" s="87">
        <v>0</v>
      </c>
      <c r="G67" s="47">
        <f t="shared" si="4"/>
        <v>11</v>
      </c>
      <c r="H67" s="88"/>
      <c r="I67" s="15">
        <v>50</v>
      </c>
      <c r="J67" s="82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+'16'!G68</f>
        <v>0</v>
      </c>
      <c r="D68" s="87">
        <v>0</v>
      </c>
      <c r="E68" s="47">
        <f t="shared" si="0"/>
        <v>0</v>
      </c>
      <c r="F68" s="87">
        <v>0</v>
      </c>
      <c r="G68" s="47">
        <f t="shared" si="4"/>
        <v>0</v>
      </c>
      <c r="H68" s="88"/>
      <c r="I68" s="20">
        <v>35</v>
      </c>
      <c r="J68" s="82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+'16'!G69</f>
        <v>0</v>
      </c>
      <c r="D69" s="87">
        <v>0</v>
      </c>
      <c r="E69" s="47">
        <f t="shared" si="0"/>
        <v>0</v>
      </c>
      <c r="F69" s="87">
        <v>0</v>
      </c>
      <c r="G69" s="47">
        <f t="shared" si="4"/>
        <v>0</v>
      </c>
      <c r="H69" s="88"/>
      <c r="I69" s="20">
        <v>25</v>
      </c>
      <c r="J69" s="82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+'16'!G70</f>
        <v>9</v>
      </c>
      <c r="D70" s="87">
        <v>0</v>
      </c>
      <c r="E70" s="47">
        <f t="shared" si="0"/>
        <v>9</v>
      </c>
      <c r="F70" s="87">
        <v>0</v>
      </c>
      <c r="G70" s="47">
        <f t="shared" si="4"/>
        <v>8</v>
      </c>
      <c r="H70" s="88">
        <v>1</v>
      </c>
      <c r="I70" s="20">
        <v>50</v>
      </c>
      <c r="J70" s="82">
        <f t="shared" si="5"/>
        <v>50</v>
      </c>
      <c r="K70" s="17" t="s">
        <v>16</v>
      </c>
      <c r="L70" s="18">
        <v>0</v>
      </c>
      <c r="M70" s="23">
        <f t="shared" ref="M70:M134" si="10">SUM(J70-L70)</f>
        <v>50</v>
      </c>
    </row>
    <row r="71" spans="1:13" ht="25.5" x14ac:dyDescent="0.55000000000000004">
      <c r="A71" s="10">
        <v>67</v>
      </c>
      <c r="B71" s="19" t="s">
        <v>82</v>
      </c>
      <c r="C71" s="79">
        <f>+'16'!G71</f>
        <v>14</v>
      </c>
      <c r="D71" s="87">
        <v>0</v>
      </c>
      <c r="E71" s="47">
        <f t="shared" si="0"/>
        <v>14</v>
      </c>
      <c r="F71" s="87">
        <v>0</v>
      </c>
      <c r="G71" s="47">
        <f t="shared" si="4"/>
        <v>10</v>
      </c>
      <c r="H71" s="88">
        <v>4</v>
      </c>
      <c r="I71" s="20">
        <v>60</v>
      </c>
      <c r="J71" s="82">
        <f t="shared" si="5"/>
        <v>240</v>
      </c>
      <c r="K71" s="17" t="s">
        <v>16</v>
      </c>
      <c r="L71" s="18">
        <v>90</v>
      </c>
      <c r="M71" s="23">
        <f t="shared" si="10"/>
        <v>150</v>
      </c>
    </row>
    <row r="72" spans="1:13" ht="25.5" x14ac:dyDescent="0.55000000000000004">
      <c r="A72" s="10">
        <v>68</v>
      </c>
      <c r="B72" s="19" t="s">
        <v>83</v>
      </c>
      <c r="C72" s="79">
        <f>+'16'!G72</f>
        <v>0</v>
      </c>
      <c r="D72" s="87">
        <v>0</v>
      </c>
      <c r="E72" s="47">
        <f t="shared" si="0"/>
        <v>0</v>
      </c>
      <c r="F72" s="87">
        <v>0</v>
      </c>
      <c r="G72" s="47">
        <f t="shared" si="4"/>
        <v>0</v>
      </c>
      <c r="H72" s="88"/>
      <c r="I72" s="22">
        <v>50</v>
      </c>
      <c r="J72" s="82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+'16'!G73</f>
        <v>0</v>
      </c>
      <c r="D73" s="87">
        <v>0</v>
      </c>
      <c r="E73" s="47">
        <f t="shared" si="0"/>
        <v>0</v>
      </c>
      <c r="F73" s="87">
        <v>0</v>
      </c>
      <c r="G73" s="47">
        <f t="shared" si="4"/>
        <v>0</v>
      </c>
      <c r="H73" s="88"/>
      <c r="I73" s="20">
        <v>60</v>
      </c>
      <c r="J73" s="82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+'16'!G74</f>
        <v>2</v>
      </c>
      <c r="D74" s="87">
        <v>0</v>
      </c>
      <c r="E74" s="47">
        <f t="shared" si="0"/>
        <v>2</v>
      </c>
      <c r="F74" s="87">
        <v>0</v>
      </c>
      <c r="G74" s="47">
        <f t="shared" si="4"/>
        <v>1</v>
      </c>
      <c r="H74" s="88">
        <v>1</v>
      </c>
      <c r="I74" s="22">
        <v>120</v>
      </c>
      <c r="J74" s="82">
        <f t="shared" si="5"/>
        <v>120</v>
      </c>
      <c r="K74" s="17" t="s">
        <v>16</v>
      </c>
      <c r="L74" s="18">
        <v>0</v>
      </c>
      <c r="M74" s="23">
        <f t="shared" si="10"/>
        <v>120</v>
      </c>
    </row>
    <row r="75" spans="1:13" ht="25.5" x14ac:dyDescent="0.55000000000000004">
      <c r="A75" s="10">
        <v>71</v>
      </c>
      <c r="B75" s="19" t="s">
        <v>86</v>
      </c>
      <c r="C75" s="79">
        <f>+'16'!G75</f>
        <v>0</v>
      </c>
      <c r="D75" s="87">
        <v>0</v>
      </c>
      <c r="E75" s="47">
        <f t="shared" si="0"/>
        <v>0</v>
      </c>
      <c r="F75" s="87">
        <v>0</v>
      </c>
      <c r="G75" s="47">
        <f t="shared" si="4"/>
        <v>0</v>
      </c>
      <c r="H75" s="88"/>
      <c r="I75" s="22">
        <v>60</v>
      </c>
      <c r="J75" s="82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+'16'!G76</f>
        <v>0</v>
      </c>
      <c r="D76" s="87">
        <v>0</v>
      </c>
      <c r="E76" s="47">
        <f t="shared" si="0"/>
        <v>0</v>
      </c>
      <c r="F76" s="87">
        <v>0</v>
      </c>
      <c r="G76" s="47">
        <f t="shared" si="4"/>
        <v>0</v>
      </c>
      <c r="H76" s="88"/>
      <c r="I76" s="22">
        <v>120</v>
      </c>
      <c r="J76" s="82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272</v>
      </c>
      <c r="C77" s="79">
        <f>+'16'!G77</f>
        <v>2</v>
      </c>
      <c r="D77" s="87">
        <v>0</v>
      </c>
      <c r="E77" s="47">
        <f>C77+D77</f>
        <v>2</v>
      </c>
      <c r="F77" s="87">
        <v>0</v>
      </c>
      <c r="G77" s="47">
        <f>+E77-F77-H77</f>
        <v>2</v>
      </c>
      <c r="H77" s="88"/>
      <c r="I77" s="20">
        <v>50</v>
      </c>
      <c r="J77" s="82">
        <f>+I77*H77</f>
        <v>0</v>
      </c>
      <c r="K77" s="17" t="s">
        <v>16</v>
      </c>
      <c r="L77" s="18">
        <v>0</v>
      </c>
      <c r="M77" s="23">
        <f>SUM(J77-L77)</f>
        <v>0</v>
      </c>
    </row>
    <row r="78" spans="1:13" ht="25.5" x14ac:dyDescent="0.55000000000000004">
      <c r="A78" s="10">
        <v>74</v>
      </c>
      <c r="B78" s="19" t="s">
        <v>277</v>
      </c>
      <c r="C78" s="79">
        <f>+'16'!G78</f>
        <v>2</v>
      </c>
      <c r="D78" s="87">
        <v>0</v>
      </c>
      <c r="E78" s="47">
        <f t="shared" si="0"/>
        <v>2</v>
      </c>
      <c r="F78" s="87">
        <v>0</v>
      </c>
      <c r="G78" s="47">
        <f t="shared" si="4"/>
        <v>2</v>
      </c>
      <c r="H78" s="88"/>
      <c r="I78" s="20">
        <v>50</v>
      </c>
      <c r="J78" s="82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278</v>
      </c>
      <c r="C79" s="79">
        <f>+'16'!G79</f>
        <v>0</v>
      </c>
      <c r="D79" s="87">
        <v>0</v>
      </c>
      <c r="E79" s="47">
        <f t="shared" si="0"/>
        <v>0</v>
      </c>
      <c r="F79" s="87">
        <v>0</v>
      </c>
      <c r="G79" s="47">
        <f t="shared" si="4"/>
        <v>0</v>
      </c>
      <c r="H79" s="88"/>
      <c r="I79" s="22">
        <v>120</v>
      </c>
      <c r="J79" s="82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90</v>
      </c>
      <c r="C80" s="79">
        <f>+'16'!G80</f>
        <v>0</v>
      </c>
      <c r="D80" s="87">
        <v>0</v>
      </c>
      <c r="E80" s="47">
        <f t="shared" si="0"/>
        <v>0</v>
      </c>
      <c r="F80" s="87">
        <v>0</v>
      </c>
      <c r="G80" s="47">
        <f t="shared" si="4"/>
        <v>0</v>
      </c>
      <c r="H80" s="88"/>
      <c r="I80" s="22">
        <v>50</v>
      </c>
      <c r="J80" s="82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91</v>
      </c>
      <c r="C81" s="79">
        <f>+'16'!G81</f>
        <v>0</v>
      </c>
      <c r="D81" s="87">
        <v>0</v>
      </c>
      <c r="E81" s="47">
        <f t="shared" si="0"/>
        <v>0</v>
      </c>
      <c r="F81" s="87">
        <v>0</v>
      </c>
      <c r="G81" s="47">
        <f t="shared" si="4"/>
        <v>0</v>
      </c>
      <c r="H81" s="88"/>
      <c r="I81" s="22">
        <v>50</v>
      </c>
      <c r="J81" s="82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92</v>
      </c>
      <c r="C82" s="79">
        <f>+'16'!G82</f>
        <v>2</v>
      </c>
      <c r="D82" s="87">
        <v>0</v>
      </c>
      <c r="E82" s="47">
        <f t="shared" si="0"/>
        <v>2</v>
      </c>
      <c r="F82" s="87">
        <v>2</v>
      </c>
      <c r="G82" s="47">
        <f t="shared" si="4"/>
        <v>0</v>
      </c>
      <c r="H82" s="88"/>
      <c r="I82" s="20">
        <v>55</v>
      </c>
      <c r="J82" s="82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93</v>
      </c>
      <c r="C83" s="79">
        <f>+'16'!G83</f>
        <v>1</v>
      </c>
      <c r="D83" s="87">
        <v>0</v>
      </c>
      <c r="E83" s="47">
        <f t="shared" si="0"/>
        <v>1</v>
      </c>
      <c r="F83" s="87">
        <v>1</v>
      </c>
      <c r="G83" s="47">
        <f t="shared" si="4"/>
        <v>0</v>
      </c>
      <c r="H83" s="88"/>
      <c r="I83" s="22">
        <v>55</v>
      </c>
      <c r="J83" s="82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94</v>
      </c>
      <c r="C84" s="79">
        <f>+'16'!G84</f>
        <v>0</v>
      </c>
      <c r="D84" s="87">
        <v>0</v>
      </c>
      <c r="E84" s="47">
        <f t="shared" si="0"/>
        <v>0</v>
      </c>
      <c r="F84" s="87">
        <v>0</v>
      </c>
      <c r="G84" s="47">
        <f t="shared" si="4"/>
        <v>0</v>
      </c>
      <c r="H84" s="88"/>
      <c r="I84" s="22">
        <v>55</v>
      </c>
      <c r="J84" s="82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95</v>
      </c>
      <c r="C85" s="79">
        <f>+'16'!G85</f>
        <v>0</v>
      </c>
      <c r="D85" s="87">
        <v>0</v>
      </c>
      <c r="E85" s="47">
        <f t="shared" si="0"/>
        <v>0</v>
      </c>
      <c r="F85" s="87">
        <v>0</v>
      </c>
      <c r="G85" s="47">
        <f t="shared" si="4"/>
        <v>0</v>
      </c>
      <c r="H85" s="88"/>
      <c r="I85" s="22">
        <v>55</v>
      </c>
      <c r="J85" s="82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96</v>
      </c>
      <c r="C86" s="79">
        <f>+'16'!G86</f>
        <v>4</v>
      </c>
      <c r="D86" s="87">
        <v>0</v>
      </c>
      <c r="E86" s="47">
        <f t="shared" si="0"/>
        <v>4</v>
      </c>
      <c r="F86" s="87">
        <v>0</v>
      </c>
      <c r="G86" s="47">
        <f t="shared" si="4"/>
        <v>4</v>
      </c>
      <c r="H86" s="88"/>
      <c r="I86" s="22">
        <v>100</v>
      </c>
      <c r="J86" s="82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97</v>
      </c>
      <c r="C87" s="79">
        <f>+'16'!G87</f>
        <v>3</v>
      </c>
      <c r="D87" s="87">
        <v>0</v>
      </c>
      <c r="E87" s="47">
        <f t="shared" si="0"/>
        <v>3</v>
      </c>
      <c r="F87" s="87">
        <v>0</v>
      </c>
      <c r="G87" s="47">
        <f t="shared" si="4"/>
        <v>3</v>
      </c>
      <c r="H87" s="88"/>
      <c r="I87" s="20">
        <v>55</v>
      </c>
      <c r="J87" s="82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98</v>
      </c>
      <c r="C88" s="79">
        <f>+'16'!G88</f>
        <v>2</v>
      </c>
      <c r="D88" s="87">
        <v>0</v>
      </c>
      <c r="E88" s="47">
        <f t="shared" si="0"/>
        <v>2</v>
      </c>
      <c r="F88" s="87">
        <v>0</v>
      </c>
      <c r="G88" s="47">
        <f t="shared" si="4"/>
        <v>1</v>
      </c>
      <c r="H88" s="88">
        <v>1</v>
      </c>
      <c r="I88" s="20">
        <v>60</v>
      </c>
      <c r="J88" s="82">
        <f t="shared" si="5"/>
        <v>60</v>
      </c>
      <c r="K88" s="17" t="s">
        <v>16</v>
      </c>
      <c r="L88" s="18">
        <v>0</v>
      </c>
      <c r="M88" s="23">
        <f t="shared" si="10"/>
        <v>60</v>
      </c>
    </row>
    <row r="89" spans="1:13" ht="25.5" x14ac:dyDescent="0.55000000000000004">
      <c r="A89" s="10">
        <v>85</v>
      </c>
      <c r="B89" s="19" t="s">
        <v>99</v>
      </c>
      <c r="C89" s="79">
        <f>+'16'!G89</f>
        <v>2</v>
      </c>
      <c r="D89" s="87">
        <v>0</v>
      </c>
      <c r="E89" s="47">
        <f t="shared" si="0"/>
        <v>2</v>
      </c>
      <c r="F89" s="87">
        <v>0</v>
      </c>
      <c r="G89" s="47">
        <f t="shared" si="4"/>
        <v>2</v>
      </c>
      <c r="H89" s="88"/>
      <c r="I89" s="20">
        <v>100</v>
      </c>
      <c r="J89" s="82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100</v>
      </c>
      <c r="C90" s="79">
        <f>+'16'!G90</f>
        <v>8</v>
      </c>
      <c r="D90" s="87">
        <v>0</v>
      </c>
      <c r="E90" s="47">
        <f t="shared" si="0"/>
        <v>8</v>
      </c>
      <c r="F90" s="87">
        <v>0</v>
      </c>
      <c r="G90" s="47">
        <f t="shared" si="4"/>
        <v>8</v>
      </c>
      <c r="H90" s="88"/>
      <c r="I90" s="20">
        <v>55</v>
      </c>
      <c r="J90" s="82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101</v>
      </c>
      <c r="C91" s="79">
        <f>+'16'!G91</f>
        <v>0</v>
      </c>
      <c r="D91" s="87">
        <v>0</v>
      </c>
      <c r="E91" s="47">
        <f t="shared" si="0"/>
        <v>0</v>
      </c>
      <c r="F91" s="87">
        <v>0</v>
      </c>
      <c r="G91" s="47">
        <f t="shared" si="4"/>
        <v>0</v>
      </c>
      <c r="H91" s="88"/>
      <c r="I91" s="20">
        <v>50</v>
      </c>
      <c r="J91" s="82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102</v>
      </c>
      <c r="C92" s="79">
        <f>+'16'!G92</f>
        <v>0</v>
      </c>
      <c r="D92" s="87">
        <v>0</v>
      </c>
      <c r="E92" s="47">
        <f t="shared" si="0"/>
        <v>0</v>
      </c>
      <c r="F92" s="87">
        <v>0</v>
      </c>
      <c r="G92" s="47">
        <f t="shared" si="4"/>
        <v>0</v>
      </c>
      <c r="H92" s="88"/>
      <c r="I92" s="22">
        <v>50</v>
      </c>
      <c r="J92" s="82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248</v>
      </c>
      <c r="C93" s="79">
        <f>+'16'!G93</f>
        <v>0</v>
      </c>
      <c r="D93" s="87">
        <v>0</v>
      </c>
      <c r="E93" s="47">
        <f t="shared" si="0"/>
        <v>0</v>
      </c>
      <c r="F93" s="87">
        <v>0</v>
      </c>
      <c r="G93" s="47">
        <f t="shared" si="4"/>
        <v>0</v>
      </c>
      <c r="H93" s="88"/>
      <c r="I93" s="22">
        <v>120</v>
      </c>
      <c r="J93" s="82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104</v>
      </c>
      <c r="C94" s="79">
        <f>+'16'!G94</f>
        <v>0</v>
      </c>
      <c r="D94" s="87">
        <v>0</v>
      </c>
      <c r="E94" s="47">
        <f t="shared" si="0"/>
        <v>0</v>
      </c>
      <c r="F94" s="87">
        <v>0</v>
      </c>
      <c r="G94" s="47">
        <f t="shared" si="4"/>
        <v>0</v>
      </c>
      <c r="H94" s="88"/>
      <c r="I94" s="20">
        <v>250</v>
      </c>
      <c r="J94" s="82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105</v>
      </c>
      <c r="C95" s="79">
        <f>+'16'!G95</f>
        <v>0</v>
      </c>
      <c r="D95" s="87">
        <v>0</v>
      </c>
      <c r="E95" s="47">
        <f t="shared" si="0"/>
        <v>0</v>
      </c>
      <c r="F95" s="87">
        <v>0</v>
      </c>
      <c r="G95" s="47">
        <f t="shared" si="4"/>
        <v>0</v>
      </c>
      <c r="H95" s="88"/>
      <c r="I95" s="20">
        <v>120</v>
      </c>
      <c r="J95" s="82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106</v>
      </c>
      <c r="C96" s="79">
        <f>+'16'!G96</f>
        <v>0</v>
      </c>
      <c r="D96" s="87">
        <v>0</v>
      </c>
      <c r="E96" s="47">
        <f t="shared" si="0"/>
        <v>0</v>
      </c>
      <c r="F96" s="87">
        <v>0</v>
      </c>
      <c r="G96" s="47">
        <f t="shared" si="4"/>
        <v>0</v>
      </c>
      <c r="H96" s="88"/>
      <c r="I96" s="20">
        <v>120</v>
      </c>
      <c r="J96" s="82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107</v>
      </c>
      <c r="C97" s="79">
        <f>+'16'!G97</f>
        <v>0</v>
      </c>
      <c r="D97" s="87">
        <v>0</v>
      </c>
      <c r="E97" s="47">
        <f t="shared" si="0"/>
        <v>0</v>
      </c>
      <c r="F97" s="87">
        <v>0</v>
      </c>
      <c r="G97" s="47">
        <f t="shared" si="4"/>
        <v>0</v>
      </c>
      <c r="H97" s="88"/>
      <c r="I97" s="20">
        <v>120</v>
      </c>
      <c r="J97" s="82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103</v>
      </c>
      <c r="C98" s="79">
        <f>+'16'!G98</f>
        <v>0</v>
      </c>
      <c r="D98" s="87">
        <v>0</v>
      </c>
      <c r="E98" s="47">
        <f t="shared" si="0"/>
        <v>0</v>
      </c>
      <c r="F98" s="87">
        <v>0</v>
      </c>
      <c r="G98" s="47">
        <f t="shared" si="4"/>
        <v>0</v>
      </c>
      <c r="H98" s="88"/>
      <c r="I98" s="20">
        <v>120</v>
      </c>
      <c r="J98" s="82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109</v>
      </c>
      <c r="C99" s="79">
        <f>+'16'!G99</f>
        <v>0</v>
      </c>
      <c r="D99" s="87">
        <v>0</v>
      </c>
      <c r="E99" s="47">
        <f t="shared" si="0"/>
        <v>0</v>
      </c>
      <c r="F99" s="87">
        <v>0</v>
      </c>
      <c r="G99" s="47">
        <f t="shared" si="4"/>
        <v>0</v>
      </c>
      <c r="H99" s="88"/>
      <c r="I99" s="20">
        <v>50</v>
      </c>
      <c r="J99" s="82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110</v>
      </c>
      <c r="C100" s="79">
        <f>+'16'!G100</f>
        <v>0</v>
      </c>
      <c r="D100" s="87">
        <v>0</v>
      </c>
      <c r="E100" s="47">
        <f t="shared" si="0"/>
        <v>0</v>
      </c>
      <c r="F100" s="87">
        <v>0</v>
      </c>
      <c r="G100" s="47">
        <f t="shared" si="4"/>
        <v>0</v>
      </c>
      <c r="H100" s="88"/>
      <c r="I100" s="20">
        <v>50</v>
      </c>
      <c r="J100" s="82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111</v>
      </c>
      <c r="C101" s="79">
        <f>+'16'!G101</f>
        <v>0</v>
      </c>
      <c r="D101" s="87">
        <v>0</v>
      </c>
      <c r="E101" s="47">
        <f t="shared" si="0"/>
        <v>0</v>
      </c>
      <c r="F101" s="87">
        <v>0</v>
      </c>
      <c r="G101" s="47">
        <f t="shared" ref="G101:G164" si="11">+E101-F101-H101</f>
        <v>0</v>
      </c>
      <c r="H101" s="88"/>
      <c r="I101" s="20">
        <v>60</v>
      </c>
      <c r="J101" s="82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112</v>
      </c>
      <c r="C102" s="79">
        <f>+'16'!G102</f>
        <v>0</v>
      </c>
      <c r="D102" s="87">
        <v>0</v>
      </c>
      <c r="E102" s="47">
        <f t="shared" si="0"/>
        <v>0</v>
      </c>
      <c r="F102" s="87">
        <v>0</v>
      </c>
      <c r="G102" s="47">
        <f t="shared" si="11"/>
        <v>0</v>
      </c>
      <c r="H102" s="88"/>
      <c r="I102" s="20">
        <v>55</v>
      </c>
      <c r="J102" s="82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113</v>
      </c>
      <c r="C103" s="79">
        <f>+'16'!G103</f>
        <v>0</v>
      </c>
      <c r="D103" s="87">
        <v>0</v>
      </c>
      <c r="E103" s="47">
        <f t="shared" si="0"/>
        <v>0</v>
      </c>
      <c r="F103" s="87">
        <v>0</v>
      </c>
      <c r="G103" s="47">
        <f t="shared" si="11"/>
        <v>0</v>
      </c>
      <c r="H103" s="88"/>
      <c r="I103" s="20">
        <v>50</v>
      </c>
      <c r="J103" s="82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114</v>
      </c>
      <c r="C104" s="79">
        <f>+'16'!G104</f>
        <v>0</v>
      </c>
      <c r="D104" s="87">
        <v>0</v>
      </c>
      <c r="E104" s="47">
        <f t="shared" si="0"/>
        <v>0</v>
      </c>
      <c r="F104" s="87">
        <v>0</v>
      </c>
      <c r="G104" s="47">
        <f t="shared" si="11"/>
        <v>0</v>
      </c>
      <c r="H104" s="88"/>
      <c r="I104" s="20">
        <v>100</v>
      </c>
      <c r="J104" s="82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115</v>
      </c>
      <c r="C105" s="79">
        <f>+'16'!G105</f>
        <v>0</v>
      </c>
      <c r="D105" s="87">
        <v>0</v>
      </c>
      <c r="E105" s="47">
        <f t="shared" si="0"/>
        <v>0</v>
      </c>
      <c r="F105" s="87">
        <v>0</v>
      </c>
      <c r="G105" s="47">
        <f t="shared" si="11"/>
        <v>0</v>
      </c>
      <c r="H105" s="88"/>
      <c r="I105" s="20">
        <v>100</v>
      </c>
      <c r="J105" s="82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116</v>
      </c>
      <c r="C106" s="79">
        <f>+'16'!G106</f>
        <v>0</v>
      </c>
      <c r="D106" s="87">
        <v>0</v>
      </c>
      <c r="E106" s="47">
        <f t="shared" si="0"/>
        <v>0</v>
      </c>
      <c r="F106" s="87">
        <v>0</v>
      </c>
      <c r="G106" s="47">
        <f t="shared" si="11"/>
        <v>0</v>
      </c>
      <c r="H106" s="88"/>
      <c r="I106" s="22">
        <v>30</v>
      </c>
      <c r="J106" s="82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117</v>
      </c>
      <c r="C107" s="79">
        <f>+'16'!G107</f>
        <v>0</v>
      </c>
      <c r="D107" s="87">
        <v>0</v>
      </c>
      <c r="E107" s="47">
        <f t="shared" si="0"/>
        <v>0</v>
      </c>
      <c r="F107" s="87">
        <v>0</v>
      </c>
      <c r="G107" s="47">
        <f t="shared" si="11"/>
        <v>0</v>
      </c>
      <c r="H107" s="88"/>
      <c r="I107" s="22">
        <v>20</v>
      </c>
      <c r="J107" s="82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118</v>
      </c>
      <c r="C108" s="79">
        <f>+'16'!G108</f>
        <v>0</v>
      </c>
      <c r="D108" s="87">
        <v>0</v>
      </c>
      <c r="E108" s="47">
        <f t="shared" si="0"/>
        <v>0</v>
      </c>
      <c r="F108" s="87">
        <v>0</v>
      </c>
      <c r="G108" s="47">
        <f t="shared" si="11"/>
        <v>0</v>
      </c>
      <c r="H108" s="88"/>
      <c r="I108" s="20">
        <v>100</v>
      </c>
      <c r="J108" s="82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120</v>
      </c>
      <c r="C109" s="79">
        <f>+'16'!G109</f>
        <v>0</v>
      </c>
      <c r="D109" s="87">
        <v>0</v>
      </c>
      <c r="E109" s="47">
        <f t="shared" si="0"/>
        <v>0</v>
      </c>
      <c r="F109" s="87">
        <v>0</v>
      </c>
      <c r="G109" s="47">
        <f t="shared" si="11"/>
        <v>0</v>
      </c>
      <c r="H109" s="88"/>
      <c r="I109" s="20">
        <v>80</v>
      </c>
      <c r="J109" s="82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121</v>
      </c>
      <c r="C110" s="79">
        <f>+'16'!G110</f>
        <v>0</v>
      </c>
      <c r="D110" s="87">
        <v>0</v>
      </c>
      <c r="E110" s="47">
        <f t="shared" si="0"/>
        <v>0</v>
      </c>
      <c r="F110" s="87">
        <v>0</v>
      </c>
      <c r="G110" s="47">
        <f t="shared" si="11"/>
        <v>0</v>
      </c>
      <c r="H110" s="88"/>
      <c r="I110" s="20">
        <v>60</v>
      </c>
      <c r="J110" s="82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122</v>
      </c>
      <c r="C111" s="79">
        <f>+'16'!G111</f>
        <v>0</v>
      </c>
      <c r="D111" s="87">
        <v>0</v>
      </c>
      <c r="E111" s="47">
        <f t="shared" si="0"/>
        <v>0</v>
      </c>
      <c r="F111" s="87">
        <v>0</v>
      </c>
      <c r="G111" s="47">
        <f t="shared" si="11"/>
        <v>0</v>
      </c>
      <c r="H111" s="88"/>
      <c r="I111" s="20">
        <v>35</v>
      </c>
      <c r="J111" s="82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123</v>
      </c>
      <c r="C112" s="79">
        <f>+'16'!G112</f>
        <v>0</v>
      </c>
      <c r="D112" s="87">
        <v>0</v>
      </c>
      <c r="E112" s="47">
        <f t="shared" si="0"/>
        <v>0</v>
      </c>
      <c r="F112" s="87">
        <v>0</v>
      </c>
      <c r="G112" s="47">
        <f t="shared" si="11"/>
        <v>0</v>
      </c>
      <c r="H112" s="88"/>
      <c r="I112" s="20">
        <v>35</v>
      </c>
      <c r="J112" s="82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124</v>
      </c>
      <c r="C113" s="79">
        <f>+'16'!G113</f>
        <v>0</v>
      </c>
      <c r="D113" s="87">
        <v>0</v>
      </c>
      <c r="E113" s="47">
        <f t="shared" si="0"/>
        <v>0</v>
      </c>
      <c r="F113" s="87">
        <v>0</v>
      </c>
      <c r="G113" s="47">
        <f t="shared" si="11"/>
        <v>0</v>
      </c>
      <c r="H113" s="88"/>
      <c r="I113" s="20">
        <v>35</v>
      </c>
      <c r="J113" s="82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125</v>
      </c>
      <c r="C114" s="79">
        <f>+'16'!G114</f>
        <v>0</v>
      </c>
      <c r="D114" s="87">
        <v>0</v>
      </c>
      <c r="E114" s="47">
        <f t="shared" si="0"/>
        <v>0</v>
      </c>
      <c r="F114" s="87">
        <v>0</v>
      </c>
      <c r="G114" s="47">
        <f t="shared" si="11"/>
        <v>0</v>
      </c>
      <c r="H114" s="88"/>
      <c r="I114" s="20">
        <v>35</v>
      </c>
      <c r="J114" s="82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126</v>
      </c>
      <c r="C115" s="79">
        <f>+'16'!G115</f>
        <v>0</v>
      </c>
      <c r="D115" s="87">
        <v>0</v>
      </c>
      <c r="E115" s="47">
        <f t="shared" si="0"/>
        <v>0</v>
      </c>
      <c r="F115" s="87">
        <v>0</v>
      </c>
      <c r="G115" s="47">
        <f t="shared" si="11"/>
        <v>0</v>
      </c>
      <c r="H115" s="88"/>
      <c r="I115" s="20">
        <v>35</v>
      </c>
      <c r="J115" s="82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127</v>
      </c>
      <c r="C116" s="79">
        <f>+'16'!G116</f>
        <v>0</v>
      </c>
      <c r="D116" s="87">
        <v>0</v>
      </c>
      <c r="E116" s="47">
        <f t="shared" si="0"/>
        <v>0</v>
      </c>
      <c r="F116" s="87">
        <v>0</v>
      </c>
      <c r="G116" s="47">
        <f t="shared" si="11"/>
        <v>0</v>
      </c>
      <c r="H116" s="88"/>
      <c r="I116" s="20">
        <v>30</v>
      </c>
      <c r="J116" s="82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128</v>
      </c>
      <c r="C117" s="79">
        <f>+'16'!G117</f>
        <v>0</v>
      </c>
      <c r="D117" s="87">
        <v>0</v>
      </c>
      <c r="E117" s="47">
        <f t="shared" si="0"/>
        <v>0</v>
      </c>
      <c r="F117" s="87">
        <v>0</v>
      </c>
      <c r="G117" s="47">
        <f t="shared" si="11"/>
        <v>0</v>
      </c>
      <c r="H117" s="88"/>
      <c r="I117" s="20">
        <v>30</v>
      </c>
      <c r="J117" s="82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129</v>
      </c>
      <c r="C118" s="79">
        <f>+'16'!G118</f>
        <v>0</v>
      </c>
      <c r="D118" s="87">
        <v>0</v>
      </c>
      <c r="E118" s="47">
        <f t="shared" si="0"/>
        <v>0</v>
      </c>
      <c r="F118" s="87">
        <v>0</v>
      </c>
      <c r="G118" s="47">
        <f t="shared" si="11"/>
        <v>0</v>
      </c>
      <c r="H118" s="88"/>
      <c r="I118" s="20">
        <v>30</v>
      </c>
      <c r="J118" s="82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130</v>
      </c>
      <c r="C119" s="79">
        <f>+'16'!G119</f>
        <v>0</v>
      </c>
      <c r="D119" s="87">
        <v>0</v>
      </c>
      <c r="E119" s="47">
        <f t="shared" si="0"/>
        <v>0</v>
      </c>
      <c r="F119" s="87">
        <v>0</v>
      </c>
      <c r="G119" s="47">
        <f t="shared" si="11"/>
        <v>0</v>
      </c>
      <c r="H119" s="88"/>
      <c r="I119" s="20">
        <v>30</v>
      </c>
      <c r="J119" s="82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131</v>
      </c>
      <c r="C120" s="79">
        <f>+'16'!G120</f>
        <v>0</v>
      </c>
      <c r="D120" s="87">
        <v>0</v>
      </c>
      <c r="E120" s="47">
        <f t="shared" si="0"/>
        <v>0</v>
      </c>
      <c r="F120" s="87">
        <v>0</v>
      </c>
      <c r="G120" s="47">
        <f t="shared" si="11"/>
        <v>0</v>
      </c>
      <c r="H120" s="88"/>
      <c r="I120" s="20">
        <v>30</v>
      </c>
      <c r="J120" s="82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132</v>
      </c>
      <c r="C121" s="79">
        <f>+'16'!G121</f>
        <v>0</v>
      </c>
      <c r="D121" s="87">
        <v>0</v>
      </c>
      <c r="E121" s="47">
        <f t="shared" si="0"/>
        <v>0</v>
      </c>
      <c r="F121" s="87">
        <v>0</v>
      </c>
      <c r="G121" s="47">
        <f t="shared" si="11"/>
        <v>0</v>
      </c>
      <c r="H121" s="88"/>
      <c r="I121" s="20">
        <v>30</v>
      </c>
      <c r="J121" s="82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133</v>
      </c>
      <c r="C122" s="79">
        <f>+'16'!G122</f>
        <v>0</v>
      </c>
      <c r="D122" s="87">
        <v>0</v>
      </c>
      <c r="E122" s="47">
        <f t="shared" si="0"/>
        <v>0</v>
      </c>
      <c r="F122" s="87">
        <v>0</v>
      </c>
      <c r="G122" s="47">
        <f t="shared" si="11"/>
        <v>0</v>
      </c>
      <c r="H122" s="88"/>
      <c r="I122" s="20">
        <v>40</v>
      </c>
      <c r="J122" s="82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134</v>
      </c>
      <c r="C123" s="79">
        <f>+'16'!G123</f>
        <v>0</v>
      </c>
      <c r="D123" s="87">
        <v>0</v>
      </c>
      <c r="E123" s="47">
        <f t="shared" si="0"/>
        <v>0</v>
      </c>
      <c r="F123" s="87">
        <v>0</v>
      </c>
      <c r="G123" s="47">
        <f t="shared" si="11"/>
        <v>0</v>
      </c>
      <c r="H123" s="88"/>
      <c r="I123" s="20">
        <v>35</v>
      </c>
      <c r="J123" s="82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135</v>
      </c>
      <c r="C124" s="79">
        <f>+'16'!G124</f>
        <v>0</v>
      </c>
      <c r="D124" s="87">
        <v>0</v>
      </c>
      <c r="E124" s="47">
        <f t="shared" si="0"/>
        <v>0</v>
      </c>
      <c r="F124" s="87">
        <v>0</v>
      </c>
      <c r="G124" s="47">
        <f t="shared" si="11"/>
        <v>0</v>
      </c>
      <c r="H124" s="88"/>
      <c r="I124" s="20">
        <v>40</v>
      </c>
      <c r="J124" s="82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136</v>
      </c>
      <c r="C125" s="79">
        <f>+'16'!G125</f>
        <v>0</v>
      </c>
      <c r="D125" s="87">
        <v>0</v>
      </c>
      <c r="E125" s="47">
        <f t="shared" si="0"/>
        <v>0</v>
      </c>
      <c r="F125" s="87">
        <v>0</v>
      </c>
      <c r="G125" s="47">
        <f t="shared" si="11"/>
        <v>0</v>
      </c>
      <c r="H125" s="88"/>
      <c r="I125" s="20">
        <v>40</v>
      </c>
      <c r="J125" s="82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137</v>
      </c>
      <c r="C126" s="79">
        <f>+'16'!G126</f>
        <v>0</v>
      </c>
      <c r="D126" s="87">
        <v>0</v>
      </c>
      <c r="E126" s="47">
        <f t="shared" ref="E126:E189" si="13">C126+D126</f>
        <v>0</v>
      </c>
      <c r="F126" s="87">
        <v>0</v>
      </c>
      <c r="G126" s="47">
        <f t="shared" si="11"/>
        <v>0</v>
      </c>
      <c r="H126" s="88"/>
      <c r="I126" s="20">
        <v>30</v>
      </c>
      <c r="J126" s="82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138</v>
      </c>
      <c r="C127" s="79">
        <f>+'16'!G127</f>
        <v>0</v>
      </c>
      <c r="D127" s="87">
        <v>0</v>
      </c>
      <c r="E127" s="47">
        <f t="shared" si="13"/>
        <v>0</v>
      </c>
      <c r="F127" s="87">
        <v>0</v>
      </c>
      <c r="G127" s="47">
        <f t="shared" si="11"/>
        <v>0</v>
      </c>
      <c r="H127" s="88"/>
      <c r="I127" s="20">
        <v>40</v>
      </c>
      <c r="J127" s="82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139</v>
      </c>
      <c r="C128" s="79">
        <f>+'16'!G128</f>
        <v>74</v>
      </c>
      <c r="D128" s="87">
        <v>0</v>
      </c>
      <c r="E128" s="47">
        <f t="shared" si="13"/>
        <v>74</v>
      </c>
      <c r="F128" s="87">
        <v>0</v>
      </c>
      <c r="G128" s="47">
        <f t="shared" si="11"/>
        <v>74</v>
      </c>
      <c r="H128" s="88"/>
      <c r="I128" s="20">
        <v>10</v>
      </c>
      <c r="J128" s="82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140</v>
      </c>
      <c r="C129" s="79">
        <f>+'16'!G129</f>
        <v>0</v>
      </c>
      <c r="D129" s="87">
        <v>0</v>
      </c>
      <c r="E129" s="47">
        <f t="shared" si="13"/>
        <v>0</v>
      </c>
      <c r="F129" s="87">
        <v>0</v>
      </c>
      <c r="G129" s="47">
        <f t="shared" si="11"/>
        <v>0</v>
      </c>
      <c r="H129" s="88"/>
      <c r="I129" s="20">
        <v>35</v>
      </c>
      <c r="J129" s="82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141</v>
      </c>
      <c r="C130" s="79">
        <f>+'16'!G130</f>
        <v>0</v>
      </c>
      <c r="D130" s="87">
        <v>0</v>
      </c>
      <c r="E130" s="47">
        <f t="shared" si="13"/>
        <v>0</v>
      </c>
      <c r="F130" s="87">
        <v>0</v>
      </c>
      <c r="G130" s="47">
        <f t="shared" si="11"/>
        <v>0</v>
      </c>
      <c r="H130" s="88"/>
      <c r="I130" s="20">
        <v>40</v>
      </c>
      <c r="J130" s="82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142</v>
      </c>
      <c r="C131" s="79">
        <f>+'16'!G131</f>
        <v>0</v>
      </c>
      <c r="D131" s="87">
        <v>0</v>
      </c>
      <c r="E131" s="47">
        <f t="shared" si="13"/>
        <v>0</v>
      </c>
      <c r="F131" s="87">
        <v>0</v>
      </c>
      <c r="G131" s="47">
        <f t="shared" si="11"/>
        <v>0</v>
      </c>
      <c r="H131" s="88"/>
      <c r="I131" s="20">
        <v>50</v>
      </c>
      <c r="J131" s="82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143</v>
      </c>
      <c r="C132" s="79">
        <f>+'16'!G132</f>
        <v>0</v>
      </c>
      <c r="D132" s="87">
        <v>0</v>
      </c>
      <c r="E132" s="47">
        <f t="shared" si="13"/>
        <v>0</v>
      </c>
      <c r="F132" s="87">
        <v>0</v>
      </c>
      <c r="G132" s="47">
        <f t="shared" si="11"/>
        <v>0</v>
      </c>
      <c r="H132" s="88"/>
      <c r="I132" s="20">
        <v>55</v>
      </c>
      <c r="J132" s="82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144</v>
      </c>
      <c r="C133" s="79">
        <f>+'16'!G133</f>
        <v>0</v>
      </c>
      <c r="D133" s="87">
        <v>0</v>
      </c>
      <c r="E133" s="47">
        <f t="shared" si="13"/>
        <v>0</v>
      </c>
      <c r="F133" s="87">
        <v>0</v>
      </c>
      <c r="G133" s="47">
        <f t="shared" si="11"/>
        <v>0</v>
      </c>
      <c r="H133" s="88"/>
      <c r="I133" s="20">
        <v>55</v>
      </c>
      <c r="J133" s="82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145</v>
      </c>
      <c r="C134" s="79">
        <f>+'16'!G134</f>
        <v>0</v>
      </c>
      <c r="D134" s="87">
        <v>0</v>
      </c>
      <c r="E134" s="47">
        <f t="shared" si="13"/>
        <v>0</v>
      </c>
      <c r="F134" s="87">
        <v>0</v>
      </c>
      <c r="G134" s="47">
        <f t="shared" si="11"/>
        <v>0</v>
      </c>
      <c r="H134" s="88"/>
      <c r="I134" s="20">
        <v>45</v>
      </c>
      <c r="J134" s="82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5.5" x14ac:dyDescent="0.55000000000000004">
      <c r="A135" s="10">
        <v>131</v>
      </c>
      <c r="B135" s="19" t="s">
        <v>146</v>
      </c>
      <c r="C135" s="79">
        <f>+'16'!G135</f>
        <v>0</v>
      </c>
      <c r="D135" s="87">
        <v>0</v>
      </c>
      <c r="E135" s="47">
        <f t="shared" si="13"/>
        <v>0</v>
      </c>
      <c r="F135" s="87">
        <v>0</v>
      </c>
      <c r="G135" s="47">
        <f t="shared" si="11"/>
        <v>0</v>
      </c>
      <c r="H135" s="88"/>
      <c r="I135" s="20">
        <v>45</v>
      </c>
      <c r="J135" s="82">
        <f t="shared" si="12"/>
        <v>0</v>
      </c>
      <c r="K135" s="17" t="s">
        <v>16</v>
      </c>
      <c r="L135" s="18">
        <v>0</v>
      </c>
      <c r="M135" s="23">
        <f t="shared" ref="M135:M198" si="14">SUM(J135-L135)</f>
        <v>0</v>
      </c>
    </row>
    <row r="136" spans="1:13" ht="25.5" x14ac:dyDescent="0.55000000000000004">
      <c r="A136" s="10">
        <v>132</v>
      </c>
      <c r="B136" s="19" t="s">
        <v>147</v>
      </c>
      <c r="C136" s="79">
        <f>+'16'!G136</f>
        <v>0</v>
      </c>
      <c r="D136" s="87">
        <v>0</v>
      </c>
      <c r="E136" s="47">
        <f t="shared" si="13"/>
        <v>0</v>
      </c>
      <c r="F136" s="87">
        <v>0</v>
      </c>
      <c r="G136" s="47">
        <f t="shared" si="11"/>
        <v>0</v>
      </c>
      <c r="H136" s="88"/>
      <c r="I136" s="20">
        <v>55</v>
      </c>
      <c r="J136" s="82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148</v>
      </c>
      <c r="C137" s="79">
        <f>+'16'!G137</f>
        <v>0</v>
      </c>
      <c r="D137" s="87">
        <v>0</v>
      </c>
      <c r="E137" s="47">
        <f t="shared" si="13"/>
        <v>0</v>
      </c>
      <c r="F137" s="87">
        <v>0</v>
      </c>
      <c r="G137" s="47">
        <f t="shared" si="11"/>
        <v>0</v>
      </c>
      <c r="H137" s="88"/>
      <c r="I137" s="20">
        <v>45</v>
      </c>
      <c r="J137" s="82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149</v>
      </c>
      <c r="C138" s="79">
        <f>+'16'!G138</f>
        <v>0</v>
      </c>
      <c r="D138" s="87">
        <v>0</v>
      </c>
      <c r="E138" s="47">
        <f t="shared" si="13"/>
        <v>0</v>
      </c>
      <c r="F138" s="87">
        <v>0</v>
      </c>
      <c r="G138" s="47">
        <f t="shared" si="11"/>
        <v>0</v>
      </c>
      <c r="H138" s="88"/>
      <c r="I138" s="20">
        <v>45</v>
      </c>
      <c r="J138" s="82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150</v>
      </c>
      <c r="C139" s="79">
        <f>+'16'!G139</f>
        <v>0</v>
      </c>
      <c r="D139" s="87">
        <v>0</v>
      </c>
      <c r="E139" s="47">
        <f t="shared" si="13"/>
        <v>0</v>
      </c>
      <c r="F139" s="87">
        <v>0</v>
      </c>
      <c r="G139" s="47">
        <f t="shared" si="11"/>
        <v>0</v>
      </c>
      <c r="H139" s="88"/>
      <c r="I139" s="20">
        <v>45</v>
      </c>
      <c r="J139" s="82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151</v>
      </c>
      <c r="C140" s="79">
        <f>+'16'!G140</f>
        <v>0</v>
      </c>
      <c r="D140" s="87">
        <v>0</v>
      </c>
      <c r="E140" s="47">
        <f t="shared" si="13"/>
        <v>0</v>
      </c>
      <c r="F140" s="87">
        <v>0</v>
      </c>
      <c r="G140" s="47">
        <f t="shared" si="11"/>
        <v>0</v>
      </c>
      <c r="H140" s="88"/>
      <c r="I140" s="20">
        <v>45</v>
      </c>
      <c r="J140" s="82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152</v>
      </c>
      <c r="C141" s="79">
        <f>+'16'!G141</f>
        <v>0</v>
      </c>
      <c r="D141" s="87">
        <v>0</v>
      </c>
      <c r="E141" s="47">
        <f t="shared" si="13"/>
        <v>0</v>
      </c>
      <c r="F141" s="87">
        <v>0</v>
      </c>
      <c r="G141" s="47">
        <f t="shared" si="11"/>
        <v>0</v>
      </c>
      <c r="H141" s="88"/>
      <c r="I141" s="20">
        <v>45</v>
      </c>
      <c r="J141" s="82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153</v>
      </c>
      <c r="C142" s="79">
        <f>+'16'!G142</f>
        <v>0</v>
      </c>
      <c r="D142" s="87">
        <v>0</v>
      </c>
      <c r="E142" s="47">
        <f t="shared" si="13"/>
        <v>0</v>
      </c>
      <c r="F142" s="87">
        <v>0</v>
      </c>
      <c r="G142" s="47">
        <f t="shared" si="11"/>
        <v>0</v>
      </c>
      <c r="H142" s="88"/>
      <c r="I142" s="20">
        <v>45</v>
      </c>
      <c r="J142" s="82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154</v>
      </c>
      <c r="C143" s="79">
        <f>+'16'!G143</f>
        <v>0</v>
      </c>
      <c r="D143" s="87">
        <v>0</v>
      </c>
      <c r="E143" s="47">
        <f t="shared" si="13"/>
        <v>0</v>
      </c>
      <c r="F143" s="87">
        <v>0</v>
      </c>
      <c r="G143" s="47">
        <f t="shared" si="11"/>
        <v>0</v>
      </c>
      <c r="H143" s="88"/>
      <c r="I143" s="20">
        <v>120</v>
      </c>
      <c r="J143" s="82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155</v>
      </c>
      <c r="C144" s="79">
        <f>+'16'!G144</f>
        <v>0</v>
      </c>
      <c r="D144" s="87">
        <v>0</v>
      </c>
      <c r="E144" s="47">
        <f t="shared" si="13"/>
        <v>0</v>
      </c>
      <c r="F144" s="87">
        <v>0</v>
      </c>
      <c r="G144" s="47">
        <f t="shared" si="11"/>
        <v>0</v>
      </c>
      <c r="H144" s="88"/>
      <c r="I144" s="20">
        <v>120</v>
      </c>
      <c r="J144" s="82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156</v>
      </c>
      <c r="C145" s="79">
        <f>+'16'!G145</f>
        <v>0</v>
      </c>
      <c r="D145" s="87">
        <v>0</v>
      </c>
      <c r="E145" s="47">
        <f t="shared" si="13"/>
        <v>0</v>
      </c>
      <c r="F145" s="87">
        <v>0</v>
      </c>
      <c r="G145" s="47">
        <f t="shared" si="11"/>
        <v>0</v>
      </c>
      <c r="H145" s="88"/>
      <c r="I145" s="20">
        <v>120</v>
      </c>
      <c r="J145" s="82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157</v>
      </c>
      <c r="C146" s="79">
        <f>+'16'!G146</f>
        <v>0</v>
      </c>
      <c r="D146" s="87">
        <v>0</v>
      </c>
      <c r="E146" s="47">
        <f t="shared" si="13"/>
        <v>0</v>
      </c>
      <c r="F146" s="87">
        <v>0</v>
      </c>
      <c r="G146" s="47">
        <f t="shared" si="11"/>
        <v>0</v>
      </c>
      <c r="H146" s="88"/>
      <c r="I146" s="20">
        <v>120</v>
      </c>
      <c r="J146" s="82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158</v>
      </c>
      <c r="C147" s="79">
        <f>+'16'!G147</f>
        <v>0</v>
      </c>
      <c r="D147" s="87">
        <v>0</v>
      </c>
      <c r="E147" s="47">
        <f t="shared" si="13"/>
        <v>0</v>
      </c>
      <c r="F147" s="87">
        <v>0</v>
      </c>
      <c r="G147" s="47">
        <f t="shared" si="11"/>
        <v>0</v>
      </c>
      <c r="H147" s="88"/>
      <c r="I147" s="20">
        <v>185</v>
      </c>
      <c r="J147" s="82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159</v>
      </c>
      <c r="C148" s="79">
        <f>+'16'!G148</f>
        <v>0</v>
      </c>
      <c r="D148" s="87">
        <v>0</v>
      </c>
      <c r="E148" s="47">
        <f t="shared" si="13"/>
        <v>0</v>
      </c>
      <c r="F148" s="87">
        <v>0</v>
      </c>
      <c r="G148" s="47">
        <f t="shared" si="11"/>
        <v>0</v>
      </c>
      <c r="H148" s="88"/>
      <c r="I148" s="20">
        <v>185</v>
      </c>
      <c r="J148" s="82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160</v>
      </c>
      <c r="C149" s="79">
        <f>+'16'!G149</f>
        <v>0</v>
      </c>
      <c r="D149" s="87">
        <v>0</v>
      </c>
      <c r="E149" s="47">
        <f t="shared" si="13"/>
        <v>0</v>
      </c>
      <c r="F149" s="87">
        <v>0</v>
      </c>
      <c r="G149" s="47">
        <f t="shared" si="11"/>
        <v>0</v>
      </c>
      <c r="H149" s="88"/>
      <c r="I149" s="20">
        <v>185</v>
      </c>
      <c r="J149" s="82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161</v>
      </c>
      <c r="C150" s="79">
        <f>+'16'!G150</f>
        <v>0</v>
      </c>
      <c r="D150" s="87">
        <v>0</v>
      </c>
      <c r="E150" s="47">
        <f t="shared" si="13"/>
        <v>0</v>
      </c>
      <c r="F150" s="87">
        <v>0</v>
      </c>
      <c r="G150" s="47">
        <f t="shared" si="11"/>
        <v>0</v>
      </c>
      <c r="H150" s="88"/>
      <c r="I150" s="20">
        <v>185</v>
      </c>
      <c r="J150" s="82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5.5" x14ac:dyDescent="0.55000000000000004">
      <c r="A151" s="10">
        <v>147</v>
      </c>
      <c r="B151" s="19" t="s">
        <v>279</v>
      </c>
      <c r="C151" s="79">
        <f>+'16'!G151</f>
        <v>0</v>
      </c>
      <c r="D151" s="87">
        <v>0</v>
      </c>
      <c r="E151" s="47">
        <f t="shared" si="13"/>
        <v>0</v>
      </c>
      <c r="F151" s="87">
        <v>0</v>
      </c>
      <c r="G151" s="47">
        <f t="shared" si="11"/>
        <v>0</v>
      </c>
      <c r="H151" s="88"/>
      <c r="I151" s="20">
        <v>150</v>
      </c>
      <c r="J151" s="82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280</v>
      </c>
      <c r="C152" s="79">
        <f>+'16'!G152</f>
        <v>1</v>
      </c>
      <c r="D152" s="87">
        <v>0</v>
      </c>
      <c r="E152" s="47">
        <f t="shared" si="13"/>
        <v>1</v>
      </c>
      <c r="F152" s="87">
        <v>0</v>
      </c>
      <c r="G152" s="47">
        <f t="shared" si="11"/>
        <v>1</v>
      </c>
      <c r="H152" s="88"/>
      <c r="I152" s="20">
        <v>150</v>
      </c>
      <c r="J152" s="82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5.5" x14ac:dyDescent="0.55000000000000004">
      <c r="A153" s="10">
        <v>149</v>
      </c>
      <c r="B153" s="19" t="s">
        <v>281</v>
      </c>
      <c r="C153" s="79">
        <f>+'16'!G153</f>
        <v>0</v>
      </c>
      <c r="D153" s="87">
        <v>0</v>
      </c>
      <c r="E153" s="47">
        <f t="shared" si="13"/>
        <v>0</v>
      </c>
      <c r="F153" s="87">
        <v>0</v>
      </c>
      <c r="G153" s="47">
        <f t="shared" si="11"/>
        <v>0</v>
      </c>
      <c r="H153" s="88"/>
      <c r="I153" s="20">
        <v>150</v>
      </c>
      <c r="J153" s="82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282</v>
      </c>
      <c r="C154" s="79">
        <f>+'16'!G154</f>
        <v>0</v>
      </c>
      <c r="D154" s="87">
        <v>0</v>
      </c>
      <c r="E154" s="47">
        <f t="shared" si="13"/>
        <v>0</v>
      </c>
      <c r="F154" s="87">
        <v>0</v>
      </c>
      <c r="G154" s="47">
        <f t="shared" si="11"/>
        <v>0</v>
      </c>
      <c r="H154" s="88"/>
      <c r="I154" s="20">
        <v>150</v>
      </c>
      <c r="J154" s="82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166</v>
      </c>
      <c r="C155" s="79">
        <f>+'16'!G155</f>
        <v>0</v>
      </c>
      <c r="D155" s="87">
        <v>0</v>
      </c>
      <c r="E155" s="47">
        <f t="shared" si="13"/>
        <v>0</v>
      </c>
      <c r="F155" s="87">
        <v>0</v>
      </c>
      <c r="G155" s="47">
        <f t="shared" si="11"/>
        <v>0</v>
      </c>
      <c r="H155" s="88"/>
      <c r="I155" s="20">
        <v>185</v>
      </c>
      <c r="J155" s="82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167</v>
      </c>
      <c r="C156" s="79">
        <f>+'16'!G156</f>
        <v>0</v>
      </c>
      <c r="D156" s="87">
        <v>0</v>
      </c>
      <c r="E156" s="47">
        <f t="shared" si="13"/>
        <v>0</v>
      </c>
      <c r="F156" s="87">
        <v>0</v>
      </c>
      <c r="G156" s="47">
        <f t="shared" si="11"/>
        <v>0</v>
      </c>
      <c r="H156" s="88"/>
      <c r="I156" s="20">
        <v>185</v>
      </c>
      <c r="J156" s="82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168</v>
      </c>
      <c r="C157" s="79">
        <f>+'16'!G157</f>
        <v>0</v>
      </c>
      <c r="D157" s="87">
        <v>0</v>
      </c>
      <c r="E157" s="47">
        <f t="shared" si="13"/>
        <v>0</v>
      </c>
      <c r="F157" s="87">
        <v>0</v>
      </c>
      <c r="G157" s="47">
        <f t="shared" si="11"/>
        <v>0</v>
      </c>
      <c r="H157" s="88"/>
      <c r="I157" s="20">
        <v>185</v>
      </c>
      <c r="J157" s="82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169</v>
      </c>
      <c r="C158" s="79">
        <f>+'16'!G158</f>
        <v>0</v>
      </c>
      <c r="D158" s="87">
        <v>0</v>
      </c>
      <c r="E158" s="47">
        <f t="shared" si="13"/>
        <v>0</v>
      </c>
      <c r="F158" s="87">
        <v>0</v>
      </c>
      <c r="G158" s="47">
        <f t="shared" si="11"/>
        <v>0</v>
      </c>
      <c r="H158" s="88"/>
      <c r="I158" s="20">
        <v>185</v>
      </c>
      <c r="J158" s="82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170</v>
      </c>
      <c r="C159" s="79">
        <f>+'16'!G159</f>
        <v>0</v>
      </c>
      <c r="D159" s="87">
        <v>0</v>
      </c>
      <c r="E159" s="47">
        <f t="shared" si="13"/>
        <v>0</v>
      </c>
      <c r="F159" s="87">
        <v>0</v>
      </c>
      <c r="G159" s="47">
        <f t="shared" si="11"/>
        <v>0</v>
      </c>
      <c r="H159" s="88"/>
      <c r="I159" s="20">
        <v>135</v>
      </c>
      <c r="J159" s="82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171</v>
      </c>
      <c r="C160" s="79">
        <f>+'16'!G160</f>
        <v>0</v>
      </c>
      <c r="D160" s="87">
        <v>0</v>
      </c>
      <c r="E160" s="47">
        <f t="shared" si="13"/>
        <v>0</v>
      </c>
      <c r="F160" s="87">
        <v>0</v>
      </c>
      <c r="G160" s="47">
        <f t="shared" si="11"/>
        <v>0</v>
      </c>
      <c r="H160" s="88"/>
      <c r="I160" s="20">
        <v>90</v>
      </c>
      <c r="J160" s="82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172</v>
      </c>
      <c r="C161" s="79">
        <f>+'16'!G161</f>
        <v>0</v>
      </c>
      <c r="D161" s="87">
        <v>0</v>
      </c>
      <c r="E161" s="47">
        <f t="shared" si="13"/>
        <v>0</v>
      </c>
      <c r="F161" s="87">
        <v>0</v>
      </c>
      <c r="G161" s="47">
        <f t="shared" si="11"/>
        <v>0</v>
      </c>
      <c r="H161" s="88"/>
      <c r="I161" s="20">
        <v>90</v>
      </c>
      <c r="J161" s="82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173</v>
      </c>
      <c r="C162" s="79">
        <f>+'16'!G162</f>
        <v>0</v>
      </c>
      <c r="D162" s="87">
        <v>0</v>
      </c>
      <c r="E162" s="47">
        <f t="shared" si="13"/>
        <v>0</v>
      </c>
      <c r="F162" s="87">
        <v>0</v>
      </c>
      <c r="G162" s="47">
        <f t="shared" si="11"/>
        <v>0</v>
      </c>
      <c r="H162" s="88"/>
      <c r="I162" s="20">
        <v>90</v>
      </c>
      <c r="J162" s="82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174</v>
      </c>
      <c r="C163" s="79">
        <f>+'16'!G163</f>
        <v>0</v>
      </c>
      <c r="D163" s="87">
        <v>0</v>
      </c>
      <c r="E163" s="47">
        <f t="shared" si="13"/>
        <v>0</v>
      </c>
      <c r="F163" s="87">
        <v>0</v>
      </c>
      <c r="G163" s="47">
        <f t="shared" si="11"/>
        <v>0</v>
      </c>
      <c r="H163" s="88"/>
      <c r="I163" s="20">
        <v>90</v>
      </c>
      <c r="J163" s="82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175</v>
      </c>
      <c r="C164" s="79">
        <f>+'16'!G164</f>
        <v>0</v>
      </c>
      <c r="D164" s="87">
        <v>0</v>
      </c>
      <c r="E164" s="47">
        <f t="shared" si="13"/>
        <v>0</v>
      </c>
      <c r="F164" s="87">
        <v>0</v>
      </c>
      <c r="G164" s="47">
        <f t="shared" si="11"/>
        <v>0</v>
      </c>
      <c r="H164" s="88"/>
      <c r="I164" s="20">
        <v>25</v>
      </c>
      <c r="J164" s="82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176</v>
      </c>
      <c r="C165" s="79">
        <f>+'16'!G165</f>
        <v>0</v>
      </c>
      <c r="D165" s="87">
        <v>0</v>
      </c>
      <c r="E165" s="47">
        <f t="shared" si="13"/>
        <v>0</v>
      </c>
      <c r="F165" s="87">
        <v>0</v>
      </c>
      <c r="G165" s="47">
        <f t="shared" ref="G165:G227" si="15">+E165-F165-H165</f>
        <v>0</v>
      </c>
      <c r="H165" s="88"/>
      <c r="I165" s="20">
        <v>50</v>
      </c>
      <c r="J165" s="82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177</v>
      </c>
      <c r="C166" s="79">
        <f>+'16'!G166</f>
        <v>0</v>
      </c>
      <c r="D166" s="87">
        <v>0</v>
      </c>
      <c r="E166" s="47">
        <f t="shared" si="13"/>
        <v>0</v>
      </c>
      <c r="F166" s="87">
        <v>0</v>
      </c>
      <c r="G166" s="47">
        <f t="shared" si="15"/>
        <v>0</v>
      </c>
      <c r="H166" s="88"/>
      <c r="I166" s="20">
        <v>50</v>
      </c>
      <c r="J166" s="82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178</v>
      </c>
      <c r="C167" s="79">
        <f>+'16'!G167</f>
        <v>0</v>
      </c>
      <c r="D167" s="87">
        <v>0</v>
      </c>
      <c r="E167" s="47">
        <f t="shared" si="13"/>
        <v>0</v>
      </c>
      <c r="F167" s="87">
        <v>0</v>
      </c>
      <c r="G167" s="47">
        <f t="shared" si="15"/>
        <v>0</v>
      </c>
      <c r="H167" s="88"/>
      <c r="I167" s="20">
        <v>50</v>
      </c>
      <c r="J167" s="82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179</v>
      </c>
      <c r="C168" s="79">
        <f>+'16'!G168</f>
        <v>7</v>
      </c>
      <c r="D168" s="87">
        <v>0</v>
      </c>
      <c r="E168" s="47">
        <f t="shared" si="13"/>
        <v>7</v>
      </c>
      <c r="F168" s="87">
        <v>7</v>
      </c>
      <c r="G168" s="47">
        <f t="shared" si="15"/>
        <v>0</v>
      </c>
      <c r="H168" s="88"/>
      <c r="I168" s="20">
        <v>50</v>
      </c>
      <c r="J168" s="82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180</v>
      </c>
      <c r="C169" s="79">
        <f>+'16'!G169</f>
        <v>40</v>
      </c>
      <c r="D169" s="87">
        <v>0</v>
      </c>
      <c r="E169" s="47">
        <f t="shared" si="13"/>
        <v>40</v>
      </c>
      <c r="F169" s="87">
        <v>0</v>
      </c>
      <c r="G169" s="47">
        <f t="shared" si="15"/>
        <v>40</v>
      </c>
      <c r="H169" s="88"/>
      <c r="I169" s="20">
        <v>55</v>
      </c>
      <c r="J169" s="82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181</v>
      </c>
      <c r="C170" s="79">
        <f>+'16'!G170</f>
        <v>0</v>
      </c>
      <c r="D170" s="87">
        <v>0</v>
      </c>
      <c r="E170" s="47">
        <f t="shared" si="13"/>
        <v>0</v>
      </c>
      <c r="F170" s="87">
        <v>0</v>
      </c>
      <c r="G170" s="47">
        <f t="shared" si="15"/>
        <v>0</v>
      </c>
      <c r="H170" s="88"/>
      <c r="I170" s="20">
        <v>85</v>
      </c>
      <c r="J170" s="82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182</v>
      </c>
      <c r="C171" s="79">
        <f>+'16'!G171</f>
        <v>7</v>
      </c>
      <c r="D171" s="87">
        <v>0</v>
      </c>
      <c r="E171" s="47">
        <f t="shared" si="13"/>
        <v>7</v>
      </c>
      <c r="F171" s="87">
        <v>0</v>
      </c>
      <c r="G171" s="47">
        <f t="shared" si="15"/>
        <v>6</v>
      </c>
      <c r="H171" s="88">
        <v>1</v>
      </c>
      <c r="I171" s="20">
        <v>80</v>
      </c>
      <c r="J171" s="82">
        <f t="shared" si="16"/>
        <v>80</v>
      </c>
      <c r="K171" s="17" t="s">
        <v>16</v>
      </c>
      <c r="L171" s="18">
        <v>0</v>
      </c>
      <c r="M171" s="23">
        <f t="shared" si="14"/>
        <v>80</v>
      </c>
    </row>
    <row r="172" spans="1:13" ht="25.5" x14ac:dyDescent="0.55000000000000004">
      <c r="A172" s="10">
        <v>168</v>
      </c>
      <c r="B172" s="19" t="s">
        <v>183</v>
      </c>
      <c r="C172" s="79">
        <f>+'16'!G172</f>
        <v>0</v>
      </c>
      <c r="D172" s="87">
        <v>0</v>
      </c>
      <c r="E172" s="47">
        <f t="shared" si="13"/>
        <v>0</v>
      </c>
      <c r="F172" s="87">
        <v>0</v>
      </c>
      <c r="G172" s="47">
        <f t="shared" si="15"/>
        <v>0</v>
      </c>
      <c r="H172" s="88"/>
      <c r="I172" s="20">
        <v>40</v>
      </c>
      <c r="J172" s="82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184</v>
      </c>
      <c r="C173" s="79">
        <f>+'16'!G173</f>
        <v>0</v>
      </c>
      <c r="D173" s="87">
        <v>0</v>
      </c>
      <c r="E173" s="47">
        <f t="shared" si="13"/>
        <v>0</v>
      </c>
      <c r="F173" s="87">
        <v>0</v>
      </c>
      <c r="G173" s="47">
        <f t="shared" si="15"/>
        <v>0</v>
      </c>
      <c r="H173" s="88"/>
      <c r="I173" s="20">
        <v>120</v>
      </c>
      <c r="J173" s="82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185</v>
      </c>
      <c r="C174" s="79">
        <f>+'16'!G174</f>
        <v>0</v>
      </c>
      <c r="D174" s="87">
        <v>0</v>
      </c>
      <c r="E174" s="47">
        <f t="shared" si="13"/>
        <v>0</v>
      </c>
      <c r="F174" s="87">
        <v>0</v>
      </c>
      <c r="G174" s="47">
        <f t="shared" si="15"/>
        <v>0</v>
      </c>
      <c r="H174" s="88"/>
      <c r="I174" s="20">
        <v>120</v>
      </c>
      <c r="J174" s="82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186</v>
      </c>
      <c r="C175" s="79">
        <f>+'16'!G175</f>
        <v>0</v>
      </c>
      <c r="D175" s="87">
        <v>0</v>
      </c>
      <c r="E175" s="47">
        <f t="shared" si="13"/>
        <v>0</v>
      </c>
      <c r="F175" s="87">
        <v>0</v>
      </c>
      <c r="G175" s="47">
        <f t="shared" si="15"/>
        <v>0</v>
      </c>
      <c r="H175" s="88"/>
      <c r="I175" s="20">
        <v>55</v>
      </c>
      <c r="J175" s="82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187</v>
      </c>
      <c r="C176" s="79">
        <f>+'16'!G176</f>
        <v>0</v>
      </c>
      <c r="D176" s="87">
        <v>0</v>
      </c>
      <c r="E176" s="47">
        <f t="shared" si="13"/>
        <v>0</v>
      </c>
      <c r="F176" s="87">
        <v>0</v>
      </c>
      <c r="G176" s="47">
        <f t="shared" si="15"/>
        <v>0</v>
      </c>
      <c r="H176" s="88"/>
      <c r="I176" s="20">
        <v>50</v>
      </c>
      <c r="J176" s="82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188</v>
      </c>
      <c r="C177" s="79">
        <f>+'16'!G177</f>
        <v>1</v>
      </c>
      <c r="D177" s="87">
        <v>0</v>
      </c>
      <c r="E177" s="47">
        <f t="shared" si="13"/>
        <v>1</v>
      </c>
      <c r="F177" s="87">
        <v>0</v>
      </c>
      <c r="G177" s="47">
        <f t="shared" si="15"/>
        <v>0</v>
      </c>
      <c r="H177" s="88">
        <v>1</v>
      </c>
      <c r="I177" s="20">
        <v>50</v>
      </c>
      <c r="J177" s="82">
        <f t="shared" si="16"/>
        <v>50</v>
      </c>
      <c r="K177" s="17" t="s">
        <v>16</v>
      </c>
      <c r="L177" s="18">
        <v>0</v>
      </c>
      <c r="M177" s="23">
        <f t="shared" si="14"/>
        <v>50</v>
      </c>
    </row>
    <row r="178" spans="1:13" ht="25.5" x14ac:dyDescent="0.55000000000000004">
      <c r="A178" s="10">
        <v>174</v>
      </c>
      <c r="B178" s="19" t="s">
        <v>189</v>
      </c>
      <c r="C178" s="79">
        <f>+'16'!G178</f>
        <v>2</v>
      </c>
      <c r="D178" s="87">
        <v>0</v>
      </c>
      <c r="E178" s="47">
        <f t="shared" si="13"/>
        <v>2</v>
      </c>
      <c r="F178" s="87">
        <v>0</v>
      </c>
      <c r="G178" s="47">
        <f t="shared" si="15"/>
        <v>0</v>
      </c>
      <c r="H178" s="88">
        <v>2</v>
      </c>
      <c r="I178" s="20">
        <v>120</v>
      </c>
      <c r="J178" s="82">
        <f t="shared" si="16"/>
        <v>240</v>
      </c>
      <c r="K178" s="17" t="s">
        <v>16</v>
      </c>
      <c r="L178" s="18">
        <v>0</v>
      </c>
      <c r="M178" s="23">
        <f t="shared" si="14"/>
        <v>240</v>
      </c>
    </row>
    <row r="179" spans="1:13" ht="25.5" x14ac:dyDescent="0.55000000000000004">
      <c r="A179" s="10">
        <v>175</v>
      </c>
      <c r="B179" s="19" t="s">
        <v>190</v>
      </c>
      <c r="C179" s="79">
        <f>+'16'!G179</f>
        <v>0</v>
      </c>
      <c r="D179" s="87">
        <v>0</v>
      </c>
      <c r="E179" s="47">
        <f t="shared" si="13"/>
        <v>0</v>
      </c>
      <c r="F179" s="87">
        <v>0</v>
      </c>
      <c r="G179" s="47">
        <f t="shared" si="15"/>
        <v>0</v>
      </c>
      <c r="H179" s="88"/>
      <c r="I179" s="20">
        <v>120</v>
      </c>
      <c r="J179" s="82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191</v>
      </c>
      <c r="C180" s="79">
        <f>+'16'!G180</f>
        <v>0</v>
      </c>
      <c r="D180" s="87">
        <v>0</v>
      </c>
      <c r="E180" s="47">
        <f t="shared" si="13"/>
        <v>0</v>
      </c>
      <c r="F180" s="87">
        <v>0</v>
      </c>
      <c r="G180" s="47">
        <f t="shared" si="15"/>
        <v>0</v>
      </c>
      <c r="H180" s="88"/>
      <c r="I180" s="20">
        <v>10</v>
      </c>
      <c r="J180" s="82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192</v>
      </c>
      <c r="C181" s="79">
        <f>+'16'!G181</f>
        <v>0</v>
      </c>
      <c r="D181" s="87">
        <v>0</v>
      </c>
      <c r="E181" s="47">
        <f t="shared" si="13"/>
        <v>0</v>
      </c>
      <c r="F181" s="87">
        <v>0</v>
      </c>
      <c r="G181" s="47">
        <f t="shared" si="15"/>
        <v>0</v>
      </c>
      <c r="H181" s="88"/>
      <c r="I181" s="20">
        <v>35</v>
      </c>
      <c r="J181" s="82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193</v>
      </c>
      <c r="C182" s="79">
        <f>+'16'!G182</f>
        <v>0</v>
      </c>
      <c r="D182" s="87">
        <v>0</v>
      </c>
      <c r="E182" s="47">
        <f t="shared" si="13"/>
        <v>0</v>
      </c>
      <c r="F182" s="87">
        <v>0</v>
      </c>
      <c r="G182" s="47">
        <f t="shared" si="15"/>
        <v>0</v>
      </c>
      <c r="H182" s="88"/>
      <c r="I182" s="20">
        <v>10</v>
      </c>
      <c r="J182" s="82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194</v>
      </c>
      <c r="C183" s="79">
        <f>+'16'!G183</f>
        <v>0</v>
      </c>
      <c r="D183" s="87">
        <v>0</v>
      </c>
      <c r="E183" s="47">
        <f t="shared" si="13"/>
        <v>0</v>
      </c>
      <c r="F183" s="87">
        <v>0</v>
      </c>
      <c r="G183" s="47">
        <f t="shared" si="15"/>
        <v>0</v>
      </c>
      <c r="H183" s="88"/>
      <c r="I183" s="20">
        <v>10</v>
      </c>
      <c r="J183" s="82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195</v>
      </c>
      <c r="C184" s="79">
        <f>+'16'!G184</f>
        <v>0</v>
      </c>
      <c r="D184" s="87">
        <v>0</v>
      </c>
      <c r="E184" s="47">
        <f t="shared" si="13"/>
        <v>0</v>
      </c>
      <c r="F184" s="87">
        <v>0</v>
      </c>
      <c r="G184" s="47">
        <f t="shared" si="15"/>
        <v>0</v>
      </c>
      <c r="H184" s="88"/>
      <c r="I184" s="20">
        <v>10</v>
      </c>
      <c r="J184" s="82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196</v>
      </c>
      <c r="C185" s="79">
        <f>+'16'!G185</f>
        <v>0</v>
      </c>
      <c r="D185" s="87">
        <v>0</v>
      </c>
      <c r="E185" s="47">
        <f t="shared" si="13"/>
        <v>0</v>
      </c>
      <c r="F185" s="87">
        <v>0</v>
      </c>
      <c r="G185" s="47">
        <f t="shared" si="15"/>
        <v>0</v>
      </c>
      <c r="H185" s="88"/>
      <c r="I185" s="20">
        <v>10</v>
      </c>
      <c r="J185" s="82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197</v>
      </c>
      <c r="C186" s="79">
        <f>+'16'!G186</f>
        <v>0</v>
      </c>
      <c r="D186" s="87">
        <v>0</v>
      </c>
      <c r="E186" s="47">
        <f t="shared" si="13"/>
        <v>0</v>
      </c>
      <c r="F186" s="87">
        <v>0</v>
      </c>
      <c r="G186" s="47">
        <f t="shared" si="15"/>
        <v>0</v>
      </c>
      <c r="H186" s="88"/>
      <c r="I186" s="20">
        <v>10</v>
      </c>
      <c r="J186" s="82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198</v>
      </c>
      <c r="C187" s="79">
        <f>+'16'!G187</f>
        <v>0</v>
      </c>
      <c r="D187" s="87">
        <v>0</v>
      </c>
      <c r="E187" s="47">
        <f t="shared" si="13"/>
        <v>0</v>
      </c>
      <c r="F187" s="87">
        <v>0</v>
      </c>
      <c r="G187" s="47">
        <f t="shared" si="15"/>
        <v>0</v>
      </c>
      <c r="H187" s="88"/>
      <c r="I187" s="20">
        <v>25</v>
      </c>
      <c r="J187" s="82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249</v>
      </c>
      <c r="C188" s="79">
        <f>+'16'!G188</f>
        <v>0</v>
      </c>
      <c r="D188" s="87">
        <v>0</v>
      </c>
      <c r="E188" s="47">
        <f t="shared" si="13"/>
        <v>0</v>
      </c>
      <c r="F188" s="87">
        <v>0</v>
      </c>
      <c r="G188" s="47">
        <f t="shared" si="15"/>
        <v>0</v>
      </c>
      <c r="H188" s="88"/>
      <c r="I188" s="15">
        <v>50</v>
      </c>
      <c r="J188" s="82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250</v>
      </c>
      <c r="C189" s="79">
        <f>+'16'!G189</f>
        <v>0</v>
      </c>
      <c r="D189" s="87">
        <v>0</v>
      </c>
      <c r="E189" s="47">
        <f t="shared" si="13"/>
        <v>0</v>
      </c>
      <c r="F189" s="87">
        <v>0</v>
      </c>
      <c r="G189" s="47">
        <f t="shared" si="15"/>
        <v>0</v>
      </c>
      <c r="H189" s="88"/>
      <c r="I189" s="15">
        <v>10</v>
      </c>
      <c r="J189" s="82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251</v>
      </c>
      <c r="C190" s="79">
        <f>+'16'!G190</f>
        <v>0</v>
      </c>
      <c r="D190" s="87">
        <v>0</v>
      </c>
      <c r="E190" s="47">
        <f t="shared" ref="E190:E252" si="17">C190+D190</f>
        <v>0</v>
      </c>
      <c r="F190" s="87">
        <v>0</v>
      </c>
      <c r="G190" s="47">
        <f t="shared" si="15"/>
        <v>0</v>
      </c>
      <c r="H190" s="88"/>
      <c r="I190" s="15">
        <v>15</v>
      </c>
      <c r="J190" s="82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252</v>
      </c>
      <c r="C191" s="79">
        <f>+'16'!G191</f>
        <v>0</v>
      </c>
      <c r="D191" s="87">
        <v>0</v>
      </c>
      <c r="E191" s="47">
        <f t="shared" si="17"/>
        <v>0</v>
      </c>
      <c r="F191" s="87">
        <v>0</v>
      </c>
      <c r="G191" s="47">
        <f t="shared" si="15"/>
        <v>0</v>
      </c>
      <c r="H191" s="88"/>
      <c r="I191" s="15">
        <v>25</v>
      </c>
      <c r="J191" s="82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253</v>
      </c>
      <c r="C192" s="79">
        <f>+'16'!G192</f>
        <v>0</v>
      </c>
      <c r="D192" s="87">
        <v>0</v>
      </c>
      <c r="E192" s="47">
        <f t="shared" si="17"/>
        <v>0</v>
      </c>
      <c r="F192" s="87">
        <v>0</v>
      </c>
      <c r="G192" s="47">
        <f t="shared" si="15"/>
        <v>0</v>
      </c>
      <c r="H192" s="88"/>
      <c r="I192" s="15">
        <v>50</v>
      </c>
      <c r="J192" s="82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254</v>
      </c>
      <c r="C193" s="79">
        <f>+'16'!G193</f>
        <v>0</v>
      </c>
      <c r="D193" s="87">
        <v>0</v>
      </c>
      <c r="E193" s="47">
        <f t="shared" si="17"/>
        <v>0</v>
      </c>
      <c r="F193" s="87">
        <v>0</v>
      </c>
      <c r="G193" s="47">
        <f t="shared" si="15"/>
        <v>0</v>
      </c>
      <c r="H193" s="88"/>
      <c r="I193" s="15">
        <v>45</v>
      </c>
      <c r="J193" s="82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255</v>
      </c>
      <c r="C194" s="79">
        <f>+'16'!G194</f>
        <v>0</v>
      </c>
      <c r="D194" s="87">
        <v>0</v>
      </c>
      <c r="E194" s="47">
        <f t="shared" si="17"/>
        <v>0</v>
      </c>
      <c r="F194" s="87">
        <v>0</v>
      </c>
      <c r="G194" s="47">
        <f t="shared" si="15"/>
        <v>0</v>
      </c>
      <c r="H194" s="88"/>
      <c r="I194" s="15">
        <v>50</v>
      </c>
      <c r="J194" s="82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199</v>
      </c>
      <c r="C195" s="79">
        <f>+'16'!G195</f>
        <v>0</v>
      </c>
      <c r="D195" s="87">
        <v>0</v>
      </c>
      <c r="E195" s="47">
        <f t="shared" si="17"/>
        <v>0</v>
      </c>
      <c r="F195" s="87">
        <v>0</v>
      </c>
      <c r="G195" s="47">
        <f t="shared" si="15"/>
        <v>0</v>
      </c>
      <c r="H195" s="88"/>
      <c r="I195" s="15">
        <v>150</v>
      </c>
      <c r="J195" s="82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200</v>
      </c>
      <c r="C196" s="79">
        <f>+'16'!G196</f>
        <v>0</v>
      </c>
      <c r="D196" s="87">
        <v>0</v>
      </c>
      <c r="E196" s="47">
        <f t="shared" si="17"/>
        <v>0</v>
      </c>
      <c r="F196" s="87">
        <v>0</v>
      </c>
      <c r="G196" s="47">
        <f t="shared" si="15"/>
        <v>0</v>
      </c>
      <c r="H196" s="88"/>
      <c r="I196" s="15">
        <v>150</v>
      </c>
      <c r="J196" s="82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201</v>
      </c>
      <c r="C197" s="79">
        <f>+'16'!G197</f>
        <v>0</v>
      </c>
      <c r="D197" s="87">
        <v>0</v>
      </c>
      <c r="E197" s="47">
        <f t="shared" si="17"/>
        <v>0</v>
      </c>
      <c r="F197" s="87">
        <v>0</v>
      </c>
      <c r="G197" s="47">
        <f t="shared" si="15"/>
        <v>0</v>
      </c>
      <c r="H197" s="88"/>
      <c r="I197" s="15">
        <v>150</v>
      </c>
      <c r="J197" s="82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256</v>
      </c>
      <c r="C198" s="79">
        <f>+'16'!G198</f>
        <v>0</v>
      </c>
      <c r="D198" s="87">
        <v>0</v>
      </c>
      <c r="E198" s="47">
        <f t="shared" si="17"/>
        <v>0</v>
      </c>
      <c r="F198" s="87">
        <v>0</v>
      </c>
      <c r="G198" s="47">
        <f t="shared" si="15"/>
        <v>0</v>
      </c>
      <c r="H198" s="88"/>
      <c r="I198" s="15">
        <v>55</v>
      </c>
      <c r="J198" s="82">
        <f t="shared" si="16"/>
        <v>0</v>
      </c>
      <c r="K198" s="17" t="s">
        <v>16</v>
      </c>
      <c r="L198" s="18">
        <v>0</v>
      </c>
      <c r="M198" s="23">
        <f t="shared" si="14"/>
        <v>0</v>
      </c>
    </row>
    <row r="199" spans="1:13" ht="25.5" x14ac:dyDescent="0.55000000000000004">
      <c r="A199" s="10">
        <v>195</v>
      </c>
      <c r="B199" s="19" t="s">
        <v>257</v>
      </c>
      <c r="C199" s="79">
        <f>+'16'!G199</f>
        <v>0</v>
      </c>
      <c r="D199" s="87">
        <v>0</v>
      </c>
      <c r="E199" s="47">
        <f t="shared" si="17"/>
        <v>0</v>
      </c>
      <c r="F199" s="87">
        <v>0</v>
      </c>
      <c r="G199" s="47">
        <f t="shared" si="15"/>
        <v>0</v>
      </c>
      <c r="H199" s="88"/>
      <c r="I199" s="15">
        <v>30</v>
      </c>
      <c r="J199" s="82">
        <f t="shared" si="16"/>
        <v>0</v>
      </c>
      <c r="K199" s="17" t="s">
        <v>16</v>
      </c>
      <c r="L199" s="18">
        <v>0</v>
      </c>
      <c r="M199" s="23">
        <f t="shared" ref="M199:M254" si="18">SUM(J199-L199)</f>
        <v>0</v>
      </c>
    </row>
    <row r="200" spans="1:13" ht="25.5" x14ac:dyDescent="0.55000000000000004">
      <c r="A200" s="10">
        <v>196</v>
      </c>
      <c r="B200" s="19" t="s">
        <v>258</v>
      </c>
      <c r="C200" s="79">
        <f>+'16'!G200</f>
        <v>0</v>
      </c>
      <c r="D200" s="87">
        <v>0</v>
      </c>
      <c r="E200" s="47">
        <f t="shared" si="17"/>
        <v>0</v>
      </c>
      <c r="F200" s="87">
        <v>0</v>
      </c>
      <c r="G200" s="47">
        <f t="shared" si="15"/>
        <v>0</v>
      </c>
      <c r="H200" s="88"/>
      <c r="I200" s="15">
        <v>30</v>
      </c>
      <c r="J200" s="82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259</v>
      </c>
      <c r="C201" s="79">
        <f>+'16'!G201</f>
        <v>0</v>
      </c>
      <c r="D201" s="87">
        <v>0</v>
      </c>
      <c r="E201" s="47">
        <f t="shared" si="17"/>
        <v>0</v>
      </c>
      <c r="F201" s="87">
        <v>0</v>
      </c>
      <c r="G201" s="47">
        <f t="shared" si="15"/>
        <v>0</v>
      </c>
      <c r="H201" s="88"/>
      <c r="I201" s="15">
        <v>30</v>
      </c>
      <c r="J201" s="82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260</v>
      </c>
      <c r="C202" s="79">
        <f>+'16'!G202</f>
        <v>0</v>
      </c>
      <c r="D202" s="87">
        <v>0</v>
      </c>
      <c r="E202" s="47">
        <f t="shared" si="17"/>
        <v>0</v>
      </c>
      <c r="F202" s="87">
        <v>0</v>
      </c>
      <c r="G202" s="47">
        <f t="shared" si="15"/>
        <v>0</v>
      </c>
      <c r="H202" s="88"/>
      <c r="I202" s="15">
        <v>30</v>
      </c>
      <c r="J202" s="82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261</v>
      </c>
      <c r="C203" s="79">
        <f>+'16'!G203</f>
        <v>0</v>
      </c>
      <c r="D203" s="87">
        <v>0</v>
      </c>
      <c r="E203" s="47">
        <f t="shared" si="17"/>
        <v>0</v>
      </c>
      <c r="F203" s="87">
        <v>0</v>
      </c>
      <c r="G203" s="47">
        <f t="shared" si="15"/>
        <v>0</v>
      </c>
      <c r="H203" s="88"/>
      <c r="I203" s="20">
        <v>30</v>
      </c>
      <c r="J203" s="82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262</v>
      </c>
      <c r="C204" s="79">
        <f>+'16'!G204</f>
        <v>0</v>
      </c>
      <c r="D204" s="87">
        <v>0</v>
      </c>
      <c r="E204" s="47">
        <f t="shared" si="17"/>
        <v>0</v>
      </c>
      <c r="F204" s="87">
        <v>0</v>
      </c>
      <c r="G204" s="47">
        <f t="shared" si="15"/>
        <v>0</v>
      </c>
      <c r="H204" s="88"/>
      <c r="I204" s="20">
        <v>30</v>
      </c>
      <c r="J204" s="82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263</v>
      </c>
      <c r="C205" s="79">
        <f>+'16'!G205</f>
        <v>0</v>
      </c>
      <c r="D205" s="87">
        <v>0</v>
      </c>
      <c r="E205" s="47">
        <f t="shared" si="17"/>
        <v>0</v>
      </c>
      <c r="F205" s="87">
        <v>0</v>
      </c>
      <c r="G205" s="47">
        <f t="shared" si="15"/>
        <v>0</v>
      </c>
      <c r="H205" s="88"/>
      <c r="I205" s="20">
        <v>50</v>
      </c>
      <c r="J205" s="82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 t="s">
        <v>264</v>
      </c>
      <c r="C206" s="79">
        <f>+'16'!G206</f>
        <v>0</v>
      </c>
      <c r="D206" s="87">
        <v>0</v>
      </c>
      <c r="E206" s="47">
        <f t="shared" si="17"/>
        <v>0</v>
      </c>
      <c r="F206" s="87">
        <v>0</v>
      </c>
      <c r="G206" s="47">
        <f t="shared" si="15"/>
        <v>0</v>
      </c>
      <c r="H206" s="88"/>
      <c r="I206" s="20">
        <v>100</v>
      </c>
      <c r="J206" s="82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265</v>
      </c>
      <c r="C207" s="79">
        <f>+'16'!G207</f>
        <v>0</v>
      </c>
      <c r="D207" s="87">
        <v>0</v>
      </c>
      <c r="E207" s="47">
        <f t="shared" si="17"/>
        <v>0</v>
      </c>
      <c r="F207" s="87">
        <v>0</v>
      </c>
      <c r="G207" s="47">
        <f t="shared" si="15"/>
        <v>0</v>
      </c>
      <c r="H207" s="88"/>
      <c r="I207" s="20">
        <v>100</v>
      </c>
      <c r="J207" s="82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266</v>
      </c>
      <c r="C208" s="79">
        <f>+'16'!G208</f>
        <v>0</v>
      </c>
      <c r="D208" s="87">
        <v>0</v>
      </c>
      <c r="E208" s="47">
        <f t="shared" si="17"/>
        <v>0</v>
      </c>
      <c r="F208" s="87">
        <v>0</v>
      </c>
      <c r="G208" s="47">
        <f t="shared" si="15"/>
        <v>0</v>
      </c>
      <c r="H208" s="88"/>
      <c r="I208" s="20">
        <v>100</v>
      </c>
      <c r="J208" s="82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 t="s">
        <v>267</v>
      </c>
      <c r="C209" s="79">
        <f>+'16'!G209</f>
        <v>0</v>
      </c>
      <c r="D209" s="87">
        <v>0</v>
      </c>
      <c r="E209" s="47">
        <f t="shared" si="17"/>
        <v>0</v>
      </c>
      <c r="F209" s="87">
        <v>0</v>
      </c>
      <c r="G209" s="47">
        <f t="shared" si="15"/>
        <v>0</v>
      </c>
      <c r="H209" s="88"/>
      <c r="I209" s="20">
        <v>100</v>
      </c>
      <c r="J209" s="82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268</v>
      </c>
      <c r="C210" s="79">
        <f>+'16'!G210</f>
        <v>0</v>
      </c>
      <c r="D210" s="87">
        <v>0</v>
      </c>
      <c r="E210" s="47">
        <f t="shared" si="17"/>
        <v>0</v>
      </c>
      <c r="F210" s="87">
        <v>0</v>
      </c>
      <c r="G210" s="47">
        <f t="shared" si="15"/>
        <v>0</v>
      </c>
      <c r="H210" s="88"/>
      <c r="I210" s="20">
        <v>250</v>
      </c>
      <c r="J210" s="82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 t="s">
        <v>269</v>
      </c>
      <c r="C211" s="79">
        <f>+'16'!G211</f>
        <v>0</v>
      </c>
      <c r="D211" s="87">
        <v>0</v>
      </c>
      <c r="E211" s="47">
        <f t="shared" si="17"/>
        <v>0</v>
      </c>
      <c r="F211" s="87">
        <v>0</v>
      </c>
      <c r="G211" s="47">
        <f t="shared" si="15"/>
        <v>0</v>
      </c>
      <c r="H211" s="88"/>
      <c r="I211" s="20">
        <v>250</v>
      </c>
      <c r="J211" s="82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 t="s">
        <v>270</v>
      </c>
      <c r="C212" s="79">
        <f>+'16'!G212</f>
        <v>0</v>
      </c>
      <c r="D212" s="87">
        <v>0</v>
      </c>
      <c r="E212" s="47">
        <f t="shared" si="17"/>
        <v>0</v>
      </c>
      <c r="F212" s="87">
        <v>0</v>
      </c>
      <c r="G212" s="47">
        <f t="shared" si="15"/>
        <v>0</v>
      </c>
      <c r="H212" s="88"/>
      <c r="I212" s="20">
        <v>250</v>
      </c>
      <c r="J212" s="82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 t="s">
        <v>271</v>
      </c>
      <c r="C213" s="79">
        <f>+'16'!G213</f>
        <v>0</v>
      </c>
      <c r="D213" s="87">
        <v>0</v>
      </c>
      <c r="E213" s="47">
        <f t="shared" si="17"/>
        <v>0</v>
      </c>
      <c r="F213" s="87">
        <v>0</v>
      </c>
      <c r="G213" s="47">
        <f t="shared" si="15"/>
        <v>0</v>
      </c>
      <c r="H213" s="88"/>
      <c r="I213" s="20">
        <v>50</v>
      </c>
      <c r="J213" s="82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 t="s">
        <v>273</v>
      </c>
      <c r="C214" s="79">
        <f>+'16'!G214</f>
        <v>0</v>
      </c>
      <c r="D214" s="87">
        <v>0</v>
      </c>
      <c r="E214" s="47">
        <f t="shared" si="17"/>
        <v>0</v>
      </c>
      <c r="F214" s="87">
        <v>0</v>
      </c>
      <c r="G214" s="47">
        <f t="shared" si="15"/>
        <v>0</v>
      </c>
      <c r="H214" s="88"/>
      <c r="I214" s="20">
        <v>50</v>
      </c>
      <c r="J214" s="82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 t="s">
        <v>274</v>
      </c>
      <c r="C215" s="79">
        <f>+'16'!G215</f>
        <v>0</v>
      </c>
      <c r="D215" s="87">
        <v>0</v>
      </c>
      <c r="E215" s="47">
        <f t="shared" si="17"/>
        <v>0</v>
      </c>
      <c r="F215" s="87">
        <v>0</v>
      </c>
      <c r="G215" s="47">
        <f t="shared" si="15"/>
        <v>0</v>
      </c>
      <c r="H215" s="88"/>
      <c r="I215" s="20">
        <v>50</v>
      </c>
      <c r="J215" s="82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 t="s">
        <v>242</v>
      </c>
      <c r="C216" s="79">
        <f>+'16'!G216</f>
        <v>0</v>
      </c>
      <c r="D216" s="87">
        <v>0</v>
      </c>
      <c r="E216" s="47">
        <f t="shared" si="17"/>
        <v>0</v>
      </c>
      <c r="F216" s="87">
        <v>0</v>
      </c>
      <c r="G216" s="47">
        <f t="shared" si="15"/>
        <v>0</v>
      </c>
      <c r="H216" s="88"/>
      <c r="I216" s="20">
        <v>35</v>
      </c>
      <c r="J216" s="82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 t="s">
        <v>275</v>
      </c>
      <c r="C217" s="79">
        <f>+'16'!G217</f>
        <v>0</v>
      </c>
      <c r="D217" s="87">
        <v>0</v>
      </c>
      <c r="E217" s="47">
        <f t="shared" si="17"/>
        <v>0</v>
      </c>
      <c r="F217" s="87">
        <v>0</v>
      </c>
      <c r="G217" s="47">
        <f t="shared" si="15"/>
        <v>0</v>
      </c>
      <c r="H217" s="88"/>
      <c r="I217" s="20">
        <v>199</v>
      </c>
      <c r="J217" s="82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 t="s">
        <v>283</v>
      </c>
      <c r="C218" s="79"/>
      <c r="D218" s="87">
        <v>0</v>
      </c>
      <c r="E218" s="47">
        <f t="shared" si="17"/>
        <v>0</v>
      </c>
      <c r="F218" s="87">
        <v>0</v>
      </c>
      <c r="G218" s="47">
        <f t="shared" si="15"/>
        <v>0</v>
      </c>
      <c r="H218" s="88"/>
      <c r="I218" s="20">
        <v>25</v>
      </c>
      <c r="J218" s="82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 t="s">
        <v>284</v>
      </c>
      <c r="C219" s="79"/>
      <c r="D219" s="87">
        <v>0</v>
      </c>
      <c r="E219" s="47">
        <f t="shared" si="17"/>
        <v>0</v>
      </c>
      <c r="F219" s="87">
        <v>0</v>
      </c>
      <c r="G219" s="47">
        <f t="shared" si="15"/>
        <v>0</v>
      </c>
      <c r="H219" s="88"/>
      <c r="I219" s="20">
        <v>25</v>
      </c>
      <c r="J219" s="82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 t="s">
        <v>314</v>
      </c>
      <c r="C220" s="79">
        <f>+'16'!G220</f>
        <v>0</v>
      </c>
      <c r="D220" s="87">
        <v>0</v>
      </c>
      <c r="E220" s="47">
        <f t="shared" si="17"/>
        <v>0</v>
      </c>
      <c r="F220" s="87">
        <v>0</v>
      </c>
      <c r="G220" s="47">
        <f t="shared" si="15"/>
        <v>0</v>
      </c>
      <c r="H220" s="88"/>
      <c r="I220" s="20">
        <v>35</v>
      </c>
      <c r="J220" s="82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 t="s">
        <v>326</v>
      </c>
      <c r="C221" s="79">
        <f>+'16'!G221</f>
        <v>3</v>
      </c>
      <c r="D221" s="87">
        <v>0</v>
      </c>
      <c r="E221" s="47">
        <f t="shared" si="17"/>
        <v>3</v>
      </c>
      <c r="F221" s="87">
        <v>0</v>
      </c>
      <c r="G221" s="47">
        <f t="shared" si="15"/>
        <v>1</v>
      </c>
      <c r="H221" s="88">
        <v>2</v>
      </c>
      <c r="I221" s="20">
        <v>55</v>
      </c>
      <c r="J221" s="82">
        <f t="shared" si="16"/>
        <v>110</v>
      </c>
      <c r="K221" s="17" t="s">
        <v>16</v>
      </c>
      <c r="L221" s="18">
        <v>0</v>
      </c>
      <c r="M221" s="23">
        <f t="shared" si="18"/>
        <v>110</v>
      </c>
    </row>
    <row r="222" spans="1:13" ht="25.5" x14ac:dyDescent="0.55000000000000004">
      <c r="A222" s="10">
        <v>218</v>
      </c>
      <c r="B222" s="19" t="s">
        <v>327</v>
      </c>
      <c r="C222" s="79">
        <f>+'16'!G222</f>
        <v>0</v>
      </c>
      <c r="D222" s="87">
        <v>0</v>
      </c>
      <c r="E222" s="47">
        <f t="shared" si="17"/>
        <v>0</v>
      </c>
      <c r="F222" s="87">
        <v>0</v>
      </c>
      <c r="G222" s="47">
        <f t="shared" si="15"/>
        <v>0</v>
      </c>
      <c r="H222" s="88"/>
      <c r="I222" s="20">
        <v>40</v>
      </c>
      <c r="J222" s="82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/>
      <c r="C223" s="79">
        <f>+'16'!G223</f>
        <v>0</v>
      </c>
      <c r="D223" s="87">
        <v>0</v>
      </c>
      <c r="E223" s="47">
        <f t="shared" si="17"/>
        <v>0</v>
      </c>
      <c r="F223" s="87">
        <v>0</v>
      </c>
      <c r="G223" s="47">
        <f t="shared" si="15"/>
        <v>0</v>
      </c>
      <c r="H223" s="88"/>
      <c r="I223" s="20"/>
      <c r="J223" s="82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79">
        <f>+'16'!G224</f>
        <v>0</v>
      </c>
      <c r="D224" s="87">
        <v>0</v>
      </c>
      <c r="E224" s="47">
        <f t="shared" si="17"/>
        <v>0</v>
      </c>
      <c r="F224" s="87">
        <v>0</v>
      </c>
      <c r="G224" s="47">
        <f t="shared" si="15"/>
        <v>0</v>
      </c>
      <c r="H224" s="88"/>
      <c r="I224" s="20"/>
      <c r="J224" s="82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+'16'!G225</f>
        <v>0</v>
      </c>
      <c r="D225" s="87">
        <v>0</v>
      </c>
      <c r="E225" s="47">
        <f t="shared" si="17"/>
        <v>0</v>
      </c>
      <c r="F225" s="87">
        <v>0</v>
      </c>
      <c r="G225" s="47">
        <f t="shared" si="15"/>
        <v>0</v>
      </c>
      <c r="H225" s="88"/>
      <c r="I225" s="20"/>
      <c r="J225" s="82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+'16'!G226</f>
        <v>0</v>
      </c>
      <c r="D226" s="87">
        <v>0</v>
      </c>
      <c r="E226" s="47">
        <f t="shared" si="17"/>
        <v>0</v>
      </c>
      <c r="F226" s="87">
        <v>0</v>
      </c>
      <c r="G226" s="47">
        <f t="shared" si="15"/>
        <v>0</v>
      </c>
      <c r="H226" s="88"/>
      <c r="I226" s="20"/>
      <c r="J226" s="82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+'16'!G227</f>
        <v>0</v>
      </c>
      <c r="D227" s="87">
        <v>0</v>
      </c>
      <c r="E227" s="47">
        <f t="shared" si="17"/>
        <v>0</v>
      </c>
      <c r="F227" s="87">
        <v>0</v>
      </c>
      <c r="G227" s="47">
        <f t="shared" si="15"/>
        <v>0</v>
      </c>
      <c r="H227" s="88"/>
      <c r="I227" s="20"/>
      <c r="J227" s="82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+'16'!G228</f>
        <v>0</v>
      </c>
      <c r="D228" s="87">
        <v>0</v>
      </c>
      <c r="E228" s="47">
        <f t="shared" si="17"/>
        <v>0</v>
      </c>
      <c r="F228" s="87">
        <v>0</v>
      </c>
      <c r="G228" s="47">
        <f t="shared" ref="G228:G254" si="19">+E228-F228-H228</f>
        <v>0</v>
      </c>
      <c r="H228" s="88"/>
      <c r="I228" s="20"/>
      <c r="J228" s="82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+'16'!G229</f>
        <v>0</v>
      </c>
      <c r="D229" s="87">
        <v>0</v>
      </c>
      <c r="E229" s="47">
        <f t="shared" si="17"/>
        <v>0</v>
      </c>
      <c r="F229" s="87">
        <v>0</v>
      </c>
      <c r="G229" s="47">
        <f t="shared" si="19"/>
        <v>0</v>
      </c>
      <c r="H229" s="88"/>
      <c r="I229" s="20"/>
      <c r="J229" s="82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+'16'!G230</f>
        <v>0</v>
      </c>
      <c r="D230" s="87">
        <v>0</v>
      </c>
      <c r="E230" s="47">
        <f t="shared" si="17"/>
        <v>0</v>
      </c>
      <c r="F230" s="87">
        <v>0</v>
      </c>
      <c r="G230" s="47">
        <f t="shared" si="19"/>
        <v>0</v>
      </c>
      <c r="H230" s="88"/>
      <c r="I230" s="20"/>
      <c r="J230" s="82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+'16'!G231</f>
        <v>0</v>
      </c>
      <c r="D231" s="87">
        <v>0</v>
      </c>
      <c r="E231" s="47">
        <f t="shared" si="17"/>
        <v>0</v>
      </c>
      <c r="F231" s="87">
        <v>0</v>
      </c>
      <c r="G231" s="47">
        <f t="shared" si="19"/>
        <v>0</v>
      </c>
      <c r="H231" s="88"/>
      <c r="I231" s="20"/>
      <c r="J231" s="82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+'16'!G232</f>
        <v>0</v>
      </c>
      <c r="D232" s="87">
        <v>0</v>
      </c>
      <c r="E232" s="47">
        <f t="shared" si="17"/>
        <v>0</v>
      </c>
      <c r="F232" s="87">
        <v>0</v>
      </c>
      <c r="G232" s="47">
        <f t="shared" si="19"/>
        <v>0</v>
      </c>
      <c r="H232" s="88"/>
      <c r="I232" s="20"/>
      <c r="J232" s="82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+'16'!G233</f>
        <v>0</v>
      </c>
      <c r="D233" s="87">
        <v>0</v>
      </c>
      <c r="E233" s="47">
        <f t="shared" si="17"/>
        <v>0</v>
      </c>
      <c r="F233" s="87">
        <v>0</v>
      </c>
      <c r="G233" s="47">
        <f t="shared" si="19"/>
        <v>0</v>
      </c>
      <c r="H233" s="88"/>
      <c r="I233" s="20"/>
      <c r="J233" s="82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+'16'!G234</f>
        <v>0</v>
      </c>
      <c r="D234" s="87">
        <v>0</v>
      </c>
      <c r="E234" s="47">
        <f t="shared" si="17"/>
        <v>0</v>
      </c>
      <c r="F234" s="87">
        <v>0</v>
      </c>
      <c r="G234" s="47">
        <f t="shared" si="19"/>
        <v>0</v>
      </c>
      <c r="H234" s="88"/>
      <c r="I234" s="20"/>
      <c r="J234" s="82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+'16'!G235</f>
        <v>0</v>
      </c>
      <c r="D235" s="87">
        <v>0</v>
      </c>
      <c r="E235" s="47">
        <f t="shared" si="17"/>
        <v>0</v>
      </c>
      <c r="F235" s="87">
        <v>0</v>
      </c>
      <c r="G235" s="47">
        <f t="shared" si="19"/>
        <v>0</v>
      </c>
      <c r="H235" s="88"/>
      <c r="I235" s="20"/>
      <c r="J235" s="82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+'16'!G236</f>
        <v>0</v>
      </c>
      <c r="D236" s="87">
        <v>0</v>
      </c>
      <c r="E236" s="47">
        <f t="shared" si="17"/>
        <v>0</v>
      </c>
      <c r="F236" s="87">
        <v>0</v>
      </c>
      <c r="G236" s="47">
        <f t="shared" si="19"/>
        <v>0</v>
      </c>
      <c r="H236" s="88"/>
      <c r="I236" s="20"/>
      <c r="J236" s="82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+'16'!G237</f>
        <v>0</v>
      </c>
      <c r="D237" s="87">
        <v>0</v>
      </c>
      <c r="E237" s="47">
        <f t="shared" si="17"/>
        <v>0</v>
      </c>
      <c r="F237" s="87">
        <v>0</v>
      </c>
      <c r="G237" s="47">
        <f t="shared" si="19"/>
        <v>0</v>
      </c>
      <c r="H237" s="88"/>
      <c r="I237" s="20"/>
      <c r="J237" s="82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+'16'!G238</f>
        <v>0</v>
      </c>
      <c r="D238" s="87">
        <v>0</v>
      </c>
      <c r="E238" s="47">
        <f t="shared" si="17"/>
        <v>0</v>
      </c>
      <c r="F238" s="87">
        <v>0</v>
      </c>
      <c r="G238" s="47">
        <f t="shared" si="19"/>
        <v>0</v>
      </c>
      <c r="H238" s="88"/>
      <c r="I238" s="20"/>
      <c r="J238" s="82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+'16'!G239</f>
        <v>0</v>
      </c>
      <c r="D239" s="87">
        <v>0</v>
      </c>
      <c r="E239" s="47">
        <f t="shared" si="17"/>
        <v>0</v>
      </c>
      <c r="F239" s="87">
        <v>0</v>
      </c>
      <c r="G239" s="47">
        <f t="shared" si="19"/>
        <v>0</v>
      </c>
      <c r="H239" s="88"/>
      <c r="I239" s="20"/>
      <c r="J239" s="82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+'16'!G240</f>
        <v>0</v>
      </c>
      <c r="D240" s="87">
        <v>0</v>
      </c>
      <c r="E240" s="47">
        <f t="shared" si="17"/>
        <v>0</v>
      </c>
      <c r="F240" s="87">
        <v>0</v>
      </c>
      <c r="G240" s="47">
        <f t="shared" si="19"/>
        <v>0</v>
      </c>
      <c r="H240" s="88"/>
      <c r="I240" s="20"/>
      <c r="J240" s="82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+'16'!G241</f>
        <v>0</v>
      </c>
      <c r="D241" s="87">
        <v>0</v>
      </c>
      <c r="E241" s="47">
        <f t="shared" si="17"/>
        <v>0</v>
      </c>
      <c r="F241" s="87">
        <v>0</v>
      </c>
      <c r="G241" s="47">
        <f t="shared" si="19"/>
        <v>0</v>
      </c>
      <c r="H241" s="88"/>
      <c r="I241" s="20"/>
      <c r="J241" s="82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+'16'!G242</f>
        <v>0</v>
      </c>
      <c r="D242" s="87">
        <v>0</v>
      </c>
      <c r="E242" s="47">
        <f t="shared" si="17"/>
        <v>0</v>
      </c>
      <c r="F242" s="87">
        <v>0</v>
      </c>
      <c r="G242" s="47">
        <f t="shared" si="19"/>
        <v>0</v>
      </c>
      <c r="H242" s="88"/>
      <c r="I242" s="20"/>
      <c r="J242" s="82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+'16'!G243</f>
        <v>0</v>
      </c>
      <c r="D243" s="87">
        <v>0</v>
      </c>
      <c r="E243" s="47">
        <f t="shared" si="17"/>
        <v>0</v>
      </c>
      <c r="F243" s="87">
        <v>0</v>
      </c>
      <c r="G243" s="47">
        <f t="shared" si="19"/>
        <v>0</v>
      </c>
      <c r="H243" s="88"/>
      <c r="I243" s="20"/>
      <c r="J243" s="82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+'16'!G244</f>
        <v>0</v>
      </c>
      <c r="D244" s="87">
        <v>0</v>
      </c>
      <c r="E244" s="47">
        <f t="shared" si="17"/>
        <v>0</v>
      </c>
      <c r="F244" s="87">
        <v>0</v>
      </c>
      <c r="G244" s="47">
        <f t="shared" si="19"/>
        <v>0</v>
      </c>
      <c r="H244" s="88"/>
      <c r="I244" s="20"/>
      <c r="J244" s="82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+'16'!G245</f>
        <v>0</v>
      </c>
      <c r="D245" s="87">
        <v>0</v>
      </c>
      <c r="E245" s="47">
        <f t="shared" si="17"/>
        <v>0</v>
      </c>
      <c r="F245" s="87">
        <v>0</v>
      </c>
      <c r="G245" s="47">
        <f t="shared" si="19"/>
        <v>0</v>
      </c>
      <c r="H245" s="88"/>
      <c r="I245" s="20"/>
      <c r="J245" s="82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+'16'!G246</f>
        <v>0</v>
      </c>
      <c r="D246" s="87">
        <v>0</v>
      </c>
      <c r="E246" s="47">
        <f t="shared" si="17"/>
        <v>0</v>
      </c>
      <c r="F246" s="87">
        <v>0</v>
      </c>
      <c r="G246" s="47">
        <f t="shared" si="19"/>
        <v>0</v>
      </c>
      <c r="H246" s="88"/>
      <c r="I246" s="20"/>
      <c r="J246" s="82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+'16'!G247</f>
        <v>0</v>
      </c>
      <c r="D247" s="87">
        <v>0</v>
      </c>
      <c r="E247" s="47">
        <f t="shared" si="17"/>
        <v>0</v>
      </c>
      <c r="F247" s="87">
        <v>0</v>
      </c>
      <c r="G247" s="47">
        <f t="shared" si="19"/>
        <v>0</v>
      </c>
      <c r="H247" s="88"/>
      <c r="I247" s="20"/>
      <c r="J247" s="82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+'16'!G248</f>
        <v>0</v>
      </c>
      <c r="D248" s="87">
        <v>0</v>
      </c>
      <c r="E248" s="47">
        <f t="shared" si="17"/>
        <v>0</v>
      </c>
      <c r="F248" s="87">
        <v>0</v>
      </c>
      <c r="G248" s="47">
        <f t="shared" si="19"/>
        <v>0</v>
      </c>
      <c r="H248" s="88"/>
      <c r="I248" s="20"/>
      <c r="J248" s="82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+'16'!G249</f>
        <v>0</v>
      </c>
      <c r="D249" s="87">
        <v>0</v>
      </c>
      <c r="E249" s="47">
        <f t="shared" si="17"/>
        <v>0</v>
      </c>
      <c r="F249" s="87">
        <v>0</v>
      </c>
      <c r="G249" s="47">
        <f t="shared" si="19"/>
        <v>0</v>
      </c>
      <c r="H249" s="88"/>
      <c r="I249" s="20"/>
      <c r="J249" s="82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+'16'!G250</f>
        <v>0</v>
      </c>
      <c r="D250" s="87">
        <v>0</v>
      </c>
      <c r="E250" s="47">
        <f t="shared" si="17"/>
        <v>0</v>
      </c>
      <c r="F250" s="87">
        <v>0</v>
      </c>
      <c r="G250" s="47">
        <f t="shared" si="19"/>
        <v>0</v>
      </c>
      <c r="H250" s="88"/>
      <c r="I250" s="20"/>
      <c r="J250" s="82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+'16'!G251</f>
        <v>0</v>
      </c>
      <c r="D251" s="87">
        <v>0</v>
      </c>
      <c r="E251" s="47">
        <f t="shared" si="17"/>
        <v>0</v>
      </c>
      <c r="F251" s="87">
        <v>0</v>
      </c>
      <c r="G251" s="47">
        <f t="shared" si="19"/>
        <v>0</v>
      </c>
      <c r="H251" s="88"/>
      <c r="I251" s="20"/>
      <c r="J251" s="82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+'16'!G252</f>
        <v>0</v>
      </c>
      <c r="D252" s="87">
        <v>0</v>
      </c>
      <c r="E252" s="47">
        <f t="shared" si="17"/>
        <v>0</v>
      </c>
      <c r="F252" s="87">
        <v>0</v>
      </c>
      <c r="G252" s="47">
        <f t="shared" si="19"/>
        <v>0</v>
      </c>
      <c r="H252" s="88"/>
      <c r="I252" s="20"/>
      <c r="J252" s="82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+'16'!G253</f>
        <v>0</v>
      </c>
      <c r="D253" s="87">
        <v>0</v>
      </c>
      <c r="E253" s="47">
        <f t="shared" ref="E253:E254" si="21">C253+D253</f>
        <v>0</v>
      </c>
      <c r="F253" s="87">
        <v>0</v>
      </c>
      <c r="G253" s="47">
        <f t="shared" si="19"/>
        <v>0</v>
      </c>
      <c r="H253" s="88"/>
      <c r="I253" s="20"/>
      <c r="J253" s="82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+'16'!G254</f>
        <v>0</v>
      </c>
      <c r="D254" s="87">
        <v>0</v>
      </c>
      <c r="E254" s="47">
        <f t="shared" si="21"/>
        <v>0</v>
      </c>
      <c r="F254" s="87">
        <v>0</v>
      </c>
      <c r="G254" s="47">
        <f t="shared" si="19"/>
        <v>0</v>
      </c>
      <c r="H254" s="88"/>
      <c r="I254" s="20"/>
      <c r="J254" s="82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1975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3" t="s">
        <v>213</v>
      </c>
      <c r="N255" s="143"/>
    </row>
    <row r="256" spans="1:14" ht="25.5" customHeight="1" x14ac:dyDescent="0.5">
      <c r="A256" s="1"/>
      <c r="E256" s="24"/>
      <c r="F256" s="25"/>
      <c r="G256" s="24"/>
      <c r="H256" s="148" t="s">
        <v>212</v>
      </c>
      <c r="I256" s="149"/>
      <c r="J256" s="30">
        <f>+X138</f>
        <v>0</v>
      </c>
      <c r="K256" s="27"/>
      <c r="L256" s="29"/>
    </row>
    <row r="257" spans="1:14" ht="25.5" x14ac:dyDescent="0.55000000000000004">
      <c r="A257" s="1"/>
      <c r="E257" s="31"/>
      <c r="G257" s="31"/>
      <c r="H257" s="32"/>
      <c r="I257" s="150" t="s">
        <v>202</v>
      </c>
      <c r="J257" s="150"/>
      <c r="K257" s="33">
        <f>SUM(J5:J256)</f>
        <v>2115</v>
      </c>
    </row>
    <row r="258" spans="1:14" ht="25.5" x14ac:dyDescent="0.55000000000000004">
      <c r="A258" s="1"/>
      <c r="E258" s="31"/>
      <c r="G258" s="31"/>
      <c r="I258" s="140" t="s">
        <v>203</v>
      </c>
      <c r="J258" s="141"/>
      <c r="K258" s="36">
        <v>15</v>
      </c>
    </row>
    <row r="259" spans="1:14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440</v>
      </c>
      <c r="L259" s="2">
        <v>235</v>
      </c>
      <c r="M259" s="2">
        <v>150</v>
      </c>
      <c r="N259" s="2">
        <v>55</v>
      </c>
    </row>
    <row r="260" spans="1:14" ht="25.5" x14ac:dyDescent="0.55000000000000004">
      <c r="A260" s="1"/>
      <c r="E260" s="31"/>
      <c r="G260" s="31"/>
      <c r="I260" s="140" t="s">
        <v>205</v>
      </c>
      <c r="J260" s="141"/>
      <c r="K260" s="36">
        <v>0</v>
      </c>
    </row>
    <row r="261" spans="1:14" ht="25.5" x14ac:dyDescent="0.55000000000000004">
      <c r="A261" s="1"/>
      <c r="E261" s="31"/>
      <c r="G261" s="31"/>
      <c r="I261" s="140" t="s">
        <v>206</v>
      </c>
      <c r="J261" s="141"/>
      <c r="K261" s="36">
        <v>0</v>
      </c>
    </row>
    <row r="262" spans="1:14" ht="25.5" x14ac:dyDescent="0.55000000000000004">
      <c r="A262" s="1"/>
      <c r="E262" s="31"/>
      <c r="G262" s="31"/>
      <c r="I262" s="140" t="s">
        <v>207</v>
      </c>
      <c r="J262" s="141"/>
      <c r="K262" s="37">
        <f>SUM(L5:L255)</f>
        <v>140</v>
      </c>
    </row>
    <row r="263" spans="1:14" ht="25.5" x14ac:dyDescent="0.55000000000000004">
      <c r="A263" s="1"/>
      <c r="E263" s="31"/>
      <c r="G263" s="31"/>
      <c r="I263" s="140" t="s">
        <v>208</v>
      </c>
      <c r="J263" s="141"/>
      <c r="K263" s="33">
        <f>K257-K258-K259-K261-K262</f>
        <v>1520</v>
      </c>
    </row>
    <row r="264" spans="1:14" ht="25.5" x14ac:dyDescent="0.55000000000000004">
      <c r="A264" s="1"/>
      <c r="E264" s="31"/>
      <c r="G264" s="31"/>
      <c r="I264" s="140" t="s">
        <v>209</v>
      </c>
      <c r="J264" s="141"/>
      <c r="K264" s="37">
        <v>1520</v>
      </c>
    </row>
    <row r="265" spans="1:14" ht="25.5" x14ac:dyDescent="0.55000000000000004">
      <c r="A265" s="1"/>
      <c r="E265" s="31"/>
      <c r="G265" s="31"/>
      <c r="I265" s="140" t="s">
        <v>210</v>
      </c>
      <c r="J265" s="141"/>
      <c r="K265" s="33">
        <f>+K264-K263</f>
        <v>0</v>
      </c>
    </row>
    <row r="266" spans="1:14" ht="25.5" x14ac:dyDescent="0.55000000000000004">
      <c r="G266" s="2"/>
      <c r="I266" s="140" t="s">
        <v>211</v>
      </c>
      <c r="J266" s="141"/>
      <c r="K266" s="33">
        <f>+K264-K263</f>
        <v>0</v>
      </c>
    </row>
    <row r="267" spans="1:14" x14ac:dyDescent="0.5">
      <c r="G267" s="2"/>
      <c r="I267" s="2"/>
    </row>
    <row r="268" spans="1:14" ht="25.5" x14ac:dyDescent="0.55000000000000004">
      <c r="G268" s="2"/>
      <c r="I268" s="105" t="s">
        <v>312</v>
      </c>
    </row>
    <row r="269" spans="1:14" x14ac:dyDescent="0.5">
      <c r="G269" s="2"/>
      <c r="I269" s="2"/>
    </row>
    <row r="270" spans="1:14" x14ac:dyDescent="0.5">
      <c r="G270" s="2"/>
      <c r="I270" s="2"/>
    </row>
    <row r="271" spans="1:14" x14ac:dyDescent="0.5">
      <c r="G271" s="2"/>
      <c r="I271" s="2"/>
    </row>
    <row r="272" spans="1:14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1A130-EE3E-4898-8636-930C341C080D}">
  <sheetPr>
    <tabColor theme="7" tint="-0.249977111117893"/>
  </sheetPr>
  <dimension ref="A1:AB341"/>
  <sheetViews>
    <sheetView zoomScaleNormal="100" workbookViewId="0">
      <pane xSplit="7" ySplit="4" topLeftCell="I5" activePane="bottomRight" state="frozen"/>
      <selection activeCell="B20" sqref="B20"/>
      <selection pane="topRight" activeCell="B20" sqref="B20"/>
      <selection pane="bottomLeft" activeCell="B20" sqref="B20"/>
      <selection pane="bottomRight" activeCell="B20" sqref="B20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8" x14ac:dyDescent="0.5">
      <c r="A1" s="1"/>
      <c r="G1" s="2"/>
      <c r="I1" s="2"/>
    </row>
    <row r="2" spans="1:28" s="3" customFormat="1" ht="29.25" x14ac:dyDescent="0.6">
      <c r="A2" s="137" t="s">
        <v>247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8" s="5" customFormat="1" ht="26.25" x14ac:dyDescent="0.55000000000000004">
      <c r="A3" s="139" t="s">
        <v>1</v>
      </c>
      <c r="B3" s="151" t="s">
        <v>2</v>
      </c>
      <c r="C3" s="139" t="s">
        <v>3</v>
      </c>
      <c r="D3" s="139" t="s">
        <v>4</v>
      </c>
      <c r="E3" s="139" t="s">
        <v>5</v>
      </c>
      <c r="F3" s="85" t="s">
        <v>6</v>
      </c>
      <c r="G3" s="139" t="s">
        <v>7</v>
      </c>
      <c r="H3" s="142" t="s">
        <v>8</v>
      </c>
      <c r="I3" s="142"/>
      <c r="J3" s="142"/>
      <c r="K3" s="139" t="s">
        <v>9</v>
      </c>
      <c r="L3" s="144" t="s">
        <v>10</v>
      </c>
      <c r="O3" s="139" t="s">
        <v>1</v>
      </c>
      <c r="P3" s="139" t="s">
        <v>2</v>
      </c>
      <c r="Q3" s="139" t="s">
        <v>3</v>
      </c>
      <c r="R3" s="139" t="s">
        <v>4</v>
      </c>
      <c r="S3" s="139" t="s">
        <v>5</v>
      </c>
      <c r="T3" s="85" t="s">
        <v>6</v>
      </c>
      <c r="U3" s="139" t="s">
        <v>7</v>
      </c>
      <c r="V3" s="142" t="s">
        <v>8</v>
      </c>
      <c r="W3" s="142"/>
      <c r="X3" s="142"/>
      <c r="Y3" s="139" t="s">
        <v>9</v>
      </c>
      <c r="Z3" s="144" t="s">
        <v>10</v>
      </c>
    </row>
    <row r="4" spans="1:28" s="5" customFormat="1" ht="26.25" x14ac:dyDescent="0.55000000000000004">
      <c r="A4" s="139"/>
      <c r="B4" s="151"/>
      <c r="C4" s="139"/>
      <c r="D4" s="139"/>
      <c r="E4" s="139"/>
      <c r="F4" s="85" t="s">
        <v>11</v>
      </c>
      <c r="G4" s="139"/>
      <c r="H4" s="85" t="s">
        <v>12</v>
      </c>
      <c r="I4" s="86" t="s">
        <v>13</v>
      </c>
      <c r="J4" s="85" t="s">
        <v>14</v>
      </c>
      <c r="K4" s="139"/>
      <c r="L4" s="144"/>
      <c r="O4" s="139"/>
      <c r="P4" s="139"/>
      <c r="Q4" s="139"/>
      <c r="R4" s="139"/>
      <c r="S4" s="139"/>
      <c r="T4" s="85" t="s">
        <v>11</v>
      </c>
      <c r="U4" s="139"/>
      <c r="V4" s="85" t="s">
        <v>12</v>
      </c>
      <c r="W4" s="86" t="s">
        <v>13</v>
      </c>
      <c r="X4" s="85" t="s">
        <v>14</v>
      </c>
      <c r="Y4" s="139"/>
      <c r="Z4" s="144"/>
      <c r="AB4" s="5" t="s">
        <v>2</v>
      </c>
    </row>
    <row r="5" spans="1:28" ht="25.5" x14ac:dyDescent="0.55000000000000004">
      <c r="A5" s="10">
        <v>1</v>
      </c>
      <c r="B5" s="19" t="s">
        <v>15</v>
      </c>
      <c r="C5" s="79">
        <v>17</v>
      </c>
      <c r="D5" s="87">
        <v>0</v>
      </c>
      <c r="E5" s="47">
        <f t="shared" ref="E5:E125" si="0">C5+D5</f>
        <v>17</v>
      </c>
      <c r="F5" s="87">
        <v>0</v>
      </c>
      <c r="G5" s="47">
        <f>+E5-F5-H5</f>
        <v>14</v>
      </c>
      <c r="H5" s="88">
        <v>3</v>
      </c>
      <c r="I5" s="15">
        <v>50</v>
      </c>
      <c r="J5" s="82">
        <f>+I5*H5</f>
        <v>150</v>
      </c>
      <c r="K5" s="17" t="s">
        <v>16</v>
      </c>
      <c r="L5" s="18">
        <v>50</v>
      </c>
      <c r="M5" s="23">
        <f>SUM(J5-L5)</f>
        <v>100</v>
      </c>
      <c r="O5" s="10">
        <v>1</v>
      </c>
      <c r="P5" s="19"/>
      <c r="Q5" s="47">
        <v>0</v>
      </c>
      <c r="R5" s="87">
        <v>0</v>
      </c>
      <c r="S5" s="47">
        <f t="shared" ref="S5:S14" si="1">Q5+R5</f>
        <v>0</v>
      </c>
      <c r="T5" s="87">
        <v>0</v>
      </c>
      <c r="U5" s="47">
        <f t="shared" ref="U5:U14" si="2">S5-T5-V5</f>
        <v>0</v>
      </c>
      <c r="V5" s="88">
        <v>0</v>
      </c>
      <c r="W5" s="22"/>
      <c r="X5" s="44">
        <f t="shared" ref="X5:X14" si="3">V5*W5</f>
        <v>0</v>
      </c>
      <c r="Y5" s="17" t="s">
        <v>16</v>
      </c>
      <c r="Z5" s="18">
        <v>0</v>
      </c>
      <c r="AB5" s="2" t="s">
        <v>317</v>
      </c>
    </row>
    <row r="6" spans="1:28" ht="25.5" x14ac:dyDescent="0.55000000000000004">
      <c r="A6" s="10">
        <v>2</v>
      </c>
      <c r="B6" s="19" t="s">
        <v>17</v>
      </c>
      <c r="C6" s="79">
        <v>23</v>
      </c>
      <c r="D6" s="87">
        <v>0</v>
      </c>
      <c r="E6" s="47">
        <f t="shared" si="0"/>
        <v>23</v>
      </c>
      <c r="F6" s="87">
        <v>0</v>
      </c>
      <c r="G6" s="47">
        <f t="shared" ref="G6:G100" si="4">+E6-F6-H6</f>
        <v>18</v>
      </c>
      <c r="H6" s="88">
        <v>5</v>
      </c>
      <c r="I6" s="15">
        <v>100</v>
      </c>
      <c r="J6" s="82">
        <f t="shared" ref="J6:J100" si="5">+I6*H6</f>
        <v>500</v>
      </c>
      <c r="K6" s="17" t="s">
        <v>16</v>
      </c>
      <c r="L6" s="18">
        <v>0</v>
      </c>
      <c r="M6" s="23">
        <f t="shared" ref="M6:M69" si="6">SUM(J6-L6)</f>
        <v>500</v>
      </c>
      <c r="O6" s="10">
        <v>2</v>
      </c>
      <c r="P6" s="19"/>
      <c r="Q6" s="47">
        <v>0</v>
      </c>
      <c r="R6" s="87">
        <v>0</v>
      </c>
      <c r="S6" s="47">
        <f t="shared" si="1"/>
        <v>0</v>
      </c>
      <c r="T6" s="87">
        <v>0</v>
      </c>
      <c r="U6" s="47">
        <f t="shared" si="2"/>
        <v>0</v>
      </c>
      <c r="V6" s="88">
        <v>0</v>
      </c>
      <c r="W6" s="22"/>
      <c r="X6" s="44">
        <f t="shared" si="3"/>
        <v>0</v>
      </c>
      <c r="Y6" s="17" t="s">
        <v>16</v>
      </c>
      <c r="Z6" s="18">
        <v>0</v>
      </c>
      <c r="AB6" s="2" t="s">
        <v>318</v>
      </c>
    </row>
    <row r="7" spans="1:28" ht="25.5" x14ac:dyDescent="0.55000000000000004">
      <c r="A7" s="10">
        <v>3</v>
      </c>
      <c r="B7" s="19" t="s">
        <v>18</v>
      </c>
      <c r="C7" s="79">
        <f>+'17'!G7</f>
        <v>0</v>
      </c>
      <c r="D7" s="87">
        <v>0</v>
      </c>
      <c r="E7" s="47">
        <f>C7+D7</f>
        <v>0</v>
      </c>
      <c r="F7" s="87">
        <v>0</v>
      </c>
      <c r="G7" s="47">
        <f t="shared" si="4"/>
        <v>0</v>
      </c>
      <c r="H7" s="88"/>
      <c r="I7" s="15">
        <v>50</v>
      </c>
      <c r="J7" s="8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7">
        <v>0</v>
      </c>
      <c r="S7" s="47">
        <f t="shared" si="1"/>
        <v>0</v>
      </c>
      <c r="T7" s="87">
        <v>0</v>
      </c>
      <c r="U7" s="47">
        <f t="shared" si="2"/>
        <v>0</v>
      </c>
      <c r="V7" s="88">
        <v>0</v>
      </c>
      <c r="W7" s="22"/>
      <c r="X7" s="44">
        <f t="shared" si="3"/>
        <v>0</v>
      </c>
      <c r="Y7" s="17" t="s">
        <v>16</v>
      </c>
      <c r="Z7" s="18">
        <v>0</v>
      </c>
      <c r="AB7" s="2" t="s">
        <v>319</v>
      </c>
    </row>
    <row r="8" spans="1:28" ht="25.5" x14ac:dyDescent="0.55000000000000004">
      <c r="A8" s="10">
        <v>4</v>
      </c>
      <c r="B8" s="19" t="s">
        <v>19</v>
      </c>
      <c r="C8" s="79">
        <f>+'17'!G8</f>
        <v>0</v>
      </c>
      <c r="D8" s="87">
        <v>0</v>
      </c>
      <c r="E8" s="47">
        <f>C8+D8</f>
        <v>0</v>
      </c>
      <c r="F8" s="87">
        <v>0</v>
      </c>
      <c r="G8" s="47">
        <f t="shared" si="4"/>
        <v>0</v>
      </c>
      <c r="H8" s="88"/>
      <c r="I8" s="15">
        <v>100</v>
      </c>
      <c r="J8" s="8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7">
        <v>0</v>
      </c>
      <c r="S8" s="47">
        <f t="shared" si="1"/>
        <v>0</v>
      </c>
      <c r="T8" s="87">
        <v>0</v>
      </c>
      <c r="U8" s="47">
        <f t="shared" si="2"/>
        <v>0</v>
      </c>
      <c r="V8" s="88">
        <v>0</v>
      </c>
      <c r="W8" s="22"/>
      <c r="X8" s="44">
        <f t="shared" si="3"/>
        <v>0</v>
      </c>
      <c r="Y8" s="17" t="s">
        <v>16</v>
      </c>
      <c r="Z8" s="18">
        <v>0</v>
      </c>
      <c r="AB8" s="2" t="s">
        <v>320</v>
      </c>
    </row>
    <row r="9" spans="1:28" ht="25.5" x14ac:dyDescent="0.55000000000000004">
      <c r="A9" s="10">
        <v>5</v>
      </c>
      <c r="B9" s="19" t="s">
        <v>20</v>
      </c>
      <c r="C9" s="79">
        <f>+'17'!G9</f>
        <v>0</v>
      </c>
      <c r="D9" s="87">
        <v>0</v>
      </c>
      <c r="E9" s="47">
        <f>C9+D9</f>
        <v>0</v>
      </c>
      <c r="F9" s="87">
        <v>0</v>
      </c>
      <c r="G9" s="47">
        <f t="shared" si="4"/>
        <v>0</v>
      </c>
      <c r="H9" s="88"/>
      <c r="I9" s="15">
        <v>12</v>
      </c>
      <c r="J9" s="8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7">
        <v>0</v>
      </c>
      <c r="S9" s="47">
        <f t="shared" si="1"/>
        <v>0</v>
      </c>
      <c r="T9" s="87">
        <v>0</v>
      </c>
      <c r="U9" s="47">
        <f t="shared" si="2"/>
        <v>0</v>
      </c>
      <c r="V9" s="88">
        <v>0</v>
      </c>
      <c r="W9" s="22"/>
      <c r="X9" s="44">
        <f t="shared" si="3"/>
        <v>0</v>
      </c>
      <c r="Y9" s="17" t="s">
        <v>16</v>
      </c>
      <c r="Z9" s="18">
        <v>0</v>
      </c>
      <c r="AB9" s="2" t="s">
        <v>307</v>
      </c>
    </row>
    <row r="10" spans="1:28" ht="25.5" x14ac:dyDescent="0.55000000000000004">
      <c r="A10" s="10">
        <v>6</v>
      </c>
      <c r="B10" s="19" t="s">
        <v>21</v>
      </c>
      <c r="C10" s="79">
        <f>+'17'!G10</f>
        <v>0</v>
      </c>
      <c r="D10" s="87">
        <v>0</v>
      </c>
      <c r="E10" s="47">
        <f>C10+D10</f>
        <v>0</v>
      </c>
      <c r="F10" s="87">
        <v>0</v>
      </c>
      <c r="G10" s="47">
        <f t="shared" si="4"/>
        <v>0</v>
      </c>
      <c r="H10" s="88"/>
      <c r="I10" s="15">
        <v>15</v>
      </c>
      <c r="J10" s="8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7">
        <v>0</v>
      </c>
      <c r="S10" s="47">
        <f t="shared" si="1"/>
        <v>0</v>
      </c>
      <c r="T10" s="87">
        <v>0</v>
      </c>
      <c r="U10" s="47">
        <f t="shared" si="2"/>
        <v>0</v>
      </c>
      <c r="V10" s="88">
        <v>0</v>
      </c>
      <c r="W10" s="22"/>
      <c r="X10" s="44">
        <f t="shared" si="3"/>
        <v>0</v>
      </c>
      <c r="Y10" s="17" t="s">
        <v>16</v>
      </c>
      <c r="Z10" s="18">
        <v>0</v>
      </c>
      <c r="AB10" s="2" t="s">
        <v>311</v>
      </c>
    </row>
    <row r="11" spans="1:28" ht="25.5" x14ac:dyDescent="0.55000000000000004">
      <c r="A11" s="10">
        <v>7</v>
      </c>
      <c r="B11" s="19" t="s">
        <v>22</v>
      </c>
      <c r="C11" s="79">
        <f>+'17'!G11</f>
        <v>0</v>
      </c>
      <c r="D11" s="87">
        <v>0</v>
      </c>
      <c r="E11" s="47">
        <f t="shared" si="0"/>
        <v>0</v>
      </c>
      <c r="F11" s="87">
        <v>0</v>
      </c>
      <c r="G11" s="47">
        <f t="shared" si="4"/>
        <v>0</v>
      </c>
      <c r="H11" s="88"/>
      <c r="I11" s="15">
        <v>40</v>
      </c>
      <c r="J11" s="8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7">
        <v>0</v>
      </c>
      <c r="S11" s="47">
        <f t="shared" si="1"/>
        <v>0</v>
      </c>
      <c r="T11" s="87">
        <v>0</v>
      </c>
      <c r="U11" s="47">
        <f t="shared" si="2"/>
        <v>0</v>
      </c>
      <c r="V11" s="88">
        <v>0</v>
      </c>
      <c r="W11" s="22"/>
      <c r="X11" s="44">
        <f t="shared" si="3"/>
        <v>0</v>
      </c>
      <c r="Y11" s="17" t="s">
        <v>16</v>
      </c>
      <c r="Z11" s="18">
        <v>0</v>
      </c>
      <c r="AB11" s="2" t="s">
        <v>321</v>
      </c>
    </row>
    <row r="12" spans="1:28" ht="25.5" x14ac:dyDescent="0.55000000000000004">
      <c r="A12" s="10">
        <v>8</v>
      </c>
      <c r="B12" s="19" t="s">
        <v>23</v>
      </c>
      <c r="C12" s="79">
        <f>+'17'!G12</f>
        <v>0</v>
      </c>
      <c r="D12" s="87">
        <v>0</v>
      </c>
      <c r="E12" s="47">
        <f t="shared" si="0"/>
        <v>0</v>
      </c>
      <c r="F12" s="87">
        <v>0</v>
      </c>
      <c r="G12" s="47">
        <f t="shared" si="4"/>
        <v>0</v>
      </c>
      <c r="H12" s="88"/>
      <c r="I12" s="20">
        <v>50</v>
      </c>
      <c r="J12" s="8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7">
        <v>0</v>
      </c>
      <c r="S12" s="47">
        <f t="shared" si="1"/>
        <v>0</v>
      </c>
      <c r="T12" s="87">
        <v>0</v>
      </c>
      <c r="U12" s="47">
        <f t="shared" si="2"/>
        <v>0</v>
      </c>
      <c r="V12" s="88">
        <v>0</v>
      </c>
      <c r="W12" s="22"/>
      <c r="X12" s="44">
        <f t="shared" si="3"/>
        <v>0</v>
      </c>
      <c r="Y12" s="17" t="s">
        <v>16</v>
      </c>
      <c r="Z12" s="18">
        <v>0</v>
      </c>
      <c r="AB12" s="2" t="s">
        <v>289</v>
      </c>
    </row>
    <row r="13" spans="1:28" ht="25.5" x14ac:dyDescent="0.55000000000000004">
      <c r="A13" s="10">
        <v>9</v>
      </c>
      <c r="B13" s="19" t="s">
        <v>24</v>
      </c>
      <c r="C13" s="79">
        <f>+'17'!G13</f>
        <v>0</v>
      </c>
      <c r="D13" s="87">
        <v>0</v>
      </c>
      <c r="E13" s="47">
        <f>C13+D13</f>
        <v>0</v>
      </c>
      <c r="F13" s="87">
        <v>0</v>
      </c>
      <c r="G13" s="47">
        <f t="shared" si="4"/>
        <v>0</v>
      </c>
      <c r="H13" s="88"/>
      <c r="I13" s="20">
        <v>55</v>
      </c>
      <c r="J13" s="8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7">
        <v>0</v>
      </c>
      <c r="S13" s="47">
        <f t="shared" si="1"/>
        <v>0</v>
      </c>
      <c r="T13" s="87">
        <v>0</v>
      </c>
      <c r="U13" s="47">
        <f t="shared" si="2"/>
        <v>0</v>
      </c>
      <c r="V13" s="88">
        <v>0</v>
      </c>
      <c r="W13" s="22"/>
      <c r="X13" s="44">
        <f t="shared" si="3"/>
        <v>0</v>
      </c>
      <c r="Y13" s="17" t="s">
        <v>16</v>
      </c>
      <c r="Z13" s="18">
        <v>0</v>
      </c>
      <c r="AB13" s="2" t="s">
        <v>322</v>
      </c>
    </row>
    <row r="14" spans="1:28" ht="25.5" x14ac:dyDescent="0.55000000000000004">
      <c r="A14" s="10">
        <v>10</v>
      </c>
      <c r="B14" s="19" t="s">
        <v>25</v>
      </c>
      <c r="C14" s="79">
        <f>+'17'!G14</f>
        <v>0</v>
      </c>
      <c r="D14" s="87">
        <v>0</v>
      </c>
      <c r="E14" s="47">
        <f t="shared" si="0"/>
        <v>0</v>
      </c>
      <c r="F14" s="87">
        <v>0</v>
      </c>
      <c r="G14" s="47">
        <f t="shared" si="4"/>
        <v>0</v>
      </c>
      <c r="H14" s="88"/>
      <c r="I14" s="20">
        <v>65</v>
      </c>
      <c r="J14" s="8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7">
        <v>0</v>
      </c>
      <c r="S14" s="47">
        <f t="shared" si="1"/>
        <v>0</v>
      </c>
      <c r="T14" s="87">
        <v>0</v>
      </c>
      <c r="U14" s="47">
        <f t="shared" si="2"/>
        <v>0</v>
      </c>
      <c r="V14" s="88">
        <v>0</v>
      </c>
      <c r="W14" s="22"/>
      <c r="X14" s="44">
        <f t="shared" si="3"/>
        <v>0</v>
      </c>
      <c r="Y14" s="17" t="s">
        <v>16</v>
      </c>
      <c r="Z14" s="18">
        <v>0</v>
      </c>
      <c r="AB14" s="2" t="s">
        <v>306</v>
      </c>
    </row>
    <row r="15" spans="1:28" ht="25.5" x14ac:dyDescent="0.55000000000000004">
      <c r="A15" s="10">
        <v>11</v>
      </c>
      <c r="B15" s="19" t="s">
        <v>26</v>
      </c>
      <c r="C15" s="79">
        <f>+'17'!G15</f>
        <v>0</v>
      </c>
      <c r="D15" s="87">
        <v>0</v>
      </c>
      <c r="E15" s="47">
        <f t="shared" si="0"/>
        <v>0</v>
      </c>
      <c r="F15" s="87">
        <v>0</v>
      </c>
      <c r="G15" s="47">
        <f t="shared" si="4"/>
        <v>0</v>
      </c>
      <c r="H15" s="88"/>
      <c r="I15" s="20">
        <v>50</v>
      </c>
      <c r="J15" s="8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7">
        <v>0</v>
      </c>
      <c r="S15" s="47">
        <f t="shared" ref="S15:S29" si="7">Q15+R15</f>
        <v>0</v>
      </c>
      <c r="T15" s="87">
        <v>0</v>
      </c>
      <c r="U15" s="47">
        <f t="shared" ref="U15:U29" si="8">S15-T15-V15</f>
        <v>0</v>
      </c>
      <c r="V15" s="88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8" ht="25.5" x14ac:dyDescent="0.55000000000000004">
      <c r="A16" s="10">
        <v>12</v>
      </c>
      <c r="B16" s="19" t="s">
        <v>27</v>
      </c>
      <c r="C16" s="79">
        <f>+'17'!G16</f>
        <v>0</v>
      </c>
      <c r="D16" s="87">
        <v>0</v>
      </c>
      <c r="E16" s="47">
        <f t="shared" si="0"/>
        <v>0</v>
      </c>
      <c r="F16" s="87">
        <v>0</v>
      </c>
      <c r="G16" s="47">
        <f t="shared" si="4"/>
        <v>0</v>
      </c>
      <c r="H16" s="88"/>
      <c r="I16" s="15">
        <v>50</v>
      </c>
      <c r="J16" s="8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7">
        <v>0</v>
      </c>
      <c r="S16" s="47">
        <f t="shared" si="7"/>
        <v>0</v>
      </c>
      <c r="T16" s="87">
        <v>0</v>
      </c>
      <c r="U16" s="47">
        <f t="shared" si="8"/>
        <v>0</v>
      </c>
      <c r="V16" s="88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+'17'!G17</f>
        <v>0</v>
      </c>
      <c r="D17" s="87">
        <v>0</v>
      </c>
      <c r="E17" s="47">
        <f t="shared" si="0"/>
        <v>0</v>
      </c>
      <c r="F17" s="87">
        <v>0</v>
      </c>
      <c r="G17" s="47">
        <f t="shared" si="4"/>
        <v>0</v>
      </c>
      <c r="H17" s="88"/>
      <c r="I17" s="15">
        <v>50</v>
      </c>
      <c r="J17" s="8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7">
        <v>0</v>
      </c>
      <c r="S17" s="47">
        <f t="shared" si="7"/>
        <v>0</v>
      </c>
      <c r="T17" s="87">
        <v>0</v>
      </c>
      <c r="U17" s="47">
        <f t="shared" si="8"/>
        <v>0</v>
      </c>
      <c r="V17" s="88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+'17'!G18</f>
        <v>0</v>
      </c>
      <c r="D18" s="87">
        <v>0</v>
      </c>
      <c r="E18" s="47">
        <f t="shared" si="0"/>
        <v>0</v>
      </c>
      <c r="F18" s="87">
        <v>0</v>
      </c>
      <c r="G18" s="47">
        <f t="shared" si="4"/>
        <v>0</v>
      </c>
      <c r="H18" s="88"/>
      <c r="I18" s="20">
        <v>50</v>
      </c>
      <c r="J18" s="8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7">
        <v>0</v>
      </c>
      <c r="S18" s="47">
        <f t="shared" si="7"/>
        <v>0</v>
      </c>
      <c r="T18" s="87">
        <v>0</v>
      </c>
      <c r="U18" s="47">
        <f t="shared" si="8"/>
        <v>0</v>
      </c>
      <c r="V18" s="88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329</v>
      </c>
      <c r="C19" s="79">
        <f>+'17'!G19</f>
        <v>0</v>
      </c>
      <c r="D19" s="87">
        <v>0</v>
      </c>
      <c r="E19" s="47">
        <f t="shared" si="0"/>
        <v>0</v>
      </c>
      <c r="F19" s="87">
        <v>0</v>
      </c>
      <c r="G19" s="47">
        <f t="shared" si="4"/>
        <v>0</v>
      </c>
      <c r="H19" s="88"/>
      <c r="I19" s="15">
        <v>50</v>
      </c>
      <c r="J19" s="8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7">
        <v>0</v>
      </c>
      <c r="S19" s="47">
        <f t="shared" si="7"/>
        <v>0</v>
      </c>
      <c r="T19" s="87">
        <v>0</v>
      </c>
      <c r="U19" s="47">
        <f t="shared" si="8"/>
        <v>0</v>
      </c>
      <c r="V19" s="88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+'17'!G20</f>
        <v>0</v>
      </c>
      <c r="D20" s="87">
        <v>0</v>
      </c>
      <c r="E20" s="47">
        <f t="shared" si="0"/>
        <v>0</v>
      </c>
      <c r="F20" s="87">
        <v>0</v>
      </c>
      <c r="G20" s="47">
        <f t="shared" si="4"/>
        <v>0</v>
      </c>
      <c r="H20" s="88"/>
      <c r="I20" s="15">
        <v>50</v>
      </c>
      <c r="J20" s="8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7">
        <v>0</v>
      </c>
      <c r="S20" s="47">
        <f t="shared" si="7"/>
        <v>0</v>
      </c>
      <c r="T20" s="87">
        <v>0</v>
      </c>
      <c r="U20" s="47">
        <f t="shared" si="8"/>
        <v>0</v>
      </c>
      <c r="V20" s="88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+'17'!G21</f>
        <v>0</v>
      </c>
      <c r="D21" s="87">
        <v>0</v>
      </c>
      <c r="E21" s="47">
        <f t="shared" si="0"/>
        <v>0</v>
      </c>
      <c r="F21" s="87">
        <v>0</v>
      </c>
      <c r="G21" s="47">
        <f t="shared" si="4"/>
        <v>0</v>
      </c>
      <c r="H21" s="88"/>
      <c r="I21" s="15">
        <v>50</v>
      </c>
      <c r="J21" s="8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7">
        <v>0</v>
      </c>
      <c r="S21" s="47">
        <f t="shared" si="7"/>
        <v>0</v>
      </c>
      <c r="T21" s="87">
        <v>0</v>
      </c>
      <c r="U21" s="47">
        <f t="shared" si="8"/>
        <v>0</v>
      </c>
      <c r="V21" s="88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+'17'!G22</f>
        <v>5</v>
      </c>
      <c r="D22" s="87">
        <v>0</v>
      </c>
      <c r="E22" s="47">
        <f t="shared" si="0"/>
        <v>5</v>
      </c>
      <c r="F22" s="87">
        <v>0</v>
      </c>
      <c r="G22" s="47">
        <f t="shared" si="4"/>
        <v>5</v>
      </c>
      <c r="H22" s="88"/>
      <c r="I22" s="15">
        <v>85</v>
      </c>
      <c r="J22" s="8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7">
        <v>0</v>
      </c>
      <c r="S22" s="47">
        <f t="shared" si="7"/>
        <v>0</v>
      </c>
      <c r="T22" s="87">
        <v>0</v>
      </c>
      <c r="U22" s="47">
        <f t="shared" si="8"/>
        <v>0</v>
      </c>
      <c r="V22" s="88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v>1</v>
      </c>
      <c r="D23" s="87">
        <v>0</v>
      </c>
      <c r="E23" s="47">
        <f t="shared" si="0"/>
        <v>1</v>
      </c>
      <c r="F23" s="87">
        <v>0</v>
      </c>
      <c r="G23" s="47">
        <f t="shared" si="4"/>
        <v>0</v>
      </c>
      <c r="H23" s="88">
        <v>1</v>
      </c>
      <c r="I23" s="15">
        <v>100</v>
      </c>
      <c r="J23" s="82">
        <f t="shared" si="5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9"/>
      <c r="Q23" s="47">
        <v>0</v>
      </c>
      <c r="R23" s="87">
        <v>0</v>
      </c>
      <c r="S23" s="47">
        <f t="shared" si="7"/>
        <v>0</v>
      </c>
      <c r="T23" s="87">
        <v>0</v>
      </c>
      <c r="U23" s="47">
        <f t="shared" si="8"/>
        <v>0</v>
      </c>
      <c r="V23" s="88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+'17'!G24</f>
        <v>5</v>
      </c>
      <c r="D24" s="87">
        <v>0</v>
      </c>
      <c r="E24" s="47">
        <f t="shared" si="0"/>
        <v>5</v>
      </c>
      <c r="F24" s="87">
        <v>0</v>
      </c>
      <c r="G24" s="47">
        <f t="shared" si="4"/>
        <v>3</v>
      </c>
      <c r="H24" s="88">
        <v>2</v>
      </c>
      <c r="I24" s="21">
        <v>100</v>
      </c>
      <c r="J24" s="82">
        <f t="shared" si="5"/>
        <v>200</v>
      </c>
      <c r="K24" s="17" t="s">
        <v>16</v>
      </c>
      <c r="L24" s="18">
        <v>0</v>
      </c>
      <c r="M24" s="23">
        <f t="shared" si="6"/>
        <v>200</v>
      </c>
      <c r="O24" s="10">
        <v>20</v>
      </c>
      <c r="P24" s="19"/>
      <c r="Q24" s="47">
        <v>0</v>
      </c>
      <c r="R24" s="87">
        <v>0</v>
      </c>
      <c r="S24" s="47">
        <f t="shared" si="7"/>
        <v>0</v>
      </c>
      <c r="T24" s="87">
        <v>0</v>
      </c>
      <c r="U24" s="47">
        <f t="shared" si="8"/>
        <v>0</v>
      </c>
      <c r="V24" s="88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+'17'!G25</f>
        <v>0</v>
      </c>
      <c r="D25" s="87">
        <v>0</v>
      </c>
      <c r="E25" s="47">
        <f t="shared" si="0"/>
        <v>0</v>
      </c>
      <c r="F25" s="87">
        <v>0</v>
      </c>
      <c r="G25" s="47">
        <f t="shared" si="4"/>
        <v>0</v>
      </c>
      <c r="H25" s="88"/>
      <c r="I25" s="21">
        <v>100</v>
      </c>
      <c r="J25" s="8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7">
        <v>0</v>
      </c>
      <c r="S25" s="47">
        <f t="shared" si="7"/>
        <v>0</v>
      </c>
      <c r="T25" s="87">
        <v>0</v>
      </c>
      <c r="U25" s="47">
        <f t="shared" si="8"/>
        <v>0</v>
      </c>
      <c r="V25" s="88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+'17'!G26</f>
        <v>0</v>
      </c>
      <c r="D26" s="87">
        <v>0</v>
      </c>
      <c r="E26" s="47">
        <f t="shared" si="0"/>
        <v>0</v>
      </c>
      <c r="F26" s="87">
        <v>0</v>
      </c>
      <c r="G26" s="47">
        <f t="shared" si="4"/>
        <v>0</v>
      </c>
      <c r="H26" s="88"/>
      <c r="I26" s="21">
        <v>100</v>
      </c>
      <c r="J26" s="8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7">
        <v>0</v>
      </c>
      <c r="S26" s="47">
        <f t="shared" si="7"/>
        <v>0</v>
      </c>
      <c r="T26" s="87">
        <v>0</v>
      </c>
      <c r="U26" s="47">
        <f t="shared" si="8"/>
        <v>0</v>
      </c>
      <c r="V26" s="88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+'17'!G27</f>
        <v>0</v>
      </c>
      <c r="D27" s="87">
        <v>0</v>
      </c>
      <c r="E27" s="47">
        <f t="shared" si="0"/>
        <v>0</v>
      </c>
      <c r="F27" s="87">
        <v>0</v>
      </c>
      <c r="G27" s="47">
        <f t="shared" si="4"/>
        <v>0</v>
      </c>
      <c r="H27" s="88"/>
      <c r="I27" s="20">
        <v>100</v>
      </c>
      <c r="J27" s="8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7">
        <v>0</v>
      </c>
      <c r="S27" s="47">
        <f t="shared" si="7"/>
        <v>0</v>
      </c>
      <c r="T27" s="87">
        <v>0</v>
      </c>
      <c r="U27" s="47">
        <f t="shared" si="8"/>
        <v>0</v>
      </c>
      <c r="V27" s="88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+'17'!G28</f>
        <v>0</v>
      </c>
      <c r="D28" s="87">
        <v>0</v>
      </c>
      <c r="E28" s="47">
        <f t="shared" si="0"/>
        <v>0</v>
      </c>
      <c r="F28" s="87">
        <v>0</v>
      </c>
      <c r="G28" s="47">
        <f t="shared" si="4"/>
        <v>0</v>
      </c>
      <c r="H28" s="88"/>
      <c r="I28" s="20">
        <v>100</v>
      </c>
      <c r="J28" s="8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7">
        <v>0</v>
      </c>
      <c r="S28" s="47">
        <f t="shared" si="7"/>
        <v>0</v>
      </c>
      <c r="T28" s="87">
        <v>0</v>
      </c>
      <c r="U28" s="47">
        <f t="shared" si="8"/>
        <v>0</v>
      </c>
      <c r="V28" s="88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+'17'!G29</f>
        <v>2</v>
      </c>
      <c r="D29" s="87">
        <v>0</v>
      </c>
      <c r="E29" s="47">
        <f t="shared" si="0"/>
        <v>2</v>
      </c>
      <c r="F29" s="87">
        <v>0</v>
      </c>
      <c r="G29" s="47">
        <f t="shared" si="4"/>
        <v>0</v>
      </c>
      <c r="H29" s="88">
        <v>2</v>
      </c>
      <c r="I29" s="15">
        <v>100</v>
      </c>
      <c r="J29" s="82">
        <f t="shared" si="5"/>
        <v>200</v>
      </c>
      <c r="K29" s="17" t="s">
        <v>16</v>
      </c>
      <c r="L29" s="18">
        <v>0</v>
      </c>
      <c r="M29" s="23">
        <f t="shared" si="6"/>
        <v>200</v>
      </c>
      <c r="O29" s="10">
        <v>25</v>
      </c>
      <c r="P29" s="19"/>
      <c r="Q29" s="47">
        <v>0</v>
      </c>
      <c r="R29" s="87">
        <v>0</v>
      </c>
      <c r="S29" s="47">
        <f t="shared" si="7"/>
        <v>0</v>
      </c>
      <c r="T29" s="87">
        <v>0</v>
      </c>
      <c r="U29" s="47">
        <f t="shared" si="8"/>
        <v>0</v>
      </c>
      <c r="V29" s="88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+'17'!G30</f>
        <v>0</v>
      </c>
      <c r="D30" s="87">
        <v>0</v>
      </c>
      <c r="E30" s="47">
        <f t="shared" si="0"/>
        <v>0</v>
      </c>
      <c r="F30" s="87">
        <v>0</v>
      </c>
      <c r="G30" s="47">
        <f t="shared" si="4"/>
        <v>0</v>
      </c>
      <c r="H30" s="88"/>
      <c r="I30" s="15">
        <v>100</v>
      </c>
      <c r="J30" s="8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+'17'!G31</f>
        <v>1</v>
      </c>
      <c r="D31" s="87">
        <v>0</v>
      </c>
      <c r="E31" s="47">
        <f t="shared" si="0"/>
        <v>1</v>
      </c>
      <c r="F31" s="87">
        <v>0</v>
      </c>
      <c r="G31" s="47">
        <f t="shared" si="4"/>
        <v>1</v>
      </c>
      <c r="H31" s="88"/>
      <c r="I31" s="15">
        <v>100</v>
      </c>
      <c r="J31" s="82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+'17'!G32</f>
        <v>0</v>
      </c>
      <c r="D32" s="87">
        <v>0</v>
      </c>
      <c r="E32" s="47">
        <f t="shared" si="0"/>
        <v>0</v>
      </c>
      <c r="F32" s="87">
        <v>0</v>
      </c>
      <c r="G32" s="47">
        <f t="shared" si="4"/>
        <v>0</v>
      </c>
      <c r="H32" s="88"/>
      <c r="I32" s="15">
        <v>130</v>
      </c>
      <c r="J32" s="82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5" t="s">
        <v>119</v>
      </c>
      <c r="Q32" s="146"/>
      <c r="R32" s="146"/>
      <c r="S32" s="146"/>
      <c r="T32" s="146"/>
      <c r="U32" s="146"/>
      <c r="V32" s="146"/>
      <c r="W32" s="147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+'17'!G33</f>
        <v>12</v>
      </c>
      <c r="D33" s="87">
        <v>0</v>
      </c>
      <c r="E33" s="47">
        <f t="shared" si="0"/>
        <v>12</v>
      </c>
      <c r="F33" s="87">
        <v>0</v>
      </c>
      <c r="G33" s="47">
        <f t="shared" si="4"/>
        <v>12</v>
      </c>
      <c r="H33" s="88"/>
      <c r="I33" s="15">
        <v>130</v>
      </c>
      <c r="J33" s="82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v>13</v>
      </c>
      <c r="D34" s="87">
        <v>0</v>
      </c>
      <c r="E34" s="47">
        <f t="shared" si="0"/>
        <v>13</v>
      </c>
      <c r="F34" s="87">
        <v>0</v>
      </c>
      <c r="G34" s="47">
        <f t="shared" si="4"/>
        <v>13</v>
      </c>
      <c r="H34" s="88"/>
      <c r="I34" s="15">
        <v>130</v>
      </c>
      <c r="J34" s="82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+'17'!G35</f>
        <v>0</v>
      </c>
      <c r="D35" s="87">
        <v>0</v>
      </c>
      <c r="E35" s="47">
        <f t="shared" si="0"/>
        <v>0</v>
      </c>
      <c r="F35" s="87">
        <v>0</v>
      </c>
      <c r="G35" s="47">
        <f t="shared" si="4"/>
        <v>0</v>
      </c>
      <c r="H35" s="88"/>
      <c r="I35" s="15">
        <v>130</v>
      </c>
      <c r="J35" s="82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+'17'!G36</f>
        <v>0</v>
      </c>
      <c r="D36" s="87">
        <v>0</v>
      </c>
      <c r="E36" s="47">
        <f t="shared" si="0"/>
        <v>0</v>
      </c>
      <c r="F36" s="87">
        <v>0</v>
      </c>
      <c r="G36" s="47">
        <f t="shared" si="4"/>
        <v>0</v>
      </c>
      <c r="H36" s="88"/>
      <c r="I36" s="15">
        <v>100</v>
      </c>
      <c r="J36" s="82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+'17'!G37</f>
        <v>0</v>
      </c>
      <c r="D37" s="87">
        <v>0</v>
      </c>
      <c r="E37" s="47">
        <f t="shared" si="0"/>
        <v>0</v>
      </c>
      <c r="F37" s="87">
        <v>0</v>
      </c>
      <c r="G37" s="47">
        <f t="shared" si="4"/>
        <v>0</v>
      </c>
      <c r="H37" s="88"/>
      <c r="I37" s="15">
        <v>100</v>
      </c>
      <c r="J37" s="82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 t="s">
        <v>49</v>
      </c>
      <c r="C38" s="79">
        <v>1</v>
      </c>
      <c r="D38" s="87">
        <v>0</v>
      </c>
      <c r="E38" s="47">
        <f t="shared" si="0"/>
        <v>1</v>
      </c>
      <c r="F38" s="87">
        <v>0</v>
      </c>
      <c r="G38" s="47">
        <f t="shared" si="4"/>
        <v>0</v>
      </c>
      <c r="H38" s="88">
        <v>1</v>
      </c>
      <c r="I38" s="15">
        <v>50</v>
      </c>
      <c r="J38" s="82">
        <f t="shared" si="5"/>
        <v>50</v>
      </c>
      <c r="K38" s="17" t="s">
        <v>16</v>
      </c>
      <c r="L38" s="18">
        <v>0</v>
      </c>
      <c r="M38" s="23">
        <f t="shared" si="6"/>
        <v>50</v>
      </c>
    </row>
    <row r="39" spans="1:13" ht="25.5" x14ac:dyDescent="0.55000000000000004">
      <c r="A39" s="10">
        <v>35</v>
      </c>
      <c r="B39" s="19" t="s">
        <v>50</v>
      </c>
      <c r="C39" s="79">
        <v>7</v>
      </c>
      <c r="D39" s="87">
        <v>0</v>
      </c>
      <c r="E39" s="47">
        <f t="shared" si="0"/>
        <v>7</v>
      </c>
      <c r="F39" s="87">
        <v>0</v>
      </c>
      <c r="G39" s="47">
        <f t="shared" si="4"/>
        <v>7</v>
      </c>
      <c r="H39" s="88"/>
      <c r="I39" s="15">
        <v>50</v>
      </c>
      <c r="J39" s="82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v>7</v>
      </c>
      <c r="D40" s="87">
        <v>0</v>
      </c>
      <c r="E40" s="47">
        <f t="shared" si="0"/>
        <v>7</v>
      </c>
      <c r="F40" s="87">
        <v>0</v>
      </c>
      <c r="G40" s="47">
        <f t="shared" si="4"/>
        <v>7</v>
      </c>
      <c r="H40" s="88"/>
      <c r="I40" s="15">
        <v>50</v>
      </c>
      <c r="J40" s="82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+'17'!G41</f>
        <v>0</v>
      </c>
      <c r="D41" s="87">
        <v>0</v>
      </c>
      <c r="E41" s="47">
        <f t="shared" si="0"/>
        <v>0</v>
      </c>
      <c r="F41" s="87">
        <v>0</v>
      </c>
      <c r="G41" s="47">
        <f t="shared" si="4"/>
        <v>0</v>
      </c>
      <c r="H41" s="88"/>
      <c r="I41" s="15">
        <v>50</v>
      </c>
      <c r="J41" s="82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285</v>
      </c>
      <c r="C42" s="79">
        <f>+'17'!G42</f>
        <v>0</v>
      </c>
      <c r="D42" s="87">
        <v>0</v>
      </c>
      <c r="E42" s="47">
        <f t="shared" si="0"/>
        <v>0</v>
      </c>
      <c r="F42" s="87">
        <v>0</v>
      </c>
      <c r="G42" s="47">
        <f t="shared" si="4"/>
        <v>0</v>
      </c>
      <c r="H42" s="88"/>
      <c r="I42" s="15">
        <v>50</v>
      </c>
      <c r="J42" s="82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+'17'!G43</f>
        <v>0</v>
      </c>
      <c r="D43" s="87">
        <v>0</v>
      </c>
      <c r="E43" s="47">
        <f t="shared" si="0"/>
        <v>0</v>
      </c>
      <c r="F43" s="87">
        <v>0</v>
      </c>
      <c r="G43" s="47">
        <f t="shared" si="4"/>
        <v>0</v>
      </c>
      <c r="H43" s="88"/>
      <c r="I43" s="15">
        <v>50</v>
      </c>
      <c r="J43" s="82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+'17'!G44</f>
        <v>0</v>
      </c>
      <c r="D44" s="87">
        <v>0</v>
      </c>
      <c r="E44" s="47">
        <f t="shared" si="0"/>
        <v>0</v>
      </c>
      <c r="F44" s="87">
        <v>0</v>
      </c>
      <c r="G44" s="47">
        <f t="shared" si="4"/>
        <v>0</v>
      </c>
      <c r="H44" s="88"/>
      <c r="I44" s="15">
        <v>50</v>
      </c>
      <c r="J44" s="82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+'17'!G45</f>
        <v>0</v>
      </c>
      <c r="D45" s="87">
        <v>0</v>
      </c>
      <c r="E45" s="47">
        <f t="shared" si="0"/>
        <v>0</v>
      </c>
      <c r="F45" s="87">
        <v>0</v>
      </c>
      <c r="G45" s="47">
        <f t="shared" si="4"/>
        <v>0</v>
      </c>
      <c r="H45" s="88"/>
      <c r="I45" s="15">
        <v>50</v>
      </c>
      <c r="J45" s="82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286</v>
      </c>
      <c r="C46" s="79">
        <f>+'17'!G46</f>
        <v>0</v>
      </c>
      <c r="D46" s="87">
        <v>0</v>
      </c>
      <c r="E46" s="47">
        <f t="shared" si="0"/>
        <v>0</v>
      </c>
      <c r="F46" s="87">
        <v>0</v>
      </c>
      <c r="G46" s="47">
        <f t="shared" si="4"/>
        <v>0</v>
      </c>
      <c r="H46" s="88"/>
      <c r="I46" s="15">
        <v>50</v>
      </c>
      <c r="J46" s="82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+'17'!G47</f>
        <v>0</v>
      </c>
      <c r="D47" s="87">
        <v>0</v>
      </c>
      <c r="E47" s="47">
        <f t="shared" si="0"/>
        <v>0</v>
      </c>
      <c r="F47" s="87">
        <v>0</v>
      </c>
      <c r="G47" s="47">
        <f t="shared" si="4"/>
        <v>0</v>
      </c>
      <c r="H47" s="88"/>
      <c r="I47" s="15">
        <v>50</v>
      </c>
      <c r="J47" s="82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+'17'!G48</f>
        <v>0</v>
      </c>
      <c r="D48" s="87">
        <v>0</v>
      </c>
      <c r="E48" s="47">
        <f t="shared" si="0"/>
        <v>0</v>
      </c>
      <c r="F48" s="87">
        <v>0</v>
      </c>
      <c r="G48" s="47">
        <f t="shared" si="4"/>
        <v>0</v>
      </c>
      <c r="H48" s="88"/>
      <c r="I48" s="15">
        <v>50</v>
      </c>
      <c r="J48" s="82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+'17'!G49</f>
        <v>0</v>
      </c>
      <c r="D49" s="87">
        <v>0</v>
      </c>
      <c r="E49" s="47">
        <f t="shared" si="0"/>
        <v>0</v>
      </c>
      <c r="F49" s="87">
        <v>0</v>
      </c>
      <c r="G49" s="47">
        <f t="shared" si="4"/>
        <v>0</v>
      </c>
      <c r="H49" s="88"/>
      <c r="I49" s="15">
        <v>50</v>
      </c>
      <c r="J49" s="82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+'17'!G50</f>
        <v>2</v>
      </c>
      <c r="D50" s="87">
        <v>0</v>
      </c>
      <c r="E50" s="47">
        <f t="shared" si="0"/>
        <v>2</v>
      </c>
      <c r="F50" s="87">
        <v>0</v>
      </c>
      <c r="G50" s="47">
        <f t="shared" si="4"/>
        <v>2</v>
      </c>
      <c r="H50" s="88"/>
      <c r="I50" s="15">
        <v>120</v>
      </c>
      <c r="J50" s="82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+'17'!G51</f>
        <v>0</v>
      </c>
      <c r="D51" s="87">
        <v>0</v>
      </c>
      <c r="E51" s="47">
        <f t="shared" si="0"/>
        <v>0</v>
      </c>
      <c r="F51" s="87">
        <v>0</v>
      </c>
      <c r="G51" s="47">
        <f t="shared" si="4"/>
        <v>0</v>
      </c>
      <c r="H51" s="88"/>
      <c r="I51" s="15">
        <v>120</v>
      </c>
      <c r="J51" s="82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+'17'!G52</f>
        <v>0</v>
      </c>
      <c r="D52" s="87">
        <v>0</v>
      </c>
      <c r="E52" s="47">
        <f t="shared" si="0"/>
        <v>0</v>
      </c>
      <c r="F52" s="87">
        <v>0</v>
      </c>
      <c r="G52" s="47">
        <f t="shared" si="4"/>
        <v>0</v>
      </c>
      <c r="H52" s="88"/>
      <c r="I52" s="21">
        <v>120</v>
      </c>
      <c r="J52" s="82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+'17'!G53</f>
        <v>0</v>
      </c>
      <c r="D53" s="87">
        <v>0</v>
      </c>
      <c r="E53" s="47">
        <f t="shared" si="0"/>
        <v>0</v>
      </c>
      <c r="F53" s="87">
        <v>0</v>
      </c>
      <c r="G53" s="47">
        <f t="shared" si="4"/>
        <v>0</v>
      </c>
      <c r="H53" s="88"/>
      <c r="I53" s="15">
        <v>120</v>
      </c>
      <c r="J53" s="82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+'17'!G54</f>
        <v>0</v>
      </c>
      <c r="D54" s="87">
        <v>0</v>
      </c>
      <c r="E54" s="47">
        <f t="shared" si="0"/>
        <v>0</v>
      </c>
      <c r="F54" s="87">
        <v>0</v>
      </c>
      <c r="G54" s="47">
        <f t="shared" si="4"/>
        <v>0</v>
      </c>
      <c r="H54" s="88"/>
      <c r="I54" s="15">
        <v>120</v>
      </c>
      <c r="J54" s="82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+'17'!G55</f>
        <v>0</v>
      </c>
      <c r="D55" s="87">
        <v>0</v>
      </c>
      <c r="E55" s="47">
        <f t="shared" si="0"/>
        <v>0</v>
      </c>
      <c r="F55" s="87">
        <v>0</v>
      </c>
      <c r="G55" s="47">
        <f t="shared" si="4"/>
        <v>0</v>
      </c>
      <c r="H55" s="88"/>
      <c r="I55" s="21">
        <v>120</v>
      </c>
      <c r="J55" s="82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+'17'!G56</f>
        <v>0</v>
      </c>
      <c r="D56" s="87">
        <v>0</v>
      </c>
      <c r="E56" s="47">
        <f t="shared" si="0"/>
        <v>0</v>
      </c>
      <c r="F56" s="87">
        <v>0</v>
      </c>
      <c r="G56" s="47">
        <f t="shared" si="4"/>
        <v>0</v>
      </c>
      <c r="H56" s="88"/>
      <c r="I56" s="21">
        <v>120</v>
      </c>
      <c r="J56" s="82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+'17'!G57</f>
        <v>0</v>
      </c>
      <c r="D57" s="87">
        <v>0</v>
      </c>
      <c r="E57" s="47">
        <f t="shared" si="0"/>
        <v>0</v>
      </c>
      <c r="F57" s="87">
        <v>0</v>
      </c>
      <c r="G57" s="47">
        <f t="shared" si="4"/>
        <v>0</v>
      </c>
      <c r="H57" s="88"/>
      <c r="I57" s="21">
        <v>120</v>
      </c>
      <c r="J57" s="82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+'17'!G58</f>
        <v>0</v>
      </c>
      <c r="D58" s="87">
        <v>0</v>
      </c>
      <c r="E58" s="47">
        <f t="shared" si="0"/>
        <v>0</v>
      </c>
      <c r="F58" s="87">
        <v>0</v>
      </c>
      <c r="G58" s="47">
        <f t="shared" si="4"/>
        <v>0</v>
      </c>
      <c r="H58" s="88"/>
      <c r="I58" s="21">
        <v>120</v>
      </c>
      <c r="J58" s="82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+'17'!G59</f>
        <v>0</v>
      </c>
      <c r="D59" s="87">
        <v>0</v>
      </c>
      <c r="E59" s="47">
        <f t="shared" si="0"/>
        <v>0</v>
      </c>
      <c r="F59" s="87">
        <v>0</v>
      </c>
      <c r="G59" s="47">
        <f t="shared" si="4"/>
        <v>0</v>
      </c>
      <c r="H59" s="88"/>
      <c r="I59" s="15">
        <v>70</v>
      </c>
      <c r="J59" s="82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+'17'!G60</f>
        <v>0</v>
      </c>
      <c r="D60" s="87">
        <v>0</v>
      </c>
      <c r="E60" s="47">
        <f t="shared" si="0"/>
        <v>0</v>
      </c>
      <c r="F60" s="87">
        <v>0</v>
      </c>
      <c r="G60" s="47">
        <f t="shared" si="4"/>
        <v>0</v>
      </c>
      <c r="H60" s="88"/>
      <c r="I60" s="21">
        <v>80</v>
      </c>
      <c r="J60" s="82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+'17'!G61</f>
        <v>0</v>
      </c>
      <c r="D61" s="87">
        <v>0</v>
      </c>
      <c r="E61" s="47">
        <f t="shared" si="0"/>
        <v>0</v>
      </c>
      <c r="F61" s="87">
        <v>0</v>
      </c>
      <c r="G61" s="47">
        <f t="shared" si="4"/>
        <v>0</v>
      </c>
      <c r="H61" s="88"/>
      <c r="I61" s="15">
        <v>50</v>
      </c>
      <c r="J61" s="82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+'17'!G62</f>
        <v>1</v>
      </c>
      <c r="D62" s="87">
        <v>0</v>
      </c>
      <c r="E62" s="47">
        <f t="shared" si="0"/>
        <v>1</v>
      </c>
      <c r="F62" s="87">
        <v>0</v>
      </c>
      <c r="G62" s="47">
        <f t="shared" si="4"/>
        <v>1</v>
      </c>
      <c r="H62" s="88"/>
      <c r="I62" s="20">
        <v>50</v>
      </c>
      <c r="J62" s="82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+'17'!G63</f>
        <v>0</v>
      </c>
      <c r="D63" s="87">
        <v>0</v>
      </c>
      <c r="E63" s="47">
        <f t="shared" si="0"/>
        <v>0</v>
      </c>
      <c r="F63" s="87">
        <v>0</v>
      </c>
      <c r="G63" s="47">
        <f t="shared" si="4"/>
        <v>0</v>
      </c>
      <c r="H63" s="88"/>
      <c r="I63" s="20">
        <v>50</v>
      </c>
      <c r="J63" s="82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+'17'!G64</f>
        <v>0</v>
      </c>
      <c r="D64" s="87">
        <v>0</v>
      </c>
      <c r="E64" s="47">
        <f t="shared" si="0"/>
        <v>0</v>
      </c>
      <c r="F64" s="87">
        <v>0</v>
      </c>
      <c r="G64" s="47">
        <f t="shared" si="4"/>
        <v>0</v>
      </c>
      <c r="H64" s="88"/>
      <c r="I64" s="21">
        <v>30</v>
      </c>
      <c r="J64" s="82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+'17'!G65</f>
        <v>0</v>
      </c>
      <c r="D65" s="87">
        <v>0</v>
      </c>
      <c r="E65" s="47">
        <f t="shared" si="0"/>
        <v>0</v>
      </c>
      <c r="F65" s="87">
        <v>0</v>
      </c>
      <c r="G65" s="47">
        <f t="shared" si="4"/>
        <v>0</v>
      </c>
      <c r="H65" s="88"/>
      <c r="I65" s="21">
        <v>30</v>
      </c>
      <c r="J65" s="82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+'17'!G66</f>
        <v>1</v>
      </c>
      <c r="D66" s="87">
        <v>0</v>
      </c>
      <c r="E66" s="47">
        <f t="shared" si="0"/>
        <v>1</v>
      </c>
      <c r="F66" s="87">
        <v>0</v>
      </c>
      <c r="G66" s="47">
        <f t="shared" si="4"/>
        <v>1</v>
      </c>
      <c r="H66" s="88"/>
      <c r="I66" s="15">
        <v>50</v>
      </c>
      <c r="J66" s="82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+'17'!G67</f>
        <v>11</v>
      </c>
      <c r="D67" s="87">
        <v>0</v>
      </c>
      <c r="E67" s="47">
        <f t="shared" si="0"/>
        <v>11</v>
      </c>
      <c r="F67" s="87">
        <v>0</v>
      </c>
      <c r="G67" s="47">
        <f t="shared" si="4"/>
        <v>10</v>
      </c>
      <c r="H67" s="88">
        <v>1</v>
      </c>
      <c r="I67" s="15">
        <v>50</v>
      </c>
      <c r="J67" s="82">
        <f t="shared" si="5"/>
        <v>50</v>
      </c>
      <c r="K67" s="17" t="s">
        <v>16</v>
      </c>
      <c r="L67" s="18">
        <v>0</v>
      </c>
      <c r="M67" s="23">
        <f t="shared" si="6"/>
        <v>50</v>
      </c>
    </row>
    <row r="68" spans="1:13" ht="25.5" x14ac:dyDescent="0.55000000000000004">
      <c r="A68" s="10">
        <v>64</v>
      </c>
      <c r="B68" s="19" t="s">
        <v>79</v>
      </c>
      <c r="C68" s="79">
        <f>+'17'!G68</f>
        <v>0</v>
      </c>
      <c r="D68" s="87">
        <v>0</v>
      </c>
      <c r="E68" s="47">
        <f t="shared" si="0"/>
        <v>0</v>
      </c>
      <c r="F68" s="87">
        <v>0</v>
      </c>
      <c r="G68" s="47">
        <f t="shared" si="4"/>
        <v>0</v>
      </c>
      <c r="H68" s="88"/>
      <c r="I68" s="20">
        <v>35</v>
      </c>
      <c r="J68" s="82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+'17'!G69</f>
        <v>0</v>
      </c>
      <c r="D69" s="87">
        <v>0</v>
      </c>
      <c r="E69" s="47">
        <f t="shared" si="0"/>
        <v>0</v>
      </c>
      <c r="F69" s="87">
        <v>0</v>
      </c>
      <c r="G69" s="47">
        <f t="shared" si="4"/>
        <v>0</v>
      </c>
      <c r="H69" s="88"/>
      <c r="I69" s="20">
        <v>25</v>
      </c>
      <c r="J69" s="82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v>8</v>
      </c>
      <c r="D70" s="87">
        <v>0</v>
      </c>
      <c r="E70" s="47">
        <f t="shared" si="0"/>
        <v>8</v>
      </c>
      <c r="F70" s="87">
        <v>0</v>
      </c>
      <c r="G70" s="47">
        <f t="shared" si="4"/>
        <v>7</v>
      </c>
      <c r="H70" s="88">
        <v>1</v>
      </c>
      <c r="I70" s="20">
        <v>50</v>
      </c>
      <c r="J70" s="82">
        <f t="shared" si="5"/>
        <v>50</v>
      </c>
      <c r="K70" s="17" t="s">
        <v>16</v>
      </c>
      <c r="L70" s="18">
        <v>0</v>
      </c>
      <c r="M70" s="23">
        <f t="shared" ref="M70:M134" si="10">SUM(J70-L70)</f>
        <v>50</v>
      </c>
    </row>
    <row r="71" spans="1:13" ht="25.5" x14ac:dyDescent="0.55000000000000004">
      <c r="A71" s="10">
        <v>67</v>
      </c>
      <c r="B71" s="19" t="s">
        <v>82</v>
      </c>
      <c r="C71" s="79">
        <v>10</v>
      </c>
      <c r="D71" s="87">
        <v>0</v>
      </c>
      <c r="E71" s="47">
        <f t="shared" si="0"/>
        <v>10</v>
      </c>
      <c r="F71" s="87">
        <v>0</v>
      </c>
      <c r="G71" s="47">
        <f t="shared" si="4"/>
        <v>9</v>
      </c>
      <c r="H71" s="88">
        <v>1</v>
      </c>
      <c r="I71" s="20">
        <v>60</v>
      </c>
      <c r="J71" s="82">
        <f t="shared" si="5"/>
        <v>60</v>
      </c>
      <c r="K71" s="17" t="s">
        <v>16</v>
      </c>
      <c r="L71" s="18">
        <v>0</v>
      </c>
      <c r="M71" s="23">
        <f t="shared" si="10"/>
        <v>60</v>
      </c>
    </row>
    <row r="72" spans="1:13" ht="25.5" x14ac:dyDescent="0.55000000000000004">
      <c r="A72" s="10">
        <v>68</v>
      </c>
      <c r="B72" s="19" t="s">
        <v>83</v>
      </c>
      <c r="C72" s="79">
        <f>+'17'!G72</f>
        <v>0</v>
      </c>
      <c r="D72" s="87">
        <v>0</v>
      </c>
      <c r="E72" s="47">
        <f t="shared" si="0"/>
        <v>0</v>
      </c>
      <c r="F72" s="87">
        <v>0</v>
      </c>
      <c r="G72" s="47">
        <f t="shared" si="4"/>
        <v>0</v>
      </c>
      <c r="H72" s="88"/>
      <c r="I72" s="22">
        <v>50</v>
      </c>
      <c r="J72" s="82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+'17'!G73</f>
        <v>0</v>
      </c>
      <c r="D73" s="87">
        <v>0</v>
      </c>
      <c r="E73" s="47">
        <f t="shared" si="0"/>
        <v>0</v>
      </c>
      <c r="F73" s="87">
        <v>0</v>
      </c>
      <c r="G73" s="47">
        <f t="shared" si="4"/>
        <v>0</v>
      </c>
      <c r="H73" s="88"/>
      <c r="I73" s="20">
        <v>60</v>
      </c>
      <c r="J73" s="82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+'17'!G74</f>
        <v>1</v>
      </c>
      <c r="D74" s="87">
        <v>0</v>
      </c>
      <c r="E74" s="47">
        <f t="shared" si="0"/>
        <v>1</v>
      </c>
      <c r="F74" s="87">
        <v>0</v>
      </c>
      <c r="G74" s="47">
        <f t="shared" si="4"/>
        <v>1</v>
      </c>
      <c r="H74" s="88"/>
      <c r="I74" s="22">
        <v>120</v>
      </c>
      <c r="J74" s="82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+'17'!G75</f>
        <v>0</v>
      </c>
      <c r="D75" s="87">
        <v>0</v>
      </c>
      <c r="E75" s="47">
        <f t="shared" si="0"/>
        <v>0</v>
      </c>
      <c r="F75" s="87">
        <v>0</v>
      </c>
      <c r="G75" s="47">
        <f t="shared" si="4"/>
        <v>0</v>
      </c>
      <c r="H75" s="88"/>
      <c r="I75" s="22">
        <v>60</v>
      </c>
      <c r="J75" s="82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+'17'!G76</f>
        <v>0</v>
      </c>
      <c r="D76" s="87">
        <v>0</v>
      </c>
      <c r="E76" s="47">
        <f t="shared" si="0"/>
        <v>0</v>
      </c>
      <c r="F76" s="87">
        <v>0</v>
      </c>
      <c r="G76" s="47">
        <f t="shared" si="4"/>
        <v>0</v>
      </c>
      <c r="H76" s="88"/>
      <c r="I76" s="22">
        <v>120</v>
      </c>
      <c r="J76" s="82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272</v>
      </c>
      <c r="C77" s="79">
        <f>+'17'!G77</f>
        <v>2</v>
      </c>
      <c r="D77" s="87">
        <v>0</v>
      </c>
      <c r="E77" s="47">
        <f>C77+D77</f>
        <v>2</v>
      </c>
      <c r="F77" s="87">
        <v>0</v>
      </c>
      <c r="G77" s="47">
        <f>+E77-F77-H77</f>
        <v>2</v>
      </c>
      <c r="H77" s="88"/>
      <c r="I77" s="20">
        <v>50</v>
      </c>
      <c r="J77" s="82">
        <f>+I77*H77</f>
        <v>0</v>
      </c>
      <c r="K77" s="17" t="s">
        <v>16</v>
      </c>
      <c r="L77" s="18">
        <v>0</v>
      </c>
      <c r="M77" s="23">
        <f>SUM(J77-L77)</f>
        <v>0</v>
      </c>
    </row>
    <row r="78" spans="1:13" ht="25.5" x14ac:dyDescent="0.55000000000000004">
      <c r="A78" s="10">
        <v>74</v>
      </c>
      <c r="B78" s="19" t="s">
        <v>277</v>
      </c>
      <c r="C78" s="79">
        <f>+'17'!G78</f>
        <v>2</v>
      </c>
      <c r="D78" s="87">
        <v>0</v>
      </c>
      <c r="E78" s="47">
        <f t="shared" si="0"/>
        <v>2</v>
      </c>
      <c r="F78" s="87">
        <v>0</v>
      </c>
      <c r="G78" s="47">
        <f t="shared" si="4"/>
        <v>2</v>
      </c>
      <c r="H78" s="88"/>
      <c r="I78" s="20">
        <v>50</v>
      </c>
      <c r="J78" s="82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278</v>
      </c>
      <c r="C79" s="79">
        <f>+'17'!G79</f>
        <v>0</v>
      </c>
      <c r="D79" s="87">
        <v>0</v>
      </c>
      <c r="E79" s="47">
        <f t="shared" si="0"/>
        <v>0</v>
      </c>
      <c r="F79" s="87">
        <v>0</v>
      </c>
      <c r="G79" s="47">
        <f t="shared" si="4"/>
        <v>0</v>
      </c>
      <c r="H79" s="88"/>
      <c r="I79" s="22">
        <v>120</v>
      </c>
      <c r="J79" s="82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90</v>
      </c>
      <c r="C80" s="79">
        <f>+'17'!G80</f>
        <v>0</v>
      </c>
      <c r="D80" s="87">
        <v>0</v>
      </c>
      <c r="E80" s="47">
        <f t="shared" si="0"/>
        <v>0</v>
      </c>
      <c r="F80" s="87">
        <v>0</v>
      </c>
      <c r="G80" s="47">
        <f t="shared" si="4"/>
        <v>0</v>
      </c>
      <c r="H80" s="88"/>
      <c r="I80" s="22">
        <v>50</v>
      </c>
      <c r="J80" s="82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91</v>
      </c>
      <c r="C81" s="79">
        <f>+'17'!G81</f>
        <v>0</v>
      </c>
      <c r="D81" s="87">
        <v>0</v>
      </c>
      <c r="E81" s="47">
        <f t="shared" si="0"/>
        <v>0</v>
      </c>
      <c r="F81" s="87">
        <v>0</v>
      </c>
      <c r="G81" s="47">
        <f t="shared" si="4"/>
        <v>0</v>
      </c>
      <c r="H81" s="88"/>
      <c r="I81" s="22">
        <v>50</v>
      </c>
      <c r="J81" s="82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92</v>
      </c>
      <c r="C82" s="79">
        <f>+'17'!G82</f>
        <v>0</v>
      </c>
      <c r="D82" s="87">
        <v>0</v>
      </c>
      <c r="E82" s="47">
        <f t="shared" si="0"/>
        <v>0</v>
      </c>
      <c r="F82" s="87">
        <v>0</v>
      </c>
      <c r="G82" s="47">
        <f t="shared" si="4"/>
        <v>0</v>
      </c>
      <c r="H82" s="88"/>
      <c r="I82" s="20">
        <v>55</v>
      </c>
      <c r="J82" s="82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93</v>
      </c>
      <c r="C83" s="79">
        <f>+'17'!G83</f>
        <v>0</v>
      </c>
      <c r="D83" s="87">
        <v>0</v>
      </c>
      <c r="E83" s="47">
        <f t="shared" si="0"/>
        <v>0</v>
      </c>
      <c r="F83" s="87">
        <v>0</v>
      </c>
      <c r="G83" s="47">
        <f t="shared" si="4"/>
        <v>0</v>
      </c>
      <c r="H83" s="88"/>
      <c r="I83" s="22">
        <v>55</v>
      </c>
      <c r="J83" s="82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94</v>
      </c>
      <c r="C84" s="79">
        <f>+'17'!G84</f>
        <v>0</v>
      </c>
      <c r="D84" s="87">
        <v>0</v>
      </c>
      <c r="E84" s="47">
        <f t="shared" si="0"/>
        <v>0</v>
      </c>
      <c r="F84" s="87">
        <v>0</v>
      </c>
      <c r="G84" s="47">
        <f t="shared" si="4"/>
        <v>0</v>
      </c>
      <c r="H84" s="88"/>
      <c r="I84" s="22">
        <v>55</v>
      </c>
      <c r="J84" s="82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95</v>
      </c>
      <c r="C85" s="79">
        <f>+'17'!G85</f>
        <v>0</v>
      </c>
      <c r="D85" s="87">
        <v>0</v>
      </c>
      <c r="E85" s="47">
        <f t="shared" si="0"/>
        <v>0</v>
      </c>
      <c r="F85" s="87">
        <v>0</v>
      </c>
      <c r="G85" s="47">
        <f t="shared" si="4"/>
        <v>0</v>
      </c>
      <c r="H85" s="88"/>
      <c r="I85" s="22">
        <v>55</v>
      </c>
      <c r="J85" s="82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96</v>
      </c>
      <c r="C86" s="79">
        <f>+'17'!G86</f>
        <v>4</v>
      </c>
      <c r="D86" s="87">
        <v>0</v>
      </c>
      <c r="E86" s="47">
        <f t="shared" si="0"/>
        <v>4</v>
      </c>
      <c r="F86" s="87">
        <v>0</v>
      </c>
      <c r="G86" s="47">
        <f t="shared" si="4"/>
        <v>4</v>
      </c>
      <c r="H86" s="88"/>
      <c r="I86" s="22">
        <v>100</v>
      </c>
      <c r="J86" s="82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97</v>
      </c>
      <c r="C87" s="79">
        <f>+'17'!G87</f>
        <v>3</v>
      </c>
      <c r="D87" s="87">
        <v>0</v>
      </c>
      <c r="E87" s="47">
        <f t="shared" si="0"/>
        <v>3</v>
      </c>
      <c r="F87" s="87">
        <v>0</v>
      </c>
      <c r="G87" s="47">
        <f t="shared" si="4"/>
        <v>3</v>
      </c>
      <c r="H87" s="88"/>
      <c r="I87" s="20">
        <v>55</v>
      </c>
      <c r="J87" s="82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98</v>
      </c>
      <c r="C88" s="79">
        <f>+'17'!G88</f>
        <v>1</v>
      </c>
      <c r="D88" s="87">
        <v>0</v>
      </c>
      <c r="E88" s="47">
        <f t="shared" si="0"/>
        <v>1</v>
      </c>
      <c r="F88" s="87">
        <v>0</v>
      </c>
      <c r="G88" s="47">
        <f t="shared" si="4"/>
        <v>1</v>
      </c>
      <c r="H88" s="88"/>
      <c r="I88" s="20">
        <v>60</v>
      </c>
      <c r="J88" s="82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99</v>
      </c>
      <c r="C89" s="79">
        <f>+'17'!G89</f>
        <v>2</v>
      </c>
      <c r="D89" s="87">
        <v>0</v>
      </c>
      <c r="E89" s="47">
        <f t="shared" si="0"/>
        <v>2</v>
      </c>
      <c r="F89" s="87">
        <v>0</v>
      </c>
      <c r="G89" s="47">
        <f t="shared" si="4"/>
        <v>2</v>
      </c>
      <c r="H89" s="88"/>
      <c r="I89" s="20">
        <v>100</v>
      </c>
      <c r="J89" s="82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100</v>
      </c>
      <c r="C90" s="79">
        <f>+'17'!G90</f>
        <v>8</v>
      </c>
      <c r="D90" s="87">
        <v>0</v>
      </c>
      <c r="E90" s="47">
        <f t="shared" si="0"/>
        <v>8</v>
      </c>
      <c r="F90" s="87">
        <v>0</v>
      </c>
      <c r="G90" s="47">
        <f t="shared" si="4"/>
        <v>8</v>
      </c>
      <c r="H90" s="88"/>
      <c r="I90" s="20">
        <v>55</v>
      </c>
      <c r="J90" s="82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101</v>
      </c>
      <c r="C91" s="79">
        <f>+'17'!G91</f>
        <v>0</v>
      </c>
      <c r="D91" s="87">
        <v>0</v>
      </c>
      <c r="E91" s="47">
        <f t="shared" si="0"/>
        <v>0</v>
      </c>
      <c r="F91" s="87">
        <v>0</v>
      </c>
      <c r="G91" s="47">
        <f t="shared" si="4"/>
        <v>0</v>
      </c>
      <c r="H91" s="88"/>
      <c r="I91" s="20">
        <v>50</v>
      </c>
      <c r="J91" s="82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102</v>
      </c>
      <c r="C92" s="79">
        <f>+'17'!G92</f>
        <v>0</v>
      </c>
      <c r="D92" s="87">
        <v>0</v>
      </c>
      <c r="E92" s="47">
        <f t="shared" si="0"/>
        <v>0</v>
      </c>
      <c r="F92" s="87">
        <v>0</v>
      </c>
      <c r="G92" s="47">
        <f t="shared" si="4"/>
        <v>0</v>
      </c>
      <c r="H92" s="88"/>
      <c r="I92" s="22">
        <v>50</v>
      </c>
      <c r="J92" s="82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248</v>
      </c>
      <c r="C93" s="79">
        <f>+'17'!G93</f>
        <v>0</v>
      </c>
      <c r="D93" s="87">
        <v>0</v>
      </c>
      <c r="E93" s="47">
        <f t="shared" si="0"/>
        <v>0</v>
      </c>
      <c r="F93" s="87">
        <v>0</v>
      </c>
      <c r="G93" s="47">
        <f t="shared" si="4"/>
        <v>0</v>
      </c>
      <c r="H93" s="88"/>
      <c r="I93" s="22">
        <v>120</v>
      </c>
      <c r="J93" s="82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104</v>
      </c>
      <c r="C94" s="79">
        <f>+'17'!G94</f>
        <v>0</v>
      </c>
      <c r="D94" s="87">
        <v>0</v>
      </c>
      <c r="E94" s="47">
        <f t="shared" si="0"/>
        <v>0</v>
      </c>
      <c r="F94" s="87">
        <v>0</v>
      </c>
      <c r="G94" s="47">
        <f t="shared" si="4"/>
        <v>0</v>
      </c>
      <c r="H94" s="88"/>
      <c r="I94" s="20">
        <v>250</v>
      </c>
      <c r="J94" s="82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105</v>
      </c>
      <c r="C95" s="79">
        <f>+'17'!G95</f>
        <v>0</v>
      </c>
      <c r="D95" s="87">
        <v>0</v>
      </c>
      <c r="E95" s="47">
        <f t="shared" si="0"/>
        <v>0</v>
      </c>
      <c r="F95" s="87">
        <v>0</v>
      </c>
      <c r="G95" s="47">
        <f t="shared" si="4"/>
        <v>0</v>
      </c>
      <c r="H95" s="88"/>
      <c r="I95" s="20">
        <v>120</v>
      </c>
      <c r="J95" s="82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106</v>
      </c>
      <c r="C96" s="79">
        <f>+'17'!G96</f>
        <v>0</v>
      </c>
      <c r="D96" s="87">
        <v>0</v>
      </c>
      <c r="E96" s="47">
        <f t="shared" si="0"/>
        <v>0</v>
      </c>
      <c r="F96" s="87">
        <v>0</v>
      </c>
      <c r="G96" s="47">
        <f t="shared" si="4"/>
        <v>0</v>
      </c>
      <c r="H96" s="88"/>
      <c r="I96" s="20">
        <v>120</v>
      </c>
      <c r="J96" s="82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107</v>
      </c>
      <c r="C97" s="79">
        <f>+'17'!G97</f>
        <v>0</v>
      </c>
      <c r="D97" s="87">
        <v>0</v>
      </c>
      <c r="E97" s="47">
        <f t="shared" si="0"/>
        <v>0</v>
      </c>
      <c r="F97" s="87">
        <v>0</v>
      </c>
      <c r="G97" s="47">
        <f t="shared" si="4"/>
        <v>0</v>
      </c>
      <c r="H97" s="88"/>
      <c r="I97" s="20">
        <v>120</v>
      </c>
      <c r="J97" s="82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103</v>
      </c>
      <c r="C98" s="79">
        <f>+'17'!G98</f>
        <v>0</v>
      </c>
      <c r="D98" s="87">
        <v>0</v>
      </c>
      <c r="E98" s="47">
        <f t="shared" si="0"/>
        <v>0</v>
      </c>
      <c r="F98" s="87">
        <v>0</v>
      </c>
      <c r="G98" s="47">
        <f t="shared" si="4"/>
        <v>0</v>
      </c>
      <c r="H98" s="88"/>
      <c r="I98" s="20">
        <v>120</v>
      </c>
      <c r="J98" s="82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109</v>
      </c>
      <c r="C99" s="79">
        <f>+'17'!G99</f>
        <v>0</v>
      </c>
      <c r="D99" s="87">
        <v>0</v>
      </c>
      <c r="E99" s="47">
        <f t="shared" si="0"/>
        <v>0</v>
      </c>
      <c r="F99" s="87">
        <v>0</v>
      </c>
      <c r="G99" s="47">
        <f t="shared" si="4"/>
        <v>0</v>
      </c>
      <c r="H99" s="88"/>
      <c r="I99" s="20">
        <v>50</v>
      </c>
      <c r="J99" s="82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110</v>
      </c>
      <c r="C100" s="79">
        <f>+'17'!G100</f>
        <v>0</v>
      </c>
      <c r="D100" s="87">
        <v>0</v>
      </c>
      <c r="E100" s="47">
        <f t="shared" si="0"/>
        <v>0</v>
      </c>
      <c r="F100" s="87">
        <v>0</v>
      </c>
      <c r="G100" s="47">
        <f t="shared" si="4"/>
        <v>0</v>
      </c>
      <c r="H100" s="88"/>
      <c r="I100" s="20">
        <v>50</v>
      </c>
      <c r="J100" s="82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111</v>
      </c>
      <c r="C101" s="79">
        <f>+'17'!G101</f>
        <v>0</v>
      </c>
      <c r="D101" s="87">
        <v>0</v>
      </c>
      <c r="E101" s="47">
        <f t="shared" si="0"/>
        <v>0</v>
      </c>
      <c r="F101" s="87">
        <v>0</v>
      </c>
      <c r="G101" s="47">
        <f t="shared" ref="G101:G164" si="11">+E101-F101-H101</f>
        <v>0</v>
      </c>
      <c r="H101" s="88"/>
      <c r="I101" s="20">
        <v>60</v>
      </c>
      <c r="J101" s="82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112</v>
      </c>
      <c r="C102" s="79">
        <f>+'17'!G102</f>
        <v>0</v>
      </c>
      <c r="D102" s="87">
        <v>0</v>
      </c>
      <c r="E102" s="47">
        <f t="shared" si="0"/>
        <v>0</v>
      </c>
      <c r="F102" s="87">
        <v>0</v>
      </c>
      <c r="G102" s="47">
        <f t="shared" si="11"/>
        <v>0</v>
      </c>
      <c r="H102" s="88"/>
      <c r="I102" s="20">
        <v>55</v>
      </c>
      <c r="J102" s="82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113</v>
      </c>
      <c r="C103" s="79">
        <f>+'17'!G103</f>
        <v>0</v>
      </c>
      <c r="D103" s="87">
        <v>0</v>
      </c>
      <c r="E103" s="47">
        <f t="shared" si="0"/>
        <v>0</v>
      </c>
      <c r="F103" s="87">
        <v>0</v>
      </c>
      <c r="G103" s="47">
        <f t="shared" si="11"/>
        <v>0</v>
      </c>
      <c r="H103" s="88"/>
      <c r="I103" s="20">
        <v>50</v>
      </c>
      <c r="J103" s="82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114</v>
      </c>
      <c r="C104" s="79">
        <f>+'17'!G104</f>
        <v>0</v>
      </c>
      <c r="D104" s="87">
        <v>0</v>
      </c>
      <c r="E104" s="47">
        <f t="shared" si="0"/>
        <v>0</v>
      </c>
      <c r="F104" s="87">
        <v>0</v>
      </c>
      <c r="G104" s="47">
        <f t="shared" si="11"/>
        <v>0</v>
      </c>
      <c r="H104" s="88"/>
      <c r="I104" s="20">
        <v>100</v>
      </c>
      <c r="J104" s="82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115</v>
      </c>
      <c r="C105" s="79">
        <f>+'17'!G105</f>
        <v>0</v>
      </c>
      <c r="D105" s="87">
        <v>0</v>
      </c>
      <c r="E105" s="47">
        <f t="shared" si="0"/>
        <v>0</v>
      </c>
      <c r="F105" s="87">
        <v>0</v>
      </c>
      <c r="G105" s="47">
        <f t="shared" si="11"/>
        <v>0</v>
      </c>
      <c r="H105" s="88"/>
      <c r="I105" s="20">
        <v>100</v>
      </c>
      <c r="J105" s="82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116</v>
      </c>
      <c r="C106" s="79">
        <f>+'17'!G106</f>
        <v>0</v>
      </c>
      <c r="D106" s="87">
        <v>0</v>
      </c>
      <c r="E106" s="47">
        <f t="shared" si="0"/>
        <v>0</v>
      </c>
      <c r="F106" s="87">
        <v>0</v>
      </c>
      <c r="G106" s="47">
        <f t="shared" si="11"/>
        <v>0</v>
      </c>
      <c r="H106" s="88"/>
      <c r="I106" s="22">
        <v>30</v>
      </c>
      <c r="J106" s="82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117</v>
      </c>
      <c r="C107" s="79">
        <f>+'17'!G107</f>
        <v>0</v>
      </c>
      <c r="D107" s="87">
        <v>0</v>
      </c>
      <c r="E107" s="47">
        <f t="shared" si="0"/>
        <v>0</v>
      </c>
      <c r="F107" s="87">
        <v>0</v>
      </c>
      <c r="G107" s="47">
        <f t="shared" si="11"/>
        <v>0</v>
      </c>
      <c r="H107" s="88"/>
      <c r="I107" s="22">
        <v>20</v>
      </c>
      <c r="J107" s="82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118</v>
      </c>
      <c r="C108" s="79">
        <f>+'17'!G108</f>
        <v>0</v>
      </c>
      <c r="D108" s="87">
        <v>0</v>
      </c>
      <c r="E108" s="47">
        <f t="shared" si="0"/>
        <v>0</v>
      </c>
      <c r="F108" s="87">
        <v>0</v>
      </c>
      <c r="G108" s="47">
        <f t="shared" si="11"/>
        <v>0</v>
      </c>
      <c r="H108" s="88"/>
      <c r="I108" s="20">
        <v>100</v>
      </c>
      <c r="J108" s="82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120</v>
      </c>
      <c r="C109" s="79">
        <f>+'17'!G109</f>
        <v>0</v>
      </c>
      <c r="D109" s="87">
        <v>0</v>
      </c>
      <c r="E109" s="47">
        <f t="shared" si="0"/>
        <v>0</v>
      </c>
      <c r="F109" s="87">
        <v>0</v>
      </c>
      <c r="G109" s="47">
        <f t="shared" si="11"/>
        <v>0</v>
      </c>
      <c r="H109" s="88"/>
      <c r="I109" s="20">
        <v>80</v>
      </c>
      <c r="J109" s="82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121</v>
      </c>
      <c r="C110" s="79">
        <f>+'17'!G110</f>
        <v>0</v>
      </c>
      <c r="D110" s="87">
        <v>0</v>
      </c>
      <c r="E110" s="47">
        <f t="shared" si="0"/>
        <v>0</v>
      </c>
      <c r="F110" s="87">
        <v>0</v>
      </c>
      <c r="G110" s="47">
        <f t="shared" si="11"/>
        <v>0</v>
      </c>
      <c r="H110" s="88"/>
      <c r="I110" s="20">
        <v>60</v>
      </c>
      <c r="J110" s="82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122</v>
      </c>
      <c r="C111" s="79">
        <f>+'17'!G111</f>
        <v>0</v>
      </c>
      <c r="D111" s="87">
        <v>0</v>
      </c>
      <c r="E111" s="47">
        <f t="shared" si="0"/>
        <v>0</v>
      </c>
      <c r="F111" s="87">
        <v>0</v>
      </c>
      <c r="G111" s="47">
        <f t="shared" si="11"/>
        <v>0</v>
      </c>
      <c r="H111" s="88"/>
      <c r="I111" s="20">
        <v>35</v>
      </c>
      <c r="J111" s="82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123</v>
      </c>
      <c r="C112" s="79">
        <f>+'17'!G112</f>
        <v>0</v>
      </c>
      <c r="D112" s="87">
        <v>0</v>
      </c>
      <c r="E112" s="47">
        <f t="shared" si="0"/>
        <v>0</v>
      </c>
      <c r="F112" s="87">
        <v>0</v>
      </c>
      <c r="G112" s="47">
        <f t="shared" si="11"/>
        <v>0</v>
      </c>
      <c r="H112" s="88"/>
      <c r="I112" s="20">
        <v>35</v>
      </c>
      <c r="J112" s="82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124</v>
      </c>
      <c r="C113" s="79">
        <f>+'17'!G113</f>
        <v>0</v>
      </c>
      <c r="D113" s="87">
        <v>0</v>
      </c>
      <c r="E113" s="47">
        <f t="shared" si="0"/>
        <v>0</v>
      </c>
      <c r="F113" s="87">
        <v>0</v>
      </c>
      <c r="G113" s="47">
        <f t="shared" si="11"/>
        <v>0</v>
      </c>
      <c r="H113" s="88"/>
      <c r="I113" s="20">
        <v>35</v>
      </c>
      <c r="J113" s="82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125</v>
      </c>
      <c r="C114" s="79">
        <f>+'17'!G114</f>
        <v>0</v>
      </c>
      <c r="D114" s="87">
        <v>0</v>
      </c>
      <c r="E114" s="47">
        <f t="shared" si="0"/>
        <v>0</v>
      </c>
      <c r="F114" s="87">
        <v>0</v>
      </c>
      <c r="G114" s="47">
        <f t="shared" si="11"/>
        <v>0</v>
      </c>
      <c r="H114" s="88"/>
      <c r="I114" s="20">
        <v>35</v>
      </c>
      <c r="J114" s="82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126</v>
      </c>
      <c r="C115" s="79">
        <f>+'17'!G115</f>
        <v>0</v>
      </c>
      <c r="D115" s="87">
        <v>0</v>
      </c>
      <c r="E115" s="47">
        <f t="shared" si="0"/>
        <v>0</v>
      </c>
      <c r="F115" s="87">
        <v>0</v>
      </c>
      <c r="G115" s="47">
        <f t="shared" si="11"/>
        <v>0</v>
      </c>
      <c r="H115" s="88"/>
      <c r="I115" s="20">
        <v>35</v>
      </c>
      <c r="J115" s="82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127</v>
      </c>
      <c r="C116" s="79">
        <f>+'17'!G116</f>
        <v>0</v>
      </c>
      <c r="D116" s="87">
        <v>0</v>
      </c>
      <c r="E116" s="47">
        <f t="shared" si="0"/>
        <v>0</v>
      </c>
      <c r="F116" s="87">
        <v>0</v>
      </c>
      <c r="G116" s="47">
        <f t="shared" si="11"/>
        <v>0</v>
      </c>
      <c r="H116" s="88"/>
      <c r="I116" s="20">
        <v>30</v>
      </c>
      <c r="J116" s="82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128</v>
      </c>
      <c r="C117" s="79">
        <f>+'17'!G117</f>
        <v>0</v>
      </c>
      <c r="D117" s="87">
        <v>0</v>
      </c>
      <c r="E117" s="47">
        <f t="shared" si="0"/>
        <v>0</v>
      </c>
      <c r="F117" s="87">
        <v>0</v>
      </c>
      <c r="G117" s="47">
        <f t="shared" si="11"/>
        <v>0</v>
      </c>
      <c r="H117" s="88"/>
      <c r="I117" s="20">
        <v>30</v>
      </c>
      <c r="J117" s="82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129</v>
      </c>
      <c r="C118" s="79">
        <f>+'17'!G118</f>
        <v>0</v>
      </c>
      <c r="D118" s="87">
        <v>0</v>
      </c>
      <c r="E118" s="47">
        <f t="shared" si="0"/>
        <v>0</v>
      </c>
      <c r="F118" s="87">
        <v>0</v>
      </c>
      <c r="G118" s="47">
        <f t="shared" si="11"/>
        <v>0</v>
      </c>
      <c r="H118" s="88"/>
      <c r="I118" s="20">
        <v>30</v>
      </c>
      <c r="J118" s="82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130</v>
      </c>
      <c r="C119" s="79">
        <f>+'17'!G119</f>
        <v>0</v>
      </c>
      <c r="D119" s="87">
        <v>0</v>
      </c>
      <c r="E119" s="47">
        <f t="shared" si="0"/>
        <v>0</v>
      </c>
      <c r="F119" s="87">
        <v>0</v>
      </c>
      <c r="G119" s="47">
        <f t="shared" si="11"/>
        <v>0</v>
      </c>
      <c r="H119" s="88"/>
      <c r="I119" s="20">
        <v>30</v>
      </c>
      <c r="J119" s="82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131</v>
      </c>
      <c r="C120" s="79">
        <f>+'17'!G120</f>
        <v>0</v>
      </c>
      <c r="D120" s="87">
        <v>0</v>
      </c>
      <c r="E120" s="47">
        <f t="shared" si="0"/>
        <v>0</v>
      </c>
      <c r="F120" s="87">
        <v>0</v>
      </c>
      <c r="G120" s="47">
        <f t="shared" si="11"/>
        <v>0</v>
      </c>
      <c r="H120" s="88"/>
      <c r="I120" s="20">
        <v>30</v>
      </c>
      <c r="J120" s="82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132</v>
      </c>
      <c r="C121" s="79">
        <f>+'17'!G121</f>
        <v>0</v>
      </c>
      <c r="D121" s="87">
        <v>0</v>
      </c>
      <c r="E121" s="47">
        <f t="shared" si="0"/>
        <v>0</v>
      </c>
      <c r="F121" s="87">
        <v>0</v>
      </c>
      <c r="G121" s="47">
        <f t="shared" si="11"/>
        <v>0</v>
      </c>
      <c r="H121" s="88"/>
      <c r="I121" s="20">
        <v>30</v>
      </c>
      <c r="J121" s="82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133</v>
      </c>
      <c r="C122" s="79">
        <f>+'17'!G122</f>
        <v>0</v>
      </c>
      <c r="D122" s="87">
        <v>0</v>
      </c>
      <c r="E122" s="47">
        <f t="shared" si="0"/>
        <v>0</v>
      </c>
      <c r="F122" s="87">
        <v>0</v>
      </c>
      <c r="G122" s="47">
        <f t="shared" si="11"/>
        <v>0</v>
      </c>
      <c r="H122" s="88"/>
      <c r="I122" s="20">
        <v>40</v>
      </c>
      <c r="J122" s="82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134</v>
      </c>
      <c r="C123" s="79">
        <f>+'17'!G123</f>
        <v>0</v>
      </c>
      <c r="D123" s="87">
        <v>0</v>
      </c>
      <c r="E123" s="47">
        <f t="shared" si="0"/>
        <v>0</v>
      </c>
      <c r="F123" s="87">
        <v>0</v>
      </c>
      <c r="G123" s="47">
        <f t="shared" si="11"/>
        <v>0</v>
      </c>
      <c r="H123" s="88"/>
      <c r="I123" s="20">
        <v>35</v>
      </c>
      <c r="J123" s="82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135</v>
      </c>
      <c r="C124" s="79">
        <f>+'17'!G124</f>
        <v>0</v>
      </c>
      <c r="D124" s="87">
        <v>0</v>
      </c>
      <c r="E124" s="47">
        <f t="shared" si="0"/>
        <v>0</v>
      </c>
      <c r="F124" s="87">
        <v>0</v>
      </c>
      <c r="G124" s="47">
        <f t="shared" si="11"/>
        <v>0</v>
      </c>
      <c r="H124" s="88"/>
      <c r="I124" s="20">
        <v>40</v>
      </c>
      <c r="J124" s="82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136</v>
      </c>
      <c r="C125" s="79">
        <f>+'17'!G125</f>
        <v>0</v>
      </c>
      <c r="D125" s="87">
        <v>0</v>
      </c>
      <c r="E125" s="47">
        <f t="shared" si="0"/>
        <v>0</v>
      </c>
      <c r="F125" s="87">
        <v>0</v>
      </c>
      <c r="G125" s="47">
        <f t="shared" si="11"/>
        <v>0</v>
      </c>
      <c r="H125" s="88"/>
      <c r="I125" s="20">
        <v>40</v>
      </c>
      <c r="J125" s="82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137</v>
      </c>
      <c r="C126" s="79">
        <f>+'17'!G126</f>
        <v>0</v>
      </c>
      <c r="D126" s="87">
        <v>0</v>
      </c>
      <c r="E126" s="47">
        <f t="shared" ref="E126:E189" si="13">C126+D126</f>
        <v>0</v>
      </c>
      <c r="F126" s="87">
        <v>0</v>
      </c>
      <c r="G126" s="47">
        <f t="shared" si="11"/>
        <v>0</v>
      </c>
      <c r="H126" s="88"/>
      <c r="I126" s="20">
        <v>30</v>
      </c>
      <c r="J126" s="82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138</v>
      </c>
      <c r="C127" s="79">
        <f>+'17'!G127</f>
        <v>0</v>
      </c>
      <c r="D127" s="87">
        <v>0</v>
      </c>
      <c r="E127" s="47">
        <f t="shared" si="13"/>
        <v>0</v>
      </c>
      <c r="F127" s="87">
        <v>0</v>
      </c>
      <c r="G127" s="47">
        <f t="shared" si="11"/>
        <v>0</v>
      </c>
      <c r="H127" s="88"/>
      <c r="I127" s="20">
        <v>40</v>
      </c>
      <c r="J127" s="82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139</v>
      </c>
      <c r="C128" s="79">
        <f>+'17'!G128</f>
        <v>74</v>
      </c>
      <c r="D128" s="87">
        <v>0</v>
      </c>
      <c r="E128" s="47">
        <f t="shared" si="13"/>
        <v>74</v>
      </c>
      <c r="F128" s="87">
        <v>0</v>
      </c>
      <c r="G128" s="47">
        <f t="shared" si="11"/>
        <v>74</v>
      </c>
      <c r="H128" s="88"/>
      <c r="I128" s="20">
        <v>10</v>
      </c>
      <c r="J128" s="82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140</v>
      </c>
      <c r="C129" s="79">
        <f>+'17'!G129</f>
        <v>0</v>
      </c>
      <c r="D129" s="87">
        <v>0</v>
      </c>
      <c r="E129" s="47">
        <f t="shared" si="13"/>
        <v>0</v>
      </c>
      <c r="F129" s="87">
        <v>0</v>
      </c>
      <c r="G129" s="47">
        <f t="shared" si="11"/>
        <v>0</v>
      </c>
      <c r="H129" s="88"/>
      <c r="I129" s="20">
        <v>35</v>
      </c>
      <c r="J129" s="82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141</v>
      </c>
      <c r="C130" s="79">
        <f>+'17'!G130</f>
        <v>0</v>
      </c>
      <c r="D130" s="87">
        <v>0</v>
      </c>
      <c r="E130" s="47">
        <f t="shared" si="13"/>
        <v>0</v>
      </c>
      <c r="F130" s="87">
        <v>0</v>
      </c>
      <c r="G130" s="47">
        <f t="shared" si="11"/>
        <v>0</v>
      </c>
      <c r="H130" s="88"/>
      <c r="I130" s="20">
        <v>40</v>
      </c>
      <c r="J130" s="82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142</v>
      </c>
      <c r="C131" s="79">
        <f>+'17'!G131</f>
        <v>0</v>
      </c>
      <c r="D131" s="87">
        <v>0</v>
      </c>
      <c r="E131" s="47">
        <f t="shared" si="13"/>
        <v>0</v>
      </c>
      <c r="F131" s="87">
        <v>0</v>
      </c>
      <c r="G131" s="47">
        <f t="shared" si="11"/>
        <v>0</v>
      </c>
      <c r="H131" s="88"/>
      <c r="I131" s="20">
        <v>50</v>
      </c>
      <c r="J131" s="82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143</v>
      </c>
      <c r="C132" s="79">
        <f>+'17'!G132</f>
        <v>0</v>
      </c>
      <c r="D132" s="87">
        <v>0</v>
      </c>
      <c r="E132" s="47">
        <f t="shared" si="13"/>
        <v>0</v>
      </c>
      <c r="F132" s="87">
        <v>0</v>
      </c>
      <c r="G132" s="47">
        <f t="shared" si="11"/>
        <v>0</v>
      </c>
      <c r="H132" s="88"/>
      <c r="I132" s="20">
        <v>55</v>
      </c>
      <c r="J132" s="82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144</v>
      </c>
      <c r="C133" s="79">
        <f>+'17'!G133</f>
        <v>0</v>
      </c>
      <c r="D133" s="87">
        <v>0</v>
      </c>
      <c r="E133" s="47">
        <f t="shared" si="13"/>
        <v>0</v>
      </c>
      <c r="F133" s="87">
        <v>0</v>
      </c>
      <c r="G133" s="47">
        <f t="shared" si="11"/>
        <v>0</v>
      </c>
      <c r="H133" s="88"/>
      <c r="I133" s="20">
        <v>55</v>
      </c>
      <c r="J133" s="82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145</v>
      </c>
      <c r="C134" s="79">
        <f>+'17'!G134</f>
        <v>0</v>
      </c>
      <c r="D134" s="87">
        <v>0</v>
      </c>
      <c r="E134" s="47">
        <f t="shared" si="13"/>
        <v>0</v>
      </c>
      <c r="F134" s="87">
        <v>0</v>
      </c>
      <c r="G134" s="47">
        <f t="shared" si="11"/>
        <v>0</v>
      </c>
      <c r="H134" s="88"/>
      <c r="I134" s="20">
        <v>45</v>
      </c>
      <c r="J134" s="82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5.5" x14ac:dyDescent="0.55000000000000004">
      <c r="A135" s="10">
        <v>131</v>
      </c>
      <c r="B135" s="19" t="s">
        <v>146</v>
      </c>
      <c r="C135" s="79">
        <f>+'17'!G135</f>
        <v>0</v>
      </c>
      <c r="D135" s="87">
        <v>0</v>
      </c>
      <c r="E135" s="47">
        <f t="shared" si="13"/>
        <v>0</v>
      </c>
      <c r="F135" s="87">
        <v>0</v>
      </c>
      <c r="G135" s="47">
        <f t="shared" si="11"/>
        <v>0</v>
      </c>
      <c r="H135" s="88"/>
      <c r="I135" s="20">
        <v>45</v>
      </c>
      <c r="J135" s="82">
        <f t="shared" si="12"/>
        <v>0</v>
      </c>
      <c r="K135" s="17" t="s">
        <v>16</v>
      </c>
      <c r="L135" s="18">
        <v>0</v>
      </c>
      <c r="M135" s="23">
        <f t="shared" ref="M135:M198" si="14">SUM(J135-L135)</f>
        <v>0</v>
      </c>
    </row>
    <row r="136" spans="1:13" ht="25.5" x14ac:dyDescent="0.55000000000000004">
      <c r="A136" s="10">
        <v>132</v>
      </c>
      <c r="B136" s="19" t="s">
        <v>147</v>
      </c>
      <c r="C136" s="79">
        <f>+'17'!G136</f>
        <v>0</v>
      </c>
      <c r="D136" s="87">
        <v>0</v>
      </c>
      <c r="E136" s="47">
        <f t="shared" si="13"/>
        <v>0</v>
      </c>
      <c r="F136" s="87">
        <v>0</v>
      </c>
      <c r="G136" s="47">
        <f t="shared" si="11"/>
        <v>0</v>
      </c>
      <c r="H136" s="88"/>
      <c r="I136" s="20">
        <v>55</v>
      </c>
      <c r="J136" s="82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148</v>
      </c>
      <c r="C137" s="79">
        <f>+'17'!G137</f>
        <v>0</v>
      </c>
      <c r="D137" s="87">
        <v>0</v>
      </c>
      <c r="E137" s="47">
        <f t="shared" si="13"/>
        <v>0</v>
      </c>
      <c r="F137" s="87">
        <v>0</v>
      </c>
      <c r="G137" s="47">
        <f t="shared" si="11"/>
        <v>0</v>
      </c>
      <c r="H137" s="88"/>
      <c r="I137" s="20">
        <v>45</v>
      </c>
      <c r="J137" s="82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149</v>
      </c>
      <c r="C138" s="79">
        <f>+'17'!G138</f>
        <v>0</v>
      </c>
      <c r="D138" s="87">
        <v>0</v>
      </c>
      <c r="E138" s="47">
        <f t="shared" si="13"/>
        <v>0</v>
      </c>
      <c r="F138" s="87">
        <v>0</v>
      </c>
      <c r="G138" s="47">
        <f t="shared" si="11"/>
        <v>0</v>
      </c>
      <c r="H138" s="88"/>
      <c r="I138" s="20">
        <v>45</v>
      </c>
      <c r="J138" s="82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150</v>
      </c>
      <c r="C139" s="79">
        <f>+'17'!G139</f>
        <v>0</v>
      </c>
      <c r="D139" s="87">
        <v>0</v>
      </c>
      <c r="E139" s="47">
        <f t="shared" si="13"/>
        <v>0</v>
      </c>
      <c r="F139" s="87">
        <v>0</v>
      </c>
      <c r="G139" s="47">
        <f t="shared" si="11"/>
        <v>0</v>
      </c>
      <c r="H139" s="88"/>
      <c r="I139" s="20">
        <v>45</v>
      </c>
      <c r="J139" s="82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151</v>
      </c>
      <c r="C140" s="79">
        <f>+'17'!G140</f>
        <v>0</v>
      </c>
      <c r="D140" s="87">
        <v>0</v>
      </c>
      <c r="E140" s="47">
        <f t="shared" si="13"/>
        <v>0</v>
      </c>
      <c r="F140" s="87">
        <v>0</v>
      </c>
      <c r="G140" s="47">
        <f t="shared" si="11"/>
        <v>0</v>
      </c>
      <c r="H140" s="88"/>
      <c r="I140" s="20">
        <v>45</v>
      </c>
      <c r="J140" s="82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152</v>
      </c>
      <c r="C141" s="79">
        <f>+'17'!G141</f>
        <v>0</v>
      </c>
      <c r="D141" s="87">
        <v>0</v>
      </c>
      <c r="E141" s="47">
        <f t="shared" si="13"/>
        <v>0</v>
      </c>
      <c r="F141" s="87">
        <v>0</v>
      </c>
      <c r="G141" s="47">
        <f t="shared" si="11"/>
        <v>0</v>
      </c>
      <c r="H141" s="88"/>
      <c r="I141" s="20">
        <v>45</v>
      </c>
      <c r="J141" s="82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153</v>
      </c>
      <c r="C142" s="79">
        <f>+'17'!G142</f>
        <v>0</v>
      </c>
      <c r="D142" s="87">
        <v>0</v>
      </c>
      <c r="E142" s="47">
        <f t="shared" si="13"/>
        <v>0</v>
      </c>
      <c r="F142" s="87">
        <v>0</v>
      </c>
      <c r="G142" s="47">
        <f t="shared" si="11"/>
        <v>0</v>
      </c>
      <c r="H142" s="88"/>
      <c r="I142" s="20">
        <v>45</v>
      </c>
      <c r="J142" s="82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154</v>
      </c>
      <c r="C143" s="79">
        <f>+'17'!G143</f>
        <v>0</v>
      </c>
      <c r="D143" s="87">
        <v>0</v>
      </c>
      <c r="E143" s="47">
        <f t="shared" si="13"/>
        <v>0</v>
      </c>
      <c r="F143" s="87">
        <v>0</v>
      </c>
      <c r="G143" s="47">
        <f t="shared" si="11"/>
        <v>0</v>
      </c>
      <c r="H143" s="88"/>
      <c r="I143" s="20">
        <v>120</v>
      </c>
      <c r="J143" s="82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155</v>
      </c>
      <c r="C144" s="79">
        <f>+'17'!G144</f>
        <v>0</v>
      </c>
      <c r="D144" s="87">
        <v>0</v>
      </c>
      <c r="E144" s="47">
        <f t="shared" si="13"/>
        <v>0</v>
      </c>
      <c r="F144" s="87">
        <v>0</v>
      </c>
      <c r="G144" s="47">
        <f t="shared" si="11"/>
        <v>0</v>
      </c>
      <c r="H144" s="88"/>
      <c r="I144" s="20">
        <v>120</v>
      </c>
      <c r="J144" s="82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156</v>
      </c>
      <c r="C145" s="79">
        <f>+'17'!G145</f>
        <v>0</v>
      </c>
      <c r="D145" s="87">
        <v>0</v>
      </c>
      <c r="E145" s="47">
        <f t="shared" si="13"/>
        <v>0</v>
      </c>
      <c r="F145" s="87">
        <v>0</v>
      </c>
      <c r="G145" s="47">
        <f t="shared" si="11"/>
        <v>0</v>
      </c>
      <c r="H145" s="88"/>
      <c r="I145" s="20">
        <v>120</v>
      </c>
      <c r="J145" s="82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157</v>
      </c>
      <c r="C146" s="79">
        <f>+'17'!G146</f>
        <v>0</v>
      </c>
      <c r="D146" s="87">
        <v>0</v>
      </c>
      <c r="E146" s="47">
        <f t="shared" si="13"/>
        <v>0</v>
      </c>
      <c r="F146" s="87">
        <v>0</v>
      </c>
      <c r="G146" s="47">
        <f t="shared" si="11"/>
        <v>0</v>
      </c>
      <c r="H146" s="88"/>
      <c r="I146" s="20">
        <v>120</v>
      </c>
      <c r="J146" s="82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158</v>
      </c>
      <c r="C147" s="79">
        <f>+'17'!G147</f>
        <v>0</v>
      </c>
      <c r="D147" s="87">
        <v>0</v>
      </c>
      <c r="E147" s="47">
        <f t="shared" si="13"/>
        <v>0</v>
      </c>
      <c r="F147" s="87">
        <v>0</v>
      </c>
      <c r="G147" s="47">
        <f t="shared" si="11"/>
        <v>0</v>
      </c>
      <c r="H147" s="88"/>
      <c r="I147" s="20">
        <v>185</v>
      </c>
      <c r="J147" s="82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159</v>
      </c>
      <c r="C148" s="79">
        <f>+'17'!G148</f>
        <v>0</v>
      </c>
      <c r="D148" s="87">
        <v>0</v>
      </c>
      <c r="E148" s="47">
        <f t="shared" si="13"/>
        <v>0</v>
      </c>
      <c r="F148" s="87">
        <v>0</v>
      </c>
      <c r="G148" s="47">
        <f t="shared" si="11"/>
        <v>0</v>
      </c>
      <c r="H148" s="88"/>
      <c r="I148" s="20">
        <v>185</v>
      </c>
      <c r="J148" s="82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160</v>
      </c>
      <c r="C149" s="79">
        <f>+'17'!G149</f>
        <v>0</v>
      </c>
      <c r="D149" s="87">
        <v>0</v>
      </c>
      <c r="E149" s="47">
        <f t="shared" si="13"/>
        <v>0</v>
      </c>
      <c r="F149" s="87">
        <v>0</v>
      </c>
      <c r="G149" s="47">
        <f t="shared" si="11"/>
        <v>0</v>
      </c>
      <c r="H149" s="88"/>
      <c r="I149" s="20">
        <v>185</v>
      </c>
      <c r="J149" s="82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161</v>
      </c>
      <c r="C150" s="79">
        <f>+'17'!G150</f>
        <v>0</v>
      </c>
      <c r="D150" s="87">
        <v>0</v>
      </c>
      <c r="E150" s="47">
        <f t="shared" si="13"/>
        <v>0</v>
      </c>
      <c r="F150" s="87">
        <v>0</v>
      </c>
      <c r="G150" s="47">
        <f t="shared" si="11"/>
        <v>0</v>
      </c>
      <c r="H150" s="88"/>
      <c r="I150" s="20">
        <v>185</v>
      </c>
      <c r="J150" s="82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5.5" x14ac:dyDescent="0.55000000000000004">
      <c r="A151" s="10">
        <v>147</v>
      </c>
      <c r="B151" s="19" t="s">
        <v>279</v>
      </c>
      <c r="C151" s="79">
        <f>+'17'!G151</f>
        <v>0</v>
      </c>
      <c r="D151" s="87">
        <v>0</v>
      </c>
      <c r="E151" s="47">
        <f t="shared" si="13"/>
        <v>0</v>
      </c>
      <c r="F151" s="87">
        <v>0</v>
      </c>
      <c r="G151" s="47">
        <f t="shared" si="11"/>
        <v>0</v>
      </c>
      <c r="H151" s="88"/>
      <c r="I151" s="20">
        <v>150</v>
      </c>
      <c r="J151" s="82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280</v>
      </c>
      <c r="C152" s="79">
        <f>+'17'!G152</f>
        <v>1</v>
      </c>
      <c r="D152" s="87">
        <v>0</v>
      </c>
      <c r="E152" s="47">
        <f t="shared" si="13"/>
        <v>1</v>
      </c>
      <c r="F152" s="87">
        <v>0</v>
      </c>
      <c r="G152" s="47">
        <f t="shared" si="11"/>
        <v>1</v>
      </c>
      <c r="H152" s="88"/>
      <c r="I152" s="20">
        <v>150</v>
      </c>
      <c r="J152" s="82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5.5" x14ac:dyDescent="0.55000000000000004">
      <c r="A153" s="10">
        <v>149</v>
      </c>
      <c r="B153" s="19" t="s">
        <v>281</v>
      </c>
      <c r="C153" s="79">
        <f>+'17'!G153</f>
        <v>0</v>
      </c>
      <c r="D153" s="87">
        <v>0</v>
      </c>
      <c r="E153" s="47">
        <f t="shared" si="13"/>
        <v>0</v>
      </c>
      <c r="F153" s="87">
        <v>0</v>
      </c>
      <c r="G153" s="47">
        <f t="shared" si="11"/>
        <v>0</v>
      </c>
      <c r="H153" s="88"/>
      <c r="I153" s="20">
        <v>150</v>
      </c>
      <c r="J153" s="82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282</v>
      </c>
      <c r="C154" s="79">
        <f>+'17'!G154</f>
        <v>0</v>
      </c>
      <c r="D154" s="87">
        <v>0</v>
      </c>
      <c r="E154" s="47">
        <f t="shared" si="13"/>
        <v>0</v>
      </c>
      <c r="F154" s="87">
        <v>0</v>
      </c>
      <c r="G154" s="47">
        <f t="shared" si="11"/>
        <v>0</v>
      </c>
      <c r="H154" s="88"/>
      <c r="I154" s="20">
        <v>150</v>
      </c>
      <c r="J154" s="82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166</v>
      </c>
      <c r="C155" s="79">
        <f>+'17'!G155</f>
        <v>0</v>
      </c>
      <c r="D155" s="87">
        <v>0</v>
      </c>
      <c r="E155" s="47">
        <f t="shared" si="13"/>
        <v>0</v>
      </c>
      <c r="F155" s="87">
        <v>0</v>
      </c>
      <c r="G155" s="47">
        <f t="shared" si="11"/>
        <v>0</v>
      </c>
      <c r="H155" s="88"/>
      <c r="I155" s="20">
        <v>185</v>
      </c>
      <c r="J155" s="82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167</v>
      </c>
      <c r="C156" s="79">
        <f>+'17'!G156</f>
        <v>0</v>
      </c>
      <c r="D156" s="87">
        <v>0</v>
      </c>
      <c r="E156" s="47">
        <f t="shared" si="13"/>
        <v>0</v>
      </c>
      <c r="F156" s="87">
        <v>0</v>
      </c>
      <c r="G156" s="47">
        <f t="shared" si="11"/>
        <v>0</v>
      </c>
      <c r="H156" s="88"/>
      <c r="I156" s="20">
        <v>185</v>
      </c>
      <c r="J156" s="82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168</v>
      </c>
      <c r="C157" s="79">
        <f>+'17'!G157</f>
        <v>0</v>
      </c>
      <c r="D157" s="87">
        <v>0</v>
      </c>
      <c r="E157" s="47">
        <f t="shared" si="13"/>
        <v>0</v>
      </c>
      <c r="F157" s="87">
        <v>0</v>
      </c>
      <c r="G157" s="47">
        <f t="shared" si="11"/>
        <v>0</v>
      </c>
      <c r="H157" s="88"/>
      <c r="I157" s="20">
        <v>185</v>
      </c>
      <c r="J157" s="82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169</v>
      </c>
      <c r="C158" s="79">
        <f>+'17'!G158</f>
        <v>0</v>
      </c>
      <c r="D158" s="87">
        <v>0</v>
      </c>
      <c r="E158" s="47">
        <f t="shared" si="13"/>
        <v>0</v>
      </c>
      <c r="F158" s="87">
        <v>0</v>
      </c>
      <c r="G158" s="47">
        <f t="shared" si="11"/>
        <v>0</v>
      </c>
      <c r="H158" s="88"/>
      <c r="I158" s="20">
        <v>185</v>
      </c>
      <c r="J158" s="82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170</v>
      </c>
      <c r="C159" s="79">
        <f>+'17'!G159</f>
        <v>0</v>
      </c>
      <c r="D159" s="87">
        <v>0</v>
      </c>
      <c r="E159" s="47">
        <f t="shared" si="13"/>
        <v>0</v>
      </c>
      <c r="F159" s="87">
        <v>0</v>
      </c>
      <c r="G159" s="47">
        <f t="shared" si="11"/>
        <v>0</v>
      </c>
      <c r="H159" s="88"/>
      <c r="I159" s="20">
        <v>135</v>
      </c>
      <c r="J159" s="82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171</v>
      </c>
      <c r="C160" s="79">
        <f>+'17'!G160</f>
        <v>0</v>
      </c>
      <c r="D160" s="87">
        <v>0</v>
      </c>
      <c r="E160" s="47">
        <f t="shared" si="13"/>
        <v>0</v>
      </c>
      <c r="F160" s="87">
        <v>0</v>
      </c>
      <c r="G160" s="47">
        <f t="shared" si="11"/>
        <v>0</v>
      </c>
      <c r="H160" s="88"/>
      <c r="I160" s="20">
        <v>90</v>
      </c>
      <c r="J160" s="82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172</v>
      </c>
      <c r="C161" s="79">
        <f>+'17'!G161</f>
        <v>0</v>
      </c>
      <c r="D161" s="87">
        <v>0</v>
      </c>
      <c r="E161" s="47">
        <f t="shared" si="13"/>
        <v>0</v>
      </c>
      <c r="F161" s="87">
        <v>0</v>
      </c>
      <c r="G161" s="47">
        <f t="shared" si="11"/>
        <v>0</v>
      </c>
      <c r="H161" s="88"/>
      <c r="I161" s="20">
        <v>90</v>
      </c>
      <c r="J161" s="82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173</v>
      </c>
      <c r="C162" s="79">
        <f>+'17'!G162</f>
        <v>0</v>
      </c>
      <c r="D162" s="87">
        <v>0</v>
      </c>
      <c r="E162" s="47">
        <f t="shared" si="13"/>
        <v>0</v>
      </c>
      <c r="F162" s="87">
        <v>0</v>
      </c>
      <c r="G162" s="47">
        <f t="shared" si="11"/>
        <v>0</v>
      </c>
      <c r="H162" s="88"/>
      <c r="I162" s="20">
        <v>90</v>
      </c>
      <c r="J162" s="82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174</v>
      </c>
      <c r="C163" s="79">
        <f>+'17'!G163</f>
        <v>0</v>
      </c>
      <c r="D163" s="87">
        <v>0</v>
      </c>
      <c r="E163" s="47">
        <f t="shared" si="13"/>
        <v>0</v>
      </c>
      <c r="F163" s="87">
        <v>0</v>
      </c>
      <c r="G163" s="47">
        <f t="shared" si="11"/>
        <v>0</v>
      </c>
      <c r="H163" s="88"/>
      <c r="I163" s="20">
        <v>90</v>
      </c>
      <c r="J163" s="82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175</v>
      </c>
      <c r="C164" s="79">
        <f>+'17'!G164</f>
        <v>0</v>
      </c>
      <c r="D164" s="87">
        <v>0</v>
      </c>
      <c r="E164" s="47">
        <f t="shared" si="13"/>
        <v>0</v>
      </c>
      <c r="F164" s="87">
        <v>0</v>
      </c>
      <c r="G164" s="47">
        <f t="shared" si="11"/>
        <v>0</v>
      </c>
      <c r="H164" s="88"/>
      <c r="I164" s="20">
        <v>25</v>
      </c>
      <c r="J164" s="82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176</v>
      </c>
      <c r="C165" s="79">
        <f>+'17'!G165</f>
        <v>0</v>
      </c>
      <c r="D165" s="87">
        <v>0</v>
      </c>
      <c r="E165" s="47">
        <f t="shared" si="13"/>
        <v>0</v>
      </c>
      <c r="F165" s="87">
        <v>0</v>
      </c>
      <c r="G165" s="47">
        <f t="shared" ref="G165:G227" si="15">+E165-F165-H165</f>
        <v>0</v>
      </c>
      <c r="H165" s="88"/>
      <c r="I165" s="20">
        <v>50</v>
      </c>
      <c r="J165" s="82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177</v>
      </c>
      <c r="C166" s="79">
        <f>+'17'!G166</f>
        <v>0</v>
      </c>
      <c r="D166" s="87">
        <v>0</v>
      </c>
      <c r="E166" s="47">
        <f t="shared" si="13"/>
        <v>0</v>
      </c>
      <c r="F166" s="87">
        <v>0</v>
      </c>
      <c r="G166" s="47">
        <f t="shared" si="15"/>
        <v>0</v>
      </c>
      <c r="H166" s="88"/>
      <c r="I166" s="20">
        <v>50</v>
      </c>
      <c r="J166" s="82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178</v>
      </c>
      <c r="C167" s="79">
        <f>+'17'!G167</f>
        <v>0</v>
      </c>
      <c r="D167" s="87">
        <v>0</v>
      </c>
      <c r="E167" s="47">
        <f t="shared" si="13"/>
        <v>0</v>
      </c>
      <c r="F167" s="87">
        <v>0</v>
      </c>
      <c r="G167" s="47">
        <f t="shared" si="15"/>
        <v>0</v>
      </c>
      <c r="H167" s="88"/>
      <c r="I167" s="20">
        <v>50</v>
      </c>
      <c r="J167" s="82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179</v>
      </c>
      <c r="C168" s="79">
        <f>+'17'!G168</f>
        <v>0</v>
      </c>
      <c r="D168" s="87">
        <v>0</v>
      </c>
      <c r="E168" s="47">
        <f t="shared" si="13"/>
        <v>0</v>
      </c>
      <c r="F168" s="87">
        <v>0</v>
      </c>
      <c r="G168" s="47">
        <f t="shared" si="15"/>
        <v>0</v>
      </c>
      <c r="H168" s="88"/>
      <c r="I168" s="20">
        <v>50</v>
      </c>
      <c r="J168" s="82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180</v>
      </c>
      <c r="C169" s="79">
        <f>+'17'!G169</f>
        <v>40</v>
      </c>
      <c r="D169" s="87">
        <v>0</v>
      </c>
      <c r="E169" s="47">
        <f t="shared" si="13"/>
        <v>40</v>
      </c>
      <c r="F169" s="87">
        <v>0</v>
      </c>
      <c r="G169" s="47">
        <f t="shared" si="15"/>
        <v>40</v>
      </c>
      <c r="H169" s="88"/>
      <c r="I169" s="20">
        <v>55</v>
      </c>
      <c r="J169" s="82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181</v>
      </c>
      <c r="C170" s="79">
        <f>+'17'!G170</f>
        <v>0</v>
      </c>
      <c r="D170" s="87">
        <v>0</v>
      </c>
      <c r="E170" s="47">
        <f t="shared" si="13"/>
        <v>0</v>
      </c>
      <c r="F170" s="87">
        <v>0</v>
      </c>
      <c r="G170" s="47">
        <f t="shared" si="15"/>
        <v>0</v>
      </c>
      <c r="H170" s="88"/>
      <c r="I170" s="20">
        <v>85</v>
      </c>
      <c r="J170" s="82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182</v>
      </c>
      <c r="C171" s="79">
        <f>+'17'!G171</f>
        <v>6</v>
      </c>
      <c r="D171" s="87">
        <v>0</v>
      </c>
      <c r="E171" s="47">
        <f t="shared" si="13"/>
        <v>6</v>
      </c>
      <c r="F171" s="87">
        <v>0</v>
      </c>
      <c r="G171" s="47">
        <f t="shared" si="15"/>
        <v>6</v>
      </c>
      <c r="H171" s="88"/>
      <c r="I171" s="20">
        <v>80</v>
      </c>
      <c r="J171" s="82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183</v>
      </c>
      <c r="C172" s="79">
        <f>+'17'!G172</f>
        <v>0</v>
      </c>
      <c r="D172" s="87">
        <v>0</v>
      </c>
      <c r="E172" s="47">
        <f t="shared" si="13"/>
        <v>0</v>
      </c>
      <c r="F172" s="87">
        <v>0</v>
      </c>
      <c r="G172" s="47">
        <f t="shared" si="15"/>
        <v>0</v>
      </c>
      <c r="H172" s="88"/>
      <c r="I172" s="20">
        <v>40</v>
      </c>
      <c r="J172" s="82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184</v>
      </c>
      <c r="C173" s="79">
        <f>+'17'!G173</f>
        <v>0</v>
      </c>
      <c r="D173" s="87">
        <v>0</v>
      </c>
      <c r="E173" s="47">
        <f t="shared" si="13"/>
        <v>0</v>
      </c>
      <c r="F173" s="87">
        <v>0</v>
      </c>
      <c r="G173" s="47">
        <f t="shared" si="15"/>
        <v>0</v>
      </c>
      <c r="H173" s="88"/>
      <c r="I173" s="20">
        <v>120</v>
      </c>
      <c r="J173" s="82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185</v>
      </c>
      <c r="C174" s="79">
        <f>+'17'!G174</f>
        <v>0</v>
      </c>
      <c r="D174" s="87">
        <v>0</v>
      </c>
      <c r="E174" s="47">
        <f t="shared" si="13"/>
        <v>0</v>
      </c>
      <c r="F174" s="87">
        <v>0</v>
      </c>
      <c r="G174" s="47">
        <f t="shared" si="15"/>
        <v>0</v>
      </c>
      <c r="H174" s="88"/>
      <c r="I174" s="20">
        <v>120</v>
      </c>
      <c r="J174" s="82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186</v>
      </c>
      <c r="C175" s="79">
        <f>+'17'!G175</f>
        <v>0</v>
      </c>
      <c r="D175" s="87">
        <v>0</v>
      </c>
      <c r="E175" s="47">
        <f t="shared" si="13"/>
        <v>0</v>
      </c>
      <c r="F175" s="87">
        <v>0</v>
      </c>
      <c r="G175" s="47">
        <f t="shared" si="15"/>
        <v>0</v>
      </c>
      <c r="H175" s="88"/>
      <c r="I175" s="20">
        <v>55</v>
      </c>
      <c r="J175" s="82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187</v>
      </c>
      <c r="C176" s="79">
        <f>+'17'!G176</f>
        <v>0</v>
      </c>
      <c r="D176" s="87">
        <v>0</v>
      </c>
      <c r="E176" s="47">
        <f t="shared" si="13"/>
        <v>0</v>
      </c>
      <c r="F176" s="87">
        <v>0</v>
      </c>
      <c r="G176" s="47">
        <f t="shared" si="15"/>
        <v>0</v>
      </c>
      <c r="H176" s="88"/>
      <c r="I176" s="20">
        <v>50</v>
      </c>
      <c r="J176" s="82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188</v>
      </c>
      <c r="C177" s="79">
        <f>+'17'!G177</f>
        <v>0</v>
      </c>
      <c r="D177" s="87">
        <v>0</v>
      </c>
      <c r="E177" s="47">
        <f t="shared" si="13"/>
        <v>0</v>
      </c>
      <c r="F177" s="87">
        <v>0</v>
      </c>
      <c r="G177" s="47">
        <f t="shared" si="15"/>
        <v>0</v>
      </c>
      <c r="H177" s="88"/>
      <c r="I177" s="20">
        <v>50</v>
      </c>
      <c r="J177" s="82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189</v>
      </c>
      <c r="C178" s="79">
        <f>+'17'!G178</f>
        <v>0</v>
      </c>
      <c r="D178" s="87">
        <v>0</v>
      </c>
      <c r="E178" s="47">
        <f t="shared" si="13"/>
        <v>0</v>
      </c>
      <c r="F178" s="87">
        <v>0</v>
      </c>
      <c r="G178" s="47">
        <f t="shared" si="15"/>
        <v>0</v>
      </c>
      <c r="H178" s="88"/>
      <c r="I178" s="20">
        <v>120</v>
      </c>
      <c r="J178" s="82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190</v>
      </c>
      <c r="C179" s="79">
        <f>+'17'!G179</f>
        <v>0</v>
      </c>
      <c r="D179" s="87">
        <v>0</v>
      </c>
      <c r="E179" s="47">
        <f t="shared" si="13"/>
        <v>0</v>
      </c>
      <c r="F179" s="87">
        <v>0</v>
      </c>
      <c r="G179" s="47">
        <f t="shared" si="15"/>
        <v>0</v>
      </c>
      <c r="H179" s="88"/>
      <c r="I179" s="20">
        <v>120</v>
      </c>
      <c r="J179" s="82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191</v>
      </c>
      <c r="C180" s="79">
        <f>+'17'!G180</f>
        <v>0</v>
      </c>
      <c r="D180" s="87">
        <v>0</v>
      </c>
      <c r="E180" s="47">
        <f t="shared" si="13"/>
        <v>0</v>
      </c>
      <c r="F180" s="87">
        <v>0</v>
      </c>
      <c r="G180" s="47">
        <f t="shared" si="15"/>
        <v>0</v>
      </c>
      <c r="H180" s="88"/>
      <c r="I180" s="20">
        <v>10</v>
      </c>
      <c r="J180" s="82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192</v>
      </c>
      <c r="C181" s="79">
        <f>+'17'!G181</f>
        <v>0</v>
      </c>
      <c r="D181" s="87">
        <v>0</v>
      </c>
      <c r="E181" s="47">
        <f t="shared" si="13"/>
        <v>0</v>
      </c>
      <c r="F181" s="87">
        <v>0</v>
      </c>
      <c r="G181" s="47">
        <f t="shared" si="15"/>
        <v>0</v>
      </c>
      <c r="H181" s="88"/>
      <c r="I181" s="20">
        <v>35</v>
      </c>
      <c r="J181" s="82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193</v>
      </c>
      <c r="C182" s="79">
        <f>+'17'!G182</f>
        <v>0</v>
      </c>
      <c r="D182" s="87">
        <v>0</v>
      </c>
      <c r="E182" s="47">
        <f t="shared" si="13"/>
        <v>0</v>
      </c>
      <c r="F182" s="87">
        <v>0</v>
      </c>
      <c r="G182" s="47">
        <f t="shared" si="15"/>
        <v>0</v>
      </c>
      <c r="H182" s="88"/>
      <c r="I182" s="20">
        <v>10</v>
      </c>
      <c r="J182" s="82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194</v>
      </c>
      <c r="C183" s="79">
        <f>+'17'!G183</f>
        <v>0</v>
      </c>
      <c r="D183" s="87">
        <v>0</v>
      </c>
      <c r="E183" s="47">
        <f t="shared" si="13"/>
        <v>0</v>
      </c>
      <c r="F183" s="87">
        <v>0</v>
      </c>
      <c r="G183" s="47">
        <f t="shared" si="15"/>
        <v>0</v>
      </c>
      <c r="H183" s="88"/>
      <c r="I183" s="20">
        <v>10</v>
      </c>
      <c r="J183" s="82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195</v>
      </c>
      <c r="C184" s="79">
        <f>+'17'!G184</f>
        <v>0</v>
      </c>
      <c r="D184" s="87">
        <v>0</v>
      </c>
      <c r="E184" s="47">
        <f t="shared" si="13"/>
        <v>0</v>
      </c>
      <c r="F184" s="87">
        <v>0</v>
      </c>
      <c r="G184" s="47">
        <f t="shared" si="15"/>
        <v>0</v>
      </c>
      <c r="H184" s="88"/>
      <c r="I184" s="20">
        <v>10</v>
      </c>
      <c r="J184" s="82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196</v>
      </c>
      <c r="C185" s="79">
        <f>+'17'!G185</f>
        <v>0</v>
      </c>
      <c r="D185" s="87">
        <v>0</v>
      </c>
      <c r="E185" s="47">
        <f t="shared" si="13"/>
        <v>0</v>
      </c>
      <c r="F185" s="87">
        <v>0</v>
      </c>
      <c r="G185" s="47">
        <f t="shared" si="15"/>
        <v>0</v>
      </c>
      <c r="H185" s="88"/>
      <c r="I185" s="20">
        <v>10</v>
      </c>
      <c r="J185" s="82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197</v>
      </c>
      <c r="C186" s="79">
        <f>+'17'!G186</f>
        <v>0</v>
      </c>
      <c r="D186" s="87">
        <v>0</v>
      </c>
      <c r="E186" s="47">
        <f t="shared" si="13"/>
        <v>0</v>
      </c>
      <c r="F186" s="87">
        <v>0</v>
      </c>
      <c r="G186" s="47">
        <f t="shared" si="15"/>
        <v>0</v>
      </c>
      <c r="H186" s="88"/>
      <c r="I186" s="20">
        <v>10</v>
      </c>
      <c r="J186" s="82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198</v>
      </c>
      <c r="C187" s="79">
        <f>+'17'!G187</f>
        <v>0</v>
      </c>
      <c r="D187" s="87">
        <v>0</v>
      </c>
      <c r="E187" s="47">
        <f t="shared" si="13"/>
        <v>0</v>
      </c>
      <c r="F187" s="87">
        <v>0</v>
      </c>
      <c r="G187" s="47">
        <f t="shared" si="15"/>
        <v>0</v>
      </c>
      <c r="H187" s="88"/>
      <c r="I187" s="20">
        <v>25</v>
      </c>
      <c r="J187" s="82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249</v>
      </c>
      <c r="C188" s="79">
        <f>+'17'!G188</f>
        <v>0</v>
      </c>
      <c r="D188" s="87">
        <v>0</v>
      </c>
      <c r="E188" s="47">
        <f t="shared" si="13"/>
        <v>0</v>
      </c>
      <c r="F188" s="87">
        <v>0</v>
      </c>
      <c r="G188" s="47">
        <f t="shared" si="15"/>
        <v>0</v>
      </c>
      <c r="H188" s="88"/>
      <c r="I188" s="15">
        <v>50</v>
      </c>
      <c r="J188" s="82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250</v>
      </c>
      <c r="C189" s="79">
        <f>+'17'!G189</f>
        <v>0</v>
      </c>
      <c r="D189" s="87">
        <v>0</v>
      </c>
      <c r="E189" s="47">
        <f t="shared" si="13"/>
        <v>0</v>
      </c>
      <c r="F189" s="87">
        <v>0</v>
      </c>
      <c r="G189" s="47">
        <f t="shared" si="15"/>
        <v>0</v>
      </c>
      <c r="H189" s="88"/>
      <c r="I189" s="15">
        <v>10</v>
      </c>
      <c r="J189" s="82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251</v>
      </c>
      <c r="C190" s="79">
        <f>+'17'!G190</f>
        <v>0</v>
      </c>
      <c r="D190" s="87">
        <v>0</v>
      </c>
      <c r="E190" s="47">
        <f t="shared" ref="E190:E252" si="17">C190+D190</f>
        <v>0</v>
      </c>
      <c r="F190" s="87">
        <v>0</v>
      </c>
      <c r="G190" s="47">
        <f t="shared" si="15"/>
        <v>0</v>
      </c>
      <c r="H190" s="88"/>
      <c r="I190" s="15">
        <v>15</v>
      </c>
      <c r="J190" s="82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252</v>
      </c>
      <c r="C191" s="79">
        <f>+'17'!G191</f>
        <v>0</v>
      </c>
      <c r="D191" s="87">
        <v>0</v>
      </c>
      <c r="E191" s="47">
        <f t="shared" si="17"/>
        <v>0</v>
      </c>
      <c r="F191" s="87">
        <v>0</v>
      </c>
      <c r="G191" s="47">
        <f t="shared" si="15"/>
        <v>0</v>
      </c>
      <c r="H191" s="88"/>
      <c r="I191" s="15">
        <v>25</v>
      </c>
      <c r="J191" s="82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253</v>
      </c>
      <c r="C192" s="79">
        <f>+'17'!G192</f>
        <v>0</v>
      </c>
      <c r="D192" s="87">
        <v>0</v>
      </c>
      <c r="E192" s="47">
        <f t="shared" si="17"/>
        <v>0</v>
      </c>
      <c r="F192" s="87">
        <v>0</v>
      </c>
      <c r="G192" s="47">
        <f t="shared" si="15"/>
        <v>0</v>
      </c>
      <c r="H192" s="88"/>
      <c r="I192" s="15">
        <v>50</v>
      </c>
      <c r="J192" s="82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254</v>
      </c>
      <c r="C193" s="79">
        <f>+'17'!G193</f>
        <v>0</v>
      </c>
      <c r="D193" s="87">
        <v>0</v>
      </c>
      <c r="E193" s="47">
        <f t="shared" si="17"/>
        <v>0</v>
      </c>
      <c r="F193" s="87">
        <v>0</v>
      </c>
      <c r="G193" s="47">
        <f t="shared" si="15"/>
        <v>0</v>
      </c>
      <c r="H193" s="88"/>
      <c r="I193" s="15">
        <v>45</v>
      </c>
      <c r="J193" s="82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255</v>
      </c>
      <c r="C194" s="79">
        <f>+'17'!G194</f>
        <v>0</v>
      </c>
      <c r="D194" s="87">
        <v>0</v>
      </c>
      <c r="E194" s="47">
        <f t="shared" si="17"/>
        <v>0</v>
      </c>
      <c r="F194" s="87">
        <v>0</v>
      </c>
      <c r="G194" s="47">
        <f t="shared" si="15"/>
        <v>0</v>
      </c>
      <c r="H194" s="88"/>
      <c r="I194" s="15">
        <v>50</v>
      </c>
      <c r="J194" s="82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199</v>
      </c>
      <c r="C195" s="79">
        <f>+'17'!G195</f>
        <v>0</v>
      </c>
      <c r="D195" s="87">
        <v>0</v>
      </c>
      <c r="E195" s="47">
        <f t="shared" si="17"/>
        <v>0</v>
      </c>
      <c r="F195" s="87">
        <v>0</v>
      </c>
      <c r="G195" s="47">
        <f t="shared" si="15"/>
        <v>0</v>
      </c>
      <c r="H195" s="88"/>
      <c r="I195" s="15">
        <v>150</v>
      </c>
      <c r="J195" s="82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200</v>
      </c>
      <c r="C196" s="79">
        <f>+'17'!G196</f>
        <v>0</v>
      </c>
      <c r="D196" s="87">
        <v>0</v>
      </c>
      <c r="E196" s="47">
        <f t="shared" si="17"/>
        <v>0</v>
      </c>
      <c r="F196" s="87">
        <v>0</v>
      </c>
      <c r="G196" s="47">
        <f t="shared" si="15"/>
        <v>0</v>
      </c>
      <c r="H196" s="88"/>
      <c r="I196" s="15">
        <v>150</v>
      </c>
      <c r="J196" s="82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201</v>
      </c>
      <c r="C197" s="79">
        <f>+'17'!G197</f>
        <v>0</v>
      </c>
      <c r="D197" s="87">
        <v>0</v>
      </c>
      <c r="E197" s="47">
        <f t="shared" si="17"/>
        <v>0</v>
      </c>
      <c r="F197" s="87">
        <v>0</v>
      </c>
      <c r="G197" s="47">
        <f t="shared" si="15"/>
        <v>0</v>
      </c>
      <c r="H197" s="88"/>
      <c r="I197" s="15">
        <v>150</v>
      </c>
      <c r="J197" s="82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256</v>
      </c>
      <c r="C198" s="79">
        <f>+'17'!G198</f>
        <v>0</v>
      </c>
      <c r="D198" s="87">
        <v>0</v>
      </c>
      <c r="E198" s="47">
        <f t="shared" si="17"/>
        <v>0</v>
      </c>
      <c r="F198" s="87">
        <v>0</v>
      </c>
      <c r="G198" s="47">
        <f t="shared" si="15"/>
        <v>0</v>
      </c>
      <c r="H198" s="88"/>
      <c r="I198" s="15">
        <v>55</v>
      </c>
      <c r="J198" s="82">
        <f t="shared" si="16"/>
        <v>0</v>
      </c>
      <c r="K198" s="17" t="s">
        <v>16</v>
      </c>
      <c r="L198" s="18">
        <v>0</v>
      </c>
      <c r="M198" s="23">
        <f t="shared" si="14"/>
        <v>0</v>
      </c>
    </row>
    <row r="199" spans="1:13" ht="25.5" x14ac:dyDescent="0.55000000000000004">
      <c r="A199" s="10">
        <v>195</v>
      </c>
      <c r="B199" s="19" t="s">
        <v>257</v>
      </c>
      <c r="C199" s="79">
        <f>+'17'!G199</f>
        <v>0</v>
      </c>
      <c r="D199" s="87">
        <v>0</v>
      </c>
      <c r="E199" s="47">
        <f t="shared" si="17"/>
        <v>0</v>
      </c>
      <c r="F199" s="87">
        <v>0</v>
      </c>
      <c r="G199" s="47">
        <f t="shared" si="15"/>
        <v>0</v>
      </c>
      <c r="H199" s="88"/>
      <c r="I199" s="15">
        <v>30</v>
      </c>
      <c r="J199" s="82">
        <f t="shared" si="16"/>
        <v>0</v>
      </c>
      <c r="K199" s="17" t="s">
        <v>16</v>
      </c>
      <c r="L199" s="18">
        <v>0</v>
      </c>
      <c r="M199" s="23">
        <f t="shared" ref="M199:M254" si="18">SUM(J199-L199)</f>
        <v>0</v>
      </c>
    </row>
    <row r="200" spans="1:13" ht="25.5" x14ac:dyDescent="0.55000000000000004">
      <c r="A200" s="10">
        <v>196</v>
      </c>
      <c r="B200" s="19" t="s">
        <v>258</v>
      </c>
      <c r="C200" s="79">
        <f>+'17'!G200</f>
        <v>0</v>
      </c>
      <c r="D200" s="87">
        <v>0</v>
      </c>
      <c r="E200" s="47">
        <f t="shared" si="17"/>
        <v>0</v>
      </c>
      <c r="F200" s="87">
        <v>0</v>
      </c>
      <c r="G200" s="47">
        <f t="shared" si="15"/>
        <v>0</v>
      </c>
      <c r="H200" s="88"/>
      <c r="I200" s="15">
        <v>30</v>
      </c>
      <c r="J200" s="82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259</v>
      </c>
      <c r="C201" s="79">
        <f>+'17'!G201</f>
        <v>0</v>
      </c>
      <c r="D201" s="87">
        <v>0</v>
      </c>
      <c r="E201" s="47">
        <f t="shared" si="17"/>
        <v>0</v>
      </c>
      <c r="F201" s="87">
        <v>0</v>
      </c>
      <c r="G201" s="47">
        <f t="shared" si="15"/>
        <v>0</v>
      </c>
      <c r="H201" s="88"/>
      <c r="I201" s="15">
        <v>30</v>
      </c>
      <c r="J201" s="82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260</v>
      </c>
      <c r="C202" s="79">
        <f>+'17'!G202</f>
        <v>0</v>
      </c>
      <c r="D202" s="87">
        <v>0</v>
      </c>
      <c r="E202" s="47">
        <f t="shared" si="17"/>
        <v>0</v>
      </c>
      <c r="F202" s="87">
        <v>0</v>
      </c>
      <c r="G202" s="47">
        <f t="shared" si="15"/>
        <v>0</v>
      </c>
      <c r="H202" s="88"/>
      <c r="I202" s="15">
        <v>30</v>
      </c>
      <c r="J202" s="82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261</v>
      </c>
      <c r="C203" s="79">
        <f>+'17'!G203</f>
        <v>0</v>
      </c>
      <c r="D203" s="87">
        <v>0</v>
      </c>
      <c r="E203" s="47">
        <f t="shared" si="17"/>
        <v>0</v>
      </c>
      <c r="F203" s="87">
        <v>0</v>
      </c>
      <c r="G203" s="47">
        <f t="shared" si="15"/>
        <v>0</v>
      </c>
      <c r="H203" s="88"/>
      <c r="I203" s="20">
        <v>30</v>
      </c>
      <c r="J203" s="82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262</v>
      </c>
      <c r="C204" s="79">
        <f>+'17'!G204</f>
        <v>0</v>
      </c>
      <c r="D204" s="87">
        <v>0</v>
      </c>
      <c r="E204" s="47">
        <f t="shared" si="17"/>
        <v>0</v>
      </c>
      <c r="F204" s="87">
        <v>0</v>
      </c>
      <c r="G204" s="47">
        <f t="shared" si="15"/>
        <v>0</v>
      </c>
      <c r="H204" s="88"/>
      <c r="I204" s="20">
        <v>30</v>
      </c>
      <c r="J204" s="82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263</v>
      </c>
      <c r="C205" s="79">
        <f>+'17'!G205</f>
        <v>0</v>
      </c>
      <c r="D205" s="87">
        <v>0</v>
      </c>
      <c r="E205" s="47">
        <f t="shared" si="17"/>
        <v>0</v>
      </c>
      <c r="F205" s="87">
        <v>0</v>
      </c>
      <c r="G205" s="47">
        <f t="shared" si="15"/>
        <v>0</v>
      </c>
      <c r="H205" s="88"/>
      <c r="I205" s="20">
        <v>50</v>
      </c>
      <c r="J205" s="82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 t="s">
        <v>264</v>
      </c>
      <c r="C206" s="79">
        <f>+'17'!G206</f>
        <v>0</v>
      </c>
      <c r="D206" s="87">
        <v>0</v>
      </c>
      <c r="E206" s="47">
        <f t="shared" si="17"/>
        <v>0</v>
      </c>
      <c r="F206" s="87">
        <v>0</v>
      </c>
      <c r="G206" s="47">
        <f t="shared" si="15"/>
        <v>0</v>
      </c>
      <c r="H206" s="88"/>
      <c r="I206" s="20">
        <v>100</v>
      </c>
      <c r="J206" s="82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265</v>
      </c>
      <c r="C207" s="79">
        <f>+'17'!G207</f>
        <v>0</v>
      </c>
      <c r="D207" s="87">
        <v>0</v>
      </c>
      <c r="E207" s="47">
        <f t="shared" si="17"/>
        <v>0</v>
      </c>
      <c r="F207" s="87">
        <v>0</v>
      </c>
      <c r="G207" s="47">
        <f t="shared" si="15"/>
        <v>0</v>
      </c>
      <c r="H207" s="88"/>
      <c r="I207" s="20">
        <v>100</v>
      </c>
      <c r="J207" s="82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266</v>
      </c>
      <c r="C208" s="79">
        <f>+'17'!G208</f>
        <v>0</v>
      </c>
      <c r="D208" s="87">
        <v>0</v>
      </c>
      <c r="E208" s="47">
        <f t="shared" si="17"/>
        <v>0</v>
      </c>
      <c r="F208" s="87">
        <v>0</v>
      </c>
      <c r="G208" s="47">
        <f t="shared" si="15"/>
        <v>0</v>
      </c>
      <c r="H208" s="88"/>
      <c r="I208" s="20">
        <v>100</v>
      </c>
      <c r="J208" s="82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 t="s">
        <v>267</v>
      </c>
      <c r="C209" s="79">
        <f>+'17'!G209</f>
        <v>0</v>
      </c>
      <c r="D209" s="87">
        <v>0</v>
      </c>
      <c r="E209" s="47">
        <f t="shared" si="17"/>
        <v>0</v>
      </c>
      <c r="F209" s="87">
        <v>0</v>
      </c>
      <c r="G209" s="47">
        <f t="shared" si="15"/>
        <v>0</v>
      </c>
      <c r="H209" s="88"/>
      <c r="I209" s="20">
        <v>100</v>
      </c>
      <c r="J209" s="82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268</v>
      </c>
      <c r="C210" s="79">
        <f>+'17'!G210</f>
        <v>0</v>
      </c>
      <c r="D210" s="87">
        <v>0</v>
      </c>
      <c r="E210" s="47">
        <f t="shared" si="17"/>
        <v>0</v>
      </c>
      <c r="F210" s="87">
        <v>0</v>
      </c>
      <c r="G210" s="47">
        <f t="shared" si="15"/>
        <v>0</v>
      </c>
      <c r="H210" s="88"/>
      <c r="I210" s="20">
        <v>250</v>
      </c>
      <c r="J210" s="82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 t="s">
        <v>269</v>
      </c>
      <c r="C211" s="79">
        <f>+'17'!G211</f>
        <v>0</v>
      </c>
      <c r="D211" s="87">
        <v>0</v>
      </c>
      <c r="E211" s="47">
        <f t="shared" si="17"/>
        <v>0</v>
      </c>
      <c r="F211" s="87">
        <v>0</v>
      </c>
      <c r="G211" s="47">
        <f t="shared" si="15"/>
        <v>0</v>
      </c>
      <c r="H211" s="88"/>
      <c r="I211" s="20">
        <v>250</v>
      </c>
      <c r="J211" s="82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 t="s">
        <v>270</v>
      </c>
      <c r="C212" s="79">
        <f>+'17'!G212</f>
        <v>0</v>
      </c>
      <c r="D212" s="87">
        <v>0</v>
      </c>
      <c r="E212" s="47">
        <f t="shared" si="17"/>
        <v>0</v>
      </c>
      <c r="F212" s="87">
        <v>0</v>
      </c>
      <c r="G212" s="47">
        <f t="shared" si="15"/>
        <v>0</v>
      </c>
      <c r="H212" s="88"/>
      <c r="I212" s="20">
        <v>250</v>
      </c>
      <c r="J212" s="82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 t="s">
        <v>271</v>
      </c>
      <c r="C213" s="79">
        <f>+'17'!G213</f>
        <v>0</v>
      </c>
      <c r="D213" s="87">
        <v>0</v>
      </c>
      <c r="E213" s="47">
        <f t="shared" si="17"/>
        <v>0</v>
      </c>
      <c r="F213" s="87">
        <v>0</v>
      </c>
      <c r="G213" s="47">
        <f t="shared" si="15"/>
        <v>0</v>
      </c>
      <c r="H213" s="88"/>
      <c r="I213" s="20">
        <v>50</v>
      </c>
      <c r="J213" s="82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 t="s">
        <v>273</v>
      </c>
      <c r="C214" s="79">
        <f>+'17'!G214</f>
        <v>0</v>
      </c>
      <c r="D214" s="87">
        <v>0</v>
      </c>
      <c r="E214" s="47">
        <f t="shared" si="17"/>
        <v>0</v>
      </c>
      <c r="F214" s="87">
        <v>0</v>
      </c>
      <c r="G214" s="47">
        <f t="shared" si="15"/>
        <v>0</v>
      </c>
      <c r="H214" s="88"/>
      <c r="I214" s="20">
        <v>50</v>
      </c>
      <c r="J214" s="82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 t="s">
        <v>274</v>
      </c>
      <c r="C215" s="79">
        <f>+'17'!G215</f>
        <v>0</v>
      </c>
      <c r="D215" s="87">
        <v>0</v>
      </c>
      <c r="E215" s="47">
        <f t="shared" si="17"/>
        <v>0</v>
      </c>
      <c r="F215" s="87">
        <v>0</v>
      </c>
      <c r="G215" s="47">
        <f t="shared" si="15"/>
        <v>0</v>
      </c>
      <c r="H215" s="88"/>
      <c r="I215" s="20">
        <v>50</v>
      </c>
      <c r="J215" s="82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 t="s">
        <v>242</v>
      </c>
      <c r="C216" s="79">
        <f>+'17'!G216</f>
        <v>0</v>
      </c>
      <c r="D216" s="87">
        <v>0</v>
      </c>
      <c r="E216" s="47">
        <f t="shared" si="17"/>
        <v>0</v>
      </c>
      <c r="F216" s="87">
        <v>0</v>
      </c>
      <c r="G216" s="47">
        <f t="shared" si="15"/>
        <v>0</v>
      </c>
      <c r="H216" s="88"/>
      <c r="I216" s="20">
        <v>35</v>
      </c>
      <c r="J216" s="82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 t="s">
        <v>275</v>
      </c>
      <c r="C217" s="79">
        <f>+'17'!G217</f>
        <v>0</v>
      </c>
      <c r="D217" s="87">
        <v>0</v>
      </c>
      <c r="E217" s="47">
        <f t="shared" si="17"/>
        <v>0</v>
      </c>
      <c r="F217" s="87">
        <v>0</v>
      </c>
      <c r="G217" s="47">
        <f t="shared" si="15"/>
        <v>0</v>
      </c>
      <c r="H217" s="88"/>
      <c r="I217" s="20">
        <v>199</v>
      </c>
      <c r="J217" s="82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 t="s">
        <v>283</v>
      </c>
      <c r="C218" s="79"/>
      <c r="D218" s="87">
        <v>0</v>
      </c>
      <c r="E218" s="47">
        <f t="shared" si="17"/>
        <v>0</v>
      </c>
      <c r="F218" s="87">
        <v>0</v>
      </c>
      <c r="G218" s="47">
        <f t="shared" si="15"/>
        <v>0</v>
      </c>
      <c r="H218" s="88"/>
      <c r="I218" s="20">
        <v>25</v>
      </c>
      <c r="J218" s="82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 t="s">
        <v>284</v>
      </c>
      <c r="C219" s="79"/>
      <c r="D219" s="87">
        <v>0</v>
      </c>
      <c r="E219" s="47">
        <f t="shared" si="17"/>
        <v>0</v>
      </c>
      <c r="F219" s="87">
        <v>0</v>
      </c>
      <c r="G219" s="47">
        <f t="shared" si="15"/>
        <v>0</v>
      </c>
      <c r="H219" s="88"/>
      <c r="I219" s="20">
        <v>25</v>
      </c>
      <c r="J219" s="82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 t="s">
        <v>314</v>
      </c>
      <c r="C220" s="79">
        <f>+'17'!G220</f>
        <v>0</v>
      </c>
      <c r="D220" s="87">
        <v>0</v>
      </c>
      <c r="E220" s="47">
        <f t="shared" si="17"/>
        <v>0</v>
      </c>
      <c r="F220" s="87">
        <v>0</v>
      </c>
      <c r="G220" s="47">
        <f t="shared" si="15"/>
        <v>0</v>
      </c>
      <c r="H220" s="88"/>
      <c r="I220" s="20">
        <v>35</v>
      </c>
      <c r="J220" s="82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 t="s">
        <v>326</v>
      </c>
      <c r="C221" s="79">
        <f>+'17'!G221</f>
        <v>1</v>
      </c>
      <c r="D221" s="87">
        <v>0</v>
      </c>
      <c r="E221" s="47">
        <f t="shared" si="17"/>
        <v>1</v>
      </c>
      <c r="F221" s="87">
        <v>0</v>
      </c>
      <c r="G221" s="47">
        <f t="shared" si="15"/>
        <v>1</v>
      </c>
      <c r="H221" s="88"/>
      <c r="I221" s="20">
        <v>55</v>
      </c>
      <c r="J221" s="82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 t="s">
        <v>327</v>
      </c>
      <c r="C222" s="79">
        <f>+'17'!G222</f>
        <v>0</v>
      </c>
      <c r="D222" s="87">
        <v>0</v>
      </c>
      <c r="E222" s="47">
        <f t="shared" si="17"/>
        <v>0</v>
      </c>
      <c r="F222" s="87">
        <v>0</v>
      </c>
      <c r="G222" s="47">
        <f t="shared" si="15"/>
        <v>0</v>
      </c>
      <c r="H222" s="88"/>
      <c r="I222" s="20">
        <v>40</v>
      </c>
      <c r="J222" s="82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/>
      <c r="C223" s="79">
        <f>+'17'!G223</f>
        <v>0</v>
      </c>
      <c r="D223" s="87">
        <v>0</v>
      </c>
      <c r="E223" s="47">
        <f t="shared" si="17"/>
        <v>0</v>
      </c>
      <c r="F223" s="87">
        <v>0</v>
      </c>
      <c r="G223" s="47">
        <f t="shared" si="15"/>
        <v>0</v>
      </c>
      <c r="H223" s="88"/>
      <c r="I223" s="20"/>
      <c r="J223" s="82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79">
        <f>+'17'!G224</f>
        <v>0</v>
      </c>
      <c r="D224" s="87">
        <v>0</v>
      </c>
      <c r="E224" s="47">
        <f t="shared" si="17"/>
        <v>0</v>
      </c>
      <c r="F224" s="87">
        <v>0</v>
      </c>
      <c r="G224" s="47">
        <f t="shared" si="15"/>
        <v>0</v>
      </c>
      <c r="H224" s="88"/>
      <c r="I224" s="20"/>
      <c r="J224" s="82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+'17'!G225</f>
        <v>0</v>
      </c>
      <c r="D225" s="87">
        <v>0</v>
      </c>
      <c r="E225" s="47">
        <f t="shared" si="17"/>
        <v>0</v>
      </c>
      <c r="F225" s="87">
        <v>0</v>
      </c>
      <c r="G225" s="47">
        <f t="shared" si="15"/>
        <v>0</v>
      </c>
      <c r="H225" s="88"/>
      <c r="I225" s="20"/>
      <c r="J225" s="82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+'17'!G226</f>
        <v>0</v>
      </c>
      <c r="D226" s="87">
        <v>0</v>
      </c>
      <c r="E226" s="47">
        <f t="shared" si="17"/>
        <v>0</v>
      </c>
      <c r="F226" s="87">
        <v>0</v>
      </c>
      <c r="G226" s="47">
        <f t="shared" si="15"/>
        <v>0</v>
      </c>
      <c r="H226" s="88"/>
      <c r="I226" s="20"/>
      <c r="J226" s="82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+'17'!G227</f>
        <v>0</v>
      </c>
      <c r="D227" s="87">
        <v>0</v>
      </c>
      <c r="E227" s="47">
        <f t="shared" si="17"/>
        <v>0</v>
      </c>
      <c r="F227" s="87">
        <v>0</v>
      </c>
      <c r="G227" s="47">
        <f t="shared" si="15"/>
        <v>0</v>
      </c>
      <c r="H227" s="88"/>
      <c r="I227" s="20"/>
      <c r="J227" s="82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+'17'!G228</f>
        <v>0</v>
      </c>
      <c r="D228" s="87">
        <v>0</v>
      </c>
      <c r="E228" s="47">
        <f t="shared" si="17"/>
        <v>0</v>
      </c>
      <c r="F228" s="87">
        <v>0</v>
      </c>
      <c r="G228" s="47">
        <f t="shared" ref="G228:G254" si="19">+E228-F228-H228</f>
        <v>0</v>
      </c>
      <c r="H228" s="88"/>
      <c r="I228" s="20"/>
      <c r="J228" s="82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+'17'!G229</f>
        <v>0</v>
      </c>
      <c r="D229" s="87">
        <v>0</v>
      </c>
      <c r="E229" s="47">
        <f t="shared" si="17"/>
        <v>0</v>
      </c>
      <c r="F229" s="87">
        <v>0</v>
      </c>
      <c r="G229" s="47">
        <f t="shared" si="19"/>
        <v>0</v>
      </c>
      <c r="H229" s="88"/>
      <c r="I229" s="20"/>
      <c r="J229" s="82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+'17'!G230</f>
        <v>0</v>
      </c>
      <c r="D230" s="87">
        <v>0</v>
      </c>
      <c r="E230" s="47">
        <f t="shared" si="17"/>
        <v>0</v>
      </c>
      <c r="F230" s="87">
        <v>0</v>
      </c>
      <c r="G230" s="47">
        <f t="shared" si="19"/>
        <v>0</v>
      </c>
      <c r="H230" s="88"/>
      <c r="I230" s="20"/>
      <c r="J230" s="82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+'17'!G231</f>
        <v>0</v>
      </c>
      <c r="D231" s="87">
        <v>0</v>
      </c>
      <c r="E231" s="47">
        <f t="shared" si="17"/>
        <v>0</v>
      </c>
      <c r="F231" s="87">
        <v>0</v>
      </c>
      <c r="G231" s="47">
        <f t="shared" si="19"/>
        <v>0</v>
      </c>
      <c r="H231" s="88"/>
      <c r="I231" s="20"/>
      <c r="J231" s="82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+'17'!G232</f>
        <v>0</v>
      </c>
      <c r="D232" s="87">
        <v>0</v>
      </c>
      <c r="E232" s="47">
        <f t="shared" si="17"/>
        <v>0</v>
      </c>
      <c r="F232" s="87">
        <v>0</v>
      </c>
      <c r="G232" s="47">
        <f t="shared" si="19"/>
        <v>0</v>
      </c>
      <c r="H232" s="88"/>
      <c r="I232" s="20"/>
      <c r="J232" s="82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+'17'!G233</f>
        <v>0</v>
      </c>
      <c r="D233" s="87">
        <v>0</v>
      </c>
      <c r="E233" s="47">
        <f t="shared" si="17"/>
        <v>0</v>
      </c>
      <c r="F233" s="87">
        <v>0</v>
      </c>
      <c r="G233" s="47">
        <f t="shared" si="19"/>
        <v>0</v>
      </c>
      <c r="H233" s="88"/>
      <c r="I233" s="20"/>
      <c r="J233" s="82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+'17'!G234</f>
        <v>0</v>
      </c>
      <c r="D234" s="87">
        <v>0</v>
      </c>
      <c r="E234" s="47">
        <f t="shared" si="17"/>
        <v>0</v>
      </c>
      <c r="F234" s="87">
        <v>0</v>
      </c>
      <c r="G234" s="47">
        <f t="shared" si="19"/>
        <v>0</v>
      </c>
      <c r="H234" s="88"/>
      <c r="I234" s="20"/>
      <c r="J234" s="82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+'17'!G235</f>
        <v>0</v>
      </c>
      <c r="D235" s="87">
        <v>0</v>
      </c>
      <c r="E235" s="47">
        <f t="shared" si="17"/>
        <v>0</v>
      </c>
      <c r="F235" s="87">
        <v>0</v>
      </c>
      <c r="G235" s="47">
        <f t="shared" si="19"/>
        <v>0</v>
      </c>
      <c r="H235" s="88"/>
      <c r="I235" s="20"/>
      <c r="J235" s="82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+'17'!G236</f>
        <v>0</v>
      </c>
      <c r="D236" s="87">
        <v>0</v>
      </c>
      <c r="E236" s="47">
        <f t="shared" si="17"/>
        <v>0</v>
      </c>
      <c r="F236" s="87">
        <v>0</v>
      </c>
      <c r="G236" s="47">
        <f t="shared" si="19"/>
        <v>0</v>
      </c>
      <c r="H236" s="88"/>
      <c r="I236" s="20"/>
      <c r="J236" s="82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+'17'!G237</f>
        <v>0</v>
      </c>
      <c r="D237" s="87">
        <v>0</v>
      </c>
      <c r="E237" s="47">
        <f t="shared" si="17"/>
        <v>0</v>
      </c>
      <c r="F237" s="87">
        <v>0</v>
      </c>
      <c r="G237" s="47">
        <f t="shared" si="19"/>
        <v>0</v>
      </c>
      <c r="H237" s="88"/>
      <c r="I237" s="20"/>
      <c r="J237" s="82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+'17'!G238</f>
        <v>0</v>
      </c>
      <c r="D238" s="87">
        <v>0</v>
      </c>
      <c r="E238" s="47">
        <f t="shared" si="17"/>
        <v>0</v>
      </c>
      <c r="F238" s="87">
        <v>0</v>
      </c>
      <c r="G238" s="47">
        <f t="shared" si="19"/>
        <v>0</v>
      </c>
      <c r="H238" s="88"/>
      <c r="I238" s="20"/>
      <c r="J238" s="82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+'17'!G239</f>
        <v>0</v>
      </c>
      <c r="D239" s="87">
        <v>0</v>
      </c>
      <c r="E239" s="47">
        <f t="shared" si="17"/>
        <v>0</v>
      </c>
      <c r="F239" s="87">
        <v>0</v>
      </c>
      <c r="G239" s="47">
        <f t="shared" si="19"/>
        <v>0</v>
      </c>
      <c r="H239" s="88"/>
      <c r="I239" s="20"/>
      <c r="J239" s="82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+'17'!G240</f>
        <v>0</v>
      </c>
      <c r="D240" s="87">
        <v>0</v>
      </c>
      <c r="E240" s="47">
        <f t="shared" si="17"/>
        <v>0</v>
      </c>
      <c r="F240" s="87">
        <v>0</v>
      </c>
      <c r="G240" s="47">
        <f t="shared" si="19"/>
        <v>0</v>
      </c>
      <c r="H240" s="88"/>
      <c r="I240" s="20"/>
      <c r="J240" s="82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+'17'!G241</f>
        <v>0</v>
      </c>
      <c r="D241" s="87">
        <v>0</v>
      </c>
      <c r="E241" s="47">
        <f t="shared" si="17"/>
        <v>0</v>
      </c>
      <c r="F241" s="87">
        <v>0</v>
      </c>
      <c r="G241" s="47">
        <f t="shared" si="19"/>
        <v>0</v>
      </c>
      <c r="H241" s="88"/>
      <c r="I241" s="20"/>
      <c r="J241" s="82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+'17'!G242</f>
        <v>0</v>
      </c>
      <c r="D242" s="87">
        <v>0</v>
      </c>
      <c r="E242" s="47">
        <f t="shared" si="17"/>
        <v>0</v>
      </c>
      <c r="F242" s="87">
        <v>0</v>
      </c>
      <c r="G242" s="47">
        <f t="shared" si="19"/>
        <v>0</v>
      </c>
      <c r="H242" s="88"/>
      <c r="I242" s="20"/>
      <c r="J242" s="82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+'17'!G243</f>
        <v>0</v>
      </c>
      <c r="D243" s="87">
        <v>0</v>
      </c>
      <c r="E243" s="47">
        <f t="shared" si="17"/>
        <v>0</v>
      </c>
      <c r="F243" s="87">
        <v>0</v>
      </c>
      <c r="G243" s="47">
        <f t="shared" si="19"/>
        <v>0</v>
      </c>
      <c r="H243" s="88"/>
      <c r="I243" s="20"/>
      <c r="J243" s="82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+'17'!G244</f>
        <v>0</v>
      </c>
      <c r="D244" s="87">
        <v>0</v>
      </c>
      <c r="E244" s="47">
        <f t="shared" si="17"/>
        <v>0</v>
      </c>
      <c r="F244" s="87">
        <v>0</v>
      </c>
      <c r="G244" s="47">
        <f t="shared" si="19"/>
        <v>0</v>
      </c>
      <c r="H244" s="88"/>
      <c r="I244" s="20"/>
      <c r="J244" s="82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+'17'!G245</f>
        <v>0</v>
      </c>
      <c r="D245" s="87">
        <v>0</v>
      </c>
      <c r="E245" s="47">
        <f t="shared" si="17"/>
        <v>0</v>
      </c>
      <c r="F245" s="87">
        <v>0</v>
      </c>
      <c r="G245" s="47">
        <f t="shared" si="19"/>
        <v>0</v>
      </c>
      <c r="H245" s="88"/>
      <c r="I245" s="20"/>
      <c r="J245" s="82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+'17'!G246</f>
        <v>0</v>
      </c>
      <c r="D246" s="87">
        <v>0</v>
      </c>
      <c r="E246" s="47">
        <f t="shared" si="17"/>
        <v>0</v>
      </c>
      <c r="F246" s="87">
        <v>0</v>
      </c>
      <c r="G246" s="47">
        <f t="shared" si="19"/>
        <v>0</v>
      </c>
      <c r="H246" s="88"/>
      <c r="I246" s="20"/>
      <c r="J246" s="82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+'17'!G247</f>
        <v>0</v>
      </c>
      <c r="D247" s="87">
        <v>0</v>
      </c>
      <c r="E247" s="47">
        <f t="shared" si="17"/>
        <v>0</v>
      </c>
      <c r="F247" s="87">
        <v>0</v>
      </c>
      <c r="G247" s="47">
        <f t="shared" si="19"/>
        <v>0</v>
      </c>
      <c r="H247" s="88"/>
      <c r="I247" s="20"/>
      <c r="J247" s="82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+'17'!G248</f>
        <v>0</v>
      </c>
      <c r="D248" s="87">
        <v>0</v>
      </c>
      <c r="E248" s="47">
        <f t="shared" si="17"/>
        <v>0</v>
      </c>
      <c r="F248" s="87">
        <v>0</v>
      </c>
      <c r="G248" s="47">
        <f t="shared" si="19"/>
        <v>0</v>
      </c>
      <c r="H248" s="88"/>
      <c r="I248" s="20"/>
      <c r="J248" s="82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+'17'!G249</f>
        <v>0</v>
      </c>
      <c r="D249" s="87">
        <v>0</v>
      </c>
      <c r="E249" s="47">
        <f t="shared" si="17"/>
        <v>0</v>
      </c>
      <c r="F249" s="87">
        <v>0</v>
      </c>
      <c r="G249" s="47">
        <f t="shared" si="19"/>
        <v>0</v>
      </c>
      <c r="H249" s="88"/>
      <c r="I249" s="20"/>
      <c r="J249" s="82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+'17'!G250</f>
        <v>0</v>
      </c>
      <c r="D250" s="87">
        <v>0</v>
      </c>
      <c r="E250" s="47">
        <f t="shared" si="17"/>
        <v>0</v>
      </c>
      <c r="F250" s="87">
        <v>0</v>
      </c>
      <c r="G250" s="47">
        <f t="shared" si="19"/>
        <v>0</v>
      </c>
      <c r="H250" s="88"/>
      <c r="I250" s="20"/>
      <c r="J250" s="82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+'17'!G251</f>
        <v>0</v>
      </c>
      <c r="D251" s="87">
        <v>0</v>
      </c>
      <c r="E251" s="47">
        <f t="shared" si="17"/>
        <v>0</v>
      </c>
      <c r="F251" s="87">
        <v>0</v>
      </c>
      <c r="G251" s="47">
        <f t="shared" si="19"/>
        <v>0</v>
      </c>
      <c r="H251" s="88"/>
      <c r="I251" s="20"/>
      <c r="J251" s="82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+'17'!G252</f>
        <v>0</v>
      </c>
      <c r="D252" s="87">
        <v>0</v>
      </c>
      <c r="E252" s="47">
        <f t="shared" si="17"/>
        <v>0</v>
      </c>
      <c r="F252" s="87">
        <v>0</v>
      </c>
      <c r="G252" s="47">
        <f t="shared" si="19"/>
        <v>0</v>
      </c>
      <c r="H252" s="88"/>
      <c r="I252" s="20"/>
      <c r="J252" s="82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+'17'!G253</f>
        <v>0</v>
      </c>
      <c r="D253" s="87">
        <v>0</v>
      </c>
      <c r="E253" s="47">
        <f t="shared" ref="E253:E254" si="21">C253+D253</f>
        <v>0</v>
      </c>
      <c r="F253" s="87">
        <v>0</v>
      </c>
      <c r="G253" s="47">
        <f t="shared" si="19"/>
        <v>0</v>
      </c>
      <c r="H253" s="88"/>
      <c r="I253" s="20"/>
      <c r="J253" s="82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+'17'!G254</f>
        <v>0</v>
      </c>
      <c r="D254" s="87">
        <v>0</v>
      </c>
      <c r="E254" s="47">
        <f t="shared" si="21"/>
        <v>0</v>
      </c>
      <c r="F254" s="87">
        <v>0</v>
      </c>
      <c r="G254" s="47">
        <f t="shared" si="19"/>
        <v>0</v>
      </c>
      <c r="H254" s="88"/>
      <c r="I254" s="20"/>
      <c r="J254" s="82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1310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3" t="s">
        <v>213</v>
      </c>
      <c r="N255" s="143"/>
    </row>
    <row r="256" spans="1:14" ht="25.5" customHeight="1" x14ac:dyDescent="0.5">
      <c r="A256" s="1"/>
      <c r="E256" s="24"/>
      <c r="F256" s="25"/>
      <c r="G256" s="24"/>
      <c r="H256" s="148" t="s">
        <v>212</v>
      </c>
      <c r="I256" s="149"/>
      <c r="J256" s="30">
        <f>+X138</f>
        <v>0</v>
      </c>
      <c r="K256" s="27"/>
      <c r="L256" s="29"/>
    </row>
    <row r="257" spans="1:18" ht="25.5" x14ac:dyDescent="0.55000000000000004">
      <c r="A257" s="1"/>
      <c r="E257" s="31"/>
      <c r="G257" s="31"/>
      <c r="H257" s="32"/>
      <c r="I257" s="150" t="s">
        <v>202</v>
      </c>
      <c r="J257" s="150"/>
      <c r="K257" s="33">
        <f>SUM(J5:J256)</f>
        <v>1360</v>
      </c>
    </row>
    <row r="258" spans="1:18" ht="25.5" x14ac:dyDescent="0.55000000000000004">
      <c r="A258" s="1"/>
      <c r="E258" s="31"/>
      <c r="G258" s="31"/>
      <c r="I258" s="140" t="s">
        <v>203</v>
      </c>
      <c r="J258" s="141"/>
      <c r="K258" s="36">
        <v>15</v>
      </c>
    </row>
    <row r="259" spans="1:18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960</v>
      </c>
      <c r="L259" s="2">
        <v>110</v>
      </c>
      <c r="M259" s="2">
        <v>50</v>
      </c>
      <c r="N259" s="2">
        <v>40</v>
      </c>
      <c r="O259" s="2">
        <v>60</v>
      </c>
      <c r="P259" s="2">
        <v>100</v>
      </c>
      <c r="Q259" s="2">
        <v>100</v>
      </c>
      <c r="R259" s="2">
        <v>500</v>
      </c>
    </row>
    <row r="260" spans="1:18" ht="25.5" x14ac:dyDescent="0.55000000000000004">
      <c r="A260" s="1"/>
      <c r="E260" s="31"/>
      <c r="G260" s="31"/>
      <c r="I260" s="140" t="s">
        <v>205</v>
      </c>
      <c r="J260" s="141"/>
      <c r="K260" s="36">
        <v>0</v>
      </c>
    </row>
    <row r="261" spans="1:18" ht="25.5" x14ac:dyDescent="0.55000000000000004">
      <c r="A261" s="1"/>
      <c r="E261" s="31"/>
      <c r="G261" s="31"/>
      <c r="I261" s="140" t="s">
        <v>206</v>
      </c>
      <c r="J261" s="141"/>
      <c r="K261" s="36">
        <v>0</v>
      </c>
    </row>
    <row r="262" spans="1:18" ht="25.5" x14ac:dyDescent="0.55000000000000004">
      <c r="A262" s="1"/>
      <c r="E262" s="31"/>
      <c r="G262" s="31"/>
      <c r="I262" s="140" t="s">
        <v>207</v>
      </c>
      <c r="J262" s="141"/>
      <c r="K262" s="37">
        <f>SUM(L5:L255)</f>
        <v>50</v>
      </c>
    </row>
    <row r="263" spans="1:18" ht="25.5" x14ac:dyDescent="0.55000000000000004">
      <c r="A263" s="1"/>
      <c r="E263" s="31"/>
      <c r="G263" s="31"/>
      <c r="I263" s="140" t="s">
        <v>208</v>
      </c>
      <c r="J263" s="141"/>
      <c r="K263" s="33">
        <f>K257-K258-K259-K261-K262</f>
        <v>335</v>
      </c>
    </row>
    <row r="264" spans="1:18" ht="25.5" x14ac:dyDescent="0.55000000000000004">
      <c r="A264" s="1"/>
      <c r="E264" s="31"/>
      <c r="G264" s="31"/>
      <c r="I264" s="140" t="s">
        <v>209</v>
      </c>
      <c r="J264" s="141"/>
      <c r="K264" s="37">
        <v>335</v>
      </c>
    </row>
    <row r="265" spans="1:18" ht="25.5" x14ac:dyDescent="0.55000000000000004">
      <c r="A265" s="1"/>
      <c r="E265" s="31"/>
      <c r="G265" s="31"/>
      <c r="I265" s="140" t="s">
        <v>210</v>
      </c>
      <c r="J265" s="141"/>
      <c r="K265" s="33">
        <f>+K264-K263</f>
        <v>0</v>
      </c>
    </row>
    <row r="266" spans="1:18" ht="25.5" x14ac:dyDescent="0.55000000000000004">
      <c r="G266" s="2"/>
      <c r="I266" s="140" t="s">
        <v>211</v>
      </c>
      <c r="J266" s="141"/>
      <c r="K266" s="33">
        <f>+K264-K263</f>
        <v>0</v>
      </c>
    </row>
    <row r="267" spans="1:18" x14ac:dyDescent="0.5">
      <c r="G267" s="2"/>
      <c r="I267" s="2"/>
    </row>
    <row r="268" spans="1:18" ht="25.5" x14ac:dyDescent="0.55000000000000004">
      <c r="G268" s="2"/>
      <c r="I268" s="105" t="s">
        <v>312</v>
      </c>
    </row>
    <row r="269" spans="1:18" x14ac:dyDescent="0.5">
      <c r="G269" s="2"/>
      <c r="I269" s="2"/>
    </row>
    <row r="270" spans="1:18" x14ac:dyDescent="0.5">
      <c r="G270" s="2"/>
      <c r="I270" s="2"/>
    </row>
    <row r="271" spans="1:18" x14ac:dyDescent="0.5">
      <c r="G271" s="2"/>
      <c r="I271" s="2"/>
    </row>
    <row r="272" spans="1:18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DCC39-9671-4BF8-8D1D-E4412E252852}">
  <sheetPr>
    <tabColor theme="7" tint="-0.249977111117893"/>
  </sheetPr>
  <dimension ref="A1:AB341"/>
  <sheetViews>
    <sheetView zoomScaleNormal="100" workbookViewId="0">
      <pane xSplit="7" ySplit="4" topLeftCell="H5" activePane="bottomRight" state="frozen"/>
      <selection activeCell="B20" sqref="B20"/>
      <selection pane="topRight" activeCell="B20" sqref="B20"/>
      <selection pane="bottomLeft" activeCell="B20" sqref="B20"/>
      <selection pane="bottomRight" activeCell="B20" sqref="B20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8" x14ac:dyDescent="0.5">
      <c r="A1" s="1"/>
      <c r="G1" s="2"/>
      <c r="I1" s="2"/>
    </row>
    <row r="2" spans="1:28" s="3" customFormat="1" ht="29.25" x14ac:dyDescent="0.6">
      <c r="A2" s="137" t="s">
        <v>247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8" s="5" customFormat="1" ht="26.25" x14ac:dyDescent="0.55000000000000004">
      <c r="A3" s="139" t="s">
        <v>1</v>
      </c>
      <c r="B3" s="151" t="s">
        <v>2</v>
      </c>
      <c r="C3" s="139" t="s">
        <v>3</v>
      </c>
      <c r="D3" s="139" t="s">
        <v>4</v>
      </c>
      <c r="E3" s="139" t="s">
        <v>5</v>
      </c>
      <c r="F3" s="85" t="s">
        <v>6</v>
      </c>
      <c r="G3" s="139" t="s">
        <v>7</v>
      </c>
      <c r="H3" s="142" t="s">
        <v>8</v>
      </c>
      <c r="I3" s="142"/>
      <c r="J3" s="142"/>
      <c r="K3" s="139" t="s">
        <v>9</v>
      </c>
      <c r="L3" s="144" t="s">
        <v>10</v>
      </c>
      <c r="O3" s="139" t="s">
        <v>1</v>
      </c>
      <c r="P3" s="139" t="s">
        <v>2</v>
      </c>
      <c r="Q3" s="139" t="s">
        <v>3</v>
      </c>
      <c r="R3" s="139" t="s">
        <v>4</v>
      </c>
      <c r="S3" s="139" t="s">
        <v>5</v>
      </c>
      <c r="T3" s="85" t="s">
        <v>6</v>
      </c>
      <c r="U3" s="139" t="s">
        <v>7</v>
      </c>
      <c r="V3" s="142" t="s">
        <v>8</v>
      </c>
      <c r="W3" s="142"/>
      <c r="X3" s="142"/>
      <c r="Y3" s="139" t="s">
        <v>9</v>
      </c>
      <c r="Z3" s="144" t="s">
        <v>10</v>
      </c>
    </row>
    <row r="4" spans="1:28" s="5" customFormat="1" ht="26.25" x14ac:dyDescent="0.55000000000000004">
      <c r="A4" s="139"/>
      <c r="B4" s="151"/>
      <c r="C4" s="139"/>
      <c r="D4" s="139"/>
      <c r="E4" s="139"/>
      <c r="F4" s="85" t="s">
        <v>11</v>
      </c>
      <c r="G4" s="139"/>
      <c r="H4" s="85" t="s">
        <v>12</v>
      </c>
      <c r="I4" s="86" t="s">
        <v>13</v>
      </c>
      <c r="J4" s="85" t="s">
        <v>14</v>
      </c>
      <c r="K4" s="139"/>
      <c r="L4" s="144"/>
      <c r="O4" s="139"/>
      <c r="P4" s="139"/>
      <c r="Q4" s="139"/>
      <c r="R4" s="139"/>
      <c r="S4" s="139"/>
      <c r="T4" s="85" t="s">
        <v>11</v>
      </c>
      <c r="U4" s="139"/>
      <c r="V4" s="85" t="s">
        <v>12</v>
      </c>
      <c r="W4" s="86" t="s">
        <v>13</v>
      </c>
      <c r="X4" s="85" t="s">
        <v>14</v>
      </c>
      <c r="Y4" s="139"/>
      <c r="Z4" s="144"/>
      <c r="AB4" s="5" t="s">
        <v>2</v>
      </c>
    </row>
    <row r="5" spans="1:28" ht="25.5" x14ac:dyDescent="0.55000000000000004">
      <c r="A5" s="10">
        <v>1</v>
      </c>
      <c r="B5" s="19" t="s">
        <v>15</v>
      </c>
      <c r="C5" s="79">
        <v>15</v>
      </c>
      <c r="D5" s="87">
        <v>10</v>
      </c>
      <c r="E5" s="47">
        <f t="shared" ref="E5:E125" si="0">C5+D5</f>
        <v>25</v>
      </c>
      <c r="F5" s="87">
        <v>0</v>
      </c>
      <c r="G5" s="47">
        <f>+E5-F5-H5</f>
        <v>20</v>
      </c>
      <c r="H5" s="88">
        <v>5</v>
      </c>
      <c r="I5" s="15">
        <v>50</v>
      </c>
      <c r="J5" s="82">
        <f>+I5*H5</f>
        <v>250</v>
      </c>
      <c r="K5" s="17" t="s">
        <v>16</v>
      </c>
      <c r="L5" s="18">
        <v>0</v>
      </c>
      <c r="M5" s="23">
        <f>SUM(J5-L5)</f>
        <v>250</v>
      </c>
      <c r="O5" s="10">
        <v>1</v>
      </c>
      <c r="P5" s="19"/>
      <c r="Q5" s="47">
        <v>0</v>
      </c>
      <c r="R5" s="87">
        <v>0</v>
      </c>
      <c r="S5" s="47">
        <f t="shared" ref="S5:S14" si="1">Q5+R5</f>
        <v>0</v>
      </c>
      <c r="T5" s="87">
        <v>0</v>
      </c>
      <c r="U5" s="47">
        <f t="shared" ref="U5:U14" si="2">S5-T5-V5</f>
        <v>0</v>
      </c>
      <c r="V5" s="88">
        <v>0</v>
      </c>
      <c r="W5" s="22"/>
      <c r="X5" s="44">
        <f t="shared" ref="X5:X14" si="3">V5*W5</f>
        <v>0</v>
      </c>
      <c r="Y5" s="17" t="s">
        <v>16</v>
      </c>
      <c r="Z5" s="18">
        <v>0</v>
      </c>
      <c r="AB5" s="2" t="s">
        <v>317</v>
      </c>
    </row>
    <row r="6" spans="1:28" ht="25.5" x14ac:dyDescent="0.55000000000000004">
      <c r="A6" s="10">
        <v>2</v>
      </c>
      <c r="B6" s="19" t="s">
        <v>17</v>
      </c>
      <c r="C6" s="79">
        <f>+'18'!G6</f>
        <v>18</v>
      </c>
      <c r="D6" s="87">
        <v>10</v>
      </c>
      <c r="E6" s="47">
        <f t="shared" si="0"/>
        <v>28</v>
      </c>
      <c r="F6" s="87">
        <v>0</v>
      </c>
      <c r="G6" s="47">
        <f t="shared" ref="G6:G100" si="4">+E6-F6-H6</f>
        <v>22</v>
      </c>
      <c r="H6" s="88">
        <v>6</v>
      </c>
      <c r="I6" s="15">
        <v>100</v>
      </c>
      <c r="J6" s="82">
        <f t="shared" ref="J6:J100" si="5">+I6*H6</f>
        <v>600</v>
      </c>
      <c r="K6" s="17" t="s">
        <v>16</v>
      </c>
      <c r="L6" s="18">
        <v>0</v>
      </c>
      <c r="M6" s="23">
        <f t="shared" ref="M6:M69" si="6">SUM(J6-L6)</f>
        <v>600</v>
      </c>
      <c r="O6" s="10">
        <v>2</v>
      </c>
      <c r="P6" s="19"/>
      <c r="Q6" s="47">
        <v>0</v>
      </c>
      <c r="R6" s="87">
        <v>0</v>
      </c>
      <c r="S6" s="47">
        <f t="shared" si="1"/>
        <v>0</v>
      </c>
      <c r="T6" s="87">
        <v>0</v>
      </c>
      <c r="U6" s="47">
        <f t="shared" si="2"/>
        <v>0</v>
      </c>
      <c r="V6" s="88">
        <v>0</v>
      </c>
      <c r="W6" s="22"/>
      <c r="X6" s="44">
        <f t="shared" si="3"/>
        <v>0</v>
      </c>
      <c r="Y6" s="17" t="s">
        <v>16</v>
      </c>
      <c r="Z6" s="18">
        <v>0</v>
      </c>
      <c r="AB6" s="2" t="s">
        <v>318</v>
      </c>
    </row>
    <row r="7" spans="1:28" ht="25.5" x14ac:dyDescent="0.55000000000000004">
      <c r="A7" s="10">
        <v>3</v>
      </c>
      <c r="B7" s="19" t="s">
        <v>18</v>
      </c>
      <c r="C7" s="79">
        <f>+'18'!G7</f>
        <v>0</v>
      </c>
      <c r="D7" s="87">
        <v>0</v>
      </c>
      <c r="E7" s="47">
        <f>C7+D7</f>
        <v>0</v>
      </c>
      <c r="F7" s="87">
        <v>0</v>
      </c>
      <c r="G7" s="47">
        <f t="shared" si="4"/>
        <v>0</v>
      </c>
      <c r="H7" s="88"/>
      <c r="I7" s="15">
        <v>50</v>
      </c>
      <c r="J7" s="8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7">
        <v>0</v>
      </c>
      <c r="S7" s="47">
        <f t="shared" si="1"/>
        <v>0</v>
      </c>
      <c r="T7" s="87">
        <v>0</v>
      </c>
      <c r="U7" s="47">
        <f t="shared" si="2"/>
        <v>0</v>
      </c>
      <c r="V7" s="88">
        <v>0</v>
      </c>
      <c r="W7" s="22"/>
      <c r="X7" s="44">
        <f t="shared" si="3"/>
        <v>0</v>
      </c>
      <c r="Y7" s="17" t="s">
        <v>16</v>
      </c>
      <c r="Z7" s="18">
        <v>0</v>
      </c>
      <c r="AB7" s="2" t="s">
        <v>319</v>
      </c>
    </row>
    <row r="8" spans="1:28" ht="25.5" x14ac:dyDescent="0.55000000000000004">
      <c r="A8" s="10">
        <v>4</v>
      </c>
      <c r="B8" s="19" t="s">
        <v>19</v>
      </c>
      <c r="C8" s="79">
        <f>+'18'!G8</f>
        <v>0</v>
      </c>
      <c r="D8" s="87">
        <v>0</v>
      </c>
      <c r="E8" s="47">
        <f>C8+D8</f>
        <v>0</v>
      </c>
      <c r="F8" s="87">
        <v>0</v>
      </c>
      <c r="G8" s="47">
        <f t="shared" si="4"/>
        <v>0</v>
      </c>
      <c r="H8" s="88"/>
      <c r="I8" s="15">
        <v>100</v>
      </c>
      <c r="J8" s="8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7">
        <v>0</v>
      </c>
      <c r="S8" s="47">
        <f t="shared" si="1"/>
        <v>0</v>
      </c>
      <c r="T8" s="87">
        <v>0</v>
      </c>
      <c r="U8" s="47">
        <f t="shared" si="2"/>
        <v>0</v>
      </c>
      <c r="V8" s="88">
        <v>0</v>
      </c>
      <c r="W8" s="22"/>
      <c r="X8" s="44">
        <f t="shared" si="3"/>
        <v>0</v>
      </c>
      <c r="Y8" s="17" t="s">
        <v>16</v>
      </c>
      <c r="Z8" s="18">
        <v>0</v>
      </c>
      <c r="AB8" s="2" t="s">
        <v>320</v>
      </c>
    </row>
    <row r="9" spans="1:28" ht="25.5" x14ac:dyDescent="0.55000000000000004">
      <c r="A9" s="10">
        <v>5</v>
      </c>
      <c r="B9" s="19" t="s">
        <v>20</v>
      </c>
      <c r="C9" s="79">
        <f>+'18'!G9</f>
        <v>0</v>
      </c>
      <c r="D9" s="87">
        <v>0</v>
      </c>
      <c r="E9" s="47">
        <f>C9+D9</f>
        <v>0</v>
      </c>
      <c r="F9" s="87">
        <v>0</v>
      </c>
      <c r="G9" s="47">
        <f t="shared" si="4"/>
        <v>0</v>
      </c>
      <c r="H9" s="88"/>
      <c r="I9" s="15">
        <v>12</v>
      </c>
      <c r="J9" s="8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7">
        <v>0</v>
      </c>
      <c r="S9" s="47">
        <f t="shared" si="1"/>
        <v>0</v>
      </c>
      <c r="T9" s="87">
        <v>0</v>
      </c>
      <c r="U9" s="47">
        <f t="shared" si="2"/>
        <v>0</v>
      </c>
      <c r="V9" s="88">
        <v>0</v>
      </c>
      <c r="W9" s="22"/>
      <c r="X9" s="44">
        <f t="shared" si="3"/>
        <v>0</v>
      </c>
      <c r="Y9" s="17" t="s">
        <v>16</v>
      </c>
      <c r="Z9" s="18">
        <v>0</v>
      </c>
      <c r="AB9" s="2" t="s">
        <v>307</v>
      </c>
    </row>
    <row r="10" spans="1:28" ht="25.5" x14ac:dyDescent="0.55000000000000004">
      <c r="A10" s="10">
        <v>6</v>
      </c>
      <c r="B10" s="19" t="s">
        <v>21</v>
      </c>
      <c r="C10" s="79">
        <f>+'18'!G10</f>
        <v>0</v>
      </c>
      <c r="D10" s="87">
        <v>0</v>
      </c>
      <c r="E10" s="47">
        <f>C10+D10</f>
        <v>0</v>
      </c>
      <c r="F10" s="87">
        <v>0</v>
      </c>
      <c r="G10" s="47">
        <f t="shared" si="4"/>
        <v>0</v>
      </c>
      <c r="H10" s="88"/>
      <c r="I10" s="15">
        <v>15</v>
      </c>
      <c r="J10" s="8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7">
        <v>0</v>
      </c>
      <c r="S10" s="47">
        <f t="shared" si="1"/>
        <v>0</v>
      </c>
      <c r="T10" s="87">
        <v>0</v>
      </c>
      <c r="U10" s="47">
        <f t="shared" si="2"/>
        <v>0</v>
      </c>
      <c r="V10" s="88">
        <v>0</v>
      </c>
      <c r="W10" s="22"/>
      <c r="X10" s="44">
        <f t="shared" si="3"/>
        <v>0</v>
      </c>
      <c r="Y10" s="17" t="s">
        <v>16</v>
      </c>
      <c r="Z10" s="18">
        <v>0</v>
      </c>
      <c r="AB10" s="2" t="s">
        <v>311</v>
      </c>
    </row>
    <row r="11" spans="1:28" ht="25.5" x14ac:dyDescent="0.55000000000000004">
      <c r="A11" s="10">
        <v>7</v>
      </c>
      <c r="B11" s="19" t="s">
        <v>22</v>
      </c>
      <c r="C11" s="79">
        <f>+'18'!G11</f>
        <v>0</v>
      </c>
      <c r="D11" s="87">
        <v>0</v>
      </c>
      <c r="E11" s="47">
        <f t="shared" si="0"/>
        <v>0</v>
      </c>
      <c r="F11" s="87">
        <v>0</v>
      </c>
      <c r="G11" s="47">
        <f t="shared" si="4"/>
        <v>0</v>
      </c>
      <c r="H11" s="88"/>
      <c r="I11" s="15">
        <v>40</v>
      </c>
      <c r="J11" s="8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7">
        <v>0</v>
      </c>
      <c r="S11" s="47">
        <f t="shared" si="1"/>
        <v>0</v>
      </c>
      <c r="T11" s="87">
        <v>0</v>
      </c>
      <c r="U11" s="47">
        <f t="shared" si="2"/>
        <v>0</v>
      </c>
      <c r="V11" s="88">
        <v>0</v>
      </c>
      <c r="W11" s="22"/>
      <c r="X11" s="44">
        <f t="shared" si="3"/>
        <v>0</v>
      </c>
      <c r="Y11" s="17" t="s">
        <v>16</v>
      </c>
      <c r="Z11" s="18">
        <v>0</v>
      </c>
      <c r="AB11" s="2" t="s">
        <v>321</v>
      </c>
    </row>
    <row r="12" spans="1:28" ht="25.5" x14ac:dyDescent="0.55000000000000004">
      <c r="A12" s="10">
        <v>8</v>
      </c>
      <c r="B12" s="19" t="s">
        <v>23</v>
      </c>
      <c r="C12" s="79">
        <f>+'18'!G12</f>
        <v>0</v>
      </c>
      <c r="D12" s="87">
        <v>0</v>
      </c>
      <c r="E12" s="47">
        <f t="shared" si="0"/>
        <v>0</v>
      </c>
      <c r="F12" s="87">
        <v>0</v>
      </c>
      <c r="G12" s="47">
        <f t="shared" si="4"/>
        <v>0</v>
      </c>
      <c r="H12" s="88"/>
      <c r="I12" s="20">
        <v>50</v>
      </c>
      <c r="J12" s="8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7">
        <v>0</v>
      </c>
      <c r="S12" s="47">
        <f t="shared" si="1"/>
        <v>0</v>
      </c>
      <c r="T12" s="87">
        <v>0</v>
      </c>
      <c r="U12" s="47">
        <f t="shared" si="2"/>
        <v>0</v>
      </c>
      <c r="V12" s="88">
        <v>0</v>
      </c>
      <c r="W12" s="22"/>
      <c r="X12" s="44">
        <f t="shared" si="3"/>
        <v>0</v>
      </c>
      <c r="Y12" s="17" t="s">
        <v>16</v>
      </c>
      <c r="Z12" s="18">
        <v>0</v>
      </c>
      <c r="AB12" s="2" t="s">
        <v>289</v>
      </c>
    </row>
    <row r="13" spans="1:28" ht="25.5" x14ac:dyDescent="0.55000000000000004">
      <c r="A13" s="10">
        <v>9</v>
      </c>
      <c r="B13" s="19" t="s">
        <v>24</v>
      </c>
      <c r="C13" s="79">
        <f>+'18'!G13</f>
        <v>0</v>
      </c>
      <c r="D13" s="87">
        <v>0</v>
      </c>
      <c r="E13" s="47">
        <f>C13+D13</f>
        <v>0</v>
      </c>
      <c r="F13" s="87">
        <v>0</v>
      </c>
      <c r="G13" s="47">
        <f t="shared" si="4"/>
        <v>0</v>
      </c>
      <c r="H13" s="88"/>
      <c r="I13" s="20">
        <v>55</v>
      </c>
      <c r="J13" s="8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7">
        <v>0</v>
      </c>
      <c r="S13" s="47">
        <f t="shared" si="1"/>
        <v>0</v>
      </c>
      <c r="T13" s="87">
        <v>0</v>
      </c>
      <c r="U13" s="47">
        <f t="shared" si="2"/>
        <v>0</v>
      </c>
      <c r="V13" s="88">
        <v>0</v>
      </c>
      <c r="W13" s="22"/>
      <c r="X13" s="44">
        <f t="shared" si="3"/>
        <v>0</v>
      </c>
      <c r="Y13" s="17" t="s">
        <v>16</v>
      </c>
      <c r="Z13" s="18">
        <v>0</v>
      </c>
      <c r="AB13" s="2" t="s">
        <v>322</v>
      </c>
    </row>
    <row r="14" spans="1:28" ht="25.5" x14ac:dyDescent="0.55000000000000004">
      <c r="A14" s="10">
        <v>10</v>
      </c>
      <c r="B14" s="19" t="s">
        <v>25</v>
      </c>
      <c r="C14" s="79">
        <f>+'18'!G14</f>
        <v>0</v>
      </c>
      <c r="D14" s="87">
        <v>0</v>
      </c>
      <c r="E14" s="47">
        <f t="shared" si="0"/>
        <v>0</v>
      </c>
      <c r="F14" s="87">
        <v>0</v>
      </c>
      <c r="G14" s="47">
        <f t="shared" si="4"/>
        <v>0</v>
      </c>
      <c r="H14" s="88"/>
      <c r="I14" s="20">
        <v>65</v>
      </c>
      <c r="J14" s="8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7">
        <v>0</v>
      </c>
      <c r="S14" s="47">
        <f t="shared" si="1"/>
        <v>0</v>
      </c>
      <c r="T14" s="87">
        <v>0</v>
      </c>
      <c r="U14" s="47">
        <f t="shared" si="2"/>
        <v>0</v>
      </c>
      <c r="V14" s="88">
        <v>0</v>
      </c>
      <c r="W14" s="22"/>
      <c r="X14" s="44">
        <f t="shared" si="3"/>
        <v>0</v>
      </c>
      <c r="Y14" s="17" t="s">
        <v>16</v>
      </c>
      <c r="Z14" s="18">
        <v>0</v>
      </c>
      <c r="AB14" s="2" t="s">
        <v>306</v>
      </c>
    </row>
    <row r="15" spans="1:28" ht="25.5" x14ac:dyDescent="0.55000000000000004">
      <c r="A15" s="10">
        <v>11</v>
      </c>
      <c r="B15" s="19" t="s">
        <v>26</v>
      </c>
      <c r="C15" s="79">
        <f>+'18'!G15</f>
        <v>0</v>
      </c>
      <c r="D15" s="87">
        <v>0</v>
      </c>
      <c r="E15" s="47">
        <f t="shared" si="0"/>
        <v>0</v>
      </c>
      <c r="F15" s="87">
        <v>0</v>
      </c>
      <c r="G15" s="47">
        <f t="shared" si="4"/>
        <v>0</v>
      </c>
      <c r="H15" s="88"/>
      <c r="I15" s="20">
        <v>50</v>
      </c>
      <c r="J15" s="8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7">
        <v>0</v>
      </c>
      <c r="S15" s="47">
        <f t="shared" ref="S15:S29" si="7">Q15+R15</f>
        <v>0</v>
      </c>
      <c r="T15" s="87">
        <v>0</v>
      </c>
      <c r="U15" s="47">
        <f t="shared" ref="U15:U29" si="8">S15-T15-V15</f>
        <v>0</v>
      </c>
      <c r="V15" s="88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8" ht="25.5" x14ac:dyDescent="0.55000000000000004">
      <c r="A16" s="10">
        <v>12</v>
      </c>
      <c r="B16" s="19" t="s">
        <v>27</v>
      </c>
      <c r="C16" s="79">
        <f>+'18'!G16</f>
        <v>0</v>
      </c>
      <c r="D16" s="87">
        <v>0</v>
      </c>
      <c r="E16" s="47">
        <f t="shared" si="0"/>
        <v>0</v>
      </c>
      <c r="F16" s="87">
        <v>0</v>
      </c>
      <c r="G16" s="47">
        <f t="shared" si="4"/>
        <v>0</v>
      </c>
      <c r="H16" s="88"/>
      <c r="I16" s="15">
        <v>50</v>
      </c>
      <c r="J16" s="8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7">
        <v>0</v>
      </c>
      <c r="S16" s="47">
        <f t="shared" si="7"/>
        <v>0</v>
      </c>
      <c r="T16" s="87">
        <v>0</v>
      </c>
      <c r="U16" s="47">
        <f t="shared" si="8"/>
        <v>0</v>
      </c>
      <c r="V16" s="88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+'18'!G17</f>
        <v>0</v>
      </c>
      <c r="D17" s="87">
        <v>0</v>
      </c>
      <c r="E17" s="47">
        <f t="shared" si="0"/>
        <v>0</v>
      </c>
      <c r="F17" s="87">
        <v>0</v>
      </c>
      <c r="G17" s="47">
        <f t="shared" si="4"/>
        <v>0</v>
      </c>
      <c r="H17" s="88"/>
      <c r="I17" s="15">
        <v>50</v>
      </c>
      <c r="J17" s="8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7">
        <v>0</v>
      </c>
      <c r="S17" s="47">
        <f t="shared" si="7"/>
        <v>0</v>
      </c>
      <c r="T17" s="87">
        <v>0</v>
      </c>
      <c r="U17" s="47">
        <f t="shared" si="8"/>
        <v>0</v>
      </c>
      <c r="V17" s="88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+'18'!G18</f>
        <v>0</v>
      </c>
      <c r="D18" s="87">
        <v>0</v>
      </c>
      <c r="E18" s="47">
        <f t="shared" si="0"/>
        <v>0</v>
      </c>
      <c r="F18" s="87">
        <v>0</v>
      </c>
      <c r="G18" s="47">
        <f t="shared" si="4"/>
        <v>0</v>
      </c>
      <c r="H18" s="88"/>
      <c r="I18" s="20">
        <v>50</v>
      </c>
      <c r="J18" s="8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7">
        <v>0</v>
      </c>
      <c r="S18" s="47">
        <f t="shared" si="7"/>
        <v>0</v>
      </c>
      <c r="T18" s="87">
        <v>0</v>
      </c>
      <c r="U18" s="47">
        <f t="shared" si="8"/>
        <v>0</v>
      </c>
      <c r="V18" s="88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329</v>
      </c>
      <c r="C19" s="79">
        <f>+'18'!G19</f>
        <v>0</v>
      </c>
      <c r="D19" s="87">
        <v>0</v>
      </c>
      <c r="E19" s="47">
        <f t="shared" si="0"/>
        <v>0</v>
      </c>
      <c r="F19" s="87">
        <v>0</v>
      </c>
      <c r="G19" s="47">
        <f t="shared" si="4"/>
        <v>0</v>
      </c>
      <c r="H19" s="88"/>
      <c r="I19" s="15">
        <v>50</v>
      </c>
      <c r="J19" s="8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7">
        <v>0</v>
      </c>
      <c r="S19" s="47">
        <f t="shared" si="7"/>
        <v>0</v>
      </c>
      <c r="T19" s="87">
        <v>0</v>
      </c>
      <c r="U19" s="47">
        <f t="shared" si="8"/>
        <v>0</v>
      </c>
      <c r="V19" s="88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+'18'!G20</f>
        <v>0</v>
      </c>
      <c r="D20" s="87">
        <v>0</v>
      </c>
      <c r="E20" s="47">
        <f t="shared" si="0"/>
        <v>0</v>
      </c>
      <c r="F20" s="87">
        <v>0</v>
      </c>
      <c r="G20" s="47">
        <f t="shared" si="4"/>
        <v>0</v>
      </c>
      <c r="H20" s="88"/>
      <c r="I20" s="15">
        <v>50</v>
      </c>
      <c r="J20" s="8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7">
        <v>0</v>
      </c>
      <c r="S20" s="47">
        <f t="shared" si="7"/>
        <v>0</v>
      </c>
      <c r="T20" s="87">
        <v>0</v>
      </c>
      <c r="U20" s="47">
        <f t="shared" si="8"/>
        <v>0</v>
      </c>
      <c r="V20" s="88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+'18'!G21</f>
        <v>0</v>
      </c>
      <c r="D21" s="87">
        <v>0</v>
      </c>
      <c r="E21" s="47">
        <f t="shared" si="0"/>
        <v>0</v>
      </c>
      <c r="F21" s="87">
        <v>0</v>
      </c>
      <c r="G21" s="47">
        <f t="shared" si="4"/>
        <v>0</v>
      </c>
      <c r="H21" s="88"/>
      <c r="I21" s="15">
        <v>50</v>
      </c>
      <c r="J21" s="8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7">
        <v>0</v>
      </c>
      <c r="S21" s="47">
        <f t="shared" si="7"/>
        <v>0</v>
      </c>
      <c r="T21" s="87">
        <v>0</v>
      </c>
      <c r="U21" s="47">
        <f t="shared" si="8"/>
        <v>0</v>
      </c>
      <c r="V21" s="88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v>5</v>
      </c>
      <c r="D22" s="87">
        <v>5</v>
      </c>
      <c r="E22" s="47">
        <f t="shared" si="0"/>
        <v>10</v>
      </c>
      <c r="F22" s="87">
        <v>0</v>
      </c>
      <c r="G22" s="47">
        <f t="shared" si="4"/>
        <v>9</v>
      </c>
      <c r="H22" s="88">
        <v>1</v>
      </c>
      <c r="I22" s="15">
        <v>85</v>
      </c>
      <c r="J22" s="82">
        <f t="shared" si="5"/>
        <v>85</v>
      </c>
      <c r="K22" s="17" t="s">
        <v>16</v>
      </c>
      <c r="L22" s="18">
        <v>0</v>
      </c>
      <c r="M22" s="23">
        <f t="shared" si="6"/>
        <v>85</v>
      </c>
      <c r="O22" s="10">
        <v>18</v>
      </c>
      <c r="P22" s="19"/>
      <c r="Q22" s="47">
        <v>0</v>
      </c>
      <c r="R22" s="87">
        <v>0</v>
      </c>
      <c r="S22" s="47">
        <f t="shared" si="7"/>
        <v>0</v>
      </c>
      <c r="T22" s="87">
        <v>0</v>
      </c>
      <c r="U22" s="47">
        <f t="shared" si="8"/>
        <v>0</v>
      </c>
      <c r="V22" s="88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+'18'!G23</f>
        <v>0</v>
      </c>
      <c r="D23" s="87">
        <v>10</v>
      </c>
      <c r="E23" s="47">
        <f t="shared" si="0"/>
        <v>10</v>
      </c>
      <c r="F23" s="87">
        <v>0</v>
      </c>
      <c r="G23" s="47">
        <f t="shared" si="4"/>
        <v>7</v>
      </c>
      <c r="H23" s="88">
        <v>3</v>
      </c>
      <c r="I23" s="15">
        <v>100</v>
      </c>
      <c r="J23" s="82">
        <f t="shared" si="5"/>
        <v>300</v>
      </c>
      <c r="K23" s="17" t="s">
        <v>16</v>
      </c>
      <c r="L23" s="18">
        <v>0</v>
      </c>
      <c r="M23" s="23">
        <f t="shared" si="6"/>
        <v>300</v>
      </c>
      <c r="O23" s="10">
        <v>19</v>
      </c>
      <c r="P23" s="19"/>
      <c r="Q23" s="47">
        <v>0</v>
      </c>
      <c r="R23" s="87">
        <v>0</v>
      </c>
      <c r="S23" s="47">
        <f t="shared" si="7"/>
        <v>0</v>
      </c>
      <c r="T23" s="87">
        <v>0</v>
      </c>
      <c r="U23" s="47">
        <f t="shared" si="8"/>
        <v>0</v>
      </c>
      <c r="V23" s="88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+'18'!G24</f>
        <v>3</v>
      </c>
      <c r="D24" s="87">
        <v>5</v>
      </c>
      <c r="E24" s="47">
        <f t="shared" si="0"/>
        <v>8</v>
      </c>
      <c r="F24" s="87">
        <v>0</v>
      </c>
      <c r="G24" s="47">
        <f t="shared" si="4"/>
        <v>7</v>
      </c>
      <c r="H24" s="88">
        <v>1</v>
      </c>
      <c r="I24" s="21">
        <v>100</v>
      </c>
      <c r="J24" s="82">
        <f t="shared" si="5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9"/>
      <c r="Q24" s="47">
        <v>0</v>
      </c>
      <c r="R24" s="87">
        <v>0</v>
      </c>
      <c r="S24" s="47">
        <f t="shared" si="7"/>
        <v>0</v>
      </c>
      <c r="T24" s="87">
        <v>0</v>
      </c>
      <c r="U24" s="47">
        <f t="shared" si="8"/>
        <v>0</v>
      </c>
      <c r="V24" s="88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+'18'!G25</f>
        <v>0</v>
      </c>
      <c r="D25" s="87">
        <v>5</v>
      </c>
      <c r="E25" s="47">
        <f t="shared" si="0"/>
        <v>5</v>
      </c>
      <c r="F25" s="87">
        <v>0</v>
      </c>
      <c r="G25" s="47">
        <f t="shared" si="4"/>
        <v>5</v>
      </c>
      <c r="H25" s="88"/>
      <c r="I25" s="21">
        <v>100</v>
      </c>
      <c r="J25" s="8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7">
        <v>0</v>
      </c>
      <c r="S25" s="47">
        <f t="shared" si="7"/>
        <v>0</v>
      </c>
      <c r="T25" s="87">
        <v>0</v>
      </c>
      <c r="U25" s="47">
        <f t="shared" si="8"/>
        <v>0</v>
      </c>
      <c r="V25" s="88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+'18'!G26</f>
        <v>0</v>
      </c>
      <c r="D26" s="87">
        <v>0</v>
      </c>
      <c r="E26" s="47">
        <f t="shared" si="0"/>
        <v>0</v>
      </c>
      <c r="F26" s="87">
        <v>0</v>
      </c>
      <c r="G26" s="47">
        <f t="shared" si="4"/>
        <v>0</v>
      </c>
      <c r="H26" s="88"/>
      <c r="I26" s="21">
        <v>100</v>
      </c>
      <c r="J26" s="8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7">
        <v>0</v>
      </c>
      <c r="S26" s="47">
        <f t="shared" si="7"/>
        <v>0</v>
      </c>
      <c r="T26" s="87">
        <v>0</v>
      </c>
      <c r="U26" s="47">
        <f t="shared" si="8"/>
        <v>0</v>
      </c>
      <c r="V26" s="88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+'18'!G27</f>
        <v>0</v>
      </c>
      <c r="D27" s="87">
        <v>0</v>
      </c>
      <c r="E27" s="47">
        <f t="shared" si="0"/>
        <v>0</v>
      </c>
      <c r="F27" s="87">
        <v>0</v>
      </c>
      <c r="G27" s="47">
        <f t="shared" si="4"/>
        <v>0</v>
      </c>
      <c r="H27" s="88"/>
      <c r="I27" s="20">
        <v>100</v>
      </c>
      <c r="J27" s="8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7">
        <v>0</v>
      </c>
      <c r="S27" s="47">
        <f t="shared" si="7"/>
        <v>0</v>
      </c>
      <c r="T27" s="87">
        <v>0</v>
      </c>
      <c r="U27" s="47">
        <f t="shared" si="8"/>
        <v>0</v>
      </c>
      <c r="V27" s="88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+'18'!G28</f>
        <v>0</v>
      </c>
      <c r="D28" s="87">
        <v>0</v>
      </c>
      <c r="E28" s="47">
        <f t="shared" si="0"/>
        <v>0</v>
      </c>
      <c r="F28" s="87">
        <v>0</v>
      </c>
      <c r="G28" s="47">
        <f t="shared" si="4"/>
        <v>0</v>
      </c>
      <c r="H28" s="88"/>
      <c r="I28" s="20">
        <v>100</v>
      </c>
      <c r="J28" s="8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7">
        <v>0</v>
      </c>
      <c r="S28" s="47">
        <f t="shared" si="7"/>
        <v>0</v>
      </c>
      <c r="T28" s="87">
        <v>0</v>
      </c>
      <c r="U28" s="47">
        <f t="shared" si="8"/>
        <v>0</v>
      </c>
      <c r="V28" s="88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+'18'!G29</f>
        <v>0</v>
      </c>
      <c r="D29" s="87">
        <v>0</v>
      </c>
      <c r="E29" s="47">
        <f t="shared" si="0"/>
        <v>0</v>
      </c>
      <c r="F29" s="87">
        <v>0</v>
      </c>
      <c r="G29" s="47">
        <f t="shared" si="4"/>
        <v>0</v>
      </c>
      <c r="H29" s="88"/>
      <c r="I29" s="15">
        <v>100</v>
      </c>
      <c r="J29" s="8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7">
        <v>0</v>
      </c>
      <c r="S29" s="47">
        <f t="shared" si="7"/>
        <v>0</v>
      </c>
      <c r="T29" s="87">
        <v>0</v>
      </c>
      <c r="U29" s="47">
        <f t="shared" si="8"/>
        <v>0</v>
      </c>
      <c r="V29" s="88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+'18'!G30</f>
        <v>0</v>
      </c>
      <c r="D30" s="87">
        <v>0</v>
      </c>
      <c r="E30" s="47">
        <f t="shared" si="0"/>
        <v>0</v>
      </c>
      <c r="F30" s="87">
        <v>0</v>
      </c>
      <c r="G30" s="47">
        <f t="shared" si="4"/>
        <v>0</v>
      </c>
      <c r="H30" s="88"/>
      <c r="I30" s="15">
        <v>100</v>
      </c>
      <c r="J30" s="8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+'18'!G31</f>
        <v>1</v>
      </c>
      <c r="D31" s="87">
        <v>0</v>
      </c>
      <c r="E31" s="47">
        <f t="shared" si="0"/>
        <v>1</v>
      </c>
      <c r="F31" s="87">
        <v>0</v>
      </c>
      <c r="G31" s="47">
        <f t="shared" si="4"/>
        <v>1</v>
      </c>
      <c r="H31" s="88"/>
      <c r="I31" s="15">
        <v>100</v>
      </c>
      <c r="J31" s="82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+'18'!G32</f>
        <v>0</v>
      </c>
      <c r="D32" s="87">
        <v>0</v>
      </c>
      <c r="E32" s="47">
        <f t="shared" si="0"/>
        <v>0</v>
      </c>
      <c r="F32" s="87">
        <v>0</v>
      </c>
      <c r="G32" s="47">
        <f t="shared" si="4"/>
        <v>0</v>
      </c>
      <c r="H32" s="88"/>
      <c r="I32" s="15">
        <v>130</v>
      </c>
      <c r="J32" s="82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5" t="s">
        <v>119</v>
      </c>
      <c r="Q32" s="146"/>
      <c r="R32" s="146"/>
      <c r="S32" s="146"/>
      <c r="T32" s="146"/>
      <c r="U32" s="146"/>
      <c r="V32" s="146"/>
      <c r="W32" s="147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+'18'!G33</f>
        <v>12</v>
      </c>
      <c r="D33" s="87">
        <v>0</v>
      </c>
      <c r="E33" s="47">
        <f t="shared" si="0"/>
        <v>12</v>
      </c>
      <c r="F33" s="87">
        <v>0</v>
      </c>
      <c r="G33" s="47">
        <f t="shared" si="4"/>
        <v>10</v>
      </c>
      <c r="H33" s="88">
        <v>2</v>
      </c>
      <c r="I33" s="15">
        <v>130</v>
      </c>
      <c r="J33" s="82">
        <f t="shared" si="5"/>
        <v>260</v>
      </c>
      <c r="K33" s="17" t="s">
        <v>16</v>
      </c>
      <c r="L33" s="18">
        <v>130</v>
      </c>
      <c r="M33" s="23">
        <f t="shared" si="6"/>
        <v>130</v>
      </c>
    </row>
    <row r="34" spans="1:13" ht="25.5" x14ac:dyDescent="0.55000000000000004">
      <c r="A34" s="10">
        <v>30</v>
      </c>
      <c r="B34" s="19" t="s">
        <v>45</v>
      </c>
      <c r="C34" s="79">
        <f>+'18'!G34</f>
        <v>13</v>
      </c>
      <c r="D34" s="87">
        <v>5</v>
      </c>
      <c r="E34" s="47">
        <f t="shared" si="0"/>
        <v>18</v>
      </c>
      <c r="F34" s="87">
        <v>0</v>
      </c>
      <c r="G34" s="47">
        <f t="shared" si="4"/>
        <v>18</v>
      </c>
      <c r="H34" s="88"/>
      <c r="I34" s="15">
        <v>130</v>
      </c>
      <c r="J34" s="82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+'18'!G35</f>
        <v>0</v>
      </c>
      <c r="D35" s="87">
        <v>0</v>
      </c>
      <c r="E35" s="47">
        <f t="shared" si="0"/>
        <v>0</v>
      </c>
      <c r="F35" s="87">
        <v>0</v>
      </c>
      <c r="G35" s="47">
        <f t="shared" si="4"/>
        <v>0</v>
      </c>
      <c r="H35" s="88"/>
      <c r="I35" s="15">
        <v>130</v>
      </c>
      <c r="J35" s="82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+'18'!G36</f>
        <v>0</v>
      </c>
      <c r="D36" s="87">
        <v>0</v>
      </c>
      <c r="E36" s="47">
        <f t="shared" si="0"/>
        <v>0</v>
      </c>
      <c r="F36" s="87">
        <v>0</v>
      </c>
      <c r="G36" s="47">
        <f t="shared" si="4"/>
        <v>0</v>
      </c>
      <c r="H36" s="88"/>
      <c r="I36" s="15">
        <v>100</v>
      </c>
      <c r="J36" s="82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+'18'!G37</f>
        <v>0</v>
      </c>
      <c r="D37" s="87">
        <v>10</v>
      </c>
      <c r="E37" s="47">
        <f t="shared" si="0"/>
        <v>10</v>
      </c>
      <c r="F37" s="87">
        <v>0</v>
      </c>
      <c r="G37" s="47">
        <f t="shared" si="4"/>
        <v>9</v>
      </c>
      <c r="H37" s="88">
        <v>1</v>
      </c>
      <c r="I37" s="15">
        <v>100</v>
      </c>
      <c r="J37" s="82">
        <f t="shared" si="5"/>
        <v>100</v>
      </c>
      <c r="K37" s="17" t="s">
        <v>16</v>
      </c>
      <c r="L37" s="18">
        <v>0</v>
      </c>
      <c r="M37" s="23">
        <f t="shared" si="6"/>
        <v>100</v>
      </c>
    </row>
    <row r="38" spans="1:13" ht="25.5" x14ac:dyDescent="0.55000000000000004">
      <c r="A38" s="10">
        <v>34</v>
      </c>
      <c r="B38" s="19" t="s">
        <v>49</v>
      </c>
      <c r="C38" s="79">
        <f>+'18'!G38</f>
        <v>0</v>
      </c>
      <c r="D38" s="87">
        <v>5</v>
      </c>
      <c r="E38" s="47">
        <f t="shared" si="0"/>
        <v>5</v>
      </c>
      <c r="F38" s="87">
        <v>0</v>
      </c>
      <c r="G38" s="47">
        <f t="shared" si="4"/>
        <v>4</v>
      </c>
      <c r="H38" s="88">
        <v>1</v>
      </c>
      <c r="I38" s="15">
        <v>50</v>
      </c>
      <c r="J38" s="82">
        <f t="shared" si="5"/>
        <v>50</v>
      </c>
      <c r="K38" s="17" t="s">
        <v>16</v>
      </c>
      <c r="L38" s="18">
        <v>0</v>
      </c>
      <c r="M38" s="23">
        <f t="shared" si="6"/>
        <v>50</v>
      </c>
    </row>
    <row r="39" spans="1:13" ht="25.5" x14ac:dyDescent="0.55000000000000004">
      <c r="A39" s="10">
        <v>35</v>
      </c>
      <c r="B39" s="19" t="s">
        <v>50</v>
      </c>
      <c r="C39" s="79">
        <f>+'18'!G39</f>
        <v>7</v>
      </c>
      <c r="D39" s="87">
        <v>5</v>
      </c>
      <c r="E39" s="47">
        <f t="shared" si="0"/>
        <v>12</v>
      </c>
      <c r="F39" s="87">
        <v>0</v>
      </c>
      <c r="G39" s="47">
        <f t="shared" si="4"/>
        <v>12</v>
      </c>
      <c r="H39" s="88"/>
      <c r="I39" s="15">
        <v>50</v>
      </c>
      <c r="J39" s="82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+'18'!G40</f>
        <v>7</v>
      </c>
      <c r="D40" s="87">
        <v>5</v>
      </c>
      <c r="E40" s="47">
        <f t="shared" si="0"/>
        <v>12</v>
      </c>
      <c r="F40" s="87">
        <v>0</v>
      </c>
      <c r="G40" s="47">
        <f t="shared" si="4"/>
        <v>10</v>
      </c>
      <c r="H40" s="88">
        <v>2</v>
      </c>
      <c r="I40" s="15">
        <v>50</v>
      </c>
      <c r="J40" s="82">
        <f t="shared" si="5"/>
        <v>100</v>
      </c>
      <c r="K40" s="17" t="s">
        <v>16</v>
      </c>
      <c r="L40" s="18">
        <v>0</v>
      </c>
      <c r="M40" s="23">
        <f t="shared" si="6"/>
        <v>100</v>
      </c>
    </row>
    <row r="41" spans="1:13" ht="25.5" x14ac:dyDescent="0.55000000000000004">
      <c r="A41" s="10">
        <v>37</v>
      </c>
      <c r="B41" s="19" t="s">
        <v>52</v>
      </c>
      <c r="C41" s="79">
        <f>+'18'!G41</f>
        <v>0</v>
      </c>
      <c r="D41" s="87">
        <v>0</v>
      </c>
      <c r="E41" s="47">
        <f t="shared" si="0"/>
        <v>0</v>
      </c>
      <c r="F41" s="87">
        <v>0</v>
      </c>
      <c r="G41" s="47">
        <f t="shared" si="4"/>
        <v>0</v>
      </c>
      <c r="H41" s="88"/>
      <c r="I41" s="15">
        <v>50</v>
      </c>
      <c r="J41" s="82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285</v>
      </c>
      <c r="C42" s="79">
        <f>+'18'!G42</f>
        <v>0</v>
      </c>
      <c r="D42" s="87">
        <v>0</v>
      </c>
      <c r="E42" s="47">
        <f t="shared" si="0"/>
        <v>0</v>
      </c>
      <c r="F42" s="87">
        <v>0</v>
      </c>
      <c r="G42" s="47">
        <f t="shared" si="4"/>
        <v>0</v>
      </c>
      <c r="H42" s="88"/>
      <c r="I42" s="15">
        <v>50</v>
      </c>
      <c r="J42" s="82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+'18'!G43</f>
        <v>0</v>
      </c>
      <c r="D43" s="87">
        <v>0</v>
      </c>
      <c r="E43" s="47">
        <f t="shared" si="0"/>
        <v>0</v>
      </c>
      <c r="F43" s="87">
        <v>0</v>
      </c>
      <c r="G43" s="47">
        <f t="shared" si="4"/>
        <v>0</v>
      </c>
      <c r="H43" s="88"/>
      <c r="I43" s="15">
        <v>50</v>
      </c>
      <c r="J43" s="82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+'18'!G44</f>
        <v>0</v>
      </c>
      <c r="D44" s="87">
        <v>0</v>
      </c>
      <c r="E44" s="47">
        <f t="shared" si="0"/>
        <v>0</v>
      </c>
      <c r="F44" s="87">
        <v>0</v>
      </c>
      <c r="G44" s="47">
        <f t="shared" si="4"/>
        <v>0</v>
      </c>
      <c r="H44" s="88"/>
      <c r="I44" s="15">
        <v>50</v>
      </c>
      <c r="J44" s="82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+'18'!G45</f>
        <v>0</v>
      </c>
      <c r="D45" s="87">
        <v>0</v>
      </c>
      <c r="E45" s="47">
        <f t="shared" si="0"/>
        <v>0</v>
      </c>
      <c r="F45" s="87">
        <v>0</v>
      </c>
      <c r="G45" s="47">
        <f t="shared" si="4"/>
        <v>0</v>
      </c>
      <c r="H45" s="88"/>
      <c r="I45" s="15">
        <v>50</v>
      </c>
      <c r="J45" s="82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286</v>
      </c>
      <c r="C46" s="79">
        <f>+'18'!G46</f>
        <v>0</v>
      </c>
      <c r="D46" s="87">
        <v>0</v>
      </c>
      <c r="E46" s="47">
        <f t="shared" si="0"/>
        <v>0</v>
      </c>
      <c r="F46" s="87">
        <v>0</v>
      </c>
      <c r="G46" s="47">
        <f t="shared" si="4"/>
        <v>0</v>
      </c>
      <c r="H46" s="88"/>
      <c r="I46" s="15">
        <v>50</v>
      </c>
      <c r="J46" s="82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+'18'!G47</f>
        <v>0</v>
      </c>
      <c r="D47" s="87">
        <v>0</v>
      </c>
      <c r="E47" s="47">
        <f t="shared" si="0"/>
        <v>0</v>
      </c>
      <c r="F47" s="87">
        <v>0</v>
      </c>
      <c r="G47" s="47">
        <f t="shared" si="4"/>
        <v>0</v>
      </c>
      <c r="H47" s="88"/>
      <c r="I47" s="15">
        <v>50</v>
      </c>
      <c r="J47" s="82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+'18'!G48</f>
        <v>0</v>
      </c>
      <c r="D48" s="87">
        <v>0</v>
      </c>
      <c r="E48" s="47">
        <f t="shared" si="0"/>
        <v>0</v>
      </c>
      <c r="F48" s="87">
        <v>0</v>
      </c>
      <c r="G48" s="47">
        <f t="shared" si="4"/>
        <v>0</v>
      </c>
      <c r="H48" s="88"/>
      <c r="I48" s="15">
        <v>50</v>
      </c>
      <c r="J48" s="82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+'18'!G49</f>
        <v>0</v>
      </c>
      <c r="D49" s="87">
        <v>0</v>
      </c>
      <c r="E49" s="47">
        <f t="shared" si="0"/>
        <v>0</v>
      </c>
      <c r="F49" s="87">
        <v>0</v>
      </c>
      <c r="G49" s="47">
        <f t="shared" si="4"/>
        <v>0</v>
      </c>
      <c r="H49" s="88"/>
      <c r="I49" s="15">
        <v>50</v>
      </c>
      <c r="J49" s="82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+'18'!G50</f>
        <v>2</v>
      </c>
      <c r="D50" s="87">
        <v>0</v>
      </c>
      <c r="E50" s="47">
        <f t="shared" si="0"/>
        <v>2</v>
      </c>
      <c r="F50" s="87">
        <v>0</v>
      </c>
      <c r="G50" s="47">
        <f t="shared" si="4"/>
        <v>2</v>
      </c>
      <c r="H50" s="88"/>
      <c r="I50" s="15">
        <v>120</v>
      </c>
      <c r="J50" s="82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+'18'!G51</f>
        <v>0</v>
      </c>
      <c r="D51" s="87">
        <v>0</v>
      </c>
      <c r="E51" s="47">
        <f t="shared" si="0"/>
        <v>0</v>
      </c>
      <c r="F51" s="87">
        <v>0</v>
      </c>
      <c r="G51" s="47">
        <f t="shared" si="4"/>
        <v>0</v>
      </c>
      <c r="H51" s="88"/>
      <c r="I51" s="15">
        <v>120</v>
      </c>
      <c r="J51" s="82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+'18'!G52</f>
        <v>0</v>
      </c>
      <c r="D52" s="87">
        <v>0</v>
      </c>
      <c r="E52" s="47">
        <f t="shared" si="0"/>
        <v>0</v>
      </c>
      <c r="F52" s="87">
        <v>0</v>
      </c>
      <c r="G52" s="47">
        <f t="shared" si="4"/>
        <v>0</v>
      </c>
      <c r="H52" s="88"/>
      <c r="I52" s="21">
        <v>120</v>
      </c>
      <c r="J52" s="82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+'18'!G53</f>
        <v>0</v>
      </c>
      <c r="D53" s="87">
        <v>0</v>
      </c>
      <c r="E53" s="47">
        <f t="shared" si="0"/>
        <v>0</v>
      </c>
      <c r="F53" s="87">
        <v>0</v>
      </c>
      <c r="G53" s="47">
        <f t="shared" si="4"/>
        <v>0</v>
      </c>
      <c r="H53" s="88"/>
      <c r="I53" s="15">
        <v>120</v>
      </c>
      <c r="J53" s="82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+'18'!G54</f>
        <v>0</v>
      </c>
      <c r="D54" s="87">
        <v>0</v>
      </c>
      <c r="E54" s="47">
        <f t="shared" si="0"/>
        <v>0</v>
      </c>
      <c r="F54" s="87">
        <v>0</v>
      </c>
      <c r="G54" s="47">
        <f t="shared" si="4"/>
        <v>0</v>
      </c>
      <c r="H54" s="88"/>
      <c r="I54" s="15">
        <v>120</v>
      </c>
      <c r="J54" s="82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+'18'!G55</f>
        <v>0</v>
      </c>
      <c r="D55" s="87">
        <v>2</v>
      </c>
      <c r="E55" s="47">
        <f t="shared" si="0"/>
        <v>2</v>
      </c>
      <c r="F55" s="87">
        <v>0</v>
      </c>
      <c r="G55" s="47">
        <f t="shared" si="4"/>
        <v>2</v>
      </c>
      <c r="H55" s="88"/>
      <c r="I55" s="21">
        <v>120</v>
      </c>
      <c r="J55" s="82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+'18'!G56</f>
        <v>0</v>
      </c>
      <c r="D56" s="87">
        <v>0</v>
      </c>
      <c r="E56" s="47">
        <f t="shared" si="0"/>
        <v>0</v>
      </c>
      <c r="F56" s="87">
        <v>0</v>
      </c>
      <c r="G56" s="47">
        <f t="shared" si="4"/>
        <v>0</v>
      </c>
      <c r="H56" s="88"/>
      <c r="I56" s="21">
        <v>120</v>
      </c>
      <c r="J56" s="82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+'18'!G57</f>
        <v>0</v>
      </c>
      <c r="D57" s="87">
        <v>0</v>
      </c>
      <c r="E57" s="47">
        <f t="shared" si="0"/>
        <v>0</v>
      </c>
      <c r="F57" s="87">
        <v>0</v>
      </c>
      <c r="G57" s="47">
        <f t="shared" si="4"/>
        <v>0</v>
      </c>
      <c r="H57" s="88"/>
      <c r="I57" s="21">
        <v>120</v>
      </c>
      <c r="J57" s="82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+'18'!G58</f>
        <v>0</v>
      </c>
      <c r="D58" s="87">
        <v>0</v>
      </c>
      <c r="E58" s="47">
        <f t="shared" si="0"/>
        <v>0</v>
      </c>
      <c r="F58" s="87">
        <v>0</v>
      </c>
      <c r="G58" s="47">
        <f t="shared" si="4"/>
        <v>0</v>
      </c>
      <c r="H58" s="88"/>
      <c r="I58" s="21">
        <v>120</v>
      </c>
      <c r="J58" s="82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+'18'!G59</f>
        <v>0</v>
      </c>
      <c r="D59" s="87">
        <v>0</v>
      </c>
      <c r="E59" s="47">
        <f t="shared" si="0"/>
        <v>0</v>
      </c>
      <c r="F59" s="87">
        <v>0</v>
      </c>
      <c r="G59" s="47">
        <f t="shared" si="4"/>
        <v>0</v>
      </c>
      <c r="H59" s="88"/>
      <c r="I59" s="15">
        <v>70</v>
      </c>
      <c r="J59" s="82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+'18'!G60</f>
        <v>0</v>
      </c>
      <c r="D60" s="87">
        <v>0</v>
      </c>
      <c r="E60" s="47">
        <f t="shared" si="0"/>
        <v>0</v>
      </c>
      <c r="F60" s="87">
        <v>0</v>
      </c>
      <c r="G60" s="47">
        <f t="shared" si="4"/>
        <v>0</v>
      </c>
      <c r="H60" s="88"/>
      <c r="I60" s="21">
        <v>80</v>
      </c>
      <c r="J60" s="82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+'18'!G61</f>
        <v>0</v>
      </c>
      <c r="D61" s="87">
        <v>0</v>
      </c>
      <c r="E61" s="47">
        <f t="shared" si="0"/>
        <v>0</v>
      </c>
      <c r="F61" s="87">
        <v>0</v>
      </c>
      <c r="G61" s="47">
        <f t="shared" si="4"/>
        <v>0</v>
      </c>
      <c r="H61" s="88"/>
      <c r="I61" s="15">
        <v>50</v>
      </c>
      <c r="J61" s="82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+'18'!G62</f>
        <v>1</v>
      </c>
      <c r="D62" s="87">
        <v>10</v>
      </c>
      <c r="E62" s="47">
        <f t="shared" si="0"/>
        <v>11</v>
      </c>
      <c r="F62" s="87">
        <v>0</v>
      </c>
      <c r="G62" s="47">
        <f t="shared" si="4"/>
        <v>10</v>
      </c>
      <c r="H62" s="88">
        <v>1</v>
      </c>
      <c r="I62" s="20">
        <v>50</v>
      </c>
      <c r="J62" s="82">
        <f t="shared" si="5"/>
        <v>50</v>
      </c>
      <c r="K62" s="17" t="s">
        <v>16</v>
      </c>
      <c r="L62" s="18">
        <v>0</v>
      </c>
      <c r="M62" s="23">
        <f t="shared" si="6"/>
        <v>50</v>
      </c>
    </row>
    <row r="63" spans="1:13" ht="25.5" x14ac:dyDescent="0.55000000000000004">
      <c r="A63" s="10">
        <v>59</v>
      </c>
      <c r="B63" s="19" t="s">
        <v>74</v>
      </c>
      <c r="C63" s="79">
        <f>+'18'!G63</f>
        <v>0</v>
      </c>
      <c r="D63" s="87">
        <v>0</v>
      </c>
      <c r="E63" s="47">
        <f t="shared" si="0"/>
        <v>0</v>
      </c>
      <c r="F63" s="87">
        <v>0</v>
      </c>
      <c r="G63" s="47">
        <f t="shared" si="4"/>
        <v>0</v>
      </c>
      <c r="H63" s="88"/>
      <c r="I63" s="20">
        <v>50</v>
      </c>
      <c r="J63" s="82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+'18'!G64</f>
        <v>0</v>
      </c>
      <c r="D64" s="87">
        <v>0</v>
      </c>
      <c r="E64" s="47">
        <f t="shared" si="0"/>
        <v>0</v>
      </c>
      <c r="F64" s="87">
        <v>0</v>
      </c>
      <c r="G64" s="47">
        <f t="shared" si="4"/>
        <v>0</v>
      </c>
      <c r="H64" s="88"/>
      <c r="I64" s="21">
        <v>30</v>
      </c>
      <c r="J64" s="82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+'18'!G65</f>
        <v>0</v>
      </c>
      <c r="D65" s="87">
        <v>0</v>
      </c>
      <c r="E65" s="47">
        <f t="shared" si="0"/>
        <v>0</v>
      </c>
      <c r="F65" s="87">
        <v>0</v>
      </c>
      <c r="G65" s="47">
        <f t="shared" si="4"/>
        <v>0</v>
      </c>
      <c r="H65" s="88"/>
      <c r="I65" s="21">
        <v>30</v>
      </c>
      <c r="J65" s="82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+'18'!G66</f>
        <v>1</v>
      </c>
      <c r="D66" s="87">
        <v>0</v>
      </c>
      <c r="E66" s="47">
        <f t="shared" si="0"/>
        <v>1</v>
      </c>
      <c r="F66" s="87">
        <v>0</v>
      </c>
      <c r="G66" s="47">
        <f t="shared" si="4"/>
        <v>1</v>
      </c>
      <c r="H66" s="88"/>
      <c r="I66" s="15">
        <v>50</v>
      </c>
      <c r="J66" s="82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+'18'!G67</f>
        <v>10</v>
      </c>
      <c r="D67" s="87">
        <v>0</v>
      </c>
      <c r="E67" s="47">
        <f t="shared" si="0"/>
        <v>10</v>
      </c>
      <c r="F67" s="87">
        <v>0</v>
      </c>
      <c r="G67" s="47">
        <f t="shared" si="4"/>
        <v>8</v>
      </c>
      <c r="H67" s="88">
        <v>2</v>
      </c>
      <c r="I67" s="15">
        <v>50</v>
      </c>
      <c r="J67" s="82">
        <f t="shared" si="5"/>
        <v>100</v>
      </c>
      <c r="K67" s="17" t="s">
        <v>16</v>
      </c>
      <c r="L67" s="18">
        <v>0</v>
      </c>
      <c r="M67" s="23">
        <f t="shared" si="6"/>
        <v>100</v>
      </c>
    </row>
    <row r="68" spans="1:13" ht="25.5" x14ac:dyDescent="0.55000000000000004">
      <c r="A68" s="10">
        <v>64</v>
      </c>
      <c r="B68" s="19" t="s">
        <v>79</v>
      </c>
      <c r="C68" s="79">
        <f>+'18'!G68</f>
        <v>0</v>
      </c>
      <c r="D68" s="87">
        <v>0</v>
      </c>
      <c r="E68" s="47">
        <f t="shared" si="0"/>
        <v>0</v>
      </c>
      <c r="F68" s="87">
        <v>0</v>
      </c>
      <c r="G68" s="47">
        <f t="shared" si="4"/>
        <v>0</v>
      </c>
      <c r="H68" s="88"/>
      <c r="I68" s="20">
        <v>35</v>
      </c>
      <c r="J68" s="82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+'18'!G69</f>
        <v>0</v>
      </c>
      <c r="D69" s="87">
        <v>0</v>
      </c>
      <c r="E69" s="47">
        <f t="shared" si="0"/>
        <v>0</v>
      </c>
      <c r="F69" s="87">
        <v>0</v>
      </c>
      <c r="G69" s="47">
        <f t="shared" si="4"/>
        <v>0</v>
      </c>
      <c r="H69" s="88"/>
      <c r="I69" s="20">
        <v>25</v>
      </c>
      <c r="J69" s="82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+'18'!G70</f>
        <v>7</v>
      </c>
      <c r="D70" s="87">
        <v>0</v>
      </c>
      <c r="E70" s="47">
        <f t="shared" si="0"/>
        <v>7</v>
      </c>
      <c r="F70" s="87">
        <v>0</v>
      </c>
      <c r="G70" s="47">
        <f t="shared" si="4"/>
        <v>6</v>
      </c>
      <c r="H70" s="88">
        <v>1</v>
      </c>
      <c r="I70" s="20">
        <v>50</v>
      </c>
      <c r="J70" s="82">
        <f t="shared" si="5"/>
        <v>50</v>
      </c>
      <c r="K70" s="17" t="s">
        <v>16</v>
      </c>
      <c r="L70" s="18">
        <v>0</v>
      </c>
      <c r="M70" s="23">
        <f t="shared" ref="M70:M134" si="10">SUM(J70-L70)</f>
        <v>50</v>
      </c>
    </row>
    <row r="71" spans="1:13" ht="25.5" x14ac:dyDescent="0.55000000000000004">
      <c r="A71" s="10">
        <v>67</v>
      </c>
      <c r="B71" s="19" t="s">
        <v>82</v>
      </c>
      <c r="C71" s="79">
        <f>+'18'!G71</f>
        <v>9</v>
      </c>
      <c r="D71" s="87">
        <v>0</v>
      </c>
      <c r="E71" s="47">
        <f t="shared" si="0"/>
        <v>9</v>
      </c>
      <c r="F71" s="87">
        <v>0</v>
      </c>
      <c r="G71" s="47">
        <f t="shared" si="4"/>
        <v>4</v>
      </c>
      <c r="H71" s="88">
        <v>5</v>
      </c>
      <c r="I71" s="20">
        <v>60</v>
      </c>
      <c r="J71" s="82">
        <f t="shared" si="5"/>
        <v>300</v>
      </c>
      <c r="K71" s="17" t="s">
        <v>16</v>
      </c>
      <c r="L71" s="18">
        <v>0</v>
      </c>
      <c r="M71" s="23">
        <f t="shared" si="10"/>
        <v>300</v>
      </c>
    </row>
    <row r="72" spans="1:13" ht="25.5" x14ac:dyDescent="0.55000000000000004">
      <c r="A72" s="10">
        <v>68</v>
      </c>
      <c r="B72" s="19" t="s">
        <v>83</v>
      </c>
      <c r="C72" s="79">
        <f>+'18'!G72</f>
        <v>0</v>
      </c>
      <c r="D72" s="87">
        <v>0</v>
      </c>
      <c r="E72" s="47">
        <f t="shared" si="0"/>
        <v>0</v>
      </c>
      <c r="F72" s="87">
        <v>0</v>
      </c>
      <c r="G72" s="47">
        <f t="shared" si="4"/>
        <v>0</v>
      </c>
      <c r="H72" s="88"/>
      <c r="I72" s="22">
        <v>50</v>
      </c>
      <c r="J72" s="82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+'18'!G73</f>
        <v>0</v>
      </c>
      <c r="D73" s="87">
        <v>0</v>
      </c>
      <c r="E73" s="47">
        <f t="shared" si="0"/>
        <v>0</v>
      </c>
      <c r="F73" s="87">
        <v>0</v>
      </c>
      <c r="G73" s="47">
        <f t="shared" si="4"/>
        <v>0</v>
      </c>
      <c r="H73" s="88"/>
      <c r="I73" s="20">
        <v>60</v>
      </c>
      <c r="J73" s="82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v>1</v>
      </c>
      <c r="D74" s="87">
        <v>0</v>
      </c>
      <c r="E74" s="47">
        <f t="shared" si="0"/>
        <v>1</v>
      </c>
      <c r="F74" s="87">
        <v>0</v>
      </c>
      <c r="G74" s="47">
        <f t="shared" si="4"/>
        <v>1</v>
      </c>
      <c r="H74" s="88"/>
      <c r="I74" s="22">
        <v>120</v>
      </c>
      <c r="J74" s="82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+'18'!G75</f>
        <v>0</v>
      </c>
      <c r="D75" s="87">
        <v>0</v>
      </c>
      <c r="E75" s="47">
        <f t="shared" si="0"/>
        <v>0</v>
      </c>
      <c r="F75" s="87">
        <v>0</v>
      </c>
      <c r="G75" s="47">
        <f t="shared" si="4"/>
        <v>0</v>
      </c>
      <c r="H75" s="88"/>
      <c r="I75" s="22">
        <v>60</v>
      </c>
      <c r="J75" s="82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+'18'!G76</f>
        <v>0</v>
      </c>
      <c r="D76" s="87">
        <v>0</v>
      </c>
      <c r="E76" s="47">
        <f t="shared" si="0"/>
        <v>0</v>
      </c>
      <c r="F76" s="87">
        <v>0</v>
      </c>
      <c r="G76" s="47">
        <f t="shared" si="4"/>
        <v>0</v>
      </c>
      <c r="H76" s="88"/>
      <c r="I76" s="22">
        <v>120</v>
      </c>
      <c r="J76" s="82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1" t="s">
        <v>272</v>
      </c>
      <c r="C77" s="79">
        <f>+'18'!G77</f>
        <v>2</v>
      </c>
      <c r="D77" s="87">
        <v>2</v>
      </c>
      <c r="E77" s="47">
        <f>C77+D77</f>
        <v>4</v>
      </c>
      <c r="F77" s="87">
        <v>0</v>
      </c>
      <c r="G77" s="47">
        <f>+E77-F77-H77</f>
        <v>4</v>
      </c>
      <c r="H77" s="88"/>
      <c r="I77" s="20">
        <v>50</v>
      </c>
      <c r="J77" s="82">
        <f>+I77*H77</f>
        <v>0</v>
      </c>
      <c r="K77" s="17" t="s">
        <v>16</v>
      </c>
      <c r="L77" s="18">
        <v>0</v>
      </c>
      <c r="M77" s="23">
        <f>SUM(J77-L77)</f>
        <v>0</v>
      </c>
    </row>
    <row r="78" spans="1:13" ht="25.5" x14ac:dyDescent="0.55000000000000004">
      <c r="A78" s="10">
        <v>74</v>
      </c>
      <c r="B78" s="19" t="s">
        <v>277</v>
      </c>
      <c r="C78" s="79">
        <f>+'18'!G78</f>
        <v>2</v>
      </c>
      <c r="D78" s="87">
        <v>2</v>
      </c>
      <c r="E78" s="47">
        <f t="shared" si="0"/>
        <v>4</v>
      </c>
      <c r="F78" s="87">
        <v>0</v>
      </c>
      <c r="G78" s="47">
        <f t="shared" si="4"/>
        <v>3</v>
      </c>
      <c r="H78" s="88">
        <v>1</v>
      </c>
      <c r="I78" s="20">
        <v>50</v>
      </c>
      <c r="J78" s="82">
        <f t="shared" si="5"/>
        <v>50</v>
      </c>
      <c r="K78" s="17" t="s">
        <v>16</v>
      </c>
      <c r="L78" s="18">
        <v>0</v>
      </c>
      <c r="M78" s="23">
        <f t="shared" si="10"/>
        <v>50</v>
      </c>
    </row>
    <row r="79" spans="1:13" ht="25.5" x14ac:dyDescent="0.55000000000000004">
      <c r="A79" s="10">
        <v>75</v>
      </c>
      <c r="B79" s="19" t="s">
        <v>278</v>
      </c>
      <c r="C79" s="79">
        <f>+'18'!G79</f>
        <v>0</v>
      </c>
      <c r="D79" s="87">
        <v>0</v>
      </c>
      <c r="E79" s="47">
        <f t="shared" si="0"/>
        <v>0</v>
      </c>
      <c r="F79" s="87">
        <v>0</v>
      </c>
      <c r="G79" s="47">
        <f t="shared" si="4"/>
        <v>0</v>
      </c>
      <c r="H79" s="88"/>
      <c r="I79" s="22">
        <v>120</v>
      </c>
      <c r="J79" s="82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90</v>
      </c>
      <c r="C80" s="79">
        <f>+'18'!G80</f>
        <v>0</v>
      </c>
      <c r="D80" s="87">
        <v>5</v>
      </c>
      <c r="E80" s="47">
        <f t="shared" si="0"/>
        <v>5</v>
      </c>
      <c r="F80" s="87">
        <v>0</v>
      </c>
      <c r="G80" s="47">
        <f t="shared" si="4"/>
        <v>5</v>
      </c>
      <c r="H80" s="88"/>
      <c r="I80" s="22">
        <v>50</v>
      </c>
      <c r="J80" s="82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91</v>
      </c>
      <c r="C81" s="79">
        <f>+'18'!G81</f>
        <v>0</v>
      </c>
      <c r="D81" s="87">
        <v>0</v>
      </c>
      <c r="E81" s="47">
        <f t="shared" si="0"/>
        <v>0</v>
      </c>
      <c r="F81" s="87">
        <v>0</v>
      </c>
      <c r="G81" s="47">
        <f t="shared" si="4"/>
        <v>0</v>
      </c>
      <c r="H81" s="88"/>
      <c r="I81" s="22">
        <v>50</v>
      </c>
      <c r="J81" s="82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92</v>
      </c>
      <c r="C82" s="79">
        <v>0</v>
      </c>
      <c r="D82" s="87">
        <v>2</v>
      </c>
      <c r="E82" s="47">
        <f t="shared" si="0"/>
        <v>2</v>
      </c>
      <c r="F82" s="87">
        <v>0</v>
      </c>
      <c r="G82" s="47">
        <f t="shared" si="4"/>
        <v>1</v>
      </c>
      <c r="H82" s="88">
        <v>1</v>
      </c>
      <c r="I82" s="20">
        <v>55</v>
      </c>
      <c r="J82" s="82">
        <f t="shared" si="5"/>
        <v>55</v>
      </c>
      <c r="K82" s="17" t="s">
        <v>16</v>
      </c>
      <c r="L82" s="18">
        <v>0</v>
      </c>
      <c r="M82" s="23">
        <f t="shared" si="10"/>
        <v>55</v>
      </c>
    </row>
    <row r="83" spans="1:13" ht="25.5" x14ac:dyDescent="0.55000000000000004">
      <c r="A83" s="10">
        <v>79</v>
      </c>
      <c r="B83" s="19" t="s">
        <v>93</v>
      </c>
      <c r="C83" s="79">
        <v>0</v>
      </c>
      <c r="D83" s="87">
        <v>2</v>
      </c>
      <c r="E83" s="47">
        <f t="shared" si="0"/>
        <v>2</v>
      </c>
      <c r="F83" s="87">
        <v>0</v>
      </c>
      <c r="G83" s="47">
        <f t="shared" si="4"/>
        <v>2</v>
      </c>
      <c r="H83" s="88"/>
      <c r="I83" s="22">
        <v>55</v>
      </c>
      <c r="J83" s="82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94</v>
      </c>
      <c r="C84" s="79">
        <f>+'18'!G84</f>
        <v>0</v>
      </c>
      <c r="D84" s="87">
        <v>0</v>
      </c>
      <c r="E84" s="47">
        <f t="shared" si="0"/>
        <v>0</v>
      </c>
      <c r="F84" s="87">
        <v>0</v>
      </c>
      <c r="G84" s="47">
        <f t="shared" si="4"/>
        <v>0</v>
      </c>
      <c r="H84" s="88"/>
      <c r="I84" s="22">
        <v>55</v>
      </c>
      <c r="J84" s="82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95</v>
      </c>
      <c r="C85" s="79">
        <f>+'18'!G85</f>
        <v>0</v>
      </c>
      <c r="D85" s="87">
        <v>0</v>
      </c>
      <c r="E85" s="47">
        <f t="shared" si="0"/>
        <v>0</v>
      </c>
      <c r="F85" s="87">
        <v>0</v>
      </c>
      <c r="G85" s="47">
        <f t="shared" si="4"/>
        <v>0</v>
      </c>
      <c r="H85" s="88"/>
      <c r="I85" s="22">
        <v>55</v>
      </c>
      <c r="J85" s="82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96</v>
      </c>
      <c r="C86" s="79">
        <f>+'18'!G86</f>
        <v>4</v>
      </c>
      <c r="D86" s="87">
        <v>0</v>
      </c>
      <c r="E86" s="47">
        <f t="shared" si="0"/>
        <v>4</v>
      </c>
      <c r="F86" s="87">
        <v>0</v>
      </c>
      <c r="G86" s="47">
        <f t="shared" si="4"/>
        <v>4</v>
      </c>
      <c r="H86" s="88"/>
      <c r="I86" s="22">
        <v>100</v>
      </c>
      <c r="J86" s="82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97</v>
      </c>
      <c r="C87" s="79">
        <f>+'18'!G87</f>
        <v>3</v>
      </c>
      <c r="D87" s="87">
        <v>0</v>
      </c>
      <c r="E87" s="47">
        <f t="shared" si="0"/>
        <v>3</v>
      </c>
      <c r="F87" s="87">
        <v>0</v>
      </c>
      <c r="G87" s="47">
        <f t="shared" si="4"/>
        <v>3</v>
      </c>
      <c r="H87" s="88"/>
      <c r="I87" s="20">
        <v>55</v>
      </c>
      <c r="J87" s="82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98</v>
      </c>
      <c r="C88" s="79">
        <v>1</v>
      </c>
      <c r="D88" s="87">
        <v>10</v>
      </c>
      <c r="E88" s="47">
        <f t="shared" si="0"/>
        <v>11</v>
      </c>
      <c r="F88" s="87">
        <v>0</v>
      </c>
      <c r="G88" s="47">
        <f t="shared" si="4"/>
        <v>11</v>
      </c>
      <c r="H88" s="88"/>
      <c r="I88" s="20">
        <v>60</v>
      </c>
      <c r="J88" s="82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99</v>
      </c>
      <c r="C89" s="79">
        <f>+'18'!G89</f>
        <v>2</v>
      </c>
      <c r="D89" s="87">
        <v>10</v>
      </c>
      <c r="E89" s="47">
        <f t="shared" si="0"/>
        <v>12</v>
      </c>
      <c r="F89" s="87">
        <v>0</v>
      </c>
      <c r="G89" s="47">
        <f t="shared" si="4"/>
        <v>12</v>
      </c>
      <c r="H89" s="88"/>
      <c r="I89" s="20">
        <v>100</v>
      </c>
      <c r="J89" s="82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100</v>
      </c>
      <c r="C90" s="79">
        <f>+'18'!G90</f>
        <v>8</v>
      </c>
      <c r="D90" s="87">
        <v>0</v>
      </c>
      <c r="E90" s="47">
        <f t="shared" si="0"/>
        <v>8</v>
      </c>
      <c r="F90" s="87">
        <v>0</v>
      </c>
      <c r="G90" s="47">
        <f t="shared" si="4"/>
        <v>8</v>
      </c>
      <c r="H90" s="88"/>
      <c r="I90" s="20">
        <v>55</v>
      </c>
      <c r="J90" s="82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101</v>
      </c>
      <c r="C91" s="79">
        <f>+'18'!G91</f>
        <v>0</v>
      </c>
      <c r="D91" s="87">
        <v>0</v>
      </c>
      <c r="E91" s="47">
        <f t="shared" si="0"/>
        <v>0</v>
      </c>
      <c r="F91" s="87">
        <v>0</v>
      </c>
      <c r="G91" s="47">
        <f t="shared" si="4"/>
        <v>0</v>
      </c>
      <c r="H91" s="88"/>
      <c r="I91" s="20">
        <v>50</v>
      </c>
      <c r="J91" s="82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102</v>
      </c>
      <c r="C92" s="79">
        <f>+'18'!G92</f>
        <v>0</v>
      </c>
      <c r="D92" s="87">
        <v>0</v>
      </c>
      <c r="E92" s="47">
        <f t="shared" si="0"/>
        <v>0</v>
      </c>
      <c r="F92" s="87">
        <v>0</v>
      </c>
      <c r="G92" s="47">
        <f t="shared" si="4"/>
        <v>0</v>
      </c>
      <c r="H92" s="88"/>
      <c r="I92" s="22">
        <v>50</v>
      </c>
      <c r="J92" s="82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248</v>
      </c>
      <c r="C93" s="79">
        <f>+'18'!G93</f>
        <v>0</v>
      </c>
      <c r="D93" s="87">
        <v>0</v>
      </c>
      <c r="E93" s="47">
        <f t="shared" si="0"/>
        <v>0</v>
      </c>
      <c r="F93" s="87">
        <v>0</v>
      </c>
      <c r="G93" s="47">
        <f t="shared" si="4"/>
        <v>0</v>
      </c>
      <c r="H93" s="88"/>
      <c r="I93" s="22">
        <v>120</v>
      </c>
      <c r="J93" s="82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104</v>
      </c>
      <c r="C94" s="79">
        <f>+'18'!G94</f>
        <v>0</v>
      </c>
      <c r="D94" s="87">
        <v>0</v>
      </c>
      <c r="E94" s="47">
        <f t="shared" si="0"/>
        <v>0</v>
      </c>
      <c r="F94" s="87">
        <v>0</v>
      </c>
      <c r="G94" s="47">
        <f t="shared" si="4"/>
        <v>0</v>
      </c>
      <c r="H94" s="88"/>
      <c r="I94" s="20">
        <v>250</v>
      </c>
      <c r="J94" s="82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105</v>
      </c>
      <c r="C95" s="79">
        <f>+'18'!G95</f>
        <v>0</v>
      </c>
      <c r="D95" s="87">
        <v>0</v>
      </c>
      <c r="E95" s="47">
        <f t="shared" si="0"/>
        <v>0</v>
      </c>
      <c r="F95" s="87">
        <v>0</v>
      </c>
      <c r="G95" s="47">
        <f t="shared" si="4"/>
        <v>0</v>
      </c>
      <c r="H95" s="88"/>
      <c r="I95" s="20">
        <v>120</v>
      </c>
      <c r="J95" s="82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106</v>
      </c>
      <c r="C96" s="79">
        <f>+'18'!G96</f>
        <v>0</v>
      </c>
      <c r="D96" s="87">
        <v>0</v>
      </c>
      <c r="E96" s="47">
        <f t="shared" si="0"/>
        <v>0</v>
      </c>
      <c r="F96" s="87">
        <v>0</v>
      </c>
      <c r="G96" s="47">
        <f t="shared" si="4"/>
        <v>0</v>
      </c>
      <c r="H96" s="88"/>
      <c r="I96" s="20">
        <v>120</v>
      </c>
      <c r="J96" s="82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107</v>
      </c>
      <c r="C97" s="79">
        <f>+'18'!G97</f>
        <v>0</v>
      </c>
      <c r="D97" s="87">
        <v>0</v>
      </c>
      <c r="E97" s="47">
        <f t="shared" si="0"/>
        <v>0</v>
      </c>
      <c r="F97" s="87">
        <v>0</v>
      </c>
      <c r="G97" s="47">
        <f t="shared" si="4"/>
        <v>0</v>
      </c>
      <c r="H97" s="88"/>
      <c r="I97" s="20">
        <v>120</v>
      </c>
      <c r="J97" s="82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103</v>
      </c>
      <c r="C98" s="79">
        <f>+'18'!G98</f>
        <v>0</v>
      </c>
      <c r="D98" s="87">
        <v>0</v>
      </c>
      <c r="E98" s="47">
        <f t="shared" si="0"/>
        <v>0</v>
      </c>
      <c r="F98" s="87">
        <v>0</v>
      </c>
      <c r="G98" s="47">
        <f t="shared" si="4"/>
        <v>0</v>
      </c>
      <c r="H98" s="88"/>
      <c r="I98" s="20">
        <v>120</v>
      </c>
      <c r="J98" s="82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109</v>
      </c>
      <c r="C99" s="79">
        <f>+'18'!G99</f>
        <v>0</v>
      </c>
      <c r="D99" s="87">
        <v>0</v>
      </c>
      <c r="E99" s="47">
        <f t="shared" si="0"/>
        <v>0</v>
      </c>
      <c r="F99" s="87">
        <v>0</v>
      </c>
      <c r="G99" s="47">
        <f t="shared" si="4"/>
        <v>0</v>
      </c>
      <c r="H99" s="88"/>
      <c r="I99" s="20">
        <v>50</v>
      </c>
      <c r="J99" s="82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110</v>
      </c>
      <c r="C100" s="79">
        <f>+'18'!G100</f>
        <v>0</v>
      </c>
      <c r="D100" s="87">
        <v>0</v>
      </c>
      <c r="E100" s="47">
        <f t="shared" si="0"/>
        <v>0</v>
      </c>
      <c r="F100" s="87">
        <v>0</v>
      </c>
      <c r="G100" s="47">
        <f t="shared" si="4"/>
        <v>0</v>
      </c>
      <c r="H100" s="88"/>
      <c r="I100" s="20">
        <v>50</v>
      </c>
      <c r="J100" s="82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111</v>
      </c>
      <c r="C101" s="79">
        <f>+'18'!G101</f>
        <v>0</v>
      </c>
      <c r="D101" s="87">
        <v>0</v>
      </c>
      <c r="E101" s="47">
        <f t="shared" si="0"/>
        <v>0</v>
      </c>
      <c r="F101" s="87">
        <v>0</v>
      </c>
      <c r="G101" s="47">
        <f t="shared" ref="G101:G164" si="11">+E101-F101-H101</f>
        <v>0</v>
      </c>
      <c r="H101" s="88"/>
      <c r="I101" s="20">
        <v>60</v>
      </c>
      <c r="J101" s="82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112</v>
      </c>
      <c r="C102" s="79">
        <f>+'18'!G102</f>
        <v>0</v>
      </c>
      <c r="D102" s="87">
        <v>0</v>
      </c>
      <c r="E102" s="47">
        <f t="shared" si="0"/>
        <v>0</v>
      </c>
      <c r="F102" s="87">
        <v>0</v>
      </c>
      <c r="G102" s="47">
        <f t="shared" si="11"/>
        <v>0</v>
      </c>
      <c r="H102" s="88"/>
      <c r="I102" s="20">
        <v>55</v>
      </c>
      <c r="J102" s="82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113</v>
      </c>
      <c r="C103" s="79">
        <f>+'18'!G103</f>
        <v>0</v>
      </c>
      <c r="D103" s="87">
        <v>0</v>
      </c>
      <c r="E103" s="47">
        <f t="shared" si="0"/>
        <v>0</v>
      </c>
      <c r="F103" s="87">
        <v>0</v>
      </c>
      <c r="G103" s="47">
        <f t="shared" si="11"/>
        <v>0</v>
      </c>
      <c r="H103" s="88"/>
      <c r="I103" s="20">
        <v>50</v>
      </c>
      <c r="J103" s="82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114</v>
      </c>
      <c r="C104" s="79">
        <f>+'18'!G104</f>
        <v>0</v>
      </c>
      <c r="D104" s="87">
        <v>0</v>
      </c>
      <c r="E104" s="47">
        <f t="shared" si="0"/>
        <v>0</v>
      </c>
      <c r="F104" s="87">
        <v>0</v>
      </c>
      <c r="G104" s="47">
        <f t="shared" si="11"/>
        <v>0</v>
      </c>
      <c r="H104" s="88"/>
      <c r="I104" s="20">
        <v>100</v>
      </c>
      <c r="J104" s="82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115</v>
      </c>
      <c r="C105" s="79">
        <f>+'18'!G105</f>
        <v>0</v>
      </c>
      <c r="D105" s="87">
        <v>0</v>
      </c>
      <c r="E105" s="47">
        <f t="shared" si="0"/>
        <v>0</v>
      </c>
      <c r="F105" s="87">
        <v>0</v>
      </c>
      <c r="G105" s="47">
        <f t="shared" si="11"/>
        <v>0</v>
      </c>
      <c r="H105" s="88"/>
      <c r="I105" s="20">
        <v>100</v>
      </c>
      <c r="J105" s="82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116</v>
      </c>
      <c r="C106" s="79">
        <f>+'18'!G106</f>
        <v>0</v>
      </c>
      <c r="D106" s="87">
        <v>0</v>
      </c>
      <c r="E106" s="47">
        <f t="shared" si="0"/>
        <v>0</v>
      </c>
      <c r="F106" s="87">
        <v>0</v>
      </c>
      <c r="G106" s="47">
        <f t="shared" si="11"/>
        <v>0</v>
      </c>
      <c r="H106" s="88"/>
      <c r="I106" s="22">
        <v>30</v>
      </c>
      <c r="J106" s="82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117</v>
      </c>
      <c r="C107" s="79">
        <f>+'18'!G107</f>
        <v>0</v>
      </c>
      <c r="D107" s="87">
        <v>0</v>
      </c>
      <c r="E107" s="47">
        <f t="shared" si="0"/>
        <v>0</v>
      </c>
      <c r="F107" s="87">
        <v>0</v>
      </c>
      <c r="G107" s="47">
        <f t="shared" si="11"/>
        <v>0</v>
      </c>
      <c r="H107" s="88"/>
      <c r="I107" s="22">
        <v>20</v>
      </c>
      <c r="J107" s="82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118</v>
      </c>
      <c r="C108" s="79">
        <f>+'18'!G108</f>
        <v>0</v>
      </c>
      <c r="D108" s="87">
        <v>0</v>
      </c>
      <c r="E108" s="47">
        <f t="shared" si="0"/>
        <v>0</v>
      </c>
      <c r="F108" s="87">
        <v>0</v>
      </c>
      <c r="G108" s="47">
        <f t="shared" si="11"/>
        <v>0</v>
      </c>
      <c r="H108" s="88"/>
      <c r="I108" s="20">
        <v>100</v>
      </c>
      <c r="J108" s="82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120</v>
      </c>
      <c r="C109" s="79">
        <f>+'18'!G109</f>
        <v>0</v>
      </c>
      <c r="D109" s="87">
        <v>0</v>
      </c>
      <c r="E109" s="47">
        <f t="shared" si="0"/>
        <v>0</v>
      </c>
      <c r="F109" s="87">
        <v>0</v>
      </c>
      <c r="G109" s="47">
        <f t="shared" si="11"/>
        <v>0</v>
      </c>
      <c r="H109" s="88"/>
      <c r="I109" s="20">
        <v>80</v>
      </c>
      <c r="J109" s="82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121</v>
      </c>
      <c r="C110" s="79">
        <f>+'18'!G110</f>
        <v>0</v>
      </c>
      <c r="D110" s="87">
        <v>0</v>
      </c>
      <c r="E110" s="47">
        <f t="shared" si="0"/>
        <v>0</v>
      </c>
      <c r="F110" s="87">
        <v>0</v>
      </c>
      <c r="G110" s="47">
        <f t="shared" si="11"/>
        <v>0</v>
      </c>
      <c r="H110" s="88"/>
      <c r="I110" s="20">
        <v>60</v>
      </c>
      <c r="J110" s="82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122</v>
      </c>
      <c r="C111" s="79">
        <f>+'18'!G111</f>
        <v>0</v>
      </c>
      <c r="D111" s="87">
        <v>0</v>
      </c>
      <c r="E111" s="47">
        <f t="shared" si="0"/>
        <v>0</v>
      </c>
      <c r="F111" s="87">
        <v>0</v>
      </c>
      <c r="G111" s="47">
        <f t="shared" si="11"/>
        <v>0</v>
      </c>
      <c r="H111" s="88"/>
      <c r="I111" s="20">
        <v>35</v>
      </c>
      <c r="J111" s="82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123</v>
      </c>
      <c r="C112" s="79">
        <f>+'18'!G112</f>
        <v>0</v>
      </c>
      <c r="D112" s="87">
        <v>0</v>
      </c>
      <c r="E112" s="47">
        <f t="shared" si="0"/>
        <v>0</v>
      </c>
      <c r="F112" s="87">
        <v>0</v>
      </c>
      <c r="G112" s="47">
        <f t="shared" si="11"/>
        <v>0</v>
      </c>
      <c r="H112" s="88"/>
      <c r="I112" s="20">
        <v>35</v>
      </c>
      <c r="J112" s="82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124</v>
      </c>
      <c r="C113" s="79">
        <f>+'18'!G113</f>
        <v>0</v>
      </c>
      <c r="D113" s="87">
        <v>0</v>
      </c>
      <c r="E113" s="47">
        <f t="shared" si="0"/>
        <v>0</v>
      </c>
      <c r="F113" s="87">
        <v>0</v>
      </c>
      <c r="G113" s="47">
        <f t="shared" si="11"/>
        <v>0</v>
      </c>
      <c r="H113" s="88"/>
      <c r="I113" s="20">
        <v>35</v>
      </c>
      <c r="J113" s="82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125</v>
      </c>
      <c r="C114" s="79">
        <f>+'18'!G114</f>
        <v>0</v>
      </c>
      <c r="D114" s="87">
        <v>0</v>
      </c>
      <c r="E114" s="47">
        <f t="shared" si="0"/>
        <v>0</v>
      </c>
      <c r="F114" s="87">
        <v>0</v>
      </c>
      <c r="G114" s="47">
        <f t="shared" si="11"/>
        <v>0</v>
      </c>
      <c r="H114" s="88"/>
      <c r="I114" s="20">
        <v>35</v>
      </c>
      <c r="J114" s="82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126</v>
      </c>
      <c r="C115" s="79">
        <f>+'18'!G115</f>
        <v>0</v>
      </c>
      <c r="D115" s="87">
        <v>0</v>
      </c>
      <c r="E115" s="47">
        <f t="shared" si="0"/>
        <v>0</v>
      </c>
      <c r="F115" s="87">
        <v>0</v>
      </c>
      <c r="G115" s="47">
        <f t="shared" si="11"/>
        <v>0</v>
      </c>
      <c r="H115" s="88"/>
      <c r="I115" s="20">
        <v>35</v>
      </c>
      <c r="J115" s="82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127</v>
      </c>
      <c r="C116" s="79">
        <f>+'18'!G116</f>
        <v>0</v>
      </c>
      <c r="D116" s="87">
        <v>0</v>
      </c>
      <c r="E116" s="47">
        <f t="shared" si="0"/>
        <v>0</v>
      </c>
      <c r="F116" s="87">
        <v>0</v>
      </c>
      <c r="G116" s="47">
        <f t="shared" si="11"/>
        <v>0</v>
      </c>
      <c r="H116" s="88"/>
      <c r="I116" s="20">
        <v>30</v>
      </c>
      <c r="J116" s="82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128</v>
      </c>
      <c r="C117" s="79">
        <f>+'18'!G117</f>
        <v>0</v>
      </c>
      <c r="D117" s="87">
        <v>0</v>
      </c>
      <c r="E117" s="47">
        <f t="shared" si="0"/>
        <v>0</v>
      </c>
      <c r="F117" s="87">
        <v>0</v>
      </c>
      <c r="G117" s="47">
        <f t="shared" si="11"/>
        <v>0</v>
      </c>
      <c r="H117" s="88"/>
      <c r="I117" s="20">
        <v>30</v>
      </c>
      <c r="J117" s="82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129</v>
      </c>
      <c r="C118" s="79">
        <f>+'18'!G118</f>
        <v>0</v>
      </c>
      <c r="D118" s="87">
        <v>0</v>
      </c>
      <c r="E118" s="47">
        <f t="shared" si="0"/>
        <v>0</v>
      </c>
      <c r="F118" s="87">
        <v>0</v>
      </c>
      <c r="G118" s="47">
        <f t="shared" si="11"/>
        <v>0</v>
      </c>
      <c r="H118" s="88"/>
      <c r="I118" s="20">
        <v>30</v>
      </c>
      <c r="J118" s="82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130</v>
      </c>
      <c r="C119" s="79">
        <f>+'18'!G119</f>
        <v>0</v>
      </c>
      <c r="D119" s="87">
        <v>0</v>
      </c>
      <c r="E119" s="47">
        <f t="shared" si="0"/>
        <v>0</v>
      </c>
      <c r="F119" s="87">
        <v>0</v>
      </c>
      <c r="G119" s="47">
        <f t="shared" si="11"/>
        <v>0</v>
      </c>
      <c r="H119" s="88"/>
      <c r="I119" s="20">
        <v>30</v>
      </c>
      <c r="J119" s="82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131</v>
      </c>
      <c r="C120" s="79">
        <f>+'18'!G120</f>
        <v>0</v>
      </c>
      <c r="D120" s="87">
        <v>0</v>
      </c>
      <c r="E120" s="47">
        <f t="shared" si="0"/>
        <v>0</v>
      </c>
      <c r="F120" s="87">
        <v>0</v>
      </c>
      <c r="G120" s="47">
        <f t="shared" si="11"/>
        <v>0</v>
      </c>
      <c r="H120" s="88"/>
      <c r="I120" s="20">
        <v>30</v>
      </c>
      <c r="J120" s="82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132</v>
      </c>
      <c r="C121" s="79">
        <f>+'18'!G121</f>
        <v>0</v>
      </c>
      <c r="D121" s="87">
        <v>0</v>
      </c>
      <c r="E121" s="47">
        <f t="shared" si="0"/>
        <v>0</v>
      </c>
      <c r="F121" s="87">
        <v>0</v>
      </c>
      <c r="G121" s="47">
        <f t="shared" si="11"/>
        <v>0</v>
      </c>
      <c r="H121" s="88"/>
      <c r="I121" s="20">
        <v>30</v>
      </c>
      <c r="J121" s="82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133</v>
      </c>
      <c r="C122" s="79">
        <f>+'18'!G122</f>
        <v>0</v>
      </c>
      <c r="D122" s="87">
        <v>0</v>
      </c>
      <c r="E122" s="47">
        <f t="shared" si="0"/>
        <v>0</v>
      </c>
      <c r="F122" s="87">
        <v>0</v>
      </c>
      <c r="G122" s="47">
        <f t="shared" si="11"/>
        <v>0</v>
      </c>
      <c r="H122" s="88"/>
      <c r="I122" s="20">
        <v>40</v>
      </c>
      <c r="J122" s="82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134</v>
      </c>
      <c r="C123" s="79">
        <f>+'18'!G123</f>
        <v>0</v>
      </c>
      <c r="D123" s="87">
        <v>0</v>
      </c>
      <c r="E123" s="47">
        <f t="shared" si="0"/>
        <v>0</v>
      </c>
      <c r="F123" s="87">
        <v>0</v>
      </c>
      <c r="G123" s="47">
        <f t="shared" si="11"/>
        <v>0</v>
      </c>
      <c r="H123" s="88"/>
      <c r="I123" s="20">
        <v>35</v>
      </c>
      <c r="J123" s="82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135</v>
      </c>
      <c r="C124" s="79">
        <f>+'18'!G124</f>
        <v>0</v>
      </c>
      <c r="D124" s="87">
        <v>0</v>
      </c>
      <c r="E124" s="47">
        <f t="shared" si="0"/>
        <v>0</v>
      </c>
      <c r="F124" s="87">
        <v>0</v>
      </c>
      <c r="G124" s="47">
        <f t="shared" si="11"/>
        <v>0</v>
      </c>
      <c r="H124" s="88"/>
      <c r="I124" s="20">
        <v>40</v>
      </c>
      <c r="J124" s="82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136</v>
      </c>
      <c r="C125" s="79">
        <f>+'18'!G125</f>
        <v>0</v>
      </c>
      <c r="D125" s="87">
        <v>0</v>
      </c>
      <c r="E125" s="47">
        <f t="shared" si="0"/>
        <v>0</v>
      </c>
      <c r="F125" s="87">
        <v>0</v>
      </c>
      <c r="G125" s="47">
        <f t="shared" si="11"/>
        <v>0</v>
      </c>
      <c r="H125" s="88"/>
      <c r="I125" s="20">
        <v>40</v>
      </c>
      <c r="J125" s="82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137</v>
      </c>
      <c r="C126" s="79">
        <f>+'18'!G126</f>
        <v>0</v>
      </c>
      <c r="D126" s="87">
        <v>0</v>
      </c>
      <c r="E126" s="47">
        <f t="shared" ref="E126:E189" si="13">C126+D126</f>
        <v>0</v>
      </c>
      <c r="F126" s="87">
        <v>0</v>
      </c>
      <c r="G126" s="47">
        <f t="shared" si="11"/>
        <v>0</v>
      </c>
      <c r="H126" s="88"/>
      <c r="I126" s="20">
        <v>30</v>
      </c>
      <c r="J126" s="82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138</v>
      </c>
      <c r="C127" s="79">
        <f>+'18'!G127</f>
        <v>0</v>
      </c>
      <c r="D127" s="87">
        <v>0</v>
      </c>
      <c r="E127" s="47">
        <f t="shared" si="13"/>
        <v>0</v>
      </c>
      <c r="F127" s="87">
        <v>0</v>
      </c>
      <c r="G127" s="47">
        <f t="shared" si="11"/>
        <v>0</v>
      </c>
      <c r="H127" s="88"/>
      <c r="I127" s="20">
        <v>40</v>
      </c>
      <c r="J127" s="82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139</v>
      </c>
      <c r="C128" s="79">
        <f>+'18'!G128</f>
        <v>74</v>
      </c>
      <c r="D128" s="87">
        <v>0</v>
      </c>
      <c r="E128" s="47">
        <f t="shared" si="13"/>
        <v>74</v>
      </c>
      <c r="F128" s="87">
        <v>0</v>
      </c>
      <c r="G128" s="47">
        <f t="shared" si="11"/>
        <v>74</v>
      </c>
      <c r="H128" s="88"/>
      <c r="I128" s="20">
        <v>10</v>
      </c>
      <c r="J128" s="82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140</v>
      </c>
      <c r="C129" s="79">
        <f>+'18'!G129</f>
        <v>0</v>
      </c>
      <c r="D129" s="87">
        <v>0</v>
      </c>
      <c r="E129" s="47">
        <f t="shared" si="13"/>
        <v>0</v>
      </c>
      <c r="F129" s="87">
        <v>0</v>
      </c>
      <c r="G129" s="47">
        <f t="shared" si="11"/>
        <v>0</v>
      </c>
      <c r="H129" s="88"/>
      <c r="I129" s="20">
        <v>35</v>
      </c>
      <c r="J129" s="82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141</v>
      </c>
      <c r="C130" s="79">
        <f>+'18'!G130</f>
        <v>0</v>
      </c>
      <c r="D130" s="87">
        <v>0</v>
      </c>
      <c r="E130" s="47">
        <f t="shared" si="13"/>
        <v>0</v>
      </c>
      <c r="F130" s="87">
        <v>0</v>
      </c>
      <c r="G130" s="47">
        <f t="shared" si="11"/>
        <v>0</v>
      </c>
      <c r="H130" s="88"/>
      <c r="I130" s="20">
        <v>40</v>
      </c>
      <c r="J130" s="82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142</v>
      </c>
      <c r="C131" s="79">
        <f>+'18'!G131</f>
        <v>0</v>
      </c>
      <c r="D131" s="87">
        <v>0</v>
      </c>
      <c r="E131" s="47">
        <f t="shared" si="13"/>
        <v>0</v>
      </c>
      <c r="F131" s="87">
        <v>0</v>
      </c>
      <c r="G131" s="47">
        <f t="shared" si="11"/>
        <v>0</v>
      </c>
      <c r="H131" s="88"/>
      <c r="I131" s="20">
        <v>50</v>
      </c>
      <c r="J131" s="82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143</v>
      </c>
      <c r="C132" s="79">
        <f>+'18'!G132</f>
        <v>0</v>
      </c>
      <c r="D132" s="87">
        <v>0</v>
      </c>
      <c r="E132" s="47">
        <f t="shared" si="13"/>
        <v>0</v>
      </c>
      <c r="F132" s="87">
        <v>0</v>
      </c>
      <c r="G132" s="47">
        <f t="shared" si="11"/>
        <v>0</v>
      </c>
      <c r="H132" s="88"/>
      <c r="I132" s="20">
        <v>55</v>
      </c>
      <c r="J132" s="82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144</v>
      </c>
      <c r="C133" s="79">
        <f>+'18'!G133</f>
        <v>0</v>
      </c>
      <c r="D133" s="87">
        <v>0</v>
      </c>
      <c r="E133" s="47">
        <f t="shared" si="13"/>
        <v>0</v>
      </c>
      <c r="F133" s="87">
        <v>0</v>
      </c>
      <c r="G133" s="47">
        <f t="shared" si="11"/>
        <v>0</v>
      </c>
      <c r="H133" s="88"/>
      <c r="I133" s="20">
        <v>55</v>
      </c>
      <c r="J133" s="82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145</v>
      </c>
      <c r="C134" s="79">
        <f>+'18'!G134</f>
        <v>0</v>
      </c>
      <c r="D134" s="87">
        <v>0</v>
      </c>
      <c r="E134" s="47">
        <f t="shared" si="13"/>
        <v>0</v>
      </c>
      <c r="F134" s="87">
        <v>0</v>
      </c>
      <c r="G134" s="47">
        <f t="shared" si="11"/>
        <v>0</v>
      </c>
      <c r="H134" s="88"/>
      <c r="I134" s="20">
        <v>45</v>
      </c>
      <c r="J134" s="82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5.5" x14ac:dyDescent="0.55000000000000004">
      <c r="A135" s="10">
        <v>131</v>
      </c>
      <c r="B135" s="19" t="s">
        <v>146</v>
      </c>
      <c r="C135" s="79">
        <f>+'18'!G135</f>
        <v>0</v>
      </c>
      <c r="D135" s="87">
        <v>0</v>
      </c>
      <c r="E135" s="47">
        <f t="shared" si="13"/>
        <v>0</v>
      </c>
      <c r="F135" s="87">
        <v>0</v>
      </c>
      <c r="G135" s="47">
        <f t="shared" si="11"/>
        <v>0</v>
      </c>
      <c r="H135" s="88"/>
      <c r="I135" s="20">
        <v>45</v>
      </c>
      <c r="J135" s="82">
        <f t="shared" si="12"/>
        <v>0</v>
      </c>
      <c r="K135" s="17" t="s">
        <v>16</v>
      </c>
      <c r="L135" s="18">
        <v>0</v>
      </c>
      <c r="M135" s="23">
        <f t="shared" ref="M135:M198" si="14">SUM(J135-L135)</f>
        <v>0</v>
      </c>
    </row>
    <row r="136" spans="1:13" ht="25.5" x14ac:dyDescent="0.55000000000000004">
      <c r="A136" s="10">
        <v>132</v>
      </c>
      <c r="B136" s="19" t="s">
        <v>147</v>
      </c>
      <c r="C136" s="79">
        <f>+'18'!G136</f>
        <v>0</v>
      </c>
      <c r="D136" s="87">
        <v>0</v>
      </c>
      <c r="E136" s="47">
        <f t="shared" si="13"/>
        <v>0</v>
      </c>
      <c r="F136" s="87">
        <v>0</v>
      </c>
      <c r="G136" s="47">
        <f t="shared" si="11"/>
        <v>0</v>
      </c>
      <c r="H136" s="88"/>
      <c r="I136" s="20">
        <v>55</v>
      </c>
      <c r="J136" s="82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148</v>
      </c>
      <c r="C137" s="79">
        <f>+'18'!G137</f>
        <v>0</v>
      </c>
      <c r="D137" s="87">
        <v>0</v>
      </c>
      <c r="E137" s="47">
        <f t="shared" si="13"/>
        <v>0</v>
      </c>
      <c r="F137" s="87">
        <v>0</v>
      </c>
      <c r="G137" s="47">
        <f t="shared" si="11"/>
        <v>0</v>
      </c>
      <c r="H137" s="88"/>
      <c r="I137" s="20">
        <v>45</v>
      </c>
      <c r="J137" s="82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149</v>
      </c>
      <c r="C138" s="79">
        <f>+'18'!G138</f>
        <v>0</v>
      </c>
      <c r="D138" s="87">
        <v>0</v>
      </c>
      <c r="E138" s="47">
        <f t="shared" si="13"/>
        <v>0</v>
      </c>
      <c r="F138" s="87">
        <v>0</v>
      </c>
      <c r="G138" s="47">
        <f t="shared" si="11"/>
        <v>0</v>
      </c>
      <c r="H138" s="88"/>
      <c r="I138" s="20">
        <v>45</v>
      </c>
      <c r="J138" s="82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150</v>
      </c>
      <c r="C139" s="79">
        <f>+'18'!G139</f>
        <v>0</v>
      </c>
      <c r="D139" s="87">
        <v>0</v>
      </c>
      <c r="E139" s="47">
        <f t="shared" si="13"/>
        <v>0</v>
      </c>
      <c r="F139" s="87">
        <v>0</v>
      </c>
      <c r="G139" s="47">
        <f t="shared" si="11"/>
        <v>0</v>
      </c>
      <c r="H139" s="88"/>
      <c r="I139" s="20">
        <v>45</v>
      </c>
      <c r="J139" s="82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151</v>
      </c>
      <c r="C140" s="79">
        <f>+'18'!G140</f>
        <v>0</v>
      </c>
      <c r="D140" s="87">
        <v>0</v>
      </c>
      <c r="E140" s="47">
        <f t="shared" si="13"/>
        <v>0</v>
      </c>
      <c r="F140" s="87">
        <v>0</v>
      </c>
      <c r="G140" s="47">
        <f t="shared" si="11"/>
        <v>0</v>
      </c>
      <c r="H140" s="88"/>
      <c r="I140" s="20">
        <v>45</v>
      </c>
      <c r="J140" s="82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152</v>
      </c>
      <c r="C141" s="79">
        <f>+'18'!G141</f>
        <v>0</v>
      </c>
      <c r="D141" s="87">
        <v>0</v>
      </c>
      <c r="E141" s="47">
        <f t="shared" si="13"/>
        <v>0</v>
      </c>
      <c r="F141" s="87">
        <v>0</v>
      </c>
      <c r="G141" s="47">
        <f t="shared" si="11"/>
        <v>0</v>
      </c>
      <c r="H141" s="88"/>
      <c r="I141" s="20">
        <v>45</v>
      </c>
      <c r="J141" s="82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153</v>
      </c>
      <c r="C142" s="79">
        <f>+'18'!G142</f>
        <v>0</v>
      </c>
      <c r="D142" s="87">
        <v>0</v>
      </c>
      <c r="E142" s="47">
        <f t="shared" si="13"/>
        <v>0</v>
      </c>
      <c r="F142" s="87">
        <v>0</v>
      </c>
      <c r="G142" s="47">
        <f t="shared" si="11"/>
        <v>0</v>
      </c>
      <c r="H142" s="88"/>
      <c r="I142" s="20">
        <v>45</v>
      </c>
      <c r="J142" s="82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154</v>
      </c>
      <c r="C143" s="79">
        <f>+'18'!G143</f>
        <v>0</v>
      </c>
      <c r="D143" s="87">
        <v>0</v>
      </c>
      <c r="E143" s="47">
        <f t="shared" si="13"/>
        <v>0</v>
      </c>
      <c r="F143" s="87">
        <v>0</v>
      </c>
      <c r="G143" s="47">
        <f t="shared" si="11"/>
        <v>0</v>
      </c>
      <c r="H143" s="88"/>
      <c r="I143" s="20">
        <v>120</v>
      </c>
      <c r="J143" s="82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155</v>
      </c>
      <c r="C144" s="79">
        <f>+'18'!G144</f>
        <v>0</v>
      </c>
      <c r="D144" s="87">
        <v>0</v>
      </c>
      <c r="E144" s="47">
        <f t="shared" si="13"/>
        <v>0</v>
      </c>
      <c r="F144" s="87">
        <v>0</v>
      </c>
      <c r="G144" s="47">
        <f t="shared" si="11"/>
        <v>0</v>
      </c>
      <c r="H144" s="88"/>
      <c r="I144" s="20">
        <v>120</v>
      </c>
      <c r="J144" s="82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156</v>
      </c>
      <c r="C145" s="79">
        <f>+'18'!G145</f>
        <v>0</v>
      </c>
      <c r="D145" s="87">
        <v>0</v>
      </c>
      <c r="E145" s="47">
        <f t="shared" si="13"/>
        <v>0</v>
      </c>
      <c r="F145" s="87">
        <v>0</v>
      </c>
      <c r="G145" s="47">
        <f t="shared" si="11"/>
        <v>0</v>
      </c>
      <c r="H145" s="88"/>
      <c r="I145" s="20">
        <v>120</v>
      </c>
      <c r="J145" s="82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157</v>
      </c>
      <c r="C146" s="79">
        <f>+'18'!G146</f>
        <v>0</v>
      </c>
      <c r="D146" s="87">
        <v>0</v>
      </c>
      <c r="E146" s="47">
        <f t="shared" si="13"/>
        <v>0</v>
      </c>
      <c r="F146" s="87">
        <v>0</v>
      </c>
      <c r="G146" s="47">
        <f t="shared" si="11"/>
        <v>0</v>
      </c>
      <c r="H146" s="88"/>
      <c r="I146" s="20">
        <v>120</v>
      </c>
      <c r="J146" s="82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158</v>
      </c>
      <c r="C147" s="79">
        <f>+'18'!G147</f>
        <v>0</v>
      </c>
      <c r="D147" s="87">
        <v>0</v>
      </c>
      <c r="E147" s="47">
        <f t="shared" si="13"/>
        <v>0</v>
      </c>
      <c r="F147" s="87">
        <v>0</v>
      </c>
      <c r="G147" s="47">
        <f t="shared" si="11"/>
        <v>0</v>
      </c>
      <c r="H147" s="88"/>
      <c r="I147" s="20">
        <v>185</v>
      </c>
      <c r="J147" s="82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159</v>
      </c>
      <c r="C148" s="79">
        <f>+'18'!G148</f>
        <v>0</v>
      </c>
      <c r="D148" s="87">
        <v>0</v>
      </c>
      <c r="E148" s="47">
        <f t="shared" si="13"/>
        <v>0</v>
      </c>
      <c r="F148" s="87">
        <v>0</v>
      </c>
      <c r="G148" s="47">
        <f t="shared" si="11"/>
        <v>0</v>
      </c>
      <c r="H148" s="88"/>
      <c r="I148" s="20">
        <v>185</v>
      </c>
      <c r="J148" s="82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160</v>
      </c>
      <c r="C149" s="79">
        <f>+'18'!G149</f>
        <v>0</v>
      </c>
      <c r="D149" s="87">
        <v>0</v>
      </c>
      <c r="E149" s="47">
        <f t="shared" si="13"/>
        <v>0</v>
      </c>
      <c r="F149" s="87">
        <v>0</v>
      </c>
      <c r="G149" s="47">
        <f t="shared" si="11"/>
        <v>0</v>
      </c>
      <c r="H149" s="88"/>
      <c r="I149" s="20">
        <v>185</v>
      </c>
      <c r="J149" s="82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161</v>
      </c>
      <c r="C150" s="79">
        <f>+'18'!G150</f>
        <v>0</v>
      </c>
      <c r="D150" s="87">
        <v>0</v>
      </c>
      <c r="E150" s="47">
        <f t="shared" si="13"/>
        <v>0</v>
      </c>
      <c r="F150" s="87">
        <v>0</v>
      </c>
      <c r="G150" s="47">
        <f t="shared" si="11"/>
        <v>0</v>
      </c>
      <c r="H150" s="88"/>
      <c r="I150" s="20">
        <v>185</v>
      </c>
      <c r="J150" s="82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5.5" x14ac:dyDescent="0.55000000000000004">
      <c r="A151" s="10">
        <v>147</v>
      </c>
      <c r="B151" s="19" t="s">
        <v>279</v>
      </c>
      <c r="C151" s="79">
        <f>+'18'!G151</f>
        <v>0</v>
      </c>
      <c r="D151" s="87">
        <v>0</v>
      </c>
      <c r="E151" s="47">
        <f t="shared" si="13"/>
        <v>0</v>
      </c>
      <c r="F151" s="87">
        <v>0</v>
      </c>
      <c r="G151" s="47">
        <f t="shared" si="11"/>
        <v>0</v>
      </c>
      <c r="H151" s="88"/>
      <c r="I151" s="20">
        <v>150</v>
      </c>
      <c r="J151" s="82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280</v>
      </c>
      <c r="C152" s="79">
        <f>+'18'!G152</f>
        <v>1</v>
      </c>
      <c r="D152" s="87">
        <v>0</v>
      </c>
      <c r="E152" s="47">
        <f t="shared" si="13"/>
        <v>1</v>
      </c>
      <c r="F152" s="87">
        <v>0</v>
      </c>
      <c r="G152" s="47">
        <f t="shared" si="11"/>
        <v>1</v>
      </c>
      <c r="H152" s="88"/>
      <c r="I152" s="20">
        <v>150</v>
      </c>
      <c r="J152" s="82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5.5" x14ac:dyDescent="0.55000000000000004">
      <c r="A153" s="10">
        <v>149</v>
      </c>
      <c r="B153" s="19" t="s">
        <v>281</v>
      </c>
      <c r="C153" s="79">
        <f>+'18'!G153</f>
        <v>0</v>
      </c>
      <c r="D153" s="87">
        <v>0</v>
      </c>
      <c r="E153" s="47">
        <f t="shared" si="13"/>
        <v>0</v>
      </c>
      <c r="F153" s="87">
        <v>0</v>
      </c>
      <c r="G153" s="47">
        <f t="shared" si="11"/>
        <v>0</v>
      </c>
      <c r="H153" s="88"/>
      <c r="I153" s="20">
        <v>150</v>
      </c>
      <c r="J153" s="82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282</v>
      </c>
      <c r="C154" s="79">
        <f>+'18'!G154</f>
        <v>0</v>
      </c>
      <c r="D154" s="87">
        <v>0</v>
      </c>
      <c r="E154" s="47">
        <f t="shared" si="13"/>
        <v>0</v>
      </c>
      <c r="F154" s="87">
        <v>0</v>
      </c>
      <c r="G154" s="47">
        <f t="shared" si="11"/>
        <v>0</v>
      </c>
      <c r="H154" s="88"/>
      <c r="I154" s="20">
        <v>150</v>
      </c>
      <c r="J154" s="82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166</v>
      </c>
      <c r="C155" s="79">
        <f>+'18'!G155</f>
        <v>0</v>
      </c>
      <c r="D155" s="87">
        <v>0</v>
      </c>
      <c r="E155" s="47">
        <f t="shared" si="13"/>
        <v>0</v>
      </c>
      <c r="F155" s="87">
        <v>0</v>
      </c>
      <c r="G155" s="47">
        <f t="shared" si="11"/>
        <v>0</v>
      </c>
      <c r="H155" s="88"/>
      <c r="I155" s="20">
        <v>185</v>
      </c>
      <c r="J155" s="82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167</v>
      </c>
      <c r="C156" s="79">
        <f>+'18'!G156</f>
        <v>0</v>
      </c>
      <c r="D156" s="87">
        <v>0</v>
      </c>
      <c r="E156" s="47">
        <f t="shared" si="13"/>
        <v>0</v>
      </c>
      <c r="F156" s="87">
        <v>0</v>
      </c>
      <c r="G156" s="47">
        <f t="shared" si="11"/>
        <v>0</v>
      </c>
      <c r="H156" s="88"/>
      <c r="I156" s="20">
        <v>185</v>
      </c>
      <c r="J156" s="82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168</v>
      </c>
      <c r="C157" s="79">
        <f>+'18'!G157</f>
        <v>0</v>
      </c>
      <c r="D157" s="87">
        <v>0</v>
      </c>
      <c r="E157" s="47">
        <f t="shared" si="13"/>
        <v>0</v>
      </c>
      <c r="F157" s="87">
        <v>0</v>
      </c>
      <c r="G157" s="47">
        <f t="shared" si="11"/>
        <v>0</v>
      </c>
      <c r="H157" s="88"/>
      <c r="I157" s="20">
        <v>185</v>
      </c>
      <c r="J157" s="82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169</v>
      </c>
      <c r="C158" s="79">
        <f>+'18'!G158</f>
        <v>0</v>
      </c>
      <c r="D158" s="87">
        <v>0</v>
      </c>
      <c r="E158" s="47">
        <f t="shared" si="13"/>
        <v>0</v>
      </c>
      <c r="F158" s="87">
        <v>0</v>
      </c>
      <c r="G158" s="47">
        <f t="shared" si="11"/>
        <v>0</v>
      </c>
      <c r="H158" s="88"/>
      <c r="I158" s="20">
        <v>185</v>
      </c>
      <c r="J158" s="82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170</v>
      </c>
      <c r="C159" s="79">
        <f>+'18'!G159</f>
        <v>0</v>
      </c>
      <c r="D159" s="87">
        <v>0</v>
      </c>
      <c r="E159" s="47">
        <f t="shared" si="13"/>
        <v>0</v>
      </c>
      <c r="F159" s="87">
        <v>0</v>
      </c>
      <c r="G159" s="47">
        <f t="shared" si="11"/>
        <v>0</v>
      </c>
      <c r="H159" s="88"/>
      <c r="I159" s="20">
        <v>135</v>
      </c>
      <c r="J159" s="82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171</v>
      </c>
      <c r="C160" s="79">
        <f>+'18'!G160</f>
        <v>0</v>
      </c>
      <c r="D160" s="87">
        <v>0</v>
      </c>
      <c r="E160" s="47">
        <f t="shared" si="13"/>
        <v>0</v>
      </c>
      <c r="F160" s="87">
        <v>0</v>
      </c>
      <c r="G160" s="47">
        <f t="shared" si="11"/>
        <v>0</v>
      </c>
      <c r="H160" s="88"/>
      <c r="I160" s="20">
        <v>90</v>
      </c>
      <c r="J160" s="82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172</v>
      </c>
      <c r="C161" s="79">
        <f>+'18'!G161</f>
        <v>0</v>
      </c>
      <c r="D161" s="87">
        <v>0</v>
      </c>
      <c r="E161" s="47">
        <f t="shared" si="13"/>
        <v>0</v>
      </c>
      <c r="F161" s="87">
        <v>0</v>
      </c>
      <c r="G161" s="47">
        <f t="shared" si="11"/>
        <v>0</v>
      </c>
      <c r="H161" s="88"/>
      <c r="I161" s="20">
        <v>90</v>
      </c>
      <c r="J161" s="82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173</v>
      </c>
      <c r="C162" s="79">
        <f>+'18'!G162</f>
        <v>0</v>
      </c>
      <c r="D162" s="87">
        <v>0</v>
      </c>
      <c r="E162" s="47">
        <f t="shared" si="13"/>
        <v>0</v>
      </c>
      <c r="F162" s="87">
        <v>0</v>
      </c>
      <c r="G162" s="47">
        <f t="shared" si="11"/>
        <v>0</v>
      </c>
      <c r="H162" s="88"/>
      <c r="I162" s="20">
        <v>90</v>
      </c>
      <c r="J162" s="82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174</v>
      </c>
      <c r="C163" s="79">
        <f>+'18'!G163</f>
        <v>0</v>
      </c>
      <c r="D163" s="87">
        <v>0</v>
      </c>
      <c r="E163" s="47">
        <f t="shared" si="13"/>
        <v>0</v>
      </c>
      <c r="F163" s="87">
        <v>0</v>
      </c>
      <c r="G163" s="47">
        <f t="shared" si="11"/>
        <v>0</v>
      </c>
      <c r="H163" s="88"/>
      <c r="I163" s="20">
        <v>90</v>
      </c>
      <c r="J163" s="82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175</v>
      </c>
      <c r="C164" s="79">
        <f>+'18'!G164</f>
        <v>0</v>
      </c>
      <c r="D164" s="87">
        <v>0</v>
      </c>
      <c r="E164" s="47">
        <f t="shared" si="13"/>
        <v>0</v>
      </c>
      <c r="F164" s="87">
        <v>0</v>
      </c>
      <c r="G164" s="47">
        <f t="shared" si="11"/>
        <v>0</v>
      </c>
      <c r="H164" s="88"/>
      <c r="I164" s="20">
        <v>25</v>
      </c>
      <c r="J164" s="82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176</v>
      </c>
      <c r="C165" s="79">
        <f>+'18'!G165</f>
        <v>0</v>
      </c>
      <c r="D165" s="87">
        <v>0</v>
      </c>
      <c r="E165" s="47">
        <f t="shared" si="13"/>
        <v>0</v>
      </c>
      <c r="F165" s="87">
        <v>0</v>
      </c>
      <c r="G165" s="47">
        <f t="shared" ref="G165:G227" si="15">+E165-F165-H165</f>
        <v>0</v>
      </c>
      <c r="H165" s="88"/>
      <c r="I165" s="20">
        <v>50</v>
      </c>
      <c r="J165" s="82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177</v>
      </c>
      <c r="C166" s="79">
        <f>+'18'!G166</f>
        <v>0</v>
      </c>
      <c r="D166" s="87">
        <v>0</v>
      </c>
      <c r="E166" s="47">
        <f t="shared" si="13"/>
        <v>0</v>
      </c>
      <c r="F166" s="87">
        <v>0</v>
      </c>
      <c r="G166" s="47">
        <f t="shared" si="15"/>
        <v>0</v>
      </c>
      <c r="H166" s="88"/>
      <c r="I166" s="20">
        <v>50</v>
      </c>
      <c r="J166" s="82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178</v>
      </c>
      <c r="C167" s="79">
        <f>+'18'!G167</f>
        <v>0</v>
      </c>
      <c r="D167" s="87">
        <v>0</v>
      </c>
      <c r="E167" s="47">
        <f t="shared" si="13"/>
        <v>0</v>
      </c>
      <c r="F167" s="87">
        <v>0</v>
      </c>
      <c r="G167" s="47">
        <f t="shared" si="15"/>
        <v>0</v>
      </c>
      <c r="H167" s="88"/>
      <c r="I167" s="20">
        <v>50</v>
      </c>
      <c r="J167" s="82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179</v>
      </c>
      <c r="C168" s="79">
        <f>+'18'!G168</f>
        <v>0</v>
      </c>
      <c r="D168" s="87">
        <v>0</v>
      </c>
      <c r="E168" s="47">
        <f t="shared" si="13"/>
        <v>0</v>
      </c>
      <c r="F168" s="87">
        <v>0</v>
      </c>
      <c r="G168" s="47">
        <f t="shared" si="15"/>
        <v>0</v>
      </c>
      <c r="H168" s="88"/>
      <c r="I168" s="20">
        <v>50</v>
      </c>
      <c r="J168" s="82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180</v>
      </c>
      <c r="C169" s="79">
        <f>+'18'!G169</f>
        <v>40</v>
      </c>
      <c r="D169" s="87">
        <v>0</v>
      </c>
      <c r="E169" s="47">
        <f t="shared" si="13"/>
        <v>40</v>
      </c>
      <c r="F169" s="87">
        <v>0</v>
      </c>
      <c r="G169" s="47">
        <f t="shared" si="15"/>
        <v>40</v>
      </c>
      <c r="H169" s="88"/>
      <c r="I169" s="20">
        <v>55</v>
      </c>
      <c r="J169" s="82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181</v>
      </c>
      <c r="C170" s="79">
        <f>+'18'!G170</f>
        <v>0</v>
      </c>
      <c r="D170" s="87">
        <v>0</v>
      </c>
      <c r="E170" s="47">
        <f t="shared" si="13"/>
        <v>0</v>
      </c>
      <c r="F170" s="87">
        <v>0</v>
      </c>
      <c r="G170" s="47">
        <f t="shared" si="15"/>
        <v>0</v>
      </c>
      <c r="H170" s="88"/>
      <c r="I170" s="20">
        <v>85</v>
      </c>
      <c r="J170" s="82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182</v>
      </c>
      <c r="C171" s="79">
        <f>+'18'!G171</f>
        <v>6</v>
      </c>
      <c r="D171" s="87">
        <v>0</v>
      </c>
      <c r="E171" s="47">
        <f t="shared" si="13"/>
        <v>6</v>
      </c>
      <c r="F171" s="87">
        <v>0</v>
      </c>
      <c r="G171" s="47">
        <f t="shared" si="15"/>
        <v>5</v>
      </c>
      <c r="H171" s="88">
        <v>1</v>
      </c>
      <c r="I171" s="20">
        <v>80</v>
      </c>
      <c r="J171" s="82">
        <f t="shared" si="16"/>
        <v>80</v>
      </c>
      <c r="K171" s="17" t="s">
        <v>16</v>
      </c>
      <c r="L171" s="18">
        <v>0</v>
      </c>
      <c r="M171" s="23">
        <f t="shared" si="14"/>
        <v>80</v>
      </c>
    </row>
    <row r="172" spans="1:13" ht="25.5" x14ac:dyDescent="0.55000000000000004">
      <c r="A172" s="10">
        <v>168</v>
      </c>
      <c r="B172" s="19" t="s">
        <v>183</v>
      </c>
      <c r="C172" s="79">
        <f>+'18'!G172</f>
        <v>0</v>
      </c>
      <c r="D172" s="87">
        <v>0</v>
      </c>
      <c r="E172" s="47">
        <f t="shared" si="13"/>
        <v>0</v>
      </c>
      <c r="F172" s="87">
        <v>0</v>
      </c>
      <c r="G172" s="47">
        <f t="shared" si="15"/>
        <v>0</v>
      </c>
      <c r="H172" s="88"/>
      <c r="I172" s="20">
        <v>40</v>
      </c>
      <c r="J172" s="82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184</v>
      </c>
      <c r="C173" s="79">
        <f>+'18'!G173</f>
        <v>0</v>
      </c>
      <c r="D173" s="87">
        <v>0</v>
      </c>
      <c r="E173" s="47">
        <f t="shared" si="13"/>
        <v>0</v>
      </c>
      <c r="F173" s="87">
        <v>0</v>
      </c>
      <c r="G173" s="47">
        <f t="shared" si="15"/>
        <v>0</v>
      </c>
      <c r="H173" s="88"/>
      <c r="I173" s="20">
        <v>120</v>
      </c>
      <c r="J173" s="82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185</v>
      </c>
      <c r="C174" s="79">
        <f>+'18'!G174</f>
        <v>0</v>
      </c>
      <c r="D174" s="87">
        <v>0</v>
      </c>
      <c r="E174" s="47">
        <f t="shared" si="13"/>
        <v>0</v>
      </c>
      <c r="F174" s="87">
        <v>0</v>
      </c>
      <c r="G174" s="47">
        <f t="shared" si="15"/>
        <v>0</v>
      </c>
      <c r="H174" s="88"/>
      <c r="I174" s="20">
        <v>120</v>
      </c>
      <c r="J174" s="82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186</v>
      </c>
      <c r="C175" s="79">
        <f>+'18'!G175</f>
        <v>0</v>
      </c>
      <c r="D175" s="87">
        <v>0</v>
      </c>
      <c r="E175" s="47">
        <f t="shared" si="13"/>
        <v>0</v>
      </c>
      <c r="F175" s="87">
        <v>0</v>
      </c>
      <c r="G175" s="47">
        <f t="shared" si="15"/>
        <v>0</v>
      </c>
      <c r="H175" s="88"/>
      <c r="I175" s="20">
        <v>55</v>
      </c>
      <c r="J175" s="82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187</v>
      </c>
      <c r="C176" s="79">
        <f>+'18'!G176</f>
        <v>0</v>
      </c>
      <c r="D176" s="87">
        <v>0</v>
      </c>
      <c r="E176" s="47">
        <f t="shared" si="13"/>
        <v>0</v>
      </c>
      <c r="F176" s="87">
        <v>0</v>
      </c>
      <c r="G176" s="47">
        <f t="shared" si="15"/>
        <v>0</v>
      </c>
      <c r="H176" s="88"/>
      <c r="I176" s="20">
        <v>50</v>
      </c>
      <c r="J176" s="82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188</v>
      </c>
      <c r="C177" s="79">
        <f>+'18'!G177</f>
        <v>0</v>
      </c>
      <c r="D177" s="87">
        <v>0</v>
      </c>
      <c r="E177" s="47">
        <f t="shared" si="13"/>
        <v>0</v>
      </c>
      <c r="F177" s="87">
        <v>0</v>
      </c>
      <c r="G177" s="47">
        <f t="shared" si="15"/>
        <v>0</v>
      </c>
      <c r="H177" s="88"/>
      <c r="I177" s="20">
        <v>50</v>
      </c>
      <c r="J177" s="82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189</v>
      </c>
      <c r="C178" s="79">
        <f>+'18'!G178</f>
        <v>0</v>
      </c>
      <c r="D178" s="87">
        <v>0</v>
      </c>
      <c r="E178" s="47">
        <f t="shared" si="13"/>
        <v>0</v>
      </c>
      <c r="F178" s="87">
        <v>0</v>
      </c>
      <c r="G178" s="47">
        <f t="shared" si="15"/>
        <v>0</v>
      </c>
      <c r="H178" s="88"/>
      <c r="I178" s="20">
        <v>120</v>
      </c>
      <c r="J178" s="82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190</v>
      </c>
      <c r="C179" s="79">
        <f>+'18'!G179</f>
        <v>0</v>
      </c>
      <c r="D179" s="87">
        <v>5</v>
      </c>
      <c r="E179" s="47">
        <f t="shared" si="13"/>
        <v>5</v>
      </c>
      <c r="F179" s="87">
        <v>0</v>
      </c>
      <c r="G179" s="47">
        <f t="shared" si="15"/>
        <v>4</v>
      </c>
      <c r="H179" s="88">
        <v>1</v>
      </c>
      <c r="I179" s="20">
        <v>120</v>
      </c>
      <c r="J179" s="82">
        <f t="shared" si="16"/>
        <v>120</v>
      </c>
      <c r="K179" s="17" t="s">
        <v>16</v>
      </c>
      <c r="L179" s="18">
        <v>0</v>
      </c>
      <c r="M179" s="23">
        <f t="shared" si="14"/>
        <v>120</v>
      </c>
    </row>
    <row r="180" spans="1:13" ht="25.5" x14ac:dyDescent="0.55000000000000004">
      <c r="A180" s="10">
        <v>176</v>
      </c>
      <c r="B180" s="19" t="s">
        <v>191</v>
      </c>
      <c r="C180" s="79">
        <f>+'18'!G180</f>
        <v>0</v>
      </c>
      <c r="D180" s="87">
        <v>0</v>
      </c>
      <c r="E180" s="47">
        <f t="shared" si="13"/>
        <v>0</v>
      </c>
      <c r="F180" s="87">
        <v>0</v>
      </c>
      <c r="G180" s="47">
        <f t="shared" si="15"/>
        <v>0</v>
      </c>
      <c r="H180" s="88"/>
      <c r="I180" s="20">
        <v>10</v>
      </c>
      <c r="J180" s="82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192</v>
      </c>
      <c r="C181" s="79">
        <f>+'18'!G181</f>
        <v>0</v>
      </c>
      <c r="D181" s="87">
        <v>0</v>
      </c>
      <c r="E181" s="47">
        <f t="shared" si="13"/>
        <v>0</v>
      </c>
      <c r="F181" s="87">
        <v>0</v>
      </c>
      <c r="G181" s="47">
        <f t="shared" si="15"/>
        <v>0</v>
      </c>
      <c r="H181" s="88"/>
      <c r="I181" s="20">
        <v>35</v>
      </c>
      <c r="J181" s="82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193</v>
      </c>
      <c r="C182" s="79">
        <f>+'18'!G182</f>
        <v>0</v>
      </c>
      <c r="D182" s="87">
        <v>0</v>
      </c>
      <c r="E182" s="47">
        <f t="shared" si="13"/>
        <v>0</v>
      </c>
      <c r="F182" s="87">
        <v>0</v>
      </c>
      <c r="G182" s="47">
        <f t="shared" si="15"/>
        <v>0</v>
      </c>
      <c r="H182" s="88"/>
      <c r="I182" s="20">
        <v>10</v>
      </c>
      <c r="J182" s="82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194</v>
      </c>
      <c r="C183" s="79">
        <f>+'18'!G183</f>
        <v>0</v>
      </c>
      <c r="D183" s="87">
        <v>0</v>
      </c>
      <c r="E183" s="47">
        <f t="shared" si="13"/>
        <v>0</v>
      </c>
      <c r="F183" s="87">
        <v>0</v>
      </c>
      <c r="G183" s="47">
        <f t="shared" si="15"/>
        <v>0</v>
      </c>
      <c r="H183" s="88"/>
      <c r="I183" s="20">
        <v>10</v>
      </c>
      <c r="J183" s="82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195</v>
      </c>
      <c r="C184" s="79">
        <f>+'18'!G184</f>
        <v>0</v>
      </c>
      <c r="D184" s="87">
        <v>0</v>
      </c>
      <c r="E184" s="47">
        <f t="shared" si="13"/>
        <v>0</v>
      </c>
      <c r="F184" s="87">
        <v>0</v>
      </c>
      <c r="G184" s="47">
        <f t="shared" si="15"/>
        <v>0</v>
      </c>
      <c r="H184" s="88"/>
      <c r="I184" s="20">
        <v>10</v>
      </c>
      <c r="J184" s="82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196</v>
      </c>
      <c r="C185" s="79">
        <f>+'18'!G185</f>
        <v>0</v>
      </c>
      <c r="D185" s="87">
        <v>0</v>
      </c>
      <c r="E185" s="47">
        <f t="shared" si="13"/>
        <v>0</v>
      </c>
      <c r="F185" s="87">
        <v>0</v>
      </c>
      <c r="G185" s="47">
        <f t="shared" si="15"/>
        <v>0</v>
      </c>
      <c r="H185" s="88"/>
      <c r="I185" s="20">
        <v>10</v>
      </c>
      <c r="J185" s="82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197</v>
      </c>
      <c r="C186" s="79">
        <f>+'18'!G186</f>
        <v>0</v>
      </c>
      <c r="D186" s="87">
        <v>0</v>
      </c>
      <c r="E186" s="47">
        <f t="shared" si="13"/>
        <v>0</v>
      </c>
      <c r="F186" s="87">
        <v>0</v>
      </c>
      <c r="G186" s="47">
        <f t="shared" si="15"/>
        <v>0</v>
      </c>
      <c r="H186" s="88"/>
      <c r="I186" s="20">
        <v>10</v>
      </c>
      <c r="J186" s="82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198</v>
      </c>
      <c r="C187" s="79">
        <f>+'18'!G187</f>
        <v>0</v>
      </c>
      <c r="D187" s="87">
        <v>0</v>
      </c>
      <c r="E187" s="47">
        <f t="shared" si="13"/>
        <v>0</v>
      </c>
      <c r="F187" s="87">
        <v>0</v>
      </c>
      <c r="G187" s="47">
        <f t="shared" si="15"/>
        <v>0</v>
      </c>
      <c r="H187" s="88"/>
      <c r="I187" s="20">
        <v>25</v>
      </c>
      <c r="J187" s="82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249</v>
      </c>
      <c r="C188" s="79">
        <f>+'18'!G188</f>
        <v>0</v>
      </c>
      <c r="D188" s="87">
        <v>0</v>
      </c>
      <c r="E188" s="47">
        <f t="shared" si="13"/>
        <v>0</v>
      </c>
      <c r="F188" s="87">
        <v>0</v>
      </c>
      <c r="G188" s="47">
        <f t="shared" si="15"/>
        <v>0</v>
      </c>
      <c r="H188" s="88"/>
      <c r="I188" s="15">
        <v>50</v>
      </c>
      <c r="J188" s="82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250</v>
      </c>
      <c r="C189" s="79">
        <f>+'18'!G189</f>
        <v>0</v>
      </c>
      <c r="D189" s="87">
        <v>0</v>
      </c>
      <c r="E189" s="47">
        <f t="shared" si="13"/>
        <v>0</v>
      </c>
      <c r="F189" s="87">
        <v>0</v>
      </c>
      <c r="G189" s="47">
        <f t="shared" si="15"/>
        <v>0</v>
      </c>
      <c r="H189" s="88"/>
      <c r="I189" s="15">
        <v>10</v>
      </c>
      <c r="J189" s="82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251</v>
      </c>
      <c r="C190" s="79">
        <f>+'18'!G190</f>
        <v>0</v>
      </c>
      <c r="D190" s="87">
        <v>0</v>
      </c>
      <c r="E190" s="47">
        <f t="shared" ref="E190:E252" si="17">C190+D190</f>
        <v>0</v>
      </c>
      <c r="F190" s="87">
        <v>0</v>
      </c>
      <c r="G190" s="47">
        <f t="shared" si="15"/>
        <v>0</v>
      </c>
      <c r="H190" s="88"/>
      <c r="I190" s="15">
        <v>15</v>
      </c>
      <c r="J190" s="82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252</v>
      </c>
      <c r="C191" s="79">
        <f>+'18'!G191</f>
        <v>0</v>
      </c>
      <c r="D191" s="87">
        <v>0</v>
      </c>
      <c r="E191" s="47">
        <f t="shared" si="17"/>
        <v>0</v>
      </c>
      <c r="F191" s="87">
        <v>0</v>
      </c>
      <c r="G191" s="47">
        <f t="shared" si="15"/>
        <v>0</v>
      </c>
      <c r="H191" s="88"/>
      <c r="I191" s="15">
        <v>25</v>
      </c>
      <c r="J191" s="82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253</v>
      </c>
      <c r="C192" s="79">
        <f>+'18'!G192</f>
        <v>0</v>
      </c>
      <c r="D192" s="87">
        <v>0</v>
      </c>
      <c r="E192" s="47">
        <f t="shared" si="17"/>
        <v>0</v>
      </c>
      <c r="F192" s="87">
        <v>0</v>
      </c>
      <c r="G192" s="47">
        <f t="shared" si="15"/>
        <v>0</v>
      </c>
      <c r="H192" s="88"/>
      <c r="I192" s="15">
        <v>50</v>
      </c>
      <c r="J192" s="82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254</v>
      </c>
      <c r="C193" s="79">
        <f>+'18'!G193</f>
        <v>0</v>
      </c>
      <c r="D193" s="87">
        <v>0</v>
      </c>
      <c r="E193" s="47">
        <f t="shared" si="17"/>
        <v>0</v>
      </c>
      <c r="F193" s="87">
        <v>0</v>
      </c>
      <c r="G193" s="47">
        <f t="shared" si="15"/>
        <v>0</v>
      </c>
      <c r="H193" s="88"/>
      <c r="I193" s="15">
        <v>45</v>
      </c>
      <c r="J193" s="82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255</v>
      </c>
      <c r="C194" s="79">
        <f>+'18'!G194</f>
        <v>0</v>
      </c>
      <c r="D194" s="87">
        <v>0</v>
      </c>
      <c r="E194" s="47">
        <f t="shared" si="17"/>
        <v>0</v>
      </c>
      <c r="F194" s="87">
        <v>0</v>
      </c>
      <c r="G194" s="47">
        <f t="shared" si="15"/>
        <v>0</v>
      </c>
      <c r="H194" s="88"/>
      <c r="I194" s="15">
        <v>50</v>
      </c>
      <c r="J194" s="82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199</v>
      </c>
      <c r="C195" s="79">
        <f>+'18'!G195</f>
        <v>0</v>
      </c>
      <c r="D195" s="87">
        <v>0</v>
      </c>
      <c r="E195" s="47">
        <f t="shared" si="17"/>
        <v>0</v>
      </c>
      <c r="F195" s="87">
        <v>0</v>
      </c>
      <c r="G195" s="47">
        <f t="shared" si="15"/>
        <v>0</v>
      </c>
      <c r="H195" s="88"/>
      <c r="I195" s="15">
        <v>150</v>
      </c>
      <c r="J195" s="82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200</v>
      </c>
      <c r="C196" s="79">
        <f>+'18'!G196</f>
        <v>0</v>
      </c>
      <c r="D196" s="87">
        <v>0</v>
      </c>
      <c r="E196" s="47">
        <f t="shared" si="17"/>
        <v>0</v>
      </c>
      <c r="F196" s="87">
        <v>0</v>
      </c>
      <c r="G196" s="47">
        <f t="shared" si="15"/>
        <v>0</v>
      </c>
      <c r="H196" s="88"/>
      <c r="I196" s="15">
        <v>150</v>
      </c>
      <c r="J196" s="82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201</v>
      </c>
      <c r="C197" s="79">
        <f>+'18'!G197</f>
        <v>0</v>
      </c>
      <c r="D197" s="87">
        <v>0</v>
      </c>
      <c r="E197" s="47">
        <f t="shared" si="17"/>
        <v>0</v>
      </c>
      <c r="F197" s="87">
        <v>0</v>
      </c>
      <c r="G197" s="47">
        <f t="shared" si="15"/>
        <v>0</v>
      </c>
      <c r="H197" s="88"/>
      <c r="I197" s="15">
        <v>150</v>
      </c>
      <c r="J197" s="82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256</v>
      </c>
      <c r="C198" s="79">
        <f>+'18'!G198</f>
        <v>0</v>
      </c>
      <c r="D198" s="87">
        <v>0</v>
      </c>
      <c r="E198" s="47">
        <f t="shared" si="17"/>
        <v>0</v>
      </c>
      <c r="F198" s="87">
        <v>0</v>
      </c>
      <c r="G198" s="47">
        <f t="shared" si="15"/>
        <v>0</v>
      </c>
      <c r="H198" s="88"/>
      <c r="I198" s="15">
        <v>55</v>
      </c>
      <c r="J198" s="82">
        <f t="shared" si="16"/>
        <v>0</v>
      </c>
      <c r="K198" s="17" t="s">
        <v>16</v>
      </c>
      <c r="L198" s="18">
        <v>0</v>
      </c>
      <c r="M198" s="23">
        <f t="shared" si="14"/>
        <v>0</v>
      </c>
    </row>
    <row r="199" spans="1:13" ht="25.5" x14ac:dyDescent="0.55000000000000004">
      <c r="A199" s="10">
        <v>195</v>
      </c>
      <c r="B199" s="19" t="s">
        <v>257</v>
      </c>
      <c r="C199" s="79">
        <f>+'18'!G199</f>
        <v>0</v>
      </c>
      <c r="D199" s="87">
        <v>0</v>
      </c>
      <c r="E199" s="47">
        <f t="shared" si="17"/>
        <v>0</v>
      </c>
      <c r="F199" s="87">
        <v>0</v>
      </c>
      <c r="G199" s="47">
        <f t="shared" si="15"/>
        <v>0</v>
      </c>
      <c r="H199" s="88"/>
      <c r="I199" s="15">
        <v>30</v>
      </c>
      <c r="J199" s="82">
        <f t="shared" si="16"/>
        <v>0</v>
      </c>
      <c r="K199" s="17" t="s">
        <v>16</v>
      </c>
      <c r="L199" s="18">
        <v>0</v>
      </c>
      <c r="M199" s="23">
        <f t="shared" ref="M199:M254" si="18">SUM(J199-L199)</f>
        <v>0</v>
      </c>
    </row>
    <row r="200" spans="1:13" ht="25.5" x14ac:dyDescent="0.55000000000000004">
      <c r="A200" s="10">
        <v>196</v>
      </c>
      <c r="B200" s="19" t="s">
        <v>258</v>
      </c>
      <c r="C200" s="79">
        <f>+'18'!G200</f>
        <v>0</v>
      </c>
      <c r="D200" s="87">
        <v>0</v>
      </c>
      <c r="E200" s="47">
        <f t="shared" si="17"/>
        <v>0</v>
      </c>
      <c r="F200" s="87">
        <v>0</v>
      </c>
      <c r="G200" s="47">
        <f t="shared" si="15"/>
        <v>0</v>
      </c>
      <c r="H200" s="88"/>
      <c r="I200" s="15">
        <v>30</v>
      </c>
      <c r="J200" s="82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259</v>
      </c>
      <c r="C201" s="79">
        <f>+'18'!G201</f>
        <v>0</v>
      </c>
      <c r="D201" s="87">
        <v>0</v>
      </c>
      <c r="E201" s="47">
        <f t="shared" si="17"/>
        <v>0</v>
      </c>
      <c r="F201" s="87">
        <v>0</v>
      </c>
      <c r="G201" s="47">
        <f t="shared" si="15"/>
        <v>0</v>
      </c>
      <c r="H201" s="88"/>
      <c r="I201" s="15">
        <v>30</v>
      </c>
      <c r="J201" s="82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260</v>
      </c>
      <c r="C202" s="79">
        <f>+'18'!G202</f>
        <v>0</v>
      </c>
      <c r="D202" s="87">
        <v>0</v>
      </c>
      <c r="E202" s="47">
        <f t="shared" si="17"/>
        <v>0</v>
      </c>
      <c r="F202" s="87">
        <v>0</v>
      </c>
      <c r="G202" s="47">
        <f t="shared" si="15"/>
        <v>0</v>
      </c>
      <c r="H202" s="88"/>
      <c r="I202" s="15">
        <v>30</v>
      </c>
      <c r="J202" s="82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1" t="s">
        <v>261</v>
      </c>
      <c r="C203" s="79">
        <f>+'18'!G203</f>
        <v>0</v>
      </c>
      <c r="D203" s="87">
        <v>0</v>
      </c>
      <c r="E203" s="47">
        <f t="shared" si="17"/>
        <v>0</v>
      </c>
      <c r="F203" s="87">
        <v>0</v>
      </c>
      <c r="G203" s="47">
        <f t="shared" si="15"/>
        <v>0</v>
      </c>
      <c r="H203" s="88"/>
      <c r="I203" s="20">
        <v>30</v>
      </c>
      <c r="J203" s="82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1" t="s">
        <v>262</v>
      </c>
      <c r="C204" s="79">
        <f>+'18'!G204</f>
        <v>0</v>
      </c>
      <c r="D204" s="87">
        <v>0</v>
      </c>
      <c r="E204" s="47">
        <f t="shared" si="17"/>
        <v>0</v>
      </c>
      <c r="F204" s="87">
        <v>0</v>
      </c>
      <c r="G204" s="47">
        <f t="shared" si="15"/>
        <v>0</v>
      </c>
      <c r="H204" s="88"/>
      <c r="I204" s="20">
        <v>30</v>
      </c>
      <c r="J204" s="82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1" t="s">
        <v>263</v>
      </c>
      <c r="C205" s="79">
        <f>+'18'!G205</f>
        <v>0</v>
      </c>
      <c r="D205" s="87">
        <v>0</v>
      </c>
      <c r="E205" s="47">
        <f t="shared" si="17"/>
        <v>0</v>
      </c>
      <c r="F205" s="87">
        <v>0</v>
      </c>
      <c r="G205" s="47">
        <f t="shared" si="15"/>
        <v>0</v>
      </c>
      <c r="H205" s="88"/>
      <c r="I205" s="20">
        <v>50</v>
      </c>
      <c r="J205" s="82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1" t="s">
        <v>264</v>
      </c>
      <c r="C206" s="79">
        <f>+'18'!G206</f>
        <v>0</v>
      </c>
      <c r="D206" s="87">
        <v>0</v>
      </c>
      <c r="E206" s="47">
        <f t="shared" si="17"/>
        <v>0</v>
      </c>
      <c r="F206" s="87">
        <v>0</v>
      </c>
      <c r="G206" s="47">
        <f t="shared" si="15"/>
        <v>0</v>
      </c>
      <c r="H206" s="88"/>
      <c r="I206" s="20">
        <v>100</v>
      </c>
      <c r="J206" s="82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1" t="s">
        <v>265</v>
      </c>
      <c r="C207" s="79">
        <f>+'18'!G207</f>
        <v>0</v>
      </c>
      <c r="D207" s="87">
        <v>0</v>
      </c>
      <c r="E207" s="47">
        <f t="shared" si="17"/>
        <v>0</v>
      </c>
      <c r="F207" s="87">
        <v>0</v>
      </c>
      <c r="G207" s="47">
        <f t="shared" si="15"/>
        <v>0</v>
      </c>
      <c r="H207" s="88"/>
      <c r="I207" s="20">
        <v>100</v>
      </c>
      <c r="J207" s="82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1" t="s">
        <v>266</v>
      </c>
      <c r="C208" s="79">
        <f>+'18'!G208</f>
        <v>0</v>
      </c>
      <c r="D208" s="87">
        <v>0</v>
      </c>
      <c r="E208" s="47">
        <f t="shared" si="17"/>
        <v>0</v>
      </c>
      <c r="F208" s="87">
        <v>0</v>
      </c>
      <c r="G208" s="47">
        <f t="shared" si="15"/>
        <v>0</v>
      </c>
      <c r="H208" s="88"/>
      <c r="I208" s="20">
        <v>100</v>
      </c>
      <c r="J208" s="82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1" t="s">
        <v>267</v>
      </c>
      <c r="C209" s="79">
        <f>+'18'!G209</f>
        <v>0</v>
      </c>
      <c r="D209" s="87">
        <v>0</v>
      </c>
      <c r="E209" s="47">
        <f t="shared" si="17"/>
        <v>0</v>
      </c>
      <c r="F209" s="87">
        <v>0</v>
      </c>
      <c r="G209" s="47">
        <f t="shared" si="15"/>
        <v>0</v>
      </c>
      <c r="H209" s="88"/>
      <c r="I209" s="20">
        <v>100</v>
      </c>
      <c r="J209" s="82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1" t="s">
        <v>268</v>
      </c>
      <c r="C210" s="79">
        <f>+'18'!G210</f>
        <v>0</v>
      </c>
      <c r="D210" s="87">
        <v>0</v>
      </c>
      <c r="E210" s="47">
        <f t="shared" si="17"/>
        <v>0</v>
      </c>
      <c r="F210" s="87">
        <v>0</v>
      </c>
      <c r="G210" s="47">
        <f t="shared" si="15"/>
        <v>0</v>
      </c>
      <c r="H210" s="88"/>
      <c r="I210" s="20">
        <v>250</v>
      </c>
      <c r="J210" s="82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1" t="s">
        <v>269</v>
      </c>
      <c r="C211" s="79">
        <f>+'18'!G211</f>
        <v>0</v>
      </c>
      <c r="D211" s="87">
        <v>0</v>
      </c>
      <c r="E211" s="47">
        <f t="shared" si="17"/>
        <v>0</v>
      </c>
      <c r="F211" s="87">
        <v>0</v>
      </c>
      <c r="G211" s="47">
        <f t="shared" si="15"/>
        <v>0</v>
      </c>
      <c r="H211" s="88"/>
      <c r="I211" s="20">
        <v>250</v>
      </c>
      <c r="J211" s="82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1" t="s">
        <v>270</v>
      </c>
      <c r="C212" s="79">
        <f>+'18'!G212</f>
        <v>0</v>
      </c>
      <c r="D212" s="87">
        <v>0</v>
      </c>
      <c r="E212" s="47">
        <f t="shared" si="17"/>
        <v>0</v>
      </c>
      <c r="F212" s="87">
        <v>0</v>
      </c>
      <c r="G212" s="47">
        <f t="shared" si="15"/>
        <v>0</v>
      </c>
      <c r="H212" s="88"/>
      <c r="I212" s="20">
        <v>250</v>
      </c>
      <c r="J212" s="82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1" t="s">
        <v>271</v>
      </c>
      <c r="C213" s="79">
        <f>+'18'!G213</f>
        <v>0</v>
      </c>
      <c r="D213" s="87">
        <v>0</v>
      </c>
      <c r="E213" s="47">
        <f t="shared" si="17"/>
        <v>0</v>
      </c>
      <c r="F213" s="87">
        <v>0</v>
      </c>
      <c r="G213" s="47">
        <f t="shared" si="15"/>
        <v>0</v>
      </c>
      <c r="H213" s="88"/>
      <c r="I213" s="20">
        <v>50</v>
      </c>
      <c r="J213" s="82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1" t="s">
        <v>273</v>
      </c>
      <c r="C214" s="79">
        <f>+'18'!G214</f>
        <v>0</v>
      </c>
      <c r="D214" s="87">
        <v>0</v>
      </c>
      <c r="E214" s="47">
        <f t="shared" si="17"/>
        <v>0</v>
      </c>
      <c r="F214" s="87">
        <v>0</v>
      </c>
      <c r="G214" s="47">
        <f t="shared" si="15"/>
        <v>0</v>
      </c>
      <c r="H214" s="88"/>
      <c r="I214" s="20">
        <v>50</v>
      </c>
      <c r="J214" s="82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1" t="s">
        <v>274</v>
      </c>
      <c r="C215" s="79">
        <f>+'18'!G215</f>
        <v>0</v>
      </c>
      <c r="D215" s="87">
        <v>0</v>
      </c>
      <c r="E215" s="47">
        <f t="shared" si="17"/>
        <v>0</v>
      </c>
      <c r="F215" s="87">
        <v>0</v>
      </c>
      <c r="G215" s="47">
        <f t="shared" si="15"/>
        <v>0</v>
      </c>
      <c r="H215" s="88"/>
      <c r="I215" s="20">
        <v>50</v>
      </c>
      <c r="J215" s="82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1" t="s">
        <v>242</v>
      </c>
      <c r="C216" s="79">
        <f>+'18'!G216</f>
        <v>0</v>
      </c>
      <c r="D216" s="87">
        <v>0</v>
      </c>
      <c r="E216" s="47">
        <f t="shared" si="17"/>
        <v>0</v>
      </c>
      <c r="F216" s="87">
        <v>0</v>
      </c>
      <c r="G216" s="47">
        <f t="shared" si="15"/>
        <v>0</v>
      </c>
      <c r="H216" s="88"/>
      <c r="I216" s="20">
        <v>35</v>
      </c>
      <c r="J216" s="82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1" t="s">
        <v>275</v>
      </c>
      <c r="C217" s="79">
        <f>+'18'!G217</f>
        <v>0</v>
      </c>
      <c r="D217" s="87">
        <v>0</v>
      </c>
      <c r="E217" s="47">
        <f t="shared" si="17"/>
        <v>0</v>
      </c>
      <c r="F217" s="87">
        <v>0</v>
      </c>
      <c r="G217" s="47">
        <f t="shared" si="15"/>
        <v>0</v>
      </c>
      <c r="H217" s="88"/>
      <c r="I217" s="20">
        <v>199</v>
      </c>
      <c r="J217" s="82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1" t="s">
        <v>283</v>
      </c>
      <c r="C218" s="79"/>
      <c r="D218" s="87">
        <v>0</v>
      </c>
      <c r="E218" s="47">
        <f t="shared" si="17"/>
        <v>0</v>
      </c>
      <c r="F218" s="87">
        <v>0</v>
      </c>
      <c r="G218" s="47">
        <f t="shared" si="15"/>
        <v>0</v>
      </c>
      <c r="H218" s="88"/>
      <c r="I218" s="20">
        <v>25</v>
      </c>
      <c r="J218" s="82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1" t="s">
        <v>284</v>
      </c>
      <c r="C219" s="79"/>
      <c r="D219" s="87">
        <v>0</v>
      </c>
      <c r="E219" s="47">
        <f t="shared" si="17"/>
        <v>0</v>
      </c>
      <c r="F219" s="87">
        <v>0</v>
      </c>
      <c r="G219" s="47">
        <f t="shared" si="15"/>
        <v>0</v>
      </c>
      <c r="H219" s="88"/>
      <c r="I219" s="20">
        <v>25</v>
      </c>
      <c r="J219" s="82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1" t="s">
        <v>314</v>
      </c>
      <c r="C220" s="79">
        <f>+'18'!G220</f>
        <v>0</v>
      </c>
      <c r="D220" s="87">
        <v>0</v>
      </c>
      <c r="E220" s="47">
        <f t="shared" si="17"/>
        <v>0</v>
      </c>
      <c r="F220" s="87">
        <v>0</v>
      </c>
      <c r="G220" s="47">
        <f t="shared" si="15"/>
        <v>0</v>
      </c>
      <c r="H220" s="88"/>
      <c r="I220" s="20">
        <v>35</v>
      </c>
      <c r="J220" s="82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1" t="s">
        <v>326</v>
      </c>
      <c r="C221" s="79">
        <f>+'18'!G221</f>
        <v>1</v>
      </c>
      <c r="D221" s="87">
        <v>0</v>
      </c>
      <c r="E221" s="47">
        <f t="shared" si="17"/>
        <v>1</v>
      </c>
      <c r="F221" s="87">
        <v>0</v>
      </c>
      <c r="G221" s="47">
        <f t="shared" si="15"/>
        <v>1</v>
      </c>
      <c r="H221" s="88"/>
      <c r="I221" s="20">
        <v>55</v>
      </c>
      <c r="J221" s="82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1" t="s">
        <v>327</v>
      </c>
      <c r="C222" s="79">
        <f>+'18'!G222</f>
        <v>0</v>
      </c>
      <c r="D222" s="87">
        <v>0</v>
      </c>
      <c r="E222" s="47">
        <f t="shared" si="17"/>
        <v>0</v>
      </c>
      <c r="F222" s="87">
        <v>0</v>
      </c>
      <c r="G222" s="47">
        <f t="shared" si="15"/>
        <v>0</v>
      </c>
      <c r="H222" s="88"/>
      <c r="I222" s="20">
        <v>40</v>
      </c>
      <c r="J222" s="82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1"/>
      <c r="C223" s="79">
        <f>+'18'!G223</f>
        <v>0</v>
      </c>
      <c r="D223" s="87">
        <v>0</v>
      </c>
      <c r="E223" s="47">
        <f t="shared" si="17"/>
        <v>0</v>
      </c>
      <c r="F223" s="87">
        <v>0</v>
      </c>
      <c r="G223" s="47">
        <f t="shared" si="15"/>
        <v>0</v>
      </c>
      <c r="H223" s="88"/>
      <c r="I223" s="20"/>
      <c r="J223" s="82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1"/>
      <c r="C224" s="79">
        <f>+'18'!G224</f>
        <v>0</v>
      </c>
      <c r="D224" s="87">
        <v>0</v>
      </c>
      <c r="E224" s="47">
        <f t="shared" si="17"/>
        <v>0</v>
      </c>
      <c r="F224" s="87">
        <v>0</v>
      </c>
      <c r="G224" s="47">
        <f t="shared" si="15"/>
        <v>0</v>
      </c>
      <c r="H224" s="88"/>
      <c r="I224" s="20"/>
      <c r="J224" s="82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1"/>
      <c r="C225" s="79">
        <f>+'18'!G225</f>
        <v>0</v>
      </c>
      <c r="D225" s="87">
        <v>0</v>
      </c>
      <c r="E225" s="47">
        <f t="shared" si="17"/>
        <v>0</v>
      </c>
      <c r="F225" s="87">
        <v>0</v>
      </c>
      <c r="G225" s="47">
        <f t="shared" si="15"/>
        <v>0</v>
      </c>
      <c r="H225" s="88"/>
      <c r="I225" s="20"/>
      <c r="J225" s="82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1"/>
      <c r="C226" s="79">
        <f>+'18'!G226</f>
        <v>0</v>
      </c>
      <c r="D226" s="87">
        <v>0</v>
      </c>
      <c r="E226" s="47">
        <f t="shared" si="17"/>
        <v>0</v>
      </c>
      <c r="F226" s="87">
        <v>0</v>
      </c>
      <c r="G226" s="47">
        <f t="shared" si="15"/>
        <v>0</v>
      </c>
      <c r="H226" s="88"/>
      <c r="I226" s="20"/>
      <c r="J226" s="82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1"/>
      <c r="C227" s="79">
        <f>+'18'!G227</f>
        <v>0</v>
      </c>
      <c r="D227" s="87">
        <v>0</v>
      </c>
      <c r="E227" s="47">
        <f t="shared" si="17"/>
        <v>0</v>
      </c>
      <c r="F227" s="87">
        <v>0</v>
      </c>
      <c r="G227" s="47">
        <f t="shared" si="15"/>
        <v>0</v>
      </c>
      <c r="H227" s="88"/>
      <c r="I227" s="20"/>
      <c r="J227" s="82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1"/>
      <c r="C228" s="79">
        <f>+'18'!G228</f>
        <v>0</v>
      </c>
      <c r="D228" s="87">
        <v>0</v>
      </c>
      <c r="E228" s="47">
        <f t="shared" si="17"/>
        <v>0</v>
      </c>
      <c r="F228" s="87">
        <v>0</v>
      </c>
      <c r="G228" s="47">
        <f t="shared" ref="G228:G254" si="19">+E228-F228-H228</f>
        <v>0</v>
      </c>
      <c r="H228" s="88"/>
      <c r="I228" s="20"/>
      <c r="J228" s="82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1"/>
      <c r="C229" s="79">
        <f>+'18'!G229</f>
        <v>0</v>
      </c>
      <c r="D229" s="87">
        <v>0</v>
      </c>
      <c r="E229" s="47">
        <f t="shared" si="17"/>
        <v>0</v>
      </c>
      <c r="F229" s="87">
        <v>0</v>
      </c>
      <c r="G229" s="47">
        <f t="shared" si="19"/>
        <v>0</v>
      </c>
      <c r="H229" s="88"/>
      <c r="I229" s="20"/>
      <c r="J229" s="82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1"/>
      <c r="C230" s="79">
        <f>+'18'!G230</f>
        <v>0</v>
      </c>
      <c r="D230" s="87">
        <v>0</v>
      </c>
      <c r="E230" s="47">
        <f t="shared" si="17"/>
        <v>0</v>
      </c>
      <c r="F230" s="87">
        <v>0</v>
      </c>
      <c r="G230" s="47">
        <f t="shared" si="19"/>
        <v>0</v>
      </c>
      <c r="H230" s="88"/>
      <c r="I230" s="20"/>
      <c r="J230" s="82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1"/>
      <c r="C231" s="79">
        <f>+'18'!G231</f>
        <v>0</v>
      </c>
      <c r="D231" s="87">
        <v>0</v>
      </c>
      <c r="E231" s="47">
        <f t="shared" si="17"/>
        <v>0</v>
      </c>
      <c r="F231" s="87">
        <v>0</v>
      </c>
      <c r="G231" s="47">
        <f t="shared" si="19"/>
        <v>0</v>
      </c>
      <c r="H231" s="88"/>
      <c r="I231" s="20"/>
      <c r="J231" s="82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1"/>
      <c r="C232" s="79">
        <f>+'18'!G232</f>
        <v>0</v>
      </c>
      <c r="D232" s="87">
        <v>0</v>
      </c>
      <c r="E232" s="47">
        <f t="shared" si="17"/>
        <v>0</v>
      </c>
      <c r="F232" s="87">
        <v>0</v>
      </c>
      <c r="G232" s="47">
        <f t="shared" si="19"/>
        <v>0</v>
      </c>
      <c r="H232" s="88"/>
      <c r="I232" s="20"/>
      <c r="J232" s="82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1"/>
      <c r="C233" s="79">
        <f>+'18'!G233</f>
        <v>0</v>
      </c>
      <c r="D233" s="87">
        <v>0</v>
      </c>
      <c r="E233" s="47">
        <f t="shared" si="17"/>
        <v>0</v>
      </c>
      <c r="F233" s="87">
        <v>0</v>
      </c>
      <c r="G233" s="47">
        <f t="shared" si="19"/>
        <v>0</v>
      </c>
      <c r="H233" s="88"/>
      <c r="I233" s="20"/>
      <c r="J233" s="82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1"/>
      <c r="C234" s="79">
        <f>+'18'!G234</f>
        <v>0</v>
      </c>
      <c r="D234" s="87">
        <v>0</v>
      </c>
      <c r="E234" s="47">
        <f t="shared" si="17"/>
        <v>0</v>
      </c>
      <c r="F234" s="87">
        <v>0</v>
      </c>
      <c r="G234" s="47">
        <f t="shared" si="19"/>
        <v>0</v>
      </c>
      <c r="H234" s="88"/>
      <c r="I234" s="20"/>
      <c r="J234" s="82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1"/>
      <c r="C235" s="79">
        <f>+'18'!G235</f>
        <v>0</v>
      </c>
      <c r="D235" s="87">
        <v>0</v>
      </c>
      <c r="E235" s="47">
        <f t="shared" si="17"/>
        <v>0</v>
      </c>
      <c r="F235" s="87">
        <v>0</v>
      </c>
      <c r="G235" s="47">
        <f t="shared" si="19"/>
        <v>0</v>
      </c>
      <c r="H235" s="88"/>
      <c r="I235" s="20"/>
      <c r="J235" s="82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1"/>
      <c r="C236" s="79">
        <f>+'18'!G236</f>
        <v>0</v>
      </c>
      <c r="D236" s="87">
        <v>0</v>
      </c>
      <c r="E236" s="47">
        <f t="shared" si="17"/>
        <v>0</v>
      </c>
      <c r="F236" s="87">
        <v>0</v>
      </c>
      <c r="G236" s="47">
        <f t="shared" si="19"/>
        <v>0</v>
      </c>
      <c r="H236" s="88"/>
      <c r="I236" s="20"/>
      <c r="J236" s="82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1"/>
      <c r="C237" s="79">
        <f>+'18'!G237</f>
        <v>0</v>
      </c>
      <c r="D237" s="87">
        <v>0</v>
      </c>
      <c r="E237" s="47">
        <f t="shared" si="17"/>
        <v>0</v>
      </c>
      <c r="F237" s="87">
        <v>0</v>
      </c>
      <c r="G237" s="47">
        <f t="shared" si="19"/>
        <v>0</v>
      </c>
      <c r="H237" s="88"/>
      <c r="I237" s="20"/>
      <c r="J237" s="82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1"/>
      <c r="C238" s="79">
        <f>+'18'!G238</f>
        <v>0</v>
      </c>
      <c r="D238" s="87">
        <v>0</v>
      </c>
      <c r="E238" s="47">
        <f t="shared" si="17"/>
        <v>0</v>
      </c>
      <c r="F238" s="87">
        <v>0</v>
      </c>
      <c r="G238" s="47">
        <f t="shared" si="19"/>
        <v>0</v>
      </c>
      <c r="H238" s="88"/>
      <c r="I238" s="20"/>
      <c r="J238" s="82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1"/>
      <c r="C239" s="79">
        <f>+'18'!G239</f>
        <v>0</v>
      </c>
      <c r="D239" s="87">
        <v>0</v>
      </c>
      <c r="E239" s="47">
        <f t="shared" si="17"/>
        <v>0</v>
      </c>
      <c r="F239" s="87">
        <v>0</v>
      </c>
      <c r="G239" s="47">
        <f t="shared" si="19"/>
        <v>0</v>
      </c>
      <c r="H239" s="88"/>
      <c r="I239" s="20"/>
      <c r="J239" s="82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1"/>
      <c r="C240" s="79">
        <f>+'18'!G240</f>
        <v>0</v>
      </c>
      <c r="D240" s="87">
        <v>0</v>
      </c>
      <c r="E240" s="47">
        <f t="shared" si="17"/>
        <v>0</v>
      </c>
      <c r="F240" s="87">
        <v>0</v>
      </c>
      <c r="G240" s="47">
        <f t="shared" si="19"/>
        <v>0</v>
      </c>
      <c r="H240" s="88"/>
      <c r="I240" s="20"/>
      <c r="J240" s="82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1"/>
      <c r="C241" s="79">
        <f>+'18'!G241</f>
        <v>0</v>
      </c>
      <c r="D241" s="87">
        <v>0</v>
      </c>
      <c r="E241" s="47">
        <f t="shared" si="17"/>
        <v>0</v>
      </c>
      <c r="F241" s="87">
        <v>0</v>
      </c>
      <c r="G241" s="47">
        <f t="shared" si="19"/>
        <v>0</v>
      </c>
      <c r="H241" s="88"/>
      <c r="I241" s="20"/>
      <c r="J241" s="82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1"/>
      <c r="C242" s="79">
        <f>+'18'!G242</f>
        <v>0</v>
      </c>
      <c r="D242" s="87">
        <v>0</v>
      </c>
      <c r="E242" s="47">
        <f t="shared" si="17"/>
        <v>0</v>
      </c>
      <c r="F242" s="87">
        <v>0</v>
      </c>
      <c r="G242" s="47">
        <f t="shared" si="19"/>
        <v>0</v>
      </c>
      <c r="H242" s="88"/>
      <c r="I242" s="20"/>
      <c r="J242" s="82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1"/>
      <c r="C243" s="79">
        <f>+'18'!G243</f>
        <v>0</v>
      </c>
      <c r="D243" s="87">
        <v>0</v>
      </c>
      <c r="E243" s="47">
        <f t="shared" si="17"/>
        <v>0</v>
      </c>
      <c r="F243" s="87">
        <v>0</v>
      </c>
      <c r="G243" s="47">
        <f t="shared" si="19"/>
        <v>0</v>
      </c>
      <c r="H243" s="88"/>
      <c r="I243" s="20"/>
      <c r="J243" s="82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1"/>
      <c r="C244" s="79">
        <f>+'18'!G244</f>
        <v>0</v>
      </c>
      <c r="D244" s="87">
        <v>0</v>
      </c>
      <c r="E244" s="47">
        <f t="shared" si="17"/>
        <v>0</v>
      </c>
      <c r="F244" s="87">
        <v>0</v>
      </c>
      <c r="G244" s="47">
        <f t="shared" si="19"/>
        <v>0</v>
      </c>
      <c r="H244" s="88"/>
      <c r="I244" s="20"/>
      <c r="J244" s="82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1"/>
      <c r="C245" s="79">
        <f>+'18'!G245</f>
        <v>0</v>
      </c>
      <c r="D245" s="87">
        <v>0</v>
      </c>
      <c r="E245" s="47">
        <f t="shared" si="17"/>
        <v>0</v>
      </c>
      <c r="F245" s="87">
        <v>0</v>
      </c>
      <c r="G245" s="47">
        <f t="shared" si="19"/>
        <v>0</v>
      </c>
      <c r="H245" s="88"/>
      <c r="I245" s="20"/>
      <c r="J245" s="82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1"/>
      <c r="C246" s="79">
        <f>+'18'!G246</f>
        <v>0</v>
      </c>
      <c r="D246" s="87">
        <v>0</v>
      </c>
      <c r="E246" s="47">
        <f t="shared" si="17"/>
        <v>0</v>
      </c>
      <c r="F246" s="87">
        <v>0</v>
      </c>
      <c r="G246" s="47">
        <f t="shared" si="19"/>
        <v>0</v>
      </c>
      <c r="H246" s="88"/>
      <c r="I246" s="20"/>
      <c r="J246" s="82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1"/>
      <c r="C247" s="79">
        <f>+'18'!G247</f>
        <v>0</v>
      </c>
      <c r="D247" s="87">
        <v>0</v>
      </c>
      <c r="E247" s="47">
        <f t="shared" si="17"/>
        <v>0</v>
      </c>
      <c r="F247" s="87">
        <v>0</v>
      </c>
      <c r="G247" s="47">
        <f t="shared" si="19"/>
        <v>0</v>
      </c>
      <c r="H247" s="88"/>
      <c r="I247" s="20"/>
      <c r="J247" s="82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1"/>
      <c r="C248" s="79">
        <f>+'18'!G248</f>
        <v>0</v>
      </c>
      <c r="D248" s="87">
        <v>0</v>
      </c>
      <c r="E248" s="47">
        <f t="shared" si="17"/>
        <v>0</v>
      </c>
      <c r="F248" s="87">
        <v>0</v>
      </c>
      <c r="G248" s="47">
        <f t="shared" si="19"/>
        <v>0</v>
      </c>
      <c r="H248" s="88"/>
      <c r="I248" s="20"/>
      <c r="J248" s="82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1"/>
      <c r="C249" s="79">
        <f>+'18'!G249</f>
        <v>0</v>
      </c>
      <c r="D249" s="87">
        <v>0</v>
      </c>
      <c r="E249" s="47">
        <f t="shared" si="17"/>
        <v>0</v>
      </c>
      <c r="F249" s="87">
        <v>0</v>
      </c>
      <c r="G249" s="47">
        <f t="shared" si="19"/>
        <v>0</v>
      </c>
      <c r="H249" s="88"/>
      <c r="I249" s="20"/>
      <c r="J249" s="82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1"/>
      <c r="C250" s="79">
        <f>+'18'!G250</f>
        <v>0</v>
      </c>
      <c r="D250" s="87">
        <v>0</v>
      </c>
      <c r="E250" s="47">
        <f t="shared" si="17"/>
        <v>0</v>
      </c>
      <c r="F250" s="87">
        <v>0</v>
      </c>
      <c r="G250" s="47">
        <f t="shared" si="19"/>
        <v>0</v>
      </c>
      <c r="H250" s="88"/>
      <c r="I250" s="20"/>
      <c r="J250" s="82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1"/>
      <c r="C251" s="79">
        <f>+'18'!G251</f>
        <v>0</v>
      </c>
      <c r="D251" s="87">
        <v>0</v>
      </c>
      <c r="E251" s="47">
        <f t="shared" si="17"/>
        <v>0</v>
      </c>
      <c r="F251" s="87">
        <v>0</v>
      </c>
      <c r="G251" s="47">
        <f t="shared" si="19"/>
        <v>0</v>
      </c>
      <c r="H251" s="88"/>
      <c r="I251" s="20"/>
      <c r="J251" s="82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1"/>
      <c r="C252" s="79">
        <f>+'18'!G252</f>
        <v>0</v>
      </c>
      <c r="D252" s="87">
        <v>0</v>
      </c>
      <c r="E252" s="47">
        <f t="shared" si="17"/>
        <v>0</v>
      </c>
      <c r="F252" s="87">
        <v>0</v>
      </c>
      <c r="G252" s="47">
        <f t="shared" si="19"/>
        <v>0</v>
      </c>
      <c r="H252" s="88"/>
      <c r="I252" s="20"/>
      <c r="J252" s="82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1"/>
      <c r="C253" s="79">
        <f>+'18'!G253</f>
        <v>0</v>
      </c>
      <c r="D253" s="87">
        <v>0</v>
      </c>
      <c r="E253" s="47">
        <f t="shared" ref="E253:E254" si="21">C253+D253</f>
        <v>0</v>
      </c>
      <c r="F253" s="87">
        <v>0</v>
      </c>
      <c r="G253" s="47">
        <f t="shared" si="19"/>
        <v>0</v>
      </c>
      <c r="H253" s="88"/>
      <c r="I253" s="20"/>
      <c r="J253" s="82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1"/>
      <c r="C254" s="79">
        <f>+'18'!G254</f>
        <v>0</v>
      </c>
      <c r="D254" s="87">
        <v>0</v>
      </c>
      <c r="E254" s="47">
        <f t="shared" si="21"/>
        <v>0</v>
      </c>
      <c r="F254" s="87">
        <v>0</v>
      </c>
      <c r="G254" s="47">
        <f t="shared" si="19"/>
        <v>0</v>
      </c>
      <c r="H254" s="88"/>
      <c r="I254" s="20"/>
      <c r="J254" s="82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2520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3" t="s">
        <v>213</v>
      </c>
      <c r="N255" s="143"/>
    </row>
    <row r="256" spans="1:14" ht="25.5" customHeight="1" x14ac:dyDescent="0.5">
      <c r="A256" s="1"/>
      <c r="E256" s="24"/>
      <c r="F256" s="25"/>
      <c r="G256" s="24"/>
      <c r="H256" s="148" t="s">
        <v>212</v>
      </c>
      <c r="I256" s="149"/>
      <c r="J256" s="30">
        <f>+X138</f>
        <v>0</v>
      </c>
      <c r="K256" s="27"/>
      <c r="L256" s="29"/>
    </row>
    <row r="257" spans="1:19" ht="25.5" x14ac:dyDescent="0.55000000000000004">
      <c r="A257" s="1"/>
      <c r="E257" s="31"/>
      <c r="G257" s="31"/>
      <c r="H257" s="32"/>
      <c r="I257" s="150" t="s">
        <v>202</v>
      </c>
      <c r="J257" s="150"/>
      <c r="K257" s="33">
        <f>SUM(J5:J256)</f>
        <v>2650</v>
      </c>
    </row>
    <row r="258" spans="1:19" ht="25.5" x14ac:dyDescent="0.55000000000000004">
      <c r="A258" s="1"/>
      <c r="E258" s="31"/>
      <c r="G258" s="31"/>
      <c r="I258" s="140" t="s">
        <v>203</v>
      </c>
      <c r="J258" s="141"/>
      <c r="K258" s="36">
        <v>15</v>
      </c>
    </row>
    <row r="259" spans="1:19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1185</v>
      </c>
      <c r="L259" s="2">
        <v>300</v>
      </c>
      <c r="M259" s="2">
        <v>105</v>
      </c>
      <c r="N259" s="2">
        <v>110</v>
      </c>
      <c r="O259" s="2">
        <v>320</v>
      </c>
      <c r="P259" s="2">
        <v>100</v>
      </c>
      <c r="Q259" s="2">
        <v>100</v>
      </c>
      <c r="R259" s="2">
        <v>100</v>
      </c>
      <c r="S259" s="2">
        <v>50</v>
      </c>
    </row>
    <row r="260" spans="1:19" ht="25.5" x14ac:dyDescent="0.55000000000000004">
      <c r="A260" s="1"/>
      <c r="E260" s="31"/>
      <c r="G260" s="31"/>
      <c r="I260" s="140" t="s">
        <v>205</v>
      </c>
      <c r="J260" s="141"/>
      <c r="K260" s="36">
        <v>0</v>
      </c>
    </row>
    <row r="261" spans="1:19" ht="25.5" x14ac:dyDescent="0.55000000000000004">
      <c r="A261" s="1"/>
      <c r="E261" s="31"/>
      <c r="G261" s="31"/>
      <c r="I261" s="140" t="s">
        <v>206</v>
      </c>
      <c r="J261" s="141"/>
      <c r="K261" s="36">
        <v>0</v>
      </c>
    </row>
    <row r="262" spans="1:19" ht="25.5" x14ac:dyDescent="0.55000000000000004">
      <c r="A262" s="1"/>
      <c r="E262" s="31"/>
      <c r="G262" s="31"/>
      <c r="I262" s="140" t="s">
        <v>207</v>
      </c>
      <c r="J262" s="141"/>
      <c r="K262" s="37">
        <f>SUM(L5:L255)</f>
        <v>130</v>
      </c>
    </row>
    <row r="263" spans="1:19" ht="25.5" x14ac:dyDescent="0.55000000000000004">
      <c r="A263" s="1"/>
      <c r="E263" s="31"/>
      <c r="G263" s="31"/>
      <c r="I263" s="140" t="s">
        <v>208</v>
      </c>
      <c r="J263" s="141"/>
      <c r="K263" s="33">
        <f>K257-K258-K259-K261-K262</f>
        <v>1320</v>
      </c>
    </row>
    <row r="264" spans="1:19" ht="25.5" x14ac:dyDescent="0.55000000000000004">
      <c r="A264" s="1"/>
      <c r="E264" s="31"/>
      <c r="G264" s="31"/>
      <c r="I264" s="140" t="s">
        <v>209</v>
      </c>
      <c r="J264" s="141"/>
      <c r="K264" s="37">
        <v>1320</v>
      </c>
    </row>
    <row r="265" spans="1:19" ht="25.5" x14ac:dyDescent="0.55000000000000004">
      <c r="A265" s="1"/>
      <c r="E265" s="31"/>
      <c r="G265" s="31"/>
      <c r="I265" s="140" t="s">
        <v>210</v>
      </c>
      <c r="J265" s="141"/>
      <c r="K265" s="33">
        <f>+K264-K263</f>
        <v>0</v>
      </c>
    </row>
    <row r="266" spans="1:19" ht="25.5" x14ac:dyDescent="0.55000000000000004">
      <c r="G266" s="2"/>
      <c r="I266" s="140" t="s">
        <v>211</v>
      </c>
      <c r="J266" s="141"/>
      <c r="K266" s="33">
        <f>+K264-K263</f>
        <v>0</v>
      </c>
    </row>
    <row r="267" spans="1:19" x14ac:dyDescent="0.5">
      <c r="G267" s="2"/>
      <c r="I267" s="2"/>
    </row>
    <row r="268" spans="1:19" ht="25.5" x14ac:dyDescent="0.55000000000000004">
      <c r="G268" s="2"/>
      <c r="I268" s="105" t="s">
        <v>312</v>
      </c>
    </row>
    <row r="269" spans="1:19" x14ac:dyDescent="0.5">
      <c r="G269" s="2"/>
      <c r="I269" s="2"/>
    </row>
    <row r="270" spans="1:19" x14ac:dyDescent="0.5">
      <c r="G270" s="2"/>
      <c r="I270" s="2"/>
    </row>
    <row r="271" spans="1:19" x14ac:dyDescent="0.5">
      <c r="G271" s="2"/>
      <c r="I271" s="2"/>
    </row>
    <row r="272" spans="1:19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D0DF4-949F-4513-9A38-BE3E874CE77B}">
  <sheetPr>
    <tabColor theme="7" tint="-0.249977111117893"/>
  </sheetPr>
  <dimension ref="A1:AB341"/>
  <sheetViews>
    <sheetView zoomScaleNormal="100" workbookViewId="0">
      <pane xSplit="7" ySplit="4" topLeftCell="H5" activePane="bottomRight" state="frozen"/>
      <selection activeCell="B20" sqref="B20"/>
      <selection pane="topRight" activeCell="B20" sqref="B20"/>
      <selection pane="bottomLeft" activeCell="B20" sqref="B20"/>
      <selection pane="bottomRight" activeCell="B20" sqref="B20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8" x14ac:dyDescent="0.5">
      <c r="A1" s="1"/>
      <c r="G1" s="2"/>
      <c r="I1" s="2"/>
    </row>
    <row r="2" spans="1:28" s="3" customFormat="1" ht="29.25" x14ac:dyDescent="0.6">
      <c r="A2" s="137" t="s">
        <v>247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8" s="5" customFormat="1" ht="26.25" x14ac:dyDescent="0.55000000000000004">
      <c r="A3" s="139" t="s">
        <v>1</v>
      </c>
      <c r="B3" s="151" t="s">
        <v>2</v>
      </c>
      <c r="C3" s="139" t="s">
        <v>3</v>
      </c>
      <c r="D3" s="139" t="s">
        <v>4</v>
      </c>
      <c r="E3" s="139" t="s">
        <v>5</v>
      </c>
      <c r="F3" s="85" t="s">
        <v>6</v>
      </c>
      <c r="G3" s="139" t="s">
        <v>7</v>
      </c>
      <c r="H3" s="142" t="s">
        <v>8</v>
      </c>
      <c r="I3" s="142"/>
      <c r="J3" s="142"/>
      <c r="K3" s="139" t="s">
        <v>9</v>
      </c>
      <c r="L3" s="144" t="s">
        <v>10</v>
      </c>
      <c r="O3" s="139" t="s">
        <v>1</v>
      </c>
      <c r="P3" s="139" t="s">
        <v>2</v>
      </c>
      <c r="Q3" s="139" t="s">
        <v>3</v>
      </c>
      <c r="R3" s="139" t="s">
        <v>4</v>
      </c>
      <c r="S3" s="139" t="s">
        <v>5</v>
      </c>
      <c r="T3" s="85" t="s">
        <v>6</v>
      </c>
      <c r="U3" s="139" t="s">
        <v>7</v>
      </c>
      <c r="V3" s="142" t="s">
        <v>8</v>
      </c>
      <c r="W3" s="142"/>
      <c r="X3" s="142"/>
      <c r="Y3" s="139" t="s">
        <v>9</v>
      </c>
      <c r="Z3" s="144" t="s">
        <v>10</v>
      </c>
    </row>
    <row r="4" spans="1:28" s="5" customFormat="1" ht="26.25" x14ac:dyDescent="0.55000000000000004">
      <c r="A4" s="139"/>
      <c r="B4" s="151"/>
      <c r="C4" s="139"/>
      <c r="D4" s="139"/>
      <c r="E4" s="139"/>
      <c r="F4" s="85" t="s">
        <v>11</v>
      </c>
      <c r="G4" s="139"/>
      <c r="H4" s="85" t="s">
        <v>12</v>
      </c>
      <c r="I4" s="86" t="s">
        <v>13</v>
      </c>
      <c r="J4" s="85" t="s">
        <v>14</v>
      </c>
      <c r="K4" s="139"/>
      <c r="L4" s="144"/>
      <c r="O4" s="139"/>
      <c r="P4" s="139"/>
      <c r="Q4" s="139"/>
      <c r="R4" s="139"/>
      <c r="S4" s="139"/>
      <c r="T4" s="85" t="s">
        <v>11</v>
      </c>
      <c r="U4" s="139"/>
      <c r="V4" s="85" t="s">
        <v>12</v>
      </c>
      <c r="W4" s="86" t="s">
        <v>13</v>
      </c>
      <c r="X4" s="85" t="s">
        <v>14</v>
      </c>
      <c r="Y4" s="139"/>
      <c r="Z4" s="144"/>
      <c r="AB4" s="5" t="s">
        <v>2</v>
      </c>
    </row>
    <row r="5" spans="1:28" ht="25.5" x14ac:dyDescent="0.55000000000000004">
      <c r="A5" s="10">
        <v>1</v>
      </c>
      <c r="B5" s="19" t="s">
        <v>15</v>
      </c>
      <c r="C5" s="79">
        <f>+'19'!G5</f>
        <v>20</v>
      </c>
      <c r="D5" s="87">
        <v>0</v>
      </c>
      <c r="E5" s="47">
        <f t="shared" ref="E5:E125" si="0">C5+D5</f>
        <v>20</v>
      </c>
      <c r="F5" s="87">
        <v>0</v>
      </c>
      <c r="G5" s="47">
        <f>+E5-F5-H5</f>
        <v>16</v>
      </c>
      <c r="H5" s="88">
        <v>4</v>
      </c>
      <c r="I5" s="20">
        <v>50</v>
      </c>
      <c r="J5" s="82">
        <f>+I5*H5</f>
        <v>200</v>
      </c>
      <c r="K5" s="17" t="s">
        <v>16</v>
      </c>
      <c r="L5" s="18">
        <v>0</v>
      </c>
      <c r="M5" s="23">
        <f>SUM(J5-L5)</f>
        <v>200</v>
      </c>
      <c r="O5" s="10">
        <v>1</v>
      </c>
      <c r="P5" s="19"/>
      <c r="Q5" s="47">
        <v>0</v>
      </c>
      <c r="R5" s="87">
        <v>0</v>
      </c>
      <c r="S5" s="47">
        <f t="shared" ref="S5:S14" si="1">Q5+R5</f>
        <v>0</v>
      </c>
      <c r="T5" s="87">
        <v>0</v>
      </c>
      <c r="U5" s="47">
        <f t="shared" ref="U5:U14" si="2">S5-T5-V5</f>
        <v>0</v>
      </c>
      <c r="V5" s="88">
        <v>0</v>
      </c>
      <c r="W5" s="22"/>
      <c r="X5" s="44">
        <f t="shared" ref="X5:X14" si="3">V5*W5</f>
        <v>0</v>
      </c>
      <c r="Y5" s="17" t="s">
        <v>16</v>
      </c>
      <c r="Z5" s="18">
        <v>0</v>
      </c>
      <c r="AB5" s="2" t="s">
        <v>317</v>
      </c>
    </row>
    <row r="6" spans="1:28" ht="25.5" x14ac:dyDescent="0.55000000000000004">
      <c r="A6" s="10">
        <v>2</v>
      </c>
      <c r="B6" s="19" t="s">
        <v>17</v>
      </c>
      <c r="C6" s="79">
        <f>+'19'!G6</f>
        <v>22</v>
      </c>
      <c r="D6" s="87">
        <v>0</v>
      </c>
      <c r="E6" s="47">
        <f t="shared" si="0"/>
        <v>22</v>
      </c>
      <c r="F6" s="87">
        <v>0</v>
      </c>
      <c r="G6" s="47">
        <f t="shared" ref="G6:G100" si="4">+E6-F6-H6</f>
        <v>16</v>
      </c>
      <c r="H6" s="88">
        <v>6</v>
      </c>
      <c r="I6" s="20">
        <v>100</v>
      </c>
      <c r="J6" s="82">
        <f t="shared" ref="J6:J100" si="5">+I6*H6</f>
        <v>600</v>
      </c>
      <c r="K6" s="17" t="s">
        <v>16</v>
      </c>
      <c r="L6" s="18">
        <v>0</v>
      </c>
      <c r="M6" s="23">
        <f t="shared" ref="M6:M69" si="6">SUM(J6-L6)</f>
        <v>600</v>
      </c>
      <c r="O6" s="10">
        <v>2</v>
      </c>
      <c r="P6" s="19"/>
      <c r="Q6" s="47">
        <v>0</v>
      </c>
      <c r="R6" s="87">
        <v>0</v>
      </c>
      <c r="S6" s="47">
        <f t="shared" si="1"/>
        <v>0</v>
      </c>
      <c r="T6" s="87">
        <v>0</v>
      </c>
      <c r="U6" s="47">
        <f t="shared" si="2"/>
        <v>0</v>
      </c>
      <c r="V6" s="88">
        <v>0</v>
      </c>
      <c r="W6" s="22"/>
      <c r="X6" s="44">
        <f t="shared" si="3"/>
        <v>0</v>
      </c>
      <c r="Y6" s="17" t="s">
        <v>16</v>
      </c>
      <c r="Z6" s="18">
        <v>0</v>
      </c>
      <c r="AB6" s="2" t="s">
        <v>318</v>
      </c>
    </row>
    <row r="7" spans="1:28" ht="25.5" x14ac:dyDescent="0.55000000000000004">
      <c r="A7" s="10">
        <v>3</v>
      </c>
      <c r="B7" s="19" t="s">
        <v>18</v>
      </c>
      <c r="C7" s="79">
        <f>+'19'!G7</f>
        <v>0</v>
      </c>
      <c r="D7" s="87">
        <v>0</v>
      </c>
      <c r="E7" s="47">
        <f>C7+D7</f>
        <v>0</v>
      </c>
      <c r="F7" s="87">
        <v>0</v>
      </c>
      <c r="G7" s="47">
        <f t="shared" si="4"/>
        <v>0</v>
      </c>
      <c r="H7" s="88"/>
      <c r="I7" s="15">
        <v>50</v>
      </c>
      <c r="J7" s="8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7">
        <v>0</v>
      </c>
      <c r="S7" s="47">
        <f t="shared" si="1"/>
        <v>0</v>
      </c>
      <c r="T7" s="87">
        <v>0</v>
      </c>
      <c r="U7" s="47">
        <f t="shared" si="2"/>
        <v>0</v>
      </c>
      <c r="V7" s="88">
        <v>0</v>
      </c>
      <c r="W7" s="22"/>
      <c r="X7" s="44">
        <f t="shared" si="3"/>
        <v>0</v>
      </c>
      <c r="Y7" s="17" t="s">
        <v>16</v>
      </c>
      <c r="Z7" s="18">
        <v>0</v>
      </c>
      <c r="AB7" s="2" t="s">
        <v>319</v>
      </c>
    </row>
    <row r="8" spans="1:28" ht="25.5" x14ac:dyDescent="0.55000000000000004">
      <c r="A8" s="10">
        <v>4</v>
      </c>
      <c r="B8" s="19" t="s">
        <v>19</v>
      </c>
      <c r="C8" s="79">
        <f>+'19'!G8</f>
        <v>0</v>
      </c>
      <c r="D8" s="87">
        <v>0</v>
      </c>
      <c r="E8" s="47">
        <f>C8+D8</f>
        <v>0</v>
      </c>
      <c r="F8" s="87">
        <v>0</v>
      </c>
      <c r="G8" s="47">
        <f t="shared" si="4"/>
        <v>0</v>
      </c>
      <c r="H8" s="88"/>
      <c r="I8" s="15">
        <v>100</v>
      </c>
      <c r="J8" s="8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7">
        <v>0</v>
      </c>
      <c r="S8" s="47">
        <f t="shared" si="1"/>
        <v>0</v>
      </c>
      <c r="T8" s="87">
        <v>0</v>
      </c>
      <c r="U8" s="47">
        <f t="shared" si="2"/>
        <v>0</v>
      </c>
      <c r="V8" s="88">
        <v>0</v>
      </c>
      <c r="W8" s="22"/>
      <c r="X8" s="44">
        <f t="shared" si="3"/>
        <v>0</v>
      </c>
      <c r="Y8" s="17" t="s">
        <v>16</v>
      </c>
      <c r="Z8" s="18">
        <v>0</v>
      </c>
      <c r="AB8" s="2" t="s">
        <v>320</v>
      </c>
    </row>
    <row r="9" spans="1:28" ht="25.5" x14ac:dyDescent="0.55000000000000004">
      <c r="A9" s="10">
        <v>5</v>
      </c>
      <c r="B9" s="19" t="s">
        <v>20</v>
      </c>
      <c r="C9" s="79">
        <f>+'19'!G9</f>
        <v>0</v>
      </c>
      <c r="D9" s="87">
        <v>0</v>
      </c>
      <c r="E9" s="47">
        <f>C9+D9</f>
        <v>0</v>
      </c>
      <c r="F9" s="87">
        <v>0</v>
      </c>
      <c r="G9" s="47">
        <f t="shared" si="4"/>
        <v>0</v>
      </c>
      <c r="H9" s="88"/>
      <c r="I9" s="15">
        <v>12</v>
      </c>
      <c r="J9" s="8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7">
        <v>0</v>
      </c>
      <c r="S9" s="47">
        <f t="shared" si="1"/>
        <v>0</v>
      </c>
      <c r="T9" s="87">
        <v>0</v>
      </c>
      <c r="U9" s="47">
        <f t="shared" si="2"/>
        <v>0</v>
      </c>
      <c r="V9" s="88">
        <v>0</v>
      </c>
      <c r="W9" s="22"/>
      <c r="X9" s="44">
        <f t="shared" si="3"/>
        <v>0</v>
      </c>
      <c r="Y9" s="17" t="s">
        <v>16</v>
      </c>
      <c r="Z9" s="18">
        <v>0</v>
      </c>
      <c r="AB9" s="2" t="s">
        <v>307</v>
      </c>
    </row>
    <row r="10" spans="1:28" ht="25.5" x14ac:dyDescent="0.55000000000000004">
      <c r="A10" s="10">
        <v>6</v>
      </c>
      <c r="B10" s="19" t="s">
        <v>21</v>
      </c>
      <c r="C10" s="79">
        <f>+'19'!G10</f>
        <v>0</v>
      </c>
      <c r="D10" s="87">
        <v>0</v>
      </c>
      <c r="E10" s="47">
        <f>C10+D10</f>
        <v>0</v>
      </c>
      <c r="F10" s="87">
        <v>0</v>
      </c>
      <c r="G10" s="47">
        <f t="shared" si="4"/>
        <v>0</v>
      </c>
      <c r="H10" s="88"/>
      <c r="I10" s="15">
        <v>15</v>
      </c>
      <c r="J10" s="8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7">
        <v>0</v>
      </c>
      <c r="S10" s="47">
        <f t="shared" si="1"/>
        <v>0</v>
      </c>
      <c r="T10" s="87">
        <v>0</v>
      </c>
      <c r="U10" s="47">
        <f t="shared" si="2"/>
        <v>0</v>
      </c>
      <c r="V10" s="88">
        <v>0</v>
      </c>
      <c r="W10" s="22"/>
      <c r="X10" s="44">
        <f t="shared" si="3"/>
        <v>0</v>
      </c>
      <c r="Y10" s="17" t="s">
        <v>16</v>
      </c>
      <c r="Z10" s="18">
        <v>0</v>
      </c>
      <c r="AB10" s="2" t="s">
        <v>311</v>
      </c>
    </row>
    <row r="11" spans="1:28" ht="25.5" x14ac:dyDescent="0.55000000000000004">
      <c r="A11" s="10">
        <v>7</v>
      </c>
      <c r="B11" s="19" t="s">
        <v>22</v>
      </c>
      <c r="C11" s="79">
        <f>+'19'!G11</f>
        <v>0</v>
      </c>
      <c r="D11" s="87">
        <v>0</v>
      </c>
      <c r="E11" s="47">
        <f t="shared" si="0"/>
        <v>0</v>
      </c>
      <c r="F11" s="87">
        <v>0</v>
      </c>
      <c r="G11" s="47">
        <f t="shared" si="4"/>
        <v>0</v>
      </c>
      <c r="H11" s="88"/>
      <c r="I11" s="15">
        <v>40</v>
      </c>
      <c r="J11" s="8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7">
        <v>0</v>
      </c>
      <c r="S11" s="47">
        <f t="shared" si="1"/>
        <v>0</v>
      </c>
      <c r="T11" s="87">
        <v>0</v>
      </c>
      <c r="U11" s="47">
        <f t="shared" si="2"/>
        <v>0</v>
      </c>
      <c r="V11" s="88">
        <v>0</v>
      </c>
      <c r="W11" s="22"/>
      <c r="X11" s="44">
        <f t="shared" si="3"/>
        <v>0</v>
      </c>
      <c r="Y11" s="17" t="s">
        <v>16</v>
      </c>
      <c r="Z11" s="18">
        <v>0</v>
      </c>
      <c r="AB11" s="2" t="s">
        <v>321</v>
      </c>
    </row>
    <row r="12" spans="1:28" ht="25.5" x14ac:dyDescent="0.55000000000000004">
      <c r="A12" s="10">
        <v>8</v>
      </c>
      <c r="B12" s="19" t="s">
        <v>23</v>
      </c>
      <c r="C12" s="79">
        <f>+'19'!G12</f>
        <v>0</v>
      </c>
      <c r="D12" s="87">
        <v>0</v>
      </c>
      <c r="E12" s="47">
        <f t="shared" si="0"/>
        <v>0</v>
      </c>
      <c r="F12" s="87">
        <v>0</v>
      </c>
      <c r="G12" s="47">
        <f t="shared" si="4"/>
        <v>0</v>
      </c>
      <c r="H12" s="88"/>
      <c r="I12" s="15">
        <v>50</v>
      </c>
      <c r="J12" s="8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7">
        <v>0</v>
      </c>
      <c r="S12" s="47">
        <f t="shared" si="1"/>
        <v>0</v>
      </c>
      <c r="T12" s="87">
        <v>0</v>
      </c>
      <c r="U12" s="47">
        <f t="shared" si="2"/>
        <v>0</v>
      </c>
      <c r="V12" s="88">
        <v>0</v>
      </c>
      <c r="W12" s="22"/>
      <c r="X12" s="44">
        <f t="shared" si="3"/>
        <v>0</v>
      </c>
      <c r="Y12" s="17" t="s">
        <v>16</v>
      </c>
      <c r="Z12" s="18">
        <v>0</v>
      </c>
      <c r="AB12" s="2" t="s">
        <v>289</v>
      </c>
    </row>
    <row r="13" spans="1:28" ht="25.5" x14ac:dyDescent="0.55000000000000004">
      <c r="A13" s="10">
        <v>9</v>
      </c>
      <c r="B13" s="19" t="s">
        <v>24</v>
      </c>
      <c r="C13" s="79">
        <f>+'19'!G13</f>
        <v>0</v>
      </c>
      <c r="D13" s="87">
        <v>0</v>
      </c>
      <c r="E13" s="47">
        <f>C13+D13</f>
        <v>0</v>
      </c>
      <c r="F13" s="87">
        <v>0</v>
      </c>
      <c r="G13" s="47">
        <f t="shared" si="4"/>
        <v>0</v>
      </c>
      <c r="H13" s="88"/>
      <c r="I13" s="15">
        <v>55</v>
      </c>
      <c r="J13" s="8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7">
        <v>0</v>
      </c>
      <c r="S13" s="47">
        <f t="shared" si="1"/>
        <v>0</v>
      </c>
      <c r="T13" s="87">
        <v>0</v>
      </c>
      <c r="U13" s="47">
        <f t="shared" si="2"/>
        <v>0</v>
      </c>
      <c r="V13" s="88">
        <v>0</v>
      </c>
      <c r="W13" s="22"/>
      <c r="X13" s="44">
        <f t="shared" si="3"/>
        <v>0</v>
      </c>
      <c r="Y13" s="17" t="s">
        <v>16</v>
      </c>
      <c r="Z13" s="18">
        <v>0</v>
      </c>
      <c r="AB13" s="2" t="s">
        <v>322</v>
      </c>
    </row>
    <row r="14" spans="1:28" ht="25.5" x14ac:dyDescent="0.55000000000000004">
      <c r="A14" s="10">
        <v>10</v>
      </c>
      <c r="B14" s="19" t="s">
        <v>25</v>
      </c>
      <c r="C14" s="79">
        <f>+'19'!G14</f>
        <v>0</v>
      </c>
      <c r="D14" s="87">
        <v>0</v>
      </c>
      <c r="E14" s="47">
        <f t="shared" si="0"/>
        <v>0</v>
      </c>
      <c r="F14" s="87">
        <v>0</v>
      </c>
      <c r="G14" s="47">
        <f t="shared" si="4"/>
        <v>0</v>
      </c>
      <c r="H14" s="88"/>
      <c r="I14" s="15">
        <v>65</v>
      </c>
      <c r="J14" s="8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7">
        <v>0</v>
      </c>
      <c r="S14" s="47">
        <f t="shared" si="1"/>
        <v>0</v>
      </c>
      <c r="T14" s="87">
        <v>0</v>
      </c>
      <c r="U14" s="47">
        <f t="shared" si="2"/>
        <v>0</v>
      </c>
      <c r="V14" s="88">
        <v>0</v>
      </c>
      <c r="W14" s="22"/>
      <c r="X14" s="44">
        <f t="shared" si="3"/>
        <v>0</v>
      </c>
      <c r="Y14" s="17" t="s">
        <v>16</v>
      </c>
      <c r="Z14" s="18">
        <v>0</v>
      </c>
      <c r="AB14" s="2" t="s">
        <v>306</v>
      </c>
    </row>
    <row r="15" spans="1:28" ht="25.5" x14ac:dyDescent="0.55000000000000004">
      <c r="A15" s="10">
        <v>11</v>
      </c>
      <c r="B15" s="19" t="s">
        <v>26</v>
      </c>
      <c r="C15" s="79">
        <f>+'19'!G15</f>
        <v>0</v>
      </c>
      <c r="D15" s="87">
        <v>0</v>
      </c>
      <c r="E15" s="47">
        <f t="shared" si="0"/>
        <v>0</v>
      </c>
      <c r="F15" s="87">
        <v>0</v>
      </c>
      <c r="G15" s="47">
        <f t="shared" si="4"/>
        <v>0</v>
      </c>
      <c r="H15" s="88"/>
      <c r="I15" s="15">
        <v>50</v>
      </c>
      <c r="J15" s="8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7">
        <v>0</v>
      </c>
      <c r="S15" s="47">
        <f t="shared" ref="S15:S29" si="7">Q15+R15</f>
        <v>0</v>
      </c>
      <c r="T15" s="87">
        <v>0</v>
      </c>
      <c r="U15" s="47">
        <f t="shared" ref="U15:U29" si="8">S15-T15-V15</f>
        <v>0</v>
      </c>
      <c r="V15" s="88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8" ht="25.5" x14ac:dyDescent="0.55000000000000004">
      <c r="A16" s="10">
        <v>12</v>
      </c>
      <c r="B16" s="19" t="s">
        <v>27</v>
      </c>
      <c r="C16" s="79">
        <f>+'19'!G16</f>
        <v>0</v>
      </c>
      <c r="D16" s="87">
        <v>0</v>
      </c>
      <c r="E16" s="47">
        <f t="shared" si="0"/>
        <v>0</v>
      </c>
      <c r="F16" s="87">
        <v>0</v>
      </c>
      <c r="G16" s="47">
        <f t="shared" si="4"/>
        <v>0</v>
      </c>
      <c r="H16" s="88"/>
      <c r="I16" s="15">
        <v>50</v>
      </c>
      <c r="J16" s="8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7">
        <v>0</v>
      </c>
      <c r="S16" s="47">
        <f t="shared" si="7"/>
        <v>0</v>
      </c>
      <c r="T16" s="87">
        <v>0</v>
      </c>
      <c r="U16" s="47">
        <f t="shared" si="8"/>
        <v>0</v>
      </c>
      <c r="V16" s="88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+'19'!G17</f>
        <v>0</v>
      </c>
      <c r="D17" s="87">
        <v>0</v>
      </c>
      <c r="E17" s="47">
        <f t="shared" si="0"/>
        <v>0</v>
      </c>
      <c r="F17" s="87">
        <v>0</v>
      </c>
      <c r="G17" s="47">
        <f t="shared" si="4"/>
        <v>0</v>
      </c>
      <c r="H17" s="88"/>
      <c r="I17" s="15">
        <v>50</v>
      </c>
      <c r="J17" s="8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7">
        <v>0</v>
      </c>
      <c r="S17" s="47">
        <f t="shared" si="7"/>
        <v>0</v>
      </c>
      <c r="T17" s="87">
        <v>0</v>
      </c>
      <c r="U17" s="47">
        <f t="shared" si="8"/>
        <v>0</v>
      </c>
      <c r="V17" s="88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+'19'!G18</f>
        <v>0</v>
      </c>
      <c r="D18" s="87">
        <v>0</v>
      </c>
      <c r="E18" s="47">
        <f t="shared" si="0"/>
        <v>0</v>
      </c>
      <c r="F18" s="87">
        <v>0</v>
      </c>
      <c r="G18" s="47">
        <f t="shared" si="4"/>
        <v>0</v>
      </c>
      <c r="H18" s="88"/>
      <c r="I18" s="15">
        <v>50</v>
      </c>
      <c r="J18" s="8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7">
        <v>0</v>
      </c>
      <c r="S18" s="47">
        <f t="shared" si="7"/>
        <v>0</v>
      </c>
      <c r="T18" s="87">
        <v>0</v>
      </c>
      <c r="U18" s="47">
        <f t="shared" si="8"/>
        <v>0</v>
      </c>
      <c r="V18" s="88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329</v>
      </c>
      <c r="C19" s="79">
        <f>+'19'!G19</f>
        <v>0</v>
      </c>
      <c r="D19" s="87">
        <v>0</v>
      </c>
      <c r="E19" s="47">
        <f t="shared" si="0"/>
        <v>0</v>
      </c>
      <c r="F19" s="87">
        <v>0</v>
      </c>
      <c r="G19" s="47">
        <f t="shared" si="4"/>
        <v>0</v>
      </c>
      <c r="H19" s="88"/>
      <c r="I19" s="15">
        <v>50</v>
      </c>
      <c r="J19" s="8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7">
        <v>0</v>
      </c>
      <c r="S19" s="47">
        <f t="shared" si="7"/>
        <v>0</v>
      </c>
      <c r="T19" s="87">
        <v>0</v>
      </c>
      <c r="U19" s="47">
        <f t="shared" si="8"/>
        <v>0</v>
      </c>
      <c r="V19" s="88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+'19'!G20</f>
        <v>0</v>
      </c>
      <c r="D20" s="87">
        <v>0</v>
      </c>
      <c r="E20" s="47">
        <f t="shared" si="0"/>
        <v>0</v>
      </c>
      <c r="F20" s="87">
        <v>0</v>
      </c>
      <c r="G20" s="47">
        <f t="shared" si="4"/>
        <v>0</v>
      </c>
      <c r="H20" s="88"/>
      <c r="I20" s="15">
        <v>50</v>
      </c>
      <c r="J20" s="8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7">
        <v>0</v>
      </c>
      <c r="S20" s="47">
        <f t="shared" si="7"/>
        <v>0</v>
      </c>
      <c r="T20" s="87">
        <v>0</v>
      </c>
      <c r="U20" s="47">
        <f t="shared" si="8"/>
        <v>0</v>
      </c>
      <c r="V20" s="88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+'19'!G21</f>
        <v>0</v>
      </c>
      <c r="D21" s="87">
        <v>0</v>
      </c>
      <c r="E21" s="47">
        <f t="shared" si="0"/>
        <v>0</v>
      </c>
      <c r="F21" s="87">
        <v>0</v>
      </c>
      <c r="G21" s="47">
        <f t="shared" si="4"/>
        <v>0</v>
      </c>
      <c r="H21" s="88"/>
      <c r="I21" s="15">
        <v>50</v>
      </c>
      <c r="J21" s="8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7">
        <v>0</v>
      </c>
      <c r="S21" s="47">
        <f t="shared" si="7"/>
        <v>0</v>
      </c>
      <c r="T21" s="87">
        <v>0</v>
      </c>
      <c r="U21" s="47">
        <f t="shared" si="8"/>
        <v>0</v>
      </c>
      <c r="V21" s="88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+'19'!G22</f>
        <v>9</v>
      </c>
      <c r="D22" s="87">
        <v>0</v>
      </c>
      <c r="E22" s="47">
        <f t="shared" si="0"/>
        <v>9</v>
      </c>
      <c r="F22" s="87">
        <v>0</v>
      </c>
      <c r="G22" s="47">
        <f t="shared" si="4"/>
        <v>9</v>
      </c>
      <c r="H22" s="88"/>
      <c r="I22" s="15">
        <v>85</v>
      </c>
      <c r="J22" s="8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7">
        <v>0</v>
      </c>
      <c r="S22" s="47">
        <f t="shared" si="7"/>
        <v>0</v>
      </c>
      <c r="T22" s="87">
        <v>0</v>
      </c>
      <c r="U22" s="47">
        <f t="shared" si="8"/>
        <v>0</v>
      </c>
      <c r="V22" s="88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+'19'!G23</f>
        <v>7</v>
      </c>
      <c r="D23" s="87">
        <v>0</v>
      </c>
      <c r="E23" s="47">
        <f t="shared" si="0"/>
        <v>7</v>
      </c>
      <c r="F23" s="87">
        <v>0</v>
      </c>
      <c r="G23" s="47">
        <f t="shared" si="4"/>
        <v>5</v>
      </c>
      <c r="H23" s="88">
        <v>2</v>
      </c>
      <c r="I23" s="15">
        <v>100</v>
      </c>
      <c r="J23" s="82">
        <f t="shared" si="5"/>
        <v>200</v>
      </c>
      <c r="K23" s="17" t="s">
        <v>16</v>
      </c>
      <c r="L23" s="18">
        <v>0</v>
      </c>
      <c r="M23" s="23">
        <f t="shared" si="6"/>
        <v>200</v>
      </c>
      <c r="O23" s="10">
        <v>19</v>
      </c>
      <c r="P23" s="19"/>
      <c r="Q23" s="47">
        <v>0</v>
      </c>
      <c r="R23" s="87">
        <v>0</v>
      </c>
      <c r="S23" s="47">
        <f t="shared" si="7"/>
        <v>0</v>
      </c>
      <c r="T23" s="87">
        <v>0</v>
      </c>
      <c r="U23" s="47">
        <f t="shared" si="8"/>
        <v>0</v>
      </c>
      <c r="V23" s="88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+'19'!G24</f>
        <v>7</v>
      </c>
      <c r="D24" s="87">
        <v>0</v>
      </c>
      <c r="E24" s="47">
        <f t="shared" si="0"/>
        <v>7</v>
      </c>
      <c r="F24" s="87">
        <v>0</v>
      </c>
      <c r="G24" s="47">
        <f t="shared" si="4"/>
        <v>5</v>
      </c>
      <c r="H24" s="88">
        <v>2</v>
      </c>
      <c r="I24" s="21">
        <v>100</v>
      </c>
      <c r="J24" s="82">
        <f t="shared" si="5"/>
        <v>200</v>
      </c>
      <c r="K24" s="17" t="s">
        <v>16</v>
      </c>
      <c r="L24" s="18">
        <v>0</v>
      </c>
      <c r="M24" s="23">
        <f t="shared" si="6"/>
        <v>200</v>
      </c>
      <c r="O24" s="10">
        <v>20</v>
      </c>
      <c r="P24" s="19"/>
      <c r="Q24" s="47">
        <v>0</v>
      </c>
      <c r="R24" s="87">
        <v>0</v>
      </c>
      <c r="S24" s="47">
        <f t="shared" si="7"/>
        <v>0</v>
      </c>
      <c r="T24" s="87">
        <v>0</v>
      </c>
      <c r="U24" s="47">
        <f t="shared" si="8"/>
        <v>0</v>
      </c>
      <c r="V24" s="88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+'19'!G25</f>
        <v>5</v>
      </c>
      <c r="D25" s="87">
        <v>0</v>
      </c>
      <c r="E25" s="47">
        <f t="shared" si="0"/>
        <v>5</v>
      </c>
      <c r="F25" s="87">
        <v>0</v>
      </c>
      <c r="G25" s="47">
        <f t="shared" si="4"/>
        <v>5</v>
      </c>
      <c r="H25" s="88"/>
      <c r="I25" s="21">
        <v>100</v>
      </c>
      <c r="J25" s="8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7">
        <v>0</v>
      </c>
      <c r="S25" s="47">
        <f t="shared" si="7"/>
        <v>0</v>
      </c>
      <c r="T25" s="87">
        <v>0</v>
      </c>
      <c r="U25" s="47">
        <f t="shared" si="8"/>
        <v>0</v>
      </c>
      <c r="V25" s="88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+'19'!G26</f>
        <v>0</v>
      </c>
      <c r="D26" s="87">
        <v>0</v>
      </c>
      <c r="E26" s="47">
        <f t="shared" si="0"/>
        <v>0</v>
      </c>
      <c r="F26" s="87">
        <v>0</v>
      </c>
      <c r="G26" s="47">
        <f t="shared" si="4"/>
        <v>0</v>
      </c>
      <c r="H26" s="88"/>
      <c r="I26" s="21">
        <v>100</v>
      </c>
      <c r="J26" s="8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7">
        <v>0</v>
      </c>
      <c r="S26" s="47">
        <f t="shared" si="7"/>
        <v>0</v>
      </c>
      <c r="T26" s="87">
        <v>0</v>
      </c>
      <c r="U26" s="47">
        <f t="shared" si="8"/>
        <v>0</v>
      </c>
      <c r="V26" s="88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+'19'!G27</f>
        <v>0</v>
      </c>
      <c r="D27" s="87">
        <v>0</v>
      </c>
      <c r="E27" s="47">
        <f t="shared" si="0"/>
        <v>0</v>
      </c>
      <c r="F27" s="87">
        <v>0</v>
      </c>
      <c r="G27" s="47">
        <f t="shared" si="4"/>
        <v>0</v>
      </c>
      <c r="H27" s="88"/>
      <c r="I27" s="20">
        <v>100</v>
      </c>
      <c r="J27" s="8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7">
        <v>0</v>
      </c>
      <c r="S27" s="47">
        <f t="shared" si="7"/>
        <v>0</v>
      </c>
      <c r="T27" s="87">
        <v>0</v>
      </c>
      <c r="U27" s="47">
        <f t="shared" si="8"/>
        <v>0</v>
      </c>
      <c r="V27" s="88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+'19'!G28</f>
        <v>0</v>
      </c>
      <c r="D28" s="87">
        <v>0</v>
      </c>
      <c r="E28" s="47">
        <f t="shared" si="0"/>
        <v>0</v>
      </c>
      <c r="F28" s="87">
        <v>0</v>
      </c>
      <c r="G28" s="47">
        <f t="shared" si="4"/>
        <v>0</v>
      </c>
      <c r="H28" s="88"/>
      <c r="I28" s="20">
        <v>100</v>
      </c>
      <c r="J28" s="8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7">
        <v>0</v>
      </c>
      <c r="S28" s="47">
        <f t="shared" si="7"/>
        <v>0</v>
      </c>
      <c r="T28" s="87">
        <v>0</v>
      </c>
      <c r="U28" s="47">
        <f t="shared" si="8"/>
        <v>0</v>
      </c>
      <c r="V28" s="88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+'19'!G29</f>
        <v>0</v>
      </c>
      <c r="D29" s="87">
        <v>0</v>
      </c>
      <c r="E29" s="47">
        <f t="shared" si="0"/>
        <v>0</v>
      </c>
      <c r="F29" s="87">
        <v>0</v>
      </c>
      <c r="G29" s="47">
        <f t="shared" si="4"/>
        <v>0</v>
      </c>
      <c r="H29" s="88"/>
      <c r="I29" s="15">
        <v>100</v>
      </c>
      <c r="J29" s="8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7">
        <v>0</v>
      </c>
      <c r="S29" s="47">
        <f t="shared" si="7"/>
        <v>0</v>
      </c>
      <c r="T29" s="87">
        <v>0</v>
      </c>
      <c r="U29" s="47">
        <f t="shared" si="8"/>
        <v>0</v>
      </c>
      <c r="V29" s="88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+'19'!G30</f>
        <v>0</v>
      </c>
      <c r="D30" s="87">
        <v>0</v>
      </c>
      <c r="E30" s="47">
        <f t="shared" si="0"/>
        <v>0</v>
      </c>
      <c r="F30" s="87">
        <v>0</v>
      </c>
      <c r="G30" s="47">
        <f t="shared" si="4"/>
        <v>0</v>
      </c>
      <c r="H30" s="88"/>
      <c r="I30" s="15">
        <v>100</v>
      </c>
      <c r="J30" s="8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+'19'!G31</f>
        <v>1</v>
      </c>
      <c r="D31" s="87">
        <v>0</v>
      </c>
      <c r="E31" s="47">
        <f t="shared" si="0"/>
        <v>1</v>
      </c>
      <c r="F31" s="87">
        <v>0</v>
      </c>
      <c r="G31" s="47">
        <f t="shared" si="4"/>
        <v>1</v>
      </c>
      <c r="H31" s="88"/>
      <c r="I31" s="15">
        <v>100</v>
      </c>
      <c r="J31" s="82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+'19'!G32</f>
        <v>0</v>
      </c>
      <c r="D32" s="87">
        <v>0</v>
      </c>
      <c r="E32" s="47">
        <f t="shared" si="0"/>
        <v>0</v>
      </c>
      <c r="F32" s="87">
        <v>0</v>
      </c>
      <c r="G32" s="47">
        <f t="shared" si="4"/>
        <v>0</v>
      </c>
      <c r="H32" s="88"/>
      <c r="I32" s="15">
        <v>130</v>
      </c>
      <c r="J32" s="82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5" t="s">
        <v>119</v>
      </c>
      <c r="Q32" s="146"/>
      <c r="R32" s="146"/>
      <c r="S32" s="146"/>
      <c r="T32" s="146"/>
      <c r="U32" s="146"/>
      <c r="V32" s="146"/>
      <c r="W32" s="147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+'19'!G33</f>
        <v>10</v>
      </c>
      <c r="D33" s="87">
        <v>0</v>
      </c>
      <c r="E33" s="47">
        <f t="shared" si="0"/>
        <v>10</v>
      </c>
      <c r="F33" s="87">
        <v>0</v>
      </c>
      <c r="G33" s="47">
        <f t="shared" si="4"/>
        <v>9</v>
      </c>
      <c r="H33" s="88">
        <v>1</v>
      </c>
      <c r="I33" s="15">
        <v>130</v>
      </c>
      <c r="J33" s="82">
        <f t="shared" si="5"/>
        <v>130</v>
      </c>
      <c r="K33" s="17" t="s">
        <v>16</v>
      </c>
      <c r="L33" s="18">
        <v>0</v>
      </c>
      <c r="M33" s="23">
        <f t="shared" si="6"/>
        <v>130</v>
      </c>
    </row>
    <row r="34" spans="1:13" ht="25.5" x14ac:dyDescent="0.55000000000000004">
      <c r="A34" s="10">
        <v>30</v>
      </c>
      <c r="B34" s="19" t="s">
        <v>45</v>
      </c>
      <c r="C34" s="79">
        <f>+'19'!G34</f>
        <v>18</v>
      </c>
      <c r="D34" s="87">
        <v>0</v>
      </c>
      <c r="E34" s="47">
        <f t="shared" si="0"/>
        <v>18</v>
      </c>
      <c r="F34" s="87">
        <v>0</v>
      </c>
      <c r="G34" s="47">
        <f t="shared" si="4"/>
        <v>18</v>
      </c>
      <c r="H34" s="88"/>
      <c r="I34" s="15">
        <v>130</v>
      </c>
      <c r="J34" s="82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+'19'!G35</f>
        <v>0</v>
      </c>
      <c r="D35" s="87">
        <v>0</v>
      </c>
      <c r="E35" s="47">
        <f t="shared" si="0"/>
        <v>0</v>
      </c>
      <c r="F35" s="87">
        <v>0</v>
      </c>
      <c r="G35" s="47">
        <f t="shared" si="4"/>
        <v>0</v>
      </c>
      <c r="H35" s="88"/>
      <c r="I35" s="15">
        <v>130</v>
      </c>
      <c r="J35" s="82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+'19'!G36</f>
        <v>0</v>
      </c>
      <c r="D36" s="87">
        <v>0</v>
      </c>
      <c r="E36" s="47">
        <f t="shared" si="0"/>
        <v>0</v>
      </c>
      <c r="F36" s="87">
        <v>0</v>
      </c>
      <c r="G36" s="47">
        <f t="shared" si="4"/>
        <v>0</v>
      </c>
      <c r="H36" s="88"/>
      <c r="I36" s="15">
        <v>100</v>
      </c>
      <c r="J36" s="82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+'19'!G37</f>
        <v>9</v>
      </c>
      <c r="D37" s="87">
        <v>0</v>
      </c>
      <c r="E37" s="47">
        <f t="shared" si="0"/>
        <v>9</v>
      </c>
      <c r="F37" s="87">
        <v>0</v>
      </c>
      <c r="G37" s="47">
        <f t="shared" si="4"/>
        <v>9</v>
      </c>
      <c r="H37" s="88"/>
      <c r="I37" s="15">
        <v>100</v>
      </c>
      <c r="J37" s="82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 t="s">
        <v>49</v>
      </c>
      <c r="C38" s="79">
        <f>+'19'!G38</f>
        <v>4</v>
      </c>
      <c r="D38" s="87">
        <v>0</v>
      </c>
      <c r="E38" s="47">
        <f t="shared" si="0"/>
        <v>4</v>
      </c>
      <c r="F38" s="87">
        <v>0</v>
      </c>
      <c r="G38" s="47">
        <f t="shared" si="4"/>
        <v>2</v>
      </c>
      <c r="H38" s="88">
        <v>2</v>
      </c>
      <c r="I38" s="15">
        <v>50</v>
      </c>
      <c r="J38" s="82">
        <f t="shared" si="5"/>
        <v>100</v>
      </c>
      <c r="K38" s="17" t="s">
        <v>16</v>
      </c>
      <c r="L38" s="18">
        <v>0</v>
      </c>
      <c r="M38" s="23">
        <f t="shared" si="6"/>
        <v>100</v>
      </c>
    </row>
    <row r="39" spans="1:13" ht="25.5" x14ac:dyDescent="0.55000000000000004">
      <c r="A39" s="10">
        <v>35</v>
      </c>
      <c r="B39" s="19" t="s">
        <v>50</v>
      </c>
      <c r="C39" s="79">
        <f>+'19'!G39</f>
        <v>12</v>
      </c>
      <c r="D39" s="87">
        <v>0</v>
      </c>
      <c r="E39" s="47">
        <f t="shared" si="0"/>
        <v>12</v>
      </c>
      <c r="F39" s="87">
        <v>0</v>
      </c>
      <c r="G39" s="47">
        <f t="shared" si="4"/>
        <v>11</v>
      </c>
      <c r="H39" s="88">
        <v>1</v>
      </c>
      <c r="I39" s="15">
        <v>50</v>
      </c>
      <c r="J39" s="82">
        <f t="shared" si="5"/>
        <v>50</v>
      </c>
      <c r="K39" s="17" t="s">
        <v>16</v>
      </c>
      <c r="L39" s="18">
        <v>0</v>
      </c>
      <c r="M39" s="23">
        <f t="shared" si="6"/>
        <v>50</v>
      </c>
    </row>
    <row r="40" spans="1:13" ht="25.5" x14ac:dyDescent="0.55000000000000004">
      <c r="A40" s="10">
        <v>36</v>
      </c>
      <c r="B40" s="19" t="s">
        <v>51</v>
      </c>
      <c r="C40" s="79">
        <f>+'19'!G40</f>
        <v>10</v>
      </c>
      <c r="D40" s="87">
        <v>0</v>
      </c>
      <c r="E40" s="47">
        <f t="shared" si="0"/>
        <v>10</v>
      </c>
      <c r="F40" s="87">
        <v>0</v>
      </c>
      <c r="G40" s="47">
        <f t="shared" si="4"/>
        <v>9</v>
      </c>
      <c r="H40" s="88">
        <v>1</v>
      </c>
      <c r="I40" s="15">
        <v>50</v>
      </c>
      <c r="J40" s="82">
        <f t="shared" si="5"/>
        <v>50</v>
      </c>
      <c r="K40" s="17" t="s">
        <v>16</v>
      </c>
      <c r="L40" s="18">
        <v>0</v>
      </c>
      <c r="M40" s="23">
        <f t="shared" si="6"/>
        <v>50</v>
      </c>
    </row>
    <row r="41" spans="1:13" ht="25.5" x14ac:dyDescent="0.55000000000000004">
      <c r="A41" s="10">
        <v>37</v>
      </c>
      <c r="B41" s="19" t="s">
        <v>52</v>
      </c>
      <c r="C41" s="79">
        <f>+'19'!G41</f>
        <v>0</v>
      </c>
      <c r="D41" s="87">
        <v>0</v>
      </c>
      <c r="E41" s="47">
        <f t="shared" si="0"/>
        <v>0</v>
      </c>
      <c r="F41" s="87">
        <v>0</v>
      </c>
      <c r="G41" s="47">
        <f t="shared" si="4"/>
        <v>0</v>
      </c>
      <c r="H41" s="88"/>
      <c r="I41" s="15">
        <v>50</v>
      </c>
      <c r="J41" s="82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285</v>
      </c>
      <c r="C42" s="79">
        <f>+'19'!G42</f>
        <v>0</v>
      </c>
      <c r="D42" s="87">
        <v>2</v>
      </c>
      <c r="E42" s="47">
        <f t="shared" si="0"/>
        <v>2</v>
      </c>
      <c r="F42" s="87">
        <v>0</v>
      </c>
      <c r="G42" s="47">
        <f t="shared" si="4"/>
        <v>0</v>
      </c>
      <c r="H42" s="88">
        <v>2</v>
      </c>
      <c r="I42" s="15">
        <v>50</v>
      </c>
      <c r="J42" s="82">
        <f t="shared" si="5"/>
        <v>100</v>
      </c>
      <c r="K42" s="17" t="s">
        <v>16</v>
      </c>
      <c r="L42" s="18">
        <v>0</v>
      </c>
      <c r="M42" s="23">
        <f t="shared" si="6"/>
        <v>100</v>
      </c>
    </row>
    <row r="43" spans="1:13" ht="25.5" x14ac:dyDescent="0.55000000000000004">
      <c r="A43" s="10">
        <v>39</v>
      </c>
      <c r="B43" s="19" t="s">
        <v>54</v>
      </c>
      <c r="C43" s="79">
        <f>+'19'!G43</f>
        <v>0</v>
      </c>
      <c r="D43" s="87">
        <v>0</v>
      </c>
      <c r="E43" s="47">
        <f t="shared" si="0"/>
        <v>0</v>
      </c>
      <c r="F43" s="87">
        <v>0</v>
      </c>
      <c r="G43" s="47">
        <f t="shared" si="4"/>
        <v>0</v>
      </c>
      <c r="H43" s="88"/>
      <c r="I43" s="15">
        <v>50</v>
      </c>
      <c r="J43" s="82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+'19'!G44</f>
        <v>0</v>
      </c>
      <c r="D44" s="87">
        <v>0</v>
      </c>
      <c r="E44" s="47">
        <f t="shared" si="0"/>
        <v>0</v>
      </c>
      <c r="F44" s="87">
        <v>0</v>
      </c>
      <c r="G44" s="47">
        <f t="shared" si="4"/>
        <v>0</v>
      </c>
      <c r="H44" s="88"/>
      <c r="I44" s="15">
        <v>50</v>
      </c>
      <c r="J44" s="82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+'19'!G45</f>
        <v>0</v>
      </c>
      <c r="D45" s="87">
        <v>0</v>
      </c>
      <c r="E45" s="47">
        <f t="shared" si="0"/>
        <v>0</v>
      </c>
      <c r="F45" s="87">
        <v>0</v>
      </c>
      <c r="G45" s="47">
        <f t="shared" si="4"/>
        <v>0</v>
      </c>
      <c r="H45" s="88"/>
      <c r="I45" s="15">
        <v>50</v>
      </c>
      <c r="J45" s="82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286</v>
      </c>
      <c r="C46" s="79">
        <f>+'19'!G46</f>
        <v>0</v>
      </c>
      <c r="D46" s="87">
        <v>2</v>
      </c>
      <c r="E46" s="47">
        <f t="shared" si="0"/>
        <v>2</v>
      </c>
      <c r="F46" s="87">
        <v>0</v>
      </c>
      <c r="G46" s="47">
        <f t="shared" si="4"/>
        <v>2</v>
      </c>
      <c r="H46" s="88"/>
      <c r="I46" s="15">
        <v>50</v>
      </c>
      <c r="J46" s="82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+'19'!G47</f>
        <v>0</v>
      </c>
      <c r="D47" s="87">
        <v>2</v>
      </c>
      <c r="E47" s="47">
        <f t="shared" si="0"/>
        <v>2</v>
      </c>
      <c r="F47" s="87">
        <v>0</v>
      </c>
      <c r="G47" s="47">
        <f t="shared" si="4"/>
        <v>1</v>
      </c>
      <c r="H47" s="88">
        <v>1</v>
      </c>
      <c r="I47" s="15">
        <v>50</v>
      </c>
      <c r="J47" s="82">
        <f t="shared" si="5"/>
        <v>50</v>
      </c>
      <c r="K47" s="17" t="s">
        <v>16</v>
      </c>
      <c r="L47" s="18">
        <v>50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+'19'!G48</f>
        <v>0</v>
      </c>
      <c r="D48" s="87">
        <v>0</v>
      </c>
      <c r="E48" s="47">
        <f t="shared" si="0"/>
        <v>0</v>
      </c>
      <c r="F48" s="87">
        <v>0</v>
      </c>
      <c r="G48" s="47">
        <f t="shared" si="4"/>
        <v>0</v>
      </c>
      <c r="H48" s="88"/>
      <c r="I48" s="15">
        <v>50</v>
      </c>
      <c r="J48" s="82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+'19'!G49</f>
        <v>0</v>
      </c>
      <c r="D49" s="87">
        <v>0</v>
      </c>
      <c r="E49" s="47">
        <f t="shared" si="0"/>
        <v>0</v>
      </c>
      <c r="F49" s="87">
        <v>0</v>
      </c>
      <c r="G49" s="47">
        <f t="shared" si="4"/>
        <v>0</v>
      </c>
      <c r="H49" s="88"/>
      <c r="I49" s="15">
        <v>50</v>
      </c>
      <c r="J49" s="82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+'19'!G50</f>
        <v>2</v>
      </c>
      <c r="D50" s="87">
        <v>0</v>
      </c>
      <c r="E50" s="47">
        <f t="shared" si="0"/>
        <v>2</v>
      </c>
      <c r="F50" s="87">
        <v>0</v>
      </c>
      <c r="G50" s="47">
        <f t="shared" si="4"/>
        <v>2</v>
      </c>
      <c r="H50" s="88"/>
      <c r="I50" s="15">
        <v>120</v>
      </c>
      <c r="J50" s="82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+'19'!G51</f>
        <v>0</v>
      </c>
      <c r="D51" s="87">
        <v>0</v>
      </c>
      <c r="E51" s="47">
        <f t="shared" si="0"/>
        <v>0</v>
      </c>
      <c r="F51" s="87">
        <v>0</v>
      </c>
      <c r="G51" s="47">
        <f t="shared" si="4"/>
        <v>0</v>
      </c>
      <c r="H51" s="88"/>
      <c r="I51" s="15">
        <v>120</v>
      </c>
      <c r="J51" s="82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+'19'!G52</f>
        <v>0</v>
      </c>
      <c r="D52" s="87">
        <v>0</v>
      </c>
      <c r="E52" s="47">
        <f t="shared" si="0"/>
        <v>0</v>
      </c>
      <c r="F52" s="87">
        <v>0</v>
      </c>
      <c r="G52" s="47">
        <f t="shared" si="4"/>
        <v>0</v>
      </c>
      <c r="H52" s="88"/>
      <c r="I52" s="21">
        <v>120</v>
      </c>
      <c r="J52" s="82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+'19'!G53</f>
        <v>0</v>
      </c>
      <c r="D53" s="87">
        <v>0</v>
      </c>
      <c r="E53" s="47">
        <f t="shared" si="0"/>
        <v>0</v>
      </c>
      <c r="F53" s="87">
        <v>0</v>
      </c>
      <c r="G53" s="47">
        <f t="shared" si="4"/>
        <v>0</v>
      </c>
      <c r="H53" s="88"/>
      <c r="I53" s="15">
        <v>120</v>
      </c>
      <c r="J53" s="82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+'19'!G54</f>
        <v>0</v>
      </c>
      <c r="D54" s="87">
        <v>0</v>
      </c>
      <c r="E54" s="47">
        <f t="shared" si="0"/>
        <v>0</v>
      </c>
      <c r="F54" s="87">
        <v>0</v>
      </c>
      <c r="G54" s="47">
        <f t="shared" si="4"/>
        <v>0</v>
      </c>
      <c r="H54" s="88"/>
      <c r="I54" s="15">
        <v>120</v>
      </c>
      <c r="J54" s="82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+'19'!G55</f>
        <v>2</v>
      </c>
      <c r="D55" s="87">
        <v>0</v>
      </c>
      <c r="E55" s="47">
        <f t="shared" si="0"/>
        <v>2</v>
      </c>
      <c r="F55" s="87">
        <v>0</v>
      </c>
      <c r="G55" s="47">
        <f t="shared" si="4"/>
        <v>2</v>
      </c>
      <c r="H55" s="88"/>
      <c r="I55" s="21">
        <v>120</v>
      </c>
      <c r="J55" s="82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+'19'!G56</f>
        <v>0</v>
      </c>
      <c r="D56" s="87">
        <v>0</v>
      </c>
      <c r="E56" s="47">
        <f t="shared" si="0"/>
        <v>0</v>
      </c>
      <c r="F56" s="87">
        <v>0</v>
      </c>
      <c r="G56" s="47">
        <f t="shared" si="4"/>
        <v>0</v>
      </c>
      <c r="H56" s="88"/>
      <c r="I56" s="21">
        <v>120</v>
      </c>
      <c r="J56" s="82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+'19'!G57</f>
        <v>0</v>
      </c>
      <c r="D57" s="87">
        <v>0</v>
      </c>
      <c r="E57" s="47">
        <f t="shared" si="0"/>
        <v>0</v>
      </c>
      <c r="F57" s="87">
        <v>0</v>
      </c>
      <c r="G57" s="47">
        <f t="shared" si="4"/>
        <v>0</v>
      </c>
      <c r="H57" s="88"/>
      <c r="I57" s="21">
        <v>120</v>
      </c>
      <c r="J57" s="82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+'19'!G58</f>
        <v>0</v>
      </c>
      <c r="D58" s="87">
        <v>0</v>
      </c>
      <c r="E58" s="47">
        <f t="shared" si="0"/>
        <v>0</v>
      </c>
      <c r="F58" s="87">
        <v>0</v>
      </c>
      <c r="G58" s="47">
        <f t="shared" si="4"/>
        <v>0</v>
      </c>
      <c r="H58" s="88"/>
      <c r="I58" s="21">
        <v>120</v>
      </c>
      <c r="J58" s="82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+'19'!G59</f>
        <v>0</v>
      </c>
      <c r="D59" s="87">
        <v>0</v>
      </c>
      <c r="E59" s="47">
        <f t="shared" si="0"/>
        <v>0</v>
      </c>
      <c r="F59" s="87">
        <v>0</v>
      </c>
      <c r="G59" s="47">
        <f t="shared" si="4"/>
        <v>0</v>
      </c>
      <c r="H59" s="88"/>
      <c r="I59" s="15">
        <v>70</v>
      </c>
      <c r="J59" s="82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+'19'!G60</f>
        <v>0</v>
      </c>
      <c r="D60" s="87">
        <v>0</v>
      </c>
      <c r="E60" s="47">
        <f t="shared" si="0"/>
        <v>0</v>
      </c>
      <c r="F60" s="87">
        <v>0</v>
      </c>
      <c r="G60" s="47">
        <f t="shared" si="4"/>
        <v>0</v>
      </c>
      <c r="H60" s="88"/>
      <c r="I60" s="21">
        <v>80</v>
      </c>
      <c r="J60" s="82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+'19'!G61</f>
        <v>0</v>
      </c>
      <c r="D61" s="87">
        <v>0</v>
      </c>
      <c r="E61" s="47">
        <f t="shared" si="0"/>
        <v>0</v>
      </c>
      <c r="F61" s="87">
        <v>0</v>
      </c>
      <c r="G61" s="47">
        <f t="shared" si="4"/>
        <v>0</v>
      </c>
      <c r="H61" s="88"/>
      <c r="I61" s="15">
        <v>50</v>
      </c>
      <c r="J61" s="82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+'19'!G62</f>
        <v>10</v>
      </c>
      <c r="D62" s="87">
        <v>0</v>
      </c>
      <c r="E62" s="47">
        <f t="shared" si="0"/>
        <v>10</v>
      </c>
      <c r="F62" s="87">
        <v>0</v>
      </c>
      <c r="G62" s="47">
        <f t="shared" si="4"/>
        <v>10</v>
      </c>
      <c r="H62" s="88"/>
      <c r="I62" s="20">
        <v>50</v>
      </c>
      <c r="J62" s="82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+'19'!G63</f>
        <v>0</v>
      </c>
      <c r="D63" s="87">
        <v>0</v>
      </c>
      <c r="E63" s="47">
        <f t="shared" si="0"/>
        <v>0</v>
      </c>
      <c r="F63" s="87">
        <v>0</v>
      </c>
      <c r="G63" s="47">
        <f t="shared" si="4"/>
        <v>0</v>
      </c>
      <c r="H63" s="88"/>
      <c r="I63" s="20">
        <v>50</v>
      </c>
      <c r="J63" s="82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+'19'!G64</f>
        <v>0</v>
      </c>
      <c r="D64" s="87">
        <v>0</v>
      </c>
      <c r="E64" s="47">
        <f t="shared" si="0"/>
        <v>0</v>
      </c>
      <c r="F64" s="87">
        <v>0</v>
      </c>
      <c r="G64" s="47">
        <f t="shared" si="4"/>
        <v>0</v>
      </c>
      <c r="H64" s="88"/>
      <c r="I64" s="21">
        <v>30</v>
      </c>
      <c r="J64" s="82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+'19'!G65</f>
        <v>0</v>
      </c>
      <c r="D65" s="87">
        <v>0</v>
      </c>
      <c r="E65" s="47">
        <f t="shared" si="0"/>
        <v>0</v>
      </c>
      <c r="F65" s="87">
        <v>0</v>
      </c>
      <c r="G65" s="47">
        <f t="shared" si="4"/>
        <v>0</v>
      </c>
      <c r="H65" s="88"/>
      <c r="I65" s="21">
        <v>30</v>
      </c>
      <c r="J65" s="82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+'19'!G66</f>
        <v>1</v>
      </c>
      <c r="D66" s="87">
        <v>0</v>
      </c>
      <c r="E66" s="47">
        <f t="shared" si="0"/>
        <v>1</v>
      </c>
      <c r="F66" s="87">
        <v>0</v>
      </c>
      <c r="G66" s="47">
        <f t="shared" si="4"/>
        <v>1</v>
      </c>
      <c r="H66" s="88"/>
      <c r="I66" s="15">
        <v>50</v>
      </c>
      <c r="J66" s="82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+'19'!G67</f>
        <v>8</v>
      </c>
      <c r="D67" s="87">
        <v>0</v>
      </c>
      <c r="E67" s="47">
        <f t="shared" si="0"/>
        <v>8</v>
      </c>
      <c r="F67" s="87">
        <v>0</v>
      </c>
      <c r="G67" s="47">
        <f t="shared" si="4"/>
        <v>5</v>
      </c>
      <c r="H67" s="88">
        <v>3</v>
      </c>
      <c r="I67" s="15">
        <v>50</v>
      </c>
      <c r="J67" s="82">
        <f t="shared" si="5"/>
        <v>150</v>
      </c>
      <c r="K67" s="17" t="s">
        <v>16</v>
      </c>
      <c r="L67" s="18">
        <v>0</v>
      </c>
      <c r="M67" s="23">
        <f t="shared" si="6"/>
        <v>150</v>
      </c>
    </row>
    <row r="68" spans="1:13" ht="25.5" x14ac:dyDescent="0.55000000000000004">
      <c r="A68" s="10">
        <v>64</v>
      </c>
      <c r="B68" s="19" t="s">
        <v>79</v>
      </c>
      <c r="C68" s="79">
        <f>+'19'!G68</f>
        <v>0</v>
      </c>
      <c r="D68" s="87">
        <v>0</v>
      </c>
      <c r="E68" s="47">
        <f t="shared" si="0"/>
        <v>0</v>
      </c>
      <c r="F68" s="87">
        <v>0</v>
      </c>
      <c r="G68" s="47">
        <f t="shared" si="4"/>
        <v>0</v>
      </c>
      <c r="H68" s="88"/>
      <c r="I68" s="20">
        <v>35</v>
      </c>
      <c r="J68" s="82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+'19'!G69</f>
        <v>0</v>
      </c>
      <c r="D69" s="87">
        <v>0</v>
      </c>
      <c r="E69" s="47">
        <f t="shared" si="0"/>
        <v>0</v>
      </c>
      <c r="F69" s="87">
        <v>0</v>
      </c>
      <c r="G69" s="47">
        <f t="shared" si="4"/>
        <v>0</v>
      </c>
      <c r="H69" s="88"/>
      <c r="I69" s="20">
        <v>25</v>
      </c>
      <c r="J69" s="82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+'19'!G70</f>
        <v>6</v>
      </c>
      <c r="D70" s="87">
        <v>0</v>
      </c>
      <c r="E70" s="47">
        <f t="shared" si="0"/>
        <v>6</v>
      </c>
      <c r="F70" s="87">
        <v>0</v>
      </c>
      <c r="G70" s="47">
        <f t="shared" si="4"/>
        <v>5</v>
      </c>
      <c r="H70" s="88">
        <v>1</v>
      </c>
      <c r="I70" s="20">
        <v>50</v>
      </c>
      <c r="J70" s="82">
        <f t="shared" si="5"/>
        <v>50</v>
      </c>
      <c r="K70" s="17" t="s">
        <v>16</v>
      </c>
      <c r="L70" s="18">
        <v>0</v>
      </c>
      <c r="M70" s="23">
        <f t="shared" ref="M70:M134" si="10">SUM(J70-L70)</f>
        <v>50</v>
      </c>
    </row>
    <row r="71" spans="1:13" ht="25.5" x14ac:dyDescent="0.55000000000000004">
      <c r="A71" s="10">
        <v>67</v>
      </c>
      <c r="B71" s="19" t="s">
        <v>82</v>
      </c>
      <c r="C71" s="79">
        <f>+'19'!G71</f>
        <v>4</v>
      </c>
      <c r="D71" s="87">
        <v>0</v>
      </c>
      <c r="E71" s="47">
        <f t="shared" si="0"/>
        <v>4</v>
      </c>
      <c r="F71" s="87">
        <v>0</v>
      </c>
      <c r="G71" s="47">
        <f t="shared" si="4"/>
        <v>2</v>
      </c>
      <c r="H71" s="88">
        <v>2</v>
      </c>
      <c r="I71" s="20">
        <v>60</v>
      </c>
      <c r="J71" s="82">
        <f t="shared" si="5"/>
        <v>120</v>
      </c>
      <c r="K71" s="17" t="s">
        <v>16</v>
      </c>
      <c r="L71" s="18">
        <v>0</v>
      </c>
      <c r="M71" s="23">
        <f t="shared" si="10"/>
        <v>120</v>
      </c>
    </row>
    <row r="72" spans="1:13" ht="25.5" x14ac:dyDescent="0.55000000000000004">
      <c r="A72" s="10">
        <v>68</v>
      </c>
      <c r="B72" s="19" t="s">
        <v>83</v>
      </c>
      <c r="C72" s="79">
        <f>+'19'!G72</f>
        <v>0</v>
      </c>
      <c r="D72" s="87">
        <v>0</v>
      </c>
      <c r="E72" s="47">
        <f t="shared" si="0"/>
        <v>0</v>
      </c>
      <c r="F72" s="87">
        <v>0</v>
      </c>
      <c r="G72" s="47">
        <f t="shared" si="4"/>
        <v>0</v>
      </c>
      <c r="H72" s="88"/>
      <c r="I72" s="22">
        <v>50</v>
      </c>
      <c r="J72" s="82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+'19'!G73</f>
        <v>0</v>
      </c>
      <c r="D73" s="87">
        <v>0</v>
      </c>
      <c r="E73" s="47">
        <f t="shared" si="0"/>
        <v>0</v>
      </c>
      <c r="F73" s="87">
        <v>0</v>
      </c>
      <c r="G73" s="47">
        <f t="shared" si="4"/>
        <v>0</v>
      </c>
      <c r="H73" s="88"/>
      <c r="I73" s="20">
        <v>60</v>
      </c>
      <c r="J73" s="82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+'19'!G74</f>
        <v>1</v>
      </c>
      <c r="D74" s="87">
        <v>0</v>
      </c>
      <c r="E74" s="47">
        <f t="shared" si="0"/>
        <v>1</v>
      </c>
      <c r="F74" s="87">
        <v>0</v>
      </c>
      <c r="G74" s="47">
        <f t="shared" si="4"/>
        <v>1</v>
      </c>
      <c r="H74" s="88"/>
      <c r="I74" s="22">
        <v>120</v>
      </c>
      <c r="J74" s="82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+'19'!G75</f>
        <v>0</v>
      </c>
      <c r="D75" s="87">
        <v>0</v>
      </c>
      <c r="E75" s="47">
        <f t="shared" si="0"/>
        <v>0</v>
      </c>
      <c r="F75" s="87">
        <v>0</v>
      </c>
      <c r="G75" s="47">
        <f t="shared" si="4"/>
        <v>0</v>
      </c>
      <c r="H75" s="88"/>
      <c r="I75" s="22">
        <v>60</v>
      </c>
      <c r="J75" s="82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+'19'!G76</f>
        <v>0</v>
      </c>
      <c r="D76" s="87">
        <v>0</v>
      </c>
      <c r="E76" s="47">
        <f t="shared" si="0"/>
        <v>0</v>
      </c>
      <c r="F76" s="87">
        <v>0</v>
      </c>
      <c r="G76" s="47">
        <f t="shared" si="4"/>
        <v>0</v>
      </c>
      <c r="H76" s="88"/>
      <c r="I76" s="22">
        <v>120</v>
      </c>
      <c r="J76" s="82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1" t="s">
        <v>272</v>
      </c>
      <c r="C77" s="79">
        <f>+'19'!G77</f>
        <v>4</v>
      </c>
      <c r="D77" s="87">
        <v>0</v>
      </c>
      <c r="E77" s="47">
        <f>C77+D77</f>
        <v>4</v>
      </c>
      <c r="F77" s="87">
        <v>0</v>
      </c>
      <c r="G77" s="47">
        <f>+E77-F77-H77</f>
        <v>3</v>
      </c>
      <c r="H77" s="88">
        <v>1</v>
      </c>
      <c r="I77" s="20">
        <v>50</v>
      </c>
      <c r="J77" s="82">
        <f>+I77*H77</f>
        <v>50</v>
      </c>
      <c r="K77" s="17" t="s">
        <v>16</v>
      </c>
      <c r="L77" s="18">
        <v>0</v>
      </c>
      <c r="M77" s="23">
        <f>SUM(J77-L77)</f>
        <v>50</v>
      </c>
    </row>
    <row r="78" spans="1:13" ht="25.5" x14ac:dyDescent="0.55000000000000004">
      <c r="A78" s="10">
        <v>74</v>
      </c>
      <c r="B78" s="19" t="s">
        <v>277</v>
      </c>
      <c r="C78" s="79">
        <f>+'19'!G78</f>
        <v>3</v>
      </c>
      <c r="D78" s="87">
        <v>0</v>
      </c>
      <c r="E78" s="47">
        <f t="shared" si="0"/>
        <v>3</v>
      </c>
      <c r="F78" s="87">
        <v>0</v>
      </c>
      <c r="G78" s="47">
        <f t="shared" si="4"/>
        <v>2</v>
      </c>
      <c r="H78" s="88">
        <v>1</v>
      </c>
      <c r="I78" s="20">
        <v>50</v>
      </c>
      <c r="J78" s="82">
        <f t="shared" si="5"/>
        <v>50</v>
      </c>
      <c r="K78" s="17" t="s">
        <v>16</v>
      </c>
      <c r="L78" s="18">
        <v>0</v>
      </c>
      <c r="M78" s="23">
        <f t="shared" si="10"/>
        <v>50</v>
      </c>
    </row>
    <row r="79" spans="1:13" ht="25.5" x14ac:dyDescent="0.55000000000000004">
      <c r="A79" s="10">
        <v>75</v>
      </c>
      <c r="B79" s="19" t="s">
        <v>278</v>
      </c>
      <c r="C79" s="79">
        <f>+'19'!G79</f>
        <v>0</v>
      </c>
      <c r="D79" s="87">
        <v>0</v>
      </c>
      <c r="E79" s="47">
        <f t="shared" si="0"/>
        <v>0</v>
      </c>
      <c r="F79" s="87">
        <v>0</v>
      </c>
      <c r="G79" s="47">
        <f t="shared" si="4"/>
        <v>0</v>
      </c>
      <c r="H79" s="88"/>
      <c r="I79" s="22">
        <v>120</v>
      </c>
      <c r="J79" s="82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90</v>
      </c>
      <c r="C80" s="79">
        <f>+'19'!G80</f>
        <v>5</v>
      </c>
      <c r="D80" s="87">
        <v>0</v>
      </c>
      <c r="E80" s="47">
        <f t="shared" si="0"/>
        <v>5</v>
      </c>
      <c r="F80" s="87">
        <v>0</v>
      </c>
      <c r="G80" s="47">
        <f t="shared" si="4"/>
        <v>4</v>
      </c>
      <c r="H80" s="88">
        <v>1</v>
      </c>
      <c r="I80" s="22">
        <v>50</v>
      </c>
      <c r="J80" s="82">
        <f t="shared" si="5"/>
        <v>50</v>
      </c>
      <c r="K80" s="17" t="s">
        <v>16</v>
      </c>
      <c r="L80" s="18">
        <v>0</v>
      </c>
      <c r="M80" s="23">
        <f t="shared" si="10"/>
        <v>50</v>
      </c>
    </row>
    <row r="81" spans="1:13" ht="25.5" x14ac:dyDescent="0.55000000000000004">
      <c r="A81" s="10">
        <v>77</v>
      </c>
      <c r="B81" s="19" t="s">
        <v>91</v>
      </c>
      <c r="C81" s="79">
        <f>+'19'!G81</f>
        <v>0</v>
      </c>
      <c r="D81" s="87">
        <v>0</v>
      </c>
      <c r="E81" s="47">
        <f t="shared" si="0"/>
        <v>0</v>
      </c>
      <c r="F81" s="87">
        <v>0</v>
      </c>
      <c r="G81" s="47">
        <f t="shared" si="4"/>
        <v>0</v>
      </c>
      <c r="H81" s="88"/>
      <c r="I81" s="22">
        <v>50</v>
      </c>
      <c r="J81" s="82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92</v>
      </c>
      <c r="C82" s="79">
        <f>+'19'!G82</f>
        <v>1</v>
      </c>
      <c r="D82" s="87">
        <v>0</v>
      </c>
      <c r="E82" s="47">
        <f t="shared" si="0"/>
        <v>1</v>
      </c>
      <c r="F82" s="87">
        <v>0</v>
      </c>
      <c r="G82" s="47">
        <f t="shared" si="4"/>
        <v>1</v>
      </c>
      <c r="H82" s="88"/>
      <c r="I82" s="20">
        <v>55</v>
      </c>
      <c r="J82" s="82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93</v>
      </c>
      <c r="C83" s="79">
        <f>+'19'!G83</f>
        <v>2</v>
      </c>
      <c r="D83" s="87">
        <v>0</v>
      </c>
      <c r="E83" s="47">
        <f t="shared" si="0"/>
        <v>2</v>
      </c>
      <c r="F83" s="87">
        <v>0</v>
      </c>
      <c r="G83" s="47">
        <f t="shared" si="4"/>
        <v>2</v>
      </c>
      <c r="H83" s="88"/>
      <c r="I83" s="22">
        <v>55</v>
      </c>
      <c r="J83" s="82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94</v>
      </c>
      <c r="C84" s="79">
        <f>+'19'!G84</f>
        <v>0</v>
      </c>
      <c r="D84" s="87">
        <v>0</v>
      </c>
      <c r="E84" s="47">
        <f t="shared" si="0"/>
        <v>0</v>
      </c>
      <c r="F84" s="87">
        <v>0</v>
      </c>
      <c r="G84" s="47">
        <f t="shared" si="4"/>
        <v>0</v>
      </c>
      <c r="H84" s="88"/>
      <c r="I84" s="22">
        <v>55</v>
      </c>
      <c r="J84" s="82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95</v>
      </c>
      <c r="C85" s="79">
        <f>+'19'!G85</f>
        <v>0</v>
      </c>
      <c r="D85" s="87">
        <v>0</v>
      </c>
      <c r="E85" s="47">
        <f t="shared" si="0"/>
        <v>0</v>
      </c>
      <c r="F85" s="87">
        <v>0</v>
      </c>
      <c r="G85" s="47">
        <f t="shared" si="4"/>
        <v>0</v>
      </c>
      <c r="H85" s="88"/>
      <c r="I85" s="22">
        <v>55</v>
      </c>
      <c r="J85" s="82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96</v>
      </c>
      <c r="C86" s="79">
        <f>+'19'!G86</f>
        <v>4</v>
      </c>
      <c r="D86" s="87">
        <v>0</v>
      </c>
      <c r="E86" s="47">
        <f t="shared" si="0"/>
        <v>4</v>
      </c>
      <c r="F86" s="87">
        <v>0</v>
      </c>
      <c r="G86" s="47">
        <f t="shared" si="4"/>
        <v>2</v>
      </c>
      <c r="H86" s="88">
        <v>2</v>
      </c>
      <c r="I86" s="22">
        <v>100</v>
      </c>
      <c r="J86" s="82">
        <f t="shared" si="5"/>
        <v>200</v>
      </c>
      <c r="K86" s="17" t="s">
        <v>16</v>
      </c>
      <c r="L86" s="18">
        <v>0</v>
      </c>
      <c r="M86" s="23">
        <f t="shared" si="10"/>
        <v>200</v>
      </c>
    </row>
    <row r="87" spans="1:13" ht="25.5" x14ac:dyDescent="0.55000000000000004">
      <c r="A87" s="10">
        <v>83</v>
      </c>
      <c r="B87" s="19" t="s">
        <v>97</v>
      </c>
      <c r="C87" s="79">
        <f>+'19'!G87</f>
        <v>3</v>
      </c>
      <c r="D87" s="87">
        <v>0</v>
      </c>
      <c r="E87" s="47">
        <f t="shared" si="0"/>
        <v>3</v>
      </c>
      <c r="F87" s="87">
        <v>0</v>
      </c>
      <c r="G87" s="47">
        <f t="shared" si="4"/>
        <v>3</v>
      </c>
      <c r="H87" s="88"/>
      <c r="I87" s="20">
        <v>55</v>
      </c>
      <c r="J87" s="82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98</v>
      </c>
      <c r="C88" s="79">
        <f>+'19'!G88</f>
        <v>11</v>
      </c>
      <c r="D88" s="87">
        <v>0</v>
      </c>
      <c r="E88" s="47">
        <f t="shared" si="0"/>
        <v>11</v>
      </c>
      <c r="F88" s="87">
        <v>0</v>
      </c>
      <c r="G88" s="47">
        <f t="shared" si="4"/>
        <v>10</v>
      </c>
      <c r="H88" s="88">
        <v>1</v>
      </c>
      <c r="I88" s="20">
        <v>60</v>
      </c>
      <c r="J88" s="82">
        <f t="shared" si="5"/>
        <v>60</v>
      </c>
      <c r="K88" s="17" t="s">
        <v>16</v>
      </c>
      <c r="L88" s="18">
        <v>0</v>
      </c>
      <c r="M88" s="23">
        <f t="shared" si="10"/>
        <v>60</v>
      </c>
    </row>
    <row r="89" spans="1:13" ht="25.5" x14ac:dyDescent="0.55000000000000004">
      <c r="A89" s="10">
        <v>85</v>
      </c>
      <c r="B89" s="19" t="s">
        <v>99</v>
      </c>
      <c r="C89" s="79">
        <f>+'19'!G89</f>
        <v>12</v>
      </c>
      <c r="D89" s="87">
        <v>0</v>
      </c>
      <c r="E89" s="47">
        <f t="shared" si="0"/>
        <v>12</v>
      </c>
      <c r="F89" s="87">
        <v>0</v>
      </c>
      <c r="G89" s="47">
        <f t="shared" si="4"/>
        <v>11</v>
      </c>
      <c r="H89" s="88">
        <v>1</v>
      </c>
      <c r="I89" s="20">
        <v>100</v>
      </c>
      <c r="J89" s="82">
        <f t="shared" si="5"/>
        <v>100</v>
      </c>
      <c r="K89" s="17" t="s">
        <v>16</v>
      </c>
      <c r="L89" s="18">
        <v>0</v>
      </c>
      <c r="M89" s="23">
        <f t="shared" si="10"/>
        <v>100</v>
      </c>
    </row>
    <row r="90" spans="1:13" ht="25.5" x14ac:dyDescent="0.55000000000000004">
      <c r="A90" s="10">
        <v>86</v>
      </c>
      <c r="B90" s="19" t="s">
        <v>100</v>
      </c>
      <c r="C90" s="79">
        <f>+'19'!G90</f>
        <v>8</v>
      </c>
      <c r="D90" s="87">
        <v>0</v>
      </c>
      <c r="E90" s="47">
        <f t="shared" si="0"/>
        <v>8</v>
      </c>
      <c r="F90" s="87">
        <v>0</v>
      </c>
      <c r="G90" s="47">
        <f t="shared" si="4"/>
        <v>8</v>
      </c>
      <c r="H90" s="88"/>
      <c r="I90" s="20">
        <v>55</v>
      </c>
      <c r="J90" s="82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101</v>
      </c>
      <c r="C91" s="79">
        <f>+'19'!G91</f>
        <v>0</v>
      </c>
      <c r="D91" s="87">
        <v>0</v>
      </c>
      <c r="E91" s="47">
        <f t="shared" si="0"/>
        <v>0</v>
      </c>
      <c r="F91" s="87">
        <v>0</v>
      </c>
      <c r="G91" s="47">
        <f t="shared" si="4"/>
        <v>0</v>
      </c>
      <c r="H91" s="88"/>
      <c r="I91" s="20">
        <v>50</v>
      </c>
      <c r="J91" s="82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102</v>
      </c>
      <c r="C92" s="79">
        <f>+'19'!G92</f>
        <v>0</v>
      </c>
      <c r="D92" s="87">
        <v>0</v>
      </c>
      <c r="E92" s="47">
        <f t="shared" si="0"/>
        <v>0</v>
      </c>
      <c r="F92" s="87">
        <v>0</v>
      </c>
      <c r="G92" s="47">
        <f t="shared" si="4"/>
        <v>0</v>
      </c>
      <c r="H92" s="88"/>
      <c r="I92" s="22">
        <v>50</v>
      </c>
      <c r="J92" s="82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248</v>
      </c>
      <c r="C93" s="79">
        <f>+'19'!G93</f>
        <v>0</v>
      </c>
      <c r="D93" s="87">
        <v>0</v>
      </c>
      <c r="E93" s="47">
        <f t="shared" si="0"/>
        <v>0</v>
      </c>
      <c r="F93" s="87">
        <v>0</v>
      </c>
      <c r="G93" s="47">
        <f t="shared" si="4"/>
        <v>0</v>
      </c>
      <c r="H93" s="88"/>
      <c r="I93" s="22">
        <v>120</v>
      </c>
      <c r="J93" s="82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104</v>
      </c>
      <c r="C94" s="79">
        <f>+'19'!G94</f>
        <v>0</v>
      </c>
      <c r="D94" s="87">
        <v>0</v>
      </c>
      <c r="E94" s="47">
        <f t="shared" si="0"/>
        <v>0</v>
      </c>
      <c r="F94" s="87">
        <v>0</v>
      </c>
      <c r="G94" s="47">
        <f t="shared" si="4"/>
        <v>0</v>
      </c>
      <c r="H94" s="88"/>
      <c r="I94" s="20">
        <v>250</v>
      </c>
      <c r="J94" s="82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105</v>
      </c>
      <c r="C95" s="79">
        <f>+'19'!G95</f>
        <v>0</v>
      </c>
      <c r="D95" s="87">
        <v>0</v>
      </c>
      <c r="E95" s="47">
        <f t="shared" si="0"/>
        <v>0</v>
      </c>
      <c r="F95" s="87">
        <v>0</v>
      </c>
      <c r="G95" s="47">
        <f t="shared" si="4"/>
        <v>0</v>
      </c>
      <c r="H95" s="88"/>
      <c r="I95" s="20">
        <v>120</v>
      </c>
      <c r="J95" s="82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106</v>
      </c>
      <c r="C96" s="79">
        <f>+'19'!G96</f>
        <v>0</v>
      </c>
      <c r="D96" s="87">
        <v>0</v>
      </c>
      <c r="E96" s="47">
        <f t="shared" si="0"/>
        <v>0</v>
      </c>
      <c r="F96" s="87">
        <v>0</v>
      </c>
      <c r="G96" s="47">
        <f t="shared" si="4"/>
        <v>0</v>
      </c>
      <c r="H96" s="88"/>
      <c r="I96" s="20">
        <v>120</v>
      </c>
      <c r="J96" s="82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107</v>
      </c>
      <c r="C97" s="79">
        <f>+'19'!G97</f>
        <v>0</v>
      </c>
      <c r="D97" s="87">
        <v>0</v>
      </c>
      <c r="E97" s="47">
        <f t="shared" si="0"/>
        <v>0</v>
      </c>
      <c r="F97" s="87">
        <v>0</v>
      </c>
      <c r="G97" s="47">
        <f t="shared" si="4"/>
        <v>0</v>
      </c>
      <c r="H97" s="88"/>
      <c r="I97" s="20">
        <v>120</v>
      </c>
      <c r="J97" s="82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103</v>
      </c>
      <c r="C98" s="79">
        <f>+'19'!G98</f>
        <v>0</v>
      </c>
      <c r="D98" s="87">
        <v>0</v>
      </c>
      <c r="E98" s="47">
        <f t="shared" si="0"/>
        <v>0</v>
      </c>
      <c r="F98" s="87">
        <v>0</v>
      </c>
      <c r="G98" s="47">
        <f t="shared" si="4"/>
        <v>0</v>
      </c>
      <c r="H98" s="88"/>
      <c r="I98" s="20">
        <v>120</v>
      </c>
      <c r="J98" s="82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109</v>
      </c>
      <c r="C99" s="79">
        <f>+'19'!G99</f>
        <v>0</v>
      </c>
      <c r="D99" s="87">
        <v>0</v>
      </c>
      <c r="E99" s="47">
        <f t="shared" si="0"/>
        <v>0</v>
      </c>
      <c r="F99" s="87">
        <v>0</v>
      </c>
      <c r="G99" s="47">
        <f t="shared" si="4"/>
        <v>0</v>
      </c>
      <c r="H99" s="88"/>
      <c r="I99" s="20">
        <v>50</v>
      </c>
      <c r="J99" s="82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110</v>
      </c>
      <c r="C100" s="79">
        <f>+'19'!G100</f>
        <v>0</v>
      </c>
      <c r="D100" s="87">
        <v>0</v>
      </c>
      <c r="E100" s="47">
        <f t="shared" si="0"/>
        <v>0</v>
      </c>
      <c r="F100" s="87">
        <v>0</v>
      </c>
      <c r="G100" s="47">
        <f t="shared" si="4"/>
        <v>0</v>
      </c>
      <c r="H100" s="88"/>
      <c r="I100" s="20">
        <v>50</v>
      </c>
      <c r="J100" s="82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111</v>
      </c>
      <c r="C101" s="79">
        <f>+'19'!G101</f>
        <v>0</v>
      </c>
      <c r="D101" s="87">
        <v>0</v>
      </c>
      <c r="E101" s="47">
        <f t="shared" si="0"/>
        <v>0</v>
      </c>
      <c r="F101" s="87">
        <v>0</v>
      </c>
      <c r="G101" s="47">
        <f t="shared" ref="G101:G164" si="11">+E101-F101-H101</f>
        <v>0</v>
      </c>
      <c r="H101" s="88"/>
      <c r="I101" s="20">
        <v>60</v>
      </c>
      <c r="J101" s="82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112</v>
      </c>
      <c r="C102" s="79">
        <f>+'19'!G102</f>
        <v>0</v>
      </c>
      <c r="D102" s="87">
        <v>0</v>
      </c>
      <c r="E102" s="47">
        <f t="shared" si="0"/>
        <v>0</v>
      </c>
      <c r="F102" s="87">
        <v>0</v>
      </c>
      <c r="G102" s="47">
        <f t="shared" si="11"/>
        <v>0</v>
      </c>
      <c r="H102" s="88"/>
      <c r="I102" s="20">
        <v>55</v>
      </c>
      <c r="J102" s="82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113</v>
      </c>
      <c r="C103" s="79">
        <f>+'19'!G103</f>
        <v>0</v>
      </c>
      <c r="D103" s="87">
        <v>0</v>
      </c>
      <c r="E103" s="47">
        <f t="shared" si="0"/>
        <v>0</v>
      </c>
      <c r="F103" s="87">
        <v>0</v>
      </c>
      <c r="G103" s="47">
        <f t="shared" si="11"/>
        <v>0</v>
      </c>
      <c r="H103" s="88"/>
      <c r="I103" s="20">
        <v>50</v>
      </c>
      <c r="J103" s="82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114</v>
      </c>
      <c r="C104" s="79">
        <f>+'19'!G104</f>
        <v>0</v>
      </c>
      <c r="D104" s="87">
        <v>0</v>
      </c>
      <c r="E104" s="47">
        <f t="shared" si="0"/>
        <v>0</v>
      </c>
      <c r="F104" s="87">
        <v>0</v>
      </c>
      <c r="G104" s="47">
        <f t="shared" si="11"/>
        <v>0</v>
      </c>
      <c r="H104" s="88"/>
      <c r="I104" s="20">
        <v>100</v>
      </c>
      <c r="J104" s="82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115</v>
      </c>
      <c r="C105" s="79">
        <f>+'19'!G105</f>
        <v>0</v>
      </c>
      <c r="D105" s="87">
        <v>0</v>
      </c>
      <c r="E105" s="47">
        <f t="shared" si="0"/>
        <v>0</v>
      </c>
      <c r="F105" s="87">
        <v>0</v>
      </c>
      <c r="G105" s="47">
        <f t="shared" si="11"/>
        <v>0</v>
      </c>
      <c r="H105" s="88"/>
      <c r="I105" s="20">
        <v>100</v>
      </c>
      <c r="J105" s="82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116</v>
      </c>
      <c r="C106" s="79">
        <f>+'19'!G106</f>
        <v>0</v>
      </c>
      <c r="D106" s="87">
        <v>0</v>
      </c>
      <c r="E106" s="47">
        <f t="shared" si="0"/>
        <v>0</v>
      </c>
      <c r="F106" s="87">
        <v>0</v>
      </c>
      <c r="G106" s="47">
        <f t="shared" si="11"/>
        <v>0</v>
      </c>
      <c r="H106" s="88"/>
      <c r="I106" s="22">
        <v>30</v>
      </c>
      <c r="J106" s="82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117</v>
      </c>
      <c r="C107" s="79">
        <f>+'19'!G107</f>
        <v>0</v>
      </c>
      <c r="D107" s="87">
        <v>0</v>
      </c>
      <c r="E107" s="47">
        <f t="shared" si="0"/>
        <v>0</v>
      </c>
      <c r="F107" s="87">
        <v>0</v>
      </c>
      <c r="G107" s="47">
        <f t="shared" si="11"/>
        <v>0</v>
      </c>
      <c r="H107" s="88"/>
      <c r="I107" s="22">
        <v>20</v>
      </c>
      <c r="J107" s="82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118</v>
      </c>
      <c r="C108" s="79">
        <f>+'19'!G108</f>
        <v>0</v>
      </c>
      <c r="D108" s="87">
        <v>0</v>
      </c>
      <c r="E108" s="47">
        <f t="shared" si="0"/>
        <v>0</v>
      </c>
      <c r="F108" s="87">
        <v>0</v>
      </c>
      <c r="G108" s="47">
        <f t="shared" si="11"/>
        <v>0</v>
      </c>
      <c r="H108" s="88"/>
      <c r="I108" s="20">
        <v>100</v>
      </c>
      <c r="J108" s="82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120</v>
      </c>
      <c r="C109" s="79">
        <f>+'19'!G109</f>
        <v>0</v>
      </c>
      <c r="D109" s="87">
        <v>0</v>
      </c>
      <c r="E109" s="47">
        <f t="shared" si="0"/>
        <v>0</v>
      </c>
      <c r="F109" s="87">
        <v>0</v>
      </c>
      <c r="G109" s="47">
        <f t="shared" si="11"/>
        <v>0</v>
      </c>
      <c r="H109" s="88"/>
      <c r="I109" s="20">
        <v>80</v>
      </c>
      <c r="J109" s="82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121</v>
      </c>
      <c r="C110" s="79">
        <f>+'19'!G110</f>
        <v>0</v>
      </c>
      <c r="D110" s="87">
        <v>0</v>
      </c>
      <c r="E110" s="47">
        <f t="shared" si="0"/>
        <v>0</v>
      </c>
      <c r="F110" s="87">
        <v>0</v>
      </c>
      <c r="G110" s="47">
        <f t="shared" si="11"/>
        <v>0</v>
      </c>
      <c r="H110" s="88"/>
      <c r="I110" s="20">
        <v>60</v>
      </c>
      <c r="J110" s="82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122</v>
      </c>
      <c r="C111" s="79">
        <f>+'19'!G111</f>
        <v>0</v>
      </c>
      <c r="D111" s="87">
        <v>0</v>
      </c>
      <c r="E111" s="47">
        <f t="shared" si="0"/>
        <v>0</v>
      </c>
      <c r="F111" s="87">
        <v>0</v>
      </c>
      <c r="G111" s="47">
        <f t="shared" si="11"/>
        <v>0</v>
      </c>
      <c r="H111" s="88"/>
      <c r="I111" s="20">
        <v>35</v>
      </c>
      <c r="J111" s="82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123</v>
      </c>
      <c r="C112" s="79">
        <f>+'19'!G112</f>
        <v>0</v>
      </c>
      <c r="D112" s="87">
        <v>0</v>
      </c>
      <c r="E112" s="47">
        <f t="shared" si="0"/>
        <v>0</v>
      </c>
      <c r="F112" s="87">
        <v>0</v>
      </c>
      <c r="G112" s="47">
        <f t="shared" si="11"/>
        <v>0</v>
      </c>
      <c r="H112" s="88"/>
      <c r="I112" s="20">
        <v>35</v>
      </c>
      <c r="J112" s="82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124</v>
      </c>
      <c r="C113" s="79">
        <f>+'19'!G113</f>
        <v>0</v>
      </c>
      <c r="D113" s="87">
        <v>0</v>
      </c>
      <c r="E113" s="47">
        <f t="shared" si="0"/>
        <v>0</v>
      </c>
      <c r="F113" s="87">
        <v>0</v>
      </c>
      <c r="G113" s="47">
        <f t="shared" si="11"/>
        <v>0</v>
      </c>
      <c r="H113" s="88"/>
      <c r="I113" s="20">
        <v>35</v>
      </c>
      <c r="J113" s="82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125</v>
      </c>
      <c r="C114" s="79">
        <f>+'19'!G114</f>
        <v>0</v>
      </c>
      <c r="D114" s="87">
        <v>0</v>
      </c>
      <c r="E114" s="47">
        <f t="shared" si="0"/>
        <v>0</v>
      </c>
      <c r="F114" s="87">
        <v>0</v>
      </c>
      <c r="G114" s="47">
        <f t="shared" si="11"/>
        <v>0</v>
      </c>
      <c r="H114" s="88"/>
      <c r="I114" s="20">
        <v>35</v>
      </c>
      <c r="J114" s="82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126</v>
      </c>
      <c r="C115" s="79">
        <f>+'19'!G115</f>
        <v>0</v>
      </c>
      <c r="D115" s="87">
        <v>0</v>
      </c>
      <c r="E115" s="47">
        <f t="shared" si="0"/>
        <v>0</v>
      </c>
      <c r="F115" s="87">
        <v>0</v>
      </c>
      <c r="G115" s="47">
        <f t="shared" si="11"/>
        <v>0</v>
      </c>
      <c r="H115" s="88"/>
      <c r="I115" s="20">
        <v>35</v>
      </c>
      <c r="J115" s="82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127</v>
      </c>
      <c r="C116" s="79">
        <f>+'19'!G116</f>
        <v>0</v>
      </c>
      <c r="D116" s="87">
        <v>0</v>
      </c>
      <c r="E116" s="47">
        <f t="shared" si="0"/>
        <v>0</v>
      </c>
      <c r="F116" s="87">
        <v>0</v>
      </c>
      <c r="G116" s="47">
        <f t="shared" si="11"/>
        <v>0</v>
      </c>
      <c r="H116" s="88"/>
      <c r="I116" s="20">
        <v>30</v>
      </c>
      <c r="J116" s="82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128</v>
      </c>
      <c r="C117" s="79">
        <f>+'19'!G117</f>
        <v>0</v>
      </c>
      <c r="D117" s="87">
        <v>0</v>
      </c>
      <c r="E117" s="47">
        <f t="shared" si="0"/>
        <v>0</v>
      </c>
      <c r="F117" s="87">
        <v>0</v>
      </c>
      <c r="G117" s="47">
        <f t="shared" si="11"/>
        <v>0</v>
      </c>
      <c r="H117" s="88"/>
      <c r="I117" s="20">
        <v>30</v>
      </c>
      <c r="J117" s="82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129</v>
      </c>
      <c r="C118" s="79">
        <f>+'19'!G118</f>
        <v>0</v>
      </c>
      <c r="D118" s="87">
        <v>0</v>
      </c>
      <c r="E118" s="47">
        <f t="shared" si="0"/>
        <v>0</v>
      </c>
      <c r="F118" s="87">
        <v>0</v>
      </c>
      <c r="G118" s="47">
        <f t="shared" si="11"/>
        <v>0</v>
      </c>
      <c r="H118" s="88"/>
      <c r="I118" s="20">
        <v>30</v>
      </c>
      <c r="J118" s="82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130</v>
      </c>
      <c r="C119" s="79">
        <f>+'19'!G119</f>
        <v>0</v>
      </c>
      <c r="D119" s="87">
        <v>0</v>
      </c>
      <c r="E119" s="47">
        <f t="shared" si="0"/>
        <v>0</v>
      </c>
      <c r="F119" s="87">
        <v>0</v>
      </c>
      <c r="G119" s="47">
        <f t="shared" si="11"/>
        <v>0</v>
      </c>
      <c r="H119" s="88"/>
      <c r="I119" s="20">
        <v>30</v>
      </c>
      <c r="J119" s="82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131</v>
      </c>
      <c r="C120" s="79">
        <f>+'19'!G120</f>
        <v>0</v>
      </c>
      <c r="D120" s="87">
        <v>0</v>
      </c>
      <c r="E120" s="47">
        <f t="shared" si="0"/>
        <v>0</v>
      </c>
      <c r="F120" s="87">
        <v>0</v>
      </c>
      <c r="G120" s="47">
        <f t="shared" si="11"/>
        <v>0</v>
      </c>
      <c r="H120" s="88"/>
      <c r="I120" s="20">
        <v>30</v>
      </c>
      <c r="J120" s="82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132</v>
      </c>
      <c r="C121" s="79">
        <f>+'19'!G121</f>
        <v>0</v>
      </c>
      <c r="D121" s="87">
        <v>0</v>
      </c>
      <c r="E121" s="47">
        <f t="shared" si="0"/>
        <v>0</v>
      </c>
      <c r="F121" s="87">
        <v>0</v>
      </c>
      <c r="G121" s="47">
        <f t="shared" si="11"/>
        <v>0</v>
      </c>
      <c r="H121" s="88"/>
      <c r="I121" s="20">
        <v>30</v>
      </c>
      <c r="J121" s="82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133</v>
      </c>
      <c r="C122" s="79">
        <f>+'19'!G122</f>
        <v>0</v>
      </c>
      <c r="D122" s="87">
        <v>0</v>
      </c>
      <c r="E122" s="47">
        <f t="shared" si="0"/>
        <v>0</v>
      </c>
      <c r="F122" s="87">
        <v>0</v>
      </c>
      <c r="G122" s="47">
        <f t="shared" si="11"/>
        <v>0</v>
      </c>
      <c r="H122" s="88"/>
      <c r="I122" s="20">
        <v>40</v>
      </c>
      <c r="J122" s="82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134</v>
      </c>
      <c r="C123" s="79">
        <f>+'19'!G123</f>
        <v>0</v>
      </c>
      <c r="D123" s="87">
        <v>0</v>
      </c>
      <c r="E123" s="47">
        <f t="shared" si="0"/>
        <v>0</v>
      </c>
      <c r="F123" s="87">
        <v>0</v>
      </c>
      <c r="G123" s="47">
        <f t="shared" si="11"/>
        <v>0</v>
      </c>
      <c r="H123" s="88"/>
      <c r="I123" s="20">
        <v>35</v>
      </c>
      <c r="J123" s="82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135</v>
      </c>
      <c r="C124" s="79">
        <f>+'19'!G124</f>
        <v>0</v>
      </c>
      <c r="D124" s="87">
        <v>0</v>
      </c>
      <c r="E124" s="47">
        <f t="shared" si="0"/>
        <v>0</v>
      </c>
      <c r="F124" s="87">
        <v>0</v>
      </c>
      <c r="G124" s="47">
        <f t="shared" si="11"/>
        <v>0</v>
      </c>
      <c r="H124" s="88"/>
      <c r="I124" s="20">
        <v>40</v>
      </c>
      <c r="J124" s="82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136</v>
      </c>
      <c r="C125" s="79">
        <f>+'19'!G125</f>
        <v>0</v>
      </c>
      <c r="D125" s="87">
        <v>0</v>
      </c>
      <c r="E125" s="47">
        <f t="shared" si="0"/>
        <v>0</v>
      </c>
      <c r="F125" s="87">
        <v>0</v>
      </c>
      <c r="G125" s="47">
        <f t="shared" si="11"/>
        <v>0</v>
      </c>
      <c r="H125" s="88"/>
      <c r="I125" s="20">
        <v>40</v>
      </c>
      <c r="J125" s="82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137</v>
      </c>
      <c r="C126" s="79">
        <f>+'19'!G126</f>
        <v>0</v>
      </c>
      <c r="D126" s="87">
        <v>0</v>
      </c>
      <c r="E126" s="47">
        <f t="shared" ref="E126:E189" si="13">C126+D126</f>
        <v>0</v>
      </c>
      <c r="F126" s="87">
        <v>0</v>
      </c>
      <c r="G126" s="47">
        <f t="shared" si="11"/>
        <v>0</v>
      </c>
      <c r="H126" s="88"/>
      <c r="I126" s="20">
        <v>30</v>
      </c>
      <c r="J126" s="82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138</v>
      </c>
      <c r="C127" s="79">
        <f>+'19'!G127</f>
        <v>0</v>
      </c>
      <c r="D127" s="87">
        <v>0</v>
      </c>
      <c r="E127" s="47">
        <f t="shared" si="13"/>
        <v>0</v>
      </c>
      <c r="F127" s="87">
        <v>0</v>
      </c>
      <c r="G127" s="47">
        <f t="shared" si="11"/>
        <v>0</v>
      </c>
      <c r="H127" s="88"/>
      <c r="I127" s="20">
        <v>40</v>
      </c>
      <c r="J127" s="82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139</v>
      </c>
      <c r="C128" s="79">
        <f>+'19'!G128</f>
        <v>74</v>
      </c>
      <c r="D128" s="87">
        <v>0</v>
      </c>
      <c r="E128" s="47">
        <f t="shared" si="13"/>
        <v>74</v>
      </c>
      <c r="F128" s="87">
        <v>0</v>
      </c>
      <c r="G128" s="47">
        <f t="shared" si="11"/>
        <v>74</v>
      </c>
      <c r="H128" s="88"/>
      <c r="I128" s="20">
        <v>10</v>
      </c>
      <c r="J128" s="82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140</v>
      </c>
      <c r="C129" s="79">
        <f>+'19'!G129</f>
        <v>0</v>
      </c>
      <c r="D129" s="87">
        <v>0</v>
      </c>
      <c r="E129" s="47">
        <f t="shared" si="13"/>
        <v>0</v>
      </c>
      <c r="F129" s="87">
        <v>0</v>
      </c>
      <c r="G129" s="47">
        <f t="shared" si="11"/>
        <v>0</v>
      </c>
      <c r="H129" s="88"/>
      <c r="I129" s="20">
        <v>35</v>
      </c>
      <c r="J129" s="82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141</v>
      </c>
      <c r="C130" s="79">
        <f>+'19'!G130</f>
        <v>0</v>
      </c>
      <c r="D130" s="87">
        <v>0</v>
      </c>
      <c r="E130" s="47">
        <f t="shared" si="13"/>
        <v>0</v>
      </c>
      <c r="F130" s="87">
        <v>0</v>
      </c>
      <c r="G130" s="47">
        <f t="shared" si="11"/>
        <v>0</v>
      </c>
      <c r="H130" s="88"/>
      <c r="I130" s="20">
        <v>40</v>
      </c>
      <c r="J130" s="82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142</v>
      </c>
      <c r="C131" s="79">
        <f>+'19'!G131</f>
        <v>0</v>
      </c>
      <c r="D131" s="87">
        <v>0</v>
      </c>
      <c r="E131" s="47">
        <f t="shared" si="13"/>
        <v>0</v>
      </c>
      <c r="F131" s="87">
        <v>0</v>
      </c>
      <c r="G131" s="47">
        <f t="shared" si="11"/>
        <v>0</v>
      </c>
      <c r="H131" s="88"/>
      <c r="I131" s="20">
        <v>50</v>
      </c>
      <c r="J131" s="82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143</v>
      </c>
      <c r="C132" s="79">
        <f>+'19'!G132</f>
        <v>0</v>
      </c>
      <c r="D132" s="87">
        <v>0</v>
      </c>
      <c r="E132" s="47">
        <f t="shared" si="13"/>
        <v>0</v>
      </c>
      <c r="F132" s="87">
        <v>0</v>
      </c>
      <c r="G132" s="47">
        <f t="shared" si="11"/>
        <v>0</v>
      </c>
      <c r="H132" s="88"/>
      <c r="I132" s="20">
        <v>55</v>
      </c>
      <c r="J132" s="82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144</v>
      </c>
      <c r="C133" s="79">
        <f>+'19'!G133</f>
        <v>0</v>
      </c>
      <c r="D133" s="87">
        <v>0</v>
      </c>
      <c r="E133" s="47">
        <f t="shared" si="13"/>
        <v>0</v>
      </c>
      <c r="F133" s="87">
        <v>0</v>
      </c>
      <c r="G133" s="47">
        <f t="shared" si="11"/>
        <v>0</v>
      </c>
      <c r="H133" s="88"/>
      <c r="I133" s="20">
        <v>55</v>
      </c>
      <c r="J133" s="82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145</v>
      </c>
      <c r="C134" s="79">
        <f>+'19'!G134</f>
        <v>0</v>
      </c>
      <c r="D134" s="87">
        <v>0</v>
      </c>
      <c r="E134" s="47">
        <f t="shared" si="13"/>
        <v>0</v>
      </c>
      <c r="F134" s="87">
        <v>0</v>
      </c>
      <c r="G134" s="47">
        <f t="shared" si="11"/>
        <v>0</v>
      </c>
      <c r="H134" s="88"/>
      <c r="I134" s="20">
        <v>45</v>
      </c>
      <c r="J134" s="82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5.5" x14ac:dyDescent="0.55000000000000004">
      <c r="A135" s="10">
        <v>131</v>
      </c>
      <c r="B135" s="19" t="s">
        <v>146</v>
      </c>
      <c r="C135" s="79">
        <f>+'19'!G135</f>
        <v>0</v>
      </c>
      <c r="D135" s="87">
        <v>0</v>
      </c>
      <c r="E135" s="47">
        <f t="shared" si="13"/>
        <v>0</v>
      </c>
      <c r="F135" s="87">
        <v>0</v>
      </c>
      <c r="G135" s="47">
        <f t="shared" si="11"/>
        <v>0</v>
      </c>
      <c r="H135" s="88"/>
      <c r="I135" s="20">
        <v>45</v>
      </c>
      <c r="J135" s="82">
        <f t="shared" si="12"/>
        <v>0</v>
      </c>
      <c r="K135" s="17" t="s">
        <v>16</v>
      </c>
      <c r="L135" s="18">
        <v>0</v>
      </c>
      <c r="M135" s="23">
        <f t="shared" ref="M135:M198" si="14">SUM(J135-L135)</f>
        <v>0</v>
      </c>
    </row>
    <row r="136" spans="1:13" ht="25.5" x14ac:dyDescent="0.55000000000000004">
      <c r="A136" s="10">
        <v>132</v>
      </c>
      <c r="B136" s="19" t="s">
        <v>147</v>
      </c>
      <c r="C136" s="79">
        <f>+'19'!G136</f>
        <v>0</v>
      </c>
      <c r="D136" s="87">
        <v>0</v>
      </c>
      <c r="E136" s="47">
        <f t="shared" si="13"/>
        <v>0</v>
      </c>
      <c r="F136" s="87">
        <v>0</v>
      </c>
      <c r="G136" s="47">
        <f t="shared" si="11"/>
        <v>0</v>
      </c>
      <c r="H136" s="88"/>
      <c r="I136" s="20">
        <v>55</v>
      </c>
      <c r="J136" s="82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148</v>
      </c>
      <c r="C137" s="79">
        <f>+'19'!G137</f>
        <v>0</v>
      </c>
      <c r="D137" s="87">
        <v>0</v>
      </c>
      <c r="E137" s="47">
        <f t="shared" si="13"/>
        <v>0</v>
      </c>
      <c r="F137" s="87">
        <v>0</v>
      </c>
      <c r="G137" s="47">
        <f t="shared" si="11"/>
        <v>0</v>
      </c>
      <c r="H137" s="88"/>
      <c r="I137" s="20">
        <v>45</v>
      </c>
      <c r="J137" s="82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149</v>
      </c>
      <c r="C138" s="79">
        <f>+'19'!G138</f>
        <v>0</v>
      </c>
      <c r="D138" s="87">
        <v>0</v>
      </c>
      <c r="E138" s="47">
        <f t="shared" si="13"/>
        <v>0</v>
      </c>
      <c r="F138" s="87">
        <v>0</v>
      </c>
      <c r="G138" s="47">
        <f t="shared" si="11"/>
        <v>0</v>
      </c>
      <c r="H138" s="88"/>
      <c r="I138" s="20">
        <v>45</v>
      </c>
      <c r="J138" s="82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150</v>
      </c>
      <c r="C139" s="79">
        <f>+'19'!G139</f>
        <v>0</v>
      </c>
      <c r="D139" s="87">
        <v>0</v>
      </c>
      <c r="E139" s="47">
        <f t="shared" si="13"/>
        <v>0</v>
      </c>
      <c r="F139" s="87">
        <v>0</v>
      </c>
      <c r="G139" s="47">
        <f t="shared" si="11"/>
        <v>0</v>
      </c>
      <c r="H139" s="88"/>
      <c r="I139" s="20">
        <v>45</v>
      </c>
      <c r="J139" s="82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151</v>
      </c>
      <c r="C140" s="79">
        <f>+'19'!G140</f>
        <v>0</v>
      </c>
      <c r="D140" s="87">
        <v>0</v>
      </c>
      <c r="E140" s="47">
        <f t="shared" si="13"/>
        <v>0</v>
      </c>
      <c r="F140" s="87">
        <v>0</v>
      </c>
      <c r="G140" s="47">
        <f t="shared" si="11"/>
        <v>0</v>
      </c>
      <c r="H140" s="88"/>
      <c r="I140" s="20">
        <v>45</v>
      </c>
      <c r="J140" s="82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152</v>
      </c>
      <c r="C141" s="79">
        <f>+'19'!G141</f>
        <v>0</v>
      </c>
      <c r="D141" s="87">
        <v>0</v>
      </c>
      <c r="E141" s="47">
        <f t="shared" si="13"/>
        <v>0</v>
      </c>
      <c r="F141" s="87">
        <v>0</v>
      </c>
      <c r="G141" s="47">
        <f t="shared" si="11"/>
        <v>0</v>
      </c>
      <c r="H141" s="88"/>
      <c r="I141" s="20">
        <v>45</v>
      </c>
      <c r="J141" s="82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153</v>
      </c>
      <c r="C142" s="79">
        <f>+'19'!G142</f>
        <v>0</v>
      </c>
      <c r="D142" s="87">
        <v>0</v>
      </c>
      <c r="E142" s="47">
        <f t="shared" si="13"/>
        <v>0</v>
      </c>
      <c r="F142" s="87">
        <v>0</v>
      </c>
      <c r="G142" s="47">
        <f t="shared" si="11"/>
        <v>0</v>
      </c>
      <c r="H142" s="88"/>
      <c r="I142" s="20">
        <v>45</v>
      </c>
      <c r="J142" s="82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154</v>
      </c>
      <c r="C143" s="79">
        <f>+'19'!G143</f>
        <v>0</v>
      </c>
      <c r="D143" s="87">
        <v>0</v>
      </c>
      <c r="E143" s="47">
        <f t="shared" si="13"/>
        <v>0</v>
      </c>
      <c r="F143" s="87">
        <v>0</v>
      </c>
      <c r="G143" s="47">
        <f t="shared" si="11"/>
        <v>0</v>
      </c>
      <c r="H143" s="88"/>
      <c r="I143" s="20">
        <v>120</v>
      </c>
      <c r="J143" s="82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155</v>
      </c>
      <c r="C144" s="79">
        <f>+'19'!G144</f>
        <v>0</v>
      </c>
      <c r="D144" s="87">
        <v>0</v>
      </c>
      <c r="E144" s="47">
        <f t="shared" si="13"/>
        <v>0</v>
      </c>
      <c r="F144" s="87">
        <v>0</v>
      </c>
      <c r="G144" s="47">
        <f t="shared" si="11"/>
        <v>0</v>
      </c>
      <c r="H144" s="88"/>
      <c r="I144" s="20">
        <v>120</v>
      </c>
      <c r="J144" s="82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156</v>
      </c>
      <c r="C145" s="79">
        <f>+'19'!G145</f>
        <v>0</v>
      </c>
      <c r="D145" s="87">
        <v>0</v>
      </c>
      <c r="E145" s="47">
        <f t="shared" si="13"/>
        <v>0</v>
      </c>
      <c r="F145" s="87">
        <v>0</v>
      </c>
      <c r="G145" s="47">
        <f t="shared" si="11"/>
        <v>0</v>
      </c>
      <c r="H145" s="88"/>
      <c r="I145" s="20">
        <v>120</v>
      </c>
      <c r="J145" s="82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157</v>
      </c>
      <c r="C146" s="79">
        <f>+'19'!G146</f>
        <v>0</v>
      </c>
      <c r="D146" s="87">
        <v>0</v>
      </c>
      <c r="E146" s="47">
        <f t="shared" si="13"/>
        <v>0</v>
      </c>
      <c r="F146" s="87">
        <v>0</v>
      </c>
      <c r="G146" s="47">
        <f t="shared" si="11"/>
        <v>0</v>
      </c>
      <c r="H146" s="88"/>
      <c r="I146" s="20">
        <v>120</v>
      </c>
      <c r="J146" s="82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158</v>
      </c>
      <c r="C147" s="79">
        <f>+'19'!G147</f>
        <v>0</v>
      </c>
      <c r="D147" s="87">
        <v>0</v>
      </c>
      <c r="E147" s="47">
        <f t="shared" si="13"/>
        <v>0</v>
      </c>
      <c r="F147" s="87">
        <v>0</v>
      </c>
      <c r="G147" s="47">
        <f t="shared" si="11"/>
        <v>0</v>
      </c>
      <c r="H147" s="88"/>
      <c r="I147" s="20">
        <v>185</v>
      </c>
      <c r="J147" s="82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159</v>
      </c>
      <c r="C148" s="79">
        <f>+'19'!G148</f>
        <v>0</v>
      </c>
      <c r="D148" s="87">
        <v>0</v>
      </c>
      <c r="E148" s="47">
        <f t="shared" si="13"/>
        <v>0</v>
      </c>
      <c r="F148" s="87">
        <v>0</v>
      </c>
      <c r="G148" s="47">
        <f t="shared" si="11"/>
        <v>0</v>
      </c>
      <c r="H148" s="88"/>
      <c r="I148" s="20">
        <v>185</v>
      </c>
      <c r="J148" s="82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160</v>
      </c>
      <c r="C149" s="79">
        <f>+'19'!G149</f>
        <v>0</v>
      </c>
      <c r="D149" s="87">
        <v>0</v>
      </c>
      <c r="E149" s="47">
        <f t="shared" si="13"/>
        <v>0</v>
      </c>
      <c r="F149" s="87">
        <v>0</v>
      </c>
      <c r="G149" s="47">
        <f t="shared" si="11"/>
        <v>0</v>
      </c>
      <c r="H149" s="88"/>
      <c r="I149" s="20">
        <v>185</v>
      </c>
      <c r="J149" s="82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161</v>
      </c>
      <c r="C150" s="79">
        <f>+'19'!G150</f>
        <v>0</v>
      </c>
      <c r="D150" s="87">
        <v>0</v>
      </c>
      <c r="E150" s="47">
        <f t="shared" si="13"/>
        <v>0</v>
      </c>
      <c r="F150" s="87">
        <v>0</v>
      </c>
      <c r="G150" s="47">
        <f t="shared" si="11"/>
        <v>0</v>
      </c>
      <c r="H150" s="88"/>
      <c r="I150" s="20">
        <v>185</v>
      </c>
      <c r="J150" s="82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5.5" x14ac:dyDescent="0.55000000000000004">
      <c r="A151" s="10">
        <v>147</v>
      </c>
      <c r="B151" s="19" t="s">
        <v>279</v>
      </c>
      <c r="C151" s="79">
        <f>+'19'!G151</f>
        <v>0</v>
      </c>
      <c r="D151" s="87">
        <v>0</v>
      </c>
      <c r="E151" s="47">
        <f t="shared" si="13"/>
        <v>0</v>
      </c>
      <c r="F151" s="87">
        <v>0</v>
      </c>
      <c r="G151" s="47">
        <f t="shared" si="11"/>
        <v>0</v>
      </c>
      <c r="H151" s="88"/>
      <c r="I151" s="20">
        <v>150</v>
      </c>
      <c r="J151" s="82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280</v>
      </c>
      <c r="C152" s="79">
        <f>+'19'!G152</f>
        <v>1</v>
      </c>
      <c r="D152" s="87">
        <v>0</v>
      </c>
      <c r="E152" s="47">
        <f t="shared" si="13"/>
        <v>1</v>
      </c>
      <c r="F152" s="87">
        <v>0</v>
      </c>
      <c r="G152" s="47">
        <f t="shared" si="11"/>
        <v>1</v>
      </c>
      <c r="H152" s="88"/>
      <c r="I152" s="20">
        <v>150</v>
      </c>
      <c r="J152" s="82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5.5" x14ac:dyDescent="0.55000000000000004">
      <c r="A153" s="10">
        <v>149</v>
      </c>
      <c r="B153" s="19" t="s">
        <v>281</v>
      </c>
      <c r="C153" s="79">
        <f>+'19'!G153</f>
        <v>0</v>
      </c>
      <c r="D153" s="87">
        <v>0</v>
      </c>
      <c r="E153" s="47">
        <f t="shared" si="13"/>
        <v>0</v>
      </c>
      <c r="F153" s="87">
        <v>0</v>
      </c>
      <c r="G153" s="47">
        <f t="shared" si="11"/>
        <v>0</v>
      </c>
      <c r="H153" s="88"/>
      <c r="I153" s="20">
        <v>150</v>
      </c>
      <c r="J153" s="82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282</v>
      </c>
      <c r="C154" s="79">
        <f>+'19'!G154</f>
        <v>0</v>
      </c>
      <c r="D154" s="87">
        <v>0</v>
      </c>
      <c r="E154" s="47">
        <f t="shared" si="13"/>
        <v>0</v>
      </c>
      <c r="F154" s="87">
        <v>0</v>
      </c>
      <c r="G154" s="47">
        <f t="shared" si="11"/>
        <v>0</v>
      </c>
      <c r="H154" s="88"/>
      <c r="I154" s="20">
        <v>150</v>
      </c>
      <c r="J154" s="82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166</v>
      </c>
      <c r="C155" s="79">
        <f>+'19'!G155</f>
        <v>0</v>
      </c>
      <c r="D155" s="87">
        <v>0</v>
      </c>
      <c r="E155" s="47">
        <f t="shared" si="13"/>
        <v>0</v>
      </c>
      <c r="F155" s="87">
        <v>0</v>
      </c>
      <c r="G155" s="47">
        <f t="shared" si="11"/>
        <v>0</v>
      </c>
      <c r="H155" s="88"/>
      <c r="I155" s="20">
        <v>185</v>
      </c>
      <c r="J155" s="82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167</v>
      </c>
      <c r="C156" s="79">
        <f>+'19'!G156</f>
        <v>0</v>
      </c>
      <c r="D156" s="87">
        <v>0</v>
      </c>
      <c r="E156" s="47">
        <f t="shared" si="13"/>
        <v>0</v>
      </c>
      <c r="F156" s="87">
        <v>0</v>
      </c>
      <c r="G156" s="47">
        <f t="shared" si="11"/>
        <v>0</v>
      </c>
      <c r="H156" s="88"/>
      <c r="I156" s="20">
        <v>185</v>
      </c>
      <c r="J156" s="82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168</v>
      </c>
      <c r="C157" s="79">
        <f>+'19'!G157</f>
        <v>0</v>
      </c>
      <c r="D157" s="87">
        <v>0</v>
      </c>
      <c r="E157" s="47">
        <f t="shared" si="13"/>
        <v>0</v>
      </c>
      <c r="F157" s="87">
        <v>0</v>
      </c>
      <c r="G157" s="47">
        <f t="shared" si="11"/>
        <v>0</v>
      </c>
      <c r="H157" s="88"/>
      <c r="I157" s="20">
        <v>185</v>
      </c>
      <c r="J157" s="82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169</v>
      </c>
      <c r="C158" s="79">
        <f>+'19'!G158</f>
        <v>0</v>
      </c>
      <c r="D158" s="87">
        <v>0</v>
      </c>
      <c r="E158" s="47">
        <f t="shared" si="13"/>
        <v>0</v>
      </c>
      <c r="F158" s="87">
        <v>0</v>
      </c>
      <c r="G158" s="47">
        <f t="shared" si="11"/>
        <v>0</v>
      </c>
      <c r="H158" s="88"/>
      <c r="I158" s="20">
        <v>185</v>
      </c>
      <c r="J158" s="82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170</v>
      </c>
      <c r="C159" s="79">
        <f>+'19'!G159</f>
        <v>0</v>
      </c>
      <c r="D159" s="87">
        <v>0</v>
      </c>
      <c r="E159" s="47">
        <f t="shared" si="13"/>
        <v>0</v>
      </c>
      <c r="F159" s="87">
        <v>0</v>
      </c>
      <c r="G159" s="47">
        <f t="shared" si="11"/>
        <v>0</v>
      </c>
      <c r="H159" s="88"/>
      <c r="I159" s="20">
        <v>135</v>
      </c>
      <c r="J159" s="82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171</v>
      </c>
      <c r="C160" s="79">
        <f>+'19'!G160</f>
        <v>0</v>
      </c>
      <c r="D160" s="87">
        <v>0</v>
      </c>
      <c r="E160" s="47">
        <f t="shared" si="13"/>
        <v>0</v>
      </c>
      <c r="F160" s="87">
        <v>0</v>
      </c>
      <c r="G160" s="47">
        <f t="shared" si="11"/>
        <v>0</v>
      </c>
      <c r="H160" s="88"/>
      <c r="I160" s="20">
        <v>90</v>
      </c>
      <c r="J160" s="82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172</v>
      </c>
      <c r="C161" s="79">
        <f>+'19'!G161</f>
        <v>0</v>
      </c>
      <c r="D161" s="87">
        <v>0</v>
      </c>
      <c r="E161" s="47">
        <f t="shared" si="13"/>
        <v>0</v>
      </c>
      <c r="F161" s="87">
        <v>0</v>
      </c>
      <c r="G161" s="47">
        <f t="shared" si="11"/>
        <v>0</v>
      </c>
      <c r="H161" s="88"/>
      <c r="I161" s="20">
        <v>90</v>
      </c>
      <c r="J161" s="82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173</v>
      </c>
      <c r="C162" s="79">
        <f>+'19'!G162</f>
        <v>0</v>
      </c>
      <c r="D162" s="87">
        <v>0</v>
      </c>
      <c r="E162" s="47">
        <f t="shared" si="13"/>
        <v>0</v>
      </c>
      <c r="F162" s="87">
        <v>0</v>
      </c>
      <c r="G162" s="47">
        <f t="shared" si="11"/>
        <v>0</v>
      </c>
      <c r="H162" s="88"/>
      <c r="I162" s="20">
        <v>90</v>
      </c>
      <c r="J162" s="82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174</v>
      </c>
      <c r="C163" s="79">
        <f>+'19'!G163</f>
        <v>0</v>
      </c>
      <c r="D163" s="87">
        <v>0</v>
      </c>
      <c r="E163" s="47">
        <f t="shared" si="13"/>
        <v>0</v>
      </c>
      <c r="F163" s="87">
        <v>0</v>
      </c>
      <c r="G163" s="47">
        <f t="shared" si="11"/>
        <v>0</v>
      </c>
      <c r="H163" s="88"/>
      <c r="I163" s="20">
        <v>90</v>
      </c>
      <c r="J163" s="82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175</v>
      </c>
      <c r="C164" s="79">
        <f>+'19'!G164</f>
        <v>0</v>
      </c>
      <c r="D164" s="87">
        <v>0</v>
      </c>
      <c r="E164" s="47">
        <f t="shared" si="13"/>
        <v>0</v>
      </c>
      <c r="F164" s="87">
        <v>0</v>
      </c>
      <c r="G164" s="47">
        <f t="shared" si="11"/>
        <v>0</v>
      </c>
      <c r="H164" s="88"/>
      <c r="I164" s="20">
        <v>25</v>
      </c>
      <c r="J164" s="82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176</v>
      </c>
      <c r="C165" s="79">
        <f>+'19'!G165</f>
        <v>0</v>
      </c>
      <c r="D165" s="87">
        <v>0</v>
      </c>
      <c r="E165" s="47">
        <f t="shared" si="13"/>
        <v>0</v>
      </c>
      <c r="F165" s="87">
        <v>0</v>
      </c>
      <c r="G165" s="47">
        <f t="shared" ref="G165:G227" si="15">+E165-F165-H165</f>
        <v>0</v>
      </c>
      <c r="H165" s="88"/>
      <c r="I165" s="20">
        <v>50</v>
      </c>
      <c r="J165" s="82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177</v>
      </c>
      <c r="C166" s="79">
        <f>+'19'!G166</f>
        <v>0</v>
      </c>
      <c r="D166" s="87">
        <v>0</v>
      </c>
      <c r="E166" s="47">
        <f t="shared" si="13"/>
        <v>0</v>
      </c>
      <c r="F166" s="87">
        <v>0</v>
      </c>
      <c r="G166" s="47">
        <f t="shared" si="15"/>
        <v>0</v>
      </c>
      <c r="H166" s="88"/>
      <c r="I166" s="20">
        <v>50</v>
      </c>
      <c r="J166" s="82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178</v>
      </c>
      <c r="C167" s="79">
        <f>+'19'!G167</f>
        <v>0</v>
      </c>
      <c r="D167" s="87">
        <v>0</v>
      </c>
      <c r="E167" s="47">
        <f t="shared" si="13"/>
        <v>0</v>
      </c>
      <c r="F167" s="87">
        <v>0</v>
      </c>
      <c r="G167" s="47">
        <f t="shared" si="15"/>
        <v>0</v>
      </c>
      <c r="H167" s="88"/>
      <c r="I167" s="20">
        <v>50</v>
      </c>
      <c r="J167" s="82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179</v>
      </c>
      <c r="C168" s="79">
        <f>+'19'!G168</f>
        <v>0</v>
      </c>
      <c r="D168" s="87">
        <v>0</v>
      </c>
      <c r="E168" s="47">
        <f t="shared" si="13"/>
        <v>0</v>
      </c>
      <c r="F168" s="87">
        <v>0</v>
      </c>
      <c r="G168" s="47">
        <f t="shared" si="15"/>
        <v>0</v>
      </c>
      <c r="H168" s="88"/>
      <c r="I168" s="20">
        <v>50</v>
      </c>
      <c r="J168" s="82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180</v>
      </c>
      <c r="C169" s="79">
        <f>+'19'!G169</f>
        <v>40</v>
      </c>
      <c r="D169" s="87">
        <v>0</v>
      </c>
      <c r="E169" s="47">
        <f t="shared" si="13"/>
        <v>40</v>
      </c>
      <c r="F169" s="87">
        <v>0</v>
      </c>
      <c r="G169" s="47">
        <f t="shared" si="15"/>
        <v>40</v>
      </c>
      <c r="H169" s="88"/>
      <c r="I169" s="20">
        <v>55</v>
      </c>
      <c r="J169" s="82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181</v>
      </c>
      <c r="C170" s="79">
        <f>+'19'!G170</f>
        <v>0</v>
      </c>
      <c r="D170" s="87">
        <v>0</v>
      </c>
      <c r="E170" s="47">
        <f t="shared" si="13"/>
        <v>0</v>
      </c>
      <c r="F170" s="87">
        <v>0</v>
      </c>
      <c r="G170" s="47">
        <f t="shared" si="15"/>
        <v>0</v>
      </c>
      <c r="H170" s="88"/>
      <c r="I170" s="20">
        <v>85</v>
      </c>
      <c r="J170" s="82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182</v>
      </c>
      <c r="C171" s="79">
        <f>+'19'!G171</f>
        <v>5</v>
      </c>
      <c r="D171" s="87">
        <v>0</v>
      </c>
      <c r="E171" s="47">
        <f t="shared" si="13"/>
        <v>5</v>
      </c>
      <c r="F171" s="87">
        <v>0</v>
      </c>
      <c r="G171" s="47">
        <f t="shared" si="15"/>
        <v>5</v>
      </c>
      <c r="H171" s="88"/>
      <c r="I171" s="20">
        <v>80</v>
      </c>
      <c r="J171" s="82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183</v>
      </c>
      <c r="C172" s="79">
        <f>+'19'!G172</f>
        <v>0</v>
      </c>
      <c r="D172" s="87">
        <v>0</v>
      </c>
      <c r="E172" s="47">
        <f t="shared" si="13"/>
        <v>0</v>
      </c>
      <c r="F172" s="87">
        <v>0</v>
      </c>
      <c r="G172" s="47">
        <f t="shared" si="15"/>
        <v>0</v>
      </c>
      <c r="H172" s="88"/>
      <c r="I172" s="20">
        <v>40</v>
      </c>
      <c r="J172" s="82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184</v>
      </c>
      <c r="C173" s="79">
        <f>+'19'!G173</f>
        <v>0</v>
      </c>
      <c r="D173" s="87">
        <v>0</v>
      </c>
      <c r="E173" s="47">
        <f t="shared" si="13"/>
        <v>0</v>
      </c>
      <c r="F173" s="87">
        <v>0</v>
      </c>
      <c r="G173" s="47">
        <f t="shared" si="15"/>
        <v>0</v>
      </c>
      <c r="H173" s="88"/>
      <c r="I173" s="20">
        <v>120</v>
      </c>
      <c r="J173" s="82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185</v>
      </c>
      <c r="C174" s="79">
        <f>+'19'!G174</f>
        <v>0</v>
      </c>
      <c r="D174" s="87">
        <v>0</v>
      </c>
      <c r="E174" s="47">
        <f t="shared" si="13"/>
        <v>0</v>
      </c>
      <c r="F174" s="87">
        <v>0</v>
      </c>
      <c r="G174" s="47">
        <f t="shared" si="15"/>
        <v>0</v>
      </c>
      <c r="H174" s="88"/>
      <c r="I174" s="20">
        <v>120</v>
      </c>
      <c r="J174" s="82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186</v>
      </c>
      <c r="C175" s="79">
        <f>+'19'!G175</f>
        <v>0</v>
      </c>
      <c r="D175" s="87">
        <v>0</v>
      </c>
      <c r="E175" s="47">
        <f t="shared" si="13"/>
        <v>0</v>
      </c>
      <c r="F175" s="87">
        <v>0</v>
      </c>
      <c r="G175" s="47">
        <f t="shared" si="15"/>
        <v>0</v>
      </c>
      <c r="H175" s="88"/>
      <c r="I175" s="20">
        <v>55</v>
      </c>
      <c r="J175" s="82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187</v>
      </c>
      <c r="C176" s="79">
        <f>+'19'!G176</f>
        <v>0</v>
      </c>
      <c r="D176" s="87">
        <v>0</v>
      </c>
      <c r="E176" s="47">
        <f t="shared" si="13"/>
        <v>0</v>
      </c>
      <c r="F176" s="87">
        <v>0</v>
      </c>
      <c r="G176" s="47">
        <f t="shared" si="15"/>
        <v>0</v>
      </c>
      <c r="H176" s="88"/>
      <c r="I176" s="20">
        <v>50</v>
      </c>
      <c r="J176" s="82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188</v>
      </c>
      <c r="C177" s="79">
        <f>+'19'!G177</f>
        <v>0</v>
      </c>
      <c r="D177" s="87">
        <v>0</v>
      </c>
      <c r="E177" s="47">
        <f t="shared" si="13"/>
        <v>0</v>
      </c>
      <c r="F177" s="87">
        <v>0</v>
      </c>
      <c r="G177" s="47">
        <f t="shared" si="15"/>
        <v>0</v>
      </c>
      <c r="H177" s="88"/>
      <c r="I177" s="20">
        <v>50</v>
      </c>
      <c r="J177" s="82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189</v>
      </c>
      <c r="C178" s="79">
        <f>+'19'!G178</f>
        <v>0</v>
      </c>
      <c r="D178" s="87">
        <v>0</v>
      </c>
      <c r="E178" s="47">
        <f t="shared" si="13"/>
        <v>0</v>
      </c>
      <c r="F178" s="87">
        <v>0</v>
      </c>
      <c r="G178" s="47">
        <f t="shared" si="15"/>
        <v>0</v>
      </c>
      <c r="H178" s="88"/>
      <c r="I178" s="20">
        <v>120</v>
      </c>
      <c r="J178" s="82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190</v>
      </c>
      <c r="C179" s="79">
        <f>+'19'!G179</f>
        <v>4</v>
      </c>
      <c r="D179" s="87">
        <v>0</v>
      </c>
      <c r="E179" s="47">
        <f t="shared" si="13"/>
        <v>4</v>
      </c>
      <c r="F179" s="87">
        <v>0</v>
      </c>
      <c r="G179" s="47">
        <f t="shared" si="15"/>
        <v>2</v>
      </c>
      <c r="H179" s="88">
        <v>2</v>
      </c>
      <c r="I179" s="20">
        <v>120</v>
      </c>
      <c r="J179" s="82">
        <f t="shared" si="16"/>
        <v>240</v>
      </c>
      <c r="K179" s="17" t="s">
        <v>16</v>
      </c>
      <c r="L179" s="18">
        <v>0</v>
      </c>
      <c r="M179" s="23">
        <f t="shared" si="14"/>
        <v>240</v>
      </c>
    </row>
    <row r="180" spans="1:13" ht="25.5" x14ac:dyDescent="0.55000000000000004">
      <c r="A180" s="10">
        <v>176</v>
      </c>
      <c r="B180" s="19" t="s">
        <v>191</v>
      </c>
      <c r="C180" s="79">
        <f>+'19'!G180</f>
        <v>0</v>
      </c>
      <c r="D180" s="87">
        <v>0</v>
      </c>
      <c r="E180" s="47">
        <f t="shared" si="13"/>
        <v>0</v>
      </c>
      <c r="F180" s="87">
        <v>0</v>
      </c>
      <c r="G180" s="47">
        <f t="shared" si="15"/>
        <v>0</v>
      </c>
      <c r="H180" s="88"/>
      <c r="I180" s="20">
        <v>10</v>
      </c>
      <c r="J180" s="82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192</v>
      </c>
      <c r="C181" s="79">
        <f>+'19'!G181</f>
        <v>0</v>
      </c>
      <c r="D181" s="87">
        <v>0</v>
      </c>
      <c r="E181" s="47">
        <f t="shared" si="13"/>
        <v>0</v>
      </c>
      <c r="F181" s="87">
        <v>0</v>
      </c>
      <c r="G181" s="47">
        <f t="shared" si="15"/>
        <v>0</v>
      </c>
      <c r="H181" s="88"/>
      <c r="I181" s="20">
        <v>35</v>
      </c>
      <c r="J181" s="82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193</v>
      </c>
      <c r="C182" s="79">
        <f>+'19'!G182</f>
        <v>0</v>
      </c>
      <c r="D182" s="87">
        <v>0</v>
      </c>
      <c r="E182" s="47">
        <f t="shared" si="13"/>
        <v>0</v>
      </c>
      <c r="F182" s="87">
        <v>0</v>
      </c>
      <c r="G182" s="47">
        <f t="shared" si="15"/>
        <v>0</v>
      </c>
      <c r="H182" s="88"/>
      <c r="I182" s="20">
        <v>10</v>
      </c>
      <c r="J182" s="82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194</v>
      </c>
      <c r="C183" s="79">
        <f>+'19'!G183</f>
        <v>0</v>
      </c>
      <c r="D183" s="87">
        <v>0</v>
      </c>
      <c r="E183" s="47">
        <f t="shared" si="13"/>
        <v>0</v>
      </c>
      <c r="F183" s="87">
        <v>0</v>
      </c>
      <c r="G183" s="47">
        <f t="shared" si="15"/>
        <v>0</v>
      </c>
      <c r="H183" s="88"/>
      <c r="I183" s="20">
        <v>10</v>
      </c>
      <c r="J183" s="82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195</v>
      </c>
      <c r="C184" s="79">
        <f>+'19'!G184</f>
        <v>0</v>
      </c>
      <c r="D184" s="87">
        <v>0</v>
      </c>
      <c r="E184" s="47">
        <f t="shared" si="13"/>
        <v>0</v>
      </c>
      <c r="F184" s="87">
        <v>0</v>
      </c>
      <c r="G184" s="47">
        <f t="shared" si="15"/>
        <v>0</v>
      </c>
      <c r="H184" s="88"/>
      <c r="I184" s="20">
        <v>10</v>
      </c>
      <c r="J184" s="82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196</v>
      </c>
      <c r="C185" s="79">
        <f>+'19'!G185</f>
        <v>0</v>
      </c>
      <c r="D185" s="87">
        <v>0</v>
      </c>
      <c r="E185" s="47">
        <f t="shared" si="13"/>
        <v>0</v>
      </c>
      <c r="F185" s="87">
        <v>0</v>
      </c>
      <c r="G185" s="47">
        <f t="shared" si="15"/>
        <v>0</v>
      </c>
      <c r="H185" s="88"/>
      <c r="I185" s="20">
        <v>10</v>
      </c>
      <c r="J185" s="82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197</v>
      </c>
      <c r="C186" s="79">
        <f>+'19'!G186</f>
        <v>0</v>
      </c>
      <c r="D186" s="87">
        <v>0</v>
      </c>
      <c r="E186" s="47">
        <f t="shared" si="13"/>
        <v>0</v>
      </c>
      <c r="F186" s="87">
        <v>0</v>
      </c>
      <c r="G186" s="47">
        <f t="shared" si="15"/>
        <v>0</v>
      </c>
      <c r="H186" s="88"/>
      <c r="I186" s="20">
        <v>10</v>
      </c>
      <c r="J186" s="82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198</v>
      </c>
      <c r="C187" s="79">
        <f>+'19'!G187</f>
        <v>0</v>
      </c>
      <c r="D187" s="87">
        <v>0</v>
      </c>
      <c r="E187" s="47">
        <f t="shared" si="13"/>
        <v>0</v>
      </c>
      <c r="F187" s="87">
        <v>0</v>
      </c>
      <c r="G187" s="47">
        <f t="shared" si="15"/>
        <v>0</v>
      </c>
      <c r="H187" s="88"/>
      <c r="I187" s="20">
        <v>25</v>
      </c>
      <c r="J187" s="82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249</v>
      </c>
      <c r="C188" s="79">
        <f>+'19'!G188</f>
        <v>0</v>
      </c>
      <c r="D188" s="87">
        <v>0</v>
      </c>
      <c r="E188" s="47">
        <f t="shared" si="13"/>
        <v>0</v>
      </c>
      <c r="F188" s="87">
        <v>0</v>
      </c>
      <c r="G188" s="47">
        <f t="shared" si="15"/>
        <v>0</v>
      </c>
      <c r="H188" s="88"/>
      <c r="I188" s="15">
        <v>50</v>
      </c>
      <c r="J188" s="82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250</v>
      </c>
      <c r="C189" s="79">
        <f>+'19'!G189</f>
        <v>0</v>
      </c>
      <c r="D189" s="87">
        <v>0</v>
      </c>
      <c r="E189" s="47">
        <f t="shared" si="13"/>
        <v>0</v>
      </c>
      <c r="F189" s="87">
        <v>0</v>
      </c>
      <c r="G189" s="47">
        <f t="shared" si="15"/>
        <v>0</v>
      </c>
      <c r="H189" s="88"/>
      <c r="I189" s="15">
        <v>10</v>
      </c>
      <c r="J189" s="82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251</v>
      </c>
      <c r="C190" s="79">
        <f>+'19'!G190</f>
        <v>0</v>
      </c>
      <c r="D190" s="87">
        <v>0</v>
      </c>
      <c r="E190" s="47">
        <f t="shared" ref="E190:E252" si="17">C190+D190</f>
        <v>0</v>
      </c>
      <c r="F190" s="87">
        <v>0</v>
      </c>
      <c r="G190" s="47">
        <f t="shared" si="15"/>
        <v>0</v>
      </c>
      <c r="H190" s="88"/>
      <c r="I190" s="15">
        <v>15</v>
      </c>
      <c r="J190" s="82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252</v>
      </c>
      <c r="C191" s="79">
        <f>+'19'!G191</f>
        <v>0</v>
      </c>
      <c r="D191" s="87">
        <v>0</v>
      </c>
      <c r="E191" s="47">
        <f t="shared" si="17"/>
        <v>0</v>
      </c>
      <c r="F191" s="87">
        <v>0</v>
      </c>
      <c r="G191" s="47">
        <f t="shared" si="15"/>
        <v>0</v>
      </c>
      <c r="H191" s="88"/>
      <c r="I191" s="15">
        <v>25</v>
      </c>
      <c r="J191" s="82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253</v>
      </c>
      <c r="C192" s="79">
        <f>+'19'!G192</f>
        <v>0</v>
      </c>
      <c r="D192" s="87">
        <v>0</v>
      </c>
      <c r="E192" s="47">
        <f t="shared" si="17"/>
        <v>0</v>
      </c>
      <c r="F192" s="87">
        <v>0</v>
      </c>
      <c r="G192" s="47">
        <f t="shared" si="15"/>
        <v>0</v>
      </c>
      <c r="H192" s="88"/>
      <c r="I192" s="15">
        <v>50</v>
      </c>
      <c r="J192" s="82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254</v>
      </c>
      <c r="C193" s="79">
        <f>+'19'!G193</f>
        <v>0</v>
      </c>
      <c r="D193" s="87">
        <v>0</v>
      </c>
      <c r="E193" s="47">
        <f t="shared" si="17"/>
        <v>0</v>
      </c>
      <c r="F193" s="87">
        <v>0</v>
      </c>
      <c r="G193" s="47">
        <f t="shared" si="15"/>
        <v>0</v>
      </c>
      <c r="H193" s="88"/>
      <c r="I193" s="15">
        <v>45</v>
      </c>
      <c r="J193" s="82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255</v>
      </c>
      <c r="C194" s="79">
        <f>+'19'!G194</f>
        <v>0</v>
      </c>
      <c r="D194" s="87">
        <v>0</v>
      </c>
      <c r="E194" s="47">
        <f t="shared" si="17"/>
        <v>0</v>
      </c>
      <c r="F194" s="87">
        <v>0</v>
      </c>
      <c r="G194" s="47">
        <f t="shared" si="15"/>
        <v>0</v>
      </c>
      <c r="H194" s="88"/>
      <c r="I194" s="15">
        <v>50</v>
      </c>
      <c r="J194" s="82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199</v>
      </c>
      <c r="C195" s="79">
        <f>+'19'!G195</f>
        <v>0</v>
      </c>
      <c r="D195" s="87">
        <v>0</v>
      </c>
      <c r="E195" s="47">
        <f t="shared" si="17"/>
        <v>0</v>
      </c>
      <c r="F195" s="87">
        <v>0</v>
      </c>
      <c r="G195" s="47">
        <f t="shared" si="15"/>
        <v>0</v>
      </c>
      <c r="H195" s="88"/>
      <c r="I195" s="15">
        <v>150</v>
      </c>
      <c r="J195" s="82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200</v>
      </c>
      <c r="C196" s="79">
        <f>+'19'!G196</f>
        <v>0</v>
      </c>
      <c r="D196" s="87">
        <v>0</v>
      </c>
      <c r="E196" s="47">
        <f t="shared" si="17"/>
        <v>0</v>
      </c>
      <c r="F196" s="87">
        <v>0</v>
      </c>
      <c r="G196" s="47">
        <f t="shared" si="15"/>
        <v>0</v>
      </c>
      <c r="H196" s="88"/>
      <c r="I196" s="15">
        <v>150</v>
      </c>
      <c r="J196" s="82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201</v>
      </c>
      <c r="C197" s="79">
        <f>+'19'!G197</f>
        <v>0</v>
      </c>
      <c r="D197" s="87">
        <v>0</v>
      </c>
      <c r="E197" s="47">
        <f t="shared" si="17"/>
        <v>0</v>
      </c>
      <c r="F197" s="87">
        <v>0</v>
      </c>
      <c r="G197" s="47">
        <f t="shared" si="15"/>
        <v>0</v>
      </c>
      <c r="H197" s="88"/>
      <c r="I197" s="15">
        <v>150</v>
      </c>
      <c r="J197" s="82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256</v>
      </c>
      <c r="C198" s="79">
        <f>+'19'!G198</f>
        <v>0</v>
      </c>
      <c r="D198" s="87">
        <v>0</v>
      </c>
      <c r="E198" s="47">
        <f t="shared" si="17"/>
        <v>0</v>
      </c>
      <c r="F198" s="87">
        <v>0</v>
      </c>
      <c r="G198" s="47">
        <f t="shared" si="15"/>
        <v>0</v>
      </c>
      <c r="H198" s="88"/>
      <c r="I198" s="15">
        <v>55</v>
      </c>
      <c r="J198" s="82">
        <f t="shared" si="16"/>
        <v>0</v>
      </c>
      <c r="K198" s="17" t="s">
        <v>16</v>
      </c>
      <c r="L198" s="18">
        <v>0</v>
      </c>
      <c r="M198" s="23">
        <f t="shared" si="14"/>
        <v>0</v>
      </c>
    </row>
    <row r="199" spans="1:13" ht="25.5" x14ac:dyDescent="0.55000000000000004">
      <c r="A199" s="10">
        <v>195</v>
      </c>
      <c r="B199" s="19" t="s">
        <v>257</v>
      </c>
      <c r="C199" s="79">
        <f>+'19'!G199</f>
        <v>0</v>
      </c>
      <c r="D199" s="87">
        <v>0</v>
      </c>
      <c r="E199" s="47">
        <f t="shared" si="17"/>
        <v>0</v>
      </c>
      <c r="F199" s="87">
        <v>0</v>
      </c>
      <c r="G199" s="47">
        <f t="shared" si="15"/>
        <v>0</v>
      </c>
      <c r="H199" s="88"/>
      <c r="I199" s="15">
        <v>30</v>
      </c>
      <c r="J199" s="82">
        <f t="shared" si="16"/>
        <v>0</v>
      </c>
      <c r="K199" s="17" t="s">
        <v>16</v>
      </c>
      <c r="L199" s="18">
        <v>0</v>
      </c>
      <c r="M199" s="23">
        <f t="shared" ref="M199:M254" si="18">SUM(J199-L199)</f>
        <v>0</v>
      </c>
    </row>
    <row r="200" spans="1:13" ht="25.5" x14ac:dyDescent="0.55000000000000004">
      <c r="A200" s="10">
        <v>196</v>
      </c>
      <c r="B200" s="19" t="s">
        <v>258</v>
      </c>
      <c r="C200" s="79">
        <f>+'19'!G200</f>
        <v>0</v>
      </c>
      <c r="D200" s="87">
        <v>0</v>
      </c>
      <c r="E200" s="47">
        <f t="shared" si="17"/>
        <v>0</v>
      </c>
      <c r="F200" s="87">
        <v>0</v>
      </c>
      <c r="G200" s="47">
        <f t="shared" si="15"/>
        <v>0</v>
      </c>
      <c r="H200" s="88"/>
      <c r="I200" s="15">
        <v>30</v>
      </c>
      <c r="J200" s="82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259</v>
      </c>
      <c r="C201" s="79">
        <f>+'19'!G201</f>
        <v>0</v>
      </c>
      <c r="D201" s="87">
        <v>0</v>
      </c>
      <c r="E201" s="47">
        <f t="shared" si="17"/>
        <v>0</v>
      </c>
      <c r="F201" s="87">
        <v>0</v>
      </c>
      <c r="G201" s="47">
        <f t="shared" si="15"/>
        <v>0</v>
      </c>
      <c r="H201" s="88"/>
      <c r="I201" s="15">
        <v>30</v>
      </c>
      <c r="J201" s="82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260</v>
      </c>
      <c r="C202" s="79">
        <f>+'19'!G202</f>
        <v>0</v>
      </c>
      <c r="D202" s="87">
        <v>0</v>
      </c>
      <c r="E202" s="47">
        <f t="shared" si="17"/>
        <v>0</v>
      </c>
      <c r="F202" s="87">
        <v>0</v>
      </c>
      <c r="G202" s="47">
        <f t="shared" si="15"/>
        <v>0</v>
      </c>
      <c r="H202" s="88"/>
      <c r="I202" s="15">
        <v>30</v>
      </c>
      <c r="J202" s="82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1" t="s">
        <v>261</v>
      </c>
      <c r="C203" s="79">
        <f>+'19'!G203</f>
        <v>0</v>
      </c>
      <c r="D203" s="87">
        <v>0</v>
      </c>
      <c r="E203" s="47">
        <f t="shared" si="17"/>
        <v>0</v>
      </c>
      <c r="F203" s="87">
        <v>0</v>
      </c>
      <c r="G203" s="47">
        <f t="shared" si="15"/>
        <v>0</v>
      </c>
      <c r="H203" s="88"/>
      <c r="I203" s="20">
        <v>30</v>
      </c>
      <c r="J203" s="82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1" t="s">
        <v>262</v>
      </c>
      <c r="C204" s="79">
        <f>+'19'!G204</f>
        <v>0</v>
      </c>
      <c r="D204" s="87">
        <v>0</v>
      </c>
      <c r="E204" s="47">
        <f t="shared" si="17"/>
        <v>0</v>
      </c>
      <c r="F204" s="87">
        <v>0</v>
      </c>
      <c r="G204" s="47">
        <f t="shared" si="15"/>
        <v>0</v>
      </c>
      <c r="H204" s="88"/>
      <c r="I204" s="20">
        <v>30</v>
      </c>
      <c r="J204" s="82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1" t="s">
        <v>263</v>
      </c>
      <c r="C205" s="79">
        <f>+'19'!G205</f>
        <v>0</v>
      </c>
      <c r="D205" s="87">
        <v>0</v>
      </c>
      <c r="E205" s="47">
        <f t="shared" si="17"/>
        <v>0</v>
      </c>
      <c r="F205" s="87">
        <v>0</v>
      </c>
      <c r="G205" s="47">
        <f t="shared" si="15"/>
        <v>0</v>
      </c>
      <c r="H205" s="88"/>
      <c r="I205" s="20">
        <v>50</v>
      </c>
      <c r="J205" s="82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1" t="s">
        <v>264</v>
      </c>
      <c r="C206" s="79">
        <f>+'19'!G206</f>
        <v>0</v>
      </c>
      <c r="D206" s="87">
        <v>0</v>
      </c>
      <c r="E206" s="47">
        <f t="shared" si="17"/>
        <v>0</v>
      </c>
      <c r="F206" s="87">
        <v>0</v>
      </c>
      <c r="G206" s="47">
        <f t="shared" si="15"/>
        <v>0</v>
      </c>
      <c r="H206" s="88"/>
      <c r="I206" s="20">
        <v>100</v>
      </c>
      <c r="J206" s="82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1" t="s">
        <v>265</v>
      </c>
      <c r="C207" s="79">
        <f>+'19'!G207</f>
        <v>0</v>
      </c>
      <c r="D207" s="87">
        <v>0</v>
      </c>
      <c r="E207" s="47">
        <f t="shared" si="17"/>
        <v>0</v>
      </c>
      <c r="F207" s="87">
        <v>0</v>
      </c>
      <c r="G207" s="47">
        <f t="shared" si="15"/>
        <v>0</v>
      </c>
      <c r="H207" s="88"/>
      <c r="I207" s="20">
        <v>100</v>
      </c>
      <c r="J207" s="82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1" t="s">
        <v>266</v>
      </c>
      <c r="C208" s="79">
        <f>+'19'!G208</f>
        <v>0</v>
      </c>
      <c r="D208" s="87">
        <v>0</v>
      </c>
      <c r="E208" s="47">
        <f t="shared" si="17"/>
        <v>0</v>
      </c>
      <c r="F208" s="87">
        <v>0</v>
      </c>
      <c r="G208" s="47">
        <f t="shared" si="15"/>
        <v>0</v>
      </c>
      <c r="H208" s="88"/>
      <c r="I208" s="20">
        <v>100</v>
      </c>
      <c r="J208" s="82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1" t="s">
        <v>267</v>
      </c>
      <c r="C209" s="79">
        <f>+'19'!G209</f>
        <v>0</v>
      </c>
      <c r="D209" s="87">
        <v>0</v>
      </c>
      <c r="E209" s="47">
        <f t="shared" si="17"/>
        <v>0</v>
      </c>
      <c r="F209" s="87">
        <v>0</v>
      </c>
      <c r="G209" s="47">
        <f t="shared" si="15"/>
        <v>0</v>
      </c>
      <c r="H209" s="88"/>
      <c r="I209" s="20">
        <v>100</v>
      </c>
      <c r="J209" s="82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1" t="s">
        <v>268</v>
      </c>
      <c r="C210" s="79">
        <f>+'19'!G210</f>
        <v>0</v>
      </c>
      <c r="D210" s="87">
        <v>0</v>
      </c>
      <c r="E210" s="47">
        <f t="shared" si="17"/>
        <v>0</v>
      </c>
      <c r="F210" s="87">
        <v>0</v>
      </c>
      <c r="G210" s="47">
        <f t="shared" si="15"/>
        <v>0</v>
      </c>
      <c r="H210" s="88"/>
      <c r="I210" s="20">
        <v>250</v>
      </c>
      <c r="J210" s="82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1" t="s">
        <v>269</v>
      </c>
      <c r="C211" s="79">
        <f>+'19'!G211</f>
        <v>0</v>
      </c>
      <c r="D211" s="87">
        <v>0</v>
      </c>
      <c r="E211" s="47">
        <f t="shared" si="17"/>
        <v>0</v>
      </c>
      <c r="F211" s="87">
        <v>0</v>
      </c>
      <c r="G211" s="47">
        <f t="shared" si="15"/>
        <v>0</v>
      </c>
      <c r="H211" s="88"/>
      <c r="I211" s="20">
        <v>250</v>
      </c>
      <c r="J211" s="82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1" t="s">
        <v>270</v>
      </c>
      <c r="C212" s="79">
        <f>+'19'!G212</f>
        <v>0</v>
      </c>
      <c r="D212" s="87">
        <v>0</v>
      </c>
      <c r="E212" s="47">
        <f t="shared" si="17"/>
        <v>0</v>
      </c>
      <c r="F212" s="87">
        <v>0</v>
      </c>
      <c r="G212" s="47">
        <f t="shared" si="15"/>
        <v>0</v>
      </c>
      <c r="H212" s="88"/>
      <c r="I212" s="20">
        <v>250</v>
      </c>
      <c r="J212" s="82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1" t="s">
        <v>271</v>
      </c>
      <c r="C213" s="79">
        <f>+'19'!G213</f>
        <v>0</v>
      </c>
      <c r="D213" s="87">
        <v>0</v>
      </c>
      <c r="E213" s="47">
        <f t="shared" si="17"/>
        <v>0</v>
      </c>
      <c r="F213" s="87">
        <v>0</v>
      </c>
      <c r="G213" s="47">
        <f t="shared" si="15"/>
        <v>0</v>
      </c>
      <c r="H213" s="88"/>
      <c r="I213" s="20">
        <v>50</v>
      </c>
      <c r="J213" s="82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1" t="s">
        <v>273</v>
      </c>
      <c r="C214" s="79">
        <f>+'19'!G214</f>
        <v>0</v>
      </c>
      <c r="D214" s="87">
        <v>0</v>
      </c>
      <c r="E214" s="47">
        <f t="shared" si="17"/>
        <v>0</v>
      </c>
      <c r="F214" s="87">
        <v>0</v>
      </c>
      <c r="G214" s="47">
        <f t="shared" si="15"/>
        <v>0</v>
      </c>
      <c r="H214" s="88"/>
      <c r="I214" s="20">
        <v>50</v>
      </c>
      <c r="J214" s="82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1" t="s">
        <v>274</v>
      </c>
      <c r="C215" s="79">
        <f>+'19'!G215</f>
        <v>0</v>
      </c>
      <c r="D215" s="87">
        <v>0</v>
      </c>
      <c r="E215" s="47">
        <f t="shared" si="17"/>
        <v>0</v>
      </c>
      <c r="F215" s="87">
        <v>0</v>
      </c>
      <c r="G215" s="47">
        <f t="shared" si="15"/>
        <v>0</v>
      </c>
      <c r="H215" s="88"/>
      <c r="I215" s="20">
        <v>50</v>
      </c>
      <c r="J215" s="82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1" t="s">
        <v>242</v>
      </c>
      <c r="C216" s="79">
        <f>+'19'!G216</f>
        <v>0</v>
      </c>
      <c r="D216" s="87">
        <v>0</v>
      </c>
      <c r="E216" s="47">
        <f t="shared" si="17"/>
        <v>0</v>
      </c>
      <c r="F216" s="87">
        <v>0</v>
      </c>
      <c r="G216" s="47">
        <f t="shared" si="15"/>
        <v>0</v>
      </c>
      <c r="H216" s="88"/>
      <c r="I216" s="20">
        <v>35</v>
      </c>
      <c r="J216" s="82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1" t="s">
        <v>275</v>
      </c>
      <c r="C217" s="79">
        <f>+'19'!G217</f>
        <v>0</v>
      </c>
      <c r="D217" s="87">
        <v>0</v>
      </c>
      <c r="E217" s="47">
        <f t="shared" si="17"/>
        <v>0</v>
      </c>
      <c r="F217" s="87">
        <v>0</v>
      </c>
      <c r="G217" s="47">
        <f t="shared" si="15"/>
        <v>0</v>
      </c>
      <c r="H217" s="88"/>
      <c r="I217" s="20">
        <v>199</v>
      </c>
      <c r="J217" s="82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1" t="s">
        <v>283</v>
      </c>
      <c r="C218" s="79"/>
      <c r="D218" s="87">
        <v>0</v>
      </c>
      <c r="E218" s="47">
        <f t="shared" si="17"/>
        <v>0</v>
      </c>
      <c r="F218" s="87">
        <v>0</v>
      </c>
      <c r="G218" s="47">
        <f t="shared" si="15"/>
        <v>0</v>
      </c>
      <c r="H218" s="88"/>
      <c r="I218" s="20">
        <v>25</v>
      </c>
      <c r="J218" s="82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1" t="s">
        <v>284</v>
      </c>
      <c r="C219" s="79"/>
      <c r="D219" s="87">
        <v>0</v>
      </c>
      <c r="E219" s="47">
        <f t="shared" si="17"/>
        <v>0</v>
      </c>
      <c r="F219" s="87">
        <v>0</v>
      </c>
      <c r="G219" s="47">
        <f t="shared" si="15"/>
        <v>0</v>
      </c>
      <c r="H219" s="88"/>
      <c r="I219" s="20">
        <v>25</v>
      </c>
      <c r="J219" s="82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1" t="s">
        <v>314</v>
      </c>
      <c r="C220" s="79">
        <f>+'19'!G220</f>
        <v>0</v>
      </c>
      <c r="D220" s="87">
        <v>0</v>
      </c>
      <c r="E220" s="47">
        <f t="shared" si="17"/>
        <v>0</v>
      </c>
      <c r="F220" s="87">
        <v>0</v>
      </c>
      <c r="G220" s="47">
        <f t="shared" si="15"/>
        <v>0</v>
      </c>
      <c r="H220" s="88"/>
      <c r="I220" s="20">
        <v>35</v>
      </c>
      <c r="J220" s="82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1" t="s">
        <v>326</v>
      </c>
      <c r="C221" s="79">
        <f>+'19'!G221</f>
        <v>1</v>
      </c>
      <c r="D221" s="87">
        <v>0</v>
      </c>
      <c r="E221" s="47">
        <f t="shared" si="17"/>
        <v>1</v>
      </c>
      <c r="F221" s="87">
        <v>0</v>
      </c>
      <c r="G221" s="47">
        <f t="shared" si="15"/>
        <v>1</v>
      </c>
      <c r="H221" s="88"/>
      <c r="I221" s="20">
        <v>55</v>
      </c>
      <c r="J221" s="82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1" t="s">
        <v>327</v>
      </c>
      <c r="C222" s="79">
        <f>+'19'!G222</f>
        <v>0</v>
      </c>
      <c r="D222" s="87">
        <v>0</v>
      </c>
      <c r="E222" s="47">
        <f t="shared" si="17"/>
        <v>0</v>
      </c>
      <c r="F222" s="87">
        <v>0</v>
      </c>
      <c r="G222" s="47">
        <f t="shared" si="15"/>
        <v>0</v>
      </c>
      <c r="H222" s="88"/>
      <c r="I222" s="20">
        <v>40</v>
      </c>
      <c r="J222" s="82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1"/>
      <c r="C223" s="79">
        <f>+'19'!G223</f>
        <v>0</v>
      </c>
      <c r="D223" s="87">
        <v>0</v>
      </c>
      <c r="E223" s="47">
        <f t="shared" si="17"/>
        <v>0</v>
      </c>
      <c r="F223" s="87">
        <v>0</v>
      </c>
      <c r="G223" s="47">
        <f t="shared" si="15"/>
        <v>0</v>
      </c>
      <c r="H223" s="88"/>
      <c r="I223" s="20"/>
      <c r="J223" s="82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1"/>
      <c r="C224" s="79">
        <f>+'19'!G224</f>
        <v>0</v>
      </c>
      <c r="D224" s="87">
        <v>0</v>
      </c>
      <c r="E224" s="47">
        <f t="shared" si="17"/>
        <v>0</v>
      </c>
      <c r="F224" s="87">
        <v>0</v>
      </c>
      <c r="G224" s="47">
        <f t="shared" si="15"/>
        <v>0</v>
      </c>
      <c r="H224" s="88"/>
      <c r="I224" s="20"/>
      <c r="J224" s="82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1"/>
      <c r="C225" s="79">
        <f>+'19'!G225</f>
        <v>0</v>
      </c>
      <c r="D225" s="87">
        <v>0</v>
      </c>
      <c r="E225" s="47">
        <f t="shared" si="17"/>
        <v>0</v>
      </c>
      <c r="F225" s="87">
        <v>0</v>
      </c>
      <c r="G225" s="47">
        <f t="shared" si="15"/>
        <v>0</v>
      </c>
      <c r="H225" s="88"/>
      <c r="I225" s="20"/>
      <c r="J225" s="82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1"/>
      <c r="C226" s="79">
        <f>+'19'!G226</f>
        <v>0</v>
      </c>
      <c r="D226" s="87">
        <v>0</v>
      </c>
      <c r="E226" s="47">
        <f t="shared" si="17"/>
        <v>0</v>
      </c>
      <c r="F226" s="87">
        <v>0</v>
      </c>
      <c r="G226" s="47">
        <f t="shared" si="15"/>
        <v>0</v>
      </c>
      <c r="H226" s="88"/>
      <c r="I226" s="20"/>
      <c r="J226" s="82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1"/>
      <c r="C227" s="79">
        <f>+'19'!G227</f>
        <v>0</v>
      </c>
      <c r="D227" s="87">
        <v>0</v>
      </c>
      <c r="E227" s="47">
        <f t="shared" si="17"/>
        <v>0</v>
      </c>
      <c r="F227" s="87">
        <v>0</v>
      </c>
      <c r="G227" s="47">
        <f t="shared" si="15"/>
        <v>0</v>
      </c>
      <c r="H227" s="88"/>
      <c r="I227" s="20"/>
      <c r="J227" s="82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1"/>
      <c r="C228" s="79">
        <f>+'19'!G228</f>
        <v>0</v>
      </c>
      <c r="D228" s="87">
        <v>0</v>
      </c>
      <c r="E228" s="47">
        <f t="shared" si="17"/>
        <v>0</v>
      </c>
      <c r="F228" s="87">
        <v>0</v>
      </c>
      <c r="G228" s="47">
        <f t="shared" ref="G228:G254" si="19">+E228-F228-H228</f>
        <v>0</v>
      </c>
      <c r="H228" s="88"/>
      <c r="I228" s="20"/>
      <c r="J228" s="82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1"/>
      <c r="C229" s="79">
        <f>+'19'!G229</f>
        <v>0</v>
      </c>
      <c r="D229" s="87">
        <v>0</v>
      </c>
      <c r="E229" s="47">
        <f t="shared" si="17"/>
        <v>0</v>
      </c>
      <c r="F229" s="87">
        <v>0</v>
      </c>
      <c r="G229" s="47">
        <f t="shared" si="19"/>
        <v>0</v>
      </c>
      <c r="H229" s="88"/>
      <c r="I229" s="20"/>
      <c r="J229" s="82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1"/>
      <c r="C230" s="79">
        <f>+'19'!G230</f>
        <v>0</v>
      </c>
      <c r="D230" s="87">
        <v>0</v>
      </c>
      <c r="E230" s="47">
        <f t="shared" si="17"/>
        <v>0</v>
      </c>
      <c r="F230" s="87">
        <v>0</v>
      </c>
      <c r="G230" s="47">
        <f t="shared" si="19"/>
        <v>0</v>
      </c>
      <c r="H230" s="88"/>
      <c r="I230" s="20"/>
      <c r="J230" s="82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1"/>
      <c r="C231" s="79">
        <f>+'19'!G231</f>
        <v>0</v>
      </c>
      <c r="D231" s="87">
        <v>0</v>
      </c>
      <c r="E231" s="47">
        <f t="shared" si="17"/>
        <v>0</v>
      </c>
      <c r="F231" s="87">
        <v>0</v>
      </c>
      <c r="G231" s="47">
        <f t="shared" si="19"/>
        <v>0</v>
      </c>
      <c r="H231" s="88"/>
      <c r="I231" s="20"/>
      <c r="J231" s="82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1"/>
      <c r="C232" s="79">
        <f>+'19'!G232</f>
        <v>0</v>
      </c>
      <c r="D232" s="87">
        <v>0</v>
      </c>
      <c r="E232" s="47">
        <f t="shared" si="17"/>
        <v>0</v>
      </c>
      <c r="F232" s="87">
        <v>0</v>
      </c>
      <c r="G232" s="47">
        <f t="shared" si="19"/>
        <v>0</v>
      </c>
      <c r="H232" s="88"/>
      <c r="I232" s="20"/>
      <c r="J232" s="82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1"/>
      <c r="C233" s="79">
        <f>+'19'!G233</f>
        <v>0</v>
      </c>
      <c r="D233" s="87">
        <v>0</v>
      </c>
      <c r="E233" s="47">
        <f t="shared" si="17"/>
        <v>0</v>
      </c>
      <c r="F233" s="87">
        <v>0</v>
      </c>
      <c r="G233" s="47">
        <f t="shared" si="19"/>
        <v>0</v>
      </c>
      <c r="H233" s="88"/>
      <c r="I233" s="20"/>
      <c r="J233" s="82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1"/>
      <c r="C234" s="79">
        <f>+'19'!G234</f>
        <v>0</v>
      </c>
      <c r="D234" s="87">
        <v>0</v>
      </c>
      <c r="E234" s="47">
        <f t="shared" si="17"/>
        <v>0</v>
      </c>
      <c r="F234" s="87">
        <v>0</v>
      </c>
      <c r="G234" s="47">
        <f t="shared" si="19"/>
        <v>0</v>
      </c>
      <c r="H234" s="88"/>
      <c r="I234" s="20"/>
      <c r="J234" s="82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1"/>
      <c r="C235" s="79">
        <f>+'19'!G235</f>
        <v>0</v>
      </c>
      <c r="D235" s="87">
        <v>0</v>
      </c>
      <c r="E235" s="47">
        <f t="shared" si="17"/>
        <v>0</v>
      </c>
      <c r="F235" s="87">
        <v>0</v>
      </c>
      <c r="G235" s="47">
        <f t="shared" si="19"/>
        <v>0</v>
      </c>
      <c r="H235" s="88"/>
      <c r="I235" s="20"/>
      <c r="J235" s="82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1"/>
      <c r="C236" s="79">
        <f>+'19'!G236</f>
        <v>0</v>
      </c>
      <c r="D236" s="87">
        <v>0</v>
      </c>
      <c r="E236" s="47">
        <f t="shared" si="17"/>
        <v>0</v>
      </c>
      <c r="F236" s="87">
        <v>0</v>
      </c>
      <c r="G236" s="47">
        <f t="shared" si="19"/>
        <v>0</v>
      </c>
      <c r="H236" s="88"/>
      <c r="I236" s="20"/>
      <c r="J236" s="82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1"/>
      <c r="C237" s="79">
        <f>+'19'!G237</f>
        <v>0</v>
      </c>
      <c r="D237" s="87">
        <v>0</v>
      </c>
      <c r="E237" s="47">
        <f t="shared" si="17"/>
        <v>0</v>
      </c>
      <c r="F237" s="87">
        <v>0</v>
      </c>
      <c r="G237" s="47">
        <f t="shared" si="19"/>
        <v>0</v>
      </c>
      <c r="H237" s="88"/>
      <c r="I237" s="20"/>
      <c r="J237" s="82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1"/>
      <c r="C238" s="79">
        <f>+'19'!G238</f>
        <v>0</v>
      </c>
      <c r="D238" s="87">
        <v>0</v>
      </c>
      <c r="E238" s="47">
        <f t="shared" si="17"/>
        <v>0</v>
      </c>
      <c r="F238" s="87">
        <v>0</v>
      </c>
      <c r="G238" s="47">
        <f t="shared" si="19"/>
        <v>0</v>
      </c>
      <c r="H238" s="88"/>
      <c r="I238" s="20"/>
      <c r="J238" s="82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1"/>
      <c r="C239" s="79">
        <f>+'19'!G239</f>
        <v>0</v>
      </c>
      <c r="D239" s="87">
        <v>0</v>
      </c>
      <c r="E239" s="47">
        <f t="shared" si="17"/>
        <v>0</v>
      </c>
      <c r="F239" s="87">
        <v>0</v>
      </c>
      <c r="G239" s="47">
        <f t="shared" si="19"/>
        <v>0</v>
      </c>
      <c r="H239" s="88"/>
      <c r="I239" s="20"/>
      <c r="J239" s="82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1"/>
      <c r="C240" s="79">
        <f>+'19'!G240</f>
        <v>0</v>
      </c>
      <c r="D240" s="87">
        <v>0</v>
      </c>
      <c r="E240" s="47">
        <f t="shared" si="17"/>
        <v>0</v>
      </c>
      <c r="F240" s="87">
        <v>0</v>
      </c>
      <c r="G240" s="47">
        <f t="shared" si="19"/>
        <v>0</v>
      </c>
      <c r="H240" s="88"/>
      <c r="I240" s="20"/>
      <c r="J240" s="82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1"/>
      <c r="C241" s="79">
        <f>+'19'!G241</f>
        <v>0</v>
      </c>
      <c r="D241" s="87">
        <v>0</v>
      </c>
      <c r="E241" s="47">
        <f t="shared" si="17"/>
        <v>0</v>
      </c>
      <c r="F241" s="87">
        <v>0</v>
      </c>
      <c r="G241" s="47">
        <f t="shared" si="19"/>
        <v>0</v>
      </c>
      <c r="H241" s="88"/>
      <c r="I241" s="20"/>
      <c r="J241" s="82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1"/>
      <c r="C242" s="79">
        <f>+'19'!G242</f>
        <v>0</v>
      </c>
      <c r="D242" s="87">
        <v>0</v>
      </c>
      <c r="E242" s="47">
        <f t="shared" si="17"/>
        <v>0</v>
      </c>
      <c r="F242" s="87">
        <v>0</v>
      </c>
      <c r="G242" s="47">
        <f t="shared" si="19"/>
        <v>0</v>
      </c>
      <c r="H242" s="88"/>
      <c r="I242" s="20"/>
      <c r="J242" s="82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1"/>
      <c r="C243" s="79">
        <f>+'19'!G243</f>
        <v>0</v>
      </c>
      <c r="D243" s="87">
        <v>0</v>
      </c>
      <c r="E243" s="47">
        <f t="shared" si="17"/>
        <v>0</v>
      </c>
      <c r="F243" s="87">
        <v>0</v>
      </c>
      <c r="G243" s="47">
        <f t="shared" si="19"/>
        <v>0</v>
      </c>
      <c r="H243" s="88"/>
      <c r="I243" s="20"/>
      <c r="J243" s="82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1"/>
      <c r="C244" s="79">
        <f>+'19'!G244</f>
        <v>0</v>
      </c>
      <c r="D244" s="87">
        <v>0</v>
      </c>
      <c r="E244" s="47">
        <f t="shared" si="17"/>
        <v>0</v>
      </c>
      <c r="F244" s="87">
        <v>0</v>
      </c>
      <c r="G244" s="47">
        <f t="shared" si="19"/>
        <v>0</v>
      </c>
      <c r="H244" s="88"/>
      <c r="I244" s="20"/>
      <c r="J244" s="82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1"/>
      <c r="C245" s="79">
        <f>+'19'!G245</f>
        <v>0</v>
      </c>
      <c r="D245" s="87">
        <v>0</v>
      </c>
      <c r="E245" s="47">
        <f t="shared" si="17"/>
        <v>0</v>
      </c>
      <c r="F245" s="87">
        <v>0</v>
      </c>
      <c r="G245" s="47">
        <f t="shared" si="19"/>
        <v>0</v>
      </c>
      <c r="H245" s="88"/>
      <c r="I245" s="20"/>
      <c r="J245" s="82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1"/>
      <c r="C246" s="79">
        <f>+'19'!G246</f>
        <v>0</v>
      </c>
      <c r="D246" s="87">
        <v>0</v>
      </c>
      <c r="E246" s="47">
        <f t="shared" si="17"/>
        <v>0</v>
      </c>
      <c r="F246" s="87">
        <v>0</v>
      </c>
      <c r="G246" s="47">
        <f t="shared" si="19"/>
        <v>0</v>
      </c>
      <c r="H246" s="88"/>
      <c r="I246" s="20"/>
      <c r="J246" s="82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1"/>
      <c r="C247" s="79">
        <f>+'19'!G247</f>
        <v>0</v>
      </c>
      <c r="D247" s="87">
        <v>0</v>
      </c>
      <c r="E247" s="47">
        <f t="shared" si="17"/>
        <v>0</v>
      </c>
      <c r="F247" s="87">
        <v>0</v>
      </c>
      <c r="G247" s="47">
        <f t="shared" si="19"/>
        <v>0</v>
      </c>
      <c r="H247" s="88"/>
      <c r="I247" s="20"/>
      <c r="J247" s="82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1"/>
      <c r="C248" s="79">
        <f>+'19'!G248</f>
        <v>0</v>
      </c>
      <c r="D248" s="87">
        <v>0</v>
      </c>
      <c r="E248" s="47">
        <f t="shared" si="17"/>
        <v>0</v>
      </c>
      <c r="F248" s="87">
        <v>0</v>
      </c>
      <c r="G248" s="47">
        <f t="shared" si="19"/>
        <v>0</v>
      </c>
      <c r="H248" s="88"/>
      <c r="I248" s="20"/>
      <c r="J248" s="82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1"/>
      <c r="C249" s="79">
        <f>+'19'!G249</f>
        <v>0</v>
      </c>
      <c r="D249" s="87">
        <v>0</v>
      </c>
      <c r="E249" s="47">
        <f t="shared" si="17"/>
        <v>0</v>
      </c>
      <c r="F249" s="87">
        <v>0</v>
      </c>
      <c r="G249" s="47">
        <f t="shared" si="19"/>
        <v>0</v>
      </c>
      <c r="H249" s="88"/>
      <c r="I249" s="20"/>
      <c r="J249" s="82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1"/>
      <c r="C250" s="79">
        <f>+'19'!G250</f>
        <v>0</v>
      </c>
      <c r="D250" s="87">
        <v>0</v>
      </c>
      <c r="E250" s="47">
        <f t="shared" si="17"/>
        <v>0</v>
      </c>
      <c r="F250" s="87">
        <v>0</v>
      </c>
      <c r="G250" s="47">
        <f t="shared" si="19"/>
        <v>0</v>
      </c>
      <c r="H250" s="88"/>
      <c r="I250" s="20"/>
      <c r="J250" s="82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1"/>
      <c r="C251" s="79">
        <f>+'19'!G251</f>
        <v>0</v>
      </c>
      <c r="D251" s="87">
        <v>0</v>
      </c>
      <c r="E251" s="47">
        <f t="shared" si="17"/>
        <v>0</v>
      </c>
      <c r="F251" s="87">
        <v>0</v>
      </c>
      <c r="G251" s="47">
        <f t="shared" si="19"/>
        <v>0</v>
      </c>
      <c r="H251" s="88"/>
      <c r="I251" s="20"/>
      <c r="J251" s="82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1"/>
      <c r="C252" s="79">
        <f>+'19'!G252</f>
        <v>0</v>
      </c>
      <c r="D252" s="87">
        <v>0</v>
      </c>
      <c r="E252" s="47">
        <f t="shared" si="17"/>
        <v>0</v>
      </c>
      <c r="F252" s="87">
        <v>0</v>
      </c>
      <c r="G252" s="47">
        <f t="shared" si="19"/>
        <v>0</v>
      </c>
      <c r="H252" s="88"/>
      <c r="I252" s="20"/>
      <c r="J252" s="82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1"/>
      <c r="C253" s="79">
        <f>+'19'!G253</f>
        <v>0</v>
      </c>
      <c r="D253" s="87">
        <v>0</v>
      </c>
      <c r="E253" s="47">
        <f t="shared" ref="E253:E254" si="21">C253+D253</f>
        <v>0</v>
      </c>
      <c r="F253" s="87">
        <v>0</v>
      </c>
      <c r="G253" s="47">
        <f t="shared" si="19"/>
        <v>0</v>
      </c>
      <c r="H253" s="88"/>
      <c r="I253" s="20"/>
      <c r="J253" s="82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1"/>
      <c r="C254" s="79">
        <f>+'19'!G254</f>
        <v>0</v>
      </c>
      <c r="D254" s="87">
        <v>0</v>
      </c>
      <c r="E254" s="47">
        <f t="shared" si="21"/>
        <v>0</v>
      </c>
      <c r="F254" s="87">
        <v>0</v>
      </c>
      <c r="G254" s="47">
        <f t="shared" si="19"/>
        <v>0</v>
      </c>
      <c r="H254" s="88"/>
      <c r="I254" s="20"/>
      <c r="J254" s="82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2700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3" t="s">
        <v>213</v>
      </c>
      <c r="N255" s="143"/>
    </row>
    <row r="256" spans="1:14" ht="25.5" customHeight="1" x14ac:dyDescent="0.5">
      <c r="A256" s="1"/>
      <c r="E256" s="24"/>
      <c r="F256" s="25"/>
      <c r="G256" s="24"/>
      <c r="H256" s="148" t="s">
        <v>212</v>
      </c>
      <c r="I256" s="149"/>
      <c r="J256" s="30">
        <f>+X138</f>
        <v>0</v>
      </c>
      <c r="K256" s="27"/>
      <c r="L256" s="29"/>
    </row>
    <row r="257" spans="1:15" ht="25.5" x14ac:dyDescent="0.55000000000000004">
      <c r="A257" s="1"/>
      <c r="E257" s="31"/>
      <c r="G257" s="31"/>
      <c r="H257" s="32"/>
      <c r="I257" s="150" t="s">
        <v>202</v>
      </c>
      <c r="J257" s="150"/>
      <c r="K257" s="33">
        <f>SUM(J5:J256)</f>
        <v>2750</v>
      </c>
    </row>
    <row r="258" spans="1:15" ht="25.5" x14ac:dyDescent="0.55000000000000004">
      <c r="A258" s="1"/>
      <c r="E258" s="31"/>
      <c r="G258" s="31"/>
      <c r="I258" s="140" t="s">
        <v>203</v>
      </c>
      <c r="J258" s="141"/>
      <c r="K258" s="36">
        <v>15</v>
      </c>
    </row>
    <row r="259" spans="1:15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500</v>
      </c>
      <c r="L259" s="2">
        <v>150</v>
      </c>
      <c r="M259" s="2">
        <v>150</v>
      </c>
      <c r="N259" s="2">
        <v>50</v>
      </c>
      <c r="O259" s="2">
        <v>150</v>
      </c>
    </row>
    <row r="260" spans="1:15" ht="25.5" x14ac:dyDescent="0.55000000000000004">
      <c r="A260" s="1"/>
      <c r="E260" s="31"/>
      <c r="G260" s="31"/>
      <c r="I260" s="140" t="s">
        <v>205</v>
      </c>
      <c r="J260" s="141"/>
      <c r="K260" s="36">
        <v>0</v>
      </c>
    </row>
    <row r="261" spans="1:15" ht="25.5" x14ac:dyDescent="0.55000000000000004">
      <c r="A261" s="1"/>
      <c r="E261" s="31"/>
      <c r="G261" s="31"/>
      <c r="I261" s="140" t="s">
        <v>206</v>
      </c>
      <c r="J261" s="141"/>
      <c r="K261" s="36">
        <v>0</v>
      </c>
    </row>
    <row r="262" spans="1:15" ht="25.5" x14ac:dyDescent="0.55000000000000004">
      <c r="A262" s="1"/>
      <c r="E262" s="31"/>
      <c r="G262" s="31"/>
      <c r="I262" s="140" t="s">
        <v>207</v>
      </c>
      <c r="J262" s="141"/>
      <c r="K262" s="37">
        <f>SUM(L5:L255)</f>
        <v>50</v>
      </c>
    </row>
    <row r="263" spans="1:15" ht="25.5" x14ac:dyDescent="0.55000000000000004">
      <c r="A263" s="1"/>
      <c r="E263" s="31"/>
      <c r="G263" s="31"/>
      <c r="I263" s="140" t="s">
        <v>208</v>
      </c>
      <c r="J263" s="141"/>
      <c r="K263" s="33">
        <f>K257-K258-K259-K261-K262</f>
        <v>2185</v>
      </c>
    </row>
    <row r="264" spans="1:15" ht="25.5" x14ac:dyDescent="0.55000000000000004">
      <c r="A264" s="1"/>
      <c r="E264" s="31"/>
      <c r="G264" s="31"/>
      <c r="I264" s="140" t="s">
        <v>209</v>
      </c>
      <c r="J264" s="141"/>
      <c r="K264" s="37">
        <v>2185</v>
      </c>
    </row>
    <row r="265" spans="1:15" ht="25.5" x14ac:dyDescent="0.55000000000000004">
      <c r="A265" s="1"/>
      <c r="E265" s="31"/>
      <c r="G265" s="31"/>
      <c r="I265" s="140" t="s">
        <v>210</v>
      </c>
      <c r="J265" s="141"/>
      <c r="K265" s="33">
        <f>+K264-K263</f>
        <v>0</v>
      </c>
    </row>
    <row r="266" spans="1:15" ht="25.5" x14ac:dyDescent="0.55000000000000004">
      <c r="G266" s="2"/>
      <c r="I266" s="140" t="s">
        <v>211</v>
      </c>
      <c r="J266" s="141"/>
      <c r="K266" s="33">
        <f>+K264-K263</f>
        <v>0</v>
      </c>
    </row>
    <row r="267" spans="1:15" x14ac:dyDescent="0.5">
      <c r="G267" s="2"/>
      <c r="I267" s="2"/>
    </row>
    <row r="268" spans="1:15" ht="25.5" x14ac:dyDescent="0.55000000000000004">
      <c r="G268" s="2"/>
      <c r="I268" s="105" t="s">
        <v>312</v>
      </c>
    </row>
    <row r="269" spans="1:15" x14ac:dyDescent="0.5">
      <c r="G269" s="2"/>
      <c r="I269" s="2"/>
    </row>
    <row r="270" spans="1:15" x14ac:dyDescent="0.5">
      <c r="G270" s="2"/>
      <c r="I270" s="2"/>
    </row>
    <row r="271" spans="1:15" x14ac:dyDescent="0.5">
      <c r="G271" s="2"/>
      <c r="I271" s="2"/>
    </row>
    <row r="272" spans="1:15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7242A-EC23-48BA-A11E-CE03DE361409}">
  <sheetPr>
    <tabColor theme="7" tint="-0.249977111117893"/>
  </sheetPr>
  <dimension ref="A1:AB341"/>
  <sheetViews>
    <sheetView zoomScaleNormal="100" workbookViewId="0">
      <pane xSplit="7" ySplit="4" topLeftCell="H251" activePane="bottomRight" state="frozen"/>
      <selection activeCell="B20" sqref="B20"/>
      <selection pane="topRight" activeCell="B20" sqref="B20"/>
      <selection pane="bottomLeft" activeCell="B20" sqref="B20"/>
      <selection pane="bottomRight" activeCell="B20" sqref="B20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8" x14ac:dyDescent="0.5">
      <c r="A1" s="1"/>
      <c r="G1" s="2"/>
      <c r="I1" s="2"/>
    </row>
    <row r="2" spans="1:28" s="3" customFormat="1" ht="29.25" x14ac:dyDescent="0.6">
      <c r="A2" s="137" t="s">
        <v>247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8" s="5" customFormat="1" ht="26.25" x14ac:dyDescent="0.55000000000000004">
      <c r="A3" s="139" t="s">
        <v>1</v>
      </c>
      <c r="B3" s="151" t="s">
        <v>2</v>
      </c>
      <c r="C3" s="139" t="s">
        <v>3</v>
      </c>
      <c r="D3" s="139" t="s">
        <v>4</v>
      </c>
      <c r="E3" s="139" t="s">
        <v>5</v>
      </c>
      <c r="F3" s="85" t="s">
        <v>6</v>
      </c>
      <c r="G3" s="139" t="s">
        <v>7</v>
      </c>
      <c r="H3" s="142" t="s">
        <v>8</v>
      </c>
      <c r="I3" s="142"/>
      <c r="J3" s="142"/>
      <c r="K3" s="139" t="s">
        <v>9</v>
      </c>
      <c r="L3" s="144" t="s">
        <v>10</v>
      </c>
      <c r="O3" s="139" t="s">
        <v>1</v>
      </c>
      <c r="P3" s="139" t="s">
        <v>2</v>
      </c>
      <c r="Q3" s="139" t="s">
        <v>3</v>
      </c>
      <c r="R3" s="139" t="s">
        <v>4</v>
      </c>
      <c r="S3" s="139" t="s">
        <v>5</v>
      </c>
      <c r="T3" s="85" t="s">
        <v>6</v>
      </c>
      <c r="U3" s="139" t="s">
        <v>7</v>
      </c>
      <c r="V3" s="142" t="s">
        <v>8</v>
      </c>
      <c r="W3" s="142"/>
      <c r="X3" s="142"/>
      <c r="Y3" s="139" t="s">
        <v>9</v>
      </c>
      <c r="Z3" s="144" t="s">
        <v>10</v>
      </c>
    </row>
    <row r="4" spans="1:28" s="5" customFormat="1" ht="26.25" x14ac:dyDescent="0.55000000000000004">
      <c r="A4" s="139"/>
      <c r="B4" s="151"/>
      <c r="C4" s="139"/>
      <c r="D4" s="139"/>
      <c r="E4" s="139"/>
      <c r="F4" s="85" t="s">
        <v>11</v>
      </c>
      <c r="G4" s="139"/>
      <c r="H4" s="85" t="s">
        <v>12</v>
      </c>
      <c r="I4" s="86" t="s">
        <v>13</v>
      </c>
      <c r="J4" s="85" t="s">
        <v>14</v>
      </c>
      <c r="K4" s="139"/>
      <c r="L4" s="144"/>
      <c r="O4" s="139"/>
      <c r="P4" s="139"/>
      <c r="Q4" s="139"/>
      <c r="R4" s="139"/>
      <c r="S4" s="139"/>
      <c r="T4" s="85" t="s">
        <v>11</v>
      </c>
      <c r="U4" s="139"/>
      <c r="V4" s="85" t="s">
        <v>12</v>
      </c>
      <c r="W4" s="86" t="s">
        <v>13</v>
      </c>
      <c r="X4" s="85" t="s">
        <v>14</v>
      </c>
      <c r="Y4" s="139"/>
      <c r="Z4" s="144"/>
      <c r="AB4" s="5" t="s">
        <v>2</v>
      </c>
    </row>
    <row r="5" spans="1:28" ht="25.5" x14ac:dyDescent="0.55000000000000004">
      <c r="A5" s="10">
        <v>1</v>
      </c>
      <c r="B5" s="19" t="s">
        <v>15</v>
      </c>
      <c r="C5" s="79">
        <f>+'20'!G5</f>
        <v>16</v>
      </c>
      <c r="D5" s="87">
        <v>0</v>
      </c>
      <c r="E5" s="47">
        <f t="shared" ref="E5:E125" si="0">C5+D5</f>
        <v>16</v>
      </c>
      <c r="F5" s="87">
        <v>0</v>
      </c>
      <c r="G5" s="47">
        <f>+E5-F5-H5</f>
        <v>13</v>
      </c>
      <c r="H5" s="88">
        <v>3</v>
      </c>
      <c r="I5" s="20">
        <v>50</v>
      </c>
      <c r="J5" s="82">
        <f>+I5*H5</f>
        <v>150</v>
      </c>
      <c r="K5" s="17" t="s">
        <v>16</v>
      </c>
      <c r="L5" s="18">
        <v>0</v>
      </c>
      <c r="M5" s="23">
        <f>SUM(J5-L5)</f>
        <v>150</v>
      </c>
      <c r="O5" s="10">
        <v>1</v>
      </c>
      <c r="P5" s="19"/>
      <c r="Q5" s="47">
        <v>0</v>
      </c>
      <c r="R5" s="87">
        <v>0</v>
      </c>
      <c r="S5" s="47">
        <f t="shared" ref="S5:S14" si="1">Q5+R5</f>
        <v>0</v>
      </c>
      <c r="T5" s="87">
        <v>0</v>
      </c>
      <c r="U5" s="47">
        <f t="shared" ref="U5:U14" si="2">S5-T5-V5</f>
        <v>0</v>
      </c>
      <c r="V5" s="88">
        <v>0</v>
      </c>
      <c r="W5" s="22"/>
      <c r="X5" s="44">
        <f t="shared" ref="X5:X14" si="3">V5*W5</f>
        <v>0</v>
      </c>
      <c r="Y5" s="17" t="s">
        <v>16</v>
      </c>
      <c r="Z5" s="18">
        <v>0</v>
      </c>
      <c r="AB5" s="2" t="s">
        <v>317</v>
      </c>
    </row>
    <row r="6" spans="1:28" ht="25.5" x14ac:dyDescent="0.55000000000000004">
      <c r="A6" s="10">
        <v>2</v>
      </c>
      <c r="B6" s="19" t="s">
        <v>17</v>
      </c>
      <c r="C6" s="79">
        <f>+'20'!G6</f>
        <v>16</v>
      </c>
      <c r="D6" s="87">
        <v>0</v>
      </c>
      <c r="E6" s="47">
        <f t="shared" si="0"/>
        <v>16</v>
      </c>
      <c r="F6" s="87">
        <v>0</v>
      </c>
      <c r="G6" s="47">
        <f t="shared" ref="G6:G100" si="4">+E6-F6-H6</f>
        <v>13</v>
      </c>
      <c r="H6" s="88">
        <v>3</v>
      </c>
      <c r="I6" s="20">
        <v>100</v>
      </c>
      <c r="J6" s="82">
        <f t="shared" ref="J6:J100" si="5">+I6*H6</f>
        <v>300</v>
      </c>
      <c r="K6" s="17" t="s">
        <v>16</v>
      </c>
      <c r="L6" s="18">
        <v>0</v>
      </c>
      <c r="M6" s="23">
        <f t="shared" ref="M6:M69" si="6">SUM(J6-L6)</f>
        <v>300</v>
      </c>
      <c r="O6" s="10">
        <v>2</v>
      </c>
      <c r="P6" s="19"/>
      <c r="Q6" s="47">
        <v>0</v>
      </c>
      <c r="R6" s="87">
        <v>0</v>
      </c>
      <c r="S6" s="47">
        <f t="shared" si="1"/>
        <v>0</v>
      </c>
      <c r="T6" s="87">
        <v>0</v>
      </c>
      <c r="U6" s="47">
        <f t="shared" si="2"/>
        <v>0</v>
      </c>
      <c r="V6" s="88">
        <v>0</v>
      </c>
      <c r="W6" s="22"/>
      <c r="X6" s="44">
        <f t="shared" si="3"/>
        <v>0</v>
      </c>
      <c r="Y6" s="17" t="s">
        <v>16</v>
      </c>
      <c r="Z6" s="18">
        <v>0</v>
      </c>
      <c r="AB6" s="2" t="s">
        <v>318</v>
      </c>
    </row>
    <row r="7" spans="1:28" ht="25.5" x14ac:dyDescent="0.55000000000000004">
      <c r="A7" s="10">
        <v>3</v>
      </c>
      <c r="B7" s="19" t="s">
        <v>18</v>
      </c>
      <c r="C7" s="79">
        <f>+'20'!G7</f>
        <v>0</v>
      </c>
      <c r="D7" s="87">
        <v>0</v>
      </c>
      <c r="E7" s="47">
        <f>C7+D7</f>
        <v>0</v>
      </c>
      <c r="F7" s="87">
        <v>0</v>
      </c>
      <c r="G7" s="47">
        <f t="shared" si="4"/>
        <v>0</v>
      </c>
      <c r="H7" s="88"/>
      <c r="I7" s="15">
        <v>50</v>
      </c>
      <c r="J7" s="8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7">
        <v>0</v>
      </c>
      <c r="S7" s="47">
        <f t="shared" si="1"/>
        <v>0</v>
      </c>
      <c r="T7" s="87">
        <v>0</v>
      </c>
      <c r="U7" s="47">
        <f t="shared" si="2"/>
        <v>0</v>
      </c>
      <c r="V7" s="88">
        <v>0</v>
      </c>
      <c r="W7" s="22"/>
      <c r="X7" s="44">
        <f t="shared" si="3"/>
        <v>0</v>
      </c>
      <c r="Y7" s="17" t="s">
        <v>16</v>
      </c>
      <c r="Z7" s="18">
        <v>0</v>
      </c>
      <c r="AB7" s="2" t="s">
        <v>319</v>
      </c>
    </row>
    <row r="8" spans="1:28" ht="25.5" x14ac:dyDescent="0.55000000000000004">
      <c r="A8" s="10">
        <v>4</v>
      </c>
      <c r="B8" s="19" t="s">
        <v>19</v>
      </c>
      <c r="C8" s="79">
        <f>+'20'!G8</f>
        <v>0</v>
      </c>
      <c r="D8" s="87">
        <v>0</v>
      </c>
      <c r="E8" s="47">
        <f>C8+D8</f>
        <v>0</v>
      </c>
      <c r="F8" s="87">
        <v>0</v>
      </c>
      <c r="G8" s="47">
        <f t="shared" si="4"/>
        <v>0</v>
      </c>
      <c r="H8" s="88"/>
      <c r="I8" s="15">
        <v>100</v>
      </c>
      <c r="J8" s="8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7">
        <v>0</v>
      </c>
      <c r="S8" s="47">
        <f t="shared" si="1"/>
        <v>0</v>
      </c>
      <c r="T8" s="87">
        <v>0</v>
      </c>
      <c r="U8" s="47">
        <f t="shared" si="2"/>
        <v>0</v>
      </c>
      <c r="V8" s="88">
        <v>0</v>
      </c>
      <c r="W8" s="22"/>
      <c r="X8" s="44">
        <f t="shared" si="3"/>
        <v>0</v>
      </c>
      <c r="Y8" s="17" t="s">
        <v>16</v>
      </c>
      <c r="Z8" s="18">
        <v>0</v>
      </c>
      <c r="AB8" s="2" t="s">
        <v>320</v>
      </c>
    </row>
    <row r="9" spans="1:28" ht="25.5" x14ac:dyDescent="0.55000000000000004">
      <c r="A9" s="10">
        <v>5</v>
      </c>
      <c r="B9" s="19" t="s">
        <v>20</v>
      </c>
      <c r="C9" s="79">
        <f>+'20'!G9</f>
        <v>0</v>
      </c>
      <c r="D9" s="87">
        <v>0</v>
      </c>
      <c r="E9" s="47">
        <f>C9+D9</f>
        <v>0</v>
      </c>
      <c r="F9" s="87">
        <v>0</v>
      </c>
      <c r="G9" s="47">
        <f t="shared" si="4"/>
        <v>0</v>
      </c>
      <c r="H9" s="88"/>
      <c r="I9" s="15">
        <v>12</v>
      </c>
      <c r="J9" s="8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7">
        <v>0</v>
      </c>
      <c r="S9" s="47">
        <f t="shared" si="1"/>
        <v>0</v>
      </c>
      <c r="T9" s="87">
        <v>0</v>
      </c>
      <c r="U9" s="47">
        <f t="shared" si="2"/>
        <v>0</v>
      </c>
      <c r="V9" s="88">
        <v>0</v>
      </c>
      <c r="W9" s="22"/>
      <c r="X9" s="44">
        <f t="shared" si="3"/>
        <v>0</v>
      </c>
      <c r="Y9" s="17" t="s">
        <v>16</v>
      </c>
      <c r="Z9" s="18">
        <v>0</v>
      </c>
      <c r="AB9" s="2" t="s">
        <v>307</v>
      </c>
    </row>
    <row r="10" spans="1:28" ht="25.5" x14ac:dyDescent="0.55000000000000004">
      <c r="A10" s="10">
        <v>6</v>
      </c>
      <c r="B10" s="19" t="s">
        <v>21</v>
      </c>
      <c r="C10" s="79">
        <f>+'20'!G10</f>
        <v>0</v>
      </c>
      <c r="D10" s="87">
        <v>0</v>
      </c>
      <c r="E10" s="47">
        <f>C10+D10</f>
        <v>0</v>
      </c>
      <c r="F10" s="87">
        <v>0</v>
      </c>
      <c r="G10" s="47">
        <f t="shared" si="4"/>
        <v>0</v>
      </c>
      <c r="H10" s="88"/>
      <c r="I10" s="15">
        <v>15</v>
      </c>
      <c r="J10" s="8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7">
        <v>0</v>
      </c>
      <c r="S10" s="47">
        <f t="shared" si="1"/>
        <v>0</v>
      </c>
      <c r="T10" s="87">
        <v>0</v>
      </c>
      <c r="U10" s="47">
        <f t="shared" si="2"/>
        <v>0</v>
      </c>
      <c r="V10" s="88">
        <v>0</v>
      </c>
      <c r="W10" s="22"/>
      <c r="X10" s="44">
        <f t="shared" si="3"/>
        <v>0</v>
      </c>
      <c r="Y10" s="17" t="s">
        <v>16</v>
      </c>
      <c r="Z10" s="18">
        <v>0</v>
      </c>
      <c r="AB10" s="2" t="s">
        <v>311</v>
      </c>
    </row>
    <row r="11" spans="1:28" ht="25.5" x14ac:dyDescent="0.55000000000000004">
      <c r="A11" s="10">
        <v>7</v>
      </c>
      <c r="B11" s="19" t="s">
        <v>22</v>
      </c>
      <c r="C11" s="79">
        <f>+'20'!G11</f>
        <v>0</v>
      </c>
      <c r="D11" s="87">
        <v>0</v>
      </c>
      <c r="E11" s="47">
        <f t="shared" si="0"/>
        <v>0</v>
      </c>
      <c r="F11" s="87">
        <v>0</v>
      </c>
      <c r="G11" s="47">
        <f t="shared" si="4"/>
        <v>0</v>
      </c>
      <c r="H11" s="88"/>
      <c r="I11" s="15">
        <v>40</v>
      </c>
      <c r="J11" s="8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7">
        <v>0</v>
      </c>
      <c r="S11" s="47">
        <f t="shared" si="1"/>
        <v>0</v>
      </c>
      <c r="T11" s="87">
        <v>0</v>
      </c>
      <c r="U11" s="47">
        <f t="shared" si="2"/>
        <v>0</v>
      </c>
      <c r="V11" s="88">
        <v>0</v>
      </c>
      <c r="W11" s="22"/>
      <c r="X11" s="44">
        <f t="shared" si="3"/>
        <v>0</v>
      </c>
      <c r="Y11" s="17" t="s">
        <v>16</v>
      </c>
      <c r="Z11" s="18">
        <v>0</v>
      </c>
      <c r="AB11" s="2" t="s">
        <v>321</v>
      </c>
    </row>
    <row r="12" spans="1:28" ht="25.5" x14ac:dyDescent="0.55000000000000004">
      <c r="A12" s="10">
        <v>8</v>
      </c>
      <c r="B12" s="19" t="s">
        <v>23</v>
      </c>
      <c r="C12" s="79">
        <f>+'20'!G12</f>
        <v>0</v>
      </c>
      <c r="D12" s="87">
        <v>0</v>
      </c>
      <c r="E12" s="47">
        <f t="shared" si="0"/>
        <v>0</v>
      </c>
      <c r="F12" s="87">
        <v>0</v>
      </c>
      <c r="G12" s="47">
        <f t="shared" si="4"/>
        <v>0</v>
      </c>
      <c r="H12" s="88"/>
      <c r="I12" s="15">
        <v>50</v>
      </c>
      <c r="J12" s="8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7">
        <v>0</v>
      </c>
      <c r="S12" s="47">
        <f t="shared" si="1"/>
        <v>0</v>
      </c>
      <c r="T12" s="87">
        <v>0</v>
      </c>
      <c r="U12" s="47">
        <f t="shared" si="2"/>
        <v>0</v>
      </c>
      <c r="V12" s="88">
        <v>0</v>
      </c>
      <c r="W12" s="22"/>
      <c r="X12" s="44">
        <f t="shared" si="3"/>
        <v>0</v>
      </c>
      <c r="Y12" s="17" t="s">
        <v>16</v>
      </c>
      <c r="Z12" s="18">
        <v>0</v>
      </c>
      <c r="AB12" s="2" t="s">
        <v>289</v>
      </c>
    </row>
    <row r="13" spans="1:28" ht="25.5" x14ac:dyDescent="0.55000000000000004">
      <c r="A13" s="10">
        <v>9</v>
      </c>
      <c r="B13" s="19" t="s">
        <v>24</v>
      </c>
      <c r="C13" s="79">
        <f>+'20'!G13</f>
        <v>0</v>
      </c>
      <c r="D13" s="87">
        <v>0</v>
      </c>
      <c r="E13" s="47">
        <f>C13+D13</f>
        <v>0</v>
      </c>
      <c r="F13" s="87">
        <v>0</v>
      </c>
      <c r="G13" s="47">
        <f t="shared" si="4"/>
        <v>0</v>
      </c>
      <c r="H13" s="88"/>
      <c r="I13" s="15">
        <v>55</v>
      </c>
      <c r="J13" s="8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7">
        <v>0</v>
      </c>
      <c r="S13" s="47">
        <f t="shared" si="1"/>
        <v>0</v>
      </c>
      <c r="T13" s="87">
        <v>0</v>
      </c>
      <c r="U13" s="47">
        <f t="shared" si="2"/>
        <v>0</v>
      </c>
      <c r="V13" s="88">
        <v>0</v>
      </c>
      <c r="W13" s="22"/>
      <c r="X13" s="44">
        <f t="shared" si="3"/>
        <v>0</v>
      </c>
      <c r="Y13" s="17" t="s">
        <v>16</v>
      </c>
      <c r="Z13" s="18">
        <v>0</v>
      </c>
      <c r="AB13" s="2" t="s">
        <v>322</v>
      </c>
    </row>
    <row r="14" spans="1:28" ht="25.5" x14ac:dyDescent="0.55000000000000004">
      <c r="A14" s="10">
        <v>10</v>
      </c>
      <c r="B14" s="19" t="s">
        <v>25</v>
      </c>
      <c r="C14" s="79">
        <f>+'20'!G14</f>
        <v>0</v>
      </c>
      <c r="D14" s="87">
        <v>0</v>
      </c>
      <c r="E14" s="47">
        <f t="shared" si="0"/>
        <v>0</v>
      </c>
      <c r="F14" s="87">
        <v>0</v>
      </c>
      <c r="G14" s="47">
        <f t="shared" si="4"/>
        <v>0</v>
      </c>
      <c r="H14" s="88"/>
      <c r="I14" s="15">
        <v>65</v>
      </c>
      <c r="J14" s="8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7">
        <v>0</v>
      </c>
      <c r="S14" s="47">
        <f t="shared" si="1"/>
        <v>0</v>
      </c>
      <c r="T14" s="87">
        <v>0</v>
      </c>
      <c r="U14" s="47">
        <f t="shared" si="2"/>
        <v>0</v>
      </c>
      <c r="V14" s="88">
        <v>0</v>
      </c>
      <c r="W14" s="22"/>
      <c r="X14" s="44">
        <f t="shared" si="3"/>
        <v>0</v>
      </c>
      <c r="Y14" s="17" t="s">
        <v>16</v>
      </c>
      <c r="Z14" s="18">
        <v>0</v>
      </c>
      <c r="AB14" s="2" t="s">
        <v>306</v>
      </c>
    </row>
    <row r="15" spans="1:28" ht="25.5" x14ac:dyDescent="0.55000000000000004">
      <c r="A15" s="10">
        <v>11</v>
      </c>
      <c r="B15" s="19" t="s">
        <v>26</v>
      </c>
      <c r="C15" s="79">
        <f>+'20'!G15</f>
        <v>0</v>
      </c>
      <c r="D15" s="87">
        <v>0</v>
      </c>
      <c r="E15" s="47">
        <f t="shared" si="0"/>
        <v>0</v>
      </c>
      <c r="F15" s="87">
        <v>0</v>
      </c>
      <c r="G15" s="47">
        <f t="shared" si="4"/>
        <v>0</v>
      </c>
      <c r="H15" s="88"/>
      <c r="I15" s="15">
        <v>50</v>
      </c>
      <c r="J15" s="8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7">
        <v>0</v>
      </c>
      <c r="S15" s="47">
        <f t="shared" ref="S15:S29" si="7">Q15+R15</f>
        <v>0</v>
      </c>
      <c r="T15" s="87">
        <v>0</v>
      </c>
      <c r="U15" s="47">
        <f t="shared" ref="U15:U29" si="8">S15-T15-V15</f>
        <v>0</v>
      </c>
      <c r="V15" s="88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8" ht="25.5" x14ac:dyDescent="0.55000000000000004">
      <c r="A16" s="10">
        <v>12</v>
      </c>
      <c r="B16" s="19" t="s">
        <v>27</v>
      </c>
      <c r="C16" s="79">
        <f>+'20'!G16</f>
        <v>0</v>
      </c>
      <c r="D16" s="87">
        <v>0</v>
      </c>
      <c r="E16" s="47">
        <f t="shared" si="0"/>
        <v>0</v>
      </c>
      <c r="F16" s="87">
        <v>0</v>
      </c>
      <c r="G16" s="47">
        <f t="shared" si="4"/>
        <v>0</v>
      </c>
      <c r="H16" s="88"/>
      <c r="I16" s="15">
        <v>50</v>
      </c>
      <c r="J16" s="8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7">
        <v>0</v>
      </c>
      <c r="S16" s="47">
        <f t="shared" si="7"/>
        <v>0</v>
      </c>
      <c r="T16" s="87">
        <v>0</v>
      </c>
      <c r="U16" s="47">
        <f t="shared" si="8"/>
        <v>0</v>
      </c>
      <c r="V16" s="88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+'20'!G17</f>
        <v>0</v>
      </c>
      <c r="D17" s="87">
        <v>0</v>
      </c>
      <c r="E17" s="47">
        <f t="shared" si="0"/>
        <v>0</v>
      </c>
      <c r="F17" s="87">
        <v>0</v>
      </c>
      <c r="G17" s="47">
        <f t="shared" si="4"/>
        <v>0</v>
      </c>
      <c r="H17" s="88"/>
      <c r="I17" s="15">
        <v>50</v>
      </c>
      <c r="J17" s="8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7">
        <v>0</v>
      </c>
      <c r="S17" s="47">
        <f t="shared" si="7"/>
        <v>0</v>
      </c>
      <c r="T17" s="87">
        <v>0</v>
      </c>
      <c r="U17" s="47">
        <f t="shared" si="8"/>
        <v>0</v>
      </c>
      <c r="V17" s="88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+'20'!G18</f>
        <v>0</v>
      </c>
      <c r="D18" s="87">
        <v>0</v>
      </c>
      <c r="E18" s="47">
        <f t="shared" si="0"/>
        <v>0</v>
      </c>
      <c r="F18" s="87">
        <v>0</v>
      </c>
      <c r="G18" s="47">
        <f t="shared" si="4"/>
        <v>0</v>
      </c>
      <c r="H18" s="88"/>
      <c r="I18" s="15">
        <v>50</v>
      </c>
      <c r="J18" s="8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7">
        <v>0</v>
      </c>
      <c r="S18" s="47">
        <f t="shared" si="7"/>
        <v>0</v>
      </c>
      <c r="T18" s="87">
        <v>0</v>
      </c>
      <c r="U18" s="47">
        <f t="shared" si="8"/>
        <v>0</v>
      </c>
      <c r="V18" s="88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329</v>
      </c>
      <c r="C19" s="79">
        <f>+'20'!G19</f>
        <v>0</v>
      </c>
      <c r="D19" s="87">
        <v>0</v>
      </c>
      <c r="E19" s="47">
        <f t="shared" si="0"/>
        <v>0</v>
      </c>
      <c r="F19" s="87">
        <v>0</v>
      </c>
      <c r="G19" s="47">
        <f t="shared" si="4"/>
        <v>0</v>
      </c>
      <c r="H19" s="88"/>
      <c r="I19" s="15">
        <v>50</v>
      </c>
      <c r="J19" s="8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7">
        <v>0</v>
      </c>
      <c r="S19" s="47">
        <f t="shared" si="7"/>
        <v>0</v>
      </c>
      <c r="T19" s="87">
        <v>0</v>
      </c>
      <c r="U19" s="47">
        <f t="shared" si="8"/>
        <v>0</v>
      </c>
      <c r="V19" s="88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+'20'!G20</f>
        <v>0</v>
      </c>
      <c r="D20" s="87">
        <v>0</v>
      </c>
      <c r="E20" s="47">
        <f t="shared" si="0"/>
        <v>0</v>
      </c>
      <c r="F20" s="87">
        <v>0</v>
      </c>
      <c r="G20" s="47">
        <f t="shared" si="4"/>
        <v>0</v>
      </c>
      <c r="H20" s="88"/>
      <c r="I20" s="15">
        <v>50</v>
      </c>
      <c r="J20" s="8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7">
        <v>0</v>
      </c>
      <c r="S20" s="47">
        <f t="shared" si="7"/>
        <v>0</v>
      </c>
      <c r="T20" s="87">
        <v>0</v>
      </c>
      <c r="U20" s="47">
        <f t="shared" si="8"/>
        <v>0</v>
      </c>
      <c r="V20" s="88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+'20'!G21</f>
        <v>0</v>
      </c>
      <c r="D21" s="87">
        <v>0</v>
      </c>
      <c r="E21" s="47">
        <f t="shared" si="0"/>
        <v>0</v>
      </c>
      <c r="F21" s="87">
        <v>0</v>
      </c>
      <c r="G21" s="47">
        <f t="shared" si="4"/>
        <v>0</v>
      </c>
      <c r="H21" s="88"/>
      <c r="I21" s="15">
        <v>50</v>
      </c>
      <c r="J21" s="8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7">
        <v>0</v>
      </c>
      <c r="S21" s="47">
        <f t="shared" si="7"/>
        <v>0</v>
      </c>
      <c r="T21" s="87">
        <v>0</v>
      </c>
      <c r="U21" s="47">
        <f t="shared" si="8"/>
        <v>0</v>
      </c>
      <c r="V21" s="88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+'20'!G22</f>
        <v>9</v>
      </c>
      <c r="D22" s="87">
        <v>0</v>
      </c>
      <c r="E22" s="47">
        <f t="shared" si="0"/>
        <v>9</v>
      </c>
      <c r="F22" s="87">
        <v>0</v>
      </c>
      <c r="G22" s="47">
        <f t="shared" si="4"/>
        <v>8</v>
      </c>
      <c r="H22" s="88">
        <v>1</v>
      </c>
      <c r="I22" s="15">
        <v>85</v>
      </c>
      <c r="J22" s="82">
        <f t="shared" si="5"/>
        <v>85</v>
      </c>
      <c r="K22" s="17" t="s">
        <v>16</v>
      </c>
      <c r="L22" s="18">
        <v>0</v>
      </c>
      <c r="M22" s="23">
        <f t="shared" si="6"/>
        <v>85</v>
      </c>
      <c r="O22" s="10">
        <v>18</v>
      </c>
      <c r="P22" s="19"/>
      <c r="Q22" s="47">
        <v>0</v>
      </c>
      <c r="R22" s="87">
        <v>0</v>
      </c>
      <c r="S22" s="47">
        <f t="shared" si="7"/>
        <v>0</v>
      </c>
      <c r="T22" s="87">
        <v>0</v>
      </c>
      <c r="U22" s="47">
        <f t="shared" si="8"/>
        <v>0</v>
      </c>
      <c r="V22" s="88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+'20'!G23</f>
        <v>5</v>
      </c>
      <c r="D23" s="87">
        <v>0</v>
      </c>
      <c r="E23" s="47">
        <f t="shared" si="0"/>
        <v>5</v>
      </c>
      <c r="F23" s="87">
        <v>0</v>
      </c>
      <c r="G23" s="47">
        <f t="shared" si="4"/>
        <v>2</v>
      </c>
      <c r="H23" s="88">
        <v>3</v>
      </c>
      <c r="I23" s="15">
        <v>100</v>
      </c>
      <c r="J23" s="82">
        <f t="shared" si="5"/>
        <v>300</v>
      </c>
      <c r="K23" s="17" t="s">
        <v>16</v>
      </c>
      <c r="L23" s="18">
        <v>0</v>
      </c>
      <c r="M23" s="23">
        <f t="shared" si="6"/>
        <v>300</v>
      </c>
      <c r="O23" s="10">
        <v>19</v>
      </c>
      <c r="P23" s="19"/>
      <c r="Q23" s="47">
        <v>0</v>
      </c>
      <c r="R23" s="87">
        <v>0</v>
      </c>
      <c r="S23" s="47">
        <f t="shared" si="7"/>
        <v>0</v>
      </c>
      <c r="T23" s="87">
        <v>0</v>
      </c>
      <c r="U23" s="47">
        <f t="shared" si="8"/>
        <v>0</v>
      </c>
      <c r="V23" s="88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+'20'!G24</f>
        <v>5</v>
      </c>
      <c r="D24" s="87">
        <v>0</v>
      </c>
      <c r="E24" s="47">
        <f t="shared" si="0"/>
        <v>5</v>
      </c>
      <c r="F24" s="87">
        <v>0</v>
      </c>
      <c r="G24" s="47">
        <f t="shared" si="4"/>
        <v>4</v>
      </c>
      <c r="H24" s="88">
        <v>1</v>
      </c>
      <c r="I24" s="21">
        <v>100</v>
      </c>
      <c r="J24" s="82">
        <f t="shared" si="5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9"/>
      <c r="Q24" s="47">
        <v>0</v>
      </c>
      <c r="R24" s="87">
        <v>0</v>
      </c>
      <c r="S24" s="47">
        <f t="shared" si="7"/>
        <v>0</v>
      </c>
      <c r="T24" s="87">
        <v>0</v>
      </c>
      <c r="U24" s="47">
        <f t="shared" si="8"/>
        <v>0</v>
      </c>
      <c r="V24" s="88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+'20'!G25</f>
        <v>5</v>
      </c>
      <c r="D25" s="87">
        <v>0</v>
      </c>
      <c r="E25" s="47">
        <f t="shared" si="0"/>
        <v>5</v>
      </c>
      <c r="F25" s="87">
        <v>0</v>
      </c>
      <c r="G25" s="47">
        <f t="shared" si="4"/>
        <v>5</v>
      </c>
      <c r="H25" s="88"/>
      <c r="I25" s="21">
        <v>100</v>
      </c>
      <c r="J25" s="8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7">
        <v>0</v>
      </c>
      <c r="S25" s="47">
        <f t="shared" si="7"/>
        <v>0</v>
      </c>
      <c r="T25" s="87">
        <v>0</v>
      </c>
      <c r="U25" s="47">
        <f t="shared" si="8"/>
        <v>0</v>
      </c>
      <c r="V25" s="88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+'20'!G26</f>
        <v>0</v>
      </c>
      <c r="D26" s="87">
        <v>0</v>
      </c>
      <c r="E26" s="47">
        <f t="shared" si="0"/>
        <v>0</v>
      </c>
      <c r="F26" s="87">
        <v>0</v>
      </c>
      <c r="G26" s="47">
        <f t="shared" si="4"/>
        <v>0</v>
      </c>
      <c r="H26" s="88"/>
      <c r="I26" s="21">
        <v>100</v>
      </c>
      <c r="J26" s="8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7">
        <v>0</v>
      </c>
      <c r="S26" s="47">
        <f t="shared" si="7"/>
        <v>0</v>
      </c>
      <c r="T26" s="87">
        <v>0</v>
      </c>
      <c r="U26" s="47">
        <f t="shared" si="8"/>
        <v>0</v>
      </c>
      <c r="V26" s="88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+'20'!G27</f>
        <v>0</v>
      </c>
      <c r="D27" s="87">
        <v>0</v>
      </c>
      <c r="E27" s="47">
        <f t="shared" si="0"/>
        <v>0</v>
      </c>
      <c r="F27" s="87">
        <v>0</v>
      </c>
      <c r="G27" s="47">
        <f t="shared" si="4"/>
        <v>0</v>
      </c>
      <c r="H27" s="88"/>
      <c r="I27" s="20">
        <v>100</v>
      </c>
      <c r="J27" s="8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7">
        <v>0</v>
      </c>
      <c r="S27" s="47">
        <f t="shared" si="7"/>
        <v>0</v>
      </c>
      <c r="T27" s="87">
        <v>0</v>
      </c>
      <c r="U27" s="47">
        <f t="shared" si="8"/>
        <v>0</v>
      </c>
      <c r="V27" s="88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+'20'!G28</f>
        <v>0</v>
      </c>
      <c r="D28" s="87">
        <v>0</v>
      </c>
      <c r="E28" s="47">
        <f t="shared" si="0"/>
        <v>0</v>
      </c>
      <c r="F28" s="87">
        <v>0</v>
      </c>
      <c r="G28" s="47">
        <f t="shared" si="4"/>
        <v>0</v>
      </c>
      <c r="H28" s="88"/>
      <c r="I28" s="20">
        <v>100</v>
      </c>
      <c r="J28" s="8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7">
        <v>0</v>
      </c>
      <c r="S28" s="47">
        <f t="shared" si="7"/>
        <v>0</v>
      </c>
      <c r="T28" s="87">
        <v>0</v>
      </c>
      <c r="U28" s="47">
        <f t="shared" si="8"/>
        <v>0</v>
      </c>
      <c r="V28" s="88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+'20'!G29</f>
        <v>0</v>
      </c>
      <c r="D29" s="87">
        <v>5</v>
      </c>
      <c r="E29" s="47">
        <f t="shared" si="0"/>
        <v>5</v>
      </c>
      <c r="F29" s="87">
        <v>0</v>
      </c>
      <c r="G29" s="47">
        <f t="shared" si="4"/>
        <v>2</v>
      </c>
      <c r="H29" s="88">
        <v>3</v>
      </c>
      <c r="I29" s="15">
        <v>100</v>
      </c>
      <c r="J29" s="82">
        <f t="shared" si="5"/>
        <v>300</v>
      </c>
      <c r="K29" s="17" t="s">
        <v>16</v>
      </c>
      <c r="L29" s="18">
        <v>0</v>
      </c>
      <c r="M29" s="23">
        <f t="shared" si="6"/>
        <v>300</v>
      </c>
      <c r="O29" s="10">
        <v>25</v>
      </c>
      <c r="P29" s="19"/>
      <c r="Q29" s="47">
        <v>0</v>
      </c>
      <c r="R29" s="87">
        <v>0</v>
      </c>
      <c r="S29" s="47">
        <f t="shared" si="7"/>
        <v>0</v>
      </c>
      <c r="T29" s="87">
        <v>0</v>
      </c>
      <c r="U29" s="47">
        <f t="shared" si="8"/>
        <v>0</v>
      </c>
      <c r="V29" s="88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+'20'!G30</f>
        <v>0</v>
      </c>
      <c r="D30" s="87">
        <v>0</v>
      </c>
      <c r="E30" s="47">
        <f t="shared" si="0"/>
        <v>0</v>
      </c>
      <c r="F30" s="87">
        <v>0</v>
      </c>
      <c r="G30" s="47">
        <f t="shared" si="4"/>
        <v>0</v>
      </c>
      <c r="H30" s="88"/>
      <c r="I30" s="15">
        <v>100</v>
      </c>
      <c r="J30" s="8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+'20'!G31</f>
        <v>1</v>
      </c>
      <c r="D31" s="87">
        <v>0</v>
      </c>
      <c r="E31" s="47">
        <f t="shared" si="0"/>
        <v>1</v>
      </c>
      <c r="F31" s="87">
        <v>0</v>
      </c>
      <c r="G31" s="47">
        <f t="shared" si="4"/>
        <v>1</v>
      </c>
      <c r="H31" s="88"/>
      <c r="I31" s="15">
        <v>100</v>
      </c>
      <c r="J31" s="82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+'20'!G32</f>
        <v>0</v>
      </c>
      <c r="D32" s="87">
        <v>0</v>
      </c>
      <c r="E32" s="47">
        <f t="shared" si="0"/>
        <v>0</v>
      </c>
      <c r="F32" s="87">
        <v>0</v>
      </c>
      <c r="G32" s="47">
        <f t="shared" si="4"/>
        <v>0</v>
      </c>
      <c r="H32" s="88"/>
      <c r="I32" s="15">
        <v>130</v>
      </c>
      <c r="J32" s="82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5" t="s">
        <v>119</v>
      </c>
      <c r="Q32" s="146"/>
      <c r="R32" s="146"/>
      <c r="S32" s="146"/>
      <c r="T32" s="146"/>
      <c r="U32" s="146"/>
      <c r="V32" s="146"/>
      <c r="W32" s="147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+'20'!G33</f>
        <v>9</v>
      </c>
      <c r="D33" s="87">
        <v>0</v>
      </c>
      <c r="E33" s="47">
        <f t="shared" si="0"/>
        <v>9</v>
      </c>
      <c r="F33" s="87">
        <v>0</v>
      </c>
      <c r="G33" s="47">
        <f t="shared" si="4"/>
        <v>7</v>
      </c>
      <c r="H33" s="88">
        <v>2</v>
      </c>
      <c r="I33" s="15">
        <v>130</v>
      </c>
      <c r="J33" s="82">
        <f t="shared" si="5"/>
        <v>260</v>
      </c>
      <c r="K33" s="17" t="s">
        <v>16</v>
      </c>
      <c r="L33" s="18">
        <v>130</v>
      </c>
      <c r="M33" s="23">
        <f t="shared" si="6"/>
        <v>130</v>
      </c>
    </row>
    <row r="34" spans="1:13" ht="25.5" x14ac:dyDescent="0.55000000000000004">
      <c r="A34" s="10">
        <v>30</v>
      </c>
      <c r="B34" s="19" t="s">
        <v>45</v>
      </c>
      <c r="C34" s="79">
        <v>16</v>
      </c>
      <c r="D34" s="87">
        <v>0</v>
      </c>
      <c r="E34" s="47">
        <f t="shared" si="0"/>
        <v>16</v>
      </c>
      <c r="F34" s="87">
        <v>0</v>
      </c>
      <c r="G34" s="47">
        <f t="shared" si="4"/>
        <v>14</v>
      </c>
      <c r="H34" s="88">
        <v>2</v>
      </c>
      <c r="I34" s="15">
        <v>130</v>
      </c>
      <c r="J34" s="82">
        <f t="shared" si="5"/>
        <v>260</v>
      </c>
      <c r="K34" s="17" t="s">
        <v>16</v>
      </c>
      <c r="L34" s="18">
        <v>130</v>
      </c>
      <c r="M34" s="23">
        <f t="shared" si="6"/>
        <v>130</v>
      </c>
    </row>
    <row r="35" spans="1:13" ht="25.5" x14ac:dyDescent="0.55000000000000004">
      <c r="A35" s="10">
        <v>31</v>
      </c>
      <c r="B35" s="19" t="s">
        <v>46</v>
      </c>
      <c r="C35" s="79">
        <f>+'20'!G35</f>
        <v>0</v>
      </c>
      <c r="D35" s="87">
        <v>0</v>
      </c>
      <c r="E35" s="47">
        <f t="shared" si="0"/>
        <v>0</v>
      </c>
      <c r="F35" s="87">
        <v>0</v>
      </c>
      <c r="G35" s="47">
        <f t="shared" si="4"/>
        <v>0</v>
      </c>
      <c r="H35" s="88"/>
      <c r="I35" s="15">
        <v>130</v>
      </c>
      <c r="J35" s="82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+'20'!G36</f>
        <v>0</v>
      </c>
      <c r="D36" s="87">
        <v>0</v>
      </c>
      <c r="E36" s="47">
        <f t="shared" si="0"/>
        <v>0</v>
      </c>
      <c r="F36" s="87">
        <v>0</v>
      </c>
      <c r="G36" s="47">
        <f t="shared" si="4"/>
        <v>0</v>
      </c>
      <c r="H36" s="88"/>
      <c r="I36" s="15">
        <v>100</v>
      </c>
      <c r="J36" s="82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+'20'!G37</f>
        <v>9</v>
      </c>
      <c r="D37" s="87">
        <v>0</v>
      </c>
      <c r="E37" s="47">
        <f t="shared" si="0"/>
        <v>9</v>
      </c>
      <c r="F37" s="87">
        <v>0</v>
      </c>
      <c r="G37" s="47">
        <f t="shared" si="4"/>
        <v>2</v>
      </c>
      <c r="H37" s="88">
        <v>7</v>
      </c>
      <c r="I37" s="15">
        <v>100</v>
      </c>
      <c r="J37" s="82">
        <f t="shared" si="5"/>
        <v>700</v>
      </c>
      <c r="K37" s="17" t="s">
        <v>16</v>
      </c>
      <c r="L37" s="18">
        <v>0</v>
      </c>
      <c r="M37" s="23">
        <f t="shared" si="6"/>
        <v>700</v>
      </c>
    </row>
    <row r="38" spans="1:13" ht="25.5" x14ac:dyDescent="0.55000000000000004">
      <c r="A38" s="10">
        <v>34</v>
      </c>
      <c r="B38" s="19" t="s">
        <v>49</v>
      </c>
      <c r="C38" s="79">
        <f>+'20'!G38</f>
        <v>2</v>
      </c>
      <c r="D38" s="87">
        <v>0</v>
      </c>
      <c r="E38" s="47">
        <f t="shared" si="0"/>
        <v>2</v>
      </c>
      <c r="F38" s="87">
        <v>0</v>
      </c>
      <c r="G38" s="47">
        <f t="shared" si="4"/>
        <v>0</v>
      </c>
      <c r="H38" s="88">
        <v>2</v>
      </c>
      <c r="I38" s="15">
        <v>50</v>
      </c>
      <c r="J38" s="82">
        <f t="shared" si="5"/>
        <v>100</v>
      </c>
      <c r="K38" s="17" t="s">
        <v>16</v>
      </c>
      <c r="L38" s="18">
        <v>0</v>
      </c>
      <c r="M38" s="23">
        <f t="shared" si="6"/>
        <v>100</v>
      </c>
    </row>
    <row r="39" spans="1:13" ht="25.5" x14ac:dyDescent="0.55000000000000004">
      <c r="A39" s="10">
        <v>35</v>
      </c>
      <c r="B39" s="19" t="s">
        <v>50</v>
      </c>
      <c r="C39" s="79">
        <f>+'20'!G39</f>
        <v>11</v>
      </c>
      <c r="D39" s="87">
        <v>0</v>
      </c>
      <c r="E39" s="47">
        <f t="shared" si="0"/>
        <v>11</v>
      </c>
      <c r="F39" s="87">
        <v>0</v>
      </c>
      <c r="G39" s="47">
        <f t="shared" si="4"/>
        <v>8</v>
      </c>
      <c r="H39" s="88">
        <v>3</v>
      </c>
      <c r="I39" s="15">
        <v>50</v>
      </c>
      <c r="J39" s="82">
        <f t="shared" si="5"/>
        <v>150</v>
      </c>
      <c r="K39" s="17" t="s">
        <v>16</v>
      </c>
      <c r="L39" s="18">
        <v>50</v>
      </c>
      <c r="M39" s="23">
        <f t="shared" si="6"/>
        <v>100</v>
      </c>
    </row>
    <row r="40" spans="1:13" ht="25.5" x14ac:dyDescent="0.55000000000000004">
      <c r="A40" s="10">
        <v>36</v>
      </c>
      <c r="B40" s="19" t="s">
        <v>51</v>
      </c>
      <c r="C40" s="79">
        <f>+'20'!G40</f>
        <v>9</v>
      </c>
      <c r="D40" s="87">
        <v>0</v>
      </c>
      <c r="E40" s="47">
        <f t="shared" si="0"/>
        <v>9</v>
      </c>
      <c r="F40" s="87">
        <v>0</v>
      </c>
      <c r="G40" s="47">
        <f t="shared" si="4"/>
        <v>8</v>
      </c>
      <c r="H40" s="88">
        <v>1</v>
      </c>
      <c r="I40" s="15">
        <v>50</v>
      </c>
      <c r="J40" s="82">
        <f t="shared" si="5"/>
        <v>50</v>
      </c>
      <c r="K40" s="17" t="s">
        <v>16</v>
      </c>
      <c r="L40" s="18">
        <v>0</v>
      </c>
      <c r="M40" s="23">
        <f t="shared" si="6"/>
        <v>50</v>
      </c>
    </row>
    <row r="41" spans="1:13" ht="25.5" x14ac:dyDescent="0.55000000000000004">
      <c r="A41" s="10">
        <v>37</v>
      </c>
      <c r="B41" s="19" t="s">
        <v>52</v>
      </c>
      <c r="C41" s="79">
        <f>+'20'!G41</f>
        <v>0</v>
      </c>
      <c r="D41" s="87">
        <v>0</v>
      </c>
      <c r="E41" s="47">
        <f t="shared" si="0"/>
        <v>0</v>
      </c>
      <c r="F41" s="87">
        <v>0</v>
      </c>
      <c r="G41" s="47">
        <f t="shared" si="4"/>
        <v>0</v>
      </c>
      <c r="H41" s="88"/>
      <c r="I41" s="15">
        <v>50</v>
      </c>
      <c r="J41" s="82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285</v>
      </c>
      <c r="C42" s="79">
        <f>+'20'!G42</f>
        <v>0</v>
      </c>
      <c r="D42" s="87">
        <v>0</v>
      </c>
      <c r="E42" s="47">
        <f t="shared" si="0"/>
        <v>0</v>
      </c>
      <c r="F42" s="87">
        <v>0</v>
      </c>
      <c r="G42" s="47">
        <f t="shared" si="4"/>
        <v>0</v>
      </c>
      <c r="H42" s="88"/>
      <c r="I42" s="15">
        <v>50</v>
      </c>
      <c r="J42" s="82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+'20'!G43</f>
        <v>0</v>
      </c>
      <c r="D43" s="87">
        <v>0</v>
      </c>
      <c r="E43" s="47">
        <f t="shared" si="0"/>
        <v>0</v>
      </c>
      <c r="F43" s="87">
        <v>0</v>
      </c>
      <c r="G43" s="47">
        <f t="shared" si="4"/>
        <v>0</v>
      </c>
      <c r="H43" s="88"/>
      <c r="I43" s="15">
        <v>50</v>
      </c>
      <c r="J43" s="82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+'20'!G44</f>
        <v>0</v>
      </c>
      <c r="D44" s="87">
        <v>0</v>
      </c>
      <c r="E44" s="47">
        <f t="shared" si="0"/>
        <v>0</v>
      </c>
      <c r="F44" s="87">
        <v>0</v>
      </c>
      <c r="G44" s="47">
        <f t="shared" si="4"/>
        <v>0</v>
      </c>
      <c r="H44" s="88"/>
      <c r="I44" s="15">
        <v>50</v>
      </c>
      <c r="J44" s="82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+'20'!G45</f>
        <v>0</v>
      </c>
      <c r="D45" s="87">
        <v>0</v>
      </c>
      <c r="E45" s="47">
        <f t="shared" si="0"/>
        <v>0</v>
      </c>
      <c r="F45" s="87">
        <v>0</v>
      </c>
      <c r="G45" s="47">
        <f t="shared" si="4"/>
        <v>0</v>
      </c>
      <c r="H45" s="88"/>
      <c r="I45" s="15">
        <v>50</v>
      </c>
      <c r="J45" s="82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286</v>
      </c>
      <c r="C46" s="79">
        <f>+'20'!G46</f>
        <v>2</v>
      </c>
      <c r="D46" s="87">
        <v>0</v>
      </c>
      <c r="E46" s="47">
        <f t="shared" si="0"/>
        <v>2</v>
      </c>
      <c r="F46" s="87">
        <v>0</v>
      </c>
      <c r="G46" s="47">
        <f t="shared" si="4"/>
        <v>0</v>
      </c>
      <c r="H46" s="88">
        <v>2</v>
      </c>
      <c r="I46" s="15">
        <v>50</v>
      </c>
      <c r="J46" s="82">
        <f t="shared" si="5"/>
        <v>100</v>
      </c>
      <c r="K46" s="17" t="s">
        <v>16</v>
      </c>
      <c r="L46" s="18">
        <v>0</v>
      </c>
      <c r="M46" s="23">
        <f t="shared" si="6"/>
        <v>100</v>
      </c>
    </row>
    <row r="47" spans="1:13" ht="25.5" x14ac:dyDescent="0.55000000000000004">
      <c r="A47" s="10">
        <v>43</v>
      </c>
      <c r="B47" s="19" t="s">
        <v>58</v>
      </c>
      <c r="C47" s="79">
        <f>+'20'!G47</f>
        <v>1</v>
      </c>
      <c r="D47" s="87">
        <v>0</v>
      </c>
      <c r="E47" s="47">
        <f t="shared" si="0"/>
        <v>1</v>
      </c>
      <c r="F47" s="87">
        <v>0</v>
      </c>
      <c r="G47" s="47">
        <f t="shared" si="4"/>
        <v>0</v>
      </c>
      <c r="H47" s="88">
        <v>1</v>
      </c>
      <c r="I47" s="15">
        <v>50</v>
      </c>
      <c r="J47" s="82">
        <f t="shared" si="5"/>
        <v>50</v>
      </c>
      <c r="K47" s="17" t="s">
        <v>16</v>
      </c>
      <c r="L47" s="18">
        <v>0</v>
      </c>
      <c r="M47" s="23">
        <f t="shared" si="6"/>
        <v>50</v>
      </c>
    </row>
    <row r="48" spans="1:13" ht="25.5" x14ac:dyDescent="0.55000000000000004">
      <c r="A48" s="10">
        <v>44</v>
      </c>
      <c r="B48" s="19" t="s">
        <v>59</v>
      </c>
      <c r="C48" s="79">
        <f>+'20'!G48</f>
        <v>0</v>
      </c>
      <c r="D48" s="87">
        <v>0</v>
      </c>
      <c r="E48" s="47">
        <f t="shared" si="0"/>
        <v>0</v>
      </c>
      <c r="F48" s="87">
        <v>0</v>
      </c>
      <c r="G48" s="47">
        <f t="shared" si="4"/>
        <v>0</v>
      </c>
      <c r="H48" s="88"/>
      <c r="I48" s="15">
        <v>50</v>
      </c>
      <c r="J48" s="82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+'20'!G49</f>
        <v>0</v>
      </c>
      <c r="D49" s="87">
        <v>1</v>
      </c>
      <c r="E49" s="47">
        <f t="shared" si="0"/>
        <v>1</v>
      </c>
      <c r="F49" s="87">
        <v>0</v>
      </c>
      <c r="G49" s="47">
        <f t="shared" si="4"/>
        <v>-1</v>
      </c>
      <c r="H49" s="88">
        <v>2</v>
      </c>
      <c r="I49" s="15">
        <v>50</v>
      </c>
      <c r="J49" s="82">
        <f t="shared" si="5"/>
        <v>100</v>
      </c>
      <c r="K49" s="17" t="s">
        <v>16</v>
      </c>
      <c r="L49" s="18">
        <v>0</v>
      </c>
      <c r="M49" s="23">
        <f t="shared" si="6"/>
        <v>100</v>
      </c>
    </row>
    <row r="50" spans="1:13" ht="25.5" x14ac:dyDescent="0.55000000000000004">
      <c r="A50" s="10">
        <v>46</v>
      </c>
      <c r="B50" s="19" t="s">
        <v>61</v>
      </c>
      <c r="C50" s="79">
        <f>+'20'!G50</f>
        <v>2</v>
      </c>
      <c r="D50" s="87">
        <v>0</v>
      </c>
      <c r="E50" s="47">
        <f t="shared" si="0"/>
        <v>2</v>
      </c>
      <c r="F50" s="87">
        <v>0</v>
      </c>
      <c r="G50" s="47">
        <f t="shared" si="4"/>
        <v>2</v>
      </c>
      <c r="H50" s="88"/>
      <c r="I50" s="15">
        <v>120</v>
      </c>
      <c r="J50" s="82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+'20'!G51</f>
        <v>0</v>
      </c>
      <c r="D51" s="87">
        <v>0</v>
      </c>
      <c r="E51" s="47">
        <f t="shared" si="0"/>
        <v>0</v>
      </c>
      <c r="F51" s="87">
        <v>0</v>
      </c>
      <c r="G51" s="47">
        <f t="shared" si="4"/>
        <v>0</v>
      </c>
      <c r="H51" s="88"/>
      <c r="I51" s="15">
        <v>120</v>
      </c>
      <c r="J51" s="82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+'20'!G52</f>
        <v>0</v>
      </c>
      <c r="D52" s="87">
        <v>0</v>
      </c>
      <c r="E52" s="47">
        <f t="shared" si="0"/>
        <v>0</v>
      </c>
      <c r="F52" s="87">
        <v>0</v>
      </c>
      <c r="G52" s="47">
        <f t="shared" si="4"/>
        <v>0</v>
      </c>
      <c r="H52" s="88"/>
      <c r="I52" s="21">
        <v>120</v>
      </c>
      <c r="J52" s="82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+'20'!G53</f>
        <v>0</v>
      </c>
      <c r="D53" s="87">
        <v>0</v>
      </c>
      <c r="E53" s="47">
        <f t="shared" si="0"/>
        <v>0</v>
      </c>
      <c r="F53" s="87">
        <v>0</v>
      </c>
      <c r="G53" s="47">
        <f t="shared" si="4"/>
        <v>0</v>
      </c>
      <c r="H53" s="88"/>
      <c r="I53" s="15">
        <v>120</v>
      </c>
      <c r="J53" s="82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+'20'!G54</f>
        <v>0</v>
      </c>
      <c r="D54" s="87">
        <v>0</v>
      </c>
      <c r="E54" s="47">
        <f t="shared" si="0"/>
        <v>0</v>
      </c>
      <c r="F54" s="87">
        <v>0</v>
      </c>
      <c r="G54" s="47">
        <f t="shared" si="4"/>
        <v>0</v>
      </c>
      <c r="H54" s="88"/>
      <c r="I54" s="15">
        <v>120</v>
      </c>
      <c r="J54" s="82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+'20'!G55</f>
        <v>2</v>
      </c>
      <c r="D55" s="87">
        <v>0</v>
      </c>
      <c r="E55" s="47">
        <f t="shared" si="0"/>
        <v>2</v>
      </c>
      <c r="F55" s="87">
        <v>0</v>
      </c>
      <c r="G55" s="47">
        <f t="shared" si="4"/>
        <v>2</v>
      </c>
      <c r="H55" s="88"/>
      <c r="I55" s="21">
        <v>120</v>
      </c>
      <c r="J55" s="82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+'20'!G56</f>
        <v>0</v>
      </c>
      <c r="D56" s="87">
        <v>0</v>
      </c>
      <c r="E56" s="47">
        <f t="shared" si="0"/>
        <v>0</v>
      </c>
      <c r="F56" s="87">
        <v>0</v>
      </c>
      <c r="G56" s="47">
        <f t="shared" si="4"/>
        <v>0</v>
      </c>
      <c r="H56" s="88"/>
      <c r="I56" s="21">
        <v>120</v>
      </c>
      <c r="J56" s="82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+'20'!G57</f>
        <v>0</v>
      </c>
      <c r="D57" s="87">
        <v>0</v>
      </c>
      <c r="E57" s="47">
        <f t="shared" si="0"/>
        <v>0</v>
      </c>
      <c r="F57" s="87">
        <v>0</v>
      </c>
      <c r="G57" s="47">
        <f t="shared" si="4"/>
        <v>0</v>
      </c>
      <c r="H57" s="88"/>
      <c r="I57" s="21">
        <v>120</v>
      </c>
      <c r="J57" s="82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+'20'!G58</f>
        <v>0</v>
      </c>
      <c r="D58" s="87">
        <v>0</v>
      </c>
      <c r="E58" s="47">
        <f t="shared" si="0"/>
        <v>0</v>
      </c>
      <c r="F58" s="87">
        <v>0</v>
      </c>
      <c r="G58" s="47">
        <f t="shared" si="4"/>
        <v>0</v>
      </c>
      <c r="H58" s="88"/>
      <c r="I58" s="21">
        <v>120</v>
      </c>
      <c r="J58" s="82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+'20'!G59</f>
        <v>0</v>
      </c>
      <c r="D59" s="87">
        <v>0</v>
      </c>
      <c r="E59" s="47">
        <f t="shared" si="0"/>
        <v>0</v>
      </c>
      <c r="F59" s="87">
        <v>0</v>
      </c>
      <c r="G59" s="47">
        <f t="shared" si="4"/>
        <v>0</v>
      </c>
      <c r="H59" s="88"/>
      <c r="I59" s="15">
        <v>70</v>
      </c>
      <c r="J59" s="82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+'20'!G60</f>
        <v>0</v>
      </c>
      <c r="D60" s="87">
        <v>0</v>
      </c>
      <c r="E60" s="47">
        <f t="shared" si="0"/>
        <v>0</v>
      </c>
      <c r="F60" s="87">
        <v>0</v>
      </c>
      <c r="G60" s="47">
        <f t="shared" si="4"/>
        <v>0</v>
      </c>
      <c r="H60" s="88"/>
      <c r="I60" s="21">
        <v>80</v>
      </c>
      <c r="J60" s="82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+'20'!G61</f>
        <v>0</v>
      </c>
      <c r="D61" s="87">
        <v>0</v>
      </c>
      <c r="E61" s="47">
        <f t="shared" si="0"/>
        <v>0</v>
      </c>
      <c r="F61" s="87">
        <v>0</v>
      </c>
      <c r="G61" s="47">
        <f t="shared" si="4"/>
        <v>0</v>
      </c>
      <c r="H61" s="88"/>
      <c r="I61" s="15">
        <v>50</v>
      </c>
      <c r="J61" s="82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v>3</v>
      </c>
      <c r="D62" s="87">
        <v>0</v>
      </c>
      <c r="E62" s="47">
        <f t="shared" si="0"/>
        <v>3</v>
      </c>
      <c r="F62" s="87">
        <v>0</v>
      </c>
      <c r="G62" s="47">
        <f t="shared" si="4"/>
        <v>2</v>
      </c>
      <c r="H62" s="88">
        <v>1</v>
      </c>
      <c r="I62" s="20">
        <v>50</v>
      </c>
      <c r="J62" s="82">
        <f t="shared" si="5"/>
        <v>50</v>
      </c>
      <c r="K62" s="17" t="s">
        <v>16</v>
      </c>
      <c r="L62" s="18">
        <v>0</v>
      </c>
      <c r="M62" s="23">
        <f t="shared" si="6"/>
        <v>50</v>
      </c>
    </row>
    <row r="63" spans="1:13" ht="25.5" x14ac:dyDescent="0.55000000000000004">
      <c r="A63" s="10">
        <v>59</v>
      </c>
      <c r="B63" s="19" t="s">
        <v>74</v>
      </c>
      <c r="C63" s="79">
        <f>+'20'!G63</f>
        <v>0</v>
      </c>
      <c r="D63" s="87">
        <v>0</v>
      </c>
      <c r="E63" s="47">
        <f t="shared" si="0"/>
        <v>0</v>
      </c>
      <c r="F63" s="87">
        <v>0</v>
      </c>
      <c r="G63" s="47">
        <f t="shared" si="4"/>
        <v>0</v>
      </c>
      <c r="H63" s="88"/>
      <c r="I63" s="20">
        <v>50</v>
      </c>
      <c r="J63" s="82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+'20'!G64</f>
        <v>0</v>
      </c>
      <c r="D64" s="87">
        <v>0</v>
      </c>
      <c r="E64" s="47">
        <f t="shared" si="0"/>
        <v>0</v>
      </c>
      <c r="F64" s="87">
        <v>0</v>
      </c>
      <c r="G64" s="47">
        <f t="shared" si="4"/>
        <v>0</v>
      </c>
      <c r="H64" s="88"/>
      <c r="I64" s="21">
        <v>30</v>
      </c>
      <c r="J64" s="82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+'20'!G65</f>
        <v>0</v>
      </c>
      <c r="D65" s="87">
        <v>0</v>
      </c>
      <c r="E65" s="47">
        <f t="shared" si="0"/>
        <v>0</v>
      </c>
      <c r="F65" s="87">
        <v>0</v>
      </c>
      <c r="G65" s="47">
        <f t="shared" si="4"/>
        <v>0</v>
      </c>
      <c r="H65" s="88"/>
      <c r="I65" s="21">
        <v>30</v>
      </c>
      <c r="J65" s="82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v>10</v>
      </c>
      <c r="D66" s="87">
        <v>0</v>
      </c>
      <c r="E66" s="47">
        <f t="shared" si="0"/>
        <v>10</v>
      </c>
      <c r="F66" s="87">
        <v>0</v>
      </c>
      <c r="G66" s="47">
        <f t="shared" si="4"/>
        <v>9</v>
      </c>
      <c r="H66" s="88">
        <v>1</v>
      </c>
      <c r="I66" s="15">
        <v>50</v>
      </c>
      <c r="J66" s="82">
        <f t="shared" si="5"/>
        <v>50</v>
      </c>
      <c r="K66" s="17" t="s">
        <v>16</v>
      </c>
      <c r="L66" s="18">
        <v>0</v>
      </c>
      <c r="M66" s="23">
        <f t="shared" si="6"/>
        <v>50</v>
      </c>
    </row>
    <row r="67" spans="1:13" ht="25.5" x14ac:dyDescent="0.55000000000000004">
      <c r="A67" s="10">
        <v>63</v>
      </c>
      <c r="B67" s="19" t="s">
        <v>78</v>
      </c>
      <c r="C67" s="79">
        <f>+'20'!G67</f>
        <v>5</v>
      </c>
      <c r="D67" s="87">
        <v>0</v>
      </c>
      <c r="E67" s="47">
        <f t="shared" si="0"/>
        <v>5</v>
      </c>
      <c r="F67" s="87">
        <v>0</v>
      </c>
      <c r="G67" s="47">
        <f t="shared" si="4"/>
        <v>4</v>
      </c>
      <c r="H67" s="88">
        <v>1</v>
      </c>
      <c r="I67" s="15">
        <v>50</v>
      </c>
      <c r="J67" s="82">
        <f t="shared" si="5"/>
        <v>50</v>
      </c>
      <c r="K67" s="17" t="s">
        <v>16</v>
      </c>
      <c r="L67" s="18">
        <v>0</v>
      </c>
      <c r="M67" s="23">
        <f t="shared" si="6"/>
        <v>50</v>
      </c>
    </row>
    <row r="68" spans="1:13" ht="25.5" x14ac:dyDescent="0.55000000000000004">
      <c r="A68" s="10">
        <v>64</v>
      </c>
      <c r="B68" s="19" t="s">
        <v>79</v>
      </c>
      <c r="C68" s="79">
        <f>+'20'!G68</f>
        <v>0</v>
      </c>
      <c r="D68" s="87">
        <v>0</v>
      </c>
      <c r="E68" s="47">
        <f t="shared" si="0"/>
        <v>0</v>
      </c>
      <c r="F68" s="87">
        <v>0</v>
      </c>
      <c r="G68" s="47">
        <f t="shared" si="4"/>
        <v>0</v>
      </c>
      <c r="H68" s="88"/>
      <c r="I68" s="20">
        <v>35</v>
      </c>
      <c r="J68" s="82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+'20'!G69</f>
        <v>0</v>
      </c>
      <c r="D69" s="87">
        <v>0</v>
      </c>
      <c r="E69" s="47">
        <f t="shared" si="0"/>
        <v>0</v>
      </c>
      <c r="F69" s="87">
        <v>0</v>
      </c>
      <c r="G69" s="47">
        <f t="shared" si="4"/>
        <v>0</v>
      </c>
      <c r="H69" s="88"/>
      <c r="I69" s="20">
        <v>25</v>
      </c>
      <c r="J69" s="82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+'20'!G70</f>
        <v>5</v>
      </c>
      <c r="D70" s="87">
        <v>0</v>
      </c>
      <c r="E70" s="47">
        <f t="shared" si="0"/>
        <v>5</v>
      </c>
      <c r="F70" s="87">
        <v>0</v>
      </c>
      <c r="G70" s="47">
        <f t="shared" si="4"/>
        <v>5</v>
      </c>
      <c r="H70" s="88"/>
      <c r="I70" s="20">
        <v>50</v>
      </c>
      <c r="J70" s="82">
        <f t="shared" si="5"/>
        <v>0</v>
      </c>
      <c r="K70" s="17" t="s">
        <v>16</v>
      </c>
      <c r="L70" s="18">
        <v>0</v>
      </c>
      <c r="M70" s="23">
        <f t="shared" ref="M70:M134" si="10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+'20'!G71</f>
        <v>2</v>
      </c>
      <c r="D71" s="87">
        <v>0</v>
      </c>
      <c r="E71" s="47">
        <f t="shared" si="0"/>
        <v>2</v>
      </c>
      <c r="F71" s="87">
        <v>0</v>
      </c>
      <c r="G71" s="47">
        <f t="shared" si="4"/>
        <v>1</v>
      </c>
      <c r="H71" s="88">
        <v>1</v>
      </c>
      <c r="I71" s="20">
        <v>60</v>
      </c>
      <c r="J71" s="82">
        <f t="shared" si="5"/>
        <v>60</v>
      </c>
      <c r="K71" s="17" t="s">
        <v>16</v>
      </c>
      <c r="L71" s="18">
        <v>0</v>
      </c>
      <c r="M71" s="23">
        <f t="shared" si="10"/>
        <v>60</v>
      </c>
    </row>
    <row r="72" spans="1:13" ht="25.5" x14ac:dyDescent="0.55000000000000004">
      <c r="A72" s="10">
        <v>68</v>
      </c>
      <c r="B72" s="19" t="s">
        <v>83</v>
      </c>
      <c r="C72" s="79">
        <f>+'20'!G72</f>
        <v>0</v>
      </c>
      <c r="D72" s="87">
        <v>0</v>
      </c>
      <c r="E72" s="47">
        <f t="shared" si="0"/>
        <v>0</v>
      </c>
      <c r="F72" s="87">
        <v>0</v>
      </c>
      <c r="G72" s="47">
        <f t="shared" si="4"/>
        <v>0</v>
      </c>
      <c r="H72" s="88"/>
      <c r="I72" s="22">
        <v>50</v>
      </c>
      <c r="J72" s="82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+'20'!G73</f>
        <v>0</v>
      </c>
      <c r="D73" s="87">
        <v>0</v>
      </c>
      <c r="E73" s="47">
        <f t="shared" si="0"/>
        <v>0</v>
      </c>
      <c r="F73" s="87">
        <v>0</v>
      </c>
      <c r="G73" s="47">
        <f t="shared" si="4"/>
        <v>0</v>
      </c>
      <c r="H73" s="88"/>
      <c r="I73" s="20">
        <v>60</v>
      </c>
      <c r="J73" s="82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+'20'!G74</f>
        <v>1</v>
      </c>
      <c r="D74" s="87">
        <v>0</v>
      </c>
      <c r="E74" s="47">
        <f t="shared" si="0"/>
        <v>1</v>
      </c>
      <c r="F74" s="87">
        <v>0</v>
      </c>
      <c r="G74" s="47">
        <f t="shared" si="4"/>
        <v>1</v>
      </c>
      <c r="H74" s="88"/>
      <c r="I74" s="22">
        <v>120</v>
      </c>
      <c r="J74" s="82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+'20'!G75</f>
        <v>0</v>
      </c>
      <c r="D75" s="87">
        <v>0</v>
      </c>
      <c r="E75" s="47">
        <f t="shared" si="0"/>
        <v>0</v>
      </c>
      <c r="F75" s="87">
        <v>0</v>
      </c>
      <c r="G75" s="47">
        <f t="shared" si="4"/>
        <v>0</v>
      </c>
      <c r="H75" s="88"/>
      <c r="I75" s="22">
        <v>60</v>
      </c>
      <c r="J75" s="82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+'20'!G76</f>
        <v>0</v>
      </c>
      <c r="D76" s="87">
        <v>0</v>
      </c>
      <c r="E76" s="47">
        <f t="shared" si="0"/>
        <v>0</v>
      </c>
      <c r="F76" s="87">
        <v>0</v>
      </c>
      <c r="G76" s="47">
        <f t="shared" si="4"/>
        <v>0</v>
      </c>
      <c r="H76" s="88"/>
      <c r="I76" s="22">
        <v>120</v>
      </c>
      <c r="J76" s="82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1" t="s">
        <v>272</v>
      </c>
      <c r="C77" s="79">
        <f>+'20'!G77</f>
        <v>3</v>
      </c>
      <c r="D77" s="87">
        <v>0</v>
      </c>
      <c r="E77" s="47">
        <f>C77+D77</f>
        <v>3</v>
      </c>
      <c r="F77" s="87">
        <v>0</v>
      </c>
      <c r="G77" s="47">
        <f>+E77-F77-H77</f>
        <v>2</v>
      </c>
      <c r="H77" s="88">
        <v>1</v>
      </c>
      <c r="I77" s="20">
        <v>50</v>
      </c>
      <c r="J77" s="82">
        <f>+I77*H77</f>
        <v>50</v>
      </c>
      <c r="K77" s="17" t="s">
        <v>16</v>
      </c>
      <c r="L77" s="18">
        <v>0</v>
      </c>
      <c r="M77" s="23">
        <f>SUM(J77-L77)</f>
        <v>50</v>
      </c>
    </row>
    <row r="78" spans="1:13" ht="25.5" x14ac:dyDescent="0.55000000000000004">
      <c r="A78" s="10">
        <v>74</v>
      </c>
      <c r="B78" s="19" t="s">
        <v>277</v>
      </c>
      <c r="C78" s="79">
        <f>+'20'!G78</f>
        <v>2</v>
      </c>
      <c r="D78" s="87">
        <v>0</v>
      </c>
      <c r="E78" s="47">
        <f t="shared" si="0"/>
        <v>2</v>
      </c>
      <c r="F78" s="87">
        <v>0</v>
      </c>
      <c r="G78" s="47">
        <f t="shared" si="4"/>
        <v>1</v>
      </c>
      <c r="H78" s="88">
        <v>1</v>
      </c>
      <c r="I78" s="20">
        <v>50</v>
      </c>
      <c r="J78" s="82">
        <f t="shared" si="5"/>
        <v>50</v>
      </c>
      <c r="K78" s="17" t="s">
        <v>16</v>
      </c>
      <c r="L78" s="18">
        <v>0</v>
      </c>
      <c r="M78" s="23">
        <f t="shared" si="10"/>
        <v>50</v>
      </c>
    </row>
    <row r="79" spans="1:13" ht="25.5" x14ac:dyDescent="0.55000000000000004">
      <c r="A79" s="10">
        <v>75</v>
      </c>
      <c r="B79" s="19" t="s">
        <v>278</v>
      </c>
      <c r="C79" s="79">
        <f>+'20'!G79</f>
        <v>0</v>
      </c>
      <c r="D79" s="87">
        <v>0</v>
      </c>
      <c r="E79" s="47">
        <f t="shared" si="0"/>
        <v>0</v>
      </c>
      <c r="F79" s="87">
        <v>0</v>
      </c>
      <c r="G79" s="47">
        <f t="shared" si="4"/>
        <v>0</v>
      </c>
      <c r="H79" s="88"/>
      <c r="I79" s="22">
        <v>120</v>
      </c>
      <c r="J79" s="82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90</v>
      </c>
      <c r="C80" s="79">
        <f>+'20'!G80</f>
        <v>4</v>
      </c>
      <c r="D80" s="87">
        <v>0</v>
      </c>
      <c r="E80" s="47">
        <f t="shared" si="0"/>
        <v>4</v>
      </c>
      <c r="F80" s="87">
        <v>0</v>
      </c>
      <c r="G80" s="47">
        <f t="shared" si="4"/>
        <v>3</v>
      </c>
      <c r="H80" s="88">
        <v>1</v>
      </c>
      <c r="I80" s="22">
        <v>50</v>
      </c>
      <c r="J80" s="82">
        <f t="shared" si="5"/>
        <v>50</v>
      </c>
      <c r="K80" s="17" t="s">
        <v>16</v>
      </c>
      <c r="L80" s="18">
        <v>0</v>
      </c>
      <c r="M80" s="23">
        <f t="shared" si="10"/>
        <v>50</v>
      </c>
    </row>
    <row r="81" spans="1:13" ht="25.5" x14ac:dyDescent="0.55000000000000004">
      <c r="A81" s="10">
        <v>77</v>
      </c>
      <c r="B81" s="19" t="s">
        <v>91</v>
      </c>
      <c r="C81" s="79">
        <f>+'20'!G81</f>
        <v>0</v>
      </c>
      <c r="D81" s="87">
        <v>0</v>
      </c>
      <c r="E81" s="47">
        <f t="shared" si="0"/>
        <v>0</v>
      </c>
      <c r="F81" s="87">
        <v>0</v>
      </c>
      <c r="G81" s="47">
        <f t="shared" si="4"/>
        <v>0</v>
      </c>
      <c r="H81" s="88"/>
      <c r="I81" s="22">
        <v>50</v>
      </c>
      <c r="J81" s="82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92</v>
      </c>
      <c r="C82" s="79">
        <f>+'20'!G82</f>
        <v>1</v>
      </c>
      <c r="D82" s="87">
        <v>0</v>
      </c>
      <c r="E82" s="47">
        <f t="shared" si="0"/>
        <v>1</v>
      </c>
      <c r="F82" s="87">
        <v>0</v>
      </c>
      <c r="G82" s="47">
        <f t="shared" si="4"/>
        <v>1</v>
      </c>
      <c r="H82" s="88"/>
      <c r="I82" s="20">
        <v>55</v>
      </c>
      <c r="J82" s="82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93</v>
      </c>
      <c r="C83" s="79">
        <f>+'20'!G83</f>
        <v>2</v>
      </c>
      <c r="D83" s="87">
        <v>0</v>
      </c>
      <c r="E83" s="47">
        <f t="shared" si="0"/>
        <v>2</v>
      </c>
      <c r="F83" s="87">
        <v>0</v>
      </c>
      <c r="G83" s="47">
        <f t="shared" si="4"/>
        <v>1</v>
      </c>
      <c r="H83" s="88">
        <v>1</v>
      </c>
      <c r="I83" s="22">
        <v>55</v>
      </c>
      <c r="J83" s="82">
        <f t="shared" si="5"/>
        <v>55</v>
      </c>
      <c r="K83" s="17" t="s">
        <v>16</v>
      </c>
      <c r="L83" s="18">
        <v>0</v>
      </c>
      <c r="M83" s="23">
        <f t="shared" si="10"/>
        <v>55</v>
      </c>
    </row>
    <row r="84" spans="1:13" ht="25.5" x14ac:dyDescent="0.55000000000000004">
      <c r="A84" s="10">
        <v>80</v>
      </c>
      <c r="B84" s="19" t="s">
        <v>94</v>
      </c>
      <c r="C84" s="79">
        <f>+'20'!G84</f>
        <v>0</v>
      </c>
      <c r="D84" s="87">
        <v>0</v>
      </c>
      <c r="E84" s="47">
        <f t="shared" si="0"/>
        <v>0</v>
      </c>
      <c r="F84" s="87">
        <v>0</v>
      </c>
      <c r="G84" s="47">
        <f t="shared" si="4"/>
        <v>0</v>
      </c>
      <c r="H84" s="88"/>
      <c r="I84" s="22">
        <v>55</v>
      </c>
      <c r="J84" s="82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95</v>
      </c>
      <c r="C85" s="79">
        <f>+'20'!G85</f>
        <v>0</v>
      </c>
      <c r="D85" s="87">
        <v>0</v>
      </c>
      <c r="E85" s="47">
        <f t="shared" si="0"/>
        <v>0</v>
      </c>
      <c r="F85" s="87">
        <v>0</v>
      </c>
      <c r="G85" s="47">
        <f t="shared" si="4"/>
        <v>0</v>
      </c>
      <c r="H85" s="88"/>
      <c r="I85" s="22">
        <v>55</v>
      </c>
      <c r="J85" s="82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96</v>
      </c>
      <c r="C86" s="79">
        <f>+'20'!G86</f>
        <v>2</v>
      </c>
      <c r="D86" s="87">
        <v>0</v>
      </c>
      <c r="E86" s="47">
        <f t="shared" si="0"/>
        <v>2</v>
      </c>
      <c r="F86" s="87">
        <v>0</v>
      </c>
      <c r="G86" s="47">
        <f t="shared" si="4"/>
        <v>2</v>
      </c>
      <c r="H86" s="88"/>
      <c r="I86" s="22">
        <v>100</v>
      </c>
      <c r="J86" s="82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97</v>
      </c>
      <c r="C87" s="79">
        <f>+'20'!G87</f>
        <v>3</v>
      </c>
      <c r="D87" s="87">
        <v>0</v>
      </c>
      <c r="E87" s="47">
        <f t="shared" si="0"/>
        <v>3</v>
      </c>
      <c r="F87" s="87">
        <v>0</v>
      </c>
      <c r="G87" s="47">
        <f t="shared" si="4"/>
        <v>3</v>
      </c>
      <c r="H87" s="88"/>
      <c r="I87" s="20">
        <v>55</v>
      </c>
      <c r="J87" s="82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98</v>
      </c>
      <c r="C88" s="79">
        <f>+'20'!G88</f>
        <v>10</v>
      </c>
      <c r="D88" s="87">
        <v>0</v>
      </c>
      <c r="E88" s="47">
        <f t="shared" si="0"/>
        <v>10</v>
      </c>
      <c r="F88" s="87">
        <v>0</v>
      </c>
      <c r="G88" s="47">
        <f t="shared" si="4"/>
        <v>10</v>
      </c>
      <c r="H88" s="88"/>
      <c r="I88" s="20">
        <v>60</v>
      </c>
      <c r="J88" s="82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99</v>
      </c>
      <c r="C89" s="79">
        <f>+'20'!G89</f>
        <v>11</v>
      </c>
      <c r="D89" s="87">
        <v>0</v>
      </c>
      <c r="E89" s="47">
        <f t="shared" si="0"/>
        <v>11</v>
      </c>
      <c r="F89" s="87">
        <v>0</v>
      </c>
      <c r="G89" s="47">
        <f t="shared" si="4"/>
        <v>9</v>
      </c>
      <c r="H89" s="88">
        <v>2</v>
      </c>
      <c r="I89" s="20">
        <v>100</v>
      </c>
      <c r="J89" s="82">
        <f t="shared" si="5"/>
        <v>200</v>
      </c>
      <c r="K89" s="17" t="s">
        <v>16</v>
      </c>
      <c r="L89" s="18">
        <v>0</v>
      </c>
      <c r="M89" s="23">
        <f t="shared" si="10"/>
        <v>200</v>
      </c>
    </row>
    <row r="90" spans="1:13" ht="25.5" x14ac:dyDescent="0.55000000000000004">
      <c r="A90" s="10">
        <v>86</v>
      </c>
      <c r="B90" s="19" t="s">
        <v>100</v>
      </c>
      <c r="C90" s="79">
        <f>+'20'!G90</f>
        <v>8</v>
      </c>
      <c r="D90" s="87">
        <v>0</v>
      </c>
      <c r="E90" s="47">
        <f t="shared" si="0"/>
        <v>8</v>
      </c>
      <c r="F90" s="87">
        <v>0</v>
      </c>
      <c r="G90" s="47">
        <f t="shared" si="4"/>
        <v>8</v>
      </c>
      <c r="H90" s="88"/>
      <c r="I90" s="20">
        <v>55</v>
      </c>
      <c r="J90" s="82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101</v>
      </c>
      <c r="C91" s="79">
        <f>+'20'!G91</f>
        <v>0</v>
      </c>
      <c r="D91" s="87">
        <v>0</v>
      </c>
      <c r="E91" s="47">
        <f t="shared" si="0"/>
        <v>0</v>
      </c>
      <c r="F91" s="87">
        <v>0</v>
      </c>
      <c r="G91" s="47">
        <f t="shared" si="4"/>
        <v>0</v>
      </c>
      <c r="H91" s="88"/>
      <c r="I91" s="20">
        <v>50</v>
      </c>
      <c r="J91" s="82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102</v>
      </c>
      <c r="C92" s="79">
        <f>+'20'!G92</f>
        <v>0</v>
      </c>
      <c r="D92" s="87">
        <v>0</v>
      </c>
      <c r="E92" s="47">
        <f t="shared" si="0"/>
        <v>0</v>
      </c>
      <c r="F92" s="87">
        <v>0</v>
      </c>
      <c r="G92" s="47">
        <f t="shared" si="4"/>
        <v>0</v>
      </c>
      <c r="H92" s="88"/>
      <c r="I92" s="22">
        <v>50</v>
      </c>
      <c r="J92" s="82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248</v>
      </c>
      <c r="C93" s="79">
        <f>+'20'!G93</f>
        <v>0</v>
      </c>
      <c r="D93" s="87">
        <v>0</v>
      </c>
      <c r="E93" s="47">
        <f t="shared" si="0"/>
        <v>0</v>
      </c>
      <c r="F93" s="87">
        <v>0</v>
      </c>
      <c r="G93" s="47">
        <f t="shared" si="4"/>
        <v>0</v>
      </c>
      <c r="H93" s="88"/>
      <c r="I93" s="22">
        <v>120</v>
      </c>
      <c r="J93" s="82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104</v>
      </c>
      <c r="C94" s="79">
        <f>+'20'!G94</f>
        <v>0</v>
      </c>
      <c r="D94" s="87">
        <v>0</v>
      </c>
      <c r="E94" s="47">
        <f t="shared" si="0"/>
        <v>0</v>
      </c>
      <c r="F94" s="87">
        <v>0</v>
      </c>
      <c r="G94" s="47">
        <f t="shared" si="4"/>
        <v>0</v>
      </c>
      <c r="H94" s="88"/>
      <c r="I94" s="20">
        <v>250</v>
      </c>
      <c r="J94" s="82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105</v>
      </c>
      <c r="C95" s="79">
        <f>+'20'!G95</f>
        <v>0</v>
      </c>
      <c r="D95" s="87">
        <v>0</v>
      </c>
      <c r="E95" s="47">
        <f t="shared" si="0"/>
        <v>0</v>
      </c>
      <c r="F95" s="87">
        <v>0</v>
      </c>
      <c r="G95" s="47">
        <f t="shared" si="4"/>
        <v>0</v>
      </c>
      <c r="H95" s="88"/>
      <c r="I95" s="20">
        <v>120</v>
      </c>
      <c r="J95" s="82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106</v>
      </c>
      <c r="C96" s="79">
        <f>+'20'!G96</f>
        <v>0</v>
      </c>
      <c r="D96" s="87">
        <v>0</v>
      </c>
      <c r="E96" s="47">
        <f t="shared" si="0"/>
        <v>0</v>
      </c>
      <c r="F96" s="87">
        <v>0</v>
      </c>
      <c r="G96" s="47">
        <f t="shared" si="4"/>
        <v>0</v>
      </c>
      <c r="H96" s="88"/>
      <c r="I96" s="20">
        <v>120</v>
      </c>
      <c r="J96" s="82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107</v>
      </c>
      <c r="C97" s="79">
        <f>+'20'!G97</f>
        <v>0</v>
      </c>
      <c r="D97" s="87">
        <v>0</v>
      </c>
      <c r="E97" s="47">
        <f t="shared" si="0"/>
        <v>0</v>
      </c>
      <c r="F97" s="87">
        <v>0</v>
      </c>
      <c r="G97" s="47">
        <f t="shared" si="4"/>
        <v>0</v>
      </c>
      <c r="H97" s="88"/>
      <c r="I97" s="20">
        <v>120</v>
      </c>
      <c r="J97" s="82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103</v>
      </c>
      <c r="C98" s="79">
        <f>+'20'!G98</f>
        <v>0</v>
      </c>
      <c r="D98" s="87">
        <v>0</v>
      </c>
      <c r="E98" s="47">
        <f t="shared" si="0"/>
        <v>0</v>
      </c>
      <c r="F98" s="87">
        <v>0</v>
      </c>
      <c r="G98" s="47">
        <f t="shared" si="4"/>
        <v>0</v>
      </c>
      <c r="H98" s="88"/>
      <c r="I98" s="20">
        <v>120</v>
      </c>
      <c r="J98" s="82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109</v>
      </c>
      <c r="C99" s="79">
        <f>+'20'!G99</f>
        <v>0</v>
      </c>
      <c r="D99" s="87">
        <v>0</v>
      </c>
      <c r="E99" s="47">
        <f t="shared" si="0"/>
        <v>0</v>
      </c>
      <c r="F99" s="87">
        <v>0</v>
      </c>
      <c r="G99" s="47">
        <f t="shared" si="4"/>
        <v>0</v>
      </c>
      <c r="H99" s="88"/>
      <c r="I99" s="20">
        <v>50</v>
      </c>
      <c r="J99" s="82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110</v>
      </c>
      <c r="C100" s="79">
        <f>+'20'!G100</f>
        <v>0</v>
      </c>
      <c r="D100" s="87">
        <v>0</v>
      </c>
      <c r="E100" s="47">
        <f t="shared" si="0"/>
        <v>0</v>
      </c>
      <c r="F100" s="87">
        <v>0</v>
      </c>
      <c r="G100" s="47">
        <f t="shared" si="4"/>
        <v>0</v>
      </c>
      <c r="H100" s="88"/>
      <c r="I100" s="20">
        <v>50</v>
      </c>
      <c r="J100" s="82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111</v>
      </c>
      <c r="C101" s="79">
        <f>+'20'!G101</f>
        <v>0</v>
      </c>
      <c r="D101" s="87">
        <v>0</v>
      </c>
      <c r="E101" s="47">
        <f t="shared" si="0"/>
        <v>0</v>
      </c>
      <c r="F101" s="87">
        <v>0</v>
      </c>
      <c r="G101" s="47">
        <f t="shared" ref="G101:G164" si="11">+E101-F101-H101</f>
        <v>0</v>
      </c>
      <c r="H101" s="88"/>
      <c r="I101" s="20">
        <v>60</v>
      </c>
      <c r="J101" s="82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112</v>
      </c>
      <c r="C102" s="79">
        <f>+'20'!G102</f>
        <v>0</v>
      </c>
      <c r="D102" s="87">
        <v>0</v>
      </c>
      <c r="E102" s="47">
        <f t="shared" si="0"/>
        <v>0</v>
      </c>
      <c r="F102" s="87">
        <v>0</v>
      </c>
      <c r="G102" s="47">
        <f t="shared" si="11"/>
        <v>0</v>
      </c>
      <c r="H102" s="88"/>
      <c r="I102" s="20">
        <v>55</v>
      </c>
      <c r="J102" s="82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113</v>
      </c>
      <c r="C103" s="79">
        <f>+'20'!G103</f>
        <v>0</v>
      </c>
      <c r="D103" s="87">
        <v>0</v>
      </c>
      <c r="E103" s="47">
        <f t="shared" si="0"/>
        <v>0</v>
      </c>
      <c r="F103" s="87">
        <v>0</v>
      </c>
      <c r="G103" s="47">
        <f t="shared" si="11"/>
        <v>0</v>
      </c>
      <c r="H103" s="88"/>
      <c r="I103" s="20">
        <v>50</v>
      </c>
      <c r="J103" s="82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114</v>
      </c>
      <c r="C104" s="79">
        <f>+'20'!G104</f>
        <v>0</v>
      </c>
      <c r="D104" s="87">
        <v>0</v>
      </c>
      <c r="E104" s="47">
        <f t="shared" si="0"/>
        <v>0</v>
      </c>
      <c r="F104" s="87">
        <v>0</v>
      </c>
      <c r="G104" s="47">
        <f t="shared" si="11"/>
        <v>0</v>
      </c>
      <c r="H104" s="88"/>
      <c r="I104" s="20">
        <v>100</v>
      </c>
      <c r="J104" s="82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115</v>
      </c>
      <c r="C105" s="79">
        <f>+'20'!G105</f>
        <v>0</v>
      </c>
      <c r="D105" s="87">
        <v>0</v>
      </c>
      <c r="E105" s="47">
        <f t="shared" si="0"/>
        <v>0</v>
      </c>
      <c r="F105" s="87">
        <v>0</v>
      </c>
      <c r="G105" s="47">
        <f t="shared" si="11"/>
        <v>0</v>
      </c>
      <c r="H105" s="88"/>
      <c r="I105" s="20">
        <v>100</v>
      </c>
      <c r="J105" s="82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116</v>
      </c>
      <c r="C106" s="79">
        <f>+'20'!G106</f>
        <v>0</v>
      </c>
      <c r="D106" s="87">
        <v>0</v>
      </c>
      <c r="E106" s="47">
        <f t="shared" si="0"/>
        <v>0</v>
      </c>
      <c r="F106" s="87">
        <v>0</v>
      </c>
      <c r="G106" s="47">
        <f t="shared" si="11"/>
        <v>0</v>
      </c>
      <c r="H106" s="88"/>
      <c r="I106" s="22">
        <v>30</v>
      </c>
      <c r="J106" s="82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117</v>
      </c>
      <c r="C107" s="79">
        <f>+'20'!G107</f>
        <v>0</v>
      </c>
      <c r="D107" s="87">
        <v>0</v>
      </c>
      <c r="E107" s="47">
        <f t="shared" si="0"/>
        <v>0</v>
      </c>
      <c r="F107" s="87">
        <v>0</v>
      </c>
      <c r="G107" s="47">
        <f t="shared" si="11"/>
        <v>0</v>
      </c>
      <c r="H107" s="88"/>
      <c r="I107" s="22">
        <v>20</v>
      </c>
      <c r="J107" s="82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118</v>
      </c>
      <c r="C108" s="79">
        <f>+'20'!G108</f>
        <v>0</v>
      </c>
      <c r="D108" s="87">
        <v>0</v>
      </c>
      <c r="E108" s="47">
        <f t="shared" si="0"/>
        <v>0</v>
      </c>
      <c r="F108" s="87">
        <v>0</v>
      </c>
      <c r="G108" s="47">
        <f t="shared" si="11"/>
        <v>0</v>
      </c>
      <c r="H108" s="88"/>
      <c r="I108" s="20">
        <v>100</v>
      </c>
      <c r="J108" s="82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120</v>
      </c>
      <c r="C109" s="79">
        <f>+'20'!G109</f>
        <v>0</v>
      </c>
      <c r="D109" s="87">
        <v>0</v>
      </c>
      <c r="E109" s="47">
        <f t="shared" si="0"/>
        <v>0</v>
      </c>
      <c r="F109" s="87">
        <v>0</v>
      </c>
      <c r="G109" s="47">
        <f t="shared" si="11"/>
        <v>0</v>
      </c>
      <c r="H109" s="88"/>
      <c r="I109" s="20">
        <v>80</v>
      </c>
      <c r="J109" s="82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121</v>
      </c>
      <c r="C110" s="79">
        <f>+'20'!G110</f>
        <v>0</v>
      </c>
      <c r="D110" s="87">
        <v>0</v>
      </c>
      <c r="E110" s="47">
        <f t="shared" si="0"/>
        <v>0</v>
      </c>
      <c r="F110" s="87">
        <v>0</v>
      </c>
      <c r="G110" s="47">
        <f t="shared" si="11"/>
        <v>0</v>
      </c>
      <c r="H110" s="88"/>
      <c r="I110" s="20">
        <v>60</v>
      </c>
      <c r="J110" s="82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122</v>
      </c>
      <c r="C111" s="79">
        <f>+'20'!G111</f>
        <v>0</v>
      </c>
      <c r="D111" s="87">
        <v>0</v>
      </c>
      <c r="E111" s="47">
        <f t="shared" si="0"/>
        <v>0</v>
      </c>
      <c r="F111" s="87">
        <v>0</v>
      </c>
      <c r="G111" s="47">
        <f t="shared" si="11"/>
        <v>0</v>
      </c>
      <c r="H111" s="88"/>
      <c r="I111" s="20">
        <v>35</v>
      </c>
      <c r="J111" s="82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123</v>
      </c>
      <c r="C112" s="79">
        <f>+'20'!G112</f>
        <v>0</v>
      </c>
      <c r="D112" s="87">
        <v>0</v>
      </c>
      <c r="E112" s="47">
        <f t="shared" si="0"/>
        <v>0</v>
      </c>
      <c r="F112" s="87">
        <v>0</v>
      </c>
      <c r="G112" s="47">
        <f t="shared" si="11"/>
        <v>0</v>
      </c>
      <c r="H112" s="88"/>
      <c r="I112" s="20">
        <v>35</v>
      </c>
      <c r="J112" s="82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124</v>
      </c>
      <c r="C113" s="79">
        <f>+'20'!G113</f>
        <v>0</v>
      </c>
      <c r="D113" s="87">
        <v>0</v>
      </c>
      <c r="E113" s="47">
        <f t="shared" si="0"/>
        <v>0</v>
      </c>
      <c r="F113" s="87">
        <v>0</v>
      </c>
      <c r="G113" s="47">
        <f t="shared" si="11"/>
        <v>0</v>
      </c>
      <c r="H113" s="88"/>
      <c r="I113" s="20">
        <v>35</v>
      </c>
      <c r="J113" s="82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125</v>
      </c>
      <c r="C114" s="79">
        <f>+'20'!G114</f>
        <v>0</v>
      </c>
      <c r="D114" s="87">
        <v>0</v>
      </c>
      <c r="E114" s="47">
        <f t="shared" si="0"/>
        <v>0</v>
      </c>
      <c r="F114" s="87">
        <v>0</v>
      </c>
      <c r="G114" s="47">
        <f t="shared" si="11"/>
        <v>0</v>
      </c>
      <c r="H114" s="88"/>
      <c r="I114" s="20">
        <v>35</v>
      </c>
      <c r="J114" s="82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126</v>
      </c>
      <c r="C115" s="79">
        <f>+'20'!G115</f>
        <v>0</v>
      </c>
      <c r="D115" s="87">
        <v>0</v>
      </c>
      <c r="E115" s="47">
        <f t="shared" si="0"/>
        <v>0</v>
      </c>
      <c r="F115" s="87">
        <v>0</v>
      </c>
      <c r="G115" s="47">
        <f t="shared" si="11"/>
        <v>0</v>
      </c>
      <c r="H115" s="88"/>
      <c r="I115" s="20">
        <v>35</v>
      </c>
      <c r="J115" s="82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127</v>
      </c>
      <c r="C116" s="79">
        <f>+'20'!G116</f>
        <v>0</v>
      </c>
      <c r="D116" s="87">
        <v>0</v>
      </c>
      <c r="E116" s="47">
        <f t="shared" si="0"/>
        <v>0</v>
      </c>
      <c r="F116" s="87">
        <v>0</v>
      </c>
      <c r="G116" s="47">
        <f t="shared" si="11"/>
        <v>0</v>
      </c>
      <c r="H116" s="88"/>
      <c r="I116" s="20">
        <v>30</v>
      </c>
      <c r="J116" s="82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128</v>
      </c>
      <c r="C117" s="79">
        <f>+'20'!G117</f>
        <v>0</v>
      </c>
      <c r="D117" s="87">
        <v>0</v>
      </c>
      <c r="E117" s="47">
        <f t="shared" si="0"/>
        <v>0</v>
      </c>
      <c r="F117" s="87">
        <v>0</v>
      </c>
      <c r="G117" s="47">
        <f t="shared" si="11"/>
        <v>0</v>
      </c>
      <c r="H117" s="88"/>
      <c r="I117" s="20">
        <v>30</v>
      </c>
      <c r="J117" s="82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129</v>
      </c>
      <c r="C118" s="79">
        <f>+'20'!G118</f>
        <v>0</v>
      </c>
      <c r="D118" s="87">
        <v>0</v>
      </c>
      <c r="E118" s="47">
        <f t="shared" si="0"/>
        <v>0</v>
      </c>
      <c r="F118" s="87">
        <v>0</v>
      </c>
      <c r="G118" s="47">
        <f t="shared" si="11"/>
        <v>0</v>
      </c>
      <c r="H118" s="88"/>
      <c r="I118" s="20">
        <v>30</v>
      </c>
      <c r="J118" s="82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130</v>
      </c>
      <c r="C119" s="79">
        <f>+'20'!G119</f>
        <v>0</v>
      </c>
      <c r="D119" s="87">
        <v>0</v>
      </c>
      <c r="E119" s="47">
        <f t="shared" si="0"/>
        <v>0</v>
      </c>
      <c r="F119" s="87">
        <v>0</v>
      </c>
      <c r="G119" s="47">
        <f t="shared" si="11"/>
        <v>0</v>
      </c>
      <c r="H119" s="88"/>
      <c r="I119" s="20">
        <v>30</v>
      </c>
      <c r="J119" s="82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131</v>
      </c>
      <c r="C120" s="79">
        <f>+'20'!G120</f>
        <v>0</v>
      </c>
      <c r="D120" s="87">
        <v>0</v>
      </c>
      <c r="E120" s="47">
        <f t="shared" si="0"/>
        <v>0</v>
      </c>
      <c r="F120" s="87">
        <v>0</v>
      </c>
      <c r="G120" s="47">
        <f t="shared" si="11"/>
        <v>0</v>
      </c>
      <c r="H120" s="88"/>
      <c r="I120" s="20">
        <v>30</v>
      </c>
      <c r="J120" s="82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132</v>
      </c>
      <c r="C121" s="79">
        <f>+'20'!G121</f>
        <v>0</v>
      </c>
      <c r="D121" s="87">
        <v>0</v>
      </c>
      <c r="E121" s="47">
        <f t="shared" si="0"/>
        <v>0</v>
      </c>
      <c r="F121" s="87">
        <v>0</v>
      </c>
      <c r="G121" s="47">
        <f t="shared" si="11"/>
        <v>0</v>
      </c>
      <c r="H121" s="88"/>
      <c r="I121" s="20">
        <v>30</v>
      </c>
      <c r="J121" s="82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133</v>
      </c>
      <c r="C122" s="79">
        <f>+'20'!G122</f>
        <v>0</v>
      </c>
      <c r="D122" s="87">
        <v>0</v>
      </c>
      <c r="E122" s="47">
        <f t="shared" si="0"/>
        <v>0</v>
      </c>
      <c r="F122" s="87">
        <v>0</v>
      </c>
      <c r="G122" s="47">
        <f t="shared" si="11"/>
        <v>0</v>
      </c>
      <c r="H122" s="88"/>
      <c r="I122" s="20">
        <v>40</v>
      </c>
      <c r="J122" s="82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134</v>
      </c>
      <c r="C123" s="79">
        <f>+'20'!G123</f>
        <v>0</v>
      </c>
      <c r="D123" s="87">
        <v>0</v>
      </c>
      <c r="E123" s="47">
        <f t="shared" si="0"/>
        <v>0</v>
      </c>
      <c r="F123" s="87">
        <v>0</v>
      </c>
      <c r="G123" s="47">
        <f t="shared" si="11"/>
        <v>0</v>
      </c>
      <c r="H123" s="88"/>
      <c r="I123" s="20">
        <v>35</v>
      </c>
      <c r="J123" s="82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135</v>
      </c>
      <c r="C124" s="79">
        <f>+'20'!G124</f>
        <v>0</v>
      </c>
      <c r="D124" s="87">
        <v>0</v>
      </c>
      <c r="E124" s="47">
        <f t="shared" si="0"/>
        <v>0</v>
      </c>
      <c r="F124" s="87">
        <v>0</v>
      </c>
      <c r="G124" s="47">
        <f t="shared" si="11"/>
        <v>0</v>
      </c>
      <c r="H124" s="88"/>
      <c r="I124" s="20">
        <v>40</v>
      </c>
      <c r="J124" s="82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136</v>
      </c>
      <c r="C125" s="79">
        <f>+'20'!G125</f>
        <v>0</v>
      </c>
      <c r="D125" s="87">
        <v>0</v>
      </c>
      <c r="E125" s="47">
        <f t="shared" si="0"/>
        <v>0</v>
      </c>
      <c r="F125" s="87">
        <v>0</v>
      </c>
      <c r="G125" s="47">
        <f t="shared" si="11"/>
        <v>0</v>
      </c>
      <c r="H125" s="88"/>
      <c r="I125" s="20">
        <v>40</v>
      </c>
      <c r="J125" s="82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137</v>
      </c>
      <c r="C126" s="79">
        <f>+'20'!G126</f>
        <v>0</v>
      </c>
      <c r="D126" s="87">
        <v>0</v>
      </c>
      <c r="E126" s="47">
        <f t="shared" ref="E126:E189" si="13">C126+D126</f>
        <v>0</v>
      </c>
      <c r="F126" s="87">
        <v>0</v>
      </c>
      <c r="G126" s="47">
        <f t="shared" si="11"/>
        <v>0</v>
      </c>
      <c r="H126" s="88"/>
      <c r="I126" s="20">
        <v>30</v>
      </c>
      <c r="J126" s="82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138</v>
      </c>
      <c r="C127" s="79">
        <f>+'20'!G127</f>
        <v>0</v>
      </c>
      <c r="D127" s="87">
        <v>0</v>
      </c>
      <c r="E127" s="47">
        <f t="shared" si="13"/>
        <v>0</v>
      </c>
      <c r="F127" s="87">
        <v>0</v>
      </c>
      <c r="G127" s="47">
        <f t="shared" si="11"/>
        <v>0</v>
      </c>
      <c r="H127" s="88"/>
      <c r="I127" s="20">
        <v>40</v>
      </c>
      <c r="J127" s="82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139</v>
      </c>
      <c r="C128" s="79">
        <f>+'20'!G128</f>
        <v>74</v>
      </c>
      <c r="D128" s="87">
        <v>0</v>
      </c>
      <c r="E128" s="47">
        <f t="shared" si="13"/>
        <v>74</v>
      </c>
      <c r="F128" s="87">
        <v>0</v>
      </c>
      <c r="G128" s="47">
        <f t="shared" si="11"/>
        <v>74</v>
      </c>
      <c r="H128" s="88"/>
      <c r="I128" s="20">
        <v>10</v>
      </c>
      <c r="J128" s="82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140</v>
      </c>
      <c r="C129" s="79">
        <f>+'20'!G129</f>
        <v>0</v>
      </c>
      <c r="D129" s="87">
        <v>0</v>
      </c>
      <c r="E129" s="47">
        <f t="shared" si="13"/>
        <v>0</v>
      </c>
      <c r="F129" s="87">
        <v>0</v>
      </c>
      <c r="G129" s="47">
        <f t="shared" si="11"/>
        <v>0</v>
      </c>
      <c r="H129" s="88"/>
      <c r="I129" s="20">
        <v>35</v>
      </c>
      <c r="J129" s="82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141</v>
      </c>
      <c r="C130" s="79">
        <f>+'20'!G130</f>
        <v>0</v>
      </c>
      <c r="D130" s="87">
        <v>0</v>
      </c>
      <c r="E130" s="47">
        <f t="shared" si="13"/>
        <v>0</v>
      </c>
      <c r="F130" s="87">
        <v>0</v>
      </c>
      <c r="G130" s="47">
        <f t="shared" si="11"/>
        <v>0</v>
      </c>
      <c r="H130" s="88"/>
      <c r="I130" s="20">
        <v>40</v>
      </c>
      <c r="J130" s="82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142</v>
      </c>
      <c r="C131" s="79">
        <f>+'20'!G131</f>
        <v>0</v>
      </c>
      <c r="D131" s="87">
        <v>0</v>
      </c>
      <c r="E131" s="47">
        <f t="shared" si="13"/>
        <v>0</v>
      </c>
      <c r="F131" s="87">
        <v>0</v>
      </c>
      <c r="G131" s="47">
        <f t="shared" si="11"/>
        <v>0</v>
      </c>
      <c r="H131" s="88"/>
      <c r="I131" s="20">
        <v>50</v>
      </c>
      <c r="J131" s="82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143</v>
      </c>
      <c r="C132" s="79">
        <f>+'20'!G132</f>
        <v>0</v>
      </c>
      <c r="D132" s="87">
        <v>0</v>
      </c>
      <c r="E132" s="47">
        <f t="shared" si="13"/>
        <v>0</v>
      </c>
      <c r="F132" s="87">
        <v>0</v>
      </c>
      <c r="G132" s="47">
        <f t="shared" si="11"/>
        <v>0</v>
      </c>
      <c r="H132" s="88"/>
      <c r="I132" s="20">
        <v>55</v>
      </c>
      <c r="J132" s="82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144</v>
      </c>
      <c r="C133" s="79">
        <f>+'20'!G133</f>
        <v>0</v>
      </c>
      <c r="D133" s="87">
        <v>0</v>
      </c>
      <c r="E133" s="47">
        <f t="shared" si="13"/>
        <v>0</v>
      </c>
      <c r="F133" s="87">
        <v>0</v>
      </c>
      <c r="G133" s="47">
        <f t="shared" si="11"/>
        <v>0</v>
      </c>
      <c r="H133" s="88"/>
      <c r="I133" s="20">
        <v>55</v>
      </c>
      <c r="J133" s="82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145</v>
      </c>
      <c r="C134" s="79">
        <f>+'20'!G134</f>
        <v>0</v>
      </c>
      <c r="D134" s="87">
        <v>0</v>
      </c>
      <c r="E134" s="47">
        <f t="shared" si="13"/>
        <v>0</v>
      </c>
      <c r="F134" s="87">
        <v>0</v>
      </c>
      <c r="G134" s="47">
        <f t="shared" si="11"/>
        <v>0</v>
      </c>
      <c r="H134" s="88"/>
      <c r="I134" s="20">
        <v>45</v>
      </c>
      <c r="J134" s="82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5.5" x14ac:dyDescent="0.55000000000000004">
      <c r="A135" s="10">
        <v>131</v>
      </c>
      <c r="B135" s="19" t="s">
        <v>146</v>
      </c>
      <c r="C135" s="79">
        <f>+'20'!G135</f>
        <v>0</v>
      </c>
      <c r="D135" s="87">
        <v>0</v>
      </c>
      <c r="E135" s="47">
        <f t="shared" si="13"/>
        <v>0</v>
      </c>
      <c r="F135" s="87">
        <v>0</v>
      </c>
      <c r="G135" s="47">
        <f t="shared" si="11"/>
        <v>0</v>
      </c>
      <c r="H135" s="88"/>
      <c r="I135" s="20">
        <v>45</v>
      </c>
      <c r="J135" s="82">
        <f t="shared" si="12"/>
        <v>0</v>
      </c>
      <c r="K135" s="17" t="s">
        <v>16</v>
      </c>
      <c r="L135" s="18">
        <v>0</v>
      </c>
      <c r="M135" s="23">
        <f t="shared" ref="M135:M198" si="14">SUM(J135-L135)</f>
        <v>0</v>
      </c>
    </row>
    <row r="136" spans="1:13" ht="25.5" x14ac:dyDescent="0.55000000000000004">
      <c r="A136" s="10">
        <v>132</v>
      </c>
      <c r="B136" s="19" t="s">
        <v>147</v>
      </c>
      <c r="C136" s="79">
        <f>+'20'!G136</f>
        <v>0</v>
      </c>
      <c r="D136" s="87">
        <v>0</v>
      </c>
      <c r="E136" s="47">
        <f t="shared" si="13"/>
        <v>0</v>
      </c>
      <c r="F136" s="87">
        <v>0</v>
      </c>
      <c r="G136" s="47">
        <f t="shared" si="11"/>
        <v>0</v>
      </c>
      <c r="H136" s="88"/>
      <c r="I136" s="20">
        <v>55</v>
      </c>
      <c r="J136" s="82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148</v>
      </c>
      <c r="C137" s="79">
        <f>+'20'!G137</f>
        <v>0</v>
      </c>
      <c r="D137" s="87">
        <v>0</v>
      </c>
      <c r="E137" s="47">
        <f t="shared" si="13"/>
        <v>0</v>
      </c>
      <c r="F137" s="87">
        <v>0</v>
      </c>
      <c r="G137" s="47">
        <f t="shared" si="11"/>
        <v>0</v>
      </c>
      <c r="H137" s="88"/>
      <c r="I137" s="20">
        <v>45</v>
      </c>
      <c r="J137" s="82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149</v>
      </c>
      <c r="C138" s="79">
        <f>+'20'!G138</f>
        <v>0</v>
      </c>
      <c r="D138" s="87">
        <v>0</v>
      </c>
      <c r="E138" s="47">
        <f t="shared" si="13"/>
        <v>0</v>
      </c>
      <c r="F138" s="87">
        <v>0</v>
      </c>
      <c r="G138" s="47">
        <f t="shared" si="11"/>
        <v>0</v>
      </c>
      <c r="H138" s="88"/>
      <c r="I138" s="20">
        <v>45</v>
      </c>
      <c r="J138" s="82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150</v>
      </c>
      <c r="C139" s="79">
        <f>+'20'!G139</f>
        <v>0</v>
      </c>
      <c r="D139" s="87">
        <v>0</v>
      </c>
      <c r="E139" s="47">
        <f t="shared" si="13"/>
        <v>0</v>
      </c>
      <c r="F139" s="87">
        <v>0</v>
      </c>
      <c r="G139" s="47">
        <f t="shared" si="11"/>
        <v>0</v>
      </c>
      <c r="H139" s="88"/>
      <c r="I139" s="20">
        <v>45</v>
      </c>
      <c r="J139" s="82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151</v>
      </c>
      <c r="C140" s="79">
        <f>+'20'!G140</f>
        <v>0</v>
      </c>
      <c r="D140" s="87">
        <v>0</v>
      </c>
      <c r="E140" s="47">
        <f t="shared" si="13"/>
        <v>0</v>
      </c>
      <c r="F140" s="87">
        <v>0</v>
      </c>
      <c r="G140" s="47">
        <f t="shared" si="11"/>
        <v>0</v>
      </c>
      <c r="H140" s="88"/>
      <c r="I140" s="20">
        <v>45</v>
      </c>
      <c r="J140" s="82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152</v>
      </c>
      <c r="C141" s="79">
        <f>+'20'!G141</f>
        <v>0</v>
      </c>
      <c r="D141" s="87">
        <v>0</v>
      </c>
      <c r="E141" s="47">
        <f t="shared" si="13"/>
        <v>0</v>
      </c>
      <c r="F141" s="87">
        <v>0</v>
      </c>
      <c r="G141" s="47">
        <f t="shared" si="11"/>
        <v>0</v>
      </c>
      <c r="H141" s="88"/>
      <c r="I141" s="20">
        <v>45</v>
      </c>
      <c r="J141" s="82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153</v>
      </c>
      <c r="C142" s="79">
        <f>+'20'!G142</f>
        <v>0</v>
      </c>
      <c r="D142" s="87">
        <v>0</v>
      </c>
      <c r="E142" s="47">
        <f t="shared" si="13"/>
        <v>0</v>
      </c>
      <c r="F142" s="87">
        <v>0</v>
      </c>
      <c r="G142" s="47">
        <f t="shared" si="11"/>
        <v>0</v>
      </c>
      <c r="H142" s="88"/>
      <c r="I142" s="20">
        <v>45</v>
      </c>
      <c r="J142" s="82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154</v>
      </c>
      <c r="C143" s="79">
        <f>+'20'!G143</f>
        <v>0</v>
      </c>
      <c r="D143" s="87">
        <v>0</v>
      </c>
      <c r="E143" s="47">
        <f t="shared" si="13"/>
        <v>0</v>
      </c>
      <c r="F143" s="87">
        <v>0</v>
      </c>
      <c r="G143" s="47">
        <f t="shared" si="11"/>
        <v>0</v>
      </c>
      <c r="H143" s="88"/>
      <c r="I143" s="20">
        <v>120</v>
      </c>
      <c r="J143" s="82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155</v>
      </c>
      <c r="C144" s="79">
        <f>+'20'!G144</f>
        <v>0</v>
      </c>
      <c r="D144" s="87">
        <v>0</v>
      </c>
      <c r="E144" s="47">
        <f t="shared" si="13"/>
        <v>0</v>
      </c>
      <c r="F144" s="87">
        <v>0</v>
      </c>
      <c r="G144" s="47">
        <f t="shared" si="11"/>
        <v>0</v>
      </c>
      <c r="H144" s="88"/>
      <c r="I144" s="20">
        <v>120</v>
      </c>
      <c r="J144" s="82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156</v>
      </c>
      <c r="C145" s="79">
        <f>+'20'!G145</f>
        <v>0</v>
      </c>
      <c r="D145" s="87">
        <v>0</v>
      </c>
      <c r="E145" s="47">
        <f t="shared" si="13"/>
        <v>0</v>
      </c>
      <c r="F145" s="87">
        <v>0</v>
      </c>
      <c r="G145" s="47">
        <f t="shared" si="11"/>
        <v>0</v>
      </c>
      <c r="H145" s="88"/>
      <c r="I145" s="20">
        <v>120</v>
      </c>
      <c r="J145" s="82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157</v>
      </c>
      <c r="C146" s="79">
        <f>+'20'!G146</f>
        <v>0</v>
      </c>
      <c r="D146" s="87">
        <v>0</v>
      </c>
      <c r="E146" s="47">
        <f t="shared" si="13"/>
        <v>0</v>
      </c>
      <c r="F146" s="87">
        <v>0</v>
      </c>
      <c r="G146" s="47">
        <f t="shared" si="11"/>
        <v>0</v>
      </c>
      <c r="H146" s="88"/>
      <c r="I146" s="20">
        <v>120</v>
      </c>
      <c r="J146" s="82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158</v>
      </c>
      <c r="C147" s="79">
        <f>+'20'!G147</f>
        <v>0</v>
      </c>
      <c r="D147" s="87">
        <v>0</v>
      </c>
      <c r="E147" s="47">
        <f t="shared" si="13"/>
        <v>0</v>
      </c>
      <c r="F147" s="87">
        <v>0</v>
      </c>
      <c r="G147" s="47">
        <f t="shared" si="11"/>
        <v>0</v>
      </c>
      <c r="H147" s="88"/>
      <c r="I147" s="20">
        <v>185</v>
      </c>
      <c r="J147" s="82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159</v>
      </c>
      <c r="C148" s="79">
        <f>+'20'!G148</f>
        <v>0</v>
      </c>
      <c r="D148" s="87">
        <v>0</v>
      </c>
      <c r="E148" s="47">
        <f t="shared" si="13"/>
        <v>0</v>
      </c>
      <c r="F148" s="87">
        <v>0</v>
      </c>
      <c r="G148" s="47">
        <f t="shared" si="11"/>
        <v>0</v>
      </c>
      <c r="H148" s="88"/>
      <c r="I148" s="20">
        <v>185</v>
      </c>
      <c r="J148" s="82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160</v>
      </c>
      <c r="C149" s="79">
        <f>+'20'!G149</f>
        <v>0</v>
      </c>
      <c r="D149" s="87">
        <v>0</v>
      </c>
      <c r="E149" s="47">
        <f t="shared" si="13"/>
        <v>0</v>
      </c>
      <c r="F149" s="87">
        <v>0</v>
      </c>
      <c r="G149" s="47">
        <f t="shared" si="11"/>
        <v>0</v>
      </c>
      <c r="H149" s="88"/>
      <c r="I149" s="20">
        <v>185</v>
      </c>
      <c r="J149" s="82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161</v>
      </c>
      <c r="C150" s="79">
        <f>+'20'!G150</f>
        <v>0</v>
      </c>
      <c r="D150" s="87">
        <v>0</v>
      </c>
      <c r="E150" s="47">
        <f t="shared" si="13"/>
        <v>0</v>
      </c>
      <c r="F150" s="87">
        <v>0</v>
      </c>
      <c r="G150" s="47">
        <f t="shared" si="11"/>
        <v>0</v>
      </c>
      <c r="H150" s="88"/>
      <c r="I150" s="20">
        <v>185</v>
      </c>
      <c r="J150" s="82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5.5" x14ac:dyDescent="0.55000000000000004">
      <c r="A151" s="10">
        <v>147</v>
      </c>
      <c r="B151" s="19" t="s">
        <v>279</v>
      </c>
      <c r="C151" s="79">
        <f>+'20'!G151</f>
        <v>0</v>
      </c>
      <c r="D151" s="87">
        <v>0</v>
      </c>
      <c r="E151" s="47">
        <f t="shared" si="13"/>
        <v>0</v>
      </c>
      <c r="F151" s="87">
        <v>0</v>
      </c>
      <c r="G151" s="47">
        <f t="shared" si="11"/>
        <v>0</v>
      </c>
      <c r="H151" s="88"/>
      <c r="I151" s="20">
        <v>150</v>
      </c>
      <c r="J151" s="82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280</v>
      </c>
      <c r="C152" s="79">
        <f>+'20'!G152</f>
        <v>1</v>
      </c>
      <c r="D152" s="87">
        <v>0</v>
      </c>
      <c r="E152" s="47">
        <f t="shared" si="13"/>
        <v>1</v>
      </c>
      <c r="F152" s="87">
        <v>0</v>
      </c>
      <c r="G152" s="47">
        <f t="shared" si="11"/>
        <v>1</v>
      </c>
      <c r="H152" s="88"/>
      <c r="I152" s="20">
        <v>150</v>
      </c>
      <c r="J152" s="82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5.5" x14ac:dyDescent="0.55000000000000004">
      <c r="A153" s="10">
        <v>149</v>
      </c>
      <c r="B153" s="19" t="s">
        <v>281</v>
      </c>
      <c r="C153" s="79">
        <f>+'20'!G153</f>
        <v>0</v>
      </c>
      <c r="D153" s="87">
        <v>0</v>
      </c>
      <c r="E153" s="47">
        <f t="shared" si="13"/>
        <v>0</v>
      </c>
      <c r="F153" s="87">
        <v>0</v>
      </c>
      <c r="G153" s="47">
        <f t="shared" si="11"/>
        <v>0</v>
      </c>
      <c r="H153" s="88"/>
      <c r="I153" s="20">
        <v>150</v>
      </c>
      <c r="J153" s="82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282</v>
      </c>
      <c r="C154" s="79">
        <f>+'20'!G154</f>
        <v>0</v>
      </c>
      <c r="D154" s="87">
        <v>0</v>
      </c>
      <c r="E154" s="47">
        <f t="shared" si="13"/>
        <v>0</v>
      </c>
      <c r="F154" s="87">
        <v>0</v>
      </c>
      <c r="G154" s="47">
        <f t="shared" si="11"/>
        <v>0</v>
      </c>
      <c r="H154" s="88"/>
      <c r="I154" s="20">
        <v>150</v>
      </c>
      <c r="J154" s="82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166</v>
      </c>
      <c r="C155" s="79">
        <f>+'20'!G155</f>
        <v>0</v>
      </c>
      <c r="D155" s="87">
        <v>0</v>
      </c>
      <c r="E155" s="47">
        <f t="shared" si="13"/>
        <v>0</v>
      </c>
      <c r="F155" s="87">
        <v>0</v>
      </c>
      <c r="G155" s="47">
        <f t="shared" si="11"/>
        <v>0</v>
      </c>
      <c r="H155" s="88"/>
      <c r="I155" s="20">
        <v>185</v>
      </c>
      <c r="J155" s="82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167</v>
      </c>
      <c r="C156" s="79">
        <f>+'20'!G156</f>
        <v>0</v>
      </c>
      <c r="D156" s="87">
        <v>0</v>
      </c>
      <c r="E156" s="47">
        <f t="shared" si="13"/>
        <v>0</v>
      </c>
      <c r="F156" s="87">
        <v>0</v>
      </c>
      <c r="G156" s="47">
        <f t="shared" si="11"/>
        <v>0</v>
      </c>
      <c r="H156" s="88"/>
      <c r="I156" s="20">
        <v>185</v>
      </c>
      <c r="J156" s="82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168</v>
      </c>
      <c r="C157" s="79">
        <f>+'20'!G157</f>
        <v>0</v>
      </c>
      <c r="D157" s="87">
        <v>0</v>
      </c>
      <c r="E157" s="47">
        <f t="shared" si="13"/>
        <v>0</v>
      </c>
      <c r="F157" s="87">
        <v>0</v>
      </c>
      <c r="G157" s="47">
        <f t="shared" si="11"/>
        <v>0</v>
      </c>
      <c r="H157" s="88"/>
      <c r="I157" s="20">
        <v>185</v>
      </c>
      <c r="J157" s="82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169</v>
      </c>
      <c r="C158" s="79">
        <f>+'20'!G158</f>
        <v>0</v>
      </c>
      <c r="D158" s="87">
        <v>0</v>
      </c>
      <c r="E158" s="47">
        <f t="shared" si="13"/>
        <v>0</v>
      </c>
      <c r="F158" s="87">
        <v>0</v>
      </c>
      <c r="G158" s="47">
        <f t="shared" si="11"/>
        <v>0</v>
      </c>
      <c r="H158" s="88"/>
      <c r="I158" s="20">
        <v>185</v>
      </c>
      <c r="J158" s="82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170</v>
      </c>
      <c r="C159" s="79">
        <f>+'20'!G159</f>
        <v>0</v>
      </c>
      <c r="D159" s="87">
        <v>0</v>
      </c>
      <c r="E159" s="47">
        <f t="shared" si="13"/>
        <v>0</v>
      </c>
      <c r="F159" s="87">
        <v>0</v>
      </c>
      <c r="G159" s="47">
        <f t="shared" si="11"/>
        <v>0</v>
      </c>
      <c r="H159" s="88"/>
      <c r="I159" s="20">
        <v>135</v>
      </c>
      <c r="J159" s="82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171</v>
      </c>
      <c r="C160" s="79">
        <f>+'20'!G160</f>
        <v>0</v>
      </c>
      <c r="D160" s="87">
        <v>0</v>
      </c>
      <c r="E160" s="47">
        <f t="shared" si="13"/>
        <v>0</v>
      </c>
      <c r="F160" s="87">
        <v>0</v>
      </c>
      <c r="G160" s="47">
        <f t="shared" si="11"/>
        <v>0</v>
      </c>
      <c r="H160" s="88"/>
      <c r="I160" s="20">
        <v>90</v>
      </c>
      <c r="J160" s="82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172</v>
      </c>
      <c r="C161" s="79">
        <f>+'20'!G161</f>
        <v>0</v>
      </c>
      <c r="D161" s="87">
        <v>0</v>
      </c>
      <c r="E161" s="47">
        <f t="shared" si="13"/>
        <v>0</v>
      </c>
      <c r="F161" s="87">
        <v>0</v>
      </c>
      <c r="G161" s="47">
        <f t="shared" si="11"/>
        <v>0</v>
      </c>
      <c r="H161" s="88"/>
      <c r="I161" s="20">
        <v>90</v>
      </c>
      <c r="J161" s="82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173</v>
      </c>
      <c r="C162" s="79">
        <f>+'20'!G162</f>
        <v>0</v>
      </c>
      <c r="D162" s="87">
        <v>0</v>
      </c>
      <c r="E162" s="47">
        <f t="shared" si="13"/>
        <v>0</v>
      </c>
      <c r="F162" s="87">
        <v>0</v>
      </c>
      <c r="G162" s="47">
        <f t="shared" si="11"/>
        <v>0</v>
      </c>
      <c r="H162" s="88"/>
      <c r="I162" s="20">
        <v>90</v>
      </c>
      <c r="J162" s="82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174</v>
      </c>
      <c r="C163" s="79">
        <f>+'20'!G163</f>
        <v>0</v>
      </c>
      <c r="D163" s="87">
        <v>0</v>
      </c>
      <c r="E163" s="47">
        <f t="shared" si="13"/>
        <v>0</v>
      </c>
      <c r="F163" s="87">
        <v>0</v>
      </c>
      <c r="G163" s="47">
        <f t="shared" si="11"/>
        <v>0</v>
      </c>
      <c r="H163" s="88"/>
      <c r="I163" s="20">
        <v>90</v>
      </c>
      <c r="J163" s="82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175</v>
      </c>
      <c r="C164" s="79">
        <f>+'20'!G164</f>
        <v>0</v>
      </c>
      <c r="D164" s="87">
        <v>0</v>
      </c>
      <c r="E164" s="47">
        <f t="shared" si="13"/>
        <v>0</v>
      </c>
      <c r="F164" s="87">
        <v>0</v>
      </c>
      <c r="G164" s="47">
        <f t="shared" si="11"/>
        <v>0</v>
      </c>
      <c r="H164" s="88"/>
      <c r="I164" s="20">
        <v>25</v>
      </c>
      <c r="J164" s="82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176</v>
      </c>
      <c r="C165" s="79">
        <f>+'20'!G165</f>
        <v>0</v>
      </c>
      <c r="D165" s="87">
        <v>0</v>
      </c>
      <c r="E165" s="47">
        <f t="shared" si="13"/>
        <v>0</v>
      </c>
      <c r="F165" s="87">
        <v>0</v>
      </c>
      <c r="G165" s="47">
        <f t="shared" ref="G165:G227" si="15">+E165-F165-H165</f>
        <v>0</v>
      </c>
      <c r="H165" s="88"/>
      <c r="I165" s="20">
        <v>50</v>
      </c>
      <c r="J165" s="82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177</v>
      </c>
      <c r="C166" s="79">
        <f>+'20'!G166</f>
        <v>0</v>
      </c>
      <c r="D166" s="87">
        <v>0</v>
      </c>
      <c r="E166" s="47">
        <f t="shared" si="13"/>
        <v>0</v>
      </c>
      <c r="F166" s="87">
        <v>0</v>
      </c>
      <c r="G166" s="47">
        <f t="shared" si="15"/>
        <v>0</v>
      </c>
      <c r="H166" s="88"/>
      <c r="I166" s="20">
        <v>50</v>
      </c>
      <c r="J166" s="82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178</v>
      </c>
      <c r="C167" s="79">
        <f>+'20'!G167</f>
        <v>0</v>
      </c>
      <c r="D167" s="87">
        <v>0</v>
      </c>
      <c r="E167" s="47">
        <f t="shared" si="13"/>
        <v>0</v>
      </c>
      <c r="F167" s="87">
        <v>0</v>
      </c>
      <c r="G167" s="47">
        <f t="shared" si="15"/>
        <v>0</v>
      </c>
      <c r="H167" s="88"/>
      <c r="I167" s="20">
        <v>50</v>
      </c>
      <c r="J167" s="82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179</v>
      </c>
      <c r="C168" s="79">
        <f>+'20'!G168</f>
        <v>0</v>
      </c>
      <c r="D168" s="87">
        <v>0</v>
      </c>
      <c r="E168" s="47">
        <f t="shared" si="13"/>
        <v>0</v>
      </c>
      <c r="F168" s="87">
        <v>0</v>
      </c>
      <c r="G168" s="47">
        <f t="shared" si="15"/>
        <v>0</v>
      </c>
      <c r="H168" s="88"/>
      <c r="I168" s="20">
        <v>50</v>
      </c>
      <c r="J168" s="82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180</v>
      </c>
      <c r="C169" s="79">
        <f>+'20'!G169</f>
        <v>40</v>
      </c>
      <c r="D169" s="87">
        <v>0</v>
      </c>
      <c r="E169" s="47">
        <f t="shared" si="13"/>
        <v>40</v>
      </c>
      <c r="F169" s="87">
        <v>0</v>
      </c>
      <c r="G169" s="47">
        <f t="shared" si="15"/>
        <v>40</v>
      </c>
      <c r="H169" s="88"/>
      <c r="I169" s="20">
        <v>55</v>
      </c>
      <c r="J169" s="82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181</v>
      </c>
      <c r="C170" s="79">
        <f>+'20'!G170</f>
        <v>0</v>
      </c>
      <c r="D170" s="87">
        <v>0</v>
      </c>
      <c r="E170" s="47">
        <f t="shared" si="13"/>
        <v>0</v>
      </c>
      <c r="F170" s="87">
        <v>0</v>
      </c>
      <c r="G170" s="47">
        <f t="shared" si="15"/>
        <v>0</v>
      </c>
      <c r="H170" s="88"/>
      <c r="I170" s="20">
        <v>85</v>
      </c>
      <c r="J170" s="82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182</v>
      </c>
      <c r="C171" s="79">
        <f>+'20'!G171</f>
        <v>5</v>
      </c>
      <c r="D171" s="87">
        <v>0</v>
      </c>
      <c r="E171" s="47">
        <f t="shared" si="13"/>
        <v>5</v>
      </c>
      <c r="F171" s="87">
        <v>0</v>
      </c>
      <c r="G171" s="47">
        <f t="shared" si="15"/>
        <v>5</v>
      </c>
      <c r="H171" s="88"/>
      <c r="I171" s="20">
        <v>80</v>
      </c>
      <c r="J171" s="82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183</v>
      </c>
      <c r="C172" s="79">
        <f>+'20'!G172</f>
        <v>0</v>
      </c>
      <c r="D172" s="87">
        <v>0</v>
      </c>
      <c r="E172" s="47">
        <f t="shared" si="13"/>
        <v>0</v>
      </c>
      <c r="F172" s="87">
        <v>0</v>
      </c>
      <c r="G172" s="47">
        <f t="shared" si="15"/>
        <v>0</v>
      </c>
      <c r="H172" s="88"/>
      <c r="I172" s="20">
        <v>40</v>
      </c>
      <c r="J172" s="82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184</v>
      </c>
      <c r="C173" s="79">
        <f>+'20'!G173</f>
        <v>0</v>
      </c>
      <c r="D173" s="87">
        <v>0</v>
      </c>
      <c r="E173" s="47">
        <f t="shared" si="13"/>
        <v>0</v>
      </c>
      <c r="F173" s="87">
        <v>0</v>
      </c>
      <c r="G173" s="47">
        <f t="shared" si="15"/>
        <v>0</v>
      </c>
      <c r="H173" s="88"/>
      <c r="I173" s="20">
        <v>120</v>
      </c>
      <c r="J173" s="82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185</v>
      </c>
      <c r="C174" s="79">
        <f>+'20'!G174</f>
        <v>0</v>
      </c>
      <c r="D174" s="87">
        <v>0</v>
      </c>
      <c r="E174" s="47">
        <f t="shared" si="13"/>
        <v>0</v>
      </c>
      <c r="F174" s="87">
        <v>0</v>
      </c>
      <c r="G174" s="47">
        <f t="shared" si="15"/>
        <v>0</v>
      </c>
      <c r="H174" s="88"/>
      <c r="I174" s="20">
        <v>120</v>
      </c>
      <c r="J174" s="82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186</v>
      </c>
      <c r="C175" s="79">
        <f>+'20'!G175</f>
        <v>0</v>
      </c>
      <c r="D175" s="87">
        <v>0</v>
      </c>
      <c r="E175" s="47">
        <f t="shared" si="13"/>
        <v>0</v>
      </c>
      <c r="F175" s="87">
        <v>0</v>
      </c>
      <c r="G175" s="47">
        <f t="shared" si="15"/>
        <v>0</v>
      </c>
      <c r="H175" s="88"/>
      <c r="I175" s="20">
        <v>55</v>
      </c>
      <c r="J175" s="82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187</v>
      </c>
      <c r="C176" s="79">
        <f>+'20'!G176</f>
        <v>0</v>
      </c>
      <c r="D176" s="87">
        <v>0</v>
      </c>
      <c r="E176" s="47">
        <f t="shared" si="13"/>
        <v>0</v>
      </c>
      <c r="F176" s="87">
        <v>0</v>
      </c>
      <c r="G176" s="47">
        <f t="shared" si="15"/>
        <v>0</v>
      </c>
      <c r="H176" s="88"/>
      <c r="I176" s="20">
        <v>50</v>
      </c>
      <c r="J176" s="82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188</v>
      </c>
      <c r="C177" s="79">
        <f>+'20'!G177</f>
        <v>0</v>
      </c>
      <c r="D177" s="87">
        <v>0</v>
      </c>
      <c r="E177" s="47">
        <f t="shared" si="13"/>
        <v>0</v>
      </c>
      <c r="F177" s="87">
        <v>0</v>
      </c>
      <c r="G177" s="47">
        <f t="shared" si="15"/>
        <v>0</v>
      </c>
      <c r="H177" s="88"/>
      <c r="I177" s="20">
        <v>50</v>
      </c>
      <c r="J177" s="82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189</v>
      </c>
      <c r="C178" s="79">
        <f>+'20'!G178</f>
        <v>0</v>
      </c>
      <c r="D178" s="87">
        <v>0</v>
      </c>
      <c r="E178" s="47">
        <f t="shared" si="13"/>
        <v>0</v>
      </c>
      <c r="F178" s="87">
        <v>0</v>
      </c>
      <c r="G178" s="47">
        <f t="shared" si="15"/>
        <v>0</v>
      </c>
      <c r="H178" s="88"/>
      <c r="I178" s="20">
        <v>120</v>
      </c>
      <c r="J178" s="82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190</v>
      </c>
      <c r="C179" s="79">
        <f>+'20'!G179</f>
        <v>2</v>
      </c>
      <c r="D179" s="87">
        <v>0</v>
      </c>
      <c r="E179" s="47">
        <f t="shared" si="13"/>
        <v>2</v>
      </c>
      <c r="F179" s="87">
        <v>0</v>
      </c>
      <c r="G179" s="47">
        <f t="shared" si="15"/>
        <v>0</v>
      </c>
      <c r="H179" s="88">
        <v>2</v>
      </c>
      <c r="I179" s="20">
        <v>120</v>
      </c>
      <c r="J179" s="82">
        <f t="shared" si="16"/>
        <v>240</v>
      </c>
      <c r="K179" s="17" t="s">
        <v>16</v>
      </c>
      <c r="L179" s="18">
        <v>0</v>
      </c>
      <c r="M179" s="23">
        <f t="shared" si="14"/>
        <v>240</v>
      </c>
    </row>
    <row r="180" spans="1:13" ht="25.5" x14ac:dyDescent="0.55000000000000004">
      <c r="A180" s="10">
        <v>176</v>
      </c>
      <c r="B180" s="19" t="s">
        <v>191</v>
      </c>
      <c r="C180" s="79">
        <f>+'20'!G180</f>
        <v>0</v>
      </c>
      <c r="D180" s="87">
        <v>0</v>
      </c>
      <c r="E180" s="47">
        <f t="shared" si="13"/>
        <v>0</v>
      </c>
      <c r="F180" s="87">
        <v>0</v>
      </c>
      <c r="G180" s="47">
        <f t="shared" si="15"/>
        <v>0</v>
      </c>
      <c r="H180" s="88"/>
      <c r="I180" s="20">
        <v>10</v>
      </c>
      <c r="J180" s="82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192</v>
      </c>
      <c r="C181" s="79">
        <f>+'20'!G181</f>
        <v>0</v>
      </c>
      <c r="D181" s="87">
        <v>0</v>
      </c>
      <c r="E181" s="47">
        <f t="shared" si="13"/>
        <v>0</v>
      </c>
      <c r="F181" s="87">
        <v>0</v>
      </c>
      <c r="G181" s="47">
        <f t="shared" si="15"/>
        <v>0</v>
      </c>
      <c r="H181" s="88"/>
      <c r="I181" s="20">
        <v>35</v>
      </c>
      <c r="J181" s="82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193</v>
      </c>
      <c r="C182" s="79">
        <f>+'20'!G182</f>
        <v>0</v>
      </c>
      <c r="D182" s="87">
        <v>0</v>
      </c>
      <c r="E182" s="47">
        <f t="shared" si="13"/>
        <v>0</v>
      </c>
      <c r="F182" s="87">
        <v>0</v>
      </c>
      <c r="G182" s="47">
        <f t="shared" si="15"/>
        <v>0</v>
      </c>
      <c r="H182" s="88"/>
      <c r="I182" s="20">
        <v>10</v>
      </c>
      <c r="J182" s="82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194</v>
      </c>
      <c r="C183" s="79">
        <f>+'20'!G183</f>
        <v>0</v>
      </c>
      <c r="D183" s="87">
        <v>0</v>
      </c>
      <c r="E183" s="47">
        <f t="shared" si="13"/>
        <v>0</v>
      </c>
      <c r="F183" s="87">
        <v>0</v>
      </c>
      <c r="G183" s="47">
        <f t="shared" si="15"/>
        <v>0</v>
      </c>
      <c r="H183" s="88"/>
      <c r="I183" s="20">
        <v>10</v>
      </c>
      <c r="J183" s="82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195</v>
      </c>
      <c r="C184" s="79">
        <f>+'20'!G184</f>
        <v>0</v>
      </c>
      <c r="D184" s="87">
        <v>0</v>
      </c>
      <c r="E184" s="47">
        <f t="shared" si="13"/>
        <v>0</v>
      </c>
      <c r="F184" s="87">
        <v>0</v>
      </c>
      <c r="G184" s="47">
        <f t="shared" si="15"/>
        <v>0</v>
      </c>
      <c r="H184" s="88"/>
      <c r="I184" s="20">
        <v>10</v>
      </c>
      <c r="J184" s="82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196</v>
      </c>
      <c r="C185" s="79">
        <f>+'20'!G185</f>
        <v>0</v>
      </c>
      <c r="D185" s="87">
        <v>0</v>
      </c>
      <c r="E185" s="47">
        <f t="shared" si="13"/>
        <v>0</v>
      </c>
      <c r="F185" s="87">
        <v>0</v>
      </c>
      <c r="G185" s="47">
        <f t="shared" si="15"/>
        <v>0</v>
      </c>
      <c r="H185" s="88"/>
      <c r="I185" s="20">
        <v>10</v>
      </c>
      <c r="J185" s="82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197</v>
      </c>
      <c r="C186" s="79">
        <f>+'20'!G186</f>
        <v>0</v>
      </c>
      <c r="D186" s="87">
        <v>0</v>
      </c>
      <c r="E186" s="47">
        <f t="shared" si="13"/>
        <v>0</v>
      </c>
      <c r="F186" s="87">
        <v>0</v>
      </c>
      <c r="G186" s="47">
        <f t="shared" si="15"/>
        <v>0</v>
      </c>
      <c r="H186" s="88"/>
      <c r="I186" s="20">
        <v>10</v>
      </c>
      <c r="J186" s="82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198</v>
      </c>
      <c r="C187" s="79">
        <f>+'20'!G187</f>
        <v>0</v>
      </c>
      <c r="D187" s="87">
        <v>0</v>
      </c>
      <c r="E187" s="47">
        <f t="shared" si="13"/>
        <v>0</v>
      </c>
      <c r="F187" s="87">
        <v>0</v>
      </c>
      <c r="G187" s="47">
        <f t="shared" si="15"/>
        <v>0</v>
      </c>
      <c r="H187" s="88"/>
      <c r="I187" s="20">
        <v>25</v>
      </c>
      <c r="J187" s="82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249</v>
      </c>
      <c r="C188" s="79">
        <f>+'20'!G188</f>
        <v>0</v>
      </c>
      <c r="D188" s="87">
        <v>0</v>
      </c>
      <c r="E188" s="47">
        <f t="shared" si="13"/>
        <v>0</v>
      </c>
      <c r="F188" s="87">
        <v>0</v>
      </c>
      <c r="G188" s="47">
        <f t="shared" si="15"/>
        <v>0</v>
      </c>
      <c r="H188" s="88"/>
      <c r="I188" s="15">
        <v>50</v>
      </c>
      <c r="J188" s="82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250</v>
      </c>
      <c r="C189" s="79">
        <f>+'20'!G189</f>
        <v>0</v>
      </c>
      <c r="D189" s="87">
        <v>0</v>
      </c>
      <c r="E189" s="47">
        <f t="shared" si="13"/>
        <v>0</v>
      </c>
      <c r="F189" s="87">
        <v>0</v>
      </c>
      <c r="G189" s="47">
        <f t="shared" si="15"/>
        <v>0</v>
      </c>
      <c r="H189" s="88"/>
      <c r="I189" s="15">
        <v>10</v>
      </c>
      <c r="J189" s="82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251</v>
      </c>
      <c r="C190" s="79">
        <f>+'20'!G190</f>
        <v>0</v>
      </c>
      <c r="D190" s="87">
        <v>0</v>
      </c>
      <c r="E190" s="47">
        <f t="shared" ref="E190:E252" si="17">C190+D190</f>
        <v>0</v>
      </c>
      <c r="F190" s="87">
        <v>0</v>
      </c>
      <c r="G190" s="47">
        <f t="shared" si="15"/>
        <v>0</v>
      </c>
      <c r="H190" s="88"/>
      <c r="I190" s="15">
        <v>15</v>
      </c>
      <c r="J190" s="82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252</v>
      </c>
      <c r="C191" s="79">
        <f>+'20'!G191</f>
        <v>0</v>
      </c>
      <c r="D191" s="87">
        <v>0</v>
      </c>
      <c r="E191" s="47">
        <f t="shared" si="17"/>
        <v>0</v>
      </c>
      <c r="F191" s="87">
        <v>0</v>
      </c>
      <c r="G191" s="47">
        <f t="shared" si="15"/>
        <v>0</v>
      </c>
      <c r="H191" s="88"/>
      <c r="I191" s="15">
        <v>25</v>
      </c>
      <c r="J191" s="82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253</v>
      </c>
      <c r="C192" s="79">
        <f>+'20'!G192</f>
        <v>0</v>
      </c>
      <c r="D192" s="87">
        <v>0</v>
      </c>
      <c r="E192" s="47">
        <f t="shared" si="17"/>
        <v>0</v>
      </c>
      <c r="F192" s="87">
        <v>0</v>
      </c>
      <c r="G192" s="47">
        <f t="shared" si="15"/>
        <v>0</v>
      </c>
      <c r="H192" s="88"/>
      <c r="I192" s="15">
        <v>50</v>
      </c>
      <c r="J192" s="82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254</v>
      </c>
      <c r="C193" s="79">
        <f>+'20'!G193</f>
        <v>0</v>
      </c>
      <c r="D193" s="87">
        <v>0</v>
      </c>
      <c r="E193" s="47">
        <f t="shared" si="17"/>
        <v>0</v>
      </c>
      <c r="F193" s="87">
        <v>0</v>
      </c>
      <c r="G193" s="47">
        <f t="shared" si="15"/>
        <v>0</v>
      </c>
      <c r="H193" s="88"/>
      <c r="I193" s="15">
        <v>45</v>
      </c>
      <c r="J193" s="82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255</v>
      </c>
      <c r="C194" s="79">
        <f>+'20'!G194</f>
        <v>0</v>
      </c>
      <c r="D194" s="87">
        <v>0</v>
      </c>
      <c r="E194" s="47">
        <f t="shared" si="17"/>
        <v>0</v>
      </c>
      <c r="F194" s="87">
        <v>0</v>
      </c>
      <c r="G194" s="47">
        <f t="shared" si="15"/>
        <v>0</v>
      </c>
      <c r="H194" s="88"/>
      <c r="I194" s="15">
        <v>50</v>
      </c>
      <c r="J194" s="82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199</v>
      </c>
      <c r="C195" s="79">
        <f>+'20'!G195</f>
        <v>0</v>
      </c>
      <c r="D195" s="87">
        <v>0</v>
      </c>
      <c r="E195" s="47">
        <f t="shared" si="17"/>
        <v>0</v>
      </c>
      <c r="F195" s="87">
        <v>0</v>
      </c>
      <c r="G195" s="47">
        <f t="shared" si="15"/>
        <v>0</v>
      </c>
      <c r="H195" s="88"/>
      <c r="I195" s="15">
        <v>150</v>
      </c>
      <c r="J195" s="82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200</v>
      </c>
      <c r="C196" s="79">
        <f>+'20'!G196</f>
        <v>0</v>
      </c>
      <c r="D196" s="87">
        <v>0</v>
      </c>
      <c r="E196" s="47">
        <f t="shared" si="17"/>
        <v>0</v>
      </c>
      <c r="F196" s="87">
        <v>0</v>
      </c>
      <c r="G196" s="47">
        <f t="shared" si="15"/>
        <v>0</v>
      </c>
      <c r="H196" s="88"/>
      <c r="I196" s="15">
        <v>150</v>
      </c>
      <c r="J196" s="82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201</v>
      </c>
      <c r="C197" s="79">
        <f>+'20'!G197</f>
        <v>0</v>
      </c>
      <c r="D197" s="87">
        <v>0</v>
      </c>
      <c r="E197" s="47">
        <f t="shared" si="17"/>
        <v>0</v>
      </c>
      <c r="F197" s="87">
        <v>0</v>
      </c>
      <c r="G197" s="47">
        <f t="shared" si="15"/>
        <v>0</v>
      </c>
      <c r="H197" s="88"/>
      <c r="I197" s="15">
        <v>150</v>
      </c>
      <c r="J197" s="82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256</v>
      </c>
      <c r="C198" s="79">
        <f>+'20'!G198</f>
        <v>0</v>
      </c>
      <c r="D198" s="87">
        <v>0</v>
      </c>
      <c r="E198" s="47">
        <f t="shared" si="17"/>
        <v>0</v>
      </c>
      <c r="F198" s="87">
        <v>0</v>
      </c>
      <c r="G198" s="47">
        <f t="shared" si="15"/>
        <v>0</v>
      </c>
      <c r="H198" s="88"/>
      <c r="I198" s="15">
        <v>55</v>
      </c>
      <c r="J198" s="82">
        <f t="shared" si="16"/>
        <v>0</v>
      </c>
      <c r="K198" s="17" t="s">
        <v>16</v>
      </c>
      <c r="L198" s="18">
        <v>0</v>
      </c>
      <c r="M198" s="23">
        <f t="shared" si="14"/>
        <v>0</v>
      </c>
    </row>
    <row r="199" spans="1:13" ht="25.5" x14ac:dyDescent="0.55000000000000004">
      <c r="A199" s="10">
        <v>195</v>
      </c>
      <c r="B199" s="19" t="s">
        <v>257</v>
      </c>
      <c r="C199" s="79">
        <f>+'20'!G199</f>
        <v>0</v>
      </c>
      <c r="D199" s="87">
        <v>0</v>
      </c>
      <c r="E199" s="47">
        <f t="shared" si="17"/>
        <v>0</v>
      </c>
      <c r="F199" s="87">
        <v>0</v>
      </c>
      <c r="G199" s="47">
        <f t="shared" si="15"/>
        <v>0</v>
      </c>
      <c r="H199" s="88"/>
      <c r="I199" s="15">
        <v>30</v>
      </c>
      <c r="J199" s="82">
        <f t="shared" si="16"/>
        <v>0</v>
      </c>
      <c r="K199" s="17" t="s">
        <v>16</v>
      </c>
      <c r="L199" s="18">
        <v>0</v>
      </c>
      <c r="M199" s="23">
        <f t="shared" ref="M199:M254" si="18">SUM(J199-L199)</f>
        <v>0</v>
      </c>
    </row>
    <row r="200" spans="1:13" ht="25.5" x14ac:dyDescent="0.55000000000000004">
      <c r="A200" s="10">
        <v>196</v>
      </c>
      <c r="B200" s="19" t="s">
        <v>258</v>
      </c>
      <c r="C200" s="79">
        <f>+'20'!G200</f>
        <v>0</v>
      </c>
      <c r="D200" s="87">
        <v>0</v>
      </c>
      <c r="E200" s="47">
        <f t="shared" si="17"/>
        <v>0</v>
      </c>
      <c r="F200" s="87">
        <v>0</v>
      </c>
      <c r="G200" s="47">
        <f t="shared" si="15"/>
        <v>0</v>
      </c>
      <c r="H200" s="88"/>
      <c r="I200" s="15">
        <v>30</v>
      </c>
      <c r="J200" s="82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259</v>
      </c>
      <c r="C201" s="79">
        <f>+'20'!G201</f>
        <v>0</v>
      </c>
      <c r="D201" s="87">
        <v>0</v>
      </c>
      <c r="E201" s="47">
        <f t="shared" si="17"/>
        <v>0</v>
      </c>
      <c r="F201" s="87">
        <v>0</v>
      </c>
      <c r="G201" s="47">
        <f t="shared" si="15"/>
        <v>0</v>
      </c>
      <c r="H201" s="88"/>
      <c r="I201" s="15">
        <v>30</v>
      </c>
      <c r="J201" s="82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260</v>
      </c>
      <c r="C202" s="79">
        <f>+'20'!G202</f>
        <v>0</v>
      </c>
      <c r="D202" s="87">
        <v>0</v>
      </c>
      <c r="E202" s="47">
        <f t="shared" si="17"/>
        <v>0</v>
      </c>
      <c r="F202" s="87">
        <v>0</v>
      </c>
      <c r="G202" s="47">
        <f t="shared" si="15"/>
        <v>0</v>
      </c>
      <c r="H202" s="88"/>
      <c r="I202" s="15">
        <v>30</v>
      </c>
      <c r="J202" s="82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1" t="s">
        <v>261</v>
      </c>
      <c r="C203" s="79">
        <f>+'20'!G203</f>
        <v>0</v>
      </c>
      <c r="D203" s="87">
        <v>0</v>
      </c>
      <c r="E203" s="47">
        <f t="shared" si="17"/>
        <v>0</v>
      </c>
      <c r="F203" s="87">
        <v>0</v>
      </c>
      <c r="G203" s="47">
        <f t="shared" si="15"/>
        <v>0</v>
      </c>
      <c r="H203" s="88"/>
      <c r="I203" s="20">
        <v>30</v>
      </c>
      <c r="J203" s="82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1" t="s">
        <v>262</v>
      </c>
      <c r="C204" s="79">
        <f>+'20'!G204</f>
        <v>0</v>
      </c>
      <c r="D204" s="87">
        <v>0</v>
      </c>
      <c r="E204" s="47">
        <f t="shared" si="17"/>
        <v>0</v>
      </c>
      <c r="F204" s="87">
        <v>0</v>
      </c>
      <c r="G204" s="47">
        <f t="shared" si="15"/>
        <v>0</v>
      </c>
      <c r="H204" s="88"/>
      <c r="I204" s="20">
        <v>30</v>
      </c>
      <c r="J204" s="82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1" t="s">
        <v>263</v>
      </c>
      <c r="C205" s="79">
        <f>+'20'!G205</f>
        <v>0</v>
      </c>
      <c r="D205" s="87">
        <v>0</v>
      </c>
      <c r="E205" s="47">
        <f t="shared" si="17"/>
        <v>0</v>
      </c>
      <c r="F205" s="87">
        <v>0</v>
      </c>
      <c r="G205" s="47">
        <f t="shared" si="15"/>
        <v>0</v>
      </c>
      <c r="H205" s="88"/>
      <c r="I205" s="20">
        <v>50</v>
      </c>
      <c r="J205" s="82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1" t="s">
        <v>264</v>
      </c>
      <c r="C206" s="79">
        <f>+'20'!G206</f>
        <v>0</v>
      </c>
      <c r="D206" s="87">
        <v>0</v>
      </c>
      <c r="E206" s="47">
        <f t="shared" si="17"/>
        <v>0</v>
      </c>
      <c r="F206" s="87">
        <v>0</v>
      </c>
      <c r="G206" s="47">
        <f t="shared" si="15"/>
        <v>0</v>
      </c>
      <c r="H206" s="88"/>
      <c r="I206" s="20">
        <v>100</v>
      </c>
      <c r="J206" s="82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1" t="s">
        <v>265</v>
      </c>
      <c r="C207" s="79">
        <f>+'20'!G207</f>
        <v>0</v>
      </c>
      <c r="D207" s="87">
        <v>0</v>
      </c>
      <c r="E207" s="47">
        <f t="shared" si="17"/>
        <v>0</v>
      </c>
      <c r="F207" s="87">
        <v>0</v>
      </c>
      <c r="G207" s="47">
        <f t="shared" si="15"/>
        <v>0</v>
      </c>
      <c r="H207" s="88"/>
      <c r="I207" s="20">
        <v>100</v>
      </c>
      <c r="J207" s="82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1" t="s">
        <v>266</v>
      </c>
      <c r="C208" s="79">
        <f>+'20'!G208</f>
        <v>0</v>
      </c>
      <c r="D208" s="87">
        <v>0</v>
      </c>
      <c r="E208" s="47">
        <f t="shared" si="17"/>
        <v>0</v>
      </c>
      <c r="F208" s="87">
        <v>0</v>
      </c>
      <c r="G208" s="47">
        <f t="shared" si="15"/>
        <v>0</v>
      </c>
      <c r="H208" s="88"/>
      <c r="I208" s="20">
        <v>100</v>
      </c>
      <c r="J208" s="82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1" t="s">
        <v>267</v>
      </c>
      <c r="C209" s="79">
        <f>+'20'!G209</f>
        <v>0</v>
      </c>
      <c r="D209" s="87">
        <v>0</v>
      </c>
      <c r="E209" s="47">
        <f t="shared" si="17"/>
        <v>0</v>
      </c>
      <c r="F209" s="87">
        <v>0</v>
      </c>
      <c r="G209" s="47">
        <f t="shared" si="15"/>
        <v>0</v>
      </c>
      <c r="H209" s="88"/>
      <c r="I209" s="20">
        <v>100</v>
      </c>
      <c r="J209" s="82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1" t="s">
        <v>268</v>
      </c>
      <c r="C210" s="79">
        <f>+'20'!G210</f>
        <v>0</v>
      </c>
      <c r="D210" s="87">
        <v>0</v>
      </c>
      <c r="E210" s="47">
        <f t="shared" si="17"/>
        <v>0</v>
      </c>
      <c r="F210" s="87">
        <v>0</v>
      </c>
      <c r="G210" s="47">
        <f t="shared" si="15"/>
        <v>0</v>
      </c>
      <c r="H210" s="88"/>
      <c r="I210" s="20">
        <v>250</v>
      </c>
      <c r="J210" s="82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1" t="s">
        <v>269</v>
      </c>
      <c r="C211" s="79">
        <f>+'20'!G211</f>
        <v>0</v>
      </c>
      <c r="D211" s="87">
        <v>0</v>
      </c>
      <c r="E211" s="47">
        <f t="shared" si="17"/>
        <v>0</v>
      </c>
      <c r="F211" s="87">
        <v>0</v>
      </c>
      <c r="G211" s="47">
        <f t="shared" si="15"/>
        <v>0</v>
      </c>
      <c r="H211" s="88"/>
      <c r="I211" s="20">
        <v>250</v>
      </c>
      <c r="J211" s="82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1" t="s">
        <v>270</v>
      </c>
      <c r="C212" s="79">
        <f>+'20'!G212</f>
        <v>0</v>
      </c>
      <c r="D212" s="87">
        <v>0</v>
      </c>
      <c r="E212" s="47">
        <f t="shared" si="17"/>
        <v>0</v>
      </c>
      <c r="F212" s="87">
        <v>0</v>
      </c>
      <c r="G212" s="47">
        <f t="shared" si="15"/>
        <v>0</v>
      </c>
      <c r="H212" s="88"/>
      <c r="I212" s="20">
        <v>250</v>
      </c>
      <c r="J212" s="82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1" t="s">
        <v>271</v>
      </c>
      <c r="C213" s="79">
        <f>+'20'!G213</f>
        <v>0</v>
      </c>
      <c r="D213" s="87">
        <v>0</v>
      </c>
      <c r="E213" s="47">
        <f t="shared" si="17"/>
        <v>0</v>
      </c>
      <c r="F213" s="87">
        <v>0</v>
      </c>
      <c r="G213" s="47">
        <f t="shared" si="15"/>
        <v>0</v>
      </c>
      <c r="H213" s="88"/>
      <c r="I213" s="20">
        <v>50</v>
      </c>
      <c r="J213" s="82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1" t="s">
        <v>273</v>
      </c>
      <c r="C214" s="79">
        <f>+'20'!G214</f>
        <v>0</v>
      </c>
      <c r="D214" s="87">
        <v>0</v>
      </c>
      <c r="E214" s="47">
        <f t="shared" si="17"/>
        <v>0</v>
      </c>
      <c r="F214" s="87">
        <v>0</v>
      </c>
      <c r="G214" s="47">
        <f t="shared" si="15"/>
        <v>0</v>
      </c>
      <c r="H214" s="88"/>
      <c r="I214" s="20">
        <v>50</v>
      </c>
      <c r="J214" s="82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1" t="s">
        <v>274</v>
      </c>
      <c r="C215" s="79">
        <f>+'20'!G215</f>
        <v>0</v>
      </c>
      <c r="D215" s="87">
        <v>0</v>
      </c>
      <c r="E215" s="47">
        <f t="shared" si="17"/>
        <v>0</v>
      </c>
      <c r="F215" s="87">
        <v>0</v>
      </c>
      <c r="G215" s="47">
        <f t="shared" si="15"/>
        <v>0</v>
      </c>
      <c r="H215" s="88"/>
      <c r="I215" s="20">
        <v>50</v>
      </c>
      <c r="J215" s="82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1" t="s">
        <v>242</v>
      </c>
      <c r="C216" s="79">
        <f>+'20'!G216</f>
        <v>0</v>
      </c>
      <c r="D216" s="87">
        <v>0</v>
      </c>
      <c r="E216" s="47">
        <f t="shared" si="17"/>
        <v>0</v>
      </c>
      <c r="F216" s="87">
        <v>0</v>
      </c>
      <c r="G216" s="47">
        <f t="shared" si="15"/>
        <v>0</v>
      </c>
      <c r="H216" s="88"/>
      <c r="I216" s="20">
        <v>35</v>
      </c>
      <c r="J216" s="82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1" t="s">
        <v>275</v>
      </c>
      <c r="C217" s="79">
        <f>+'20'!G217</f>
        <v>0</v>
      </c>
      <c r="D217" s="87">
        <v>0</v>
      </c>
      <c r="E217" s="47">
        <f t="shared" si="17"/>
        <v>0</v>
      </c>
      <c r="F217" s="87">
        <v>0</v>
      </c>
      <c r="G217" s="47">
        <f t="shared" si="15"/>
        <v>0</v>
      </c>
      <c r="H217" s="88"/>
      <c r="I217" s="20">
        <v>199</v>
      </c>
      <c r="J217" s="82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1" t="s">
        <v>283</v>
      </c>
      <c r="C218" s="79"/>
      <c r="D218" s="87">
        <v>0</v>
      </c>
      <c r="E218" s="47">
        <f t="shared" si="17"/>
        <v>0</v>
      </c>
      <c r="F218" s="87">
        <v>0</v>
      </c>
      <c r="G218" s="47">
        <f t="shared" si="15"/>
        <v>0</v>
      </c>
      <c r="H218" s="88"/>
      <c r="I218" s="20">
        <v>25</v>
      </c>
      <c r="J218" s="82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1" t="s">
        <v>284</v>
      </c>
      <c r="C219" s="79"/>
      <c r="D219" s="87">
        <v>0</v>
      </c>
      <c r="E219" s="47">
        <f t="shared" si="17"/>
        <v>0</v>
      </c>
      <c r="F219" s="87">
        <v>0</v>
      </c>
      <c r="G219" s="47">
        <f t="shared" si="15"/>
        <v>0</v>
      </c>
      <c r="H219" s="88"/>
      <c r="I219" s="20">
        <v>25</v>
      </c>
      <c r="J219" s="82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1" t="s">
        <v>314</v>
      </c>
      <c r="C220" s="79">
        <f>+'20'!G220</f>
        <v>0</v>
      </c>
      <c r="D220" s="87">
        <v>0</v>
      </c>
      <c r="E220" s="47">
        <f t="shared" si="17"/>
        <v>0</v>
      </c>
      <c r="F220" s="87">
        <v>0</v>
      </c>
      <c r="G220" s="47">
        <f t="shared" si="15"/>
        <v>0</v>
      </c>
      <c r="H220" s="88"/>
      <c r="I220" s="20">
        <v>35</v>
      </c>
      <c r="J220" s="82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1" t="s">
        <v>326</v>
      </c>
      <c r="C221" s="79">
        <f>+'20'!G221</f>
        <v>1</v>
      </c>
      <c r="D221" s="87">
        <v>0</v>
      </c>
      <c r="E221" s="47">
        <f t="shared" si="17"/>
        <v>1</v>
      </c>
      <c r="F221" s="87">
        <v>0</v>
      </c>
      <c r="G221" s="47">
        <f t="shared" si="15"/>
        <v>1</v>
      </c>
      <c r="H221" s="88"/>
      <c r="I221" s="20">
        <v>55</v>
      </c>
      <c r="J221" s="82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1" t="s">
        <v>327</v>
      </c>
      <c r="C222" s="79">
        <f>+'20'!G222</f>
        <v>0</v>
      </c>
      <c r="D222" s="87">
        <v>0</v>
      </c>
      <c r="E222" s="47">
        <f t="shared" si="17"/>
        <v>0</v>
      </c>
      <c r="F222" s="87">
        <v>0</v>
      </c>
      <c r="G222" s="47">
        <f t="shared" si="15"/>
        <v>0</v>
      </c>
      <c r="H222" s="88"/>
      <c r="I222" s="20">
        <v>40</v>
      </c>
      <c r="J222" s="82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1"/>
      <c r="C223" s="79">
        <f>+'20'!G223</f>
        <v>0</v>
      </c>
      <c r="D223" s="87">
        <v>0</v>
      </c>
      <c r="E223" s="47">
        <f t="shared" si="17"/>
        <v>0</v>
      </c>
      <c r="F223" s="87">
        <v>0</v>
      </c>
      <c r="G223" s="47">
        <f t="shared" si="15"/>
        <v>0</v>
      </c>
      <c r="H223" s="88"/>
      <c r="I223" s="20"/>
      <c r="J223" s="82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1"/>
      <c r="C224" s="79">
        <f>+'20'!G224</f>
        <v>0</v>
      </c>
      <c r="D224" s="87">
        <v>0</v>
      </c>
      <c r="E224" s="47">
        <f t="shared" si="17"/>
        <v>0</v>
      </c>
      <c r="F224" s="87">
        <v>0</v>
      </c>
      <c r="G224" s="47">
        <f t="shared" si="15"/>
        <v>0</v>
      </c>
      <c r="H224" s="88"/>
      <c r="I224" s="20"/>
      <c r="J224" s="82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1"/>
      <c r="C225" s="79">
        <f>+'20'!G225</f>
        <v>0</v>
      </c>
      <c r="D225" s="87">
        <v>0</v>
      </c>
      <c r="E225" s="47">
        <f t="shared" si="17"/>
        <v>0</v>
      </c>
      <c r="F225" s="87">
        <v>0</v>
      </c>
      <c r="G225" s="47">
        <f t="shared" si="15"/>
        <v>0</v>
      </c>
      <c r="H225" s="88"/>
      <c r="I225" s="20"/>
      <c r="J225" s="82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1"/>
      <c r="C226" s="79">
        <f>+'20'!G226</f>
        <v>0</v>
      </c>
      <c r="D226" s="87">
        <v>0</v>
      </c>
      <c r="E226" s="47">
        <f t="shared" si="17"/>
        <v>0</v>
      </c>
      <c r="F226" s="87">
        <v>0</v>
      </c>
      <c r="G226" s="47">
        <f t="shared" si="15"/>
        <v>0</v>
      </c>
      <c r="H226" s="88"/>
      <c r="I226" s="20"/>
      <c r="J226" s="82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1"/>
      <c r="C227" s="79">
        <f>+'20'!G227</f>
        <v>0</v>
      </c>
      <c r="D227" s="87">
        <v>0</v>
      </c>
      <c r="E227" s="47">
        <f t="shared" si="17"/>
        <v>0</v>
      </c>
      <c r="F227" s="87">
        <v>0</v>
      </c>
      <c r="G227" s="47">
        <f t="shared" si="15"/>
        <v>0</v>
      </c>
      <c r="H227" s="88"/>
      <c r="I227" s="20"/>
      <c r="J227" s="82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1"/>
      <c r="C228" s="79">
        <f>+'20'!G228</f>
        <v>0</v>
      </c>
      <c r="D228" s="87">
        <v>0</v>
      </c>
      <c r="E228" s="47">
        <f t="shared" si="17"/>
        <v>0</v>
      </c>
      <c r="F228" s="87">
        <v>0</v>
      </c>
      <c r="G228" s="47">
        <f t="shared" ref="G228:G254" si="19">+E228-F228-H228</f>
        <v>0</v>
      </c>
      <c r="H228" s="88"/>
      <c r="I228" s="20"/>
      <c r="J228" s="82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1"/>
      <c r="C229" s="79">
        <f>+'20'!G229</f>
        <v>0</v>
      </c>
      <c r="D229" s="87">
        <v>0</v>
      </c>
      <c r="E229" s="47">
        <f t="shared" si="17"/>
        <v>0</v>
      </c>
      <c r="F229" s="87">
        <v>0</v>
      </c>
      <c r="G229" s="47">
        <f t="shared" si="19"/>
        <v>0</v>
      </c>
      <c r="H229" s="88"/>
      <c r="I229" s="20"/>
      <c r="J229" s="82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1"/>
      <c r="C230" s="79">
        <f>+'20'!G230</f>
        <v>0</v>
      </c>
      <c r="D230" s="87">
        <v>0</v>
      </c>
      <c r="E230" s="47">
        <f t="shared" si="17"/>
        <v>0</v>
      </c>
      <c r="F230" s="87">
        <v>0</v>
      </c>
      <c r="G230" s="47">
        <f t="shared" si="19"/>
        <v>0</v>
      </c>
      <c r="H230" s="88"/>
      <c r="I230" s="20"/>
      <c r="J230" s="82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1"/>
      <c r="C231" s="79">
        <f>+'20'!G231</f>
        <v>0</v>
      </c>
      <c r="D231" s="87">
        <v>0</v>
      </c>
      <c r="E231" s="47">
        <f t="shared" si="17"/>
        <v>0</v>
      </c>
      <c r="F231" s="87">
        <v>0</v>
      </c>
      <c r="G231" s="47">
        <f t="shared" si="19"/>
        <v>0</v>
      </c>
      <c r="H231" s="88"/>
      <c r="I231" s="20"/>
      <c r="J231" s="82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1"/>
      <c r="C232" s="79">
        <f>+'20'!G232</f>
        <v>0</v>
      </c>
      <c r="D232" s="87">
        <v>0</v>
      </c>
      <c r="E232" s="47">
        <f t="shared" si="17"/>
        <v>0</v>
      </c>
      <c r="F232" s="87">
        <v>0</v>
      </c>
      <c r="G232" s="47">
        <f t="shared" si="19"/>
        <v>0</v>
      </c>
      <c r="H232" s="88"/>
      <c r="I232" s="20"/>
      <c r="J232" s="82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1"/>
      <c r="C233" s="79">
        <f>+'20'!G233</f>
        <v>0</v>
      </c>
      <c r="D233" s="87">
        <v>0</v>
      </c>
      <c r="E233" s="47">
        <f t="shared" si="17"/>
        <v>0</v>
      </c>
      <c r="F233" s="87">
        <v>0</v>
      </c>
      <c r="G233" s="47">
        <f t="shared" si="19"/>
        <v>0</v>
      </c>
      <c r="H233" s="88"/>
      <c r="I233" s="20"/>
      <c r="J233" s="82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1"/>
      <c r="C234" s="79">
        <f>+'20'!G234</f>
        <v>0</v>
      </c>
      <c r="D234" s="87">
        <v>0</v>
      </c>
      <c r="E234" s="47">
        <f t="shared" si="17"/>
        <v>0</v>
      </c>
      <c r="F234" s="87">
        <v>0</v>
      </c>
      <c r="G234" s="47">
        <f t="shared" si="19"/>
        <v>0</v>
      </c>
      <c r="H234" s="88"/>
      <c r="I234" s="20"/>
      <c r="J234" s="82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1"/>
      <c r="C235" s="79">
        <f>+'20'!G235</f>
        <v>0</v>
      </c>
      <c r="D235" s="87">
        <v>0</v>
      </c>
      <c r="E235" s="47">
        <f t="shared" si="17"/>
        <v>0</v>
      </c>
      <c r="F235" s="87">
        <v>0</v>
      </c>
      <c r="G235" s="47">
        <f t="shared" si="19"/>
        <v>0</v>
      </c>
      <c r="H235" s="88"/>
      <c r="I235" s="20"/>
      <c r="J235" s="82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1"/>
      <c r="C236" s="79">
        <f>+'20'!G236</f>
        <v>0</v>
      </c>
      <c r="D236" s="87">
        <v>0</v>
      </c>
      <c r="E236" s="47">
        <f t="shared" si="17"/>
        <v>0</v>
      </c>
      <c r="F236" s="87">
        <v>0</v>
      </c>
      <c r="G236" s="47">
        <f t="shared" si="19"/>
        <v>0</v>
      </c>
      <c r="H236" s="88"/>
      <c r="I236" s="20"/>
      <c r="J236" s="82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1"/>
      <c r="C237" s="79">
        <f>+'20'!G237</f>
        <v>0</v>
      </c>
      <c r="D237" s="87">
        <v>0</v>
      </c>
      <c r="E237" s="47">
        <f t="shared" si="17"/>
        <v>0</v>
      </c>
      <c r="F237" s="87">
        <v>0</v>
      </c>
      <c r="G237" s="47">
        <f t="shared" si="19"/>
        <v>0</v>
      </c>
      <c r="H237" s="88"/>
      <c r="I237" s="20"/>
      <c r="J237" s="82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1"/>
      <c r="C238" s="79">
        <f>+'20'!G238</f>
        <v>0</v>
      </c>
      <c r="D238" s="87">
        <v>0</v>
      </c>
      <c r="E238" s="47">
        <f t="shared" si="17"/>
        <v>0</v>
      </c>
      <c r="F238" s="87">
        <v>0</v>
      </c>
      <c r="G238" s="47">
        <f t="shared" si="19"/>
        <v>0</v>
      </c>
      <c r="H238" s="88"/>
      <c r="I238" s="20"/>
      <c r="J238" s="82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1"/>
      <c r="C239" s="79">
        <f>+'20'!G239</f>
        <v>0</v>
      </c>
      <c r="D239" s="87">
        <v>0</v>
      </c>
      <c r="E239" s="47">
        <f t="shared" si="17"/>
        <v>0</v>
      </c>
      <c r="F239" s="87">
        <v>0</v>
      </c>
      <c r="G239" s="47">
        <f t="shared" si="19"/>
        <v>0</v>
      </c>
      <c r="H239" s="88"/>
      <c r="I239" s="20"/>
      <c r="J239" s="82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1"/>
      <c r="C240" s="79">
        <f>+'20'!G240</f>
        <v>0</v>
      </c>
      <c r="D240" s="87">
        <v>0</v>
      </c>
      <c r="E240" s="47">
        <f t="shared" si="17"/>
        <v>0</v>
      </c>
      <c r="F240" s="87">
        <v>0</v>
      </c>
      <c r="G240" s="47">
        <f t="shared" si="19"/>
        <v>0</v>
      </c>
      <c r="H240" s="88"/>
      <c r="I240" s="20"/>
      <c r="J240" s="82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1"/>
      <c r="C241" s="79">
        <f>+'20'!G241</f>
        <v>0</v>
      </c>
      <c r="D241" s="87">
        <v>0</v>
      </c>
      <c r="E241" s="47">
        <f t="shared" si="17"/>
        <v>0</v>
      </c>
      <c r="F241" s="87">
        <v>0</v>
      </c>
      <c r="G241" s="47">
        <f t="shared" si="19"/>
        <v>0</v>
      </c>
      <c r="H241" s="88"/>
      <c r="I241" s="20"/>
      <c r="J241" s="82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1"/>
      <c r="C242" s="79">
        <f>+'20'!G242</f>
        <v>0</v>
      </c>
      <c r="D242" s="87">
        <v>0</v>
      </c>
      <c r="E242" s="47">
        <f t="shared" si="17"/>
        <v>0</v>
      </c>
      <c r="F242" s="87">
        <v>0</v>
      </c>
      <c r="G242" s="47">
        <f t="shared" si="19"/>
        <v>0</v>
      </c>
      <c r="H242" s="88"/>
      <c r="I242" s="20"/>
      <c r="J242" s="82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1"/>
      <c r="C243" s="79">
        <f>+'20'!G243</f>
        <v>0</v>
      </c>
      <c r="D243" s="87">
        <v>0</v>
      </c>
      <c r="E243" s="47">
        <f t="shared" si="17"/>
        <v>0</v>
      </c>
      <c r="F243" s="87">
        <v>0</v>
      </c>
      <c r="G243" s="47">
        <f t="shared" si="19"/>
        <v>0</v>
      </c>
      <c r="H243" s="88"/>
      <c r="I243" s="20"/>
      <c r="J243" s="82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1"/>
      <c r="C244" s="79">
        <f>+'20'!G244</f>
        <v>0</v>
      </c>
      <c r="D244" s="87">
        <v>0</v>
      </c>
      <c r="E244" s="47">
        <f t="shared" si="17"/>
        <v>0</v>
      </c>
      <c r="F244" s="87">
        <v>0</v>
      </c>
      <c r="G244" s="47">
        <f t="shared" si="19"/>
        <v>0</v>
      </c>
      <c r="H244" s="88"/>
      <c r="I244" s="20"/>
      <c r="J244" s="82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1"/>
      <c r="C245" s="79">
        <f>+'20'!G245</f>
        <v>0</v>
      </c>
      <c r="D245" s="87">
        <v>0</v>
      </c>
      <c r="E245" s="47">
        <f t="shared" si="17"/>
        <v>0</v>
      </c>
      <c r="F245" s="87">
        <v>0</v>
      </c>
      <c r="G245" s="47">
        <f t="shared" si="19"/>
        <v>0</v>
      </c>
      <c r="H245" s="88"/>
      <c r="I245" s="20"/>
      <c r="J245" s="82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1"/>
      <c r="C246" s="79">
        <f>+'20'!G246</f>
        <v>0</v>
      </c>
      <c r="D246" s="87">
        <v>0</v>
      </c>
      <c r="E246" s="47">
        <f t="shared" si="17"/>
        <v>0</v>
      </c>
      <c r="F246" s="87">
        <v>0</v>
      </c>
      <c r="G246" s="47">
        <f t="shared" si="19"/>
        <v>0</v>
      </c>
      <c r="H246" s="88"/>
      <c r="I246" s="20"/>
      <c r="J246" s="82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1"/>
      <c r="C247" s="79">
        <f>+'20'!G247</f>
        <v>0</v>
      </c>
      <c r="D247" s="87">
        <v>0</v>
      </c>
      <c r="E247" s="47">
        <f t="shared" si="17"/>
        <v>0</v>
      </c>
      <c r="F247" s="87">
        <v>0</v>
      </c>
      <c r="G247" s="47">
        <f t="shared" si="19"/>
        <v>0</v>
      </c>
      <c r="H247" s="88"/>
      <c r="I247" s="20"/>
      <c r="J247" s="82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1"/>
      <c r="C248" s="79">
        <f>+'20'!G248</f>
        <v>0</v>
      </c>
      <c r="D248" s="87">
        <v>0</v>
      </c>
      <c r="E248" s="47">
        <f t="shared" si="17"/>
        <v>0</v>
      </c>
      <c r="F248" s="87">
        <v>0</v>
      </c>
      <c r="G248" s="47">
        <f t="shared" si="19"/>
        <v>0</v>
      </c>
      <c r="H248" s="88"/>
      <c r="I248" s="20"/>
      <c r="J248" s="82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1"/>
      <c r="C249" s="79">
        <f>+'20'!G249</f>
        <v>0</v>
      </c>
      <c r="D249" s="87">
        <v>0</v>
      </c>
      <c r="E249" s="47">
        <f t="shared" si="17"/>
        <v>0</v>
      </c>
      <c r="F249" s="87">
        <v>0</v>
      </c>
      <c r="G249" s="47">
        <f t="shared" si="19"/>
        <v>0</v>
      </c>
      <c r="H249" s="88"/>
      <c r="I249" s="20"/>
      <c r="J249" s="82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1"/>
      <c r="C250" s="79">
        <f>+'20'!G250</f>
        <v>0</v>
      </c>
      <c r="D250" s="87">
        <v>0</v>
      </c>
      <c r="E250" s="47">
        <f t="shared" si="17"/>
        <v>0</v>
      </c>
      <c r="F250" s="87">
        <v>0</v>
      </c>
      <c r="G250" s="47">
        <f t="shared" si="19"/>
        <v>0</v>
      </c>
      <c r="H250" s="88"/>
      <c r="I250" s="20"/>
      <c r="J250" s="82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1"/>
      <c r="C251" s="79">
        <f>+'20'!G251</f>
        <v>0</v>
      </c>
      <c r="D251" s="87">
        <v>0</v>
      </c>
      <c r="E251" s="47">
        <f t="shared" si="17"/>
        <v>0</v>
      </c>
      <c r="F251" s="87">
        <v>0</v>
      </c>
      <c r="G251" s="47">
        <f t="shared" si="19"/>
        <v>0</v>
      </c>
      <c r="H251" s="88"/>
      <c r="I251" s="20"/>
      <c r="J251" s="82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1"/>
      <c r="C252" s="79">
        <f>+'20'!G252</f>
        <v>0</v>
      </c>
      <c r="D252" s="87">
        <v>0</v>
      </c>
      <c r="E252" s="47">
        <f t="shared" si="17"/>
        <v>0</v>
      </c>
      <c r="F252" s="87">
        <v>0</v>
      </c>
      <c r="G252" s="47">
        <f t="shared" si="19"/>
        <v>0</v>
      </c>
      <c r="H252" s="88"/>
      <c r="I252" s="20"/>
      <c r="J252" s="82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1"/>
      <c r="C253" s="79">
        <f>+'20'!G253</f>
        <v>0</v>
      </c>
      <c r="D253" s="87">
        <v>0</v>
      </c>
      <c r="E253" s="47">
        <f t="shared" ref="E253:E254" si="21">C253+D253</f>
        <v>0</v>
      </c>
      <c r="F253" s="87">
        <v>0</v>
      </c>
      <c r="G253" s="47">
        <f t="shared" si="19"/>
        <v>0</v>
      </c>
      <c r="H253" s="88"/>
      <c r="I253" s="20"/>
      <c r="J253" s="82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1"/>
      <c r="C254" s="79">
        <f>+'20'!G254</f>
        <v>0</v>
      </c>
      <c r="D254" s="87">
        <v>0</v>
      </c>
      <c r="E254" s="47">
        <f t="shared" si="21"/>
        <v>0</v>
      </c>
      <c r="F254" s="87">
        <v>0</v>
      </c>
      <c r="G254" s="47">
        <f t="shared" si="19"/>
        <v>0</v>
      </c>
      <c r="H254" s="88"/>
      <c r="I254" s="20"/>
      <c r="J254" s="82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3550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3" t="s">
        <v>213</v>
      </c>
      <c r="N255" s="143"/>
    </row>
    <row r="256" spans="1:14" ht="25.5" customHeight="1" x14ac:dyDescent="0.5">
      <c r="A256" s="1"/>
      <c r="E256" s="24"/>
      <c r="F256" s="25"/>
      <c r="G256" s="24"/>
      <c r="H256" s="148" t="s">
        <v>212</v>
      </c>
      <c r="I256" s="149"/>
      <c r="J256" s="30">
        <f>+X138</f>
        <v>0</v>
      </c>
      <c r="K256" s="27"/>
      <c r="L256" s="29"/>
    </row>
    <row r="257" spans="1:17" ht="25.5" x14ac:dyDescent="0.55000000000000004">
      <c r="A257" s="1"/>
      <c r="E257" s="31"/>
      <c r="G257" s="31"/>
      <c r="H257" s="32"/>
      <c r="I257" s="150" t="s">
        <v>202</v>
      </c>
      <c r="J257" s="150"/>
      <c r="K257" s="33">
        <f>SUM(J5:J256)</f>
        <v>3860</v>
      </c>
    </row>
    <row r="258" spans="1:17" ht="25.5" x14ac:dyDescent="0.55000000000000004">
      <c r="A258" s="1"/>
      <c r="E258" s="31"/>
      <c r="G258" s="31"/>
      <c r="I258" s="140" t="s">
        <v>203</v>
      </c>
      <c r="J258" s="141"/>
      <c r="K258" s="36">
        <v>15</v>
      </c>
    </row>
    <row r="259" spans="1:17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960</v>
      </c>
      <c r="L259" s="2">
        <v>50</v>
      </c>
      <c r="M259" s="2">
        <v>110</v>
      </c>
      <c r="N259" s="2">
        <v>100</v>
      </c>
      <c r="O259" s="2">
        <v>250</v>
      </c>
      <c r="P259" s="2">
        <v>200</v>
      </c>
      <c r="Q259" s="2">
        <v>250</v>
      </c>
    </row>
    <row r="260" spans="1:17" ht="25.5" x14ac:dyDescent="0.55000000000000004">
      <c r="A260" s="1"/>
      <c r="E260" s="31"/>
      <c r="G260" s="31"/>
      <c r="I260" s="140" t="s">
        <v>205</v>
      </c>
      <c r="J260" s="141"/>
      <c r="K260" s="36">
        <v>0</v>
      </c>
    </row>
    <row r="261" spans="1:17" ht="25.5" x14ac:dyDescent="0.55000000000000004">
      <c r="A261" s="1"/>
      <c r="E261" s="31"/>
      <c r="G261" s="31"/>
      <c r="I261" s="140" t="s">
        <v>206</v>
      </c>
      <c r="J261" s="141"/>
      <c r="K261" s="36">
        <v>0</v>
      </c>
    </row>
    <row r="262" spans="1:17" ht="25.5" x14ac:dyDescent="0.55000000000000004">
      <c r="A262" s="1"/>
      <c r="E262" s="31"/>
      <c r="G262" s="31"/>
      <c r="I262" s="140" t="s">
        <v>207</v>
      </c>
      <c r="J262" s="141"/>
      <c r="K262" s="37">
        <f>SUM(L5:L255)</f>
        <v>310</v>
      </c>
    </row>
    <row r="263" spans="1:17" ht="25.5" x14ac:dyDescent="0.55000000000000004">
      <c r="A263" s="1"/>
      <c r="E263" s="31"/>
      <c r="G263" s="31"/>
      <c r="I263" s="140" t="s">
        <v>208</v>
      </c>
      <c r="J263" s="141"/>
      <c r="K263" s="33">
        <f>K257-K258-K259-K261-K262</f>
        <v>2575</v>
      </c>
    </row>
    <row r="264" spans="1:17" ht="25.5" x14ac:dyDescent="0.55000000000000004">
      <c r="A264" s="1"/>
      <c r="E264" s="31"/>
      <c r="G264" s="31"/>
      <c r="I264" s="140" t="s">
        <v>209</v>
      </c>
      <c r="J264" s="141"/>
      <c r="K264" s="37">
        <v>2575</v>
      </c>
    </row>
    <row r="265" spans="1:17" ht="25.5" x14ac:dyDescent="0.55000000000000004">
      <c r="A265" s="1"/>
      <c r="E265" s="31"/>
      <c r="G265" s="31"/>
      <c r="I265" s="140" t="s">
        <v>210</v>
      </c>
      <c r="J265" s="141"/>
      <c r="K265" s="33">
        <f>+K264-K263</f>
        <v>0</v>
      </c>
    </row>
    <row r="266" spans="1:17" ht="25.5" x14ac:dyDescent="0.55000000000000004">
      <c r="G266" s="2"/>
      <c r="I266" s="140" t="s">
        <v>211</v>
      </c>
      <c r="J266" s="141"/>
      <c r="K266" s="33">
        <f>+K264-K263</f>
        <v>0</v>
      </c>
    </row>
    <row r="267" spans="1:17" x14ac:dyDescent="0.5">
      <c r="G267" s="2"/>
      <c r="I267" s="2"/>
    </row>
    <row r="268" spans="1:17" ht="25.5" x14ac:dyDescent="0.55000000000000004">
      <c r="G268" s="2"/>
      <c r="I268" s="105" t="s">
        <v>312</v>
      </c>
    </row>
    <row r="269" spans="1:17" x14ac:dyDescent="0.5">
      <c r="G269" s="2"/>
      <c r="I269" s="2"/>
    </row>
    <row r="270" spans="1:17" x14ac:dyDescent="0.5">
      <c r="G270" s="2"/>
      <c r="I270" s="2"/>
    </row>
    <row r="271" spans="1:17" x14ac:dyDescent="0.5">
      <c r="G271" s="2"/>
      <c r="I271" s="2"/>
    </row>
    <row r="272" spans="1:17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274F5-CA8B-4B58-8B6F-6140D09427BB}">
  <sheetPr>
    <tabColor theme="7" tint="-0.249977111117893"/>
  </sheetPr>
  <dimension ref="A1:AB341"/>
  <sheetViews>
    <sheetView zoomScaleNormal="100" workbookViewId="0">
      <pane xSplit="7" ySplit="4" topLeftCell="H251" activePane="bottomRight" state="frozen"/>
      <selection activeCell="B20" sqref="B20"/>
      <selection pane="topRight" activeCell="B20" sqref="B20"/>
      <selection pane="bottomLeft" activeCell="B20" sqref="B20"/>
      <selection pane="bottomRight" activeCell="B20" sqref="B20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8" x14ac:dyDescent="0.5">
      <c r="A1" s="1"/>
      <c r="G1" s="2"/>
      <c r="I1" s="2"/>
    </row>
    <row r="2" spans="1:28" s="3" customFormat="1" ht="29.25" x14ac:dyDescent="0.6">
      <c r="A2" s="137" t="s">
        <v>247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8" s="5" customFormat="1" ht="26.25" x14ac:dyDescent="0.55000000000000004">
      <c r="A3" s="139" t="s">
        <v>1</v>
      </c>
      <c r="B3" s="151" t="s">
        <v>2</v>
      </c>
      <c r="C3" s="139" t="s">
        <v>3</v>
      </c>
      <c r="D3" s="139" t="s">
        <v>4</v>
      </c>
      <c r="E3" s="139" t="s">
        <v>5</v>
      </c>
      <c r="F3" s="85" t="s">
        <v>6</v>
      </c>
      <c r="G3" s="139" t="s">
        <v>7</v>
      </c>
      <c r="H3" s="142" t="s">
        <v>8</v>
      </c>
      <c r="I3" s="142"/>
      <c r="J3" s="142"/>
      <c r="K3" s="139" t="s">
        <v>9</v>
      </c>
      <c r="L3" s="144" t="s">
        <v>10</v>
      </c>
      <c r="O3" s="139" t="s">
        <v>1</v>
      </c>
      <c r="P3" s="139" t="s">
        <v>2</v>
      </c>
      <c r="Q3" s="139" t="s">
        <v>3</v>
      </c>
      <c r="R3" s="139" t="s">
        <v>4</v>
      </c>
      <c r="S3" s="139" t="s">
        <v>5</v>
      </c>
      <c r="T3" s="85" t="s">
        <v>6</v>
      </c>
      <c r="U3" s="139" t="s">
        <v>7</v>
      </c>
      <c r="V3" s="142" t="s">
        <v>8</v>
      </c>
      <c r="W3" s="142"/>
      <c r="X3" s="142"/>
      <c r="Y3" s="139" t="s">
        <v>9</v>
      </c>
      <c r="Z3" s="144" t="s">
        <v>10</v>
      </c>
    </row>
    <row r="4" spans="1:28" s="5" customFormat="1" ht="26.25" x14ac:dyDescent="0.55000000000000004">
      <c r="A4" s="139"/>
      <c r="B4" s="151"/>
      <c r="C4" s="139"/>
      <c r="D4" s="139"/>
      <c r="E4" s="139"/>
      <c r="F4" s="85" t="s">
        <v>11</v>
      </c>
      <c r="G4" s="139"/>
      <c r="H4" s="85" t="s">
        <v>12</v>
      </c>
      <c r="I4" s="86" t="s">
        <v>13</v>
      </c>
      <c r="J4" s="85" t="s">
        <v>14</v>
      </c>
      <c r="K4" s="139"/>
      <c r="L4" s="144"/>
      <c r="O4" s="139"/>
      <c r="P4" s="139"/>
      <c r="Q4" s="139"/>
      <c r="R4" s="139"/>
      <c r="S4" s="139"/>
      <c r="T4" s="85" t="s">
        <v>11</v>
      </c>
      <c r="U4" s="139"/>
      <c r="V4" s="85" t="s">
        <v>12</v>
      </c>
      <c r="W4" s="86" t="s">
        <v>13</v>
      </c>
      <c r="X4" s="85" t="s">
        <v>14</v>
      </c>
      <c r="Y4" s="139"/>
      <c r="Z4" s="144"/>
      <c r="AB4" s="5" t="s">
        <v>2</v>
      </c>
    </row>
    <row r="5" spans="1:28" ht="25.5" x14ac:dyDescent="0.55000000000000004">
      <c r="A5" s="10">
        <v>1</v>
      </c>
      <c r="B5" s="19" t="s">
        <v>15</v>
      </c>
      <c r="C5" s="79">
        <v>12</v>
      </c>
      <c r="D5" s="87">
        <v>10</v>
      </c>
      <c r="E5" s="47">
        <f t="shared" ref="E5:E125" si="0">C5+D5</f>
        <v>22</v>
      </c>
      <c r="F5" s="87">
        <v>0</v>
      </c>
      <c r="G5" s="47">
        <f>+E5-F5-H5</f>
        <v>18</v>
      </c>
      <c r="H5" s="88">
        <v>4</v>
      </c>
      <c r="I5" s="20">
        <v>50</v>
      </c>
      <c r="J5" s="82">
        <f>+I5*H5</f>
        <v>200</v>
      </c>
      <c r="K5" s="17" t="s">
        <v>16</v>
      </c>
      <c r="L5" s="18">
        <v>0</v>
      </c>
      <c r="M5" s="23">
        <f>SUM(J5-L5)</f>
        <v>200</v>
      </c>
      <c r="O5" s="10">
        <v>1</v>
      </c>
      <c r="P5" s="19"/>
      <c r="Q5" s="47">
        <v>0</v>
      </c>
      <c r="R5" s="87">
        <v>0</v>
      </c>
      <c r="S5" s="47">
        <f t="shared" ref="S5:S14" si="1">Q5+R5</f>
        <v>0</v>
      </c>
      <c r="T5" s="87">
        <v>0</v>
      </c>
      <c r="U5" s="47">
        <f t="shared" ref="U5:U14" si="2">S5-T5-V5</f>
        <v>0</v>
      </c>
      <c r="V5" s="88">
        <v>0</v>
      </c>
      <c r="W5" s="22"/>
      <c r="X5" s="44">
        <f t="shared" ref="X5:X14" si="3">V5*W5</f>
        <v>0</v>
      </c>
      <c r="Y5" s="17" t="s">
        <v>16</v>
      </c>
      <c r="Z5" s="18">
        <v>0</v>
      </c>
      <c r="AB5" s="2" t="s">
        <v>317</v>
      </c>
    </row>
    <row r="6" spans="1:28" ht="25.5" x14ac:dyDescent="0.55000000000000004">
      <c r="A6" s="10">
        <v>2</v>
      </c>
      <c r="B6" s="19" t="s">
        <v>17</v>
      </c>
      <c r="C6" s="79">
        <f>+'21'!G6</f>
        <v>13</v>
      </c>
      <c r="D6" s="87">
        <v>10</v>
      </c>
      <c r="E6" s="47">
        <f t="shared" si="0"/>
        <v>23</v>
      </c>
      <c r="F6" s="87">
        <v>0</v>
      </c>
      <c r="G6" s="47">
        <f t="shared" ref="G6:G100" si="4">+E6-F6-H6</f>
        <v>18</v>
      </c>
      <c r="H6" s="88">
        <v>5</v>
      </c>
      <c r="I6" s="20">
        <v>100</v>
      </c>
      <c r="J6" s="82">
        <f t="shared" ref="J6:J100" si="5">+I6*H6</f>
        <v>500</v>
      </c>
      <c r="K6" s="17" t="s">
        <v>16</v>
      </c>
      <c r="L6" s="18">
        <v>0</v>
      </c>
      <c r="M6" s="23">
        <f t="shared" ref="M6:M69" si="6">SUM(J6-L6)</f>
        <v>500</v>
      </c>
      <c r="O6" s="10">
        <v>2</v>
      </c>
      <c r="P6" s="19"/>
      <c r="Q6" s="47">
        <v>0</v>
      </c>
      <c r="R6" s="87">
        <v>0</v>
      </c>
      <c r="S6" s="47">
        <f t="shared" si="1"/>
        <v>0</v>
      </c>
      <c r="T6" s="87">
        <v>0</v>
      </c>
      <c r="U6" s="47">
        <f t="shared" si="2"/>
        <v>0</v>
      </c>
      <c r="V6" s="88">
        <v>0</v>
      </c>
      <c r="W6" s="22"/>
      <c r="X6" s="44">
        <f t="shared" si="3"/>
        <v>0</v>
      </c>
      <c r="Y6" s="17" t="s">
        <v>16</v>
      </c>
      <c r="Z6" s="18">
        <v>0</v>
      </c>
      <c r="AB6" s="2" t="s">
        <v>318</v>
      </c>
    </row>
    <row r="7" spans="1:28" ht="25.5" x14ac:dyDescent="0.55000000000000004">
      <c r="A7" s="10">
        <v>3</v>
      </c>
      <c r="B7" s="19" t="s">
        <v>18</v>
      </c>
      <c r="C7" s="79">
        <f>+'21'!G7</f>
        <v>0</v>
      </c>
      <c r="D7" s="87">
        <v>0</v>
      </c>
      <c r="E7" s="47">
        <f>C7+D7</f>
        <v>0</v>
      </c>
      <c r="F7" s="87">
        <v>0</v>
      </c>
      <c r="G7" s="47">
        <f t="shared" si="4"/>
        <v>0</v>
      </c>
      <c r="H7" s="88"/>
      <c r="I7" s="15">
        <v>50</v>
      </c>
      <c r="J7" s="8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7">
        <v>0</v>
      </c>
      <c r="S7" s="47">
        <f t="shared" si="1"/>
        <v>0</v>
      </c>
      <c r="T7" s="87">
        <v>0</v>
      </c>
      <c r="U7" s="47">
        <f t="shared" si="2"/>
        <v>0</v>
      </c>
      <c r="V7" s="88">
        <v>0</v>
      </c>
      <c r="W7" s="22"/>
      <c r="X7" s="44">
        <f t="shared" si="3"/>
        <v>0</v>
      </c>
      <c r="Y7" s="17" t="s">
        <v>16</v>
      </c>
      <c r="Z7" s="18">
        <v>0</v>
      </c>
      <c r="AB7" s="2" t="s">
        <v>319</v>
      </c>
    </row>
    <row r="8" spans="1:28" ht="25.5" x14ac:dyDescent="0.55000000000000004">
      <c r="A8" s="10">
        <v>4</v>
      </c>
      <c r="B8" s="19" t="s">
        <v>19</v>
      </c>
      <c r="C8" s="79">
        <f>+'21'!G8</f>
        <v>0</v>
      </c>
      <c r="D8" s="87">
        <v>0</v>
      </c>
      <c r="E8" s="47">
        <f>C8+D8</f>
        <v>0</v>
      </c>
      <c r="F8" s="87">
        <v>0</v>
      </c>
      <c r="G8" s="47">
        <f t="shared" si="4"/>
        <v>0</v>
      </c>
      <c r="H8" s="88"/>
      <c r="I8" s="15">
        <v>100</v>
      </c>
      <c r="J8" s="8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7">
        <v>0</v>
      </c>
      <c r="S8" s="47">
        <f t="shared" si="1"/>
        <v>0</v>
      </c>
      <c r="T8" s="87">
        <v>0</v>
      </c>
      <c r="U8" s="47">
        <f t="shared" si="2"/>
        <v>0</v>
      </c>
      <c r="V8" s="88">
        <v>0</v>
      </c>
      <c r="W8" s="22"/>
      <c r="X8" s="44">
        <f t="shared" si="3"/>
        <v>0</v>
      </c>
      <c r="Y8" s="17" t="s">
        <v>16</v>
      </c>
      <c r="Z8" s="18">
        <v>0</v>
      </c>
      <c r="AB8" s="2" t="s">
        <v>320</v>
      </c>
    </row>
    <row r="9" spans="1:28" ht="25.5" x14ac:dyDescent="0.55000000000000004">
      <c r="A9" s="10">
        <v>5</v>
      </c>
      <c r="B9" s="19" t="s">
        <v>20</v>
      </c>
      <c r="C9" s="79">
        <f>+'21'!G9</f>
        <v>0</v>
      </c>
      <c r="D9" s="87">
        <v>0</v>
      </c>
      <c r="E9" s="47">
        <f>C9+D9</f>
        <v>0</v>
      </c>
      <c r="F9" s="87">
        <v>0</v>
      </c>
      <c r="G9" s="47">
        <f t="shared" si="4"/>
        <v>0</v>
      </c>
      <c r="H9" s="88"/>
      <c r="I9" s="15">
        <v>12</v>
      </c>
      <c r="J9" s="8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7">
        <v>0</v>
      </c>
      <c r="S9" s="47">
        <f t="shared" si="1"/>
        <v>0</v>
      </c>
      <c r="T9" s="87">
        <v>0</v>
      </c>
      <c r="U9" s="47">
        <f t="shared" si="2"/>
        <v>0</v>
      </c>
      <c r="V9" s="88">
        <v>0</v>
      </c>
      <c r="W9" s="22"/>
      <c r="X9" s="44">
        <f t="shared" si="3"/>
        <v>0</v>
      </c>
      <c r="Y9" s="17" t="s">
        <v>16</v>
      </c>
      <c r="Z9" s="18">
        <v>0</v>
      </c>
      <c r="AB9" s="2" t="s">
        <v>307</v>
      </c>
    </row>
    <row r="10" spans="1:28" ht="25.5" x14ac:dyDescent="0.55000000000000004">
      <c r="A10" s="10">
        <v>6</v>
      </c>
      <c r="B10" s="19" t="s">
        <v>21</v>
      </c>
      <c r="C10" s="79">
        <f>+'21'!G10</f>
        <v>0</v>
      </c>
      <c r="D10" s="87">
        <v>0</v>
      </c>
      <c r="E10" s="47">
        <f>C10+D10</f>
        <v>0</v>
      </c>
      <c r="F10" s="87">
        <v>0</v>
      </c>
      <c r="G10" s="47">
        <f t="shared" si="4"/>
        <v>0</v>
      </c>
      <c r="H10" s="88"/>
      <c r="I10" s="15">
        <v>15</v>
      </c>
      <c r="J10" s="8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7">
        <v>0</v>
      </c>
      <c r="S10" s="47">
        <f t="shared" si="1"/>
        <v>0</v>
      </c>
      <c r="T10" s="87">
        <v>0</v>
      </c>
      <c r="U10" s="47">
        <f t="shared" si="2"/>
        <v>0</v>
      </c>
      <c r="V10" s="88">
        <v>0</v>
      </c>
      <c r="W10" s="22"/>
      <c r="X10" s="44">
        <f t="shared" si="3"/>
        <v>0</v>
      </c>
      <c r="Y10" s="17" t="s">
        <v>16</v>
      </c>
      <c r="Z10" s="18">
        <v>0</v>
      </c>
      <c r="AB10" s="2" t="s">
        <v>311</v>
      </c>
    </row>
    <row r="11" spans="1:28" ht="25.5" x14ac:dyDescent="0.55000000000000004">
      <c r="A11" s="10">
        <v>7</v>
      </c>
      <c r="B11" s="19" t="s">
        <v>22</v>
      </c>
      <c r="C11" s="79">
        <f>+'21'!G11</f>
        <v>0</v>
      </c>
      <c r="D11" s="87">
        <v>0</v>
      </c>
      <c r="E11" s="47">
        <f t="shared" si="0"/>
        <v>0</v>
      </c>
      <c r="F11" s="87">
        <v>0</v>
      </c>
      <c r="G11" s="47">
        <f t="shared" si="4"/>
        <v>0</v>
      </c>
      <c r="H11" s="88"/>
      <c r="I11" s="15">
        <v>40</v>
      </c>
      <c r="J11" s="8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7">
        <v>0</v>
      </c>
      <c r="S11" s="47">
        <f t="shared" si="1"/>
        <v>0</v>
      </c>
      <c r="T11" s="87">
        <v>0</v>
      </c>
      <c r="U11" s="47">
        <f t="shared" si="2"/>
        <v>0</v>
      </c>
      <c r="V11" s="88">
        <v>0</v>
      </c>
      <c r="W11" s="22"/>
      <c r="X11" s="44">
        <f t="shared" si="3"/>
        <v>0</v>
      </c>
      <c r="Y11" s="17" t="s">
        <v>16</v>
      </c>
      <c r="Z11" s="18">
        <v>0</v>
      </c>
      <c r="AB11" s="2" t="s">
        <v>321</v>
      </c>
    </row>
    <row r="12" spans="1:28" ht="25.5" x14ac:dyDescent="0.55000000000000004">
      <c r="A12" s="10">
        <v>8</v>
      </c>
      <c r="B12" s="19" t="s">
        <v>23</v>
      </c>
      <c r="C12" s="79">
        <f>+'21'!G12</f>
        <v>0</v>
      </c>
      <c r="D12" s="87">
        <v>10</v>
      </c>
      <c r="E12" s="47">
        <f t="shared" si="0"/>
        <v>10</v>
      </c>
      <c r="F12" s="87">
        <v>0</v>
      </c>
      <c r="G12" s="47">
        <f t="shared" si="4"/>
        <v>7</v>
      </c>
      <c r="H12" s="88">
        <v>3</v>
      </c>
      <c r="I12" s="15">
        <v>50</v>
      </c>
      <c r="J12" s="82">
        <f t="shared" si="5"/>
        <v>150</v>
      </c>
      <c r="K12" s="17" t="s">
        <v>16</v>
      </c>
      <c r="L12" s="18">
        <v>0</v>
      </c>
      <c r="M12" s="23">
        <f t="shared" si="6"/>
        <v>150</v>
      </c>
      <c r="O12" s="10">
        <v>8</v>
      </c>
      <c r="P12" s="19"/>
      <c r="Q12" s="47">
        <v>0</v>
      </c>
      <c r="R12" s="87">
        <v>0</v>
      </c>
      <c r="S12" s="47">
        <f t="shared" si="1"/>
        <v>0</v>
      </c>
      <c r="T12" s="87">
        <v>0</v>
      </c>
      <c r="U12" s="47">
        <f t="shared" si="2"/>
        <v>0</v>
      </c>
      <c r="V12" s="88">
        <v>0</v>
      </c>
      <c r="W12" s="22"/>
      <c r="X12" s="44">
        <f t="shared" si="3"/>
        <v>0</v>
      </c>
      <c r="Y12" s="17" t="s">
        <v>16</v>
      </c>
      <c r="Z12" s="18">
        <v>0</v>
      </c>
      <c r="AB12" s="2" t="s">
        <v>289</v>
      </c>
    </row>
    <row r="13" spans="1:28" ht="25.5" x14ac:dyDescent="0.55000000000000004">
      <c r="A13" s="10">
        <v>9</v>
      </c>
      <c r="B13" s="19" t="s">
        <v>24</v>
      </c>
      <c r="C13" s="79">
        <f>+'21'!G13</f>
        <v>0</v>
      </c>
      <c r="D13" s="87">
        <v>0</v>
      </c>
      <c r="E13" s="47">
        <f>C13+D13</f>
        <v>0</v>
      </c>
      <c r="F13" s="87">
        <v>0</v>
      </c>
      <c r="G13" s="47">
        <f t="shared" si="4"/>
        <v>0</v>
      </c>
      <c r="H13" s="88"/>
      <c r="I13" s="15">
        <v>55</v>
      </c>
      <c r="J13" s="8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7">
        <v>0</v>
      </c>
      <c r="S13" s="47">
        <f t="shared" si="1"/>
        <v>0</v>
      </c>
      <c r="T13" s="87">
        <v>0</v>
      </c>
      <c r="U13" s="47">
        <f t="shared" si="2"/>
        <v>0</v>
      </c>
      <c r="V13" s="88">
        <v>0</v>
      </c>
      <c r="W13" s="22"/>
      <c r="X13" s="44">
        <f t="shared" si="3"/>
        <v>0</v>
      </c>
      <c r="Y13" s="17" t="s">
        <v>16</v>
      </c>
      <c r="Z13" s="18">
        <v>0</v>
      </c>
      <c r="AB13" s="2" t="s">
        <v>322</v>
      </c>
    </row>
    <row r="14" spans="1:28" ht="25.5" x14ac:dyDescent="0.55000000000000004">
      <c r="A14" s="10">
        <v>10</v>
      </c>
      <c r="B14" s="19" t="s">
        <v>25</v>
      </c>
      <c r="C14" s="79">
        <f>+'21'!G14</f>
        <v>0</v>
      </c>
      <c r="D14" s="87">
        <v>5</v>
      </c>
      <c r="E14" s="47">
        <f t="shared" si="0"/>
        <v>5</v>
      </c>
      <c r="F14" s="87">
        <v>0</v>
      </c>
      <c r="G14" s="47">
        <f t="shared" si="4"/>
        <v>4</v>
      </c>
      <c r="H14" s="88">
        <v>1</v>
      </c>
      <c r="I14" s="15">
        <v>65</v>
      </c>
      <c r="J14" s="82">
        <f t="shared" si="5"/>
        <v>65</v>
      </c>
      <c r="K14" s="17" t="s">
        <v>16</v>
      </c>
      <c r="L14" s="18">
        <v>0</v>
      </c>
      <c r="M14" s="23">
        <f t="shared" si="6"/>
        <v>65</v>
      </c>
      <c r="O14" s="10">
        <v>10</v>
      </c>
      <c r="P14" s="19"/>
      <c r="Q14" s="47">
        <v>0</v>
      </c>
      <c r="R14" s="87">
        <v>0</v>
      </c>
      <c r="S14" s="47">
        <f t="shared" si="1"/>
        <v>0</v>
      </c>
      <c r="T14" s="87">
        <v>0</v>
      </c>
      <c r="U14" s="47">
        <f t="shared" si="2"/>
        <v>0</v>
      </c>
      <c r="V14" s="88">
        <v>0</v>
      </c>
      <c r="W14" s="22"/>
      <c r="X14" s="44">
        <f t="shared" si="3"/>
        <v>0</v>
      </c>
      <c r="Y14" s="17" t="s">
        <v>16</v>
      </c>
      <c r="Z14" s="18">
        <v>0</v>
      </c>
      <c r="AB14" s="2" t="s">
        <v>306</v>
      </c>
    </row>
    <row r="15" spans="1:28" ht="25.5" x14ac:dyDescent="0.55000000000000004">
      <c r="A15" s="10">
        <v>11</v>
      </c>
      <c r="B15" s="19" t="s">
        <v>26</v>
      </c>
      <c r="C15" s="79">
        <f>+'21'!G15</f>
        <v>0</v>
      </c>
      <c r="D15" s="87">
        <v>0</v>
      </c>
      <c r="E15" s="47">
        <f t="shared" si="0"/>
        <v>0</v>
      </c>
      <c r="F15" s="87">
        <v>0</v>
      </c>
      <c r="G15" s="47">
        <f t="shared" si="4"/>
        <v>0</v>
      </c>
      <c r="H15" s="88"/>
      <c r="I15" s="15">
        <v>50</v>
      </c>
      <c r="J15" s="8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7">
        <v>0</v>
      </c>
      <c r="S15" s="47">
        <f t="shared" ref="S15:S29" si="7">Q15+R15</f>
        <v>0</v>
      </c>
      <c r="T15" s="87">
        <v>0</v>
      </c>
      <c r="U15" s="47">
        <f t="shared" ref="U15:U29" si="8">S15-T15-V15</f>
        <v>0</v>
      </c>
      <c r="V15" s="88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8" ht="25.5" x14ac:dyDescent="0.55000000000000004">
      <c r="A16" s="10">
        <v>12</v>
      </c>
      <c r="B16" s="19" t="s">
        <v>27</v>
      </c>
      <c r="C16" s="79">
        <f>+'21'!G16</f>
        <v>0</v>
      </c>
      <c r="D16" s="87">
        <v>0</v>
      </c>
      <c r="E16" s="47">
        <f t="shared" si="0"/>
        <v>0</v>
      </c>
      <c r="F16" s="87">
        <v>0</v>
      </c>
      <c r="G16" s="47">
        <f t="shared" si="4"/>
        <v>0</v>
      </c>
      <c r="H16" s="88"/>
      <c r="I16" s="15">
        <v>50</v>
      </c>
      <c r="J16" s="8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7">
        <v>0</v>
      </c>
      <c r="S16" s="47">
        <f t="shared" si="7"/>
        <v>0</v>
      </c>
      <c r="T16" s="87">
        <v>0</v>
      </c>
      <c r="U16" s="47">
        <f t="shared" si="8"/>
        <v>0</v>
      </c>
      <c r="V16" s="88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+'21'!G17</f>
        <v>0</v>
      </c>
      <c r="D17" s="87">
        <v>5</v>
      </c>
      <c r="E17" s="47">
        <f t="shared" si="0"/>
        <v>5</v>
      </c>
      <c r="F17" s="87">
        <v>0</v>
      </c>
      <c r="G17" s="47">
        <f t="shared" si="4"/>
        <v>4</v>
      </c>
      <c r="H17" s="88">
        <v>1</v>
      </c>
      <c r="I17" s="15">
        <v>50</v>
      </c>
      <c r="J17" s="82">
        <f t="shared" si="5"/>
        <v>50</v>
      </c>
      <c r="K17" s="17" t="s">
        <v>16</v>
      </c>
      <c r="L17" s="18">
        <v>0</v>
      </c>
      <c r="M17" s="23">
        <f t="shared" si="6"/>
        <v>50</v>
      </c>
      <c r="O17" s="10">
        <v>13</v>
      </c>
      <c r="P17" s="19"/>
      <c r="Q17" s="47">
        <v>0</v>
      </c>
      <c r="R17" s="87">
        <v>0</v>
      </c>
      <c r="S17" s="47">
        <f t="shared" si="7"/>
        <v>0</v>
      </c>
      <c r="T17" s="87">
        <v>0</v>
      </c>
      <c r="U17" s="47">
        <f t="shared" si="8"/>
        <v>0</v>
      </c>
      <c r="V17" s="88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+'21'!G18</f>
        <v>0</v>
      </c>
      <c r="D18" s="87">
        <v>0</v>
      </c>
      <c r="E18" s="47">
        <f t="shared" si="0"/>
        <v>0</v>
      </c>
      <c r="F18" s="87">
        <v>0</v>
      </c>
      <c r="G18" s="47">
        <f t="shared" si="4"/>
        <v>0</v>
      </c>
      <c r="H18" s="88"/>
      <c r="I18" s="15">
        <v>50</v>
      </c>
      <c r="J18" s="8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7">
        <v>0</v>
      </c>
      <c r="S18" s="47">
        <f t="shared" si="7"/>
        <v>0</v>
      </c>
      <c r="T18" s="87">
        <v>0</v>
      </c>
      <c r="U18" s="47">
        <f t="shared" si="8"/>
        <v>0</v>
      </c>
      <c r="V18" s="88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329</v>
      </c>
      <c r="C19" s="79">
        <f>+'21'!G19</f>
        <v>0</v>
      </c>
      <c r="D19" s="87">
        <v>5</v>
      </c>
      <c r="E19" s="47">
        <f t="shared" si="0"/>
        <v>5</v>
      </c>
      <c r="F19" s="87">
        <v>0</v>
      </c>
      <c r="G19" s="47">
        <f t="shared" si="4"/>
        <v>3</v>
      </c>
      <c r="H19" s="88">
        <v>2</v>
      </c>
      <c r="I19" s="15">
        <v>50</v>
      </c>
      <c r="J19" s="82">
        <f t="shared" si="5"/>
        <v>100</v>
      </c>
      <c r="K19" s="17" t="s">
        <v>16</v>
      </c>
      <c r="L19" s="18">
        <v>0</v>
      </c>
      <c r="M19" s="23">
        <f t="shared" si="6"/>
        <v>100</v>
      </c>
      <c r="O19" s="10">
        <v>15</v>
      </c>
      <c r="P19" s="19"/>
      <c r="Q19" s="47">
        <v>0</v>
      </c>
      <c r="R19" s="87">
        <v>0</v>
      </c>
      <c r="S19" s="47">
        <f t="shared" si="7"/>
        <v>0</v>
      </c>
      <c r="T19" s="87">
        <v>0</v>
      </c>
      <c r="U19" s="47">
        <f t="shared" si="8"/>
        <v>0</v>
      </c>
      <c r="V19" s="88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+'21'!G20</f>
        <v>0</v>
      </c>
      <c r="D20" s="87">
        <v>0</v>
      </c>
      <c r="E20" s="47">
        <f t="shared" si="0"/>
        <v>0</v>
      </c>
      <c r="F20" s="87">
        <v>0</v>
      </c>
      <c r="G20" s="47">
        <f t="shared" si="4"/>
        <v>0</v>
      </c>
      <c r="H20" s="88"/>
      <c r="I20" s="15">
        <v>50</v>
      </c>
      <c r="J20" s="8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7">
        <v>0</v>
      </c>
      <c r="S20" s="47">
        <f t="shared" si="7"/>
        <v>0</v>
      </c>
      <c r="T20" s="87">
        <v>0</v>
      </c>
      <c r="U20" s="47">
        <f t="shared" si="8"/>
        <v>0</v>
      </c>
      <c r="V20" s="88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+'21'!G21</f>
        <v>0</v>
      </c>
      <c r="D21" s="87">
        <v>0</v>
      </c>
      <c r="E21" s="47">
        <f t="shared" si="0"/>
        <v>0</v>
      </c>
      <c r="F21" s="87">
        <v>0</v>
      </c>
      <c r="G21" s="47">
        <f t="shared" si="4"/>
        <v>0</v>
      </c>
      <c r="H21" s="88"/>
      <c r="I21" s="15">
        <v>50</v>
      </c>
      <c r="J21" s="8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7">
        <v>0</v>
      </c>
      <c r="S21" s="47">
        <f t="shared" si="7"/>
        <v>0</v>
      </c>
      <c r="T21" s="87">
        <v>0</v>
      </c>
      <c r="U21" s="47">
        <f t="shared" si="8"/>
        <v>0</v>
      </c>
      <c r="V21" s="88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+'21'!G22</f>
        <v>8</v>
      </c>
      <c r="D22" s="87">
        <v>1</v>
      </c>
      <c r="E22" s="47">
        <f t="shared" si="0"/>
        <v>9</v>
      </c>
      <c r="F22" s="87">
        <v>0</v>
      </c>
      <c r="G22" s="47">
        <f t="shared" si="4"/>
        <v>5</v>
      </c>
      <c r="H22" s="88">
        <v>4</v>
      </c>
      <c r="I22" s="15">
        <v>85</v>
      </c>
      <c r="J22" s="82">
        <f t="shared" si="5"/>
        <v>340</v>
      </c>
      <c r="K22" s="17" t="s">
        <v>16</v>
      </c>
      <c r="L22" s="18">
        <v>0</v>
      </c>
      <c r="M22" s="23">
        <f t="shared" si="6"/>
        <v>340</v>
      </c>
      <c r="O22" s="10">
        <v>18</v>
      </c>
      <c r="P22" s="19"/>
      <c r="Q22" s="47">
        <v>0</v>
      </c>
      <c r="R22" s="87">
        <v>0</v>
      </c>
      <c r="S22" s="47">
        <f t="shared" si="7"/>
        <v>0</v>
      </c>
      <c r="T22" s="87">
        <v>0</v>
      </c>
      <c r="U22" s="47">
        <f t="shared" si="8"/>
        <v>0</v>
      </c>
      <c r="V22" s="88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+'21'!G23</f>
        <v>2</v>
      </c>
      <c r="D23" s="87">
        <v>10</v>
      </c>
      <c r="E23" s="47">
        <f t="shared" si="0"/>
        <v>12</v>
      </c>
      <c r="F23" s="87">
        <v>0</v>
      </c>
      <c r="G23" s="47">
        <f t="shared" si="4"/>
        <v>7</v>
      </c>
      <c r="H23" s="88">
        <v>5</v>
      </c>
      <c r="I23" s="15">
        <v>100</v>
      </c>
      <c r="J23" s="82">
        <f t="shared" si="5"/>
        <v>500</v>
      </c>
      <c r="K23" s="17" t="s">
        <v>16</v>
      </c>
      <c r="L23" s="18">
        <v>0</v>
      </c>
      <c r="M23" s="23">
        <f t="shared" si="6"/>
        <v>500</v>
      </c>
      <c r="O23" s="10">
        <v>19</v>
      </c>
      <c r="P23" s="19"/>
      <c r="Q23" s="47">
        <v>0</v>
      </c>
      <c r="R23" s="87">
        <v>0</v>
      </c>
      <c r="S23" s="47">
        <f t="shared" si="7"/>
        <v>0</v>
      </c>
      <c r="T23" s="87">
        <v>0</v>
      </c>
      <c r="U23" s="47">
        <f t="shared" si="8"/>
        <v>0</v>
      </c>
      <c r="V23" s="88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+'21'!G24</f>
        <v>4</v>
      </c>
      <c r="D24" s="87">
        <v>5</v>
      </c>
      <c r="E24" s="47">
        <f t="shared" si="0"/>
        <v>9</v>
      </c>
      <c r="F24" s="87">
        <v>0</v>
      </c>
      <c r="G24" s="47">
        <f t="shared" si="4"/>
        <v>5</v>
      </c>
      <c r="H24" s="88">
        <v>4</v>
      </c>
      <c r="I24" s="21">
        <v>100</v>
      </c>
      <c r="J24" s="82">
        <f t="shared" si="5"/>
        <v>400</v>
      </c>
      <c r="K24" s="17" t="s">
        <v>16</v>
      </c>
      <c r="L24" s="18">
        <v>0</v>
      </c>
      <c r="M24" s="23">
        <f t="shared" si="6"/>
        <v>400</v>
      </c>
      <c r="O24" s="10">
        <v>20</v>
      </c>
      <c r="P24" s="19"/>
      <c r="Q24" s="47">
        <v>0</v>
      </c>
      <c r="R24" s="87">
        <v>0</v>
      </c>
      <c r="S24" s="47">
        <f t="shared" si="7"/>
        <v>0</v>
      </c>
      <c r="T24" s="87">
        <v>0</v>
      </c>
      <c r="U24" s="47">
        <f t="shared" si="8"/>
        <v>0</v>
      </c>
      <c r="V24" s="88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+'21'!G25</f>
        <v>5</v>
      </c>
      <c r="D25" s="87">
        <v>0</v>
      </c>
      <c r="E25" s="47">
        <f t="shared" si="0"/>
        <v>5</v>
      </c>
      <c r="F25" s="87">
        <v>0</v>
      </c>
      <c r="G25" s="47">
        <f t="shared" si="4"/>
        <v>5</v>
      </c>
      <c r="H25" s="88"/>
      <c r="I25" s="21">
        <v>100</v>
      </c>
      <c r="J25" s="8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7">
        <v>0</v>
      </c>
      <c r="S25" s="47">
        <f t="shared" si="7"/>
        <v>0</v>
      </c>
      <c r="T25" s="87">
        <v>0</v>
      </c>
      <c r="U25" s="47">
        <f t="shared" si="8"/>
        <v>0</v>
      </c>
      <c r="V25" s="88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+'21'!G26</f>
        <v>0</v>
      </c>
      <c r="D26" s="87">
        <v>2</v>
      </c>
      <c r="E26" s="47">
        <f t="shared" si="0"/>
        <v>2</v>
      </c>
      <c r="F26" s="87">
        <v>0</v>
      </c>
      <c r="G26" s="47">
        <f t="shared" si="4"/>
        <v>2</v>
      </c>
      <c r="H26" s="88"/>
      <c r="I26" s="21">
        <v>100</v>
      </c>
      <c r="J26" s="8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7">
        <v>0</v>
      </c>
      <c r="S26" s="47">
        <f t="shared" si="7"/>
        <v>0</v>
      </c>
      <c r="T26" s="87">
        <v>0</v>
      </c>
      <c r="U26" s="47">
        <f t="shared" si="8"/>
        <v>0</v>
      </c>
      <c r="V26" s="88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+'21'!G27</f>
        <v>0</v>
      </c>
      <c r="D27" s="87">
        <v>0</v>
      </c>
      <c r="E27" s="47">
        <f t="shared" si="0"/>
        <v>0</v>
      </c>
      <c r="F27" s="87">
        <v>0</v>
      </c>
      <c r="G27" s="47">
        <f t="shared" si="4"/>
        <v>0</v>
      </c>
      <c r="H27" s="88"/>
      <c r="I27" s="20">
        <v>100</v>
      </c>
      <c r="J27" s="8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7">
        <v>0</v>
      </c>
      <c r="S27" s="47">
        <f t="shared" si="7"/>
        <v>0</v>
      </c>
      <c r="T27" s="87">
        <v>0</v>
      </c>
      <c r="U27" s="47">
        <f t="shared" si="8"/>
        <v>0</v>
      </c>
      <c r="V27" s="88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+'21'!G28</f>
        <v>0</v>
      </c>
      <c r="D28" s="87">
        <v>0</v>
      </c>
      <c r="E28" s="47">
        <f t="shared" si="0"/>
        <v>0</v>
      </c>
      <c r="F28" s="87">
        <v>0</v>
      </c>
      <c r="G28" s="47">
        <f t="shared" si="4"/>
        <v>0</v>
      </c>
      <c r="H28" s="88"/>
      <c r="I28" s="20">
        <v>100</v>
      </c>
      <c r="J28" s="8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7">
        <v>0</v>
      </c>
      <c r="S28" s="47">
        <f t="shared" si="7"/>
        <v>0</v>
      </c>
      <c r="T28" s="87">
        <v>0</v>
      </c>
      <c r="U28" s="47">
        <f t="shared" si="8"/>
        <v>0</v>
      </c>
      <c r="V28" s="88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+'21'!G29</f>
        <v>2</v>
      </c>
      <c r="D29" s="87">
        <v>5</v>
      </c>
      <c r="E29" s="47">
        <f t="shared" si="0"/>
        <v>7</v>
      </c>
      <c r="F29" s="87">
        <v>1</v>
      </c>
      <c r="G29" s="47">
        <f t="shared" si="4"/>
        <v>6</v>
      </c>
      <c r="H29" s="88"/>
      <c r="I29" s="15">
        <v>100</v>
      </c>
      <c r="J29" s="8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7">
        <v>0</v>
      </c>
      <c r="S29" s="47">
        <f t="shared" si="7"/>
        <v>0</v>
      </c>
      <c r="T29" s="87">
        <v>0</v>
      </c>
      <c r="U29" s="47">
        <f t="shared" si="8"/>
        <v>0</v>
      </c>
      <c r="V29" s="88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+'21'!G30</f>
        <v>0</v>
      </c>
      <c r="D30" s="87">
        <v>0</v>
      </c>
      <c r="E30" s="47">
        <f t="shared" si="0"/>
        <v>0</v>
      </c>
      <c r="F30" s="87">
        <v>0</v>
      </c>
      <c r="G30" s="47">
        <f t="shared" si="4"/>
        <v>0</v>
      </c>
      <c r="H30" s="88"/>
      <c r="I30" s="15">
        <v>100</v>
      </c>
      <c r="J30" s="8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+'21'!G31</f>
        <v>1</v>
      </c>
      <c r="D31" s="87">
        <v>2</v>
      </c>
      <c r="E31" s="47">
        <f t="shared" si="0"/>
        <v>3</v>
      </c>
      <c r="F31" s="87">
        <v>1</v>
      </c>
      <c r="G31" s="47">
        <f t="shared" si="4"/>
        <v>2</v>
      </c>
      <c r="H31" s="88"/>
      <c r="I31" s="15">
        <v>100</v>
      </c>
      <c r="J31" s="82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+'21'!G32</f>
        <v>0</v>
      </c>
      <c r="D32" s="87">
        <v>0</v>
      </c>
      <c r="E32" s="47">
        <f t="shared" si="0"/>
        <v>0</v>
      </c>
      <c r="F32" s="87">
        <v>0</v>
      </c>
      <c r="G32" s="47">
        <f t="shared" si="4"/>
        <v>0</v>
      </c>
      <c r="H32" s="88"/>
      <c r="I32" s="15">
        <v>130</v>
      </c>
      <c r="J32" s="82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5" t="s">
        <v>119</v>
      </c>
      <c r="Q32" s="146"/>
      <c r="R32" s="146"/>
      <c r="S32" s="146"/>
      <c r="T32" s="146"/>
      <c r="U32" s="146"/>
      <c r="V32" s="146"/>
      <c r="W32" s="147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+'21'!G33</f>
        <v>7</v>
      </c>
      <c r="D33" s="87">
        <v>0</v>
      </c>
      <c r="E33" s="47">
        <f t="shared" si="0"/>
        <v>7</v>
      </c>
      <c r="F33" s="87">
        <v>3</v>
      </c>
      <c r="G33" s="47">
        <f t="shared" si="4"/>
        <v>4</v>
      </c>
      <c r="H33" s="88"/>
      <c r="I33" s="15">
        <v>130</v>
      </c>
      <c r="J33" s="82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+'21'!G34</f>
        <v>14</v>
      </c>
      <c r="D34" s="87">
        <v>0</v>
      </c>
      <c r="E34" s="47">
        <f t="shared" si="0"/>
        <v>14</v>
      </c>
      <c r="F34" s="87">
        <v>4</v>
      </c>
      <c r="G34" s="47">
        <f t="shared" si="4"/>
        <v>10</v>
      </c>
      <c r="H34" s="88"/>
      <c r="I34" s="15">
        <v>130</v>
      </c>
      <c r="J34" s="82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+'21'!G35</f>
        <v>0</v>
      </c>
      <c r="D35" s="87">
        <v>0</v>
      </c>
      <c r="E35" s="47">
        <f t="shared" si="0"/>
        <v>0</v>
      </c>
      <c r="F35" s="87">
        <v>0</v>
      </c>
      <c r="G35" s="47">
        <f t="shared" si="4"/>
        <v>0</v>
      </c>
      <c r="H35" s="88"/>
      <c r="I35" s="15">
        <v>130</v>
      </c>
      <c r="J35" s="82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+'21'!G36</f>
        <v>0</v>
      </c>
      <c r="D36" s="87">
        <v>0</v>
      </c>
      <c r="E36" s="47">
        <f t="shared" si="0"/>
        <v>0</v>
      </c>
      <c r="F36" s="87">
        <v>0</v>
      </c>
      <c r="G36" s="47">
        <f t="shared" si="4"/>
        <v>0</v>
      </c>
      <c r="H36" s="88"/>
      <c r="I36" s="15">
        <v>100</v>
      </c>
      <c r="J36" s="82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+'21'!G37</f>
        <v>2</v>
      </c>
      <c r="D37" s="87">
        <v>10</v>
      </c>
      <c r="E37" s="47">
        <f t="shared" si="0"/>
        <v>12</v>
      </c>
      <c r="F37" s="87">
        <v>0</v>
      </c>
      <c r="G37" s="47">
        <f t="shared" si="4"/>
        <v>10</v>
      </c>
      <c r="H37" s="88">
        <v>2</v>
      </c>
      <c r="I37" s="15">
        <v>100</v>
      </c>
      <c r="J37" s="82">
        <f t="shared" si="5"/>
        <v>200</v>
      </c>
      <c r="K37" s="17" t="s">
        <v>16</v>
      </c>
      <c r="L37" s="18">
        <v>0</v>
      </c>
      <c r="M37" s="23">
        <f t="shared" si="6"/>
        <v>200</v>
      </c>
    </row>
    <row r="38" spans="1:13" ht="25.5" x14ac:dyDescent="0.55000000000000004">
      <c r="A38" s="10">
        <v>34</v>
      </c>
      <c r="B38" s="19" t="s">
        <v>49</v>
      </c>
      <c r="C38" s="79">
        <f>+'21'!G38</f>
        <v>0</v>
      </c>
      <c r="D38" s="87">
        <v>5</v>
      </c>
      <c r="E38" s="47">
        <f t="shared" si="0"/>
        <v>5</v>
      </c>
      <c r="F38" s="87">
        <v>0</v>
      </c>
      <c r="G38" s="47">
        <f t="shared" si="4"/>
        <v>5</v>
      </c>
      <c r="H38" s="88"/>
      <c r="I38" s="15">
        <v>50</v>
      </c>
      <c r="J38" s="82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+'21'!G39</f>
        <v>8</v>
      </c>
      <c r="D39" s="87">
        <v>5</v>
      </c>
      <c r="E39" s="47">
        <f t="shared" si="0"/>
        <v>13</v>
      </c>
      <c r="F39" s="87">
        <v>0</v>
      </c>
      <c r="G39" s="47">
        <f t="shared" si="4"/>
        <v>12</v>
      </c>
      <c r="H39" s="88">
        <v>1</v>
      </c>
      <c r="I39" s="15">
        <v>50</v>
      </c>
      <c r="J39" s="82">
        <f t="shared" si="5"/>
        <v>50</v>
      </c>
      <c r="K39" s="17" t="s">
        <v>16</v>
      </c>
      <c r="L39" s="18">
        <v>0</v>
      </c>
      <c r="M39" s="23">
        <f t="shared" si="6"/>
        <v>50</v>
      </c>
    </row>
    <row r="40" spans="1:13" ht="25.5" x14ac:dyDescent="0.55000000000000004">
      <c r="A40" s="10">
        <v>36</v>
      </c>
      <c r="B40" s="19" t="s">
        <v>51</v>
      </c>
      <c r="C40" s="79">
        <f>+'21'!G40</f>
        <v>8</v>
      </c>
      <c r="D40" s="87">
        <v>5</v>
      </c>
      <c r="E40" s="47">
        <f t="shared" si="0"/>
        <v>13</v>
      </c>
      <c r="F40" s="87">
        <v>2</v>
      </c>
      <c r="G40" s="47">
        <f t="shared" si="4"/>
        <v>9</v>
      </c>
      <c r="H40" s="88">
        <v>2</v>
      </c>
      <c r="I40" s="15">
        <v>50</v>
      </c>
      <c r="J40" s="82">
        <f t="shared" si="5"/>
        <v>100</v>
      </c>
      <c r="K40" s="17" t="s">
        <v>16</v>
      </c>
      <c r="L40" s="18">
        <v>0</v>
      </c>
      <c r="M40" s="23">
        <f t="shared" si="6"/>
        <v>100</v>
      </c>
    </row>
    <row r="41" spans="1:13" ht="25.5" x14ac:dyDescent="0.55000000000000004">
      <c r="A41" s="10">
        <v>37</v>
      </c>
      <c r="B41" s="19" t="s">
        <v>52</v>
      </c>
      <c r="C41" s="79">
        <f>+'21'!G41</f>
        <v>0</v>
      </c>
      <c r="D41" s="87">
        <v>0</v>
      </c>
      <c r="E41" s="47">
        <f t="shared" si="0"/>
        <v>0</v>
      </c>
      <c r="F41" s="87">
        <v>0</v>
      </c>
      <c r="G41" s="47">
        <f t="shared" si="4"/>
        <v>0</v>
      </c>
      <c r="H41" s="88"/>
      <c r="I41" s="15">
        <v>50</v>
      </c>
      <c r="J41" s="82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285</v>
      </c>
      <c r="C42" s="79">
        <f>+'21'!G42</f>
        <v>0</v>
      </c>
      <c r="D42" s="87">
        <v>0</v>
      </c>
      <c r="E42" s="47">
        <f t="shared" si="0"/>
        <v>0</v>
      </c>
      <c r="F42" s="87">
        <v>0</v>
      </c>
      <c r="G42" s="47">
        <f t="shared" si="4"/>
        <v>0</v>
      </c>
      <c r="H42" s="88"/>
      <c r="I42" s="15">
        <v>50</v>
      </c>
      <c r="J42" s="82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+'21'!G43</f>
        <v>0</v>
      </c>
      <c r="D43" s="87">
        <v>0</v>
      </c>
      <c r="E43" s="47">
        <f t="shared" si="0"/>
        <v>0</v>
      </c>
      <c r="F43" s="87">
        <v>0</v>
      </c>
      <c r="G43" s="47">
        <f t="shared" si="4"/>
        <v>0</v>
      </c>
      <c r="H43" s="88"/>
      <c r="I43" s="15">
        <v>50</v>
      </c>
      <c r="J43" s="82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+'21'!G44</f>
        <v>0</v>
      </c>
      <c r="D44" s="87">
        <v>0</v>
      </c>
      <c r="E44" s="47">
        <f t="shared" si="0"/>
        <v>0</v>
      </c>
      <c r="F44" s="87">
        <v>0</v>
      </c>
      <c r="G44" s="47">
        <f t="shared" si="4"/>
        <v>0</v>
      </c>
      <c r="H44" s="88"/>
      <c r="I44" s="15">
        <v>50</v>
      </c>
      <c r="J44" s="82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+'21'!G45</f>
        <v>0</v>
      </c>
      <c r="D45" s="87">
        <v>0</v>
      </c>
      <c r="E45" s="47">
        <f t="shared" si="0"/>
        <v>0</v>
      </c>
      <c r="F45" s="87">
        <v>0</v>
      </c>
      <c r="G45" s="47">
        <f t="shared" si="4"/>
        <v>0</v>
      </c>
      <c r="H45" s="88"/>
      <c r="I45" s="15">
        <v>50</v>
      </c>
      <c r="J45" s="82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286</v>
      </c>
      <c r="C46" s="79">
        <f>+'21'!G46</f>
        <v>0</v>
      </c>
      <c r="D46" s="87">
        <v>0</v>
      </c>
      <c r="E46" s="47">
        <f t="shared" si="0"/>
        <v>0</v>
      </c>
      <c r="F46" s="87">
        <v>0</v>
      </c>
      <c r="G46" s="47">
        <f t="shared" si="4"/>
        <v>0</v>
      </c>
      <c r="H46" s="88"/>
      <c r="I46" s="15">
        <v>50</v>
      </c>
      <c r="J46" s="82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+'21'!G47</f>
        <v>0</v>
      </c>
      <c r="D47" s="87">
        <v>0</v>
      </c>
      <c r="E47" s="47">
        <f t="shared" si="0"/>
        <v>0</v>
      </c>
      <c r="F47" s="87">
        <v>0</v>
      </c>
      <c r="G47" s="47">
        <f t="shared" si="4"/>
        <v>0</v>
      </c>
      <c r="H47" s="88"/>
      <c r="I47" s="15">
        <v>50</v>
      </c>
      <c r="J47" s="82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+'21'!G48</f>
        <v>0</v>
      </c>
      <c r="D48" s="87">
        <v>0</v>
      </c>
      <c r="E48" s="47">
        <f t="shared" si="0"/>
        <v>0</v>
      </c>
      <c r="F48" s="87">
        <v>0</v>
      </c>
      <c r="G48" s="47">
        <f t="shared" si="4"/>
        <v>0</v>
      </c>
      <c r="H48" s="88"/>
      <c r="I48" s="15">
        <v>50</v>
      </c>
      <c r="J48" s="82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+'21'!G49</f>
        <v>-1</v>
      </c>
      <c r="D49" s="87">
        <v>0</v>
      </c>
      <c r="E49" s="47">
        <f t="shared" si="0"/>
        <v>-1</v>
      </c>
      <c r="F49" s="87">
        <v>0</v>
      </c>
      <c r="G49" s="47">
        <f t="shared" si="4"/>
        <v>-1</v>
      </c>
      <c r="H49" s="88"/>
      <c r="I49" s="15">
        <v>50</v>
      </c>
      <c r="J49" s="82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+'21'!G50</f>
        <v>2</v>
      </c>
      <c r="D50" s="87">
        <v>0</v>
      </c>
      <c r="E50" s="47">
        <f t="shared" si="0"/>
        <v>2</v>
      </c>
      <c r="F50" s="87">
        <v>1</v>
      </c>
      <c r="G50" s="47">
        <f t="shared" si="4"/>
        <v>1</v>
      </c>
      <c r="H50" s="88"/>
      <c r="I50" s="15">
        <v>120</v>
      </c>
      <c r="J50" s="82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+'21'!G51</f>
        <v>0</v>
      </c>
      <c r="D51" s="87">
        <v>0</v>
      </c>
      <c r="E51" s="47">
        <f t="shared" si="0"/>
        <v>0</v>
      </c>
      <c r="F51" s="87">
        <v>0</v>
      </c>
      <c r="G51" s="47">
        <f t="shared" si="4"/>
        <v>0</v>
      </c>
      <c r="H51" s="88"/>
      <c r="I51" s="15">
        <v>120</v>
      </c>
      <c r="J51" s="82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+'21'!G52</f>
        <v>0</v>
      </c>
      <c r="D52" s="87">
        <v>0</v>
      </c>
      <c r="E52" s="47">
        <f t="shared" si="0"/>
        <v>0</v>
      </c>
      <c r="F52" s="87">
        <v>0</v>
      </c>
      <c r="G52" s="47">
        <f t="shared" si="4"/>
        <v>0</v>
      </c>
      <c r="H52" s="88"/>
      <c r="I52" s="21">
        <v>120</v>
      </c>
      <c r="J52" s="82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+'21'!G53</f>
        <v>0</v>
      </c>
      <c r="D53" s="87">
        <v>0</v>
      </c>
      <c r="E53" s="47">
        <f t="shared" si="0"/>
        <v>0</v>
      </c>
      <c r="F53" s="87">
        <v>0</v>
      </c>
      <c r="G53" s="47">
        <f t="shared" si="4"/>
        <v>0</v>
      </c>
      <c r="H53" s="88"/>
      <c r="I53" s="15">
        <v>120</v>
      </c>
      <c r="J53" s="82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+'21'!G54</f>
        <v>0</v>
      </c>
      <c r="D54" s="87">
        <v>0</v>
      </c>
      <c r="E54" s="47">
        <f t="shared" si="0"/>
        <v>0</v>
      </c>
      <c r="F54" s="87">
        <v>0</v>
      </c>
      <c r="G54" s="47">
        <f t="shared" si="4"/>
        <v>0</v>
      </c>
      <c r="H54" s="88"/>
      <c r="I54" s="15">
        <v>120</v>
      </c>
      <c r="J54" s="82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+'21'!G55</f>
        <v>2</v>
      </c>
      <c r="D55" s="87">
        <v>0</v>
      </c>
      <c r="E55" s="47">
        <f t="shared" si="0"/>
        <v>2</v>
      </c>
      <c r="F55" s="87">
        <v>0</v>
      </c>
      <c r="G55" s="47">
        <f t="shared" si="4"/>
        <v>2</v>
      </c>
      <c r="H55" s="88"/>
      <c r="I55" s="21">
        <v>120</v>
      </c>
      <c r="J55" s="82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+'21'!G56</f>
        <v>0</v>
      </c>
      <c r="D56" s="87">
        <v>0</v>
      </c>
      <c r="E56" s="47">
        <f t="shared" si="0"/>
        <v>0</v>
      </c>
      <c r="F56" s="87">
        <v>0</v>
      </c>
      <c r="G56" s="47">
        <f t="shared" si="4"/>
        <v>0</v>
      </c>
      <c r="H56" s="88"/>
      <c r="I56" s="21">
        <v>120</v>
      </c>
      <c r="J56" s="82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+'21'!G57</f>
        <v>0</v>
      </c>
      <c r="D57" s="87">
        <v>0</v>
      </c>
      <c r="E57" s="47">
        <f t="shared" si="0"/>
        <v>0</v>
      </c>
      <c r="F57" s="87">
        <v>0</v>
      </c>
      <c r="G57" s="47">
        <f t="shared" si="4"/>
        <v>0</v>
      </c>
      <c r="H57" s="88"/>
      <c r="I57" s="21">
        <v>120</v>
      </c>
      <c r="J57" s="82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+'21'!G58</f>
        <v>0</v>
      </c>
      <c r="D58" s="87">
        <v>0</v>
      </c>
      <c r="E58" s="47">
        <f t="shared" si="0"/>
        <v>0</v>
      </c>
      <c r="F58" s="87">
        <v>0</v>
      </c>
      <c r="G58" s="47">
        <f t="shared" si="4"/>
        <v>0</v>
      </c>
      <c r="H58" s="88"/>
      <c r="I58" s="21">
        <v>120</v>
      </c>
      <c r="J58" s="82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+'21'!G59</f>
        <v>0</v>
      </c>
      <c r="D59" s="87">
        <v>0</v>
      </c>
      <c r="E59" s="47">
        <f t="shared" si="0"/>
        <v>0</v>
      </c>
      <c r="F59" s="87">
        <v>0</v>
      </c>
      <c r="G59" s="47">
        <f t="shared" si="4"/>
        <v>0</v>
      </c>
      <c r="H59" s="88"/>
      <c r="I59" s="15">
        <v>70</v>
      </c>
      <c r="J59" s="82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+'21'!G60</f>
        <v>0</v>
      </c>
      <c r="D60" s="87">
        <v>0</v>
      </c>
      <c r="E60" s="47">
        <f t="shared" si="0"/>
        <v>0</v>
      </c>
      <c r="F60" s="87">
        <v>0</v>
      </c>
      <c r="G60" s="47">
        <f t="shared" si="4"/>
        <v>0</v>
      </c>
      <c r="H60" s="88"/>
      <c r="I60" s="21">
        <v>80</v>
      </c>
      <c r="J60" s="82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+'21'!G61</f>
        <v>0</v>
      </c>
      <c r="D61" s="87">
        <v>0</v>
      </c>
      <c r="E61" s="47">
        <f t="shared" si="0"/>
        <v>0</v>
      </c>
      <c r="F61" s="87">
        <v>0</v>
      </c>
      <c r="G61" s="47">
        <f t="shared" si="4"/>
        <v>0</v>
      </c>
      <c r="H61" s="88"/>
      <c r="I61" s="15">
        <v>50</v>
      </c>
      <c r="J61" s="82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+'21'!G62</f>
        <v>2</v>
      </c>
      <c r="D62" s="87">
        <v>2</v>
      </c>
      <c r="E62" s="47">
        <f t="shared" si="0"/>
        <v>4</v>
      </c>
      <c r="F62" s="87">
        <v>1</v>
      </c>
      <c r="G62" s="47">
        <f t="shared" si="4"/>
        <v>3</v>
      </c>
      <c r="H62" s="88"/>
      <c r="I62" s="20">
        <v>50</v>
      </c>
      <c r="J62" s="82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+'21'!G63</f>
        <v>0</v>
      </c>
      <c r="D63" s="87">
        <v>0</v>
      </c>
      <c r="E63" s="47">
        <f t="shared" si="0"/>
        <v>0</v>
      </c>
      <c r="F63" s="87">
        <v>0</v>
      </c>
      <c r="G63" s="47">
        <f t="shared" si="4"/>
        <v>0</v>
      </c>
      <c r="H63" s="88"/>
      <c r="I63" s="20">
        <v>50</v>
      </c>
      <c r="J63" s="82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+'21'!G64</f>
        <v>0</v>
      </c>
      <c r="D64" s="87">
        <v>0</v>
      </c>
      <c r="E64" s="47">
        <f t="shared" si="0"/>
        <v>0</v>
      </c>
      <c r="F64" s="87">
        <v>0</v>
      </c>
      <c r="G64" s="47">
        <f t="shared" si="4"/>
        <v>0</v>
      </c>
      <c r="H64" s="88"/>
      <c r="I64" s="21">
        <v>30</v>
      </c>
      <c r="J64" s="82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+'21'!G65</f>
        <v>0</v>
      </c>
      <c r="D65" s="87">
        <v>0</v>
      </c>
      <c r="E65" s="47">
        <f t="shared" si="0"/>
        <v>0</v>
      </c>
      <c r="F65" s="87">
        <v>0</v>
      </c>
      <c r="G65" s="47">
        <f t="shared" si="4"/>
        <v>0</v>
      </c>
      <c r="H65" s="88"/>
      <c r="I65" s="21">
        <v>30</v>
      </c>
      <c r="J65" s="82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+'21'!G66</f>
        <v>9</v>
      </c>
      <c r="D66" s="87">
        <v>0</v>
      </c>
      <c r="E66" s="47">
        <f t="shared" si="0"/>
        <v>9</v>
      </c>
      <c r="F66" s="87">
        <v>0</v>
      </c>
      <c r="G66" s="47">
        <f t="shared" si="4"/>
        <v>9</v>
      </c>
      <c r="H66" s="88"/>
      <c r="I66" s="15">
        <v>50</v>
      </c>
      <c r="J66" s="82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+'21'!G67</f>
        <v>4</v>
      </c>
      <c r="D67" s="87">
        <v>0</v>
      </c>
      <c r="E67" s="47">
        <f t="shared" si="0"/>
        <v>4</v>
      </c>
      <c r="F67" s="87">
        <v>0</v>
      </c>
      <c r="G67" s="47">
        <f t="shared" si="4"/>
        <v>3</v>
      </c>
      <c r="H67" s="88">
        <v>1</v>
      </c>
      <c r="I67" s="15">
        <v>50</v>
      </c>
      <c r="J67" s="82">
        <f t="shared" si="5"/>
        <v>50</v>
      </c>
      <c r="K67" s="17" t="s">
        <v>16</v>
      </c>
      <c r="L67" s="18">
        <v>0</v>
      </c>
      <c r="M67" s="23">
        <f t="shared" si="6"/>
        <v>50</v>
      </c>
    </row>
    <row r="68" spans="1:13" ht="25.5" x14ac:dyDescent="0.55000000000000004">
      <c r="A68" s="10">
        <v>64</v>
      </c>
      <c r="B68" s="19" t="s">
        <v>79</v>
      </c>
      <c r="C68" s="79">
        <f>+'21'!G68</f>
        <v>0</v>
      </c>
      <c r="D68" s="87">
        <v>0</v>
      </c>
      <c r="E68" s="47">
        <f t="shared" si="0"/>
        <v>0</v>
      </c>
      <c r="F68" s="87">
        <v>0</v>
      </c>
      <c r="G68" s="47">
        <f t="shared" si="4"/>
        <v>0</v>
      </c>
      <c r="H68" s="88"/>
      <c r="I68" s="20">
        <v>35</v>
      </c>
      <c r="J68" s="82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+'21'!G69</f>
        <v>0</v>
      </c>
      <c r="D69" s="87">
        <v>0</v>
      </c>
      <c r="E69" s="47">
        <f t="shared" si="0"/>
        <v>0</v>
      </c>
      <c r="F69" s="87">
        <v>0</v>
      </c>
      <c r="G69" s="47">
        <f t="shared" si="4"/>
        <v>0</v>
      </c>
      <c r="H69" s="88"/>
      <c r="I69" s="20">
        <v>25</v>
      </c>
      <c r="J69" s="82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+'21'!G70</f>
        <v>5</v>
      </c>
      <c r="D70" s="87">
        <v>0</v>
      </c>
      <c r="E70" s="47">
        <f t="shared" si="0"/>
        <v>5</v>
      </c>
      <c r="F70" s="87">
        <v>2</v>
      </c>
      <c r="G70" s="47">
        <f t="shared" si="4"/>
        <v>2</v>
      </c>
      <c r="H70" s="88">
        <v>1</v>
      </c>
      <c r="I70" s="20">
        <v>50</v>
      </c>
      <c r="J70" s="82">
        <f t="shared" si="5"/>
        <v>50</v>
      </c>
      <c r="K70" s="17" t="s">
        <v>16</v>
      </c>
      <c r="L70" s="18">
        <v>0</v>
      </c>
      <c r="M70" s="23">
        <f t="shared" ref="M70:M134" si="10">SUM(J70-L70)</f>
        <v>50</v>
      </c>
    </row>
    <row r="71" spans="1:13" ht="25.5" x14ac:dyDescent="0.55000000000000004">
      <c r="A71" s="10">
        <v>67</v>
      </c>
      <c r="B71" s="19" t="s">
        <v>82</v>
      </c>
      <c r="C71" s="79">
        <f>+'21'!G71</f>
        <v>1</v>
      </c>
      <c r="D71" s="87">
        <v>0</v>
      </c>
      <c r="E71" s="47">
        <f t="shared" si="0"/>
        <v>1</v>
      </c>
      <c r="F71" s="87">
        <v>1</v>
      </c>
      <c r="G71" s="47">
        <f t="shared" si="4"/>
        <v>0</v>
      </c>
      <c r="H71" s="88"/>
      <c r="I71" s="20">
        <v>60</v>
      </c>
      <c r="J71" s="82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+'21'!G72</f>
        <v>0</v>
      </c>
      <c r="D72" s="87">
        <v>0</v>
      </c>
      <c r="E72" s="47">
        <f t="shared" si="0"/>
        <v>0</v>
      </c>
      <c r="F72" s="87">
        <v>0</v>
      </c>
      <c r="G72" s="47">
        <f t="shared" si="4"/>
        <v>0</v>
      </c>
      <c r="H72" s="88"/>
      <c r="I72" s="22">
        <v>50</v>
      </c>
      <c r="J72" s="82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+'21'!G73</f>
        <v>0</v>
      </c>
      <c r="D73" s="87">
        <v>0</v>
      </c>
      <c r="E73" s="47">
        <f t="shared" si="0"/>
        <v>0</v>
      </c>
      <c r="F73" s="87">
        <v>0</v>
      </c>
      <c r="G73" s="47">
        <f t="shared" si="4"/>
        <v>0</v>
      </c>
      <c r="H73" s="88"/>
      <c r="I73" s="20">
        <v>60</v>
      </c>
      <c r="J73" s="82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+'21'!G74</f>
        <v>1</v>
      </c>
      <c r="D74" s="87">
        <v>0</v>
      </c>
      <c r="E74" s="47">
        <f t="shared" si="0"/>
        <v>1</v>
      </c>
      <c r="F74" s="87">
        <v>0</v>
      </c>
      <c r="G74" s="47">
        <f t="shared" si="4"/>
        <v>1</v>
      </c>
      <c r="H74" s="88"/>
      <c r="I74" s="22">
        <v>120</v>
      </c>
      <c r="J74" s="82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+'21'!G75</f>
        <v>0</v>
      </c>
      <c r="D75" s="87">
        <v>0</v>
      </c>
      <c r="E75" s="47">
        <f t="shared" si="0"/>
        <v>0</v>
      </c>
      <c r="F75" s="87">
        <v>0</v>
      </c>
      <c r="G75" s="47">
        <f t="shared" si="4"/>
        <v>0</v>
      </c>
      <c r="H75" s="88"/>
      <c r="I75" s="22">
        <v>60</v>
      </c>
      <c r="J75" s="82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+'21'!G76</f>
        <v>0</v>
      </c>
      <c r="D76" s="87">
        <v>0</v>
      </c>
      <c r="E76" s="47">
        <f t="shared" si="0"/>
        <v>0</v>
      </c>
      <c r="F76" s="87">
        <v>0</v>
      </c>
      <c r="G76" s="47">
        <f t="shared" si="4"/>
        <v>0</v>
      </c>
      <c r="H76" s="88"/>
      <c r="I76" s="22">
        <v>120</v>
      </c>
      <c r="J76" s="82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1" t="s">
        <v>272</v>
      </c>
      <c r="C77" s="79">
        <f>+'21'!G77</f>
        <v>2</v>
      </c>
      <c r="D77" s="87">
        <v>2</v>
      </c>
      <c r="E77" s="47">
        <f>C77+D77</f>
        <v>4</v>
      </c>
      <c r="F77" s="87">
        <v>0</v>
      </c>
      <c r="G77" s="47">
        <f>+E77-F77-H77</f>
        <v>3</v>
      </c>
      <c r="H77" s="88">
        <v>1</v>
      </c>
      <c r="I77" s="20">
        <v>50</v>
      </c>
      <c r="J77" s="82">
        <f>+I77*H77</f>
        <v>50</v>
      </c>
      <c r="K77" s="17" t="s">
        <v>16</v>
      </c>
      <c r="L77" s="18">
        <v>0</v>
      </c>
      <c r="M77" s="23">
        <f>SUM(J77-L77)</f>
        <v>50</v>
      </c>
    </row>
    <row r="78" spans="1:13" ht="25.5" x14ac:dyDescent="0.55000000000000004">
      <c r="A78" s="10">
        <v>74</v>
      </c>
      <c r="B78" s="19" t="s">
        <v>277</v>
      </c>
      <c r="C78" s="79">
        <f>+'21'!G78</f>
        <v>1</v>
      </c>
      <c r="D78" s="87">
        <v>2</v>
      </c>
      <c r="E78" s="47">
        <f t="shared" si="0"/>
        <v>3</v>
      </c>
      <c r="F78" s="87">
        <v>0</v>
      </c>
      <c r="G78" s="47">
        <f t="shared" si="4"/>
        <v>2</v>
      </c>
      <c r="H78" s="88">
        <v>1</v>
      </c>
      <c r="I78" s="20">
        <v>50</v>
      </c>
      <c r="J78" s="82">
        <f t="shared" si="5"/>
        <v>50</v>
      </c>
      <c r="K78" s="17" t="s">
        <v>16</v>
      </c>
      <c r="L78" s="18">
        <v>0</v>
      </c>
      <c r="M78" s="23">
        <f t="shared" si="10"/>
        <v>50</v>
      </c>
    </row>
    <row r="79" spans="1:13" ht="25.5" x14ac:dyDescent="0.55000000000000004">
      <c r="A79" s="10">
        <v>75</v>
      </c>
      <c r="B79" s="19" t="s">
        <v>278</v>
      </c>
      <c r="C79" s="79">
        <f>+'21'!G79</f>
        <v>0</v>
      </c>
      <c r="D79" s="87">
        <v>0</v>
      </c>
      <c r="E79" s="47">
        <f t="shared" si="0"/>
        <v>0</v>
      </c>
      <c r="F79" s="87">
        <v>0</v>
      </c>
      <c r="G79" s="47">
        <f t="shared" si="4"/>
        <v>0</v>
      </c>
      <c r="H79" s="88"/>
      <c r="I79" s="22">
        <v>120</v>
      </c>
      <c r="J79" s="82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90</v>
      </c>
      <c r="C80" s="79">
        <f>+'21'!G80</f>
        <v>3</v>
      </c>
      <c r="D80" s="87">
        <v>5</v>
      </c>
      <c r="E80" s="47">
        <f t="shared" si="0"/>
        <v>8</v>
      </c>
      <c r="F80" s="87">
        <v>0</v>
      </c>
      <c r="G80" s="47">
        <f t="shared" si="4"/>
        <v>4</v>
      </c>
      <c r="H80" s="88">
        <v>4</v>
      </c>
      <c r="I80" s="22">
        <v>50</v>
      </c>
      <c r="J80" s="82">
        <f t="shared" si="5"/>
        <v>200</v>
      </c>
      <c r="K80" s="17" t="s">
        <v>16</v>
      </c>
      <c r="L80" s="18">
        <v>0</v>
      </c>
      <c r="M80" s="23">
        <f t="shared" si="10"/>
        <v>200</v>
      </c>
    </row>
    <row r="81" spans="1:13" ht="25.5" x14ac:dyDescent="0.55000000000000004">
      <c r="A81" s="10">
        <v>77</v>
      </c>
      <c r="B81" s="19" t="s">
        <v>91</v>
      </c>
      <c r="C81" s="79">
        <f>+'21'!G81</f>
        <v>0</v>
      </c>
      <c r="D81" s="87">
        <v>0</v>
      </c>
      <c r="E81" s="47">
        <f t="shared" si="0"/>
        <v>0</v>
      </c>
      <c r="F81" s="87">
        <v>0</v>
      </c>
      <c r="G81" s="47">
        <f t="shared" si="4"/>
        <v>0</v>
      </c>
      <c r="H81" s="88"/>
      <c r="I81" s="22">
        <v>50</v>
      </c>
      <c r="J81" s="82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92</v>
      </c>
      <c r="C82" s="79">
        <f>+'21'!G82</f>
        <v>1</v>
      </c>
      <c r="D82" s="87">
        <v>2</v>
      </c>
      <c r="E82" s="47">
        <f t="shared" si="0"/>
        <v>3</v>
      </c>
      <c r="F82" s="87">
        <v>0</v>
      </c>
      <c r="G82" s="47">
        <f t="shared" si="4"/>
        <v>3</v>
      </c>
      <c r="H82" s="88"/>
      <c r="I82" s="20">
        <v>55</v>
      </c>
      <c r="J82" s="82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93</v>
      </c>
      <c r="C83" s="79">
        <f>+'21'!G83</f>
        <v>1</v>
      </c>
      <c r="D83" s="87">
        <v>2</v>
      </c>
      <c r="E83" s="47">
        <f t="shared" si="0"/>
        <v>3</v>
      </c>
      <c r="F83" s="87">
        <v>0</v>
      </c>
      <c r="G83" s="47">
        <f t="shared" si="4"/>
        <v>3</v>
      </c>
      <c r="H83" s="88"/>
      <c r="I83" s="22">
        <v>55</v>
      </c>
      <c r="J83" s="82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94</v>
      </c>
      <c r="C84" s="79">
        <f>+'21'!G84</f>
        <v>0</v>
      </c>
      <c r="D84" s="87">
        <v>0</v>
      </c>
      <c r="E84" s="47">
        <f t="shared" si="0"/>
        <v>0</v>
      </c>
      <c r="F84" s="87">
        <v>0</v>
      </c>
      <c r="G84" s="47">
        <f t="shared" si="4"/>
        <v>0</v>
      </c>
      <c r="H84" s="88"/>
      <c r="I84" s="22">
        <v>55</v>
      </c>
      <c r="J84" s="82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95</v>
      </c>
      <c r="C85" s="79">
        <f>+'21'!G85</f>
        <v>0</v>
      </c>
      <c r="D85" s="87">
        <v>0</v>
      </c>
      <c r="E85" s="47">
        <f t="shared" si="0"/>
        <v>0</v>
      </c>
      <c r="F85" s="87">
        <v>0</v>
      </c>
      <c r="G85" s="47">
        <f t="shared" si="4"/>
        <v>0</v>
      </c>
      <c r="H85" s="88"/>
      <c r="I85" s="22">
        <v>55</v>
      </c>
      <c r="J85" s="82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96</v>
      </c>
      <c r="C86" s="79">
        <f>+'21'!G86</f>
        <v>2</v>
      </c>
      <c r="D86" s="87">
        <v>5</v>
      </c>
      <c r="E86" s="47">
        <f t="shared" si="0"/>
        <v>7</v>
      </c>
      <c r="F86" s="87">
        <v>0</v>
      </c>
      <c r="G86" s="47">
        <f t="shared" si="4"/>
        <v>7</v>
      </c>
      <c r="H86" s="88"/>
      <c r="I86" s="22">
        <v>100</v>
      </c>
      <c r="J86" s="82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97</v>
      </c>
      <c r="C87" s="79">
        <f>+'21'!G87</f>
        <v>3</v>
      </c>
      <c r="D87" s="87">
        <v>10</v>
      </c>
      <c r="E87" s="47">
        <f t="shared" si="0"/>
        <v>13</v>
      </c>
      <c r="F87" s="87">
        <v>0</v>
      </c>
      <c r="G87" s="47">
        <f t="shared" si="4"/>
        <v>13</v>
      </c>
      <c r="H87" s="88"/>
      <c r="I87" s="20">
        <v>55</v>
      </c>
      <c r="J87" s="82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98</v>
      </c>
      <c r="C88" s="79">
        <f>+'21'!G88</f>
        <v>10</v>
      </c>
      <c r="D88" s="87">
        <v>0</v>
      </c>
      <c r="E88" s="47">
        <f t="shared" si="0"/>
        <v>10</v>
      </c>
      <c r="F88" s="87">
        <v>0</v>
      </c>
      <c r="G88" s="47">
        <f t="shared" si="4"/>
        <v>10</v>
      </c>
      <c r="H88" s="88"/>
      <c r="I88" s="20">
        <v>60</v>
      </c>
      <c r="J88" s="82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99</v>
      </c>
      <c r="C89" s="79">
        <f>+'21'!G89</f>
        <v>9</v>
      </c>
      <c r="D89" s="87">
        <v>0</v>
      </c>
      <c r="E89" s="47">
        <f t="shared" si="0"/>
        <v>9</v>
      </c>
      <c r="F89" s="87">
        <v>0</v>
      </c>
      <c r="G89" s="47">
        <f t="shared" si="4"/>
        <v>9</v>
      </c>
      <c r="H89" s="88"/>
      <c r="I89" s="20">
        <v>100</v>
      </c>
      <c r="J89" s="82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100</v>
      </c>
      <c r="C90" s="79">
        <f>+'21'!G90</f>
        <v>8</v>
      </c>
      <c r="D90" s="87">
        <v>0</v>
      </c>
      <c r="E90" s="47">
        <f t="shared" si="0"/>
        <v>8</v>
      </c>
      <c r="F90" s="87">
        <v>4</v>
      </c>
      <c r="G90" s="47">
        <f t="shared" si="4"/>
        <v>4</v>
      </c>
      <c r="H90" s="88"/>
      <c r="I90" s="20">
        <v>55</v>
      </c>
      <c r="J90" s="82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101</v>
      </c>
      <c r="C91" s="79">
        <f>+'21'!G91</f>
        <v>0</v>
      </c>
      <c r="D91" s="87">
        <v>0</v>
      </c>
      <c r="E91" s="47">
        <f t="shared" si="0"/>
        <v>0</v>
      </c>
      <c r="F91" s="87">
        <v>0</v>
      </c>
      <c r="G91" s="47">
        <f t="shared" si="4"/>
        <v>0</v>
      </c>
      <c r="H91" s="88"/>
      <c r="I91" s="20">
        <v>50</v>
      </c>
      <c r="J91" s="82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102</v>
      </c>
      <c r="C92" s="79">
        <f>+'21'!G92</f>
        <v>0</v>
      </c>
      <c r="D92" s="87">
        <v>0</v>
      </c>
      <c r="E92" s="47">
        <f t="shared" si="0"/>
        <v>0</v>
      </c>
      <c r="F92" s="87">
        <v>0</v>
      </c>
      <c r="G92" s="47">
        <f t="shared" si="4"/>
        <v>0</v>
      </c>
      <c r="H92" s="88"/>
      <c r="I92" s="22">
        <v>50</v>
      </c>
      <c r="J92" s="82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248</v>
      </c>
      <c r="C93" s="79">
        <f>+'21'!G93</f>
        <v>0</v>
      </c>
      <c r="D93" s="87">
        <v>0</v>
      </c>
      <c r="E93" s="47">
        <f t="shared" si="0"/>
        <v>0</v>
      </c>
      <c r="F93" s="87">
        <v>0</v>
      </c>
      <c r="G93" s="47">
        <f t="shared" si="4"/>
        <v>0</v>
      </c>
      <c r="H93" s="88"/>
      <c r="I93" s="22">
        <v>120</v>
      </c>
      <c r="J93" s="82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104</v>
      </c>
      <c r="C94" s="79">
        <f>+'21'!G94</f>
        <v>0</v>
      </c>
      <c r="D94" s="87">
        <v>0</v>
      </c>
      <c r="E94" s="47">
        <f t="shared" si="0"/>
        <v>0</v>
      </c>
      <c r="F94" s="87">
        <v>0</v>
      </c>
      <c r="G94" s="47">
        <f t="shared" si="4"/>
        <v>0</v>
      </c>
      <c r="H94" s="88"/>
      <c r="I94" s="20">
        <v>250</v>
      </c>
      <c r="J94" s="82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105</v>
      </c>
      <c r="C95" s="79">
        <f>+'21'!G95</f>
        <v>0</v>
      </c>
      <c r="D95" s="87">
        <v>0</v>
      </c>
      <c r="E95" s="47">
        <f t="shared" si="0"/>
        <v>0</v>
      </c>
      <c r="F95" s="87">
        <v>0</v>
      </c>
      <c r="G95" s="47">
        <f t="shared" si="4"/>
        <v>0</v>
      </c>
      <c r="H95" s="88"/>
      <c r="I95" s="20">
        <v>120</v>
      </c>
      <c r="J95" s="82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106</v>
      </c>
      <c r="C96" s="79">
        <f>+'21'!G96</f>
        <v>0</v>
      </c>
      <c r="D96" s="87">
        <v>0</v>
      </c>
      <c r="E96" s="47">
        <f t="shared" si="0"/>
        <v>0</v>
      </c>
      <c r="F96" s="87">
        <v>0</v>
      </c>
      <c r="G96" s="47">
        <f t="shared" si="4"/>
        <v>0</v>
      </c>
      <c r="H96" s="88"/>
      <c r="I96" s="20">
        <v>120</v>
      </c>
      <c r="J96" s="82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107</v>
      </c>
      <c r="C97" s="79">
        <f>+'21'!G97</f>
        <v>0</v>
      </c>
      <c r="D97" s="87">
        <v>0</v>
      </c>
      <c r="E97" s="47">
        <f t="shared" si="0"/>
        <v>0</v>
      </c>
      <c r="F97" s="87">
        <v>0</v>
      </c>
      <c r="G97" s="47">
        <f t="shared" si="4"/>
        <v>0</v>
      </c>
      <c r="H97" s="88"/>
      <c r="I97" s="20">
        <v>120</v>
      </c>
      <c r="J97" s="82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103</v>
      </c>
      <c r="C98" s="79">
        <f>+'21'!G98</f>
        <v>0</v>
      </c>
      <c r="D98" s="87">
        <v>0</v>
      </c>
      <c r="E98" s="47">
        <f t="shared" si="0"/>
        <v>0</v>
      </c>
      <c r="F98" s="87">
        <v>0</v>
      </c>
      <c r="G98" s="47">
        <f t="shared" si="4"/>
        <v>0</v>
      </c>
      <c r="H98" s="88"/>
      <c r="I98" s="20">
        <v>120</v>
      </c>
      <c r="J98" s="82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109</v>
      </c>
      <c r="C99" s="79">
        <f>+'21'!G99</f>
        <v>0</v>
      </c>
      <c r="D99" s="87">
        <v>0</v>
      </c>
      <c r="E99" s="47">
        <f t="shared" si="0"/>
        <v>0</v>
      </c>
      <c r="F99" s="87">
        <v>0</v>
      </c>
      <c r="G99" s="47">
        <f t="shared" si="4"/>
        <v>0</v>
      </c>
      <c r="H99" s="88"/>
      <c r="I99" s="20">
        <v>50</v>
      </c>
      <c r="J99" s="82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110</v>
      </c>
      <c r="C100" s="79">
        <f>+'21'!G100</f>
        <v>0</v>
      </c>
      <c r="D100" s="87">
        <v>0</v>
      </c>
      <c r="E100" s="47">
        <f t="shared" si="0"/>
        <v>0</v>
      </c>
      <c r="F100" s="87">
        <v>0</v>
      </c>
      <c r="G100" s="47">
        <f t="shared" si="4"/>
        <v>0</v>
      </c>
      <c r="H100" s="88"/>
      <c r="I100" s="20">
        <v>50</v>
      </c>
      <c r="J100" s="82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111</v>
      </c>
      <c r="C101" s="79">
        <f>+'21'!G101</f>
        <v>0</v>
      </c>
      <c r="D101" s="87">
        <v>0</v>
      </c>
      <c r="E101" s="47">
        <f t="shared" si="0"/>
        <v>0</v>
      </c>
      <c r="F101" s="87">
        <v>0</v>
      </c>
      <c r="G101" s="47">
        <f t="shared" ref="G101:G164" si="11">+E101-F101-H101</f>
        <v>0</v>
      </c>
      <c r="H101" s="88"/>
      <c r="I101" s="20">
        <v>60</v>
      </c>
      <c r="J101" s="82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112</v>
      </c>
      <c r="C102" s="79">
        <f>+'21'!G102</f>
        <v>0</v>
      </c>
      <c r="D102" s="87">
        <v>0</v>
      </c>
      <c r="E102" s="47">
        <f t="shared" si="0"/>
        <v>0</v>
      </c>
      <c r="F102" s="87">
        <v>0</v>
      </c>
      <c r="G102" s="47">
        <f t="shared" si="11"/>
        <v>0</v>
      </c>
      <c r="H102" s="88"/>
      <c r="I102" s="20">
        <v>55</v>
      </c>
      <c r="J102" s="82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113</v>
      </c>
      <c r="C103" s="79">
        <f>+'21'!G103</f>
        <v>0</v>
      </c>
      <c r="D103" s="87">
        <v>0</v>
      </c>
      <c r="E103" s="47">
        <f t="shared" si="0"/>
        <v>0</v>
      </c>
      <c r="F103" s="87">
        <v>0</v>
      </c>
      <c r="G103" s="47">
        <f t="shared" si="11"/>
        <v>0</v>
      </c>
      <c r="H103" s="88"/>
      <c r="I103" s="20">
        <v>50</v>
      </c>
      <c r="J103" s="82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114</v>
      </c>
      <c r="C104" s="79">
        <f>+'21'!G104</f>
        <v>0</v>
      </c>
      <c r="D104" s="87">
        <v>0</v>
      </c>
      <c r="E104" s="47">
        <f t="shared" si="0"/>
        <v>0</v>
      </c>
      <c r="F104" s="87">
        <v>0</v>
      </c>
      <c r="G104" s="47">
        <f t="shared" si="11"/>
        <v>0</v>
      </c>
      <c r="H104" s="88"/>
      <c r="I104" s="20">
        <v>100</v>
      </c>
      <c r="J104" s="82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115</v>
      </c>
      <c r="C105" s="79">
        <f>+'21'!G105</f>
        <v>0</v>
      </c>
      <c r="D105" s="87">
        <v>0</v>
      </c>
      <c r="E105" s="47">
        <f t="shared" si="0"/>
        <v>0</v>
      </c>
      <c r="F105" s="87">
        <v>0</v>
      </c>
      <c r="G105" s="47">
        <f t="shared" si="11"/>
        <v>0</v>
      </c>
      <c r="H105" s="88"/>
      <c r="I105" s="20">
        <v>100</v>
      </c>
      <c r="J105" s="82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116</v>
      </c>
      <c r="C106" s="79">
        <f>+'21'!G106</f>
        <v>0</v>
      </c>
      <c r="D106" s="87">
        <v>0</v>
      </c>
      <c r="E106" s="47">
        <f t="shared" si="0"/>
        <v>0</v>
      </c>
      <c r="F106" s="87">
        <v>0</v>
      </c>
      <c r="G106" s="47">
        <f t="shared" si="11"/>
        <v>0</v>
      </c>
      <c r="H106" s="88"/>
      <c r="I106" s="22">
        <v>30</v>
      </c>
      <c r="J106" s="82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117</v>
      </c>
      <c r="C107" s="79">
        <f>+'21'!G107</f>
        <v>0</v>
      </c>
      <c r="D107" s="87">
        <v>0</v>
      </c>
      <c r="E107" s="47">
        <f t="shared" si="0"/>
        <v>0</v>
      </c>
      <c r="F107" s="87">
        <v>0</v>
      </c>
      <c r="G107" s="47">
        <f t="shared" si="11"/>
        <v>0</v>
      </c>
      <c r="H107" s="88"/>
      <c r="I107" s="22">
        <v>20</v>
      </c>
      <c r="J107" s="82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118</v>
      </c>
      <c r="C108" s="79">
        <f>+'21'!G108</f>
        <v>0</v>
      </c>
      <c r="D108" s="87">
        <v>0</v>
      </c>
      <c r="E108" s="47">
        <f t="shared" si="0"/>
        <v>0</v>
      </c>
      <c r="F108" s="87">
        <v>0</v>
      </c>
      <c r="G108" s="47">
        <f t="shared" si="11"/>
        <v>0</v>
      </c>
      <c r="H108" s="88"/>
      <c r="I108" s="20">
        <v>100</v>
      </c>
      <c r="J108" s="82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120</v>
      </c>
      <c r="C109" s="79">
        <f>+'21'!G109</f>
        <v>0</v>
      </c>
      <c r="D109" s="87">
        <v>0</v>
      </c>
      <c r="E109" s="47">
        <f t="shared" si="0"/>
        <v>0</v>
      </c>
      <c r="F109" s="87">
        <v>0</v>
      </c>
      <c r="G109" s="47">
        <f t="shared" si="11"/>
        <v>0</v>
      </c>
      <c r="H109" s="88"/>
      <c r="I109" s="20">
        <v>80</v>
      </c>
      <c r="J109" s="82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121</v>
      </c>
      <c r="C110" s="79">
        <f>+'21'!G110</f>
        <v>0</v>
      </c>
      <c r="D110" s="87">
        <v>0</v>
      </c>
      <c r="E110" s="47">
        <f t="shared" si="0"/>
        <v>0</v>
      </c>
      <c r="F110" s="87">
        <v>0</v>
      </c>
      <c r="G110" s="47">
        <f t="shared" si="11"/>
        <v>0</v>
      </c>
      <c r="H110" s="88"/>
      <c r="I110" s="20">
        <v>60</v>
      </c>
      <c r="J110" s="82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122</v>
      </c>
      <c r="C111" s="79">
        <f>+'21'!G111</f>
        <v>0</v>
      </c>
      <c r="D111" s="87">
        <v>0</v>
      </c>
      <c r="E111" s="47">
        <f t="shared" si="0"/>
        <v>0</v>
      </c>
      <c r="F111" s="87">
        <v>0</v>
      </c>
      <c r="G111" s="47">
        <f t="shared" si="11"/>
        <v>0</v>
      </c>
      <c r="H111" s="88"/>
      <c r="I111" s="20">
        <v>35</v>
      </c>
      <c r="J111" s="82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123</v>
      </c>
      <c r="C112" s="79">
        <f>+'21'!G112</f>
        <v>0</v>
      </c>
      <c r="D112" s="87">
        <v>0</v>
      </c>
      <c r="E112" s="47">
        <f t="shared" si="0"/>
        <v>0</v>
      </c>
      <c r="F112" s="87">
        <v>0</v>
      </c>
      <c r="G112" s="47">
        <f t="shared" si="11"/>
        <v>0</v>
      </c>
      <c r="H112" s="88"/>
      <c r="I112" s="20">
        <v>35</v>
      </c>
      <c r="J112" s="82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124</v>
      </c>
      <c r="C113" s="79">
        <f>+'21'!G113</f>
        <v>0</v>
      </c>
      <c r="D113" s="87">
        <v>0</v>
      </c>
      <c r="E113" s="47">
        <f t="shared" si="0"/>
        <v>0</v>
      </c>
      <c r="F113" s="87">
        <v>0</v>
      </c>
      <c r="G113" s="47">
        <f t="shared" si="11"/>
        <v>0</v>
      </c>
      <c r="H113" s="88"/>
      <c r="I113" s="20">
        <v>35</v>
      </c>
      <c r="J113" s="82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125</v>
      </c>
      <c r="C114" s="79">
        <f>+'21'!G114</f>
        <v>0</v>
      </c>
      <c r="D114" s="87">
        <v>0</v>
      </c>
      <c r="E114" s="47">
        <f t="shared" si="0"/>
        <v>0</v>
      </c>
      <c r="F114" s="87">
        <v>0</v>
      </c>
      <c r="G114" s="47">
        <f t="shared" si="11"/>
        <v>0</v>
      </c>
      <c r="H114" s="88"/>
      <c r="I114" s="20">
        <v>35</v>
      </c>
      <c r="J114" s="82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126</v>
      </c>
      <c r="C115" s="79">
        <f>+'21'!G115</f>
        <v>0</v>
      </c>
      <c r="D115" s="87">
        <v>0</v>
      </c>
      <c r="E115" s="47">
        <f t="shared" si="0"/>
        <v>0</v>
      </c>
      <c r="F115" s="87">
        <v>0</v>
      </c>
      <c r="G115" s="47">
        <f t="shared" si="11"/>
        <v>0</v>
      </c>
      <c r="H115" s="88"/>
      <c r="I115" s="20">
        <v>35</v>
      </c>
      <c r="J115" s="82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127</v>
      </c>
      <c r="C116" s="79">
        <f>+'21'!G116</f>
        <v>0</v>
      </c>
      <c r="D116" s="87">
        <v>0</v>
      </c>
      <c r="E116" s="47">
        <f t="shared" si="0"/>
        <v>0</v>
      </c>
      <c r="F116" s="87">
        <v>0</v>
      </c>
      <c r="G116" s="47">
        <f t="shared" si="11"/>
        <v>0</v>
      </c>
      <c r="H116" s="88"/>
      <c r="I116" s="20">
        <v>30</v>
      </c>
      <c r="J116" s="82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128</v>
      </c>
      <c r="C117" s="79">
        <f>+'21'!G117</f>
        <v>0</v>
      </c>
      <c r="D117" s="87">
        <v>0</v>
      </c>
      <c r="E117" s="47">
        <f t="shared" si="0"/>
        <v>0</v>
      </c>
      <c r="F117" s="87">
        <v>0</v>
      </c>
      <c r="G117" s="47">
        <f t="shared" si="11"/>
        <v>0</v>
      </c>
      <c r="H117" s="88"/>
      <c r="I117" s="20">
        <v>30</v>
      </c>
      <c r="J117" s="82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129</v>
      </c>
      <c r="C118" s="79">
        <f>+'21'!G118</f>
        <v>0</v>
      </c>
      <c r="D118" s="87">
        <v>0</v>
      </c>
      <c r="E118" s="47">
        <f t="shared" si="0"/>
        <v>0</v>
      </c>
      <c r="F118" s="87">
        <v>0</v>
      </c>
      <c r="G118" s="47">
        <f t="shared" si="11"/>
        <v>0</v>
      </c>
      <c r="H118" s="88"/>
      <c r="I118" s="20">
        <v>30</v>
      </c>
      <c r="J118" s="82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130</v>
      </c>
      <c r="C119" s="79">
        <f>+'21'!G119</f>
        <v>0</v>
      </c>
      <c r="D119" s="87">
        <v>0</v>
      </c>
      <c r="E119" s="47">
        <f t="shared" si="0"/>
        <v>0</v>
      </c>
      <c r="F119" s="87">
        <v>0</v>
      </c>
      <c r="G119" s="47">
        <f t="shared" si="11"/>
        <v>0</v>
      </c>
      <c r="H119" s="88"/>
      <c r="I119" s="20">
        <v>30</v>
      </c>
      <c r="J119" s="82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131</v>
      </c>
      <c r="C120" s="79">
        <f>+'21'!G120</f>
        <v>0</v>
      </c>
      <c r="D120" s="87">
        <v>0</v>
      </c>
      <c r="E120" s="47">
        <f t="shared" si="0"/>
        <v>0</v>
      </c>
      <c r="F120" s="87">
        <v>0</v>
      </c>
      <c r="G120" s="47">
        <f t="shared" si="11"/>
        <v>0</v>
      </c>
      <c r="H120" s="88"/>
      <c r="I120" s="20">
        <v>30</v>
      </c>
      <c r="J120" s="82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132</v>
      </c>
      <c r="C121" s="79">
        <f>+'21'!G121</f>
        <v>0</v>
      </c>
      <c r="D121" s="87">
        <v>0</v>
      </c>
      <c r="E121" s="47">
        <f t="shared" si="0"/>
        <v>0</v>
      </c>
      <c r="F121" s="87">
        <v>0</v>
      </c>
      <c r="G121" s="47">
        <f t="shared" si="11"/>
        <v>0</v>
      </c>
      <c r="H121" s="88"/>
      <c r="I121" s="20">
        <v>30</v>
      </c>
      <c r="J121" s="82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133</v>
      </c>
      <c r="C122" s="79">
        <f>+'21'!G122</f>
        <v>0</v>
      </c>
      <c r="D122" s="87">
        <v>0</v>
      </c>
      <c r="E122" s="47">
        <f t="shared" si="0"/>
        <v>0</v>
      </c>
      <c r="F122" s="87">
        <v>0</v>
      </c>
      <c r="G122" s="47">
        <f t="shared" si="11"/>
        <v>0</v>
      </c>
      <c r="H122" s="88"/>
      <c r="I122" s="20">
        <v>40</v>
      </c>
      <c r="J122" s="82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134</v>
      </c>
      <c r="C123" s="79">
        <f>+'21'!G123</f>
        <v>0</v>
      </c>
      <c r="D123" s="87">
        <v>0</v>
      </c>
      <c r="E123" s="47">
        <f t="shared" si="0"/>
        <v>0</v>
      </c>
      <c r="F123" s="87">
        <v>0</v>
      </c>
      <c r="G123" s="47">
        <f t="shared" si="11"/>
        <v>0</v>
      </c>
      <c r="H123" s="88"/>
      <c r="I123" s="20">
        <v>35</v>
      </c>
      <c r="J123" s="82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135</v>
      </c>
      <c r="C124" s="79">
        <f>+'21'!G124</f>
        <v>0</v>
      </c>
      <c r="D124" s="87">
        <v>0</v>
      </c>
      <c r="E124" s="47">
        <f t="shared" si="0"/>
        <v>0</v>
      </c>
      <c r="F124" s="87">
        <v>0</v>
      </c>
      <c r="G124" s="47">
        <f t="shared" si="11"/>
        <v>0</v>
      </c>
      <c r="H124" s="88"/>
      <c r="I124" s="20">
        <v>40</v>
      </c>
      <c r="J124" s="82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136</v>
      </c>
      <c r="C125" s="79">
        <f>+'21'!G125</f>
        <v>0</v>
      </c>
      <c r="D125" s="87">
        <v>0</v>
      </c>
      <c r="E125" s="47">
        <f t="shared" si="0"/>
        <v>0</v>
      </c>
      <c r="F125" s="87">
        <v>0</v>
      </c>
      <c r="G125" s="47">
        <f t="shared" si="11"/>
        <v>0</v>
      </c>
      <c r="H125" s="88"/>
      <c r="I125" s="20">
        <v>40</v>
      </c>
      <c r="J125" s="82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137</v>
      </c>
      <c r="C126" s="79">
        <f>+'21'!G126</f>
        <v>0</v>
      </c>
      <c r="D126" s="87">
        <v>0</v>
      </c>
      <c r="E126" s="47">
        <f t="shared" ref="E126:E189" si="13">C126+D126</f>
        <v>0</v>
      </c>
      <c r="F126" s="87">
        <v>0</v>
      </c>
      <c r="G126" s="47">
        <f t="shared" si="11"/>
        <v>0</v>
      </c>
      <c r="H126" s="88"/>
      <c r="I126" s="20">
        <v>30</v>
      </c>
      <c r="J126" s="82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138</v>
      </c>
      <c r="C127" s="79">
        <f>+'21'!G127</f>
        <v>0</v>
      </c>
      <c r="D127" s="87">
        <v>0</v>
      </c>
      <c r="E127" s="47">
        <f t="shared" si="13"/>
        <v>0</v>
      </c>
      <c r="F127" s="87">
        <v>0</v>
      </c>
      <c r="G127" s="47">
        <f t="shared" si="11"/>
        <v>0</v>
      </c>
      <c r="H127" s="88"/>
      <c r="I127" s="20">
        <v>40</v>
      </c>
      <c r="J127" s="82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139</v>
      </c>
      <c r="C128" s="79">
        <f>+'21'!G128</f>
        <v>74</v>
      </c>
      <c r="D128" s="87">
        <v>0</v>
      </c>
      <c r="E128" s="47">
        <f t="shared" si="13"/>
        <v>74</v>
      </c>
      <c r="F128" s="87">
        <v>0</v>
      </c>
      <c r="G128" s="47">
        <f t="shared" si="11"/>
        <v>74</v>
      </c>
      <c r="H128" s="88"/>
      <c r="I128" s="20">
        <v>10</v>
      </c>
      <c r="J128" s="82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140</v>
      </c>
      <c r="C129" s="79">
        <f>+'21'!G129</f>
        <v>0</v>
      </c>
      <c r="D129" s="87">
        <v>0</v>
      </c>
      <c r="E129" s="47">
        <f t="shared" si="13"/>
        <v>0</v>
      </c>
      <c r="F129" s="87">
        <v>0</v>
      </c>
      <c r="G129" s="47">
        <f t="shared" si="11"/>
        <v>0</v>
      </c>
      <c r="H129" s="88"/>
      <c r="I129" s="20">
        <v>35</v>
      </c>
      <c r="J129" s="82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141</v>
      </c>
      <c r="C130" s="79">
        <f>+'21'!G130</f>
        <v>0</v>
      </c>
      <c r="D130" s="87">
        <v>0</v>
      </c>
      <c r="E130" s="47">
        <f t="shared" si="13"/>
        <v>0</v>
      </c>
      <c r="F130" s="87">
        <v>0</v>
      </c>
      <c r="G130" s="47">
        <f t="shared" si="11"/>
        <v>0</v>
      </c>
      <c r="H130" s="88"/>
      <c r="I130" s="20">
        <v>40</v>
      </c>
      <c r="J130" s="82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142</v>
      </c>
      <c r="C131" s="79">
        <f>+'21'!G131</f>
        <v>0</v>
      </c>
      <c r="D131" s="87">
        <v>0</v>
      </c>
      <c r="E131" s="47">
        <f t="shared" si="13"/>
        <v>0</v>
      </c>
      <c r="F131" s="87">
        <v>0</v>
      </c>
      <c r="G131" s="47">
        <f t="shared" si="11"/>
        <v>0</v>
      </c>
      <c r="H131" s="88"/>
      <c r="I131" s="20">
        <v>50</v>
      </c>
      <c r="J131" s="82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143</v>
      </c>
      <c r="C132" s="79">
        <f>+'21'!G132</f>
        <v>0</v>
      </c>
      <c r="D132" s="87">
        <v>0</v>
      </c>
      <c r="E132" s="47">
        <f t="shared" si="13"/>
        <v>0</v>
      </c>
      <c r="F132" s="87">
        <v>0</v>
      </c>
      <c r="G132" s="47">
        <f t="shared" si="11"/>
        <v>0</v>
      </c>
      <c r="H132" s="88"/>
      <c r="I132" s="20">
        <v>55</v>
      </c>
      <c r="J132" s="82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144</v>
      </c>
      <c r="C133" s="79">
        <f>+'21'!G133</f>
        <v>0</v>
      </c>
      <c r="D133" s="87">
        <v>0</v>
      </c>
      <c r="E133" s="47">
        <f t="shared" si="13"/>
        <v>0</v>
      </c>
      <c r="F133" s="87">
        <v>0</v>
      </c>
      <c r="G133" s="47">
        <f t="shared" si="11"/>
        <v>0</v>
      </c>
      <c r="H133" s="88"/>
      <c r="I133" s="20">
        <v>55</v>
      </c>
      <c r="J133" s="82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145</v>
      </c>
      <c r="C134" s="79">
        <f>+'21'!G134</f>
        <v>0</v>
      </c>
      <c r="D134" s="87">
        <v>0</v>
      </c>
      <c r="E134" s="47">
        <f t="shared" si="13"/>
        <v>0</v>
      </c>
      <c r="F134" s="87">
        <v>0</v>
      </c>
      <c r="G134" s="47">
        <f t="shared" si="11"/>
        <v>0</v>
      </c>
      <c r="H134" s="88"/>
      <c r="I134" s="20">
        <v>45</v>
      </c>
      <c r="J134" s="82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5.5" x14ac:dyDescent="0.55000000000000004">
      <c r="A135" s="10">
        <v>131</v>
      </c>
      <c r="B135" s="19" t="s">
        <v>146</v>
      </c>
      <c r="C135" s="79">
        <f>+'21'!G135</f>
        <v>0</v>
      </c>
      <c r="D135" s="87">
        <v>0</v>
      </c>
      <c r="E135" s="47">
        <f t="shared" si="13"/>
        <v>0</v>
      </c>
      <c r="F135" s="87">
        <v>0</v>
      </c>
      <c r="G135" s="47">
        <f t="shared" si="11"/>
        <v>0</v>
      </c>
      <c r="H135" s="88"/>
      <c r="I135" s="20">
        <v>45</v>
      </c>
      <c r="J135" s="82">
        <f t="shared" si="12"/>
        <v>0</v>
      </c>
      <c r="K135" s="17" t="s">
        <v>16</v>
      </c>
      <c r="L135" s="18">
        <v>0</v>
      </c>
      <c r="M135" s="23">
        <f t="shared" ref="M135:M198" si="14">SUM(J135-L135)</f>
        <v>0</v>
      </c>
    </row>
    <row r="136" spans="1:13" ht="25.5" x14ac:dyDescent="0.55000000000000004">
      <c r="A136" s="10">
        <v>132</v>
      </c>
      <c r="B136" s="19" t="s">
        <v>147</v>
      </c>
      <c r="C136" s="79">
        <f>+'21'!G136</f>
        <v>0</v>
      </c>
      <c r="D136" s="87">
        <v>0</v>
      </c>
      <c r="E136" s="47">
        <f t="shared" si="13"/>
        <v>0</v>
      </c>
      <c r="F136" s="87">
        <v>0</v>
      </c>
      <c r="G136" s="47">
        <f t="shared" si="11"/>
        <v>0</v>
      </c>
      <c r="H136" s="88"/>
      <c r="I136" s="20">
        <v>55</v>
      </c>
      <c r="J136" s="82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148</v>
      </c>
      <c r="C137" s="79">
        <f>+'21'!G137</f>
        <v>0</v>
      </c>
      <c r="D137" s="87">
        <v>0</v>
      </c>
      <c r="E137" s="47">
        <f t="shared" si="13"/>
        <v>0</v>
      </c>
      <c r="F137" s="87">
        <v>0</v>
      </c>
      <c r="G137" s="47">
        <f t="shared" si="11"/>
        <v>0</v>
      </c>
      <c r="H137" s="88"/>
      <c r="I137" s="20">
        <v>45</v>
      </c>
      <c r="J137" s="82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149</v>
      </c>
      <c r="C138" s="79">
        <f>+'21'!G138</f>
        <v>0</v>
      </c>
      <c r="D138" s="87">
        <v>0</v>
      </c>
      <c r="E138" s="47">
        <f t="shared" si="13"/>
        <v>0</v>
      </c>
      <c r="F138" s="87">
        <v>0</v>
      </c>
      <c r="G138" s="47">
        <f t="shared" si="11"/>
        <v>0</v>
      </c>
      <c r="H138" s="88"/>
      <c r="I138" s="20">
        <v>45</v>
      </c>
      <c r="J138" s="82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150</v>
      </c>
      <c r="C139" s="79">
        <f>+'21'!G139</f>
        <v>0</v>
      </c>
      <c r="D139" s="87">
        <v>0</v>
      </c>
      <c r="E139" s="47">
        <f t="shared" si="13"/>
        <v>0</v>
      </c>
      <c r="F139" s="87">
        <v>0</v>
      </c>
      <c r="G139" s="47">
        <f t="shared" si="11"/>
        <v>0</v>
      </c>
      <c r="H139" s="88"/>
      <c r="I139" s="20">
        <v>45</v>
      </c>
      <c r="J139" s="82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151</v>
      </c>
      <c r="C140" s="79">
        <f>+'21'!G140</f>
        <v>0</v>
      </c>
      <c r="D140" s="87">
        <v>0</v>
      </c>
      <c r="E140" s="47">
        <f t="shared" si="13"/>
        <v>0</v>
      </c>
      <c r="F140" s="87">
        <v>0</v>
      </c>
      <c r="G140" s="47">
        <f t="shared" si="11"/>
        <v>0</v>
      </c>
      <c r="H140" s="88"/>
      <c r="I140" s="20">
        <v>45</v>
      </c>
      <c r="J140" s="82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152</v>
      </c>
      <c r="C141" s="79">
        <f>+'21'!G141</f>
        <v>0</v>
      </c>
      <c r="D141" s="87">
        <v>0</v>
      </c>
      <c r="E141" s="47">
        <f t="shared" si="13"/>
        <v>0</v>
      </c>
      <c r="F141" s="87">
        <v>0</v>
      </c>
      <c r="G141" s="47">
        <f t="shared" si="11"/>
        <v>0</v>
      </c>
      <c r="H141" s="88"/>
      <c r="I141" s="20">
        <v>45</v>
      </c>
      <c r="J141" s="82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153</v>
      </c>
      <c r="C142" s="79">
        <f>+'21'!G142</f>
        <v>0</v>
      </c>
      <c r="D142" s="87">
        <v>0</v>
      </c>
      <c r="E142" s="47">
        <f t="shared" si="13"/>
        <v>0</v>
      </c>
      <c r="F142" s="87">
        <v>0</v>
      </c>
      <c r="G142" s="47">
        <f t="shared" si="11"/>
        <v>0</v>
      </c>
      <c r="H142" s="88"/>
      <c r="I142" s="20">
        <v>45</v>
      </c>
      <c r="J142" s="82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154</v>
      </c>
      <c r="C143" s="79">
        <f>+'21'!G143</f>
        <v>0</v>
      </c>
      <c r="D143" s="87">
        <v>0</v>
      </c>
      <c r="E143" s="47">
        <f t="shared" si="13"/>
        <v>0</v>
      </c>
      <c r="F143" s="87">
        <v>0</v>
      </c>
      <c r="G143" s="47">
        <f t="shared" si="11"/>
        <v>0</v>
      </c>
      <c r="H143" s="88"/>
      <c r="I143" s="20">
        <v>120</v>
      </c>
      <c r="J143" s="82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155</v>
      </c>
      <c r="C144" s="79">
        <f>+'21'!G144</f>
        <v>0</v>
      </c>
      <c r="D144" s="87">
        <v>0</v>
      </c>
      <c r="E144" s="47">
        <f t="shared" si="13"/>
        <v>0</v>
      </c>
      <c r="F144" s="87">
        <v>0</v>
      </c>
      <c r="G144" s="47">
        <f t="shared" si="11"/>
        <v>0</v>
      </c>
      <c r="H144" s="88"/>
      <c r="I144" s="20">
        <v>120</v>
      </c>
      <c r="J144" s="82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156</v>
      </c>
      <c r="C145" s="79">
        <f>+'21'!G145</f>
        <v>0</v>
      </c>
      <c r="D145" s="87">
        <v>0</v>
      </c>
      <c r="E145" s="47">
        <f t="shared" si="13"/>
        <v>0</v>
      </c>
      <c r="F145" s="87">
        <v>0</v>
      </c>
      <c r="G145" s="47">
        <f t="shared" si="11"/>
        <v>0</v>
      </c>
      <c r="H145" s="88"/>
      <c r="I145" s="20">
        <v>120</v>
      </c>
      <c r="J145" s="82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157</v>
      </c>
      <c r="C146" s="79">
        <f>+'21'!G146</f>
        <v>0</v>
      </c>
      <c r="D146" s="87">
        <v>0</v>
      </c>
      <c r="E146" s="47">
        <f t="shared" si="13"/>
        <v>0</v>
      </c>
      <c r="F146" s="87">
        <v>0</v>
      </c>
      <c r="G146" s="47">
        <f t="shared" si="11"/>
        <v>0</v>
      </c>
      <c r="H146" s="88"/>
      <c r="I146" s="20">
        <v>120</v>
      </c>
      <c r="J146" s="82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158</v>
      </c>
      <c r="C147" s="79">
        <f>+'21'!G147</f>
        <v>0</v>
      </c>
      <c r="D147" s="87">
        <v>0</v>
      </c>
      <c r="E147" s="47">
        <f t="shared" si="13"/>
        <v>0</v>
      </c>
      <c r="F147" s="87">
        <v>0</v>
      </c>
      <c r="G147" s="47">
        <f t="shared" si="11"/>
        <v>0</v>
      </c>
      <c r="H147" s="88"/>
      <c r="I147" s="20">
        <v>185</v>
      </c>
      <c r="J147" s="82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159</v>
      </c>
      <c r="C148" s="79">
        <f>+'21'!G148</f>
        <v>0</v>
      </c>
      <c r="D148" s="87">
        <v>0</v>
      </c>
      <c r="E148" s="47">
        <f t="shared" si="13"/>
        <v>0</v>
      </c>
      <c r="F148" s="87">
        <v>0</v>
      </c>
      <c r="G148" s="47">
        <f t="shared" si="11"/>
        <v>0</v>
      </c>
      <c r="H148" s="88"/>
      <c r="I148" s="20">
        <v>185</v>
      </c>
      <c r="J148" s="82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160</v>
      </c>
      <c r="C149" s="79">
        <f>+'21'!G149</f>
        <v>0</v>
      </c>
      <c r="D149" s="87">
        <v>0</v>
      </c>
      <c r="E149" s="47">
        <f t="shared" si="13"/>
        <v>0</v>
      </c>
      <c r="F149" s="87">
        <v>0</v>
      </c>
      <c r="G149" s="47">
        <f t="shared" si="11"/>
        <v>0</v>
      </c>
      <c r="H149" s="88"/>
      <c r="I149" s="20">
        <v>185</v>
      </c>
      <c r="J149" s="82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161</v>
      </c>
      <c r="C150" s="79">
        <f>+'21'!G150</f>
        <v>0</v>
      </c>
      <c r="D150" s="87">
        <v>0</v>
      </c>
      <c r="E150" s="47">
        <f t="shared" si="13"/>
        <v>0</v>
      </c>
      <c r="F150" s="87">
        <v>0</v>
      </c>
      <c r="G150" s="47">
        <f t="shared" si="11"/>
        <v>0</v>
      </c>
      <c r="H150" s="88"/>
      <c r="I150" s="20">
        <v>185</v>
      </c>
      <c r="J150" s="82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5.5" x14ac:dyDescent="0.55000000000000004">
      <c r="A151" s="10">
        <v>147</v>
      </c>
      <c r="B151" s="19" t="s">
        <v>279</v>
      </c>
      <c r="C151" s="79">
        <f>+'21'!G151</f>
        <v>0</v>
      </c>
      <c r="D151" s="87">
        <v>0</v>
      </c>
      <c r="E151" s="47">
        <f t="shared" si="13"/>
        <v>0</v>
      </c>
      <c r="F151" s="87">
        <v>0</v>
      </c>
      <c r="G151" s="47">
        <f t="shared" si="11"/>
        <v>0</v>
      </c>
      <c r="H151" s="88"/>
      <c r="I151" s="20">
        <v>150</v>
      </c>
      <c r="J151" s="82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280</v>
      </c>
      <c r="C152" s="79">
        <f>+'21'!G152</f>
        <v>1</v>
      </c>
      <c r="D152" s="87">
        <v>0</v>
      </c>
      <c r="E152" s="47">
        <f t="shared" si="13"/>
        <v>1</v>
      </c>
      <c r="F152" s="87">
        <v>0</v>
      </c>
      <c r="G152" s="47">
        <f t="shared" si="11"/>
        <v>1</v>
      </c>
      <c r="H152" s="88"/>
      <c r="I152" s="20">
        <v>150</v>
      </c>
      <c r="J152" s="82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5.5" x14ac:dyDescent="0.55000000000000004">
      <c r="A153" s="10">
        <v>149</v>
      </c>
      <c r="B153" s="19" t="s">
        <v>281</v>
      </c>
      <c r="C153" s="79">
        <f>+'21'!G153</f>
        <v>0</v>
      </c>
      <c r="D153" s="87">
        <v>0</v>
      </c>
      <c r="E153" s="47">
        <f t="shared" si="13"/>
        <v>0</v>
      </c>
      <c r="F153" s="87">
        <v>0</v>
      </c>
      <c r="G153" s="47">
        <f t="shared" si="11"/>
        <v>0</v>
      </c>
      <c r="H153" s="88"/>
      <c r="I153" s="20">
        <v>150</v>
      </c>
      <c r="J153" s="82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282</v>
      </c>
      <c r="C154" s="79">
        <f>+'21'!G154</f>
        <v>0</v>
      </c>
      <c r="D154" s="87">
        <v>0</v>
      </c>
      <c r="E154" s="47">
        <f t="shared" si="13"/>
        <v>0</v>
      </c>
      <c r="F154" s="87">
        <v>0</v>
      </c>
      <c r="G154" s="47">
        <f t="shared" si="11"/>
        <v>0</v>
      </c>
      <c r="H154" s="88"/>
      <c r="I154" s="20">
        <v>150</v>
      </c>
      <c r="J154" s="82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166</v>
      </c>
      <c r="C155" s="79">
        <f>+'21'!G155</f>
        <v>0</v>
      </c>
      <c r="D155" s="87">
        <v>0</v>
      </c>
      <c r="E155" s="47">
        <f t="shared" si="13"/>
        <v>0</v>
      </c>
      <c r="F155" s="87">
        <v>0</v>
      </c>
      <c r="G155" s="47">
        <f t="shared" si="11"/>
        <v>0</v>
      </c>
      <c r="H155" s="88"/>
      <c r="I155" s="20">
        <v>185</v>
      </c>
      <c r="J155" s="82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167</v>
      </c>
      <c r="C156" s="79">
        <f>+'21'!G156</f>
        <v>0</v>
      </c>
      <c r="D156" s="87">
        <v>0</v>
      </c>
      <c r="E156" s="47">
        <f t="shared" si="13"/>
        <v>0</v>
      </c>
      <c r="F156" s="87">
        <v>0</v>
      </c>
      <c r="G156" s="47">
        <f t="shared" si="11"/>
        <v>0</v>
      </c>
      <c r="H156" s="88"/>
      <c r="I156" s="20">
        <v>185</v>
      </c>
      <c r="J156" s="82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168</v>
      </c>
      <c r="C157" s="79">
        <f>+'21'!G157</f>
        <v>0</v>
      </c>
      <c r="D157" s="87">
        <v>0</v>
      </c>
      <c r="E157" s="47">
        <f t="shared" si="13"/>
        <v>0</v>
      </c>
      <c r="F157" s="87">
        <v>0</v>
      </c>
      <c r="G157" s="47">
        <f t="shared" si="11"/>
        <v>0</v>
      </c>
      <c r="H157" s="88"/>
      <c r="I157" s="20">
        <v>185</v>
      </c>
      <c r="J157" s="82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169</v>
      </c>
      <c r="C158" s="79">
        <f>+'21'!G158</f>
        <v>0</v>
      </c>
      <c r="D158" s="87">
        <v>0</v>
      </c>
      <c r="E158" s="47">
        <f t="shared" si="13"/>
        <v>0</v>
      </c>
      <c r="F158" s="87">
        <v>0</v>
      </c>
      <c r="G158" s="47">
        <f t="shared" si="11"/>
        <v>0</v>
      </c>
      <c r="H158" s="88"/>
      <c r="I158" s="20">
        <v>185</v>
      </c>
      <c r="J158" s="82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170</v>
      </c>
      <c r="C159" s="79">
        <f>+'21'!G159</f>
        <v>0</v>
      </c>
      <c r="D159" s="87">
        <v>0</v>
      </c>
      <c r="E159" s="47">
        <f t="shared" si="13"/>
        <v>0</v>
      </c>
      <c r="F159" s="87">
        <v>0</v>
      </c>
      <c r="G159" s="47">
        <f t="shared" si="11"/>
        <v>0</v>
      </c>
      <c r="H159" s="88"/>
      <c r="I159" s="20">
        <v>135</v>
      </c>
      <c r="J159" s="82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171</v>
      </c>
      <c r="C160" s="79">
        <f>+'21'!G160</f>
        <v>0</v>
      </c>
      <c r="D160" s="87">
        <v>0</v>
      </c>
      <c r="E160" s="47">
        <f t="shared" si="13"/>
        <v>0</v>
      </c>
      <c r="F160" s="87">
        <v>0</v>
      </c>
      <c r="G160" s="47">
        <f t="shared" si="11"/>
        <v>0</v>
      </c>
      <c r="H160" s="88"/>
      <c r="I160" s="20">
        <v>90</v>
      </c>
      <c r="J160" s="82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172</v>
      </c>
      <c r="C161" s="79">
        <f>+'21'!G161</f>
        <v>0</v>
      </c>
      <c r="D161" s="87">
        <v>0</v>
      </c>
      <c r="E161" s="47">
        <f t="shared" si="13"/>
        <v>0</v>
      </c>
      <c r="F161" s="87">
        <v>0</v>
      </c>
      <c r="G161" s="47">
        <f t="shared" si="11"/>
        <v>0</v>
      </c>
      <c r="H161" s="88"/>
      <c r="I161" s="20">
        <v>90</v>
      </c>
      <c r="J161" s="82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173</v>
      </c>
      <c r="C162" s="79">
        <f>+'21'!G162</f>
        <v>0</v>
      </c>
      <c r="D162" s="87">
        <v>0</v>
      </c>
      <c r="E162" s="47">
        <f t="shared" si="13"/>
        <v>0</v>
      </c>
      <c r="F162" s="87">
        <v>0</v>
      </c>
      <c r="G162" s="47">
        <f t="shared" si="11"/>
        <v>0</v>
      </c>
      <c r="H162" s="88"/>
      <c r="I162" s="20">
        <v>90</v>
      </c>
      <c r="J162" s="82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174</v>
      </c>
      <c r="C163" s="79">
        <f>+'21'!G163</f>
        <v>0</v>
      </c>
      <c r="D163" s="87">
        <v>0</v>
      </c>
      <c r="E163" s="47">
        <f t="shared" si="13"/>
        <v>0</v>
      </c>
      <c r="F163" s="87">
        <v>0</v>
      </c>
      <c r="G163" s="47">
        <f t="shared" si="11"/>
        <v>0</v>
      </c>
      <c r="H163" s="88"/>
      <c r="I163" s="20">
        <v>90</v>
      </c>
      <c r="J163" s="82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175</v>
      </c>
      <c r="C164" s="79">
        <f>+'21'!G164</f>
        <v>0</v>
      </c>
      <c r="D164" s="87">
        <v>0</v>
      </c>
      <c r="E164" s="47">
        <f t="shared" si="13"/>
        <v>0</v>
      </c>
      <c r="F164" s="87">
        <v>0</v>
      </c>
      <c r="G164" s="47">
        <f t="shared" si="11"/>
        <v>0</v>
      </c>
      <c r="H164" s="88"/>
      <c r="I164" s="20">
        <v>25</v>
      </c>
      <c r="J164" s="82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176</v>
      </c>
      <c r="C165" s="79">
        <f>+'21'!G165</f>
        <v>0</v>
      </c>
      <c r="D165" s="87">
        <v>0</v>
      </c>
      <c r="E165" s="47">
        <f t="shared" si="13"/>
        <v>0</v>
      </c>
      <c r="F165" s="87">
        <v>0</v>
      </c>
      <c r="G165" s="47">
        <f t="shared" ref="G165:G227" si="15">+E165-F165-H165</f>
        <v>0</v>
      </c>
      <c r="H165" s="88"/>
      <c r="I165" s="20">
        <v>50</v>
      </c>
      <c r="J165" s="82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177</v>
      </c>
      <c r="C166" s="79">
        <f>+'21'!G166</f>
        <v>0</v>
      </c>
      <c r="D166" s="87">
        <v>0</v>
      </c>
      <c r="E166" s="47">
        <f t="shared" si="13"/>
        <v>0</v>
      </c>
      <c r="F166" s="87">
        <v>0</v>
      </c>
      <c r="G166" s="47">
        <f t="shared" si="15"/>
        <v>0</v>
      </c>
      <c r="H166" s="88"/>
      <c r="I166" s="20">
        <v>50</v>
      </c>
      <c r="J166" s="82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178</v>
      </c>
      <c r="C167" s="79">
        <f>+'21'!G167</f>
        <v>0</v>
      </c>
      <c r="D167" s="87">
        <v>0</v>
      </c>
      <c r="E167" s="47">
        <f t="shared" si="13"/>
        <v>0</v>
      </c>
      <c r="F167" s="87">
        <v>0</v>
      </c>
      <c r="G167" s="47">
        <f t="shared" si="15"/>
        <v>0</v>
      </c>
      <c r="H167" s="88"/>
      <c r="I167" s="20">
        <v>50</v>
      </c>
      <c r="J167" s="82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179</v>
      </c>
      <c r="C168" s="79">
        <f>+'21'!G168</f>
        <v>0</v>
      </c>
      <c r="D168" s="87">
        <v>0</v>
      </c>
      <c r="E168" s="47">
        <f t="shared" si="13"/>
        <v>0</v>
      </c>
      <c r="F168" s="87">
        <v>0</v>
      </c>
      <c r="G168" s="47">
        <f t="shared" si="15"/>
        <v>0</v>
      </c>
      <c r="H168" s="88"/>
      <c r="I168" s="20">
        <v>50</v>
      </c>
      <c r="J168" s="82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180</v>
      </c>
      <c r="C169" s="79">
        <f>+'21'!G169</f>
        <v>40</v>
      </c>
      <c r="D169" s="87">
        <v>0</v>
      </c>
      <c r="E169" s="47">
        <f t="shared" si="13"/>
        <v>40</v>
      </c>
      <c r="F169" s="87">
        <v>0</v>
      </c>
      <c r="G169" s="47">
        <f t="shared" si="15"/>
        <v>39</v>
      </c>
      <c r="H169" s="88">
        <v>1</v>
      </c>
      <c r="I169" s="20">
        <v>55</v>
      </c>
      <c r="J169" s="82">
        <f t="shared" si="16"/>
        <v>55</v>
      </c>
      <c r="K169" s="17" t="s">
        <v>16</v>
      </c>
      <c r="L169" s="18">
        <v>0</v>
      </c>
      <c r="M169" s="23">
        <f t="shared" si="14"/>
        <v>55</v>
      </c>
    </row>
    <row r="170" spans="1:13" ht="25.5" x14ac:dyDescent="0.55000000000000004">
      <c r="A170" s="10">
        <v>166</v>
      </c>
      <c r="B170" s="19" t="s">
        <v>181</v>
      </c>
      <c r="C170" s="79">
        <f>+'21'!G170</f>
        <v>0</v>
      </c>
      <c r="D170" s="87">
        <v>0</v>
      </c>
      <c r="E170" s="47">
        <f t="shared" si="13"/>
        <v>0</v>
      </c>
      <c r="F170" s="87">
        <v>0</v>
      </c>
      <c r="G170" s="47">
        <f t="shared" si="15"/>
        <v>0</v>
      </c>
      <c r="H170" s="88"/>
      <c r="I170" s="20">
        <v>85</v>
      </c>
      <c r="J170" s="82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182</v>
      </c>
      <c r="C171" s="79">
        <f>+'21'!G171</f>
        <v>5</v>
      </c>
      <c r="D171" s="87">
        <v>0</v>
      </c>
      <c r="E171" s="47">
        <f t="shared" si="13"/>
        <v>5</v>
      </c>
      <c r="F171" s="87">
        <v>0</v>
      </c>
      <c r="G171" s="47">
        <f t="shared" si="15"/>
        <v>5</v>
      </c>
      <c r="H171" s="88"/>
      <c r="I171" s="20">
        <v>80</v>
      </c>
      <c r="J171" s="82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183</v>
      </c>
      <c r="C172" s="79">
        <f>+'21'!G172</f>
        <v>0</v>
      </c>
      <c r="D172" s="87">
        <v>0</v>
      </c>
      <c r="E172" s="47">
        <f t="shared" si="13"/>
        <v>0</v>
      </c>
      <c r="F172" s="87">
        <v>0</v>
      </c>
      <c r="G172" s="47">
        <f t="shared" si="15"/>
        <v>0</v>
      </c>
      <c r="H172" s="88"/>
      <c r="I172" s="20">
        <v>40</v>
      </c>
      <c r="J172" s="82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184</v>
      </c>
      <c r="C173" s="79">
        <f>+'21'!G173</f>
        <v>0</v>
      </c>
      <c r="D173" s="87">
        <v>0</v>
      </c>
      <c r="E173" s="47">
        <f t="shared" si="13"/>
        <v>0</v>
      </c>
      <c r="F173" s="87">
        <v>0</v>
      </c>
      <c r="G173" s="47">
        <f t="shared" si="15"/>
        <v>0</v>
      </c>
      <c r="H173" s="88"/>
      <c r="I173" s="20">
        <v>120</v>
      </c>
      <c r="J173" s="82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185</v>
      </c>
      <c r="C174" s="79">
        <f>+'21'!G174</f>
        <v>0</v>
      </c>
      <c r="D174" s="87">
        <v>0</v>
      </c>
      <c r="E174" s="47">
        <f t="shared" si="13"/>
        <v>0</v>
      </c>
      <c r="F174" s="87">
        <v>0</v>
      </c>
      <c r="G174" s="47">
        <f t="shared" si="15"/>
        <v>0</v>
      </c>
      <c r="H174" s="88"/>
      <c r="I174" s="20">
        <v>120</v>
      </c>
      <c r="J174" s="82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186</v>
      </c>
      <c r="C175" s="79">
        <f>+'21'!G175</f>
        <v>0</v>
      </c>
      <c r="D175" s="87">
        <v>0</v>
      </c>
      <c r="E175" s="47">
        <f t="shared" si="13"/>
        <v>0</v>
      </c>
      <c r="F175" s="87">
        <v>0</v>
      </c>
      <c r="G175" s="47">
        <f t="shared" si="15"/>
        <v>0</v>
      </c>
      <c r="H175" s="88"/>
      <c r="I175" s="20">
        <v>55</v>
      </c>
      <c r="J175" s="82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187</v>
      </c>
      <c r="C176" s="79">
        <f>+'21'!G176</f>
        <v>0</v>
      </c>
      <c r="D176" s="87">
        <v>0</v>
      </c>
      <c r="E176" s="47">
        <f t="shared" si="13"/>
        <v>0</v>
      </c>
      <c r="F176" s="87">
        <v>0</v>
      </c>
      <c r="G176" s="47">
        <f t="shared" si="15"/>
        <v>0</v>
      </c>
      <c r="H176" s="88"/>
      <c r="I176" s="20">
        <v>50</v>
      </c>
      <c r="J176" s="82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188</v>
      </c>
      <c r="C177" s="79">
        <f>+'21'!G177</f>
        <v>0</v>
      </c>
      <c r="D177" s="87">
        <v>0</v>
      </c>
      <c r="E177" s="47">
        <f t="shared" si="13"/>
        <v>0</v>
      </c>
      <c r="F177" s="87">
        <v>0</v>
      </c>
      <c r="G177" s="47">
        <f t="shared" si="15"/>
        <v>0</v>
      </c>
      <c r="H177" s="88"/>
      <c r="I177" s="20">
        <v>50</v>
      </c>
      <c r="J177" s="82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189</v>
      </c>
      <c r="C178" s="79">
        <f>+'21'!G178</f>
        <v>0</v>
      </c>
      <c r="D178" s="87">
        <v>0</v>
      </c>
      <c r="E178" s="47">
        <f t="shared" si="13"/>
        <v>0</v>
      </c>
      <c r="F178" s="87">
        <v>0</v>
      </c>
      <c r="G178" s="47">
        <f t="shared" si="15"/>
        <v>0</v>
      </c>
      <c r="H178" s="88"/>
      <c r="I178" s="20">
        <v>120</v>
      </c>
      <c r="J178" s="82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190</v>
      </c>
      <c r="C179" s="79">
        <f>+'21'!G179</f>
        <v>0</v>
      </c>
      <c r="D179" s="87">
        <v>0</v>
      </c>
      <c r="E179" s="47">
        <f t="shared" si="13"/>
        <v>0</v>
      </c>
      <c r="F179" s="87">
        <v>0</v>
      </c>
      <c r="G179" s="47">
        <f t="shared" si="15"/>
        <v>0</v>
      </c>
      <c r="H179" s="88"/>
      <c r="I179" s="20">
        <v>120</v>
      </c>
      <c r="J179" s="82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191</v>
      </c>
      <c r="C180" s="79">
        <f>+'21'!G180</f>
        <v>0</v>
      </c>
      <c r="D180" s="87">
        <v>0</v>
      </c>
      <c r="E180" s="47">
        <f t="shared" si="13"/>
        <v>0</v>
      </c>
      <c r="F180" s="87">
        <v>0</v>
      </c>
      <c r="G180" s="47">
        <f t="shared" si="15"/>
        <v>0</v>
      </c>
      <c r="H180" s="88"/>
      <c r="I180" s="20">
        <v>10</v>
      </c>
      <c r="J180" s="82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192</v>
      </c>
      <c r="C181" s="79">
        <f>+'21'!G181</f>
        <v>0</v>
      </c>
      <c r="D181" s="87">
        <v>0</v>
      </c>
      <c r="E181" s="47">
        <f t="shared" si="13"/>
        <v>0</v>
      </c>
      <c r="F181" s="87">
        <v>0</v>
      </c>
      <c r="G181" s="47">
        <f t="shared" si="15"/>
        <v>0</v>
      </c>
      <c r="H181" s="88"/>
      <c r="I181" s="20">
        <v>35</v>
      </c>
      <c r="J181" s="82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193</v>
      </c>
      <c r="C182" s="79">
        <f>+'21'!G182</f>
        <v>0</v>
      </c>
      <c r="D182" s="87">
        <v>0</v>
      </c>
      <c r="E182" s="47">
        <f t="shared" si="13"/>
        <v>0</v>
      </c>
      <c r="F182" s="87">
        <v>0</v>
      </c>
      <c r="G182" s="47">
        <f t="shared" si="15"/>
        <v>0</v>
      </c>
      <c r="H182" s="88"/>
      <c r="I182" s="20">
        <v>10</v>
      </c>
      <c r="J182" s="82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194</v>
      </c>
      <c r="C183" s="79">
        <f>+'21'!G183</f>
        <v>0</v>
      </c>
      <c r="D183" s="87">
        <v>0</v>
      </c>
      <c r="E183" s="47">
        <f t="shared" si="13"/>
        <v>0</v>
      </c>
      <c r="F183" s="87">
        <v>0</v>
      </c>
      <c r="G183" s="47">
        <f t="shared" si="15"/>
        <v>0</v>
      </c>
      <c r="H183" s="88"/>
      <c r="I183" s="20">
        <v>10</v>
      </c>
      <c r="J183" s="82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195</v>
      </c>
      <c r="C184" s="79">
        <f>+'21'!G184</f>
        <v>0</v>
      </c>
      <c r="D184" s="87">
        <v>0</v>
      </c>
      <c r="E184" s="47">
        <f t="shared" si="13"/>
        <v>0</v>
      </c>
      <c r="F184" s="87">
        <v>0</v>
      </c>
      <c r="G184" s="47">
        <f t="shared" si="15"/>
        <v>0</v>
      </c>
      <c r="H184" s="88"/>
      <c r="I184" s="20">
        <v>10</v>
      </c>
      <c r="J184" s="82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196</v>
      </c>
      <c r="C185" s="79">
        <f>+'21'!G185</f>
        <v>0</v>
      </c>
      <c r="D185" s="87">
        <v>0</v>
      </c>
      <c r="E185" s="47">
        <f t="shared" si="13"/>
        <v>0</v>
      </c>
      <c r="F185" s="87">
        <v>0</v>
      </c>
      <c r="G185" s="47">
        <f t="shared" si="15"/>
        <v>0</v>
      </c>
      <c r="H185" s="88"/>
      <c r="I185" s="20">
        <v>10</v>
      </c>
      <c r="J185" s="82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197</v>
      </c>
      <c r="C186" s="79">
        <f>+'21'!G186</f>
        <v>0</v>
      </c>
      <c r="D186" s="87">
        <v>0</v>
      </c>
      <c r="E186" s="47">
        <f t="shared" si="13"/>
        <v>0</v>
      </c>
      <c r="F186" s="87">
        <v>0</v>
      </c>
      <c r="G186" s="47">
        <f t="shared" si="15"/>
        <v>0</v>
      </c>
      <c r="H186" s="88"/>
      <c r="I186" s="20">
        <v>10</v>
      </c>
      <c r="J186" s="82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198</v>
      </c>
      <c r="C187" s="79">
        <f>+'21'!G187</f>
        <v>0</v>
      </c>
      <c r="D187" s="87">
        <v>0</v>
      </c>
      <c r="E187" s="47">
        <f t="shared" si="13"/>
        <v>0</v>
      </c>
      <c r="F187" s="87">
        <v>0</v>
      </c>
      <c r="G187" s="47">
        <f t="shared" si="15"/>
        <v>0</v>
      </c>
      <c r="H187" s="88"/>
      <c r="I187" s="20">
        <v>25</v>
      </c>
      <c r="J187" s="82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249</v>
      </c>
      <c r="C188" s="79">
        <f>+'21'!G188</f>
        <v>0</v>
      </c>
      <c r="D188" s="87">
        <v>0</v>
      </c>
      <c r="E188" s="47">
        <f t="shared" si="13"/>
        <v>0</v>
      </c>
      <c r="F188" s="87">
        <v>0</v>
      </c>
      <c r="G188" s="47">
        <f t="shared" si="15"/>
        <v>0</v>
      </c>
      <c r="H188" s="88"/>
      <c r="I188" s="15">
        <v>50</v>
      </c>
      <c r="J188" s="82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250</v>
      </c>
      <c r="C189" s="79">
        <f>+'21'!G189</f>
        <v>0</v>
      </c>
      <c r="D189" s="87">
        <v>0</v>
      </c>
      <c r="E189" s="47">
        <f t="shared" si="13"/>
        <v>0</v>
      </c>
      <c r="F189" s="87">
        <v>0</v>
      </c>
      <c r="G189" s="47">
        <f t="shared" si="15"/>
        <v>0</v>
      </c>
      <c r="H189" s="88"/>
      <c r="I189" s="15">
        <v>10</v>
      </c>
      <c r="J189" s="82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251</v>
      </c>
      <c r="C190" s="79">
        <f>+'21'!G190</f>
        <v>0</v>
      </c>
      <c r="D190" s="87">
        <v>0</v>
      </c>
      <c r="E190" s="47">
        <f t="shared" ref="E190:E252" si="17">C190+D190</f>
        <v>0</v>
      </c>
      <c r="F190" s="87">
        <v>0</v>
      </c>
      <c r="G190" s="47">
        <f t="shared" si="15"/>
        <v>0</v>
      </c>
      <c r="H190" s="88"/>
      <c r="I190" s="15">
        <v>15</v>
      </c>
      <c r="J190" s="82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252</v>
      </c>
      <c r="C191" s="79">
        <f>+'21'!G191</f>
        <v>0</v>
      </c>
      <c r="D191" s="87">
        <v>0</v>
      </c>
      <c r="E191" s="47">
        <f t="shared" si="17"/>
        <v>0</v>
      </c>
      <c r="F191" s="87">
        <v>0</v>
      </c>
      <c r="G191" s="47">
        <f t="shared" si="15"/>
        <v>0</v>
      </c>
      <c r="H191" s="88"/>
      <c r="I191" s="15">
        <v>25</v>
      </c>
      <c r="J191" s="82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253</v>
      </c>
      <c r="C192" s="79">
        <f>+'21'!G192</f>
        <v>0</v>
      </c>
      <c r="D192" s="87">
        <v>0</v>
      </c>
      <c r="E192" s="47">
        <f t="shared" si="17"/>
        <v>0</v>
      </c>
      <c r="F192" s="87">
        <v>0</v>
      </c>
      <c r="G192" s="47">
        <f t="shared" si="15"/>
        <v>0</v>
      </c>
      <c r="H192" s="88"/>
      <c r="I192" s="15">
        <v>50</v>
      </c>
      <c r="J192" s="82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254</v>
      </c>
      <c r="C193" s="79">
        <f>+'21'!G193</f>
        <v>0</v>
      </c>
      <c r="D193" s="87">
        <v>0</v>
      </c>
      <c r="E193" s="47">
        <f t="shared" si="17"/>
        <v>0</v>
      </c>
      <c r="F193" s="87">
        <v>0</v>
      </c>
      <c r="G193" s="47">
        <f t="shared" si="15"/>
        <v>0</v>
      </c>
      <c r="H193" s="88"/>
      <c r="I193" s="15">
        <v>45</v>
      </c>
      <c r="J193" s="82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255</v>
      </c>
      <c r="C194" s="79">
        <f>+'21'!G194</f>
        <v>0</v>
      </c>
      <c r="D194" s="87">
        <v>0</v>
      </c>
      <c r="E194" s="47">
        <f t="shared" si="17"/>
        <v>0</v>
      </c>
      <c r="F194" s="87">
        <v>0</v>
      </c>
      <c r="G194" s="47">
        <f t="shared" si="15"/>
        <v>0</v>
      </c>
      <c r="H194" s="88"/>
      <c r="I194" s="15">
        <v>50</v>
      </c>
      <c r="J194" s="82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199</v>
      </c>
      <c r="C195" s="79">
        <f>+'21'!G195</f>
        <v>0</v>
      </c>
      <c r="D195" s="87">
        <v>0</v>
      </c>
      <c r="E195" s="47">
        <f t="shared" si="17"/>
        <v>0</v>
      </c>
      <c r="F195" s="87">
        <v>0</v>
      </c>
      <c r="G195" s="47">
        <f t="shared" si="15"/>
        <v>0</v>
      </c>
      <c r="H195" s="88"/>
      <c r="I195" s="15">
        <v>150</v>
      </c>
      <c r="J195" s="82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200</v>
      </c>
      <c r="C196" s="79">
        <f>+'21'!G196</f>
        <v>0</v>
      </c>
      <c r="D196" s="87">
        <v>0</v>
      </c>
      <c r="E196" s="47">
        <f t="shared" si="17"/>
        <v>0</v>
      </c>
      <c r="F196" s="87">
        <v>0</v>
      </c>
      <c r="G196" s="47">
        <f t="shared" si="15"/>
        <v>0</v>
      </c>
      <c r="H196" s="88"/>
      <c r="I196" s="15">
        <v>150</v>
      </c>
      <c r="J196" s="82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201</v>
      </c>
      <c r="C197" s="79">
        <f>+'21'!G197</f>
        <v>0</v>
      </c>
      <c r="D197" s="87">
        <v>0</v>
      </c>
      <c r="E197" s="47">
        <f t="shared" si="17"/>
        <v>0</v>
      </c>
      <c r="F197" s="87">
        <v>0</v>
      </c>
      <c r="G197" s="47">
        <f t="shared" si="15"/>
        <v>0</v>
      </c>
      <c r="H197" s="88"/>
      <c r="I197" s="15">
        <v>150</v>
      </c>
      <c r="J197" s="82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256</v>
      </c>
      <c r="C198" s="79">
        <f>+'21'!G198</f>
        <v>0</v>
      </c>
      <c r="D198" s="87">
        <v>0</v>
      </c>
      <c r="E198" s="47">
        <f t="shared" si="17"/>
        <v>0</v>
      </c>
      <c r="F198" s="87">
        <v>0</v>
      </c>
      <c r="G198" s="47">
        <f t="shared" si="15"/>
        <v>0</v>
      </c>
      <c r="H198" s="88"/>
      <c r="I198" s="15">
        <v>55</v>
      </c>
      <c r="J198" s="82">
        <f t="shared" si="16"/>
        <v>0</v>
      </c>
      <c r="K198" s="17" t="s">
        <v>16</v>
      </c>
      <c r="L198" s="18">
        <v>0</v>
      </c>
      <c r="M198" s="23">
        <f t="shared" si="14"/>
        <v>0</v>
      </c>
    </row>
    <row r="199" spans="1:13" ht="25.5" x14ac:dyDescent="0.55000000000000004">
      <c r="A199" s="10">
        <v>195</v>
      </c>
      <c r="B199" s="19" t="s">
        <v>257</v>
      </c>
      <c r="C199" s="79">
        <f>+'21'!G199</f>
        <v>0</v>
      </c>
      <c r="D199" s="87">
        <v>0</v>
      </c>
      <c r="E199" s="47">
        <f t="shared" si="17"/>
        <v>0</v>
      </c>
      <c r="F199" s="87">
        <v>0</v>
      </c>
      <c r="G199" s="47">
        <f t="shared" si="15"/>
        <v>0</v>
      </c>
      <c r="H199" s="88"/>
      <c r="I199" s="15">
        <v>30</v>
      </c>
      <c r="J199" s="82">
        <f t="shared" si="16"/>
        <v>0</v>
      </c>
      <c r="K199" s="17" t="s">
        <v>16</v>
      </c>
      <c r="L199" s="18">
        <v>0</v>
      </c>
      <c r="M199" s="23">
        <f t="shared" ref="M199:M254" si="18">SUM(J199-L199)</f>
        <v>0</v>
      </c>
    </row>
    <row r="200" spans="1:13" ht="25.5" x14ac:dyDescent="0.55000000000000004">
      <c r="A200" s="10">
        <v>196</v>
      </c>
      <c r="B200" s="19" t="s">
        <v>258</v>
      </c>
      <c r="C200" s="79">
        <f>+'21'!G200</f>
        <v>0</v>
      </c>
      <c r="D200" s="87">
        <v>0</v>
      </c>
      <c r="E200" s="47">
        <f t="shared" si="17"/>
        <v>0</v>
      </c>
      <c r="F200" s="87">
        <v>0</v>
      </c>
      <c r="G200" s="47">
        <f t="shared" si="15"/>
        <v>0</v>
      </c>
      <c r="H200" s="88"/>
      <c r="I200" s="15">
        <v>30</v>
      </c>
      <c r="J200" s="82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259</v>
      </c>
      <c r="C201" s="79">
        <f>+'21'!G201</f>
        <v>0</v>
      </c>
      <c r="D201" s="87">
        <v>0</v>
      </c>
      <c r="E201" s="47">
        <f t="shared" si="17"/>
        <v>0</v>
      </c>
      <c r="F201" s="87">
        <v>0</v>
      </c>
      <c r="G201" s="47">
        <f t="shared" si="15"/>
        <v>0</v>
      </c>
      <c r="H201" s="88"/>
      <c r="I201" s="15">
        <v>30</v>
      </c>
      <c r="J201" s="82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260</v>
      </c>
      <c r="C202" s="79">
        <f>+'21'!G202</f>
        <v>0</v>
      </c>
      <c r="D202" s="87">
        <v>0</v>
      </c>
      <c r="E202" s="47">
        <f t="shared" si="17"/>
        <v>0</v>
      </c>
      <c r="F202" s="87">
        <v>0</v>
      </c>
      <c r="G202" s="47">
        <f t="shared" si="15"/>
        <v>0</v>
      </c>
      <c r="H202" s="88"/>
      <c r="I202" s="15">
        <v>30</v>
      </c>
      <c r="J202" s="82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1" t="s">
        <v>261</v>
      </c>
      <c r="C203" s="79">
        <f>+'21'!G203</f>
        <v>0</v>
      </c>
      <c r="D203" s="87">
        <v>0</v>
      </c>
      <c r="E203" s="47">
        <f t="shared" si="17"/>
        <v>0</v>
      </c>
      <c r="F203" s="87">
        <v>0</v>
      </c>
      <c r="G203" s="47">
        <f t="shared" si="15"/>
        <v>0</v>
      </c>
      <c r="H203" s="88"/>
      <c r="I203" s="20">
        <v>30</v>
      </c>
      <c r="J203" s="82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1" t="s">
        <v>262</v>
      </c>
      <c r="C204" s="79">
        <f>+'21'!G204</f>
        <v>0</v>
      </c>
      <c r="D204" s="87">
        <v>0</v>
      </c>
      <c r="E204" s="47">
        <f t="shared" si="17"/>
        <v>0</v>
      </c>
      <c r="F204" s="87">
        <v>0</v>
      </c>
      <c r="G204" s="47">
        <f t="shared" si="15"/>
        <v>0</v>
      </c>
      <c r="H204" s="88"/>
      <c r="I204" s="20">
        <v>30</v>
      </c>
      <c r="J204" s="82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1" t="s">
        <v>263</v>
      </c>
      <c r="C205" s="79">
        <f>+'21'!G205</f>
        <v>0</v>
      </c>
      <c r="D205" s="87">
        <v>0</v>
      </c>
      <c r="E205" s="47">
        <f t="shared" si="17"/>
        <v>0</v>
      </c>
      <c r="F205" s="87">
        <v>0</v>
      </c>
      <c r="G205" s="47">
        <f t="shared" si="15"/>
        <v>0</v>
      </c>
      <c r="H205" s="88"/>
      <c r="I205" s="20">
        <v>50</v>
      </c>
      <c r="J205" s="82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1" t="s">
        <v>264</v>
      </c>
      <c r="C206" s="79">
        <f>+'21'!G206</f>
        <v>0</v>
      </c>
      <c r="D206" s="87">
        <v>0</v>
      </c>
      <c r="E206" s="47">
        <f t="shared" si="17"/>
        <v>0</v>
      </c>
      <c r="F206" s="87">
        <v>0</v>
      </c>
      <c r="G206" s="47">
        <f t="shared" si="15"/>
        <v>0</v>
      </c>
      <c r="H206" s="88"/>
      <c r="I206" s="20">
        <v>100</v>
      </c>
      <c r="J206" s="82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1" t="s">
        <v>265</v>
      </c>
      <c r="C207" s="79">
        <f>+'21'!G207</f>
        <v>0</v>
      </c>
      <c r="D207" s="87">
        <v>0</v>
      </c>
      <c r="E207" s="47">
        <f t="shared" si="17"/>
        <v>0</v>
      </c>
      <c r="F207" s="87">
        <v>0</v>
      </c>
      <c r="G207" s="47">
        <f t="shared" si="15"/>
        <v>0</v>
      </c>
      <c r="H207" s="88"/>
      <c r="I207" s="20">
        <v>100</v>
      </c>
      <c r="J207" s="82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1" t="s">
        <v>266</v>
      </c>
      <c r="C208" s="79">
        <f>+'21'!G208</f>
        <v>0</v>
      </c>
      <c r="D208" s="87">
        <v>0</v>
      </c>
      <c r="E208" s="47">
        <f t="shared" si="17"/>
        <v>0</v>
      </c>
      <c r="F208" s="87">
        <v>0</v>
      </c>
      <c r="G208" s="47">
        <f t="shared" si="15"/>
        <v>0</v>
      </c>
      <c r="H208" s="88"/>
      <c r="I208" s="20">
        <v>100</v>
      </c>
      <c r="J208" s="82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1" t="s">
        <v>267</v>
      </c>
      <c r="C209" s="79">
        <f>+'21'!G209</f>
        <v>0</v>
      </c>
      <c r="D209" s="87">
        <v>0</v>
      </c>
      <c r="E209" s="47">
        <f t="shared" si="17"/>
        <v>0</v>
      </c>
      <c r="F209" s="87">
        <v>0</v>
      </c>
      <c r="G209" s="47">
        <f t="shared" si="15"/>
        <v>0</v>
      </c>
      <c r="H209" s="88"/>
      <c r="I209" s="20">
        <v>100</v>
      </c>
      <c r="J209" s="82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1" t="s">
        <v>268</v>
      </c>
      <c r="C210" s="79">
        <f>+'21'!G210</f>
        <v>0</v>
      </c>
      <c r="D210" s="87">
        <v>0</v>
      </c>
      <c r="E210" s="47">
        <f t="shared" si="17"/>
        <v>0</v>
      </c>
      <c r="F210" s="87">
        <v>0</v>
      </c>
      <c r="G210" s="47">
        <f t="shared" si="15"/>
        <v>0</v>
      </c>
      <c r="H210" s="88"/>
      <c r="I210" s="20">
        <v>250</v>
      </c>
      <c r="J210" s="82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1" t="s">
        <v>269</v>
      </c>
      <c r="C211" s="79">
        <f>+'21'!G211</f>
        <v>0</v>
      </c>
      <c r="D211" s="87">
        <v>0</v>
      </c>
      <c r="E211" s="47">
        <f t="shared" si="17"/>
        <v>0</v>
      </c>
      <c r="F211" s="87">
        <v>0</v>
      </c>
      <c r="G211" s="47">
        <f t="shared" si="15"/>
        <v>0</v>
      </c>
      <c r="H211" s="88"/>
      <c r="I211" s="20">
        <v>250</v>
      </c>
      <c r="J211" s="82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1" t="s">
        <v>270</v>
      </c>
      <c r="C212" s="79">
        <f>+'21'!G212</f>
        <v>0</v>
      </c>
      <c r="D212" s="87">
        <v>0</v>
      </c>
      <c r="E212" s="47">
        <f t="shared" si="17"/>
        <v>0</v>
      </c>
      <c r="F212" s="87">
        <v>0</v>
      </c>
      <c r="G212" s="47">
        <f t="shared" si="15"/>
        <v>0</v>
      </c>
      <c r="H212" s="88"/>
      <c r="I212" s="20">
        <v>250</v>
      </c>
      <c r="J212" s="82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1" t="s">
        <v>271</v>
      </c>
      <c r="C213" s="79">
        <f>+'21'!G213</f>
        <v>0</v>
      </c>
      <c r="D213" s="87">
        <v>0</v>
      </c>
      <c r="E213" s="47">
        <f t="shared" si="17"/>
        <v>0</v>
      </c>
      <c r="F213" s="87">
        <v>0</v>
      </c>
      <c r="G213" s="47">
        <f t="shared" si="15"/>
        <v>0</v>
      </c>
      <c r="H213" s="88"/>
      <c r="I213" s="20">
        <v>50</v>
      </c>
      <c r="J213" s="82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1" t="s">
        <v>273</v>
      </c>
      <c r="C214" s="79">
        <f>+'21'!G214</f>
        <v>0</v>
      </c>
      <c r="D214" s="87">
        <v>0</v>
      </c>
      <c r="E214" s="47">
        <f t="shared" si="17"/>
        <v>0</v>
      </c>
      <c r="F214" s="87">
        <v>0</v>
      </c>
      <c r="G214" s="47">
        <f t="shared" si="15"/>
        <v>0</v>
      </c>
      <c r="H214" s="88"/>
      <c r="I214" s="20">
        <v>50</v>
      </c>
      <c r="J214" s="82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1" t="s">
        <v>274</v>
      </c>
      <c r="C215" s="79">
        <f>+'21'!G215</f>
        <v>0</v>
      </c>
      <c r="D215" s="87">
        <v>0</v>
      </c>
      <c r="E215" s="47">
        <f t="shared" si="17"/>
        <v>0</v>
      </c>
      <c r="F215" s="87">
        <v>0</v>
      </c>
      <c r="G215" s="47">
        <f t="shared" si="15"/>
        <v>0</v>
      </c>
      <c r="H215" s="88"/>
      <c r="I215" s="20">
        <v>50</v>
      </c>
      <c r="J215" s="82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1" t="s">
        <v>242</v>
      </c>
      <c r="C216" s="79">
        <f>+'21'!G216</f>
        <v>0</v>
      </c>
      <c r="D216" s="87">
        <v>0</v>
      </c>
      <c r="E216" s="47">
        <f t="shared" si="17"/>
        <v>0</v>
      </c>
      <c r="F216" s="87">
        <v>0</v>
      </c>
      <c r="G216" s="47">
        <f t="shared" si="15"/>
        <v>0</v>
      </c>
      <c r="H216" s="88"/>
      <c r="I216" s="20">
        <v>35</v>
      </c>
      <c r="J216" s="82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1" t="s">
        <v>275</v>
      </c>
      <c r="C217" s="79">
        <f>+'21'!G217</f>
        <v>0</v>
      </c>
      <c r="D217" s="87">
        <v>0</v>
      </c>
      <c r="E217" s="47">
        <f t="shared" si="17"/>
        <v>0</v>
      </c>
      <c r="F217" s="87">
        <v>0</v>
      </c>
      <c r="G217" s="47">
        <f t="shared" si="15"/>
        <v>0</v>
      </c>
      <c r="H217" s="88"/>
      <c r="I217" s="20">
        <v>199</v>
      </c>
      <c r="J217" s="82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1" t="s">
        <v>283</v>
      </c>
      <c r="C218" s="79"/>
      <c r="D218" s="87">
        <v>0</v>
      </c>
      <c r="E218" s="47">
        <f t="shared" si="17"/>
        <v>0</v>
      </c>
      <c r="F218" s="87">
        <v>0</v>
      </c>
      <c r="G218" s="47">
        <f t="shared" si="15"/>
        <v>0</v>
      </c>
      <c r="H218" s="88"/>
      <c r="I218" s="20">
        <v>25</v>
      </c>
      <c r="J218" s="82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1" t="s">
        <v>284</v>
      </c>
      <c r="C219" s="79"/>
      <c r="D219" s="87">
        <v>0</v>
      </c>
      <c r="E219" s="47">
        <f t="shared" si="17"/>
        <v>0</v>
      </c>
      <c r="F219" s="87">
        <v>0</v>
      </c>
      <c r="G219" s="47">
        <f t="shared" si="15"/>
        <v>0</v>
      </c>
      <c r="H219" s="88"/>
      <c r="I219" s="20">
        <v>25</v>
      </c>
      <c r="J219" s="82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1" t="s">
        <v>314</v>
      </c>
      <c r="C220" s="79">
        <f>+'21'!G220</f>
        <v>0</v>
      </c>
      <c r="D220" s="87">
        <v>0</v>
      </c>
      <c r="E220" s="47">
        <f t="shared" si="17"/>
        <v>0</v>
      </c>
      <c r="F220" s="87">
        <v>0</v>
      </c>
      <c r="G220" s="47">
        <f t="shared" si="15"/>
        <v>0</v>
      </c>
      <c r="H220" s="88"/>
      <c r="I220" s="20">
        <v>35</v>
      </c>
      <c r="J220" s="82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1" t="s">
        <v>326</v>
      </c>
      <c r="C221" s="79">
        <f>+'21'!G221</f>
        <v>1</v>
      </c>
      <c r="D221" s="87">
        <v>0</v>
      </c>
      <c r="E221" s="47">
        <f t="shared" si="17"/>
        <v>1</v>
      </c>
      <c r="F221" s="87">
        <v>0</v>
      </c>
      <c r="G221" s="47">
        <f t="shared" si="15"/>
        <v>1</v>
      </c>
      <c r="H221" s="88"/>
      <c r="I221" s="20">
        <v>55</v>
      </c>
      <c r="J221" s="82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1" t="s">
        <v>327</v>
      </c>
      <c r="C222" s="79">
        <f>+'21'!G222</f>
        <v>0</v>
      </c>
      <c r="D222" s="87">
        <v>0</v>
      </c>
      <c r="E222" s="47">
        <f t="shared" si="17"/>
        <v>0</v>
      </c>
      <c r="F222" s="87">
        <v>0</v>
      </c>
      <c r="G222" s="47">
        <f t="shared" si="15"/>
        <v>0</v>
      </c>
      <c r="H222" s="88"/>
      <c r="I222" s="20">
        <v>40</v>
      </c>
      <c r="J222" s="82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1"/>
      <c r="C223" s="79">
        <f>+'21'!G223</f>
        <v>0</v>
      </c>
      <c r="D223" s="87">
        <v>0</v>
      </c>
      <c r="E223" s="47">
        <f t="shared" si="17"/>
        <v>0</v>
      </c>
      <c r="F223" s="87">
        <v>0</v>
      </c>
      <c r="G223" s="47">
        <f t="shared" si="15"/>
        <v>0</v>
      </c>
      <c r="H223" s="88"/>
      <c r="I223" s="20"/>
      <c r="J223" s="82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1"/>
      <c r="C224" s="79">
        <f>+'21'!G224</f>
        <v>0</v>
      </c>
      <c r="D224" s="87">
        <v>0</v>
      </c>
      <c r="E224" s="47">
        <f t="shared" si="17"/>
        <v>0</v>
      </c>
      <c r="F224" s="87">
        <v>0</v>
      </c>
      <c r="G224" s="47">
        <f t="shared" si="15"/>
        <v>0</v>
      </c>
      <c r="H224" s="88"/>
      <c r="I224" s="20"/>
      <c r="J224" s="82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1"/>
      <c r="C225" s="79">
        <f>+'21'!G225</f>
        <v>0</v>
      </c>
      <c r="D225" s="87">
        <v>0</v>
      </c>
      <c r="E225" s="47">
        <f t="shared" si="17"/>
        <v>0</v>
      </c>
      <c r="F225" s="87">
        <v>0</v>
      </c>
      <c r="G225" s="47">
        <f t="shared" si="15"/>
        <v>0</v>
      </c>
      <c r="H225" s="88"/>
      <c r="I225" s="20"/>
      <c r="J225" s="82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1"/>
      <c r="C226" s="79">
        <f>+'21'!G226</f>
        <v>0</v>
      </c>
      <c r="D226" s="87">
        <v>0</v>
      </c>
      <c r="E226" s="47">
        <f t="shared" si="17"/>
        <v>0</v>
      </c>
      <c r="F226" s="87">
        <v>0</v>
      </c>
      <c r="G226" s="47">
        <f t="shared" si="15"/>
        <v>0</v>
      </c>
      <c r="H226" s="88"/>
      <c r="I226" s="20"/>
      <c r="J226" s="82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1"/>
      <c r="C227" s="79">
        <f>+'21'!G227</f>
        <v>0</v>
      </c>
      <c r="D227" s="87">
        <v>0</v>
      </c>
      <c r="E227" s="47">
        <f t="shared" si="17"/>
        <v>0</v>
      </c>
      <c r="F227" s="87">
        <v>0</v>
      </c>
      <c r="G227" s="47">
        <f t="shared" si="15"/>
        <v>0</v>
      </c>
      <c r="H227" s="88"/>
      <c r="I227" s="20"/>
      <c r="J227" s="82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1"/>
      <c r="C228" s="79">
        <f>+'21'!G228</f>
        <v>0</v>
      </c>
      <c r="D228" s="87">
        <v>0</v>
      </c>
      <c r="E228" s="47">
        <f t="shared" si="17"/>
        <v>0</v>
      </c>
      <c r="F228" s="87">
        <v>0</v>
      </c>
      <c r="G228" s="47">
        <f t="shared" ref="G228:G254" si="19">+E228-F228-H228</f>
        <v>0</v>
      </c>
      <c r="H228" s="88"/>
      <c r="I228" s="20"/>
      <c r="J228" s="82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1"/>
      <c r="C229" s="79">
        <f>+'21'!G229</f>
        <v>0</v>
      </c>
      <c r="D229" s="87">
        <v>0</v>
      </c>
      <c r="E229" s="47">
        <f t="shared" si="17"/>
        <v>0</v>
      </c>
      <c r="F229" s="87">
        <v>0</v>
      </c>
      <c r="G229" s="47">
        <f t="shared" si="19"/>
        <v>0</v>
      </c>
      <c r="H229" s="88"/>
      <c r="I229" s="20"/>
      <c r="J229" s="82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1"/>
      <c r="C230" s="79">
        <f>+'21'!G230</f>
        <v>0</v>
      </c>
      <c r="D230" s="87">
        <v>0</v>
      </c>
      <c r="E230" s="47">
        <f t="shared" si="17"/>
        <v>0</v>
      </c>
      <c r="F230" s="87">
        <v>0</v>
      </c>
      <c r="G230" s="47">
        <f t="shared" si="19"/>
        <v>0</v>
      </c>
      <c r="H230" s="88"/>
      <c r="I230" s="20"/>
      <c r="J230" s="82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1"/>
      <c r="C231" s="79">
        <f>+'21'!G231</f>
        <v>0</v>
      </c>
      <c r="D231" s="87">
        <v>0</v>
      </c>
      <c r="E231" s="47">
        <f t="shared" si="17"/>
        <v>0</v>
      </c>
      <c r="F231" s="87">
        <v>0</v>
      </c>
      <c r="G231" s="47">
        <f t="shared" si="19"/>
        <v>0</v>
      </c>
      <c r="H231" s="88"/>
      <c r="I231" s="20"/>
      <c r="J231" s="82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1"/>
      <c r="C232" s="79">
        <f>+'21'!G232</f>
        <v>0</v>
      </c>
      <c r="D232" s="87">
        <v>0</v>
      </c>
      <c r="E232" s="47">
        <f t="shared" si="17"/>
        <v>0</v>
      </c>
      <c r="F232" s="87">
        <v>0</v>
      </c>
      <c r="G232" s="47">
        <f t="shared" si="19"/>
        <v>0</v>
      </c>
      <c r="H232" s="88"/>
      <c r="I232" s="20"/>
      <c r="J232" s="82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1"/>
      <c r="C233" s="79">
        <f>+'21'!G233</f>
        <v>0</v>
      </c>
      <c r="D233" s="87">
        <v>0</v>
      </c>
      <c r="E233" s="47">
        <f t="shared" si="17"/>
        <v>0</v>
      </c>
      <c r="F233" s="87">
        <v>0</v>
      </c>
      <c r="G233" s="47">
        <f t="shared" si="19"/>
        <v>0</v>
      </c>
      <c r="H233" s="88"/>
      <c r="I233" s="20"/>
      <c r="J233" s="82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1"/>
      <c r="C234" s="79">
        <f>+'21'!G234</f>
        <v>0</v>
      </c>
      <c r="D234" s="87">
        <v>0</v>
      </c>
      <c r="E234" s="47">
        <f t="shared" si="17"/>
        <v>0</v>
      </c>
      <c r="F234" s="87">
        <v>0</v>
      </c>
      <c r="G234" s="47">
        <f t="shared" si="19"/>
        <v>0</v>
      </c>
      <c r="H234" s="88"/>
      <c r="I234" s="20"/>
      <c r="J234" s="82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1"/>
      <c r="C235" s="79">
        <f>+'21'!G235</f>
        <v>0</v>
      </c>
      <c r="D235" s="87">
        <v>0</v>
      </c>
      <c r="E235" s="47">
        <f t="shared" si="17"/>
        <v>0</v>
      </c>
      <c r="F235" s="87">
        <v>0</v>
      </c>
      <c r="G235" s="47">
        <f t="shared" si="19"/>
        <v>0</v>
      </c>
      <c r="H235" s="88"/>
      <c r="I235" s="20"/>
      <c r="J235" s="82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1"/>
      <c r="C236" s="79">
        <f>+'21'!G236</f>
        <v>0</v>
      </c>
      <c r="D236" s="87">
        <v>0</v>
      </c>
      <c r="E236" s="47">
        <f t="shared" si="17"/>
        <v>0</v>
      </c>
      <c r="F236" s="87">
        <v>0</v>
      </c>
      <c r="G236" s="47">
        <f t="shared" si="19"/>
        <v>0</v>
      </c>
      <c r="H236" s="88"/>
      <c r="I236" s="20"/>
      <c r="J236" s="82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1"/>
      <c r="C237" s="79">
        <f>+'21'!G237</f>
        <v>0</v>
      </c>
      <c r="D237" s="87">
        <v>0</v>
      </c>
      <c r="E237" s="47">
        <f t="shared" si="17"/>
        <v>0</v>
      </c>
      <c r="F237" s="87">
        <v>0</v>
      </c>
      <c r="G237" s="47">
        <f t="shared" si="19"/>
        <v>0</v>
      </c>
      <c r="H237" s="88"/>
      <c r="I237" s="20"/>
      <c r="J237" s="82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1"/>
      <c r="C238" s="79">
        <f>+'21'!G238</f>
        <v>0</v>
      </c>
      <c r="D238" s="87">
        <v>0</v>
      </c>
      <c r="E238" s="47">
        <f t="shared" si="17"/>
        <v>0</v>
      </c>
      <c r="F238" s="87">
        <v>0</v>
      </c>
      <c r="G238" s="47">
        <f t="shared" si="19"/>
        <v>0</v>
      </c>
      <c r="H238" s="88"/>
      <c r="I238" s="20"/>
      <c r="J238" s="82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1"/>
      <c r="C239" s="79">
        <f>+'21'!G239</f>
        <v>0</v>
      </c>
      <c r="D239" s="87">
        <v>0</v>
      </c>
      <c r="E239" s="47">
        <f t="shared" si="17"/>
        <v>0</v>
      </c>
      <c r="F239" s="87">
        <v>0</v>
      </c>
      <c r="G239" s="47">
        <f t="shared" si="19"/>
        <v>0</v>
      </c>
      <c r="H239" s="88"/>
      <c r="I239" s="20"/>
      <c r="J239" s="82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1"/>
      <c r="C240" s="79">
        <f>+'21'!G240</f>
        <v>0</v>
      </c>
      <c r="D240" s="87">
        <v>0</v>
      </c>
      <c r="E240" s="47">
        <f t="shared" si="17"/>
        <v>0</v>
      </c>
      <c r="F240" s="87">
        <v>0</v>
      </c>
      <c r="G240" s="47">
        <f t="shared" si="19"/>
        <v>0</v>
      </c>
      <c r="H240" s="88"/>
      <c r="I240" s="20"/>
      <c r="J240" s="82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1"/>
      <c r="C241" s="79">
        <f>+'21'!G241</f>
        <v>0</v>
      </c>
      <c r="D241" s="87">
        <v>0</v>
      </c>
      <c r="E241" s="47">
        <f t="shared" si="17"/>
        <v>0</v>
      </c>
      <c r="F241" s="87">
        <v>0</v>
      </c>
      <c r="G241" s="47">
        <f t="shared" si="19"/>
        <v>0</v>
      </c>
      <c r="H241" s="88"/>
      <c r="I241" s="20"/>
      <c r="J241" s="82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1"/>
      <c r="C242" s="79">
        <f>+'21'!G242</f>
        <v>0</v>
      </c>
      <c r="D242" s="87">
        <v>0</v>
      </c>
      <c r="E242" s="47">
        <f t="shared" si="17"/>
        <v>0</v>
      </c>
      <c r="F242" s="87">
        <v>0</v>
      </c>
      <c r="G242" s="47">
        <f t="shared" si="19"/>
        <v>0</v>
      </c>
      <c r="H242" s="88"/>
      <c r="I242" s="20"/>
      <c r="J242" s="82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1"/>
      <c r="C243" s="79">
        <f>+'21'!G243</f>
        <v>0</v>
      </c>
      <c r="D243" s="87">
        <v>0</v>
      </c>
      <c r="E243" s="47">
        <f t="shared" si="17"/>
        <v>0</v>
      </c>
      <c r="F243" s="87">
        <v>0</v>
      </c>
      <c r="G243" s="47">
        <f t="shared" si="19"/>
        <v>0</v>
      </c>
      <c r="H243" s="88"/>
      <c r="I243" s="20"/>
      <c r="J243" s="82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1"/>
      <c r="C244" s="79">
        <f>+'21'!G244</f>
        <v>0</v>
      </c>
      <c r="D244" s="87">
        <v>0</v>
      </c>
      <c r="E244" s="47">
        <f t="shared" si="17"/>
        <v>0</v>
      </c>
      <c r="F244" s="87">
        <v>0</v>
      </c>
      <c r="G244" s="47">
        <f t="shared" si="19"/>
        <v>0</v>
      </c>
      <c r="H244" s="88"/>
      <c r="I244" s="20"/>
      <c r="J244" s="82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1"/>
      <c r="C245" s="79">
        <f>+'21'!G245</f>
        <v>0</v>
      </c>
      <c r="D245" s="87">
        <v>0</v>
      </c>
      <c r="E245" s="47">
        <f t="shared" si="17"/>
        <v>0</v>
      </c>
      <c r="F245" s="87">
        <v>0</v>
      </c>
      <c r="G245" s="47">
        <f t="shared" si="19"/>
        <v>0</v>
      </c>
      <c r="H245" s="88"/>
      <c r="I245" s="20"/>
      <c r="J245" s="82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1"/>
      <c r="C246" s="79">
        <f>+'21'!G246</f>
        <v>0</v>
      </c>
      <c r="D246" s="87">
        <v>0</v>
      </c>
      <c r="E246" s="47">
        <f t="shared" si="17"/>
        <v>0</v>
      </c>
      <c r="F246" s="87">
        <v>0</v>
      </c>
      <c r="G246" s="47">
        <f t="shared" si="19"/>
        <v>0</v>
      </c>
      <c r="H246" s="88"/>
      <c r="I246" s="20"/>
      <c r="J246" s="82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1"/>
      <c r="C247" s="79">
        <f>+'21'!G247</f>
        <v>0</v>
      </c>
      <c r="D247" s="87">
        <v>0</v>
      </c>
      <c r="E247" s="47">
        <f t="shared" si="17"/>
        <v>0</v>
      </c>
      <c r="F247" s="87">
        <v>0</v>
      </c>
      <c r="G247" s="47">
        <f t="shared" si="19"/>
        <v>0</v>
      </c>
      <c r="H247" s="88"/>
      <c r="I247" s="20"/>
      <c r="J247" s="82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1"/>
      <c r="C248" s="79">
        <f>+'21'!G248</f>
        <v>0</v>
      </c>
      <c r="D248" s="87">
        <v>0</v>
      </c>
      <c r="E248" s="47">
        <f t="shared" si="17"/>
        <v>0</v>
      </c>
      <c r="F248" s="87">
        <v>0</v>
      </c>
      <c r="G248" s="47">
        <f t="shared" si="19"/>
        <v>0</v>
      </c>
      <c r="H248" s="88"/>
      <c r="I248" s="20"/>
      <c r="J248" s="82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1"/>
      <c r="C249" s="79">
        <f>+'21'!G249</f>
        <v>0</v>
      </c>
      <c r="D249" s="87">
        <v>0</v>
      </c>
      <c r="E249" s="47">
        <f t="shared" si="17"/>
        <v>0</v>
      </c>
      <c r="F249" s="87">
        <v>0</v>
      </c>
      <c r="G249" s="47">
        <f t="shared" si="19"/>
        <v>0</v>
      </c>
      <c r="H249" s="88"/>
      <c r="I249" s="20"/>
      <c r="J249" s="82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1"/>
      <c r="C250" s="79">
        <f>+'21'!G250</f>
        <v>0</v>
      </c>
      <c r="D250" s="87">
        <v>0</v>
      </c>
      <c r="E250" s="47">
        <f t="shared" si="17"/>
        <v>0</v>
      </c>
      <c r="F250" s="87">
        <v>0</v>
      </c>
      <c r="G250" s="47">
        <f t="shared" si="19"/>
        <v>0</v>
      </c>
      <c r="H250" s="88"/>
      <c r="I250" s="20"/>
      <c r="J250" s="82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1"/>
      <c r="C251" s="79">
        <f>+'21'!G251</f>
        <v>0</v>
      </c>
      <c r="D251" s="87">
        <v>0</v>
      </c>
      <c r="E251" s="47">
        <f t="shared" si="17"/>
        <v>0</v>
      </c>
      <c r="F251" s="87">
        <v>0</v>
      </c>
      <c r="G251" s="47">
        <f t="shared" si="19"/>
        <v>0</v>
      </c>
      <c r="H251" s="88"/>
      <c r="I251" s="20"/>
      <c r="J251" s="82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1"/>
      <c r="C252" s="79">
        <f>+'21'!G252</f>
        <v>0</v>
      </c>
      <c r="D252" s="87">
        <v>0</v>
      </c>
      <c r="E252" s="47">
        <f t="shared" si="17"/>
        <v>0</v>
      </c>
      <c r="F252" s="87">
        <v>0</v>
      </c>
      <c r="G252" s="47">
        <f t="shared" si="19"/>
        <v>0</v>
      </c>
      <c r="H252" s="88"/>
      <c r="I252" s="20"/>
      <c r="J252" s="82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1"/>
      <c r="C253" s="79">
        <f>+'21'!G253</f>
        <v>0</v>
      </c>
      <c r="D253" s="87">
        <v>0</v>
      </c>
      <c r="E253" s="47">
        <f t="shared" ref="E253:E254" si="21">C253+D253</f>
        <v>0</v>
      </c>
      <c r="F253" s="87">
        <v>0</v>
      </c>
      <c r="G253" s="47">
        <f t="shared" si="19"/>
        <v>0</v>
      </c>
      <c r="H253" s="88"/>
      <c r="I253" s="20"/>
      <c r="J253" s="82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1"/>
      <c r="C254" s="79">
        <f>+'21'!G254</f>
        <v>0</v>
      </c>
      <c r="D254" s="87">
        <v>0</v>
      </c>
      <c r="E254" s="47">
        <f t="shared" si="21"/>
        <v>0</v>
      </c>
      <c r="F254" s="87">
        <v>0</v>
      </c>
      <c r="G254" s="47">
        <f t="shared" si="19"/>
        <v>0</v>
      </c>
      <c r="H254" s="88"/>
      <c r="I254" s="20"/>
      <c r="J254" s="82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3110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3" t="s">
        <v>213</v>
      </c>
      <c r="N255" s="143"/>
    </row>
    <row r="256" spans="1:14" ht="25.5" customHeight="1" x14ac:dyDescent="0.5">
      <c r="A256" s="1"/>
      <c r="E256" s="24"/>
      <c r="F256" s="25"/>
      <c r="G256" s="24"/>
      <c r="H256" s="148" t="s">
        <v>212</v>
      </c>
      <c r="I256" s="149"/>
      <c r="J256" s="30">
        <f>+X138</f>
        <v>0</v>
      </c>
      <c r="K256" s="27"/>
      <c r="L256" s="29"/>
    </row>
    <row r="257" spans="1:23" ht="25.5" x14ac:dyDescent="0.55000000000000004">
      <c r="A257" s="1"/>
      <c r="E257" s="31"/>
      <c r="G257" s="31"/>
      <c r="H257" s="32"/>
      <c r="I257" s="150" t="s">
        <v>202</v>
      </c>
      <c r="J257" s="150"/>
      <c r="K257" s="33">
        <f>SUM(J5:J256)</f>
        <v>3110</v>
      </c>
    </row>
    <row r="258" spans="1:23" ht="25.5" x14ac:dyDescent="0.55000000000000004">
      <c r="A258" s="1"/>
      <c r="E258" s="31"/>
      <c r="G258" s="31"/>
      <c r="I258" s="140" t="s">
        <v>203</v>
      </c>
      <c r="J258" s="141"/>
      <c r="K258" s="36">
        <v>15</v>
      </c>
    </row>
    <row r="259" spans="1:23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1385</v>
      </c>
      <c r="L259" s="2">
        <v>100</v>
      </c>
      <c r="M259" s="2">
        <v>115</v>
      </c>
      <c r="N259" s="2">
        <v>150</v>
      </c>
      <c r="O259" s="2">
        <v>150</v>
      </c>
      <c r="P259" s="2">
        <v>135</v>
      </c>
      <c r="Q259" s="2">
        <v>50</v>
      </c>
      <c r="R259" s="2">
        <v>100</v>
      </c>
      <c r="S259" s="2">
        <v>200</v>
      </c>
      <c r="T259" s="2">
        <v>50</v>
      </c>
      <c r="U259" s="2">
        <v>185</v>
      </c>
      <c r="V259" s="2">
        <v>50</v>
      </c>
      <c r="W259" s="2">
        <v>100</v>
      </c>
    </row>
    <row r="260" spans="1:23" ht="25.5" x14ac:dyDescent="0.55000000000000004">
      <c r="A260" s="1"/>
      <c r="E260" s="31"/>
      <c r="G260" s="31"/>
      <c r="I260" s="140" t="s">
        <v>205</v>
      </c>
      <c r="J260" s="141"/>
      <c r="K260" s="36">
        <v>0</v>
      </c>
    </row>
    <row r="261" spans="1:23" ht="25.5" x14ac:dyDescent="0.55000000000000004">
      <c r="A261" s="1"/>
      <c r="E261" s="31"/>
      <c r="G261" s="31"/>
      <c r="I261" s="140" t="s">
        <v>206</v>
      </c>
      <c r="J261" s="141"/>
      <c r="K261" s="36">
        <v>0</v>
      </c>
    </row>
    <row r="262" spans="1:23" ht="25.5" x14ac:dyDescent="0.55000000000000004">
      <c r="A262" s="1"/>
      <c r="E262" s="31"/>
      <c r="G262" s="31"/>
      <c r="I262" s="140" t="s">
        <v>207</v>
      </c>
      <c r="J262" s="141"/>
      <c r="K262" s="37">
        <f>SUM(L5:L255)</f>
        <v>0</v>
      </c>
    </row>
    <row r="263" spans="1:23" ht="25.5" x14ac:dyDescent="0.55000000000000004">
      <c r="A263" s="1"/>
      <c r="E263" s="31"/>
      <c r="G263" s="31"/>
      <c r="I263" s="140" t="s">
        <v>208</v>
      </c>
      <c r="J263" s="141"/>
      <c r="K263" s="33">
        <f>K257-K258-K259-K261-K262</f>
        <v>1710</v>
      </c>
    </row>
    <row r="264" spans="1:23" ht="25.5" x14ac:dyDescent="0.55000000000000004">
      <c r="A264" s="1"/>
      <c r="E264" s="31"/>
      <c r="G264" s="31"/>
      <c r="I264" s="140" t="s">
        <v>209</v>
      </c>
      <c r="J264" s="141"/>
      <c r="K264" s="37">
        <v>1710</v>
      </c>
    </row>
    <row r="265" spans="1:23" ht="25.5" x14ac:dyDescent="0.55000000000000004">
      <c r="A265" s="1"/>
      <c r="E265" s="31"/>
      <c r="G265" s="31"/>
      <c r="I265" s="140" t="s">
        <v>210</v>
      </c>
      <c r="J265" s="141"/>
      <c r="K265" s="33">
        <f>+K264-K263</f>
        <v>0</v>
      </c>
    </row>
    <row r="266" spans="1:23" ht="25.5" x14ac:dyDescent="0.55000000000000004">
      <c r="G266" s="2"/>
      <c r="I266" s="140" t="s">
        <v>211</v>
      </c>
      <c r="J266" s="141"/>
      <c r="K266" s="33">
        <f>+K264-K263</f>
        <v>0</v>
      </c>
    </row>
    <row r="267" spans="1:23" x14ac:dyDescent="0.5">
      <c r="G267" s="2"/>
      <c r="I267" s="2"/>
    </row>
    <row r="268" spans="1:23" ht="25.5" x14ac:dyDescent="0.55000000000000004">
      <c r="G268" s="2"/>
      <c r="I268" s="105" t="s">
        <v>312</v>
      </c>
    </row>
    <row r="269" spans="1:23" x14ac:dyDescent="0.5">
      <c r="G269" s="2"/>
      <c r="I269" s="2"/>
    </row>
    <row r="270" spans="1:23" x14ac:dyDescent="0.5">
      <c r="G270" s="2"/>
      <c r="I270" s="2"/>
    </row>
    <row r="271" spans="1:23" x14ac:dyDescent="0.5">
      <c r="G271" s="2"/>
      <c r="I271" s="2"/>
    </row>
    <row r="272" spans="1:23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3974A-769A-40D4-B4A3-FDE3FD675685}">
  <sheetPr>
    <tabColor theme="7" tint="-0.249977111117893"/>
  </sheetPr>
  <dimension ref="A1:AB341"/>
  <sheetViews>
    <sheetView zoomScaleNormal="100" workbookViewId="0">
      <pane xSplit="7" ySplit="4" topLeftCell="H257" activePane="bottomRight" state="frozen"/>
      <selection activeCell="B20" sqref="B20"/>
      <selection pane="topRight" activeCell="B20" sqref="B20"/>
      <selection pane="bottomLeft" activeCell="B20" sqref="B20"/>
      <selection pane="bottomRight" activeCell="B20" sqref="B20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8" x14ac:dyDescent="0.5">
      <c r="A1" s="1"/>
      <c r="G1" s="2"/>
      <c r="I1" s="2"/>
    </row>
    <row r="2" spans="1:28" s="3" customFormat="1" ht="29.25" x14ac:dyDescent="0.6">
      <c r="A2" s="137" t="s">
        <v>247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8" s="5" customFormat="1" ht="26.25" x14ac:dyDescent="0.55000000000000004">
      <c r="A3" s="139" t="s">
        <v>1</v>
      </c>
      <c r="B3" s="151" t="s">
        <v>2</v>
      </c>
      <c r="C3" s="139" t="s">
        <v>3</v>
      </c>
      <c r="D3" s="139" t="s">
        <v>4</v>
      </c>
      <c r="E3" s="139" t="s">
        <v>5</v>
      </c>
      <c r="F3" s="85" t="s">
        <v>6</v>
      </c>
      <c r="G3" s="139" t="s">
        <v>7</v>
      </c>
      <c r="H3" s="142" t="s">
        <v>8</v>
      </c>
      <c r="I3" s="142"/>
      <c r="J3" s="142"/>
      <c r="K3" s="139" t="s">
        <v>9</v>
      </c>
      <c r="L3" s="144" t="s">
        <v>10</v>
      </c>
      <c r="O3" s="139" t="s">
        <v>1</v>
      </c>
      <c r="P3" s="139" t="s">
        <v>2</v>
      </c>
      <c r="Q3" s="139" t="s">
        <v>3</v>
      </c>
      <c r="R3" s="139" t="s">
        <v>4</v>
      </c>
      <c r="S3" s="139" t="s">
        <v>5</v>
      </c>
      <c r="T3" s="85" t="s">
        <v>6</v>
      </c>
      <c r="U3" s="139" t="s">
        <v>7</v>
      </c>
      <c r="V3" s="142" t="s">
        <v>8</v>
      </c>
      <c r="W3" s="142"/>
      <c r="X3" s="142"/>
      <c r="Y3" s="139" t="s">
        <v>9</v>
      </c>
      <c r="Z3" s="144" t="s">
        <v>10</v>
      </c>
    </row>
    <row r="4" spans="1:28" s="5" customFormat="1" ht="26.25" x14ac:dyDescent="0.55000000000000004">
      <c r="A4" s="139"/>
      <c r="B4" s="151"/>
      <c r="C4" s="139"/>
      <c r="D4" s="139"/>
      <c r="E4" s="139"/>
      <c r="F4" s="85" t="s">
        <v>11</v>
      </c>
      <c r="G4" s="139"/>
      <c r="H4" s="85" t="s">
        <v>12</v>
      </c>
      <c r="I4" s="86" t="s">
        <v>13</v>
      </c>
      <c r="J4" s="85" t="s">
        <v>14</v>
      </c>
      <c r="K4" s="139"/>
      <c r="L4" s="144"/>
      <c r="O4" s="139"/>
      <c r="P4" s="139"/>
      <c r="Q4" s="139"/>
      <c r="R4" s="139"/>
      <c r="S4" s="139"/>
      <c r="T4" s="85" t="s">
        <v>11</v>
      </c>
      <c r="U4" s="139"/>
      <c r="V4" s="85" t="s">
        <v>12</v>
      </c>
      <c r="W4" s="86" t="s">
        <v>13</v>
      </c>
      <c r="X4" s="85" t="s">
        <v>14</v>
      </c>
      <c r="Y4" s="139"/>
      <c r="Z4" s="144"/>
      <c r="AB4" s="5" t="s">
        <v>2</v>
      </c>
    </row>
    <row r="5" spans="1:28" ht="25.5" x14ac:dyDescent="0.55000000000000004">
      <c r="A5" s="10">
        <v>1</v>
      </c>
      <c r="B5" s="19" t="s">
        <v>15</v>
      </c>
      <c r="C5" s="79">
        <f>+'22'!G5</f>
        <v>18</v>
      </c>
      <c r="D5" s="87">
        <v>0</v>
      </c>
      <c r="E5" s="47">
        <f t="shared" ref="E5:E125" si="0">C5+D5</f>
        <v>18</v>
      </c>
      <c r="F5" s="87">
        <v>0</v>
      </c>
      <c r="G5" s="47">
        <f>+E5-F5-H5</f>
        <v>18</v>
      </c>
      <c r="H5" s="88"/>
      <c r="I5" s="20">
        <v>50</v>
      </c>
      <c r="J5" s="8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7">
        <v>0</v>
      </c>
      <c r="S5" s="47">
        <f t="shared" ref="S5:S14" si="1">Q5+R5</f>
        <v>0</v>
      </c>
      <c r="T5" s="87">
        <v>0</v>
      </c>
      <c r="U5" s="47">
        <f t="shared" ref="U5:U14" si="2">S5-T5-V5</f>
        <v>0</v>
      </c>
      <c r="V5" s="88">
        <v>0</v>
      </c>
      <c r="W5" s="22"/>
      <c r="X5" s="44">
        <f t="shared" ref="X5:X14" si="3">V5*W5</f>
        <v>0</v>
      </c>
      <c r="Y5" s="17" t="s">
        <v>16</v>
      </c>
      <c r="Z5" s="18">
        <v>0</v>
      </c>
      <c r="AB5" s="2" t="s">
        <v>317</v>
      </c>
    </row>
    <row r="6" spans="1:28" ht="25.5" x14ac:dyDescent="0.55000000000000004">
      <c r="A6" s="10">
        <v>2</v>
      </c>
      <c r="B6" s="19" t="s">
        <v>17</v>
      </c>
      <c r="C6" s="79">
        <f>+'22'!G6</f>
        <v>18</v>
      </c>
      <c r="D6" s="87">
        <v>0</v>
      </c>
      <c r="E6" s="47">
        <f t="shared" si="0"/>
        <v>18</v>
      </c>
      <c r="F6" s="87">
        <v>0</v>
      </c>
      <c r="G6" s="47">
        <f t="shared" ref="G6:G100" si="4">+E6-F6-H6</f>
        <v>18</v>
      </c>
      <c r="H6" s="88"/>
      <c r="I6" s="20">
        <v>100</v>
      </c>
      <c r="J6" s="82">
        <f t="shared" ref="J6:J100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v>0</v>
      </c>
      <c r="R6" s="87">
        <v>0</v>
      </c>
      <c r="S6" s="47">
        <f t="shared" si="1"/>
        <v>0</v>
      </c>
      <c r="T6" s="87">
        <v>0</v>
      </c>
      <c r="U6" s="47">
        <f t="shared" si="2"/>
        <v>0</v>
      </c>
      <c r="V6" s="88">
        <v>0</v>
      </c>
      <c r="W6" s="22"/>
      <c r="X6" s="44">
        <f t="shared" si="3"/>
        <v>0</v>
      </c>
      <c r="Y6" s="17" t="s">
        <v>16</v>
      </c>
      <c r="Z6" s="18">
        <v>0</v>
      </c>
      <c r="AB6" s="2" t="s">
        <v>318</v>
      </c>
    </row>
    <row r="7" spans="1:28" ht="25.5" x14ac:dyDescent="0.55000000000000004">
      <c r="A7" s="10">
        <v>3</v>
      </c>
      <c r="B7" s="19" t="s">
        <v>18</v>
      </c>
      <c r="C7" s="79">
        <f>+'22'!G7</f>
        <v>0</v>
      </c>
      <c r="D7" s="87">
        <v>0</v>
      </c>
      <c r="E7" s="47">
        <f>C7+D7</f>
        <v>0</v>
      </c>
      <c r="F7" s="87">
        <v>0</v>
      </c>
      <c r="G7" s="47">
        <f t="shared" si="4"/>
        <v>0</v>
      </c>
      <c r="H7" s="88"/>
      <c r="I7" s="15">
        <v>50</v>
      </c>
      <c r="J7" s="8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7">
        <v>0</v>
      </c>
      <c r="S7" s="47">
        <f t="shared" si="1"/>
        <v>0</v>
      </c>
      <c r="T7" s="87">
        <v>0</v>
      </c>
      <c r="U7" s="47">
        <f t="shared" si="2"/>
        <v>0</v>
      </c>
      <c r="V7" s="88">
        <v>0</v>
      </c>
      <c r="W7" s="22"/>
      <c r="X7" s="44">
        <f t="shared" si="3"/>
        <v>0</v>
      </c>
      <c r="Y7" s="17" t="s">
        <v>16</v>
      </c>
      <c r="Z7" s="18">
        <v>0</v>
      </c>
      <c r="AB7" s="2" t="s">
        <v>319</v>
      </c>
    </row>
    <row r="8" spans="1:28" ht="25.5" x14ac:dyDescent="0.55000000000000004">
      <c r="A8" s="10">
        <v>4</v>
      </c>
      <c r="B8" s="19" t="s">
        <v>19</v>
      </c>
      <c r="C8" s="79">
        <f>+'22'!G8</f>
        <v>0</v>
      </c>
      <c r="D8" s="87">
        <v>0</v>
      </c>
      <c r="E8" s="47">
        <f>C8+D8</f>
        <v>0</v>
      </c>
      <c r="F8" s="87">
        <v>0</v>
      </c>
      <c r="G8" s="47">
        <f t="shared" si="4"/>
        <v>0</v>
      </c>
      <c r="H8" s="88"/>
      <c r="I8" s="15">
        <v>100</v>
      </c>
      <c r="J8" s="8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7">
        <v>0</v>
      </c>
      <c r="S8" s="47">
        <f t="shared" si="1"/>
        <v>0</v>
      </c>
      <c r="T8" s="87">
        <v>0</v>
      </c>
      <c r="U8" s="47">
        <f t="shared" si="2"/>
        <v>0</v>
      </c>
      <c r="V8" s="88">
        <v>0</v>
      </c>
      <c r="W8" s="22"/>
      <c r="X8" s="44">
        <f t="shared" si="3"/>
        <v>0</v>
      </c>
      <c r="Y8" s="17" t="s">
        <v>16</v>
      </c>
      <c r="Z8" s="18">
        <v>0</v>
      </c>
      <c r="AB8" s="2" t="s">
        <v>320</v>
      </c>
    </row>
    <row r="9" spans="1:28" ht="25.5" x14ac:dyDescent="0.55000000000000004">
      <c r="A9" s="10">
        <v>5</v>
      </c>
      <c r="B9" s="19" t="s">
        <v>20</v>
      </c>
      <c r="C9" s="79">
        <f>+'22'!G9</f>
        <v>0</v>
      </c>
      <c r="D9" s="87">
        <v>0</v>
      </c>
      <c r="E9" s="47">
        <f>C9+D9</f>
        <v>0</v>
      </c>
      <c r="F9" s="87">
        <v>0</v>
      </c>
      <c r="G9" s="47">
        <f t="shared" si="4"/>
        <v>0</v>
      </c>
      <c r="H9" s="88"/>
      <c r="I9" s="15">
        <v>12</v>
      </c>
      <c r="J9" s="8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7">
        <v>0</v>
      </c>
      <c r="S9" s="47">
        <f t="shared" si="1"/>
        <v>0</v>
      </c>
      <c r="T9" s="87">
        <v>0</v>
      </c>
      <c r="U9" s="47">
        <f t="shared" si="2"/>
        <v>0</v>
      </c>
      <c r="V9" s="88">
        <v>0</v>
      </c>
      <c r="W9" s="22"/>
      <c r="X9" s="44">
        <f t="shared" si="3"/>
        <v>0</v>
      </c>
      <c r="Y9" s="17" t="s">
        <v>16</v>
      </c>
      <c r="Z9" s="18">
        <v>0</v>
      </c>
      <c r="AB9" s="2" t="s">
        <v>307</v>
      </c>
    </row>
    <row r="10" spans="1:28" ht="25.5" x14ac:dyDescent="0.55000000000000004">
      <c r="A10" s="10">
        <v>6</v>
      </c>
      <c r="B10" s="19" t="s">
        <v>21</v>
      </c>
      <c r="C10" s="79">
        <f>+'22'!G10</f>
        <v>0</v>
      </c>
      <c r="D10" s="87">
        <v>0</v>
      </c>
      <c r="E10" s="47">
        <f>C10+D10</f>
        <v>0</v>
      </c>
      <c r="F10" s="87">
        <v>0</v>
      </c>
      <c r="G10" s="47">
        <f t="shared" si="4"/>
        <v>0</v>
      </c>
      <c r="H10" s="88"/>
      <c r="I10" s="15">
        <v>15</v>
      </c>
      <c r="J10" s="8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7">
        <v>0</v>
      </c>
      <c r="S10" s="47">
        <f t="shared" si="1"/>
        <v>0</v>
      </c>
      <c r="T10" s="87">
        <v>0</v>
      </c>
      <c r="U10" s="47">
        <f t="shared" si="2"/>
        <v>0</v>
      </c>
      <c r="V10" s="88">
        <v>0</v>
      </c>
      <c r="W10" s="22"/>
      <c r="X10" s="44">
        <f t="shared" si="3"/>
        <v>0</v>
      </c>
      <c r="Y10" s="17" t="s">
        <v>16</v>
      </c>
      <c r="Z10" s="18">
        <v>0</v>
      </c>
      <c r="AB10" s="2" t="s">
        <v>311</v>
      </c>
    </row>
    <row r="11" spans="1:28" ht="25.5" x14ac:dyDescent="0.55000000000000004">
      <c r="A11" s="10">
        <v>7</v>
      </c>
      <c r="B11" s="19" t="s">
        <v>22</v>
      </c>
      <c r="C11" s="79">
        <f>+'22'!G11</f>
        <v>0</v>
      </c>
      <c r="D11" s="87">
        <v>0</v>
      </c>
      <c r="E11" s="47">
        <f t="shared" si="0"/>
        <v>0</v>
      </c>
      <c r="F11" s="87">
        <v>0</v>
      </c>
      <c r="G11" s="47">
        <f t="shared" si="4"/>
        <v>0</v>
      </c>
      <c r="H11" s="88"/>
      <c r="I11" s="15">
        <v>40</v>
      </c>
      <c r="J11" s="8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7">
        <v>0</v>
      </c>
      <c r="S11" s="47">
        <f t="shared" si="1"/>
        <v>0</v>
      </c>
      <c r="T11" s="87">
        <v>0</v>
      </c>
      <c r="U11" s="47">
        <f t="shared" si="2"/>
        <v>0</v>
      </c>
      <c r="V11" s="88">
        <v>0</v>
      </c>
      <c r="W11" s="22"/>
      <c r="X11" s="44">
        <f t="shared" si="3"/>
        <v>0</v>
      </c>
      <c r="Y11" s="17" t="s">
        <v>16</v>
      </c>
      <c r="Z11" s="18">
        <v>0</v>
      </c>
      <c r="AB11" s="2" t="s">
        <v>321</v>
      </c>
    </row>
    <row r="12" spans="1:28" ht="25.5" x14ac:dyDescent="0.55000000000000004">
      <c r="A12" s="10">
        <v>8</v>
      </c>
      <c r="B12" s="19" t="s">
        <v>23</v>
      </c>
      <c r="C12" s="79">
        <f>+'22'!G12</f>
        <v>7</v>
      </c>
      <c r="D12" s="87">
        <v>0</v>
      </c>
      <c r="E12" s="47">
        <f t="shared" si="0"/>
        <v>7</v>
      </c>
      <c r="F12" s="87">
        <v>0</v>
      </c>
      <c r="G12" s="47">
        <f t="shared" si="4"/>
        <v>7</v>
      </c>
      <c r="H12" s="88"/>
      <c r="I12" s="15">
        <v>50</v>
      </c>
      <c r="J12" s="8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7">
        <v>0</v>
      </c>
      <c r="S12" s="47">
        <f t="shared" si="1"/>
        <v>0</v>
      </c>
      <c r="T12" s="87">
        <v>0</v>
      </c>
      <c r="U12" s="47">
        <f t="shared" si="2"/>
        <v>0</v>
      </c>
      <c r="V12" s="88">
        <v>0</v>
      </c>
      <c r="W12" s="22"/>
      <c r="X12" s="44">
        <f t="shared" si="3"/>
        <v>0</v>
      </c>
      <c r="Y12" s="17" t="s">
        <v>16</v>
      </c>
      <c r="Z12" s="18">
        <v>0</v>
      </c>
      <c r="AB12" s="2" t="s">
        <v>289</v>
      </c>
    </row>
    <row r="13" spans="1:28" ht="25.5" x14ac:dyDescent="0.55000000000000004">
      <c r="A13" s="10">
        <v>9</v>
      </c>
      <c r="B13" s="19" t="s">
        <v>24</v>
      </c>
      <c r="C13" s="79">
        <f>+'22'!G13</f>
        <v>0</v>
      </c>
      <c r="D13" s="87">
        <v>0</v>
      </c>
      <c r="E13" s="47">
        <f>C13+D13</f>
        <v>0</v>
      </c>
      <c r="F13" s="87">
        <v>0</v>
      </c>
      <c r="G13" s="47">
        <f t="shared" si="4"/>
        <v>0</v>
      </c>
      <c r="H13" s="88"/>
      <c r="I13" s="15">
        <v>55</v>
      </c>
      <c r="J13" s="8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7">
        <v>0</v>
      </c>
      <c r="S13" s="47">
        <f t="shared" si="1"/>
        <v>0</v>
      </c>
      <c r="T13" s="87">
        <v>0</v>
      </c>
      <c r="U13" s="47">
        <f t="shared" si="2"/>
        <v>0</v>
      </c>
      <c r="V13" s="88">
        <v>0</v>
      </c>
      <c r="W13" s="22"/>
      <c r="X13" s="44">
        <f t="shared" si="3"/>
        <v>0</v>
      </c>
      <c r="Y13" s="17" t="s">
        <v>16</v>
      </c>
      <c r="Z13" s="18">
        <v>0</v>
      </c>
      <c r="AB13" s="2" t="s">
        <v>322</v>
      </c>
    </row>
    <row r="14" spans="1:28" ht="25.5" x14ac:dyDescent="0.55000000000000004">
      <c r="A14" s="10">
        <v>10</v>
      </c>
      <c r="B14" s="19" t="s">
        <v>25</v>
      </c>
      <c r="C14" s="79">
        <f>+'22'!G14</f>
        <v>4</v>
      </c>
      <c r="D14" s="87">
        <v>0</v>
      </c>
      <c r="E14" s="47">
        <f t="shared" si="0"/>
        <v>4</v>
      </c>
      <c r="F14" s="87">
        <v>0</v>
      </c>
      <c r="G14" s="47">
        <f t="shared" si="4"/>
        <v>4</v>
      </c>
      <c r="H14" s="88"/>
      <c r="I14" s="15">
        <v>65</v>
      </c>
      <c r="J14" s="8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7">
        <v>0</v>
      </c>
      <c r="S14" s="47">
        <f t="shared" si="1"/>
        <v>0</v>
      </c>
      <c r="T14" s="87">
        <v>0</v>
      </c>
      <c r="U14" s="47">
        <f t="shared" si="2"/>
        <v>0</v>
      </c>
      <c r="V14" s="88">
        <v>0</v>
      </c>
      <c r="W14" s="22"/>
      <c r="X14" s="44">
        <f t="shared" si="3"/>
        <v>0</v>
      </c>
      <c r="Y14" s="17" t="s">
        <v>16</v>
      </c>
      <c r="Z14" s="18">
        <v>0</v>
      </c>
      <c r="AB14" s="2" t="s">
        <v>306</v>
      </c>
    </row>
    <row r="15" spans="1:28" ht="25.5" x14ac:dyDescent="0.55000000000000004">
      <c r="A15" s="10">
        <v>11</v>
      </c>
      <c r="B15" s="19" t="s">
        <v>26</v>
      </c>
      <c r="C15" s="79">
        <f>+'22'!G15</f>
        <v>0</v>
      </c>
      <c r="D15" s="87">
        <v>0</v>
      </c>
      <c r="E15" s="47">
        <f t="shared" si="0"/>
        <v>0</v>
      </c>
      <c r="F15" s="87">
        <v>0</v>
      </c>
      <c r="G15" s="47">
        <f t="shared" si="4"/>
        <v>0</v>
      </c>
      <c r="H15" s="88"/>
      <c r="I15" s="15">
        <v>50</v>
      </c>
      <c r="J15" s="8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7">
        <v>0</v>
      </c>
      <c r="S15" s="47">
        <f t="shared" ref="S15:S29" si="7">Q15+R15</f>
        <v>0</v>
      </c>
      <c r="T15" s="87">
        <v>0</v>
      </c>
      <c r="U15" s="47">
        <f t="shared" ref="U15:U29" si="8">S15-T15-V15</f>
        <v>0</v>
      </c>
      <c r="V15" s="88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8" ht="25.5" x14ac:dyDescent="0.55000000000000004">
      <c r="A16" s="10">
        <v>12</v>
      </c>
      <c r="B16" s="19" t="s">
        <v>27</v>
      </c>
      <c r="C16" s="79">
        <f>+'22'!G16</f>
        <v>0</v>
      </c>
      <c r="D16" s="87">
        <v>0</v>
      </c>
      <c r="E16" s="47">
        <f t="shared" si="0"/>
        <v>0</v>
      </c>
      <c r="F16" s="87">
        <v>0</v>
      </c>
      <c r="G16" s="47">
        <f t="shared" si="4"/>
        <v>0</v>
      </c>
      <c r="H16" s="88"/>
      <c r="I16" s="15">
        <v>50</v>
      </c>
      <c r="J16" s="8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7">
        <v>0</v>
      </c>
      <c r="S16" s="47">
        <f t="shared" si="7"/>
        <v>0</v>
      </c>
      <c r="T16" s="87">
        <v>0</v>
      </c>
      <c r="U16" s="47">
        <f t="shared" si="8"/>
        <v>0</v>
      </c>
      <c r="V16" s="88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+'22'!G17</f>
        <v>4</v>
      </c>
      <c r="D17" s="87">
        <v>0</v>
      </c>
      <c r="E17" s="47">
        <f t="shared" si="0"/>
        <v>4</v>
      </c>
      <c r="F17" s="87">
        <v>0</v>
      </c>
      <c r="G17" s="47">
        <f t="shared" si="4"/>
        <v>4</v>
      </c>
      <c r="H17" s="88"/>
      <c r="I17" s="15">
        <v>50</v>
      </c>
      <c r="J17" s="8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7">
        <v>0</v>
      </c>
      <c r="S17" s="47">
        <f t="shared" si="7"/>
        <v>0</v>
      </c>
      <c r="T17" s="87">
        <v>0</v>
      </c>
      <c r="U17" s="47">
        <f t="shared" si="8"/>
        <v>0</v>
      </c>
      <c r="V17" s="88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+'22'!G18</f>
        <v>0</v>
      </c>
      <c r="D18" s="87">
        <v>0</v>
      </c>
      <c r="E18" s="47">
        <f t="shared" si="0"/>
        <v>0</v>
      </c>
      <c r="F18" s="87">
        <v>0</v>
      </c>
      <c r="G18" s="47">
        <f t="shared" si="4"/>
        <v>0</v>
      </c>
      <c r="H18" s="88"/>
      <c r="I18" s="15">
        <v>50</v>
      </c>
      <c r="J18" s="8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7">
        <v>0</v>
      </c>
      <c r="S18" s="47">
        <f t="shared" si="7"/>
        <v>0</v>
      </c>
      <c r="T18" s="87">
        <v>0</v>
      </c>
      <c r="U18" s="47">
        <f t="shared" si="8"/>
        <v>0</v>
      </c>
      <c r="V18" s="88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329</v>
      </c>
      <c r="C19" s="79">
        <f>+'22'!G19</f>
        <v>3</v>
      </c>
      <c r="D19" s="87">
        <v>0</v>
      </c>
      <c r="E19" s="47">
        <f t="shared" si="0"/>
        <v>3</v>
      </c>
      <c r="F19" s="87">
        <v>0</v>
      </c>
      <c r="G19" s="47">
        <f t="shared" si="4"/>
        <v>3</v>
      </c>
      <c r="H19" s="88"/>
      <c r="I19" s="15">
        <v>50</v>
      </c>
      <c r="J19" s="8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7">
        <v>0</v>
      </c>
      <c r="S19" s="47">
        <f t="shared" si="7"/>
        <v>0</v>
      </c>
      <c r="T19" s="87">
        <v>0</v>
      </c>
      <c r="U19" s="47">
        <f t="shared" si="8"/>
        <v>0</v>
      </c>
      <c r="V19" s="88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+'22'!G20</f>
        <v>0</v>
      </c>
      <c r="D20" s="87">
        <v>0</v>
      </c>
      <c r="E20" s="47">
        <f t="shared" si="0"/>
        <v>0</v>
      </c>
      <c r="F20" s="87">
        <v>0</v>
      </c>
      <c r="G20" s="47">
        <f t="shared" si="4"/>
        <v>0</v>
      </c>
      <c r="H20" s="88"/>
      <c r="I20" s="15">
        <v>50</v>
      </c>
      <c r="J20" s="8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7">
        <v>0</v>
      </c>
      <c r="S20" s="47">
        <f t="shared" si="7"/>
        <v>0</v>
      </c>
      <c r="T20" s="87">
        <v>0</v>
      </c>
      <c r="U20" s="47">
        <f t="shared" si="8"/>
        <v>0</v>
      </c>
      <c r="V20" s="88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+'22'!G21</f>
        <v>0</v>
      </c>
      <c r="D21" s="87">
        <v>0</v>
      </c>
      <c r="E21" s="47">
        <f t="shared" si="0"/>
        <v>0</v>
      </c>
      <c r="F21" s="87">
        <v>0</v>
      </c>
      <c r="G21" s="47">
        <f t="shared" si="4"/>
        <v>0</v>
      </c>
      <c r="H21" s="88"/>
      <c r="I21" s="15">
        <v>50</v>
      </c>
      <c r="J21" s="8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7">
        <v>0</v>
      </c>
      <c r="S21" s="47">
        <f t="shared" si="7"/>
        <v>0</v>
      </c>
      <c r="T21" s="87">
        <v>0</v>
      </c>
      <c r="U21" s="47">
        <f t="shared" si="8"/>
        <v>0</v>
      </c>
      <c r="V21" s="88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+'22'!G22</f>
        <v>5</v>
      </c>
      <c r="D22" s="87">
        <v>0</v>
      </c>
      <c r="E22" s="47">
        <f t="shared" si="0"/>
        <v>5</v>
      </c>
      <c r="F22" s="87">
        <v>0</v>
      </c>
      <c r="G22" s="47">
        <f t="shared" si="4"/>
        <v>2</v>
      </c>
      <c r="H22" s="88">
        <v>3</v>
      </c>
      <c r="I22" s="15">
        <v>85</v>
      </c>
      <c r="J22" s="82">
        <f t="shared" si="5"/>
        <v>255</v>
      </c>
      <c r="K22" s="17" t="s">
        <v>16</v>
      </c>
      <c r="L22" s="18">
        <v>0</v>
      </c>
      <c r="M22" s="23">
        <f t="shared" si="6"/>
        <v>255</v>
      </c>
      <c r="O22" s="10">
        <v>18</v>
      </c>
      <c r="P22" s="19"/>
      <c r="Q22" s="47">
        <v>0</v>
      </c>
      <c r="R22" s="87">
        <v>0</v>
      </c>
      <c r="S22" s="47">
        <f t="shared" si="7"/>
        <v>0</v>
      </c>
      <c r="T22" s="87">
        <v>0</v>
      </c>
      <c r="U22" s="47">
        <f t="shared" si="8"/>
        <v>0</v>
      </c>
      <c r="V22" s="88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+'22'!G23</f>
        <v>7</v>
      </c>
      <c r="D23" s="87">
        <v>0</v>
      </c>
      <c r="E23" s="47">
        <f t="shared" si="0"/>
        <v>7</v>
      </c>
      <c r="F23" s="87">
        <v>0</v>
      </c>
      <c r="G23" s="47">
        <f t="shared" si="4"/>
        <v>7</v>
      </c>
      <c r="H23" s="88"/>
      <c r="I23" s="15">
        <v>100</v>
      </c>
      <c r="J23" s="8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v>0</v>
      </c>
      <c r="R23" s="87">
        <v>0</v>
      </c>
      <c r="S23" s="47">
        <f t="shared" si="7"/>
        <v>0</v>
      </c>
      <c r="T23" s="87">
        <v>0</v>
      </c>
      <c r="U23" s="47">
        <f t="shared" si="8"/>
        <v>0</v>
      </c>
      <c r="V23" s="88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+'22'!G24</f>
        <v>5</v>
      </c>
      <c r="D24" s="87">
        <v>0</v>
      </c>
      <c r="E24" s="47">
        <f t="shared" si="0"/>
        <v>5</v>
      </c>
      <c r="F24" s="87">
        <v>0</v>
      </c>
      <c r="G24" s="47">
        <f t="shared" si="4"/>
        <v>5</v>
      </c>
      <c r="H24" s="88"/>
      <c r="I24" s="21">
        <v>100</v>
      </c>
      <c r="J24" s="8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7">
        <v>0</v>
      </c>
      <c r="S24" s="47">
        <f t="shared" si="7"/>
        <v>0</v>
      </c>
      <c r="T24" s="87">
        <v>0</v>
      </c>
      <c r="U24" s="47">
        <f t="shared" si="8"/>
        <v>0</v>
      </c>
      <c r="V24" s="88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+'22'!G25</f>
        <v>5</v>
      </c>
      <c r="D25" s="87">
        <v>0</v>
      </c>
      <c r="E25" s="47">
        <f t="shared" si="0"/>
        <v>5</v>
      </c>
      <c r="F25" s="87">
        <v>0</v>
      </c>
      <c r="G25" s="47">
        <f t="shared" si="4"/>
        <v>2</v>
      </c>
      <c r="H25" s="88">
        <v>3</v>
      </c>
      <c r="I25" s="21">
        <v>100</v>
      </c>
      <c r="J25" s="82">
        <f t="shared" si="5"/>
        <v>300</v>
      </c>
      <c r="K25" s="17" t="s">
        <v>16</v>
      </c>
      <c r="L25" s="18">
        <v>0</v>
      </c>
      <c r="M25" s="23">
        <f t="shared" si="6"/>
        <v>300</v>
      </c>
      <c r="O25" s="10">
        <v>21</v>
      </c>
      <c r="P25" s="19"/>
      <c r="Q25" s="47">
        <v>0</v>
      </c>
      <c r="R25" s="87">
        <v>0</v>
      </c>
      <c r="S25" s="47">
        <f t="shared" si="7"/>
        <v>0</v>
      </c>
      <c r="T25" s="87">
        <v>0</v>
      </c>
      <c r="U25" s="47">
        <f t="shared" si="8"/>
        <v>0</v>
      </c>
      <c r="V25" s="88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+'22'!G26</f>
        <v>2</v>
      </c>
      <c r="D26" s="87">
        <v>0</v>
      </c>
      <c r="E26" s="47">
        <f t="shared" si="0"/>
        <v>2</v>
      </c>
      <c r="F26" s="87">
        <v>0</v>
      </c>
      <c r="G26" s="47">
        <f t="shared" si="4"/>
        <v>2</v>
      </c>
      <c r="H26" s="88"/>
      <c r="I26" s="21">
        <v>100</v>
      </c>
      <c r="J26" s="8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7">
        <v>0</v>
      </c>
      <c r="S26" s="47">
        <f t="shared" si="7"/>
        <v>0</v>
      </c>
      <c r="T26" s="87">
        <v>0</v>
      </c>
      <c r="U26" s="47">
        <f t="shared" si="8"/>
        <v>0</v>
      </c>
      <c r="V26" s="88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+'22'!G27</f>
        <v>0</v>
      </c>
      <c r="D27" s="87">
        <v>0</v>
      </c>
      <c r="E27" s="47">
        <f t="shared" si="0"/>
        <v>0</v>
      </c>
      <c r="F27" s="87">
        <v>0</v>
      </c>
      <c r="G27" s="47">
        <f t="shared" si="4"/>
        <v>0</v>
      </c>
      <c r="H27" s="88"/>
      <c r="I27" s="20">
        <v>100</v>
      </c>
      <c r="J27" s="8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7">
        <v>0</v>
      </c>
      <c r="S27" s="47">
        <f t="shared" si="7"/>
        <v>0</v>
      </c>
      <c r="T27" s="87">
        <v>0</v>
      </c>
      <c r="U27" s="47">
        <f t="shared" si="8"/>
        <v>0</v>
      </c>
      <c r="V27" s="88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+'22'!G28</f>
        <v>0</v>
      </c>
      <c r="D28" s="87">
        <v>0</v>
      </c>
      <c r="E28" s="47">
        <f t="shared" si="0"/>
        <v>0</v>
      </c>
      <c r="F28" s="87">
        <v>0</v>
      </c>
      <c r="G28" s="47">
        <f t="shared" si="4"/>
        <v>0</v>
      </c>
      <c r="H28" s="88"/>
      <c r="I28" s="20">
        <v>100</v>
      </c>
      <c r="J28" s="8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7">
        <v>0</v>
      </c>
      <c r="S28" s="47">
        <f t="shared" si="7"/>
        <v>0</v>
      </c>
      <c r="T28" s="87">
        <v>0</v>
      </c>
      <c r="U28" s="47">
        <f t="shared" si="8"/>
        <v>0</v>
      </c>
      <c r="V28" s="88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+'22'!G29</f>
        <v>6</v>
      </c>
      <c r="D29" s="87">
        <v>0</v>
      </c>
      <c r="E29" s="47">
        <f t="shared" si="0"/>
        <v>6</v>
      </c>
      <c r="F29" s="87">
        <v>0</v>
      </c>
      <c r="G29" s="47">
        <f t="shared" si="4"/>
        <v>6</v>
      </c>
      <c r="H29" s="88"/>
      <c r="I29" s="15">
        <v>100</v>
      </c>
      <c r="J29" s="8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7">
        <v>0</v>
      </c>
      <c r="S29" s="47">
        <f t="shared" si="7"/>
        <v>0</v>
      </c>
      <c r="T29" s="87">
        <v>0</v>
      </c>
      <c r="U29" s="47">
        <f t="shared" si="8"/>
        <v>0</v>
      </c>
      <c r="V29" s="88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+'22'!G30</f>
        <v>0</v>
      </c>
      <c r="D30" s="87">
        <v>0</v>
      </c>
      <c r="E30" s="47">
        <f t="shared" si="0"/>
        <v>0</v>
      </c>
      <c r="F30" s="87">
        <v>0</v>
      </c>
      <c r="G30" s="47">
        <f t="shared" si="4"/>
        <v>0</v>
      </c>
      <c r="H30" s="88"/>
      <c r="I30" s="15">
        <v>100</v>
      </c>
      <c r="J30" s="8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+'22'!G31</f>
        <v>2</v>
      </c>
      <c r="D31" s="87">
        <v>0</v>
      </c>
      <c r="E31" s="47">
        <f t="shared" si="0"/>
        <v>2</v>
      </c>
      <c r="F31" s="87">
        <v>0</v>
      </c>
      <c r="G31" s="47">
        <f t="shared" si="4"/>
        <v>2</v>
      </c>
      <c r="H31" s="88"/>
      <c r="I31" s="15">
        <v>100</v>
      </c>
      <c r="J31" s="82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+'22'!G32</f>
        <v>0</v>
      </c>
      <c r="D32" s="87">
        <v>0</v>
      </c>
      <c r="E32" s="47">
        <f t="shared" si="0"/>
        <v>0</v>
      </c>
      <c r="F32" s="87">
        <v>0</v>
      </c>
      <c r="G32" s="47">
        <f t="shared" si="4"/>
        <v>0</v>
      </c>
      <c r="H32" s="88"/>
      <c r="I32" s="15">
        <v>130</v>
      </c>
      <c r="J32" s="82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5" t="s">
        <v>119</v>
      </c>
      <c r="Q32" s="146"/>
      <c r="R32" s="146"/>
      <c r="S32" s="146"/>
      <c r="T32" s="146"/>
      <c r="U32" s="146"/>
      <c r="V32" s="146"/>
      <c r="W32" s="147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+'22'!G33</f>
        <v>4</v>
      </c>
      <c r="D33" s="87">
        <v>0</v>
      </c>
      <c r="E33" s="47">
        <f t="shared" si="0"/>
        <v>4</v>
      </c>
      <c r="F33" s="87">
        <v>0</v>
      </c>
      <c r="G33" s="47">
        <f t="shared" si="4"/>
        <v>3</v>
      </c>
      <c r="H33" s="88">
        <v>1</v>
      </c>
      <c r="I33" s="15">
        <v>130</v>
      </c>
      <c r="J33" s="82">
        <f t="shared" si="5"/>
        <v>130</v>
      </c>
      <c r="K33" s="17" t="s">
        <v>16</v>
      </c>
      <c r="L33" s="18">
        <v>0</v>
      </c>
      <c r="M33" s="23">
        <f t="shared" si="6"/>
        <v>130</v>
      </c>
    </row>
    <row r="34" spans="1:13" ht="25.5" x14ac:dyDescent="0.55000000000000004">
      <c r="A34" s="10">
        <v>30</v>
      </c>
      <c r="B34" s="19" t="s">
        <v>45</v>
      </c>
      <c r="C34" s="79">
        <f>+'22'!G34</f>
        <v>10</v>
      </c>
      <c r="D34" s="87">
        <v>0</v>
      </c>
      <c r="E34" s="47">
        <f t="shared" si="0"/>
        <v>10</v>
      </c>
      <c r="F34" s="87">
        <v>0</v>
      </c>
      <c r="G34" s="47">
        <f t="shared" si="4"/>
        <v>10</v>
      </c>
      <c r="H34" s="88"/>
      <c r="I34" s="15">
        <v>130</v>
      </c>
      <c r="J34" s="82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+'22'!G35</f>
        <v>0</v>
      </c>
      <c r="D35" s="87">
        <v>0</v>
      </c>
      <c r="E35" s="47">
        <f t="shared" si="0"/>
        <v>0</v>
      </c>
      <c r="F35" s="87">
        <v>0</v>
      </c>
      <c r="G35" s="47">
        <f t="shared" si="4"/>
        <v>0</v>
      </c>
      <c r="H35" s="88"/>
      <c r="I35" s="15">
        <v>130</v>
      </c>
      <c r="J35" s="82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+'22'!G36</f>
        <v>0</v>
      </c>
      <c r="D36" s="87">
        <v>0</v>
      </c>
      <c r="E36" s="47">
        <f t="shared" si="0"/>
        <v>0</v>
      </c>
      <c r="F36" s="87">
        <v>0</v>
      </c>
      <c r="G36" s="47">
        <f t="shared" si="4"/>
        <v>0</v>
      </c>
      <c r="H36" s="88"/>
      <c r="I36" s="15">
        <v>100</v>
      </c>
      <c r="J36" s="82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+'22'!G37</f>
        <v>10</v>
      </c>
      <c r="D37" s="87">
        <v>0</v>
      </c>
      <c r="E37" s="47">
        <f t="shared" si="0"/>
        <v>10</v>
      </c>
      <c r="F37" s="87">
        <v>0</v>
      </c>
      <c r="G37" s="47">
        <f t="shared" si="4"/>
        <v>10</v>
      </c>
      <c r="H37" s="88"/>
      <c r="I37" s="15">
        <v>100</v>
      </c>
      <c r="J37" s="82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 t="s">
        <v>49</v>
      </c>
      <c r="C38" s="79">
        <f>+'22'!G38</f>
        <v>5</v>
      </c>
      <c r="D38" s="87">
        <v>0</v>
      </c>
      <c r="E38" s="47">
        <f t="shared" si="0"/>
        <v>5</v>
      </c>
      <c r="F38" s="87">
        <v>0</v>
      </c>
      <c r="G38" s="47">
        <f t="shared" si="4"/>
        <v>4</v>
      </c>
      <c r="H38" s="88">
        <v>1</v>
      </c>
      <c r="I38" s="15">
        <v>50</v>
      </c>
      <c r="J38" s="82">
        <f t="shared" si="5"/>
        <v>50</v>
      </c>
      <c r="K38" s="17" t="s">
        <v>16</v>
      </c>
      <c r="L38" s="18">
        <v>0</v>
      </c>
      <c r="M38" s="23">
        <f t="shared" si="6"/>
        <v>50</v>
      </c>
    </row>
    <row r="39" spans="1:13" ht="25.5" x14ac:dyDescent="0.55000000000000004">
      <c r="A39" s="10">
        <v>35</v>
      </c>
      <c r="B39" s="19" t="s">
        <v>50</v>
      </c>
      <c r="C39" s="79">
        <f>+'22'!G39</f>
        <v>12</v>
      </c>
      <c r="D39" s="87">
        <v>0</v>
      </c>
      <c r="E39" s="47">
        <f t="shared" si="0"/>
        <v>12</v>
      </c>
      <c r="F39" s="87">
        <v>0</v>
      </c>
      <c r="G39" s="47">
        <f t="shared" si="4"/>
        <v>11</v>
      </c>
      <c r="H39" s="88">
        <v>1</v>
      </c>
      <c r="I39" s="15">
        <v>50</v>
      </c>
      <c r="J39" s="82">
        <f t="shared" si="5"/>
        <v>50</v>
      </c>
      <c r="K39" s="17" t="s">
        <v>16</v>
      </c>
      <c r="L39" s="18">
        <v>0</v>
      </c>
      <c r="M39" s="23">
        <f t="shared" si="6"/>
        <v>50</v>
      </c>
    </row>
    <row r="40" spans="1:13" ht="25.5" x14ac:dyDescent="0.55000000000000004">
      <c r="A40" s="10">
        <v>36</v>
      </c>
      <c r="B40" s="19" t="s">
        <v>51</v>
      </c>
      <c r="C40" s="79">
        <v>8</v>
      </c>
      <c r="D40" s="87">
        <v>0</v>
      </c>
      <c r="E40" s="47">
        <f t="shared" si="0"/>
        <v>8</v>
      </c>
      <c r="F40" s="87">
        <v>0</v>
      </c>
      <c r="G40" s="47">
        <f t="shared" si="4"/>
        <v>7</v>
      </c>
      <c r="H40" s="88">
        <v>1</v>
      </c>
      <c r="I40" s="15">
        <v>50</v>
      </c>
      <c r="J40" s="82">
        <f t="shared" si="5"/>
        <v>50</v>
      </c>
      <c r="K40" s="17" t="s">
        <v>16</v>
      </c>
      <c r="L40" s="18">
        <v>0</v>
      </c>
      <c r="M40" s="23">
        <f t="shared" si="6"/>
        <v>50</v>
      </c>
    </row>
    <row r="41" spans="1:13" ht="25.5" x14ac:dyDescent="0.55000000000000004">
      <c r="A41" s="10">
        <v>37</v>
      </c>
      <c r="B41" s="19" t="s">
        <v>52</v>
      </c>
      <c r="C41" s="79">
        <f>+'22'!G41</f>
        <v>0</v>
      </c>
      <c r="D41" s="87">
        <v>0</v>
      </c>
      <c r="E41" s="47">
        <f t="shared" si="0"/>
        <v>0</v>
      </c>
      <c r="F41" s="87">
        <v>0</v>
      </c>
      <c r="G41" s="47">
        <f t="shared" si="4"/>
        <v>0</v>
      </c>
      <c r="H41" s="88"/>
      <c r="I41" s="15">
        <v>50</v>
      </c>
      <c r="J41" s="82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285</v>
      </c>
      <c r="C42" s="79">
        <f>+'22'!G42</f>
        <v>0</v>
      </c>
      <c r="D42" s="87">
        <v>0</v>
      </c>
      <c r="E42" s="47">
        <f t="shared" si="0"/>
        <v>0</v>
      </c>
      <c r="F42" s="87">
        <v>0</v>
      </c>
      <c r="G42" s="47">
        <f t="shared" si="4"/>
        <v>0</v>
      </c>
      <c r="H42" s="88"/>
      <c r="I42" s="15">
        <v>50</v>
      </c>
      <c r="J42" s="82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+'22'!G43</f>
        <v>0</v>
      </c>
      <c r="D43" s="87">
        <v>0</v>
      </c>
      <c r="E43" s="47">
        <f t="shared" si="0"/>
        <v>0</v>
      </c>
      <c r="F43" s="87">
        <v>0</v>
      </c>
      <c r="G43" s="47">
        <f t="shared" si="4"/>
        <v>0</v>
      </c>
      <c r="H43" s="88"/>
      <c r="I43" s="15">
        <v>50</v>
      </c>
      <c r="J43" s="82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+'22'!G44</f>
        <v>0</v>
      </c>
      <c r="D44" s="87">
        <v>0</v>
      </c>
      <c r="E44" s="47">
        <f t="shared" si="0"/>
        <v>0</v>
      </c>
      <c r="F44" s="87">
        <v>0</v>
      </c>
      <c r="G44" s="47">
        <f t="shared" si="4"/>
        <v>0</v>
      </c>
      <c r="H44" s="88"/>
      <c r="I44" s="15">
        <v>50</v>
      </c>
      <c r="J44" s="82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+'22'!G45</f>
        <v>0</v>
      </c>
      <c r="D45" s="87">
        <v>0</v>
      </c>
      <c r="E45" s="47">
        <f t="shared" si="0"/>
        <v>0</v>
      </c>
      <c r="F45" s="87">
        <v>0</v>
      </c>
      <c r="G45" s="47">
        <f t="shared" si="4"/>
        <v>0</v>
      </c>
      <c r="H45" s="88"/>
      <c r="I45" s="15">
        <v>50</v>
      </c>
      <c r="J45" s="82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286</v>
      </c>
      <c r="C46" s="79">
        <f>+'22'!G46</f>
        <v>0</v>
      </c>
      <c r="D46" s="87">
        <v>0</v>
      </c>
      <c r="E46" s="47">
        <f t="shared" si="0"/>
        <v>0</v>
      </c>
      <c r="F46" s="87">
        <v>0</v>
      </c>
      <c r="G46" s="47">
        <f t="shared" si="4"/>
        <v>0</v>
      </c>
      <c r="H46" s="88"/>
      <c r="I46" s="15">
        <v>50</v>
      </c>
      <c r="J46" s="82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+'22'!G47</f>
        <v>0</v>
      </c>
      <c r="D47" s="87">
        <v>0</v>
      </c>
      <c r="E47" s="47">
        <f t="shared" si="0"/>
        <v>0</v>
      </c>
      <c r="F47" s="87">
        <v>0</v>
      </c>
      <c r="G47" s="47">
        <f t="shared" si="4"/>
        <v>0</v>
      </c>
      <c r="H47" s="88"/>
      <c r="I47" s="15">
        <v>50</v>
      </c>
      <c r="J47" s="82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+'22'!G48</f>
        <v>0</v>
      </c>
      <c r="D48" s="87">
        <v>0</v>
      </c>
      <c r="E48" s="47">
        <f t="shared" si="0"/>
        <v>0</v>
      </c>
      <c r="F48" s="87">
        <v>0</v>
      </c>
      <c r="G48" s="47">
        <f t="shared" si="4"/>
        <v>0</v>
      </c>
      <c r="H48" s="88"/>
      <c r="I48" s="15">
        <v>50</v>
      </c>
      <c r="J48" s="82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+'22'!G49</f>
        <v>-1</v>
      </c>
      <c r="D49" s="87">
        <v>0</v>
      </c>
      <c r="E49" s="47">
        <f t="shared" si="0"/>
        <v>-1</v>
      </c>
      <c r="F49" s="87">
        <v>0</v>
      </c>
      <c r="G49" s="47">
        <f t="shared" si="4"/>
        <v>-1</v>
      </c>
      <c r="H49" s="88"/>
      <c r="I49" s="15">
        <v>50</v>
      </c>
      <c r="J49" s="82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+'22'!G50</f>
        <v>1</v>
      </c>
      <c r="D50" s="87">
        <v>0</v>
      </c>
      <c r="E50" s="47">
        <f t="shared" si="0"/>
        <v>1</v>
      </c>
      <c r="F50" s="87">
        <v>0</v>
      </c>
      <c r="G50" s="47">
        <f t="shared" si="4"/>
        <v>0</v>
      </c>
      <c r="H50" s="88">
        <v>1</v>
      </c>
      <c r="I50" s="15">
        <v>120</v>
      </c>
      <c r="J50" s="82">
        <f t="shared" si="5"/>
        <v>120</v>
      </c>
      <c r="K50" s="17" t="s">
        <v>16</v>
      </c>
      <c r="L50" s="18">
        <v>35</v>
      </c>
      <c r="M50" s="23">
        <f t="shared" si="6"/>
        <v>85</v>
      </c>
    </row>
    <row r="51" spans="1:13" ht="25.5" x14ac:dyDescent="0.55000000000000004">
      <c r="A51" s="10">
        <v>47</v>
      </c>
      <c r="B51" s="19" t="s">
        <v>62</v>
      </c>
      <c r="C51" s="79">
        <f>+'22'!G51</f>
        <v>0</v>
      </c>
      <c r="D51" s="87">
        <v>0</v>
      </c>
      <c r="E51" s="47">
        <f t="shared" si="0"/>
        <v>0</v>
      </c>
      <c r="F51" s="87">
        <v>0</v>
      </c>
      <c r="G51" s="47">
        <f t="shared" si="4"/>
        <v>0</v>
      </c>
      <c r="H51" s="88"/>
      <c r="I51" s="15">
        <v>120</v>
      </c>
      <c r="J51" s="82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+'22'!G52</f>
        <v>0</v>
      </c>
      <c r="D52" s="87">
        <v>0</v>
      </c>
      <c r="E52" s="47">
        <f t="shared" si="0"/>
        <v>0</v>
      </c>
      <c r="F52" s="87">
        <v>0</v>
      </c>
      <c r="G52" s="47">
        <f t="shared" si="4"/>
        <v>0</v>
      </c>
      <c r="H52" s="88"/>
      <c r="I52" s="21">
        <v>120</v>
      </c>
      <c r="J52" s="82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+'22'!G53</f>
        <v>0</v>
      </c>
      <c r="D53" s="87">
        <v>0</v>
      </c>
      <c r="E53" s="47">
        <f t="shared" si="0"/>
        <v>0</v>
      </c>
      <c r="F53" s="87">
        <v>0</v>
      </c>
      <c r="G53" s="47">
        <f t="shared" si="4"/>
        <v>0</v>
      </c>
      <c r="H53" s="88"/>
      <c r="I53" s="15">
        <v>120</v>
      </c>
      <c r="J53" s="82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+'22'!G54</f>
        <v>0</v>
      </c>
      <c r="D54" s="87">
        <v>0</v>
      </c>
      <c r="E54" s="47">
        <f t="shared" si="0"/>
        <v>0</v>
      </c>
      <c r="F54" s="87">
        <v>0</v>
      </c>
      <c r="G54" s="47">
        <f t="shared" si="4"/>
        <v>0</v>
      </c>
      <c r="H54" s="88"/>
      <c r="I54" s="15">
        <v>120</v>
      </c>
      <c r="J54" s="82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+'22'!G55</f>
        <v>2</v>
      </c>
      <c r="D55" s="87">
        <v>0</v>
      </c>
      <c r="E55" s="47">
        <f t="shared" si="0"/>
        <v>2</v>
      </c>
      <c r="F55" s="87">
        <v>0</v>
      </c>
      <c r="G55" s="47">
        <f t="shared" si="4"/>
        <v>1</v>
      </c>
      <c r="H55" s="88">
        <v>1</v>
      </c>
      <c r="I55" s="21">
        <v>120</v>
      </c>
      <c r="J55" s="82">
        <f t="shared" si="5"/>
        <v>120</v>
      </c>
      <c r="K55" s="17" t="s">
        <v>16</v>
      </c>
      <c r="L55" s="18">
        <v>35</v>
      </c>
      <c r="M55" s="23">
        <f t="shared" si="6"/>
        <v>85</v>
      </c>
    </row>
    <row r="56" spans="1:13" ht="25.5" x14ac:dyDescent="0.55000000000000004">
      <c r="A56" s="10">
        <v>52</v>
      </c>
      <c r="B56" s="19" t="s">
        <v>67</v>
      </c>
      <c r="C56" s="79">
        <f>+'22'!G56</f>
        <v>0</v>
      </c>
      <c r="D56" s="87">
        <v>0</v>
      </c>
      <c r="E56" s="47">
        <f t="shared" si="0"/>
        <v>0</v>
      </c>
      <c r="F56" s="87">
        <v>0</v>
      </c>
      <c r="G56" s="47">
        <f t="shared" si="4"/>
        <v>0</v>
      </c>
      <c r="H56" s="88"/>
      <c r="I56" s="21">
        <v>120</v>
      </c>
      <c r="J56" s="82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+'22'!G57</f>
        <v>0</v>
      </c>
      <c r="D57" s="87">
        <v>0</v>
      </c>
      <c r="E57" s="47">
        <f t="shared" si="0"/>
        <v>0</v>
      </c>
      <c r="F57" s="87">
        <v>0</v>
      </c>
      <c r="G57" s="47">
        <f t="shared" si="4"/>
        <v>0</v>
      </c>
      <c r="H57" s="88"/>
      <c r="I57" s="21">
        <v>120</v>
      </c>
      <c r="J57" s="82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+'22'!G58</f>
        <v>0</v>
      </c>
      <c r="D58" s="87">
        <v>0</v>
      </c>
      <c r="E58" s="47">
        <f t="shared" si="0"/>
        <v>0</v>
      </c>
      <c r="F58" s="87">
        <v>0</v>
      </c>
      <c r="G58" s="47">
        <f t="shared" si="4"/>
        <v>0</v>
      </c>
      <c r="H58" s="88"/>
      <c r="I58" s="21">
        <v>120</v>
      </c>
      <c r="J58" s="82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+'22'!G59</f>
        <v>0</v>
      </c>
      <c r="D59" s="87">
        <v>0</v>
      </c>
      <c r="E59" s="47">
        <f t="shared" si="0"/>
        <v>0</v>
      </c>
      <c r="F59" s="87">
        <v>0</v>
      </c>
      <c r="G59" s="47">
        <f t="shared" si="4"/>
        <v>0</v>
      </c>
      <c r="H59" s="88"/>
      <c r="I59" s="15">
        <v>70</v>
      </c>
      <c r="J59" s="82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+'22'!G60</f>
        <v>0</v>
      </c>
      <c r="D60" s="87">
        <v>0</v>
      </c>
      <c r="E60" s="47">
        <f t="shared" si="0"/>
        <v>0</v>
      </c>
      <c r="F60" s="87">
        <v>0</v>
      </c>
      <c r="G60" s="47">
        <f t="shared" si="4"/>
        <v>0</v>
      </c>
      <c r="H60" s="88"/>
      <c r="I60" s="21">
        <v>80</v>
      </c>
      <c r="J60" s="82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+'22'!G61</f>
        <v>0</v>
      </c>
      <c r="D61" s="87">
        <v>0</v>
      </c>
      <c r="E61" s="47">
        <f t="shared" si="0"/>
        <v>0</v>
      </c>
      <c r="F61" s="87">
        <v>0</v>
      </c>
      <c r="G61" s="47">
        <f t="shared" si="4"/>
        <v>0</v>
      </c>
      <c r="H61" s="88"/>
      <c r="I61" s="15">
        <v>50</v>
      </c>
      <c r="J61" s="82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+'22'!G62</f>
        <v>3</v>
      </c>
      <c r="D62" s="87">
        <v>0</v>
      </c>
      <c r="E62" s="47">
        <f t="shared" si="0"/>
        <v>3</v>
      </c>
      <c r="F62" s="87">
        <v>0</v>
      </c>
      <c r="G62" s="47">
        <f t="shared" si="4"/>
        <v>3</v>
      </c>
      <c r="H62" s="88"/>
      <c r="I62" s="20">
        <v>50</v>
      </c>
      <c r="J62" s="82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+'22'!G63</f>
        <v>0</v>
      </c>
      <c r="D63" s="87">
        <v>0</v>
      </c>
      <c r="E63" s="47">
        <f t="shared" si="0"/>
        <v>0</v>
      </c>
      <c r="F63" s="87">
        <v>0</v>
      </c>
      <c r="G63" s="47">
        <f t="shared" si="4"/>
        <v>0</v>
      </c>
      <c r="H63" s="88"/>
      <c r="I63" s="20">
        <v>50</v>
      </c>
      <c r="J63" s="82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+'22'!G64</f>
        <v>0</v>
      </c>
      <c r="D64" s="87">
        <v>0</v>
      </c>
      <c r="E64" s="47">
        <f t="shared" si="0"/>
        <v>0</v>
      </c>
      <c r="F64" s="87">
        <v>0</v>
      </c>
      <c r="G64" s="47">
        <f t="shared" si="4"/>
        <v>0</v>
      </c>
      <c r="H64" s="88"/>
      <c r="I64" s="21">
        <v>30</v>
      </c>
      <c r="J64" s="82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+'22'!G65</f>
        <v>0</v>
      </c>
      <c r="D65" s="87">
        <v>0</v>
      </c>
      <c r="E65" s="47">
        <f t="shared" si="0"/>
        <v>0</v>
      </c>
      <c r="F65" s="87">
        <v>0</v>
      </c>
      <c r="G65" s="47">
        <f t="shared" si="4"/>
        <v>0</v>
      </c>
      <c r="H65" s="88"/>
      <c r="I65" s="21">
        <v>30</v>
      </c>
      <c r="J65" s="82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+'22'!G66</f>
        <v>9</v>
      </c>
      <c r="D66" s="87">
        <v>0</v>
      </c>
      <c r="E66" s="47">
        <f t="shared" si="0"/>
        <v>9</v>
      </c>
      <c r="F66" s="87">
        <v>0</v>
      </c>
      <c r="G66" s="47">
        <f t="shared" si="4"/>
        <v>9</v>
      </c>
      <c r="H66" s="88"/>
      <c r="I66" s="15">
        <v>50</v>
      </c>
      <c r="J66" s="82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+'22'!G67</f>
        <v>3</v>
      </c>
      <c r="D67" s="87">
        <v>0</v>
      </c>
      <c r="E67" s="47">
        <f t="shared" si="0"/>
        <v>3</v>
      </c>
      <c r="F67" s="87">
        <v>0</v>
      </c>
      <c r="G67" s="47">
        <f t="shared" si="4"/>
        <v>3</v>
      </c>
      <c r="H67" s="88"/>
      <c r="I67" s="15">
        <v>50</v>
      </c>
      <c r="J67" s="82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+'22'!G68</f>
        <v>0</v>
      </c>
      <c r="D68" s="87">
        <v>0</v>
      </c>
      <c r="E68" s="47">
        <f t="shared" si="0"/>
        <v>0</v>
      </c>
      <c r="F68" s="87">
        <v>0</v>
      </c>
      <c r="G68" s="47">
        <f t="shared" si="4"/>
        <v>0</v>
      </c>
      <c r="H68" s="88"/>
      <c r="I68" s="20">
        <v>35</v>
      </c>
      <c r="J68" s="82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+'22'!G69</f>
        <v>0</v>
      </c>
      <c r="D69" s="87">
        <v>0</v>
      </c>
      <c r="E69" s="47">
        <f t="shared" si="0"/>
        <v>0</v>
      </c>
      <c r="F69" s="87">
        <v>0</v>
      </c>
      <c r="G69" s="47">
        <f t="shared" si="4"/>
        <v>0</v>
      </c>
      <c r="H69" s="88"/>
      <c r="I69" s="20">
        <v>25</v>
      </c>
      <c r="J69" s="82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+'22'!G70</f>
        <v>2</v>
      </c>
      <c r="D70" s="87">
        <v>0</v>
      </c>
      <c r="E70" s="47">
        <f t="shared" si="0"/>
        <v>2</v>
      </c>
      <c r="F70" s="87">
        <v>0</v>
      </c>
      <c r="G70" s="47">
        <f t="shared" si="4"/>
        <v>2</v>
      </c>
      <c r="H70" s="88"/>
      <c r="I70" s="20">
        <v>50</v>
      </c>
      <c r="J70" s="82">
        <f t="shared" si="5"/>
        <v>0</v>
      </c>
      <c r="K70" s="17" t="s">
        <v>16</v>
      </c>
      <c r="L70" s="18">
        <v>0</v>
      </c>
      <c r="M70" s="23">
        <f t="shared" ref="M70:M134" si="10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+'22'!G71</f>
        <v>0</v>
      </c>
      <c r="D71" s="87">
        <v>0</v>
      </c>
      <c r="E71" s="47">
        <f t="shared" si="0"/>
        <v>0</v>
      </c>
      <c r="F71" s="87">
        <v>0</v>
      </c>
      <c r="G71" s="47">
        <f t="shared" si="4"/>
        <v>0</v>
      </c>
      <c r="H71" s="88"/>
      <c r="I71" s="20">
        <v>60</v>
      </c>
      <c r="J71" s="82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+'22'!G72</f>
        <v>0</v>
      </c>
      <c r="D72" s="87">
        <v>0</v>
      </c>
      <c r="E72" s="47">
        <f t="shared" si="0"/>
        <v>0</v>
      </c>
      <c r="F72" s="87">
        <v>0</v>
      </c>
      <c r="G72" s="47">
        <f t="shared" si="4"/>
        <v>0</v>
      </c>
      <c r="H72" s="88"/>
      <c r="I72" s="22">
        <v>50</v>
      </c>
      <c r="J72" s="82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+'22'!G73</f>
        <v>0</v>
      </c>
      <c r="D73" s="87">
        <v>0</v>
      </c>
      <c r="E73" s="47">
        <f t="shared" si="0"/>
        <v>0</v>
      </c>
      <c r="F73" s="87">
        <v>0</v>
      </c>
      <c r="G73" s="47">
        <f t="shared" si="4"/>
        <v>0</v>
      </c>
      <c r="H73" s="88"/>
      <c r="I73" s="20">
        <v>60</v>
      </c>
      <c r="J73" s="82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+'22'!G74</f>
        <v>1</v>
      </c>
      <c r="D74" s="87">
        <v>0</v>
      </c>
      <c r="E74" s="47">
        <f t="shared" si="0"/>
        <v>1</v>
      </c>
      <c r="F74" s="87">
        <v>0</v>
      </c>
      <c r="G74" s="47">
        <f t="shared" si="4"/>
        <v>1</v>
      </c>
      <c r="H74" s="88"/>
      <c r="I74" s="22">
        <v>120</v>
      </c>
      <c r="J74" s="82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+'22'!G75</f>
        <v>0</v>
      </c>
      <c r="D75" s="87">
        <v>0</v>
      </c>
      <c r="E75" s="47">
        <f t="shared" si="0"/>
        <v>0</v>
      </c>
      <c r="F75" s="87">
        <v>0</v>
      </c>
      <c r="G75" s="47">
        <f t="shared" si="4"/>
        <v>0</v>
      </c>
      <c r="H75" s="88"/>
      <c r="I75" s="22">
        <v>60</v>
      </c>
      <c r="J75" s="82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+'22'!G76</f>
        <v>0</v>
      </c>
      <c r="D76" s="87">
        <v>0</v>
      </c>
      <c r="E76" s="47">
        <f t="shared" si="0"/>
        <v>0</v>
      </c>
      <c r="F76" s="87">
        <v>0</v>
      </c>
      <c r="G76" s="47">
        <f t="shared" si="4"/>
        <v>0</v>
      </c>
      <c r="H76" s="88"/>
      <c r="I76" s="22">
        <v>120</v>
      </c>
      <c r="J76" s="82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1" t="s">
        <v>272</v>
      </c>
      <c r="C77" s="79">
        <f>+'22'!G77</f>
        <v>3</v>
      </c>
      <c r="D77" s="87">
        <v>0</v>
      </c>
      <c r="E77" s="47">
        <f>C77+D77</f>
        <v>3</v>
      </c>
      <c r="F77" s="87">
        <v>0</v>
      </c>
      <c r="G77" s="47">
        <f>+E77-F77-H77</f>
        <v>2</v>
      </c>
      <c r="H77" s="88">
        <v>1</v>
      </c>
      <c r="I77" s="20">
        <v>50</v>
      </c>
      <c r="J77" s="82">
        <f>+I77*H77</f>
        <v>50</v>
      </c>
      <c r="K77" s="17" t="s">
        <v>16</v>
      </c>
      <c r="L77" s="18">
        <v>0</v>
      </c>
      <c r="M77" s="23">
        <f>SUM(J77-L77)</f>
        <v>50</v>
      </c>
    </row>
    <row r="78" spans="1:13" ht="25.5" x14ac:dyDescent="0.55000000000000004">
      <c r="A78" s="10">
        <v>74</v>
      </c>
      <c r="B78" s="19" t="s">
        <v>277</v>
      </c>
      <c r="C78" s="79">
        <f>+'22'!G78</f>
        <v>2</v>
      </c>
      <c r="D78" s="87">
        <v>0</v>
      </c>
      <c r="E78" s="47">
        <f t="shared" si="0"/>
        <v>2</v>
      </c>
      <c r="F78" s="87">
        <v>0</v>
      </c>
      <c r="G78" s="47">
        <f t="shared" si="4"/>
        <v>1</v>
      </c>
      <c r="H78" s="88">
        <v>1</v>
      </c>
      <c r="I78" s="20">
        <v>50</v>
      </c>
      <c r="J78" s="82">
        <f t="shared" si="5"/>
        <v>50</v>
      </c>
      <c r="K78" s="17" t="s">
        <v>16</v>
      </c>
      <c r="L78" s="18">
        <v>0</v>
      </c>
      <c r="M78" s="23">
        <f t="shared" si="10"/>
        <v>50</v>
      </c>
    </row>
    <row r="79" spans="1:13" ht="25.5" x14ac:dyDescent="0.55000000000000004">
      <c r="A79" s="10">
        <v>75</v>
      </c>
      <c r="B79" s="19" t="s">
        <v>278</v>
      </c>
      <c r="C79" s="79">
        <f>+'22'!G79</f>
        <v>0</v>
      </c>
      <c r="D79" s="87">
        <v>0</v>
      </c>
      <c r="E79" s="47">
        <f t="shared" si="0"/>
        <v>0</v>
      </c>
      <c r="F79" s="87">
        <v>0</v>
      </c>
      <c r="G79" s="47">
        <f t="shared" si="4"/>
        <v>0</v>
      </c>
      <c r="H79" s="88"/>
      <c r="I79" s="22">
        <v>120</v>
      </c>
      <c r="J79" s="82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90</v>
      </c>
      <c r="C80" s="79">
        <f>+'22'!G80</f>
        <v>4</v>
      </c>
      <c r="D80" s="87">
        <v>0</v>
      </c>
      <c r="E80" s="47">
        <f t="shared" si="0"/>
        <v>4</v>
      </c>
      <c r="F80" s="87">
        <v>0</v>
      </c>
      <c r="G80" s="47">
        <f t="shared" si="4"/>
        <v>1</v>
      </c>
      <c r="H80" s="88">
        <v>3</v>
      </c>
      <c r="I80" s="22">
        <v>50</v>
      </c>
      <c r="J80" s="82">
        <f t="shared" si="5"/>
        <v>150</v>
      </c>
      <c r="K80" s="17" t="s">
        <v>16</v>
      </c>
      <c r="L80" s="18">
        <v>100</v>
      </c>
      <c r="M80" s="23">
        <f t="shared" si="10"/>
        <v>50</v>
      </c>
    </row>
    <row r="81" spans="1:13" ht="25.5" x14ac:dyDescent="0.55000000000000004">
      <c r="A81" s="10">
        <v>77</v>
      </c>
      <c r="B81" s="19" t="s">
        <v>91</v>
      </c>
      <c r="C81" s="79">
        <f>+'22'!G81</f>
        <v>0</v>
      </c>
      <c r="D81" s="87">
        <v>0</v>
      </c>
      <c r="E81" s="47">
        <f t="shared" si="0"/>
        <v>0</v>
      </c>
      <c r="F81" s="87">
        <v>0</v>
      </c>
      <c r="G81" s="47">
        <f t="shared" si="4"/>
        <v>0</v>
      </c>
      <c r="H81" s="88"/>
      <c r="I81" s="22">
        <v>50</v>
      </c>
      <c r="J81" s="82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92</v>
      </c>
      <c r="C82" s="79">
        <f>+'22'!G82</f>
        <v>3</v>
      </c>
      <c r="D82" s="87">
        <v>0</v>
      </c>
      <c r="E82" s="47">
        <f t="shared" si="0"/>
        <v>3</v>
      </c>
      <c r="F82" s="87">
        <v>0</v>
      </c>
      <c r="G82" s="47">
        <f t="shared" si="4"/>
        <v>3</v>
      </c>
      <c r="H82" s="88"/>
      <c r="I82" s="20">
        <v>55</v>
      </c>
      <c r="J82" s="82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93</v>
      </c>
      <c r="C83" s="79">
        <f>+'22'!G83</f>
        <v>3</v>
      </c>
      <c r="D83" s="87">
        <v>0</v>
      </c>
      <c r="E83" s="47">
        <f t="shared" si="0"/>
        <v>3</v>
      </c>
      <c r="F83" s="87">
        <v>0</v>
      </c>
      <c r="G83" s="47">
        <f t="shared" si="4"/>
        <v>3</v>
      </c>
      <c r="H83" s="88"/>
      <c r="I83" s="22">
        <v>55</v>
      </c>
      <c r="J83" s="82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94</v>
      </c>
      <c r="C84" s="79">
        <f>+'22'!G84</f>
        <v>0</v>
      </c>
      <c r="D84" s="87">
        <v>0</v>
      </c>
      <c r="E84" s="47">
        <f t="shared" si="0"/>
        <v>0</v>
      </c>
      <c r="F84" s="87">
        <v>0</v>
      </c>
      <c r="G84" s="47">
        <f t="shared" si="4"/>
        <v>0</v>
      </c>
      <c r="H84" s="88"/>
      <c r="I84" s="22">
        <v>55</v>
      </c>
      <c r="J84" s="82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95</v>
      </c>
      <c r="C85" s="79">
        <f>+'22'!G85</f>
        <v>0</v>
      </c>
      <c r="D85" s="87">
        <v>0</v>
      </c>
      <c r="E85" s="47">
        <f t="shared" si="0"/>
        <v>0</v>
      </c>
      <c r="F85" s="87">
        <v>0</v>
      </c>
      <c r="G85" s="47">
        <f t="shared" si="4"/>
        <v>0</v>
      </c>
      <c r="H85" s="88"/>
      <c r="I85" s="22">
        <v>55</v>
      </c>
      <c r="J85" s="82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96</v>
      </c>
      <c r="C86" s="79">
        <f>+'22'!G86</f>
        <v>7</v>
      </c>
      <c r="D86" s="87">
        <v>0</v>
      </c>
      <c r="E86" s="47">
        <f t="shared" si="0"/>
        <v>7</v>
      </c>
      <c r="F86" s="87">
        <v>0</v>
      </c>
      <c r="G86" s="47">
        <f t="shared" si="4"/>
        <v>7</v>
      </c>
      <c r="H86" s="88"/>
      <c r="I86" s="22">
        <v>100</v>
      </c>
      <c r="J86" s="82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97</v>
      </c>
      <c r="C87" s="79">
        <f>+'22'!G87</f>
        <v>13</v>
      </c>
      <c r="D87" s="87">
        <v>0</v>
      </c>
      <c r="E87" s="47">
        <f t="shared" si="0"/>
        <v>13</v>
      </c>
      <c r="F87" s="87">
        <v>0</v>
      </c>
      <c r="G87" s="47">
        <f t="shared" si="4"/>
        <v>12</v>
      </c>
      <c r="H87" s="88">
        <v>1</v>
      </c>
      <c r="I87" s="20">
        <v>55</v>
      </c>
      <c r="J87" s="82">
        <f t="shared" si="5"/>
        <v>55</v>
      </c>
      <c r="K87" s="17" t="s">
        <v>16</v>
      </c>
      <c r="L87" s="18">
        <v>0</v>
      </c>
      <c r="M87" s="23">
        <f t="shared" si="10"/>
        <v>55</v>
      </c>
    </row>
    <row r="88" spans="1:13" ht="25.5" x14ac:dyDescent="0.55000000000000004">
      <c r="A88" s="10">
        <v>84</v>
      </c>
      <c r="B88" s="19" t="s">
        <v>98</v>
      </c>
      <c r="C88" s="79">
        <f>+'22'!G88</f>
        <v>10</v>
      </c>
      <c r="D88" s="87">
        <v>0</v>
      </c>
      <c r="E88" s="47">
        <f t="shared" si="0"/>
        <v>10</v>
      </c>
      <c r="F88" s="87">
        <v>0</v>
      </c>
      <c r="G88" s="47">
        <f t="shared" si="4"/>
        <v>9</v>
      </c>
      <c r="H88" s="88">
        <v>1</v>
      </c>
      <c r="I88" s="20">
        <v>60</v>
      </c>
      <c r="J88" s="82">
        <f t="shared" si="5"/>
        <v>60</v>
      </c>
      <c r="K88" s="17" t="s">
        <v>16</v>
      </c>
      <c r="L88" s="18">
        <v>0</v>
      </c>
      <c r="M88" s="23">
        <f t="shared" si="10"/>
        <v>60</v>
      </c>
    </row>
    <row r="89" spans="1:13" ht="25.5" x14ac:dyDescent="0.55000000000000004">
      <c r="A89" s="10">
        <v>85</v>
      </c>
      <c r="B89" s="19" t="s">
        <v>99</v>
      </c>
      <c r="C89" s="79">
        <f>+'22'!G89</f>
        <v>9</v>
      </c>
      <c r="D89" s="87">
        <v>0</v>
      </c>
      <c r="E89" s="47">
        <f t="shared" si="0"/>
        <v>9</v>
      </c>
      <c r="F89" s="87">
        <v>0</v>
      </c>
      <c r="G89" s="47">
        <f t="shared" si="4"/>
        <v>9</v>
      </c>
      <c r="H89" s="88"/>
      <c r="I89" s="20">
        <v>100</v>
      </c>
      <c r="J89" s="82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100</v>
      </c>
      <c r="C90" s="79">
        <f>+'22'!G90</f>
        <v>4</v>
      </c>
      <c r="D90" s="87">
        <v>0</v>
      </c>
      <c r="E90" s="47">
        <f t="shared" si="0"/>
        <v>4</v>
      </c>
      <c r="F90" s="87">
        <v>0</v>
      </c>
      <c r="G90" s="47">
        <f t="shared" si="4"/>
        <v>4</v>
      </c>
      <c r="H90" s="88"/>
      <c r="I90" s="20">
        <v>55</v>
      </c>
      <c r="J90" s="82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101</v>
      </c>
      <c r="C91" s="79">
        <f>+'22'!G91</f>
        <v>0</v>
      </c>
      <c r="D91" s="87">
        <v>0</v>
      </c>
      <c r="E91" s="47">
        <f t="shared" si="0"/>
        <v>0</v>
      </c>
      <c r="F91" s="87">
        <v>0</v>
      </c>
      <c r="G91" s="47">
        <f t="shared" si="4"/>
        <v>0</v>
      </c>
      <c r="H91" s="88"/>
      <c r="I91" s="20">
        <v>50</v>
      </c>
      <c r="J91" s="82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102</v>
      </c>
      <c r="C92" s="79">
        <f>+'22'!G92</f>
        <v>0</v>
      </c>
      <c r="D92" s="87">
        <v>0</v>
      </c>
      <c r="E92" s="47">
        <f t="shared" si="0"/>
        <v>0</v>
      </c>
      <c r="F92" s="87">
        <v>0</v>
      </c>
      <c r="G92" s="47">
        <f t="shared" si="4"/>
        <v>0</v>
      </c>
      <c r="H92" s="88"/>
      <c r="I92" s="22">
        <v>50</v>
      </c>
      <c r="J92" s="82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248</v>
      </c>
      <c r="C93" s="79">
        <f>+'22'!G93</f>
        <v>0</v>
      </c>
      <c r="D93" s="87">
        <v>0</v>
      </c>
      <c r="E93" s="47">
        <f t="shared" si="0"/>
        <v>0</v>
      </c>
      <c r="F93" s="87">
        <v>0</v>
      </c>
      <c r="G93" s="47">
        <f t="shared" si="4"/>
        <v>0</v>
      </c>
      <c r="H93" s="88"/>
      <c r="I93" s="22">
        <v>120</v>
      </c>
      <c r="J93" s="82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104</v>
      </c>
      <c r="C94" s="79">
        <f>+'22'!G94</f>
        <v>0</v>
      </c>
      <c r="D94" s="87">
        <v>0</v>
      </c>
      <c r="E94" s="47">
        <f t="shared" si="0"/>
        <v>0</v>
      </c>
      <c r="F94" s="87">
        <v>0</v>
      </c>
      <c r="G94" s="47">
        <f t="shared" si="4"/>
        <v>0</v>
      </c>
      <c r="H94" s="88"/>
      <c r="I94" s="20">
        <v>250</v>
      </c>
      <c r="J94" s="82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105</v>
      </c>
      <c r="C95" s="79">
        <f>+'22'!G95</f>
        <v>0</v>
      </c>
      <c r="D95" s="87">
        <v>0</v>
      </c>
      <c r="E95" s="47">
        <f t="shared" si="0"/>
        <v>0</v>
      </c>
      <c r="F95" s="87">
        <v>0</v>
      </c>
      <c r="G95" s="47">
        <f t="shared" si="4"/>
        <v>0</v>
      </c>
      <c r="H95" s="88"/>
      <c r="I95" s="20">
        <v>120</v>
      </c>
      <c r="J95" s="82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106</v>
      </c>
      <c r="C96" s="79">
        <f>+'22'!G96</f>
        <v>0</v>
      </c>
      <c r="D96" s="87">
        <v>0</v>
      </c>
      <c r="E96" s="47">
        <f t="shared" si="0"/>
        <v>0</v>
      </c>
      <c r="F96" s="87">
        <v>0</v>
      </c>
      <c r="G96" s="47">
        <f t="shared" si="4"/>
        <v>0</v>
      </c>
      <c r="H96" s="88"/>
      <c r="I96" s="20">
        <v>120</v>
      </c>
      <c r="J96" s="82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107</v>
      </c>
      <c r="C97" s="79">
        <f>+'22'!G97</f>
        <v>0</v>
      </c>
      <c r="D97" s="87">
        <v>0</v>
      </c>
      <c r="E97" s="47">
        <f t="shared" si="0"/>
        <v>0</v>
      </c>
      <c r="F97" s="87">
        <v>0</v>
      </c>
      <c r="G97" s="47">
        <f t="shared" si="4"/>
        <v>0</v>
      </c>
      <c r="H97" s="88"/>
      <c r="I97" s="20">
        <v>120</v>
      </c>
      <c r="J97" s="82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103</v>
      </c>
      <c r="C98" s="79">
        <f>+'22'!G98</f>
        <v>0</v>
      </c>
      <c r="D98" s="87">
        <v>0</v>
      </c>
      <c r="E98" s="47">
        <f t="shared" si="0"/>
        <v>0</v>
      </c>
      <c r="F98" s="87">
        <v>0</v>
      </c>
      <c r="G98" s="47">
        <f t="shared" si="4"/>
        <v>0</v>
      </c>
      <c r="H98" s="88"/>
      <c r="I98" s="20">
        <v>120</v>
      </c>
      <c r="J98" s="82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109</v>
      </c>
      <c r="C99" s="79">
        <f>+'22'!G99</f>
        <v>0</v>
      </c>
      <c r="D99" s="87">
        <v>0</v>
      </c>
      <c r="E99" s="47">
        <f t="shared" si="0"/>
        <v>0</v>
      </c>
      <c r="F99" s="87">
        <v>0</v>
      </c>
      <c r="G99" s="47">
        <f t="shared" si="4"/>
        <v>0</v>
      </c>
      <c r="H99" s="88"/>
      <c r="I99" s="20">
        <v>50</v>
      </c>
      <c r="J99" s="82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110</v>
      </c>
      <c r="C100" s="79">
        <f>+'22'!G100</f>
        <v>0</v>
      </c>
      <c r="D100" s="87">
        <v>0</v>
      </c>
      <c r="E100" s="47">
        <f t="shared" si="0"/>
        <v>0</v>
      </c>
      <c r="F100" s="87">
        <v>0</v>
      </c>
      <c r="G100" s="47">
        <f t="shared" si="4"/>
        <v>0</v>
      </c>
      <c r="H100" s="88"/>
      <c r="I100" s="20">
        <v>50</v>
      </c>
      <c r="J100" s="82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111</v>
      </c>
      <c r="C101" s="79">
        <f>+'22'!G101</f>
        <v>0</v>
      </c>
      <c r="D101" s="87">
        <v>0</v>
      </c>
      <c r="E101" s="47">
        <f t="shared" si="0"/>
        <v>0</v>
      </c>
      <c r="F101" s="87">
        <v>0</v>
      </c>
      <c r="G101" s="47">
        <f t="shared" ref="G101:G164" si="11">+E101-F101-H101</f>
        <v>0</v>
      </c>
      <c r="H101" s="88"/>
      <c r="I101" s="20">
        <v>60</v>
      </c>
      <c r="J101" s="82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112</v>
      </c>
      <c r="C102" s="79">
        <f>+'22'!G102</f>
        <v>0</v>
      </c>
      <c r="D102" s="87">
        <v>0</v>
      </c>
      <c r="E102" s="47">
        <f t="shared" si="0"/>
        <v>0</v>
      </c>
      <c r="F102" s="87">
        <v>0</v>
      </c>
      <c r="G102" s="47">
        <f t="shared" si="11"/>
        <v>0</v>
      </c>
      <c r="H102" s="88"/>
      <c r="I102" s="20">
        <v>55</v>
      </c>
      <c r="J102" s="82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113</v>
      </c>
      <c r="C103" s="79">
        <f>+'22'!G103</f>
        <v>0</v>
      </c>
      <c r="D103" s="87">
        <v>0</v>
      </c>
      <c r="E103" s="47">
        <f t="shared" si="0"/>
        <v>0</v>
      </c>
      <c r="F103" s="87">
        <v>0</v>
      </c>
      <c r="G103" s="47">
        <f t="shared" si="11"/>
        <v>0</v>
      </c>
      <c r="H103" s="88"/>
      <c r="I103" s="20">
        <v>50</v>
      </c>
      <c r="J103" s="82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114</v>
      </c>
      <c r="C104" s="79">
        <f>+'22'!G104</f>
        <v>0</v>
      </c>
      <c r="D104" s="87">
        <v>0</v>
      </c>
      <c r="E104" s="47">
        <f t="shared" si="0"/>
        <v>0</v>
      </c>
      <c r="F104" s="87">
        <v>0</v>
      </c>
      <c r="G104" s="47">
        <f t="shared" si="11"/>
        <v>0</v>
      </c>
      <c r="H104" s="88"/>
      <c r="I104" s="20">
        <v>100</v>
      </c>
      <c r="J104" s="82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115</v>
      </c>
      <c r="C105" s="79">
        <f>+'22'!G105</f>
        <v>0</v>
      </c>
      <c r="D105" s="87">
        <v>0</v>
      </c>
      <c r="E105" s="47">
        <f t="shared" si="0"/>
        <v>0</v>
      </c>
      <c r="F105" s="87">
        <v>0</v>
      </c>
      <c r="G105" s="47">
        <f t="shared" si="11"/>
        <v>0</v>
      </c>
      <c r="H105" s="88"/>
      <c r="I105" s="20">
        <v>100</v>
      </c>
      <c r="J105" s="82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116</v>
      </c>
      <c r="C106" s="79">
        <f>+'22'!G106</f>
        <v>0</v>
      </c>
      <c r="D106" s="87">
        <v>0</v>
      </c>
      <c r="E106" s="47">
        <f t="shared" si="0"/>
        <v>0</v>
      </c>
      <c r="F106" s="87">
        <v>0</v>
      </c>
      <c r="G106" s="47">
        <f t="shared" si="11"/>
        <v>0</v>
      </c>
      <c r="H106" s="88"/>
      <c r="I106" s="22">
        <v>30</v>
      </c>
      <c r="J106" s="82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117</v>
      </c>
      <c r="C107" s="79">
        <f>+'22'!G107</f>
        <v>0</v>
      </c>
      <c r="D107" s="87">
        <v>0</v>
      </c>
      <c r="E107" s="47">
        <f t="shared" si="0"/>
        <v>0</v>
      </c>
      <c r="F107" s="87">
        <v>0</v>
      </c>
      <c r="G107" s="47">
        <f t="shared" si="11"/>
        <v>0</v>
      </c>
      <c r="H107" s="88"/>
      <c r="I107" s="22">
        <v>20</v>
      </c>
      <c r="J107" s="82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118</v>
      </c>
      <c r="C108" s="79">
        <f>+'22'!G108</f>
        <v>0</v>
      </c>
      <c r="D108" s="87">
        <v>0</v>
      </c>
      <c r="E108" s="47">
        <f t="shared" si="0"/>
        <v>0</v>
      </c>
      <c r="F108" s="87">
        <v>0</v>
      </c>
      <c r="G108" s="47">
        <f t="shared" si="11"/>
        <v>0</v>
      </c>
      <c r="H108" s="88"/>
      <c r="I108" s="20">
        <v>100</v>
      </c>
      <c r="J108" s="82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120</v>
      </c>
      <c r="C109" s="79">
        <f>+'22'!G109</f>
        <v>0</v>
      </c>
      <c r="D109" s="87">
        <v>0</v>
      </c>
      <c r="E109" s="47">
        <f t="shared" si="0"/>
        <v>0</v>
      </c>
      <c r="F109" s="87">
        <v>0</v>
      </c>
      <c r="G109" s="47">
        <f t="shared" si="11"/>
        <v>0</v>
      </c>
      <c r="H109" s="88"/>
      <c r="I109" s="20">
        <v>80</v>
      </c>
      <c r="J109" s="82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121</v>
      </c>
      <c r="C110" s="79">
        <f>+'22'!G110</f>
        <v>0</v>
      </c>
      <c r="D110" s="87">
        <v>0</v>
      </c>
      <c r="E110" s="47">
        <f t="shared" si="0"/>
        <v>0</v>
      </c>
      <c r="F110" s="87">
        <v>0</v>
      </c>
      <c r="G110" s="47">
        <f t="shared" si="11"/>
        <v>0</v>
      </c>
      <c r="H110" s="88"/>
      <c r="I110" s="20">
        <v>60</v>
      </c>
      <c r="J110" s="82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122</v>
      </c>
      <c r="C111" s="79">
        <f>+'22'!G111</f>
        <v>0</v>
      </c>
      <c r="D111" s="87">
        <v>0</v>
      </c>
      <c r="E111" s="47">
        <f t="shared" si="0"/>
        <v>0</v>
      </c>
      <c r="F111" s="87">
        <v>0</v>
      </c>
      <c r="G111" s="47">
        <f t="shared" si="11"/>
        <v>0</v>
      </c>
      <c r="H111" s="88"/>
      <c r="I111" s="20">
        <v>35</v>
      </c>
      <c r="J111" s="82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123</v>
      </c>
      <c r="C112" s="79">
        <f>+'22'!G112</f>
        <v>0</v>
      </c>
      <c r="D112" s="87">
        <v>0</v>
      </c>
      <c r="E112" s="47">
        <f t="shared" si="0"/>
        <v>0</v>
      </c>
      <c r="F112" s="87">
        <v>0</v>
      </c>
      <c r="G112" s="47">
        <f t="shared" si="11"/>
        <v>0</v>
      </c>
      <c r="H112" s="88"/>
      <c r="I112" s="20">
        <v>35</v>
      </c>
      <c r="J112" s="82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124</v>
      </c>
      <c r="C113" s="79">
        <f>+'22'!G113</f>
        <v>0</v>
      </c>
      <c r="D113" s="87">
        <v>0</v>
      </c>
      <c r="E113" s="47">
        <f t="shared" si="0"/>
        <v>0</v>
      </c>
      <c r="F113" s="87">
        <v>0</v>
      </c>
      <c r="G113" s="47">
        <f t="shared" si="11"/>
        <v>0</v>
      </c>
      <c r="H113" s="88"/>
      <c r="I113" s="20">
        <v>35</v>
      </c>
      <c r="J113" s="82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125</v>
      </c>
      <c r="C114" s="79">
        <f>+'22'!G114</f>
        <v>0</v>
      </c>
      <c r="D114" s="87">
        <v>0</v>
      </c>
      <c r="E114" s="47">
        <f t="shared" si="0"/>
        <v>0</v>
      </c>
      <c r="F114" s="87">
        <v>0</v>
      </c>
      <c r="G114" s="47">
        <f t="shared" si="11"/>
        <v>0</v>
      </c>
      <c r="H114" s="88"/>
      <c r="I114" s="20">
        <v>35</v>
      </c>
      <c r="J114" s="82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126</v>
      </c>
      <c r="C115" s="79">
        <f>+'22'!G115</f>
        <v>0</v>
      </c>
      <c r="D115" s="87">
        <v>0</v>
      </c>
      <c r="E115" s="47">
        <f t="shared" si="0"/>
        <v>0</v>
      </c>
      <c r="F115" s="87">
        <v>0</v>
      </c>
      <c r="G115" s="47">
        <f t="shared" si="11"/>
        <v>0</v>
      </c>
      <c r="H115" s="88"/>
      <c r="I115" s="20">
        <v>35</v>
      </c>
      <c r="J115" s="82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127</v>
      </c>
      <c r="C116" s="79">
        <f>+'22'!G116</f>
        <v>0</v>
      </c>
      <c r="D116" s="87">
        <v>0</v>
      </c>
      <c r="E116" s="47">
        <f t="shared" si="0"/>
        <v>0</v>
      </c>
      <c r="F116" s="87">
        <v>0</v>
      </c>
      <c r="G116" s="47">
        <f t="shared" si="11"/>
        <v>0</v>
      </c>
      <c r="H116" s="88"/>
      <c r="I116" s="20">
        <v>30</v>
      </c>
      <c r="J116" s="82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128</v>
      </c>
      <c r="C117" s="79">
        <f>+'22'!G117</f>
        <v>0</v>
      </c>
      <c r="D117" s="87">
        <v>0</v>
      </c>
      <c r="E117" s="47">
        <f t="shared" si="0"/>
        <v>0</v>
      </c>
      <c r="F117" s="87">
        <v>0</v>
      </c>
      <c r="G117" s="47">
        <f t="shared" si="11"/>
        <v>0</v>
      </c>
      <c r="H117" s="88"/>
      <c r="I117" s="20">
        <v>30</v>
      </c>
      <c r="J117" s="82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129</v>
      </c>
      <c r="C118" s="79">
        <f>+'22'!G118</f>
        <v>0</v>
      </c>
      <c r="D118" s="87">
        <v>0</v>
      </c>
      <c r="E118" s="47">
        <f t="shared" si="0"/>
        <v>0</v>
      </c>
      <c r="F118" s="87">
        <v>0</v>
      </c>
      <c r="G118" s="47">
        <f t="shared" si="11"/>
        <v>0</v>
      </c>
      <c r="H118" s="88"/>
      <c r="I118" s="20">
        <v>30</v>
      </c>
      <c r="J118" s="82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130</v>
      </c>
      <c r="C119" s="79">
        <f>+'22'!G119</f>
        <v>0</v>
      </c>
      <c r="D119" s="87">
        <v>0</v>
      </c>
      <c r="E119" s="47">
        <f t="shared" si="0"/>
        <v>0</v>
      </c>
      <c r="F119" s="87">
        <v>0</v>
      </c>
      <c r="G119" s="47">
        <f t="shared" si="11"/>
        <v>0</v>
      </c>
      <c r="H119" s="88"/>
      <c r="I119" s="20">
        <v>30</v>
      </c>
      <c r="J119" s="82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131</v>
      </c>
      <c r="C120" s="79">
        <f>+'22'!G120</f>
        <v>0</v>
      </c>
      <c r="D120" s="87">
        <v>0</v>
      </c>
      <c r="E120" s="47">
        <f t="shared" si="0"/>
        <v>0</v>
      </c>
      <c r="F120" s="87">
        <v>0</v>
      </c>
      <c r="G120" s="47">
        <f t="shared" si="11"/>
        <v>0</v>
      </c>
      <c r="H120" s="88"/>
      <c r="I120" s="20">
        <v>30</v>
      </c>
      <c r="J120" s="82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132</v>
      </c>
      <c r="C121" s="79">
        <f>+'22'!G121</f>
        <v>0</v>
      </c>
      <c r="D121" s="87">
        <v>0</v>
      </c>
      <c r="E121" s="47">
        <f t="shared" si="0"/>
        <v>0</v>
      </c>
      <c r="F121" s="87">
        <v>0</v>
      </c>
      <c r="G121" s="47">
        <f t="shared" si="11"/>
        <v>0</v>
      </c>
      <c r="H121" s="88"/>
      <c r="I121" s="20">
        <v>30</v>
      </c>
      <c r="J121" s="82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133</v>
      </c>
      <c r="C122" s="79">
        <f>+'22'!G122</f>
        <v>0</v>
      </c>
      <c r="D122" s="87">
        <v>0</v>
      </c>
      <c r="E122" s="47">
        <f t="shared" si="0"/>
        <v>0</v>
      </c>
      <c r="F122" s="87">
        <v>0</v>
      </c>
      <c r="G122" s="47">
        <f t="shared" si="11"/>
        <v>0</v>
      </c>
      <c r="H122" s="88"/>
      <c r="I122" s="20">
        <v>40</v>
      </c>
      <c r="J122" s="82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134</v>
      </c>
      <c r="C123" s="79">
        <f>+'22'!G123</f>
        <v>0</v>
      </c>
      <c r="D123" s="87">
        <v>0</v>
      </c>
      <c r="E123" s="47">
        <f t="shared" si="0"/>
        <v>0</v>
      </c>
      <c r="F123" s="87">
        <v>0</v>
      </c>
      <c r="G123" s="47">
        <f t="shared" si="11"/>
        <v>0</v>
      </c>
      <c r="H123" s="88"/>
      <c r="I123" s="20">
        <v>35</v>
      </c>
      <c r="J123" s="82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135</v>
      </c>
      <c r="C124" s="79">
        <f>+'22'!G124</f>
        <v>0</v>
      </c>
      <c r="D124" s="87">
        <v>0</v>
      </c>
      <c r="E124" s="47">
        <f t="shared" si="0"/>
        <v>0</v>
      </c>
      <c r="F124" s="87">
        <v>0</v>
      </c>
      <c r="G124" s="47">
        <f t="shared" si="11"/>
        <v>0</v>
      </c>
      <c r="H124" s="88"/>
      <c r="I124" s="20">
        <v>40</v>
      </c>
      <c r="J124" s="82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136</v>
      </c>
      <c r="C125" s="79">
        <f>+'22'!G125</f>
        <v>0</v>
      </c>
      <c r="D125" s="87">
        <v>0</v>
      </c>
      <c r="E125" s="47">
        <f t="shared" si="0"/>
        <v>0</v>
      </c>
      <c r="F125" s="87">
        <v>0</v>
      </c>
      <c r="G125" s="47">
        <f t="shared" si="11"/>
        <v>0</v>
      </c>
      <c r="H125" s="88"/>
      <c r="I125" s="20">
        <v>40</v>
      </c>
      <c r="J125" s="82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137</v>
      </c>
      <c r="C126" s="79">
        <f>+'22'!G126</f>
        <v>0</v>
      </c>
      <c r="D126" s="87">
        <v>0</v>
      </c>
      <c r="E126" s="47">
        <f t="shared" ref="E126:E189" si="13">C126+D126</f>
        <v>0</v>
      </c>
      <c r="F126" s="87">
        <v>0</v>
      </c>
      <c r="G126" s="47">
        <f t="shared" si="11"/>
        <v>0</v>
      </c>
      <c r="H126" s="88"/>
      <c r="I126" s="20">
        <v>30</v>
      </c>
      <c r="J126" s="82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138</v>
      </c>
      <c r="C127" s="79">
        <f>+'22'!G127</f>
        <v>0</v>
      </c>
      <c r="D127" s="87">
        <v>0</v>
      </c>
      <c r="E127" s="47">
        <f t="shared" si="13"/>
        <v>0</v>
      </c>
      <c r="F127" s="87">
        <v>0</v>
      </c>
      <c r="G127" s="47">
        <f t="shared" si="11"/>
        <v>0</v>
      </c>
      <c r="H127" s="88"/>
      <c r="I127" s="20">
        <v>40</v>
      </c>
      <c r="J127" s="82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139</v>
      </c>
      <c r="C128" s="79">
        <f>+'22'!G128</f>
        <v>74</v>
      </c>
      <c r="D128" s="87">
        <v>0</v>
      </c>
      <c r="E128" s="47">
        <f t="shared" si="13"/>
        <v>74</v>
      </c>
      <c r="F128" s="87">
        <v>0</v>
      </c>
      <c r="G128" s="47">
        <f t="shared" si="11"/>
        <v>74</v>
      </c>
      <c r="H128" s="88"/>
      <c r="I128" s="20">
        <v>10</v>
      </c>
      <c r="J128" s="82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140</v>
      </c>
      <c r="C129" s="79">
        <f>+'22'!G129</f>
        <v>0</v>
      </c>
      <c r="D129" s="87">
        <v>0</v>
      </c>
      <c r="E129" s="47">
        <f t="shared" si="13"/>
        <v>0</v>
      </c>
      <c r="F129" s="87">
        <v>0</v>
      </c>
      <c r="G129" s="47">
        <f t="shared" si="11"/>
        <v>0</v>
      </c>
      <c r="H129" s="88"/>
      <c r="I129" s="20">
        <v>35</v>
      </c>
      <c r="J129" s="82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141</v>
      </c>
      <c r="C130" s="79">
        <f>+'22'!G130</f>
        <v>0</v>
      </c>
      <c r="D130" s="87">
        <v>0</v>
      </c>
      <c r="E130" s="47">
        <f t="shared" si="13"/>
        <v>0</v>
      </c>
      <c r="F130" s="87">
        <v>0</v>
      </c>
      <c r="G130" s="47">
        <f t="shared" si="11"/>
        <v>0</v>
      </c>
      <c r="H130" s="88"/>
      <c r="I130" s="20">
        <v>40</v>
      </c>
      <c r="J130" s="82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142</v>
      </c>
      <c r="C131" s="79">
        <f>+'22'!G131</f>
        <v>0</v>
      </c>
      <c r="D131" s="87">
        <v>0</v>
      </c>
      <c r="E131" s="47">
        <f t="shared" si="13"/>
        <v>0</v>
      </c>
      <c r="F131" s="87">
        <v>0</v>
      </c>
      <c r="G131" s="47">
        <f t="shared" si="11"/>
        <v>0</v>
      </c>
      <c r="H131" s="88"/>
      <c r="I131" s="20">
        <v>50</v>
      </c>
      <c r="J131" s="82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143</v>
      </c>
      <c r="C132" s="79">
        <f>+'22'!G132</f>
        <v>0</v>
      </c>
      <c r="D132" s="87">
        <v>0</v>
      </c>
      <c r="E132" s="47">
        <f t="shared" si="13"/>
        <v>0</v>
      </c>
      <c r="F132" s="87">
        <v>0</v>
      </c>
      <c r="G132" s="47">
        <f t="shared" si="11"/>
        <v>0</v>
      </c>
      <c r="H132" s="88"/>
      <c r="I132" s="20">
        <v>55</v>
      </c>
      <c r="J132" s="82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144</v>
      </c>
      <c r="C133" s="79">
        <f>+'22'!G133</f>
        <v>0</v>
      </c>
      <c r="D133" s="87">
        <v>0</v>
      </c>
      <c r="E133" s="47">
        <f t="shared" si="13"/>
        <v>0</v>
      </c>
      <c r="F133" s="87">
        <v>0</v>
      </c>
      <c r="G133" s="47">
        <f t="shared" si="11"/>
        <v>0</v>
      </c>
      <c r="H133" s="88"/>
      <c r="I133" s="20">
        <v>55</v>
      </c>
      <c r="J133" s="82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145</v>
      </c>
      <c r="C134" s="79">
        <f>+'22'!G134</f>
        <v>0</v>
      </c>
      <c r="D134" s="87">
        <v>0</v>
      </c>
      <c r="E134" s="47">
        <f t="shared" si="13"/>
        <v>0</v>
      </c>
      <c r="F134" s="87">
        <v>0</v>
      </c>
      <c r="G134" s="47">
        <f t="shared" si="11"/>
        <v>0</v>
      </c>
      <c r="H134" s="88"/>
      <c r="I134" s="20">
        <v>45</v>
      </c>
      <c r="J134" s="82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5.5" x14ac:dyDescent="0.55000000000000004">
      <c r="A135" s="10">
        <v>131</v>
      </c>
      <c r="B135" s="19" t="s">
        <v>146</v>
      </c>
      <c r="C135" s="79">
        <f>+'22'!G135</f>
        <v>0</v>
      </c>
      <c r="D135" s="87">
        <v>0</v>
      </c>
      <c r="E135" s="47">
        <f t="shared" si="13"/>
        <v>0</v>
      </c>
      <c r="F135" s="87">
        <v>0</v>
      </c>
      <c r="G135" s="47">
        <f t="shared" si="11"/>
        <v>0</v>
      </c>
      <c r="H135" s="88"/>
      <c r="I135" s="20">
        <v>45</v>
      </c>
      <c r="J135" s="82">
        <f t="shared" si="12"/>
        <v>0</v>
      </c>
      <c r="K135" s="17" t="s">
        <v>16</v>
      </c>
      <c r="L135" s="18">
        <v>0</v>
      </c>
      <c r="M135" s="23">
        <f t="shared" ref="M135:M198" si="14">SUM(J135-L135)</f>
        <v>0</v>
      </c>
    </row>
    <row r="136" spans="1:13" ht="25.5" x14ac:dyDescent="0.55000000000000004">
      <c r="A136" s="10">
        <v>132</v>
      </c>
      <c r="B136" s="19" t="s">
        <v>147</v>
      </c>
      <c r="C136" s="79">
        <f>+'22'!G136</f>
        <v>0</v>
      </c>
      <c r="D136" s="87">
        <v>0</v>
      </c>
      <c r="E136" s="47">
        <f t="shared" si="13"/>
        <v>0</v>
      </c>
      <c r="F136" s="87">
        <v>0</v>
      </c>
      <c r="G136" s="47">
        <f t="shared" si="11"/>
        <v>0</v>
      </c>
      <c r="H136" s="88"/>
      <c r="I136" s="20">
        <v>55</v>
      </c>
      <c r="J136" s="82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148</v>
      </c>
      <c r="C137" s="79">
        <f>+'22'!G137</f>
        <v>0</v>
      </c>
      <c r="D137" s="87">
        <v>0</v>
      </c>
      <c r="E137" s="47">
        <f t="shared" si="13"/>
        <v>0</v>
      </c>
      <c r="F137" s="87">
        <v>0</v>
      </c>
      <c r="G137" s="47">
        <f t="shared" si="11"/>
        <v>0</v>
      </c>
      <c r="H137" s="88"/>
      <c r="I137" s="20">
        <v>45</v>
      </c>
      <c r="J137" s="82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149</v>
      </c>
      <c r="C138" s="79">
        <f>+'22'!G138</f>
        <v>0</v>
      </c>
      <c r="D138" s="87">
        <v>0</v>
      </c>
      <c r="E138" s="47">
        <f t="shared" si="13"/>
        <v>0</v>
      </c>
      <c r="F138" s="87">
        <v>0</v>
      </c>
      <c r="G138" s="47">
        <f t="shared" si="11"/>
        <v>0</v>
      </c>
      <c r="H138" s="88"/>
      <c r="I138" s="20">
        <v>45</v>
      </c>
      <c r="J138" s="82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150</v>
      </c>
      <c r="C139" s="79">
        <f>+'22'!G139</f>
        <v>0</v>
      </c>
      <c r="D139" s="87">
        <v>0</v>
      </c>
      <c r="E139" s="47">
        <f t="shared" si="13"/>
        <v>0</v>
      </c>
      <c r="F139" s="87">
        <v>0</v>
      </c>
      <c r="G139" s="47">
        <f t="shared" si="11"/>
        <v>0</v>
      </c>
      <c r="H139" s="88"/>
      <c r="I139" s="20">
        <v>45</v>
      </c>
      <c r="J139" s="82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151</v>
      </c>
      <c r="C140" s="79">
        <f>+'22'!G140</f>
        <v>0</v>
      </c>
      <c r="D140" s="87">
        <v>0</v>
      </c>
      <c r="E140" s="47">
        <f t="shared" si="13"/>
        <v>0</v>
      </c>
      <c r="F140" s="87">
        <v>0</v>
      </c>
      <c r="G140" s="47">
        <f t="shared" si="11"/>
        <v>0</v>
      </c>
      <c r="H140" s="88"/>
      <c r="I140" s="20">
        <v>45</v>
      </c>
      <c r="J140" s="82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152</v>
      </c>
      <c r="C141" s="79">
        <f>+'22'!G141</f>
        <v>0</v>
      </c>
      <c r="D141" s="87">
        <v>0</v>
      </c>
      <c r="E141" s="47">
        <f t="shared" si="13"/>
        <v>0</v>
      </c>
      <c r="F141" s="87">
        <v>0</v>
      </c>
      <c r="G141" s="47">
        <f t="shared" si="11"/>
        <v>0</v>
      </c>
      <c r="H141" s="88"/>
      <c r="I141" s="20">
        <v>45</v>
      </c>
      <c r="J141" s="82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153</v>
      </c>
      <c r="C142" s="79">
        <f>+'22'!G142</f>
        <v>0</v>
      </c>
      <c r="D142" s="87">
        <v>0</v>
      </c>
      <c r="E142" s="47">
        <f t="shared" si="13"/>
        <v>0</v>
      </c>
      <c r="F142" s="87">
        <v>0</v>
      </c>
      <c r="G142" s="47">
        <f t="shared" si="11"/>
        <v>0</v>
      </c>
      <c r="H142" s="88"/>
      <c r="I142" s="20">
        <v>45</v>
      </c>
      <c r="J142" s="82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154</v>
      </c>
      <c r="C143" s="79">
        <f>+'22'!G143</f>
        <v>0</v>
      </c>
      <c r="D143" s="87">
        <v>0</v>
      </c>
      <c r="E143" s="47">
        <f t="shared" si="13"/>
        <v>0</v>
      </c>
      <c r="F143" s="87">
        <v>0</v>
      </c>
      <c r="G143" s="47">
        <f t="shared" si="11"/>
        <v>0</v>
      </c>
      <c r="H143" s="88"/>
      <c r="I143" s="20">
        <v>120</v>
      </c>
      <c r="J143" s="82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155</v>
      </c>
      <c r="C144" s="79">
        <f>+'22'!G144</f>
        <v>0</v>
      </c>
      <c r="D144" s="87">
        <v>0</v>
      </c>
      <c r="E144" s="47">
        <f t="shared" si="13"/>
        <v>0</v>
      </c>
      <c r="F144" s="87">
        <v>0</v>
      </c>
      <c r="G144" s="47">
        <f t="shared" si="11"/>
        <v>0</v>
      </c>
      <c r="H144" s="88"/>
      <c r="I144" s="20">
        <v>120</v>
      </c>
      <c r="J144" s="82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156</v>
      </c>
      <c r="C145" s="79">
        <f>+'22'!G145</f>
        <v>0</v>
      </c>
      <c r="D145" s="87">
        <v>0</v>
      </c>
      <c r="E145" s="47">
        <f t="shared" si="13"/>
        <v>0</v>
      </c>
      <c r="F145" s="87">
        <v>0</v>
      </c>
      <c r="G145" s="47">
        <f t="shared" si="11"/>
        <v>0</v>
      </c>
      <c r="H145" s="88"/>
      <c r="I145" s="20">
        <v>120</v>
      </c>
      <c r="J145" s="82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157</v>
      </c>
      <c r="C146" s="79">
        <f>+'22'!G146</f>
        <v>0</v>
      </c>
      <c r="D146" s="87">
        <v>0</v>
      </c>
      <c r="E146" s="47">
        <f t="shared" si="13"/>
        <v>0</v>
      </c>
      <c r="F146" s="87">
        <v>0</v>
      </c>
      <c r="G146" s="47">
        <f t="shared" si="11"/>
        <v>0</v>
      </c>
      <c r="H146" s="88"/>
      <c r="I146" s="20">
        <v>120</v>
      </c>
      <c r="J146" s="82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158</v>
      </c>
      <c r="C147" s="79">
        <f>+'22'!G147</f>
        <v>0</v>
      </c>
      <c r="D147" s="87">
        <v>0</v>
      </c>
      <c r="E147" s="47">
        <f t="shared" si="13"/>
        <v>0</v>
      </c>
      <c r="F147" s="87">
        <v>0</v>
      </c>
      <c r="G147" s="47">
        <f t="shared" si="11"/>
        <v>0</v>
      </c>
      <c r="H147" s="88"/>
      <c r="I147" s="20">
        <v>185</v>
      </c>
      <c r="J147" s="82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159</v>
      </c>
      <c r="C148" s="79">
        <f>+'22'!G148</f>
        <v>0</v>
      </c>
      <c r="D148" s="87">
        <v>0</v>
      </c>
      <c r="E148" s="47">
        <f t="shared" si="13"/>
        <v>0</v>
      </c>
      <c r="F148" s="87">
        <v>0</v>
      </c>
      <c r="G148" s="47">
        <f t="shared" si="11"/>
        <v>0</v>
      </c>
      <c r="H148" s="88"/>
      <c r="I148" s="20">
        <v>185</v>
      </c>
      <c r="J148" s="82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160</v>
      </c>
      <c r="C149" s="79">
        <f>+'22'!G149</f>
        <v>0</v>
      </c>
      <c r="D149" s="87">
        <v>0</v>
      </c>
      <c r="E149" s="47">
        <f t="shared" si="13"/>
        <v>0</v>
      </c>
      <c r="F149" s="87">
        <v>0</v>
      </c>
      <c r="G149" s="47">
        <f t="shared" si="11"/>
        <v>0</v>
      </c>
      <c r="H149" s="88"/>
      <c r="I149" s="20">
        <v>185</v>
      </c>
      <c r="J149" s="82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161</v>
      </c>
      <c r="C150" s="79">
        <f>+'22'!G150</f>
        <v>0</v>
      </c>
      <c r="D150" s="87">
        <v>0</v>
      </c>
      <c r="E150" s="47">
        <f t="shared" si="13"/>
        <v>0</v>
      </c>
      <c r="F150" s="87">
        <v>0</v>
      </c>
      <c r="G150" s="47">
        <f t="shared" si="11"/>
        <v>0</v>
      </c>
      <c r="H150" s="88"/>
      <c r="I150" s="20">
        <v>185</v>
      </c>
      <c r="J150" s="82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5.5" x14ac:dyDescent="0.55000000000000004">
      <c r="A151" s="10">
        <v>147</v>
      </c>
      <c r="B151" s="19" t="s">
        <v>279</v>
      </c>
      <c r="C151" s="79">
        <f>+'22'!G151</f>
        <v>0</v>
      </c>
      <c r="D151" s="87">
        <v>0</v>
      </c>
      <c r="E151" s="47">
        <f t="shared" si="13"/>
        <v>0</v>
      </c>
      <c r="F151" s="87">
        <v>0</v>
      </c>
      <c r="G151" s="47">
        <f t="shared" si="11"/>
        <v>0</v>
      </c>
      <c r="H151" s="88"/>
      <c r="I151" s="20">
        <v>150</v>
      </c>
      <c r="J151" s="82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280</v>
      </c>
      <c r="C152" s="79">
        <f>+'22'!G152</f>
        <v>1</v>
      </c>
      <c r="D152" s="87">
        <v>0</v>
      </c>
      <c r="E152" s="47">
        <f t="shared" si="13"/>
        <v>1</v>
      </c>
      <c r="F152" s="87">
        <v>0</v>
      </c>
      <c r="G152" s="47">
        <f t="shared" si="11"/>
        <v>1</v>
      </c>
      <c r="H152" s="88"/>
      <c r="I152" s="20">
        <v>150</v>
      </c>
      <c r="J152" s="82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5.5" x14ac:dyDescent="0.55000000000000004">
      <c r="A153" s="10">
        <v>149</v>
      </c>
      <c r="B153" s="19" t="s">
        <v>281</v>
      </c>
      <c r="C153" s="79">
        <f>+'22'!G153</f>
        <v>0</v>
      </c>
      <c r="D153" s="87">
        <v>0</v>
      </c>
      <c r="E153" s="47">
        <f t="shared" si="13"/>
        <v>0</v>
      </c>
      <c r="F153" s="87">
        <v>0</v>
      </c>
      <c r="G153" s="47">
        <f t="shared" si="11"/>
        <v>0</v>
      </c>
      <c r="H153" s="88"/>
      <c r="I153" s="20">
        <v>150</v>
      </c>
      <c r="J153" s="82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282</v>
      </c>
      <c r="C154" s="79">
        <f>+'22'!G154</f>
        <v>0</v>
      </c>
      <c r="D154" s="87">
        <v>0</v>
      </c>
      <c r="E154" s="47">
        <f t="shared" si="13"/>
        <v>0</v>
      </c>
      <c r="F154" s="87">
        <v>0</v>
      </c>
      <c r="G154" s="47">
        <f t="shared" si="11"/>
        <v>0</v>
      </c>
      <c r="H154" s="88"/>
      <c r="I154" s="20">
        <v>150</v>
      </c>
      <c r="J154" s="82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166</v>
      </c>
      <c r="C155" s="79">
        <f>+'22'!G155</f>
        <v>0</v>
      </c>
      <c r="D155" s="87">
        <v>0</v>
      </c>
      <c r="E155" s="47">
        <f t="shared" si="13"/>
        <v>0</v>
      </c>
      <c r="F155" s="87">
        <v>0</v>
      </c>
      <c r="G155" s="47">
        <f t="shared" si="11"/>
        <v>0</v>
      </c>
      <c r="H155" s="88"/>
      <c r="I155" s="20">
        <v>185</v>
      </c>
      <c r="J155" s="82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167</v>
      </c>
      <c r="C156" s="79">
        <f>+'22'!G156</f>
        <v>0</v>
      </c>
      <c r="D156" s="87">
        <v>0</v>
      </c>
      <c r="E156" s="47">
        <f t="shared" si="13"/>
        <v>0</v>
      </c>
      <c r="F156" s="87">
        <v>0</v>
      </c>
      <c r="G156" s="47">
        <f t="shared" si="11"/>
        <v>0</v>
      </c>
      <c r="H156" s="88"/>
      <c r="I156" s="20">
        <v>185</v>
      </c>
      <c r="J156" s="82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168</v>
      </c>
      <c r="C157" s="79">
        <f>+'22'!G157</f>
        <v>0</v>
      </c>
      <c r="D157" s="87">
        <v>0</v>
      </c>
      <c r="E157" s="47">
        <f t="shared" si="13"/>
        <v>0</v>
      </c>
      <c r="F157" s="87">
        <v>0</v>
      </c>
      <c r="G157" s="47">
        <f t="shared" si="11"/>
        <v>0</v>
      </c>
      <c r="H157" s="88"/>
      <c r="I157" s="20">
        <v>185</v>
      </c>
      <c r="J157" s="82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169</v>
      </c>
      <c r="C158" s="79">
        <f>+'22'!G158</f>
        <v>0</v>
      </c>
      <c r="D158" s="87">
        <v>0</v>
      </c>
      <c r="E158" s="47">
        <f t="shared" si="13"/>
        <v>0</v>
      </c>
      <c r="F158" s="87">
        <v>0</v>
      </c>
      <c r="G158" s="47">
        <f t="shared" si="11"/>
        <v>0</v>
      </c>
      <c r="H158" s="88"/>
      <c r="I158" s="20">
        <v>185</v>
      </c>
      <c r="J158" s="82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170</v>
      </c>
      <c r="C159" s="79">
        <f>+'22'!G159</f>
        <v>0</v>
      </c>
      <c r="D159" s="87">
        <v>0</v>
      </c>
      <c r="E159" s="47">
        <f t="shared" si="13"/>
        <v>0</v>
      </c>
      <c r="F159" s="87">
        <v>0</v>
      </c>
      <c r="G159" s="47">
        <f t="shared" si="11"/>
        <v>0</v>
      </c>
      <c r="H159" s="88"/>
      <c r="I159" s="20">
        <v>135</v>
      </c>
      <c r="J159" s="82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171</v>
      </c>
      <c r="C160" s="79">
        <f>+'22'!G160</f>
        <v>0</v>
      </c>
      <c r="D160" s="87">
        <v>0</v>
      </c>
      <c r="E160" s="47">
        <f t="shared" si="13"/>
        <v>0</v>
      </c>
      <c r="F160" s="87">
        <v>0</v>
      </c>
      <c r="G160" s="47">
        <f t="shared" si="11"/>
        <v>0</v>
      </c>
      <c r="H160" s="88"/>
      <c r="I160" s="20">
        <v>90</v>
      </c>
      <c r="J160" s="82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172</v>
      </c>
      <c r="C161" s="79">
        <f>+'22'!G161</f>
        <v>0</v>
      </c>
      <c r="D161" s="87">
        <v>0</v>
      </c>
      <c r="E161" s="47">
        <f t="shared" si="13"/>
        <v>0</v>
      </c>
      <c r="F161" s="87">
        <v>0</v>
      </c>
      <c r="G161" s="47">
        <f t="shared" si="11"/>
        <v>0</v>
      </c>
      <c r="H161" s="88"/>
      <c r="I161" s="20">
        <v>90</v>
      </c>
      <c r="J161" s="82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173</v>
      </c>
      <c r="C162" s="79">
        <f>+'22'!G162</f>
        <v>0</v>
      </c>
      <c r="D162" s="87">
        <v>0</v>
      </c>
      <c r="E162" s="47">
        <f t="shared" si="13"/>
        <v>0</v>
      </c>
      <c r="F162" s="87">
        <v>0</v>
      </c>
      <c r="G162" s="47">
        <f t="shared" si="11"/>
        <v>0</v>
      </c>
      <c r="H162" s="88"/>
      <c r="I162" s="20">
        <v>90</v>
      </c>
      <c r="J162" s="82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174</v>
      </c>
      <c r="C163" s="79">
        <f>+'22'!G163</f>
        <v>0</v>
      </c>
      <c r="D163" s="87">
        <v>0</v>
      </c>
      <c r="E163" s="47">
        <f t="shared" si="13"/>
        <v>0</v>
      </c>
      <c r="F163" s="87">
        <v>0</v>
      </c>
      <c r="G163" s="47">
        <f t="shared" si="11"/>
        <v>0</v>
      </c>
      <c r="H163" s="88"/>
      <c r="I163" s="20">
        <v>90</v>
      </c>
      <c r="J163" s="82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175</v>
      </c>
      <c r="C164" s="79">
        <f>+'22'!G164</f>
        <v>0</v>
      </c>
      <c r="D164" s="87">
        <v>0</v>
      </c>
      <c r="E164" s="47">
        <f t="shared" si="13"/>
        <v>0</v>
      </c>
      <c r="F164" s="87">
        <v>0</v>
      </c>
      <c r="G164" s="47">
        <f t="shared" si="11"/>
        <v>0</v>
      </c>
      <c r="H164" s="88"/>
      <c r="I164" s="20">
        <v>25</v>
      </c>
      <c r="J164" s="82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176</v>
      </c>
      <c r="C165" s="79">
        <f>+'22'!G165</f>
        <v>0</v>
      </c>
      <c r="D165" s="87">
        <v>0</v>
      </c>
      <c r="E165" s="47">
        <f t="shared" si="13"/>
        <v>0</v>
      </c>
      <c r="F165" s="87">
        <v>0</v>
      </c>
      <c r="G165" s="47">
        <f t="shared" ref="G165:G227" si="15">+E165-F165-H165</f>
        <v>0</v>
      </c>
      <c r="H165" s="88"/>
      <c r="I165" s="20">
        <v>50</v>
      </c>
      <c r="J165" s="82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177</v>
      </c>
      <c r="C166" s="79">
        <f>+'22'!G166</f>
        <v>0</v>
      </c>
      <c r="D166" s="87">
        <v>0</v>
      </c>
      <c r="E166" s="47">
        <f t="shared" si="13"/>
        <v>0</v>
      </c>
      <c r="F166" s="87">
        <v>0</v>
      </c>
      <c r="G166" s="47">
        <f t="shared" si="15"/>
        <v>0</v>
      </c>
      <c r="H166" s="88"/>
      <c r="I166" s="20">
        <v>50</v>
      </c>
      <c r="J166" s="82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178</v>
      </c>
      <c r="C167" s="79">
        <f>+'22'!G167</f>
        <v>0</v>
      </c>
      <c r="D167" s="87">
        <v>0</v>
      </c>
      <c r="E167" s="47">
        <f t="shared" si="13"/>
        <v>0</v>
      </c>
      <c r="F167" s="87">
        <v>0</v>
      </c>
      <c r="G167" s="47">
        <f t="shared" si="15"/>
        <v>0</v>
      </c>
      <c r="H167" s="88"/>
      <c r="I167" s="20">
        <v>50</v>
      </c>
      <c r="J167" s="82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179</v>
      </c>
      <c r="C168" s="79">
        <f>+'22'!G168</f>
        <v>0</v>
      </c>
      <c r="D168" s="87">
        <v>0</v>
      </c>
      <c r="E168" s="47">
        <f t="shared" si="13"/>
        <v>0</v>
      </c>
      <c r="F168" s="87">
        <v>0</v>
      </c>
      <c r="G168" s="47">
        <f t="shared" si="15"/>
        <v>0</v>
      </c>
      <c r="H168" s="88"/>
      <c r="I168" s="20">
        <v>50</v>
      </c>
      <c r="J168" s="82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180</v>
      </c>
      <c r="C169" s="79">
        <f>+'22'!G169</f>
        <v>39</v>
      </c>
      <c r="D169" s="87">
        <v>0</v>
      </c>
      <c r="E169" s="47">
        <f t="shared" si="13"/>
        <v>39</v>
      </c>
      <c r="F169" s="87">
        <v>0</v>
      </c>
      <c r="G169" s="47">
        <f t="shared" si="15"/>
        <v>39</v>
      </c>
      <c r="H169" s="88"/>
      <c r="I169" s="20">
        <v>55</v>
      </c>
      <c r="J169" s="82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181</v>
      </c>
      <c r="C170" s="79">
        <f>+'22'!G170</f>
        <v>0</v>
      </c>
      <c r="D170" s="87">
        <v>0</v>
      </c>
      <c r="E170" s="47">
        <f t="shared" si="13"/>
        <v>0</v>
      </c>
      <c r="F170" s="87">
        <v>0</v>
      </c>
      <c r="G170" s="47">
        <f t="shared" si="15"/>
        <v>0</v>
      </c>
      <c r="H170" s="88"/>
      <c r="I170" s="20">
        <v>85</v>
      </c>
      <c r="J170" s="82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182</v>
      </c>
      <c r="C171" s="79">
        <v>5</v>
      </c>
      <c r="D171" s="87">
        <v>0</v>
      </c>
      <c r="E171" s="47">
        <f t="shared" si="13"/>
        <v>5</v>
      </c>
      <c r="F171" s="87">
        <v>0</v>
      </c>
      <c r="G171" s="47">
        <f t="shared" si="15"/>
        <v>3</v>
      </c>
      <c r="H171" s="88">
        <v>2</v>
      </c>
      <c r="I171" s="20">
        <v>80</v>
      </c>
      <c r="J171" s="82">
        <f t="shared" si="16"/>
        <v>160</v>
      </c>
      <c r="K171" s="17" t="s">
        <v>16</v>
      </c>
      <c r="L171" s="18">
        <v>0</v>
      </c>
      <c r="M171" s="23">
        <f t="shared" si="14"/>
        <v>160</v>
      </c>
    </row>
    <row r="172" spans="1:13" ht="25.5" x14ac:dyDescent="0.55000000000000004">
      <c r="A172" s="10">
        <v>168</v>
      </c>
      <c r="B172" s="19" t="s">
        <v>183</v>
      </c>
      <c r="C172" s="79">
        <f>+'22'!G172</f>
        <v>0</v>
      </c>
      <c r="D172" s="87">
        <v>0</v>
      </c>
      <c r="E172" s="47">
        <f t="shared" si="13"/>
        <v>0</v>
      </c>
      <c r="F172" s="87">
        <v>0</v>
      </c>
      <c r="G172" s="47">
        <f t="shared" si="15"/>
        <v>0</v>
      </c>
      <c r="H172" s="88"/>
      <c r="I172" s="20">
        <v>40</v>
      </c>
      <c r="J172" s="82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184</v>
      </c>
      <c r="C173" s="79">
        <f>+'22'!G173</f>
        <v>0</v>
      </c>
      <c r="D173" s="87">
        <v>0</v>
      </c>
      <c r="E173" s="47">
        <f t="shared" si="13"/>
        <v>0</v>
      </c>
      <c r="F173" s="87">
        <v>0</v>
      </c>
      <c r="G173" s="47">
        <f t="shared" si="15"/>
        <v>0</v>
      </c>
      <c r="H173" s="88"/>
      <c r="I173" s="20">
        <v>120</v>
      </c>
      <c r="J173" s="82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185</v>
      </c>
      <c r="C174" s="79">
        <f>+'22'!G174</f>
        <v>0</v>
      </c>
      <c r="D174" s="87">
        <v>0</v>
      </c>
      <c r="E174" s="47">
        <f t="shared" si="13"/>
        <v>0</v>
      </c>
      <c r="F174" s="87">
        <v>0</v>
      </c>
      <c r="G174" s="47">
        <f t="shared" si="15"/>
        <v>0</v>
      </c>
      <c r="H174" s="88"/>
      <c r="I174" s="20">
        <v>120</v>
      </c>
      <c r="J174" s="82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186</v>
      </c>
      <c r="C175" s="79">
        <f>+'22'!G175</f>
        <v>0</v>
      </c>
      <c r="D175" s="87">
        <v>0</v>
      </c>
      <c r="E175" s="47">
        <f t="shared" si="13"/>
        <v>0</v>
      </c>
      <c r="F175" s="87">
        <v>0</v>
      </c>
      <c r="G175" s="47">
        <f t="shared" si="15"/>
        <v>0</v>
      </c>
      <c r="H175" s="88"/>
      <c r="I175" s="20">
        <v>55</v>
      </c>
      <c r="J175" s="82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187</v>
      </c>
      <c r="C176" s="79">
        <f>+'22'!G176</f>
        <v>0</v>
      </c>
      <c r="D176" s="87">
        <v>0</v>
      </c>
      <c r="E176" s="47">
        <f t="shared" si="13"/>
        <v>0</v>
      </c>
      <c r="F176" s="87">
        <v>0</v>
      </c>
      <c r="G176" s="47">
        <f t="shared" si="15"/>
        <v>0</v>
      </c>
      <c r="H176" s="88"/>
      <c r="I176" s="20">
        <v>50</v>
      </c>
      <c r="J176" s="82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188</v>
      </c>
      <c r="C177" s="79">
        <f>+'22'!G177</f>
        <v>0</v>
      </c>
      <c r="D177" s="87">
        <v>0</v>
      </c>
      <c r="E177" s="47">
        <f t="shared" si="13"/>
        <v>0</v>
      </c>
      <c r="F177" s="87">
        <v>0</v>
      </c>
      <c r="G177" s="47">
        <f t="shared" si="15"/>
        <v>0</v>
      </c>
      <c r="H177" s="88"/>
      <c r="I177" s="20">
        <v>50</v>
      </c>
      <c r="J177" s="82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189</v>
      </c>
      <c r="C178" s="79">
        <f>+'22'!G178</f>
        <v>0</v>
      </c>
      <c r="D178" s="87">
        <v>0</v>
      </c>
      <c r="E178" s="47">
        <f t="shared" si="13"/>
        <v>0</v>
      </c>
      <c r="F178" s="87">
        <v>0</v>
      </c>
      <c r="G178" s="47">
        <f t="shared" si="15"/>
        <v>0</v>
      </c>
      <c r="H178" s="88"/>
      <c r="I178" s="20">
        <v>120</v>
      </c>
      <c r="J178" s="82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190</v>
      </c>
      <c r="C179" s="79">
        <f>+'22'!G179</f>
        <v>0</v>
      </c>
      <c r="D179" s="87">
        <v>0</v>
      </c>
      <c r="E179" s="47">
        <f t="shared" si="13"/>
        <v>0</v>
      </c>
      <c r="F179" s="87">
        <v>0</v>
      </c>
      <c r="G179" s="47">
        <f t="shared" si="15"/>
        <v>0</v>
      </c>
      <c r="H179" s="88"/>
      <c r="I179" s="20">
        <v>120</v>
      </c>
      <c r="J179" s="82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191</v>
      </c>
      <c r="C180" s="79">
        <f>+'22'!G180</f>
        <v>0</v>
      </c>
      <c r="D180" s="87">
        <v>0</v>
      </c>
      <c r="E180" s="47">
        <f t="shared" si="13"/>
        <v>0</v>
      </c>
      <c r="F180" s="87">
        <v>0</v>
      </c>
      <c r="G180" s="47">
        <f t="shared" si="15"/>
        <v>0</v>
      </c>
      <c r="H180" s="88"/>
      <c r="I180" s="20">
        <v>10</v>
      </c>
      <c r="J180" s="82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192</v>
      </c>
      <c r="C181" s="79">
        <f>+'22'!G181</f>
        <v>0</v>
      </c>
      <c r="D181" s="87">
        <v>0</v>
      </c>
      <c r="E181" s="47">
        <f t="shared" si="13"/>
        <v>0</v>
      </c>
      <c r="F181" s="87">
        <v>0</v>
      </c>
      <c r="G181" s="47">
        <f t="shared" si="15"/>
        <v>0</v>
      </c>
      <c r="H181" s="88"/>
      <c r="I181" s="20">
        <v>35</v>
      </c>
      <c r="J181" s="82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193</v>
      </c>
      <c r="C182" s="79">
        <f>+'22'!G182</f>
        <v>0</v>
      </c>
      <c r="D182" s="87">
        <v>0</v>
      </c>
      <c r="E182" s="47">
        <f t="shared" si="13"/>
        <v>0</v>
      </c>
      <c r="F182" s="87">
        <v>0</v>
      </c>
      <c r="G182" s="47">
        <f t="shared" si="15"/>
        <v>0</v>
      </c>
      <c r="H182" s="88"/>
      <c r="I182" s="20">
        <v>10</v>
      </c>
      <c r="J182" s="82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194</v>
      </c>
      <c r="C183" s="79">
        <f>+'22'!G183</f>
        <v>0</v>
      </c>
      <c r="D183" s="87">
        <v>0</v>
      </c>
      <c r="E183" s="47">
        <f t="shared" si="13"/>
        <v>0</v>
      </c>
      <c r="F183" s="87">
        <v>0</v>
      </c>
      <c r="G183" s="47">
        <f t="shared" si="15"/>
        <v>0</v>
      </c>
      <c r="H183" s="88"/>
      <c r="I183" s="20">
        <v>10</v>
      </c>
      <c r="J183" s="82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195</v>
      </c>
      <c r="C184" s="79">
        <f>+'22'!G184</f>
        <v>0</v>
      </c>
      <c r="D184" s="87">
        <v>0</v>
      </c>
      <c r="E184" s="47">
        <f t="shared" si="13"/>
        <v>0</v>
      </c>
      <c r="F184" s="87">
        <v>0</v>
      </c>
      <c r="G184" s="47">
        <f t="shared" si="15"/>
        <v>0</v>
      </c>
      <c r="H184" s="88"/>
      <c r="I184" s="20">
        <v>10</v>
      </c>
      <c r="J184" s="82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196</v>
      </c>
      <c r="C185" s="79">
        <f>+'22'!G185</f>
        <v>0</v>
      </c>
      <c r="D185" s="87">
        <v>0</v>
      </c>
      <c r="E185" s="47">
        <f t="shared" si="13"/>
        <v>0</v>
      </c>
      <c r="F185" s="87">
        <v>0</v>
      </c>
      <c r="G185" s="47">
        <f t="shared" si="15"/>
        <v>0</v>
      </c>
      <c r="H185" s="88"/>
      <c r="I185" s="20">
        <v>10</v>
      </c>
      <c r="J185" s="82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197</v>
      </c>
      <c r="C186" s="79">
        <f>+'22'!G186</f>
        <v>0</v>
      </c>
      <c r="D186" s="87">
        <v>0</v>
      </c>
      <c r="E186" s="47">
        <f t="shared" si="13"/>
        <v>0</v>
      </c>
      <c r="F186" s="87">
        <v>0</v>
      </c>
      <c r="G186" s="47">
        <f t="shared" si="15"/>
        <v>0</v>
      </c>
      <c r="H186" s="88"/>
      <c r="I186" s="20">
        <v>10</v>
      </c>
      <c r="J186" s="82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198</v>
      </c>
      <c r="C187" s="79">
        <f>+'22'!G187</f>
        <v>0</v>
      </c>
      <c r="D187" s="87">
        <v>0</v>
      </c>
      <c r="E187" s="47">
        <f t="shared" si="13"/>
        <v>0</v>
      </c>
      <c r="F187" s="87">
        <v>0</v>
      </c>
      <c r="G187" s="47">
        <f t="shared" si="15"/>
        <v>0</v>
      </c>
      <c r="H187" s="88"/>
      <c r="I187" s="20">
        <v>25</v>
      </c>
      <c r="J187" s="82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249</v>
      </c>
      <c r="C188" s="79">
        <f>+'22'!G188</f>
        <v>0</v>
      </c>
      <c r="D188" s="87">
        <v>0</v>
      </c>
      <c r="E188" s="47">
        <f t="shared" si="13"/>
        <v>0</v>
      </c>
      <c r="F188" s="87">
        <v>0</v>
      </c>
      <c r="G188" s="47">
        <f t="shared" si="15"/>
        <v>0</v>
      </c>
      <c r="H188" s="88"/>
      <c r="I188" s="15">
        <v>50</v>
      </c>
      <c r="J188" s="82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250</v>
      </c>
      <c r="C189" s="79">
        <f>+'22'!G189</f>
        <v>0</v>
      </c>
      <c r="D189" s="87">
        <v>0</v>
      </c>
      <c r="E189" s="47">
        <f t="shared" si="13"/>
        <v>0</v>
      </c>
      <c r="F189" s="87">
        <v>0</v>
      </c>
      <c r="G189" s="47">
        <f t="shared" si="15"/>
        <v>0</v>
      </c>
      <c r="H189" s="88"/>
      <c r="I189" s="15">
        <v>10</v>
      </c>
      <c r="J189" s="82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251</v>
      </c>
      <c r="C190" s="79">
        <f>+'22'!G190</f>
        <v>0</v>
      </c>
      <c r="D190" s="87">
        <v>0</v>
      </c>
      <c r="E190" s="47">
        <f t="shared" ref="E190:E252" si="17">C190+D190</f>
        <v>0</v>
      </c>
      <c r="F190" s="87">
        <v>0</v>
      </c>
      <c r="G190" s="47">
        <f t="shared" si="15"/>
        <v>0</v>
      </c>
      <c r="H190" s="88"/>
      <c r="I190" s="15">
        <v>15</v>
      </c>
      <c r="J190" s="82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252</v>
      </c>
      <c r="C191" s="79">
        <f>+'22'!G191</f>
        <v>0</v>
      </c>
      <c r="D191" s="87">
        <v>0</v>
      </c>
      <c r="E191" s="47">
        <f t="shared" si="17"/>
        <v>0</v>
      </c>
      <c r="F191" s="87">
        <v>0</v>
      </c>
      <c r="G191" s="47">
        <f t="shared" si="15"/>
        <v>0</v>
      </c>
      <c r="H191" s="88"/>
      <c r="I191" s="15">
        <v>25</v>
      </c>
      <c r="J191" s="82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253</v>
      </c>
      <c r="C192" s="79">
        <f>+'22'!G192</f>
        <v>0</v>
      </c>
      <c r="D192" s="87">
        <v>0</v>
      </c>
      <c r="E192" s="47">
        <f t="shared" si="17"/>
        <v>0</v>
      </c>
      <c r="F192" s="87">
        <v>0</v>
      </c>
      <c r="G192" s="47">
        <f t="shared" si="15"/>
        <v>0</v>
      </c>
      <c r="H192" s="88"/>
      <c r="I192" s="15">
        <v>50</v>
      </c>
      <c r="J192" s="82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254</v>
      </c>
      <c r="C193" s="79">
        <f>+'22'!G193</f>
        <v>0</v>
      </c>
      <c r="D193" s="87">
        <v>0</v>
      </c>
      <c r="E193" s="47">
        <f t="shared" si="17"/>
        <v>0</v>
      </c>
      <c r="F193" s="87">
        <v>0</v>
      </c>
      <c r="G193" s="47">
        <f t="shared" si="15"/>
        <v>0</v>
      </c>
      <c r="H193" s="88"/>
      <c r="I193" s="15">
        <v>45</v>
      </c>
      <c r="J193" s="82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255</v>
      </c>
      <c r="C194" s="79">
        <f>+'22'!G194</f>
        <v>0</v>
      </c>
      <c r="D194" s="87">
        <v>0</v>
      </c>
      <c r="E194" s="47">
        <f t="shared" si="17"/>
        <v>0</v>
      </c>
      <c r="F194" s="87">
        <v>0</v>
      </c>
      <c r="G194" s="47">
        <f t="shared" si="15"/>
        <v>0</v>
      </c>
      <c r="H194" s="88"/>
      <c r="I194" s="15">
        <v>50</v>
      </c>
      <c r="J194" s="82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199</v>
      </c>
      <c r="C195" s="79">
        <f>+'22'!G195</f>
        <v>0</v>
      </c>
      <c r="D195" s="87">
        <v>0</v>
      </c>
      <c r="E195" s="47">
        <f t="shared" si="17"/>
        <v>0</v>
      </c>
      <c r="F195" s="87">
        <v>0</v>
      </c>
      <c r="G195" s="47">
        <f t="shared" si="15"/>
        <v>0</v>
      </c>
      <c r="H195" s="88"/>
      <c r="I195" s="15">
        <v>150</v>
      </c>
      <c r="J195" s="82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200</v>
      </c>
      <c r="C196" s="79">
        <f>+'22'!G196</f>
        <v>0</v>
      </c>
      <c r="D196" s="87">
        <v>0</v>
      </c>
      <c r="E196" s="47">
        <f t="shared" si="17"/>
        <v>0</v>
      </c>
      <c r="F196" s="87">
        <v>0</v>
      </c>
      <c r="G196" s="47">
        <f t="shared" si="15"/>
        <v>0</v>
      </c>
      <c r="H196" s="88"/>
      <c r="I196" s="15">
        <v>150</v>
      </c>
      <c r="J196" s="82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201</v>
      </c>
      <c r="C197" s="79">
        <f>+'22'!G197</f>
        <v>0</v>
      </c>
      <c r="D197" s="87">
        <v>0</v>
      </c>
      <c r="E197" s="47">
        <f t="shared" si="17"/>
        <v>0</v>
      </c>
      <c r="F197" s="87">
        <v>0</v>
      </c>
      <c r="G197" s="47">
        <f t="shared" si="15"/>
        <v>0</v>
      </c>
      <c r="H197" s="88"/>
      <c r="I197" s="15">
        <v>150</v>
      </c>
      <c r="J197" s="82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256</v>
      </c>
      <c r="C198" s="79">
        <f>+'22'!G198</f>
        <v>0</v>
      </c>
      <c r="D198" s="87">
        <v>0</v>
      </c>
      <c r="E198" s="47">
        <f t="shared" si="17"/>
        <v>0</v>
      </c>
      <c r="F198" s="87">
        <v>0</v>
      </c>
      <c r="G198" s="47">
        <f t="shared" si="15"/>
        <v>0</v>
      </c>
      <c r="H198" s="88"/>
      <c r="I198" s="15">
        <v>55</v>
      </c>
      <c r="J198" s="82">
        <f t="shared" si="16"/>
        <v>0</v>
      </c>
      <c r="K198" s="17" t="s">
        <v>16</v>
      </c>
      <c r="L198" s="18">
        <v>0</v>
      </c>
      <c r="M198" s="23">
        <f t="shared" si="14"/>
        <v>0</v>
      </c>
    </row>
    <row r="199" spans="1:13" ht="25.5" x14ac:dyDescent="0.55000000000000004">
      <c r="A199" s="10">
        <v>195</v>
      </c>
      <c r="B199" s="19" t="s">
        <v>257</v>
      </c>
      <c r="C199" s="79">
        <f>+'22'!G199</f>
        <v>0</v>
      </c>
      <c r="D199" s="87">
        <v>0</v>
      </c>
      <c r="E199" s="47">
        <f t="shared" si="17"/>
        <v>0</v>
      </c>
      <c r="F199" s="87">
        <v>0</v>
      </c>
      <c r="G199" s="47">
        <f t="shared" si="15"/>
        <v>0</v>
      </c>
      <c r="H199" s="88"/>
      <c r="I199" s="15">
        <v>30</v>
      </c>
      <c r="J199" s="82">
        <f t="shared" si="16"/>
        <v>0</v>
      </c>
      <c r="K199" s="17" t="s">
        <v>16</v>
      </c>
      <c r="L199" s="18">
        <v>0</v>
      </c>
      <c r="M199" s="23">
        <f t="shared" ref="M199:M254" si="18">SUM(J199-L199)</f>
        <v>0</v>
      </c>
    </row>
    <row r="200" spans="1:13" ht="25.5" x14ac:dyDescent="0.55000000000000004">
      <c r="A200" s="10">
        <v>196</v>
      </c>
      <c r="B200" s="19" t="s">
        <v>258</v>
      </c>
      <c r="C200" s="79">
        <f>+'22'!G200</f>
        <v>0</v>
      </c>
      <c r="D200" s="87">
        <v>0</v>
      </c>
      <c r="E200" s="47">
        <f t="shared" si="17"/>
        <v>0</v>
      </c>
      <c r="F200" s="87">
        <v>0</v>
      </c>
      <c r="G200" s="47">
        <f t="shared" si="15"/>
        <v>0</v>
      </c>
      <c r="H200" s="88"/>
      <c r="I200" s="15">
        <v>30</v>
      </c>
      <c r="J200" s="82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259</v>
      </c>
      <c r="C201" s="79">
        <f>+'22'!G201</f>
        <v>0</v>
      </c>
      <c r="D201" s="87">
        <v>0</v>
      </c>
      <c r="E201" s="47">
        <f t="shared" si="17"/>
        <v>0</v>
      </c>
      <c r="F201" s="87">
        <v>0</v>
      </c>
      <c r="G201" s="47">
        <f t="shared" si="15"/>
        <v>0</v>
      </c>
      <c r="H201" s="88"/>
      <c r="I201" s="15">
        <v>30</v>
      </c>
      <c r="J201" s="82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260</v>
      </c>
      <c r="C202" s="79">
        <f>+'22'!G202</f>
        <v>0</v>
      </c>
      <c r="D202" s="87">
        <v>0</v>
      </c>
      <c r="E202" s="47">
        <f t="shared" si="17"/>
        <v>0</v>
      </c>
      <c r="F202" s="87">
        <v>0</v>
      </c>
      <c r="G202" s="47">
        <f t="shared" si="15"/>
        <v>0</v>
      </c>
      <c r="H202" s="88"/>
      <c r="I202" s="15">
        <v>30</v>
      </c>
      <c r="J202" s="82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1" t="s">
        <v>261</v>
      </c>
      <c r="C203" s="79">
        <f>+'22'!G203</f>
        <v>0</v>
      </c>
      <c r="D203" s="87">
        <v>0</v>
      </c>
      <c r="E203" s="47">
        <f t="shared" si="17"/>
        <v>0</v>
      </c>
      <c r="F203" s="87">
        <v>0</v>
      </c>
      <c r="G203" s="47">
        <f t="shared" si="15"/>
        <v>0</v>
      </c>
      <c r="H203" s="88"/>
      <c r="I203" s="20">
        <v>30</v>
      </c>
      <c r="J203" s="82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1" t="s">
        <v>262</v>
      </c>
      <c r="C204" s="79">
        <f>+'22'!G204</f>
        <v>0</v>
      </c>
      <c r="D204" s="87">
        <v>0</v>
      </c>
      <c r="E204" s="47">
        <f t="shared" si="17"/>
        <v>0</v>
      </c>
      <c r="F204" s="87">
        <v>0</v>
      </c>
      <c r="G204" s="47">
        <f t="shared" si="15"/>
        <v>0</v>
      </c>
      <c r="H204" s="88"/>
      <c r="I204" s="20">
        <v>30</v>
      </c>
      <c r="J204" s="82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1" t="s">
        <v>263</v>
      </c>
      <c r="C205" s="79">
        <f>+'22'!G205</f>
        <v>0</v>
      </c>
      <c r="D205" s="87">
        <v>0</v>
      </c>
      <c r="E205" s="47">
        <f t="shared" si="17"/>
        <v>0</v>
      </c>
      <c r="F205" s="87">
        <v>0</v>
      </c>
      <c r="G205" s="47">
        <f t="shared" si="15"/>
        <v>0</v>
      </c>
      <c r="H205" s="88"/>
      <c r="I205" s="20">
        <v>50</v>
      </c>
      <c r="J205" s="82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1" t="s">
        <v>264</v>
      </c>
      <c r="C206" s="79">
        <f>+'22'!G206</f>
        <v>0</v>
      </c>
      <c r="D206" s="87">
        <v>0</v>
      </c>
      <c r="E206" s="47">
        <f t="shared" si="17"/>
        <v>0</v>
      </c>
      <c r="F206" s="87">
        <v>0</v>
      </c>
      <c r="G206" s="47">
        <f t="shared" si="15"/>
        <v>0</v>
      </c>
      <c r="H206" s="88"/>
      <c r="I206" s="20">
        <v>100</v>
      </c>
      <c r="J206" s="82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1" t="s">
        <v>265</v>
      </c>
      <c r="C207" s="79">
        <f>+'22'!G207</f>
        <v>0</v>
      </c>
      <c r="D207" s="87">
        <v>0</v>
      </c>
      <c r="E207" s="47">
        <f t="shared" si="17"/>
        <v>0</v>
      </c>
      <c r="F207" s="87">
        <v>0</v>
      </c>
      <c r="G207" s="47">
        <f t="shared" si="15"/>
        <v>0</v>
      </c>
      <c r="H207" s="88"/>
      <c r="I207" s="20">
        <v>100</v>
      </c>
      <c r="J207" s="82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1" t="s">
        <v>266</v>
      </c>
      <c r="C208" s="79">
        <f>+'22'!G208</f>
        <v>0</v>
      </c>
      <c r="D208" s="87">
        <v>0</v>
      </c>
      <c r="E208" s="47">
        <f t="shared" si="17"/>
        <v>0</v>
      </c>
      <c r="F208" s="87">
        <v>0</v>
      </c>
      <c r="G208" s="47">
        <f t="shared" si="15"/>
        <v>0</v>
      </c>
      <c r="H208" s="88"/>
      <c r="I208" s="20">
        <v>100</v>
      </c>
      <c r="J208" s="82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1" t="s">
        <v>267</v>
      </c>
      <c r="C209" s="79">
        <f>+'22'!G209</f>
        <v>0</v>
      </c>
      <c r="D209" s="87">
        <v>0</v>
      </c>
      <c r="E209" s="47">
        <f t="shared" si="17"/>
        <v>0</v>
      </c>
      <c r="F209" s="87">
        <v>0</v>
      </c>
      <c r="G209" s="47">
        <f t="shared" si="15"/>
        <v>0</v>
      </c>
      <c r="H209" s="88"/>
      <c r="I209" s="20">
        <v>100</v>
      </c>
      <c r="J209" s="82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1" t="s">
        <v>268</v>
      </c>
      <c r="C210" s="79">
        <f>+'22'!G210</f>
        <v>0</v>
      </c>
      <c r="D210" s="87">
        <v>0</v>
      </c>
      <c r="E210" s="47">
        <f t="shared" si="17"/>
        <v>0</v>
      </c>
      <c r="F210" s="87">
        <v>0</v>
      </c>
      <c r="G210" s="47">
        <f t="shared" si="15"/>
        <v>0</v>
      </c>
      <c r="H210" s="88"/>
      <c r="I210" s="20">
        <v>250</v>
      </c>
      <c r="J210" s="82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1" t="s">
        <v>269</v>
      </c>
      <c r="C211" s="79">
        <f>+'22'!G211</f>
        <v>0</v>
      </c>
      <c r="D211" s="87">
        <v>0</v>
      </c>
      <c r="E211" s="47">
        <f t="shared" si="17"/>
        <v>0</v>
      </c>
      <c r="F211" s="87">
        <v>0</v>
      </c>
      <c r="G211" s="47">
        <f t="shared" si="15"/>
        <v>0</v>
      </c>
      <c r="H211" s="88"/>
      <c r="I211" s="20">
        <v>250</v>
      </c>
      <c r="J211" s="82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1" t="s">
        <v>270</v>
      </c>
      <c r="C212" s="79">
        <f>+'22'!G212</f>
        <v>0</v>
      </c>
      <c r="D212" s="87">
        <v>0</v>
      </c>
      <c r="E212" s="47">
        <f t="shared" si="17"/>
        <v>0</v>
      </c>
      <c r="F212" s="87">
        <v>0</v>
      </c>
      <c r="G212" s="47">
        <f t="shared" si="15"/>
        <v>0</v>
      </c>
      <c r="H212" s="88"/>
      <c r="I212" s="20">
        <v>250</v>
      </c>
      <c r="J212" s="82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1" t="s">
        <v>271</v>
      </c>
      <c r="C213" s="79">
        <f>+'22'!G213</f>
        <v>0</v>
      </c>
      <c r="D213" s="87">
        <v>0</v>
      </c>
      <c r="E213" s="47">
        <f t="shared" si="17"/>
        <v>0</v>
      </c>
      <c r="F213" s="87">
        <v>0</v>
      </c>
      <c r="G213" s="47">
        <f t="shared" si="15"/>
        <v>0</v>
      </c>
      <c r="H213" s="88"/>
      <c r="I213" s="20">
        <v>50</v>
      </c>
      <c r="J213" s="82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1" t="s">
        <v>273</v>
      </c>
      <c r="C214" s="79">
        <f>+'22'!G214</f>
        <v>0</v>
      </c>
      <c r="D214" s="87">
        <v>0</v>
      </c>
      <c r="E214" s="47">
        <f t="shared" si="17"/>
        <v>0</v>
      </c>
      <c r="F214" s="87">
        <v>0</v>
      </c>
      <c r="G214" s="47">
        <f t="shared" si="15"/>
        <v>0</v>
      </c>
      <c r="H214" s="88"/>
      <c r="I214" s="20">
        <v>50</v>
      </c>
      <c r="J214" s="82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1" t="s">
        <v>274</v>
      </c>
      <c r="C215" s="79">
        <f>+'22'!G215</f>
        <v>0</v>
      </c>
      <c r="D215" s="87">
        <v>0</v>
      </c>
      <c r="E215" s="47">
        <f t="shared" si="17"/>
        <v>0</v>
      </c>
      <c r="F215" s="87">
        <v>0</v>
      </c>
      <c r="G215" s="47">
        <f t="shared" si="15"/>
        <v>0</v>
      </c>
      <c r="H215" s="88"/>
      <c r="I215" s="20">
        <v>50</v>
      </c>
      <c r="J215" s="82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1" t="s">
        <v>242</v>
      </c>
      <c r="C216" s="79">
        <f>+'22'!G216</f>
        <v>0</v>
      </c>
      <c r="D216" s="87">
        <v>0</v>
      </c>
      <c r="E216" s="47">
        <f t="shared" si="17"/>
        <v>0</v>
      </c>
      <c r="F216" s="87">
        <v>0</v>
      </c>
      <c r="G216" s="47">
        <f t="shared" si="15"/>
        <v>0</v>
      </c>
      <c r="H216" s="88"/>
      <c r="I216" s="20">
        <v>35</v>
      </c>
      <c r="J216" s="82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1" t="s">
        <v>275</v>
      </c>
      <c r="C217" s="79">
        <f>+'22'!G217</f>
        <v>0</v>
      </c>
      <c r="D217" s="87">
        <v>0</v>
      </c>
      <c r="E217" s="47">
        <f t="shared" si="17"/>
        <v>0</v>
      </c>
      <c r="F217" s="87">
        <v>0</v>
      </c>
      <c r="G217" s="47">
        <f t="shared" si="15"/>
        <v>0</v>
      </c>
      <c r="H217" s="88"/>
      <c r="I217" s="20">
        <v>199</v>
      </c>
      <c r="J217" s="82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1" t="s">
        <v>283</v>
      </c>
      <c r="C218" s="79"/>
      <c r="D218" s="87">
        <v>0</v>
      </c>
      <c r="E218" s="47">
        <f t="shared" si="17"/>
        <v>0</v>
      </c>
      <c r="F218" s="87">
        <v>0</v>
      </c>
      <c r="G218" s="47">
        <f t="shared" si="15"/>
        <v>0</v>
      </c>
      <c r="H218" s="88"/>
      <c r="I218" s="20">
        <v>25</v>
      </c>
      <c r="J218" s="82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1" t="s">
        <v>284</v>
      </c>
      <c r="C219" s="79"/>
      <c r="D219" s="87">
        <v>0</v>
      </c>
      <c r="E219" s="47">
        <f t="shared" si="17"/>
        <v>0</v>
      </c>
      <c r="F219" s="87">
        <v>0</v>
      </c>
      <c r="G219" s="47">
        <f t="shared" si="15"/>
        <v>0</v>
      </c>
      <c r="H219" s="88"/>
      <c r="I219" s="20">
        <v>25</v>
      </c>
      <c r="J219" s="82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1" t="s">
        <v>314</v>
      </c>
      <c r="C220" s="79">
        <f>+'22'!G220</f>
        <v>0</v>
      </c>
      <c r="D220" s="87">
        <v>0</v>
      </c>
      <c r="E220" s="47">
        <f t="shared" si="17"/>
        <v>0</v>
      </c>
      <c r="F220" s="87">
        <v>0</v>
      </c>
      <c r="G220" s="47">
        <f t="shared" si="15"/>
        <v>0</v>
      </c>
      <c r="H220" s="88"/>
      <c r="I220" s="20">
        <v>35</v>
      </c>
      <c r="J220" s="82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1" t="s">
        <v>326</v>
      </c>
      <c r="C221" s="79">
        <f>+'22'!G221</f>
        <v>1</v>
      </c>
      <c r="D221" s="87">
        <v>0</v>
      </c>
      <c r="E221" s="47">
        <f t="shared" si="17"/>
        <v>1</v>
      </c>
      <c r="F221" s="87">
        <v>0</v>
      </c>
      <c r="G221" s="47">
        <f t="shared" si="15"/>
        <v>1</v>
      </c>
      <c r="H221" s="88"/>
      <c r="I221" s="20">
        <v>55</v>
      </c>
      <c r="J221" s="82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1" t="s">
        <v>327</v>
      </c>
      <c r="C222" s="79">
        <f>+'22'!G222</f>
        <v>0</v>
      </c>
      <c r="D222" s="87">
        <v>0</v>
      </c>
      <c r="E222" s="47">
        <f t="shared" si="17"/>
        <v>0</v>
      </c>
      <c r="F222" s="87">
        <v>0</v>
      </c>
      <c r="G222" s="47">
        <f t="shared" si="15"/>
        <v>0</v>
      </c>
      <c r="H222" s="88"/>
      <c r="I222" s="20">
        <v>40</v>
      </c>
      <c r="J222" s="82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1"/>
      <c r="C223" s="79">
        <f>+'22'!G223</f>
        <v>0</v>
      </c>
      <c r="D223" s="87">
        <v>0</v>
      </c>
      <c r="E223" s="47">
        <f t="shared" si="17"/>
        <v>0</v>
      </c>
      <c r="F223" s="87">
        <v>0</v>
      </c>
      <c r="G223" s="47">
        <f t="shared" si="15"/>
        <v>0</v>
      </c>
      <c r="H223" s="88"/>
      <c r="I223" s="20"/>
      <c r="J223" s="82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1"/>
      <c r="C224" s="79">
        <f>+'22'!G224</f>
        <v>0</v>
      </c>
      <c r="D224" s="87">
        <v>0</v>
      </c>
      <c r="E224" s="47">
        <f t="shared" si="17"/>
        <v>0</v>
      </c>
      <c r="F224" s="87">
        <v>0</v>
      </c>
      <c r="G224" s="47">
        <f t="shared" si="15"/>
        <v>0</v>
      </c>
      <c r="H224" s="88"/>
      <c r="I224" s="20"/>
      <c r="J224" s="82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1"/>
      <c r="C225" s="79">
        <f>+'22'!G225</f>
        <v>0</v>
      </c>
      <c r="D225" s="87">
        <v>0</v>
      </c>
      <c r="E225" s="47">
        <f t="shared" si="17"/>
        <v>0</v>
      </c>
      <c r="F225" s="87">
        <v>0</v>
      </c>
      <c r="G225" s="47">
        <f t="shared" si="15"/>
        <v>0</v>
      </c>
      <c r="H225" s="88"/>
      <c r="I225" s="20"/>
      <c r="J225" s="82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1"/>
      <c r="C226" s="79">
        <f>+'22'!G226</f>
        <v>0</v>
      </c>
      <c r="D226" s="87">
        <v>0</v>
      </c>
      <c r="E226" s="47">
        <f t="shared" si="17"/>
        <v>0</v>
      </c>
      <c r="F226" s="87">
        <v>0</v>
      </c>
      <c r="G226" s="47">
        <f t="shared" si="15"/>
        <v>0</v>
      </c>
      <c r="H226" s="88"/>
      <c r="I226" s="20"/>
      <c r="J226" s="82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1"/>
      <c r="C227" s="79">
        <f>+'22'!G227</f>
        <v>0</v>
      </c>
      <c r="D227" s="87">
        <v>0</v>
      </c>
      <c r="E227" s="47">
        <f t="shared" si="17"/>
        <v>0</v>
      </c>
      <c r="F227" s="87">
        <v>0</v>
      </c>
      <c r="G227" s="47">
        <f t="shared" si="15"/>
        <v>0</v>
      </c>
      <c r="H227" s="88"/>
      <c r="I227" s="20"/>
      <c r="J227" s="82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1"/>
      <c r="C228" s="79">
        <f>+'22'!G228</f>
        <v>0</v>
      </c>
      <c r="D228" s="87">
        <v>0</v>
      </c>
      <c r="E228" s="47">
        <f t="shared" si="17"/>
        <v>0</v>
      </c>
      <c r="F228" s="87">
        <v>0</v>
      </c>
      <c r="G228" s="47">
        <f t="shared" ref="G228:G254" si="19">+E228-F228-H228</f>
        <v>0</v>
      </c>
      <c r="H228" s="88"/>
      <c r="I228" s="20"/>
      <c r="J228" s="82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1"/>
      <c r="C229" s="79">
        <f>+'22'!G229</f>
        <v>0</v>
      </c>
      <c r="D229" s="87">
        <v>0</v>
      </c>
      <c r="E229" s="47">
        <f t="shared" si="17"/>
        <v>0</v>
      </c>
      <c r="F229" s="87">
        <v>0</v>
      </c>
      <c r="G229" s="47">
        <f t="shared" si="19"/>
        <v>0</v>
      </c>
      <c r="H229" s="88"/>
      <c r="I229" s="20"/>
      <c r="J229" s="82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1"/>
      <c r="C230" s="79">
        <f>+'22'!G230</f>
        <v>0</v>
      </c>
      <c r="D230" s="87">
        <v>0</v>
      </c>
      <c r="E230" s="47">
        <f t="shared" si="17"/>
        <v>0</v>
      </c>
      <c r="F230" s="87">
        <v>0</v>
      </c>
      <c r="G230" s="47">
        <f t="shared" si="19"/>
        <v>0</v>
      </c>
      <c r="H230" s="88"/>
      <c r="I230" s="20"/>
      <c r="J230" s="82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1"/>
      <c r="C231" s="79">
        <f>+'22'!G231</f>
        <v>0</v>
      </c>
      <c r="D231" s="87">
        <v>0</v>
      </c>
      <c r="E231" s="47">
        <f t="shared" si="17"/>
        <v>0</v>
      </c>
      <c r="F231" s="87">
        <v>0</v>
      </c>
      <c r="G231" s="47">
        <f t="shared" si="19"/>
        <v>0</v>
      </c>
      <c r="H231" s="88"/>
      <c r="I231" s="20"/>
      <c r="J231" s="82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1"/>
      <c r="C232" s="79">
        <f>+'22'!G232</f>
        <v>0</v>
      </c>
      <c r="D232" s="87">
        <v>0</v>
      </c>
      <c r="E232" s="47">
        <f t="shared" si="17"/>
        <v>0</v>
      </c>
      <c r="F232" s="87">
        <v>0</v>
      </c>
      <c r="G232" s="47">
        <f t="shared" si="19"/>
        <v>0</v>
      </c>
      <c r="H232" s="88"/>
      <c r="I232" s="20"/>
      <c r="J232" s="82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1"/>
      <c r="C233" s="79">
        <f>+'22'!G233</f>
        <v>0</v>
      </c>
      <c r="D233" s="87">
        <v>0</v>
      </c>
      <c r="E233" s="47">
        <f t="shared" si="17"/>
        <v>0</v>
      </c>
      <c r="F233" s="87">
        <v>0</v>
      </c>
      <c r="G233" s="47">
        <f t="shared" si="19"/>
        <v>0</v>
      </c>
      <c r="H233" s="88"/>
      <c r="I233" s="20"/>
      <c r="J233" s="82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1"/>
      <c r="C234" s="79">
        <f>+'22'!G234</f>
        <v>0</v>
      </c>
      <c r="D234" s="87">
        <v>0</v>
      </c>
      <c r="E234" s="47">
        <f t="shared" si="17"/>
        <v>0</v>
      </c>
      <c r="F234" s="87">
        <v>0</v>
      </c>
      <c r="G234" s="47">
        <f t="shared" si="19"/>
        <v>0</v>
      </c>
      <c r="H234" s="88"/>
      <c r="I234" s="20"/>
      <c r="J234" s="82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1"/>
      <c r="C235" s="79">
        <f>+'22'!G235</f>
        <v>0</v>
      </c>
      <c r="D235" s="87">
        <v>0</v>
      </c>
      <c r="E235" s="47">
        <f t="shared" si="17"/>
        <v>0</v>
      </c>
      <c r="F235" s="87">
        <v>0</v>
      </c>
      <c r="G235" s="47">
        <f t="shared" si="19"/>
        <v>0</v>
      </c>
      <c r="H235" s="88"/>
      <c r="I235" s="20"/>
      <c r="J235" s="82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1"/>
      <c r="C236" s="79">
        <f>+'22'!G236</f>
        <v>0</v>
      </c>
      <c r="D236" s="87">
        <v>0</v>
      </c>
      <c r="E236" s="47">
        <f t="shared" si="17"/>
        <v>0</v>
      </c>
      <c r="F236" s="87">
        <v>0</v>
      </c>
      <c r="G236" s="47">
        <f t="shared" si="19"/>
        <v>0</v>
      </c>
      <c r="H236" s="88"/>
      <c r="I236" s="20"/>
      <c r="J236" s="82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1"/>
      <c r="C237" s="79">
        <f>+'22'!G237</f>
        <v>0</v>
      </c>
      <c r="D237" s="87">
        <v>0</v>
      </c>
      <c r="E237" s="47">
        <f t="shared" si="17"/>
        <v>0</v>
      </c>
      <c r="F237" s="87">
        <v>0</v>
      </c>
      <c r="G237" s="47">
        <f t="shared" si="19"/>
        <v>0</v>
      </c>
      <c r="H237" s="88"/>
      <c r="I237" s="20"/>
      <c r="J237" s="82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1"/>
      <c r="C238" s="79">
        <f>+'22'!G238</f>
        <v>0</v>
      </c>
      <c r="D238" s="87">
        <v>0</v>
      </c>
      <c r="E238" s="47">
        <f t="shared" si="17"/>
        <v>0</v>
      </c>
      <c r="F238" s="87">
        <v>0</v>
      </c>
      <c r="G238" s="47">
        <f t="shared" si="19"/>
        <v>0</v>
      </c>
      <c r="H238" s="88"/>
      <c r="I238" s="20"/>
      <c r="J238" s="82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1"/>
      <c r="C239" s="79">
        <f>+'22'!G239</f>
        <v>0</v>
      </c>
      <c r="D239" s="87">
        <v>0</v>
      </c>
      <c r="E239" s="47">
        <f t="shared" si="17"/>
        <v>0</v>
      </c>
      <c r="F239" s="87">
        <v>0</v>
      </c>
      <c r="G239" s="47">
        <f t="shared" si="19"/>
        <v>0</v>
      </c>
      <c r="H239" s="88"/>
      <c r="I239" s="20"/>
      <c r="J239" s="82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1"/>
      <c r="C240" s="79">
        <f>+'22'!G240</f>
        <v>0</v>
      </c>
      <c r="D240" s="87">
        <v>0</v>
      </c>
      <c r="E240" s="47">
        <f t="shared" si="17"/>
        <v>0</v>
      </c>
      <c r="F240" s="87">
        <v>0</v>
      </c>
      <c r="G240" s="47">
        <f t="shared" si="19"/>
        <v>0</v>
      </c>
      <c r="H240" s="88"/>
      <c r="I240" s="20"/>
      <c r="J240" s="82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1"/>
      <c r="C241" s="79">
        <f>+'22'!G241</f>
        <v>0</v>
      </c>
      <c r="D241" s="87">
        <v>0</v>
      </c>
      <c r="E241" s="47">
        <f t="shared" si="17"/>
        <v>0</v>
      </c>
      <c r="F241" s="87">
        <v>0</v>
      </c>
      <c r="G241" s="47">
        <f t="shared" si="19"/>
        <v>0</v>
      </c>
      <c r="H241" s="88"/>
      <c r="I241" s="20"/>
      <c r="J241" s="82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1"/>
      <c r="C242" s="79">
        <f>+'22'!G242</f>
        <v>0</v>
      </c>
      <c r="D242" s="87">
        <v>0</v>
      </c>
      <c r="E242" s="47">
        <f t="shared" si="17"/>
        <v>0</v>
      </c>
      <c r="F242" s="87">
        <v>0</v>
      </c>
      <c r="G242" s="47">
        <f t="shared" si="19"/>
        <v>0</v>
      </c>
      <c r="H242" s="88"/>
      <c r="I242" s="20"/>
      <c r="J242" s="82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1"/>
      <c r="C243" s="79">
        <f>+'22'!G243</f>
        <v>0</v>
      </c>
      <c r="D243" s="87">
        <v>0</v>
      </c>
      <c r="E243" s="47">
        <f t="shared" si="17"/>
        <v>0</v>
      </c>
      <c r="F243" s="87">
        <v>0</v>
      </c>
      <c r="G243" s="47">
        <f t="shared" si="19"/>
        <v>0</v>
      </c>
      <c r="H243" s="88"/>
      <c r="I243" s="20"/>
      <c r="J243" s="82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1"/>
      <c r="C244" s="79">
        <f>+'22'!G244</f>
        <v>0</v>
      </c>
      <c r="D244" s="87">
        <v>0</v>
      </c>
      <c r="E244" s="47">
        <f t="shared" si="17"/>
        <v>0</v>
      </c>
      <c r="F244" s="87">
        <v>0</v>
      </c>
      <c r="G244" s="47">
        <f t="shared" si="19"/>
        <v>0</v>
      </c>
      <c r="H244" s="88"/>
      <c r="I244" s="20"/>
      <c r="J244" s="82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1"/>
      <c r="C245" s="79">
        <f>+'22'!G245</f>
        <v>0</v>
      </c>
      <c r="D245" s="87">
        <v>0</v>
      </c>
      <c r="E245" s="47">
        <f t="shared" si="17"/>
        <v>0</v>
      </c>
      <c r="F245" s="87">
        <v>0</v>
      </c>
      <c r="G245" s="47">
        <f t="shared" si="19"/>
        <v>0</v>
      </c>
      <c r="H245" s="88"/>
      <c r="I245" s="20"/>
      <c r="J245" s="82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1"/>
      <c r="C246" s="79">
        <f>+'22'!G246</f>
        <v>0</v>
      </c>
      <c r="D246" s="87">
        <v>0</v>
      </c>
      <c r="E246" s="47">
        <f t="shared" si="17"/>
        <v>0</v>
      </c>
      <c r="F246" s="87">
        <v>0</v>
      </c>
      <c r="G246" s="47">
        <f t="shared" si="19"/>
        <v>0</v>
      </c>
      <c r="H246" s="88"/>
      <c r="I246" s="20"/>
      <c r="J246" s="82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1"/>
      <c r="C247" s="79">
        <f>+'22'!G247</f>
        <v>0</v>
      </c>
      <c r="D247" s="87">
        <v>0</v>
      </c>
      <c r="E247" s="47">
        <f t="shared" si="17"/>
        <v>0</v>
      </c>
      <c r="F247" s="87">
        <v>0</v>
      </c>
      <c r="G247" s="47">
        <f t="shared" si="19"/>
        <v>0</v>
      </c>
      <c r="H247" s="88"/>
      <c r="I247" s="20"/>
      <c r="J247" s="82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1"/>
      <c r="C248" s="79">
        <f>+'22'!G248</f>
        <v>0</v>
      </c>
      <c r="D248" s="87">
        <v>0</v>
      </c>
      <c r="E248" s="47">
        <f t="shared" si="17"/>
        <v>0</v>
      </c>
      <c r="F248" s="87">
        <v>0</v>
      </c>
      <c r="G248" s="47">
        <f t="shared" si="19"/>
        <v>0</v>
      </c>
      <c r="H248" s="88"/>
      <c r="I248" s="20"/>
      <c r="J248" s="82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1"/>
      <c r="C249" s="79">
        <f>+'22'!G249</f>
        <v>0</v>
      </c>
      <c r="D249" s="87">
        <v>0</v>
      </c>
      <c r="E249" s="47">
        <f t="shared" si="17"/>
        <v>0</v>
      </c>
      <c r="F249" s="87">
        <v>0</v>
      </c>
      <c r="G249" s="47">
        <f t="shared" si="19"/>
        <v>0</v>
      </c>
      <c r="H249" s="88"/>
      <c r="I249" s="20"/>
      <c r="J249" s="82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1"/>
      <c r="C250" s="79">
        <f>+'22'!G250</f>
        <v>0</v>
      </c>
      <c r="D250" s="87">
        <v>0</v>
      </c>
      <c r="E250" s="47">
        <f t="shared" si="17"/>
        <v>0</v>
      </c>
      <c r="F250" s="87">
        <v>0</v>
      </c>
      <c r="G250" s="47">
        <f t="shared" si="19"/>
        <v>0</v>
      </c>
      <c r="H250" s="88"/>
      <c r="I250" s="20"/>
      <c r="J250" s="82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1"/>
      <c r="C251" s="79">
        <f>+'22'!G251</f>
        <v>0</v>
      </c>
      <c r="D251" s="87">
        <v>0</v>
      </c>
      <c r="E251" s="47">
        <f t="shared" si="17"/>
        <v>0</v>
      </c>
      <c r="F251" s="87">
        <v>0</v>
      </c>
      <c r="G251" s="47">
        <f t="shared" si="19"/>
        <v>0</v>
      </c>
      <c r="H251" s="88"/>
      <c r="I251" s="20"/>
      <c r="J251" s="82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1"/>
      <c r="C252" s="79">
        <f>+'22'!G252</f>
        <v>0</v>
      </c>
      <c r="D252" s="87">
        <v>0</v>
      </c>
      <c r="E252" s="47">
        <f t="shared" si="17"/>
        <v>0</v>
      </c>
      <c r="F252" s="87">
        <v>0</v>
      </c>
      <c r="G252" s="47">
        <f t="shared" si="19"/>
        <v>0</v>
      </c>
      <c r="H252" s="88"/>
      <c r="I252" s="20"/>
      <c r="J252" s="82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1"/>
      <c r="C253" s="79">
        <f>+'22'!G253</f>
        <v>0</v>
      </c>
      <c r="D253" s="87">
        <v>0</v>
      </c>
      <c r="E253" s="47">
        <f t="shared" ref="E253:E254" si="21">C253+D253</f>
        <v>0</v>
      </c>
      <c r="F253" s="87">
        <v>0</v>
      </c>
      <c r="G253" s="47">
        <f t="shared" si="19"/>
        <v>0</v>
      </c>
      <c r="H253" s="88"/>
      <c r="I253" s="20"/>
      <c r="J253" s="82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1"/>
      <c r="C254" s="79">
        <f>+'22'!G254</f>
        <v>0</v>
      </c>
      <c r="D254" s="87">
        <v>0</v>
      </c>
      <c r="E254" s="47">
        <f t="shared" si="21"/>
        <v>0</v>
      </c>
      <c r="F254" s="87">
        <v>0</v>
      </c>
      <c r="G254" s="47">
        <f t="shared" si="19"/>
        <v>0</v>
      </c>
      <c r="H254" s="88"/>
      <c r="I254" s="20"/>
      <c r="J254" s="82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1430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3" t="s">
        <v>213</v>
      </c>
      <c r="N255" s="143"/>
    </row>
    <row r="256" spans="1:14" ht="25.5" customHeight="1" x14ac:dyDescent="0.5">
      <c r="A256" s="1"/>
      <c r="E256" s="24"/>
      <c r="F256" s="25"/>
      <c r="G256" s="24"/>
      <c r="H256" s="148" t="s">
        <v>212</v>
      </c>
      <c r="I256" s="149"/>
      <c r="J256" s="30">
        <f>+X138</f>
        <v>0</v>
      </c>
      <c r="K256" s="27"/>
      <c r="L256" s="29"/>
    </row>
    <row r="257" spans="1:14" ht="25.5" x14ac:dyDescent="0.55000000000000004">
      <c r="A257" s="1"/>
      <c r="E257" s="31"/>
      <c r="G257" s="31"/>
      <c r="H257" s="32"/>
      <c r="I257" s="150" t="s">
        <v>202</v>
      </c>
      <c r="J257" s="150"/>
      <c r="K257" s="33">
        <f>SUM(J5:J256)</f>
        <v>1600</v>
      </c>
    </row>
    <row r="258" spans="1:14" ht="25.5" x14ac:dyDescent="0.55000000000000004">
      <c r="A258" s="1"/>
      <c r="E258" s="31"/>
      <c r="G258" s="31"/>
      <c r="I258" s="140" t="s">
        <v>203</v>
      </c>
      <c r="J258" s="141"/>
      <c r="K258" s="36">
        <v>15</v>
      </c>
    </row>
    <row r="259" spans="1:14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820</v>
      </c>
      <c r="L259" s="2">
        <v>220</v>
      </c>
      <c r="M259" s="2">
        <v>500</v>
      </c>
      <c r="N259" s="2">
        <v>100</v>
      </c>
    </row>
    <row r="260" spans="1:14" ht="25.5" x14ac:dyDescent="0.55000000000000004">
      <c r="A260" s="1"/>
      <c r="E260" s="31"/>
      <c r="G260" s="31"/>
      <c r="I260" s="140" t="s">
        <v>205</v>
      </c>
      <c r="J260" s="141"/>
      <c r="K260" s="36">
        <v>0</v>
      </c>
    </row>
    <row r="261" spans="1:14" ht="25.5" x14ac:dyDescent="0.55000000000000004">
      <c r="A261" s="1"/>
      <c r="E261" s="31"/>
      <c r="G261" s="31"/>
      <c r="I261" s="140" t="s">
        <v>206</v>
      </c>
      <c r="J261" s="141"/>
      <c r="K261" s="36">
        <v>0</v>
      </c>
    </row>
    <row r="262" spans="1:14" ht="25.5" x14ac:dyDescent="0.55000000000000004">
      <c r="A262" s="1"/>
      <c r="E262" s="31"/>
      <c r="G262" s="31"/>
      <c r="I262" s="140" t="s">
        <v>207</v>
      </c>
      <c r="J262" s="141"/>
      <c r="K262" s="37">
        <f>SUM(L5:L255)</f>
        <v>170</v>
      </c>
    </row>
    <row r="263" spans="1:14" ht="25.5" x14ac:dyDescent="0.55000000000000004">
      <c r="A263" s="1"/>
      <c r="E263" s="31"/>
      <c r="G263" s="31"/>
      <c r="I263" s="140" t="s">
        <v>208</v>
      </c>
      <c r="J263" s="141"/>
      <c r="K263" s="33">
        <f>K257-K258-K259-K261-K262</f>
        <v>595</v>
      </c>
    </row>
    <row r="264" spans="1:14" ht="25.5" x14ac:dyDescent="0.55000000000000004">
      <c r="A264" s="1"/>
      <c r="E264" s="31"/>
      <c r="G264" s="31"/>
      <c r="I264" s="140" t="s">
        <v>209</v>
      </c>
      <c r="J264" s="141"/>
      <c r="K264" s="37">
        <v>595</v>
      </c>
    </row>
    <row r="265" spans="1:14" ht="25.5" x14ac:dyDescent="0.55000000000000004">
      <c r="A265" s="1"/>
      <c r="E265" s="31"/>
      <c r="G265" s="31"/>
      <c r="I265" s="140" t="s">
        <v>210</v>
      </c>
      <c r="J265" s="141"/>
      <c r="K265" s="33">
        <f>+K264-K263</f>
        <v>0</v>
      </c>
    </row>
    <row r="266" spans="1:14" ht="25.5" x14ac:dyDescent="0.55000000000000004">
      <c r="G266" s="2"/>
      <c r="I266" s="140" t="s">
        <v>211</v>
      </c>
      <c r="J266" s="141"/>
      <c r="K266" s="33">
        <f>+K264-K263</f>
        <v>0</v>
      </c>
    </row>
    <row r="267" spans="1:14" x14ac:dyDescent="0.5">
      <c r="G267" s="2"/>
      <c r="I267" s="2"/>
    </row>
    <row r="268" spans="1:14" ht="25.5" x14ac:dyDescent="0.55000000000000004">
      <c r="G268" s="2"/>
      <c r="I268" s="105" t="s">
        <v>312</v>
      </c>
    </row>
    <row r="269" spans="1:14" x14ac:dyDescent="0.5">
      <c r="G269" s="2"/>
      <c r="I269" s="2"/>
    </row>
    <row r="270" spans="1:14" x14ac:dyDescent="0.5">
      <c r="G270" s="2"/>
      <c r="I270" s="2"/>
    </row>
    <row r="271" spans="1:14" x14ac:dyDescent="0.5">
      <c r="G271" s="2"/>
      <c r="I271" s="2"/>
    </row>
    <row r="272" spans="1:14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876E-56C7-41BA-AD08-1549E99C6D28}">
  <sheetPr>
    <tabColor theme="7" tint="-0.249977111117893"/>
  </sheetPr>
  <dimension ref="A1:AB341"/>
  <sheetViews>
    <sheetView zoomScaleNormal="100" workbookViewId="0">
      <pane xSplit="7" ySplit="4" topLeftCell="H47" activePane="bottomRight" state="frozen"/>
      <selection activeCell="B20" sqref="B20"/>
      <selection pane="topRight" activeCell="B20" sqref="B20"/>
      <selection pane="bottomLeft" activeCell="B20" sqref="B20"/>
      <selection pane="bottomRight" activeCell="B20" sqref="B20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8" x14ac:dyDescent="0.5">
      <c r="A1" s="1"/>
      <c r="G1" s="2"/>
      <c r="I1" s="2"/>
    </row>
    <row r="2" spans="1:28" s="3" customFormat="1" ht="29.25" x14ac:dyDescent="0.6">
      <c r="A2" s="137" t="s">
        <v>247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8" s="5" customFormat="1" ht="26.25" x14ac:dyDescent="0.55000000000000004">
      <c r="A3" s="139" t="s">
        <v>1</v>
      </c>
      <c r="B3" s="151" t="s">
        <v>2</v>
      </c>
      <c r="C3" s="139" t="s">
        <v>3</v>
      </c>
      <c r="D3" s="139" t="s">
        <v>4</v>
      </c>
      <c r="E3" s="139" t="s">
        <v>5</v>
      </c>
      <c r="F3" s="85" t="s">
        <v>6</v>
      </c>
      <c r="G3" s="139" t="s">
        <v>7</v>
      </c>
      <c r="H3" s="142" t="s">
        <v>8</v>
      </c>
      <c r="I3" s="142"/>
      <c r="J3" s="142"/>
      <c r="K3" s="139" t="s">
        <v>9</v>
      </c>
      <c r="L3" s="144" t="s">
        <v>10</v>
      </c>
      <c r="O3" s="139" t="s">
        <v>1</v>
      </c>
      <c r="P3" s="139" t="s">
        <v>2</v>
      </c>
      <c r="Q3" s="139" t="s">
        <v>3</v>
      </c>
      <c r="R3" s="139" t="s">
        <v>4</v>
      </c>
      <c r="S3" s="139" t="s">
        <v>5</v>
      </c>
      <c r="T3" s="85" t="s">
        <v>6</v>
      </c>
      <c r="U3" s="139" t="s">
        <v>7</v>
      </c>
      <c r="V3" s="142" t="s">
        <v>8</v>
      </c>
      <c r="W3" s="142"/>
      <c r="X3" s="142"/>
      <c r="Y3" s="139" t="s">
        <v>9</v>
      </c>
      <c r="Z3" s="144" t="s">
        <v>10</v>
      </c>
    </row>
    <row r="4" spans="1:28" s="5" customFormat="1" ht="26.25" x14ac:dyDescent="0.55000000000000004">
      <c r="A4" s="139"/>
      <c r="B4" s="151"/>
      <c r="C4" s="139"/>
      <c r="D4" s="139"/>
      <c r="E4" s="139"/>
      <c r="F4" s="85" t="s">
        <v>11</v>
      </c>
      <c r="G4" s="139"/>
      <c r="H4" s="85" t="s">
        <v>12</v>
      </c>
      <c r="I4" s="86" t="s">
        <v>13</v>
      </c>
      <c r="J4" s="85" t="s">
        <v>14</v>
      </c>
      <c r="K4" s="139"/>
      <c r="L4" s="144"/>
      <c r="O4" s="139"/>
      <c r="P4" s="139"/>
      <c r="Q4" s="139"/>
      <c r="R4" s="139"/>
      <c r="S4" s="139"/>
      <c r="T4" s="85" t="s">
        <v>11</v>
      </c>
      <c r="U4" s="139"/>
      <c r="V4" s="85" t="s">
        <v>12</v>
      </c>
      <c r="W4" s="86" t="s">
        <v>13</v>
      </c>
      <c r="X4" s="85" t="s">
        <v>14</v>
      </c>
      <c r="Y4" s="139"/>
      <c r="Z4" s="144"/>
      <c r="AB4" s="5" t="s">
        <v>2</v>
      </c>
    </row>
    <row r="5" spans="1:28" ht="25.5" x14ac:dyDescent="0.55000000000000004">
      <c r="A5" s="10">
        <v>1</v>
      </c>
      <c r="B5" s="19" t="s">
        <v>15</v>
      </c>
      <c r="C5" s="79">
        <f>+'23'!G5</f>
        <v>18</v>
      </c>
      <c r="D5" s="87">
        <v>0</v>
      </c>
      <c r="E5" s="47">
        <f t="shared" ref="E5:E125" si="0">C5+D5</f>
        <v>18</v>
      </c>
      <c r="F5" s="87">
        <v>0</v>
      </c>
      <c r="G5" s="47">
        <f>+E5-F5-H5</f>
        <v>18</v>
      </c>
      <c r="H5" s="88"/>
      <c r="I5" s="20">
        <v>50</v>
      </c>
      <c r="J5" s="8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7">
        <v>0</v>
      </c>
      <c r="S5" s="47">
        <f t="shared" ref="S5:S14" si="1">Q5+R5</f>
        <v>0</v>
      </c>
      <c r="T5" s="87">
        <v>0</v>
      </c>
      <c r="U5" s="47">
        <f t="shared" ref="U5:U14" si="2">S5-T5-V5</f>
        <v>0</v>
      </c>
      <c r="V5" s="88">
        <v>0</v>
      </c>
      <c r="W5" s="22"/>
      <c r="X5" s="44">
        <f t="shared" ref="X5:X14" si="3">V5*W5</f>
        <v>0</v>
      </c>
      <c r="Y5" s="17" t="s">
        <v>16</v>
      </c>
      <c r="Z5" s="18">
        <v>0</v>
      </c>
      <c r="AB5" s="2" t="s">
        <v>317</v>
      </c>
    </row>
    <row r="6" spans="1:28" ht="25.5" x14ac:dyDescent="0.55000000000000004">
      <c r="A6" s="10">
        <v>2</v>
      </c>
      <c r="B6" s="19" t="s">
        <v>17</v>
      </c>
      <c r="C6" s="79">
        <f>+'23'!G6</f>
        <v>18</v>
      </c>
      <c r="D6" s="87">
        <v>0</v>
      </c>
      <c r="E6" s="47">
        <f t="shared" si="0"/>
        <v>18</v>
      </c>
      <c r="F6" s="87">
        <v>0</v>
      </c>
      <c r="G6" s="47">
        <f t="shared" ref="G6:G100" si="4">+E6-F6-H6</f>
        <v>16</v>
      </c>
      <c r="H6" s="88">
        <v>2</v>
      </c>
      <c r="I6" s="20">
        <v>100</v>
      </c>
      <c r="J6" s="82">
        <f t="shared" ref="J6:J100" si="5">+I6*H6</f>
        <v>200</v>
      </c>
      <c r="K6" s="17" t="s">
        <v>16</v>
      </c>
      <c r="L6" s="18">
        <v>0</v>
      </c>
      <c r="M6" s="23">
        <f t="shared" ref="M6:M69" si="6">SUM(J6-L6)</f>
        <v>200</v>
      </c>
      <c r="O6" s="10">
        <v>2</v>
      </c>
      <c r="P6" s="19"/>
      <c r="Q6" s="47">
        <v>0</v>
      </c>
      <c r="R6" s="87">
        <v>0</v>
      </c>
      <c r="S6" s="47">
        <f t="shared" si="1"/>
        <v>0</v>
      </c>
      <c r="T6" s="87">
        <v>0</v>
      </c>
      <c r="U6" s="47">
        <f t="shared" si="2"/>
        <v>0</v>
      </c>
      <c r="V6" s="88">
        <v>0</v>
      </c>
      <c r="W6" s="22"/>
      <c r="X6" s="44">
        <f t="shared" si="3"/>
        <v>0</v>
      </c>
      <c r="Y6" s="17" t="s">
        <v>16</v>
      </c>
      <c r="Z6" s="18">
        <v>0</v>
      </c>
      <c r="AB6" s="2" t="s">
        <v>318</v>
      </c>
    </row>
    <row r="7" spans="1:28" ht="25.5" x14ac:dyDescent="0.55000000000000004">
      <c r="A7" s="10">
        <v>3</v>
      </c>
      <c r="B7" s="19" t="s">
        <v>18</v>
      </c>
      <c r="C7" s="79">
        <f>+'23'!G7</f>
        <v>0</v>
      </c>
      <c r="D7" s="87">
        <v>0</v>
      </c>
      <c r="E7" s="47">
        <f>C7+D7</f>
        <v>0</v>
      </c>
      <c r="F7" s="87">
        <v>0</v>
      </c>
      <c r="G7" s="47">
        <f t="shared" si="4"/>
        <v>0</v>
      </c>
      <c r="H7" s="88"/>
      <c r="I7" s="15">
        <v>50</v>
      </c>
      <c r="J7" s="8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7">
        <v>0</v>
      </c>
      <c r="S7" s="47">
        <f t="shared" si="1"/>
        <v>0</v>
      </c>
      <c r="T7" s="87">
        <v>0</v>
      </c>
      <c r="U7" s="47">
        <f t="shared" si="2"/>
        <v>0</v>
      </c>
      <c r="V7" s="88">
        <v>0</v>
      </c>
      <c r="W7" s="22"/>
      <c r="X7" s="44">
        <f t="shared" si="3"/>
        <v>0</v>
      </c>
      <c r="Y7" s="17" t="s">
        <v>16</v>
      </c>
      <c r="Z7" s="18">
        <v>0</v>
      </c>
      <c r="AB7" s="2" t="s">
        <v>319</v>
      </c>
    </row>
    <row r="8" spans="1:28" ht="25.5" x14ac:dyDescent="0.55000000000000004">
      <c r="A8" s="10">
        <v>4</v>
      </c>
      <c r="B8" s="19" t="s">
        <v>19</v>
      </c>
      <c r="C8" s="79">
        <f>+'23'!G8</f>
        <v>0</v>
      </c>
      <c r="D8" s="87">
        <v>0</v>
      </c>
      <c r="E8" s="47">
        <f>C8+D8</f>
        <v>0</v>
      </c>
      <c r="F8" s="87">
        <v>0</v>
      </c>
      <c r="G8" s="47">
        <f t="shared" si="4"/>
        <v>0</v>
      </c>
      <c r="H8" s="88"/>
      <c r="I8" s="15">
        <v>100</v>
      </c>
      <c r="J8" s="8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7">
        <v>0</v>
      </c>
      <c r="S8" s="47">
        <f t="shared" si="1"/>
        <v>0</v>
      </c>
      <c r="T8" s="87">
        <v>0</v>
      </c>
      <c r="U8" s="47">
        <f t="shared" si="2"/>
        <v>0</v>
      </c>
      <c r="V8" s="88">
        <v>0</v>
      </c>
      <c r="W8" s="22"/>
      <c r="X8" s="44">
        <f t="shared" si="3"/>
        <v>0</v>
      </c>
      <c r="Y8" s="17" t="s">
        <v>16</v>
      </c>
      <c r="Z8" s="18">
        <v>0</v>
      </c>
      <c r="AB8" s="2" t="s">
        <v>320</v>
      </c>
    </row>
    <row r="9" spans="1:28" ht="25.5" x14ac:dyDescent="0.55000000000000004">
      <c r="A9" s="10">
        <v>5</v>
      </c>
      <c r="B9" s="19" t="s">
        <v>20</v>
      </c>
      <c r="C9" s="79">
        <f>+'23'!G9</f>
        <v>0</v>
      </c>
      <c r="D9" s="87">
        <v>0</v>
      </c>
      <c r="E9" s="47">
        <f>C9+D9</f>
        <v>0</v>
      </c>
      <c r="F9" s="87">
        <v>0</v>
      </c>
      <c r="G9" s="47">
        <f t="shared" si="4"/>
        <v>0</v>
      </c>
      <c r="H9" s="88"/>
      <c r="I9" s="15">
        <v>12</v>
      </c>
      <c r="J9" s="8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7">
        <v>0</v>
      </c>
      <c r="S9" s="47">
        <f t="shared" si="1"/>
        <v>0</v>
      </c>
      <c r="T9" s="87">
        <v>0</v>
      </c>
      <c r="U9" s="47">
        <f t="shared" si="2"/>
        <v>0</v>
      </c>
      <c r="V9" s="88">
        <v>0</v>
      </c>
      <c r="W9" s="22"/>
      <c r="X9" s="44">
        <f t="shared" si="3"/>
        <v>0</v>
      </c>
      <c r="Y9" s="17" t="s">
        <v>16</v>
      </c>
      <c r="Z9" s="18">
        <v>0</v>
      </c>
      <c r="AB9" s="2" t="s">
        <v>307</v>
      </c>
    </row>
    <row r="10" spans="1:28" ht="25.5" x14ac:dyDescent="0.55000000000000004">
      <c r="A10" s="10">
        <v>6</v>
      </c>
      <c r="B10" s="19" t="s">
        <v>21</v>
      </c>
      <c r="C10" s="79">
        <f>+'23'!G10</f>
        <v>0</v>
      </c>
      <c r="D10" s="87">
        <v>0</v>
      </c>
      <c r="E10" s="47">
        <f>C10+D10</f>
        <v>0</v>
      </c>
      <c r="F10" s="87">
        <v>0</v>
      </c>
      <c r="G10" s="47">
        <f t="shared" si="4"/>
        <v>0</v>
      </c>
      <c r="H10" s="88"/>
      <c r="I10" s="15">
        <v>15</v>
      </c>
      <c r="J10" s="8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7">
        <v>0</v>
      </c>
      <c r="S10" s="47">
        <f t="shared" si="1"/>
        <v>0</v>
      </c>
      <c r="T10" s="87">
        <v>0</v>
      </c>
      <c r="U10" s="47">
        <f t="shared" si="2"/>
        <v>0</v>
      </c>
      <c r="V10" s="88">
        <v>0</v>
      </c>
      <c r="W10" s="22"/>
      <c r="X10" s="44">
        <f t="shared" si="3"/>
        <v>0</v>
      </c>
      <c r="Y10" s="17" t="s">
        <v>16</v>
      </c>
      <c r="Z10" s="18">
        <v>0</v>
      </c>
      <c r="AB10" s="2" t="s">
        <v>311</v>
      </c>
    </row>
    <row r="11" spans="1:28" ht="25.5" x14ac:dyDescent="0.55000000000000004">
      <c r="A11" s="10">
        <v>7</v>
      </c>
      <c r="B11" s="19" t="s">
        <v>22</v>
      </c>
      <c r="C11" s="79">
        <f>+'23'!G11</f>
        <v>0</v>
      </c>
      <c r="D11" s="87">
        <v>0</v>
      </c>
      <c r="E11" s="47">
        <f t="shared" si="0"/>
        <v>0</v>
      </c>
      <c r="F11" s="87">
        <v>0</v>
      </c>
      <c r="G11" s="47">
        <f t="shared" si="4"/>
        <v>0</v>
      </c>
      <c r="H11" s="88"/>
      <c r="I11" s="15">
        <v>40</v>
      </c>
      <c r="J11" s="8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7">
        <v>0</v>
      </c>
      <c r="S11" s="47">
        <f t="shared" si="1"/>
        <v>0</v>
      </c>
      <c r="T11" s="87">
        <v>0</v>
      </c>
      <c r="U11" s="47">
        <f t="shared" si="2"/>
        <v>0</v>
      </c>
      <c r="V11" s="88">
        <v>0</v>
      </c>
      <c r="W11" s="22"/>
      <c r="X11" s="44">
        <f t="shared" si="3"/>
        <v>0</v>
      </c>
      <c r="Y11" s="17" t="s">
        <v>16</v>
      </c>
      <c r="Z11" s="18">
        <v>0</v>
      </c>
      <c r="AB11" s="2" t="s">
        <v>321</v>
      </c>
    </row>
    <row r="12" spans="1:28" ht="25.5" x14ac:dyDescent="0.55000000000000004">
      <c r="A12" s="10">
        <v>8</v>
      </c>
      <c r="B12" s="19" t="s">
        <v>23</v>
      </c>
      <c r="C12" s="79">
        <f>+'23'!G12</f>
        <v>7</v>
      </c>
      <c r="D12" s="87">
        <v>0</v>
      </c>
      <c r="E12" s="47">
        <f t="shared" si="0"/>
        <v>7</v>
      </c>
      <c r="F12" s="87">
        <v>0</v>
      </c>
      <c r="G12" s="47">
        <f t="shared" si="4"/>
        <v>7</v>
      </c>
      <c r="H12" s="88"/>
      <c r="I12" s="15">
        <v>50</v>
      </c>
      <c r="J12" s="8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7">
        <v>0</v>
      </c>
      <c r="S12" s="47">
        <f t="shared" si="1"/>
        <v>0</v>
      </c>
      <c r="T12" s="87">
        <v>0</v>
      </c>
      <c r="U12" s="47">
        <f t="shared" si="2"/>
        <v>0</v>
      </c>
      <c r="V12" s="88">
        <v>0</v>
      </c>
      <c r="W12" s="22"/>
      <c r="X12" s="44">
        <f t="shared" si="3"/>
        <v>0</v>
      </c>
      <c r="Y12" s="17" t="s">
        <v>16</v>
      </c>
      <c r="Z12" s="18">
        <v>0</v>
      </c>
      <c r="AB12" s="2" t="s">
        <v>289</v>
      </c>
    </row>
    <row r="13" spans="1:28" ht="25.5" x14ac:dyDescent="0.55000000000000004">
      <c r="A13" s="10">
        <v>9</v>
      </c>
      <c r="B13" s="19" t="s">
        <v>24</v>
      </c>
      <c r="C13" s="79">
        <f>+'23'!G13</f>
        <v>0</v>
      </c>
      <c r="D13" s="87">
        <v>0</v>
      </c>
      <c r="E13" s="47">
        <f>C13+D13</f>
        <v>0</v>
      </c>
      <c r="F13" s="87">
        <v>0</v>
      </c>
      <c r="G13" s="47">
        <f t="shared" si="4"/>
        <v>0</v>
      </c>
      <c r="H13" s="88"/>
      <c r="I13" s="15">
        <v>55</v>
      </c>
      <c r="J13" s="8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7">
        <v>0</v>
      </c>
      <c r="S13" s="47">
        <f t="shared" si="1"/>
        <v>0</v>
      </c>
      <c r="T13" s="87">
        <v>0</v>
      </c>
      <c r="U13" s="47">
        <f t="shared" si="2"/>
        <v>0</v>
      </c>
      <c r="V13" s="88">
        <v>0</v>
      </c>
      <c r="W13" s="22"/>
      <c r="X13" s="44">
        <f t="shared" si="3"/>
        <v>0</v>
      </c>
      <c r="Y13" s="17" t="s">
        <v>16</v>
      </c>
      <c r="Z13" s="18">
        <v>0</v>
      </c>
      <c r="AB13" s="2" t="s">
        <v>322</v>
      </c>
    </row>
    <row r="14" spans="1:28" ht="25.5" x14ac:dyDescent="0.55000000000000004">
      <c r="A14" s="10">
        <v>10</v>
      </c>
      <c r="B14" s="19" t="s">
        <v>25</v>
      </c>
      <c r="C14" s="79">
        <f>+'23'!G14</f>
        <v>4</v>
      </c>
      <c r="D14" s="87">
        <v>0</v>
      </c>
      <c r="E14" s="47">
        <f t="shared" si="0"/>
        <v>4</v>
      </c>
      <c r="F14" s="87">
        <v>0</v>
      </c>
      <c r="G14" s="47">
        <f t="shared" si="4"/>
        <v>2</v>
      </c>
      <c r="H14" s="88">
        <v>2</v>
      </c>
      <c r="I14" s="15">
        <v>65</v>
      </c>
      <c r="J14" s="82">
        <f t="shared" si="5"/>
        <v>130</v>
      </c>
      <c r="K14" s="17" t="s">
        <v>16</v>
      </c>
      <c r="L14" s="18">
        <v>0</v>
      </c>
      <c r="M14" s="23">
        <f t="shared" si="6"/>
        <v>130</v>
      </c>
      <c r="O14" s="10">
        <v>10</v>
      </c>
      <c r="P14" s="19"/>
      <c r="Q14" s="47">
        <v>0</v>
      </c>
      <c r="R14" s="87">
        <v>0</v>
      </c>
      <c r="S14" s="47">
        <f t="shared" si="1"/>
        <v>0</v>
      </c>
      <c r="T14" s="87">
        <v>0</v>
      </c>
      <c r="U14" s="47">
        <f t="shared" si="2"/>
        <v>0</v>
      </c>
      <c r="V14" s="88">
        <v>0</v>
      </c>
      <c r="W14" s="22"/>
      <c r="X14" s="44">
        <f t="shared" si="3"/>
        <v>0</v>
      </c>
      <c r="Y14" s="17" t="s">
        <v>16</v>
      </c>
      <c r="Z14" s="18">
        <v>0</v>
      </c>
      <c r="AB14" s="2" t="s">
        <v>306</v>
      </c>
    </row>
    <row r="15" spans="1:28" ht="25.5" x14ac:dyDescent="0.55000000000000004">
      <c r="A15" s="10">
        <v>11</v>
      </c>
      <c r="B15" s="19" t="s">
        <v>26</v>
      </c>
      <c r="C15" s="79">
        <f>+'23'!G15</f>
        <v>0</v>
      </c>
      <c r="D15" s="87">
        <v>0</v>
      </c>
      <c r="E15" s="47">
        <f t="shared" si="0"/>
        <v>0</v>
      </c>
      <c r="F15" s="87">
        <v>0</v>
      </c>
      <c r="G15" s="47">
        <f t="shared" si="4"/>
        <v>0</v>
      </c>
      <c r="H15" s="88"/>
      <c r="I15" s="15">
        <v>50</v>
      </c>
      <c r="J15" s="8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7">
        <v>0</v>
      </c>
      <c r="S15" s="47">
        <f t="shared" ref="S15:S29" si="7">Q15+R15</f>
        <v>0</v>
      </c>
      <c r="T15" s="87">
        <v>0</v>
      </c>
      <c r="U15" s="47">
        <f t="shared" ref="U15:U29" si="8">S15-T15-V15</f>
        <v>0</v>
      </c>
      <c r="V15" s="88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8" ht="25.5" x14ac:dyDescent="0.55000000000000004">
      <c r="A16" s="10">
        <v>12</v>
      </c>
      <c r="B16" s="19" t="s">
        <v>27</v>
      </c>
      <c r="C16" s="79">
        <f>+'23'!G16</f>
        <v>0</v>
      </c>
      <c r="D16" s="87">
        <v>0</v>
      </c>
      <c r="E16" s="47">
        <f t="shared" si="0"/>
        <v>0</v>
      </c>
      <c r="F16" s="87">
        <v>0</v>
      </c>
      <c r="G16" s="47">
        <f t="shared" si="4"/>
        <v>0</v>
      </c>
      <c r="H16" s="88"/>
      <c r="I16" s="15">
        <v>50</v>
      </c>
      <c r="J16" s="8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7">
        <v>0</v>
      </c>
      <c r="S16" s="47">
        <f t="shared" si="7"/>
        <v>0</v>
      </c>
      <c r="T16" s="87">
        <v>0</v>
      </c>
      <c r="U16" s="47">
        <f t="shared" si="8"/>
        <v>0</v>
      </c>
      <c r="V16" s="88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+'23'!G17</f>
        <v>4</v>
      </c>
      <c r="D17" s="87">
        <v>0</v>
      </c>
      <c r="E17" s="47">
        <f t="shared" si="0"/>
        <v>4</v>
      </c>
      <c r="F17" s="87">
        <v>0</v>
      </c>
      <c r="G17" s="47">
        <f t="shared" si="4"/>
        <v>4</v>
      </c>
      <c r="H17" s="88"/>
      <c r="I17" s="15">
        <v>50</v>
      </c>
      <c r="J17" s="8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7">
        <v>0</v>
      </c>
      <c r="S17" s="47">
        <f t="shared" si="7"/>
        <v>0</v>
      </c>
      <c r="T17" s="87">
        <v>0</v>
      </c>
      <c r="U17" s="47">
        <f t="shared" si="8"/>
        <v>0</v>
      </c>
      <c r="V17" s="88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+'23'!G18</f>
        <v>0</v>
      </c>
      <c r="D18" s="87">
        <v>0</v>
      </c>
      <c r="E18" s="47">
        <f t="shared" si="0"/>
        <v>0</v>
      </c>
      <c r="F18" s="87">
        <v>0</v>
      </c>
      <c r="G18" s="47">
        <f t="shared" si="4"/>
        <v>0</v>
      </c>
      <c r="H18" s="88"/>
      <c r="I18" s="15">
        <v>50</v>
      </c>
      <c r="J18" s="8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7">
        <v>0</v>
      </c>
      <c r="S18" s="47">
        <f t="shared" si="7"/>
        <v>0</v>
      </c>
      <c r="T18" s="87">
        <v>0</v>
      </c>
      <c r="U18" s="47">
        <f t="shared" si="8"/>
        <v>0</v>
      </c>
      <c r="V18" s="88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329</v>
      </c>
      <c r="C19" s="79">
        <f>+'23'!G19</f>
        <v>3</v>
      </c>
      <c r="D19" s="87">
        <v>0</v>
      </c>
      <c r="E19" s="47">
        <f t="shared" si="0"/>
        <v>3</v>
      </c>
      <c r="F19" s="87">
        <v>0</v>
      </c>
      <c r="G19" s="47">
        <f t="shared" si="4"/>
        <v>1</v>
      </c>
      <c r="H19" s="88">
        <v>2</v>
      </c>
      <c r="I19" s="15">
        <v>50</v>
      </c>
      <c r="J19" s="82">
        <f t="shared" si="5"/>
        <v>100</v>
      </c>
      <c r="K19" s="17" t="s">
        <v>16</v>
      </c>
      <c r="L19" s="18">
        <v>0</v>
      </c>
      <c r="M19" s="23">
        <f t="shared" si="6"/>
        <v>100</v>
      </c>
      <c r="O19" s="10">
        <v>15</v>
      </c>
      <c r="P19" s="19"/>
      <c r="Q19" s="47">
        <v>0</v>
      </c>
      <c r="R19" s="87">
        <v>0</v>
      </c>
      <c r="S19" s="47">
        <f t="shared" si="7"/>
        <v>0</v>
      </c>
      <c r="T19" s="87">
        <v>0</v>
      </c>
      <c r="U19" s="47">
        <f t="shared" si="8"/>
        <v>0</v>
      </c>
      <c r="V19" s="88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+'23'!G20</f>
        <v>0</v>
      </c>
      <c r="D20" s="87">
        <v>0</v>
      </c>
      <c r="E20" s="47">
        <f t="shared" si="0"/>
        <v>0</v>
      </c>
      <c r="F20" s="87">
        <v>0</v>
      </c>
      <c r="G20" s="47">
        <f t="shared" si="4"/>
        <v>0</v>
      </c>
      <c r="H20" s="88"/>
      <c r="I20" s="15">
        <v>50</v>
      </c>
      <c r="J20" s="8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7">
        <v>0</v>
      </c>
      <c r="S20" s="47">
        <f t="shared" si="7"/>
        <v>0</v>
      </c>
      <c r="T20" s="87">
        <v>0</v>
      </c>
      <c r="U20" s="47">
        <f t="shared" si="8"/>
        <v>0</v>
      </c>
      <c r="V20" s="88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+'23'!G21</f>
        <v>0</v>
      </c>
      <c r="D21" s="87">
        <v>0</v>
      </c>
      <c r="E21" s="47">
        <f t="shared" si="0"/>
        <v>0</v>
      </c>
      <c r="F21" s="87">
        <v>0</v>
      </c>
      <c r="G21" s="47">
        <f t="shared" si="4"/>
        <v>0</v>
      </c>
      <c r="H21" s="88"/>
      <c r="I21" s="15">
        <v>50</v>
      </c>
      <c r="J21" s="8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7">
        <v>0</v>
      </c>
      <c r="S21" s="47">
        <f t="shared" si="7"/>
        <v>0</v>
      </c>
      <c r="T21" s="87">
        <v>0</v>
      </c>
      <c r="U21" s="47">
        <f t="shared" si="8"/>
        <v>0</v>
      </c>
      <c r="V21" s="88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+'23'!G22</f>
        <v>2</v>
      </c>
      <c r="D22" s="87">
        <v>0</v>
      </c>
      <c r="E22" s="47">
        <f t="shared" si="0"/>
        <v>2</v>
      </c>
      <c r="F22" s="87">
        <v>0</v>
      </c>
      <c r="G22" s="47">
        <f t="shared" si="4"/>
        <v>2</v>
      </c>
      <c r="H22" s="88"/>
      <c r="I22" s="15">
        <v>85</v>
      </c>
      <c r="J22" s="8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7">
        <v>0</v>
      </c>
      <c r="S22" s="47">
        <f t="shared" si="7"/>
        <v>0</v>
      </c>
      <c r="T22" s="87">
        <v>0</v>
      </c>
      <c r="U22" s="47">
        <f t="shared" si="8"/>
        <v>0</v>
      </c>
      <c r="V22" s="88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+'23'!G23</f>
        <v>7</v>
      </c>
      <c r="D23" s="87">
        <v>0</v>
      </c>
      <c r="E23" s="47">
        <f t="shared" si="0"/>
        <v>7</v>
      </c>
      <c r="F23" s="87">
        <v>0</v>
      </c>
      <c r="G23" s="47">
        <f t="shared" si="4"/>
        <v>7</v>
      </c>
      <c r="H23" s="88"/>
      <c r="I23" s="15">
        <v>100</v>
      </c>
      <c r="J23" s="8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v>0</v>
      </c>
      <c r="R23" s="87">
        <v>0</v>
      </c>
      <c r="S23" s="47">
        <f t="shared" si="7"/>
        <v>0</v>
      </c>
      <c r="T23" s="87">
        <v>0</v>
      </c>
      <c r="U23" s="47">
        <f t="shared" si="8"/>
        <v>0</v>
      </c>
      <c r="V23" s="88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+'23'!G24</f>
        <v>5</v>
      </c>
      <c r="D24" s="87">
        <v>0</v>
      </c>
      <c r="E24" s="47">
        <f t="shared" si="0"/>
        <v>5</v>
      </c>
      <c r="F24" s="87">
        <v>0</v>
      </c>
      <c r="G24" s="47">
        <f t="shared" si="4"/>
        <v>5</v>
      </c>
      <c r="H24" s="88"/>
      <c r="I24" s="21">
        <v>100</v>
      </c>
      <c r="J24" s="8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7">
        <v>0</v>
      </c>
      <c r="S24" s="47">
        <f t="shared" si="7"/>
        <v>0</v>
      </c>
      <c r="T24" s="87">
        <v>0</v>
      </c>
      <c r="U24" s="47">
        <f t="shared" si="8"/>
        <v>0</v>
      </c>
      <c r="V24" s="88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+'23'!G25</f>
        <v>2</v>
      </c>
      <c r="D25" s="87">
        <v>0</v>
      </c>
      <c r="E25" s="47">
        <f t="shared" si="0"/>
        <v>2</v>
      </c>
      <c r="F25" s="87">
        <v>0</v>
      </c>
      <c r="G25" s="47">
        <f t="shared" si="4"/>
        <v>2</v>
      </c>
      <c r="H25" s="88"/>
      <c r="I25" s="21">
        <v>100</v>
      </c>
      <c r="J25" s="8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7">
        <v>0</v>
      </c>
      <c r="S25" s="47">
        <f t="shared" si="7"/>
        <v>0</v>
      </c>
      <c r="T25" s="87">
        <v>0</v>
      </c>
      <c r="U25" s="47">
        <f t="shared" si="8"/>
        <v>0</v>
      </c>
      <c r="V25" s="88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+'23'!G26</f>
        <v>2</v>
      </c>
      <c r="D26" s="87">
        <v>0</v>
      </c>
      <c r="E26" s="47">
        <f t="shared" si="0"/>
        <v>2</v>
      </c>
      <c r="F26" s="87">
        <v>0</v>
      </c>
      <c r="G26" s="47">
        <f t="shared" si="4"/>
        <v>2</v>
      </c>
      <c r="H26" s="88"/>
      <c r="I26" s="21">
        <v>100</v>
      </c>
      <c r="J26" s="8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7">
        <v>0</v>
      </c>
      <c r="S26" s="47">
        <f t="shared" si="7"/>
        <v>0</v>
      </c>
      <c r="T26" s="87">
        <v>0</v>
      </c>
      <c r="U26" s="47">
        <f t="shared" si="8"/>
        <v>0</v>
      </c>
      <c r="V26" s="88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+'23'!G27</f>
        <v>0</v>
      </c>
      <c r="D27" s="87">
        <v>0</v>
      </c>
      <c r="E27" s="47">
        <f t="shared" si="0"/>
        <v>0</v>
      </c>
      <c r="F27" s="87">
        <v>0</v>
      </c>
      <c r="G27" s="47">
        <f t="shared" si="4"/>
        <v>0</v>
      </c>
      <c r="H27" s="88"/>
      <c r="I27" s="20">
        <v>100</v>
      </c>
      <c r="J27" s="8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7">
        <v>0</v>
      </c>
      <c r="S27" s="47">
        <f t="shared" si="7"/>
        <v>0</v>
      </c>
      <c r="T27" s="87">
        <v>0</v>
      </c>
      <c r="U27" s="47">
        <f t="shared" si="8"/>
        <v>0</v>
      </c>
      <c r="V27" s="88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+'23'!G28</f>
        <v>0</v>
      </c>
      <c r="D28" s="87">
        <v>0</v>
      </c>
      <c r="E28" s="47">
        <f t="shared" si="0"/>
        <v>0</v>
      </c>
      <c r="F28" s="87">
        <v>0</v>
      </c>
      <c r="G28" s="47">
        <f t="shared" si="4"/>
        <v>0</v>
      </c>
      <c r="H28" s="88"/>
      <c r="I28" s="20">
        <v>100</v>
      </c>
      <c r="J28" s="8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7">
        <v>0</v>
      </c>
      <c r="S28" s="47">
        <f t="shared" si="7"/>
        <v>0</v>
      </c>
      <c r="T28" s="87">
        <v>0</v>
      </c>
      <c r="U28" s="47">
        <f t="shared" si="8"/>
        <v>0</v>
      </c>
      <c r="V28" s="88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+'23'!G29</f>
        <v>6</v>
      </c>
      <c r="D29" s="87">
        <v>0</v>
      </c>
      <c r="E29" s="47">
        <f t="shared" si="0"/>
        <v>6</v>
      </c>
      <c r="F29" s="87">
        <v>0</v>
      </c>
      <c r="G29" s="47">
        <f t="shared" si="4"/>
        <v>5</v>
      </c>
      <c r="H29" s="88">
        <v>1</v>
      </c>
      <c r="I29" s="15">
        <v>100</v>
      </c>
      <c r="J29" s="82">
        <f t="shared" si="5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47">
        <v>0</v>
      </c>
      <c r="R29" s="87">
        <v>0</v>
      </c>
      <c r="S29" s="47">
        <f t="shared" si="7"/>
        <v>0</v>
      </c>
      <c r="T29" s="87">
        <v>0</v>
      </c>
      <c r="U29" s="47">
        <f t="shared" si="8"/>
        <v>0</v>
      </c>
      <c r="V29" s="88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+'23'!G30</f>
        <v>0</v>
      </c>
      <c r="D30" s="87">
        <v>0</v>
      </c>
      <c r="E30" s="47">
        <f t="shared" si="0"/>
        <v>0</v>
      </c>
      <c r="F30" s="87">
        <v>0</v>
      </c>
      <c r="G30" s="47">
        <f t="shared" si="4"/>
        <v>0</v>
      </c>
      <c r="H30" s="88"/>
      <c r="I30" s="15">
        <v>100</v>
      </c>
      <c r="J30" s="8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+'23'!G31</f>
        <v>2</v>
      </c>
      <c r="D31" s="87">
        <v>0</v>
      </c>
      <c r="E31" s="47">
        <f t="shared" si="0"/>
        <v>2</v>
      </c>
      <c r="F31" s="87">
        <v>0</v>
      </c>
      <c r="G31" s="47">
        <f t="shared" si="4"/>
        <v>2</v>
      </c>
      <c r="H31" s="88"/>
      <c r="I31" s="15">
        <v>100</v>
      </c>
      <c r="J31" s="82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+'23'!G32</f>
        <v>0</v>
      </c>
      <c r="D32" s="87">
        <v>0</v>
      </c>
      <c r="E32" s="47">
        <f t="shared" si="0"/>
        <v>0</v>
      </c>
      <c r="F32" s="87">
        <v>0</v>
      </c>
      <c r="G32" s="47">
        <f t="shared" si="4"/>
        <v>0</v>
      </c>
      <c r="H32" s="88"/>
      <c r="I32" s="15">
        <v>130</v>
      </c>
      <c r="J32" s="82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5" t="s">
        <v>119</v>
      </c>
      <c r="Q32" s="146"/>
      <c r="R32" s="146"/>
      <c r="S32" s="146"/>
      <c r="T32" s="146"/>
      <c r="U32" s="146"/>
      <c r="V32" s="146"/>
      <c r="W32" s="147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+'23'!G33</f>
        <v>3</v>
      </c>
      <c r="D33" s="87">
        <v>0</v>
      </c>
      <c r="E33" s="47">
        <f t="shared" si="0"/>
        <v>3</v>
      </c>
      <c r="F33" s="87">
        <v>0</v>
      </c>
      <c r="G33" s="47">
        <f t="shared" si="4"/>
        <v>1</v>
      </c>
      <c r="H33" s="88">
        <v>2</v>
      </c>
      <c r="I33" s="15">
        <v>130</v>
      </c>
      <c r="J33" s="82">
        <f t="shared" si="5"/>
        <v>260</v>
      </c>
      <c r="K33" s="17" t="s">
        <v>16</v>
      </c>
      <c r="L33" s="18">
        <v>130</v>
      </c>
      <c r="M33" s="23">
        <f t="shared" si="6"/>
        <v>130</v>
      </c>
    </row>
    <row r="34" spans="1:13" ht="25.5" x14ac:dyDescent="0.55000000000000004">
      <c r="A34" s="10">
        <v>30</v>
      </c>
      <c r="B34" s="19" t="s">
        <v>45</v>
      </c>
      <c r="C34" s="79">
        <f>+'23'!G34</f>
        <v>10</v>
      </c>
      <c r="D34" s="87">
        <v>0</v>
      </c>
      <c r="E34" s="47">
        <f t="shared" si="0"/>
        <v>10</v>
      </c>
      <c r="F34" s="87">
        <v>0</v>
      </c>
      <c r="G34" s="47">
        <f t="shared" si="4"/>
        <v>7</v>
      </c>
      <c r="H34" s="88">
        <v>3</v>
      </c>
      <c r="I34" s="15">
        <v>130</v>
      </c>
      <c r="J34" s="82">
        <f t="shared" si="5"/>
        <v>390</v>
      </c>
      <c r="K34" s="17" t="s">
        <v>16</v>
      </c>
      <c r="L34" s="18">
        <v>195</v>
      </c>
      <c r="M34" s="23">
        <f t="shared" si="6"/>
        <v>195</v>
      </c>
    </row>
    <row r="35" spans="1:13" ht="25.5" x14ac:dyDescent="0.55000000000000004">
      <c r="A35" s="10">
        <v>31</v>
      </c>
      <c r="B35" s="19" t="s">
        <v>46</v>
      </c>
      <c r="C35" s="79">
        <f>+'23'!G35</f>
        <v>0</v>
      </c>
      <c r="D35" s="87">
        <v>0</v>
      </c>
      <c r="E35" s="47">
        <f t="shared" si="0"/>
        <v>0</v>
      </c>
      <c r="F35" s="87">
        <v>0</v>
      </c>
      <c r="G35" s="47">
        <f t="shared" si="4"/>
        <v>0</v>
      </c>
      <c r="H35" s="88"/>
      <c r="I35" s="15">
        <v>130</v>
      </c>
      <c r="J35" s="82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+'23'!G36</f>
        <v>0</v>
      </c>
      <c r="D36" s="87">
        <v>0</v>
      </c>
      <c r="E36" s="47">
        <f t="shared" si="0"/>
        <v>0</v>
      </c>
      <c r="F36" s="87">
        <v>0</v>
      </c>
      <c r="G36" s="47">
        <f t="shared" si="4"/>
        <v>0</v>
      </c>
      <c r="H36" s="88"/>
      <c r="I36" s="15">
        <v>100</v>
      </c>
      <c r="J36" s="82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+'23'!G37</f>
        <v>10</v>
      </c>
      <c r="D37" s="87">
        <v>0</v>
      </c>
      <c r="E37" s="47">
        <f t="shared" si="0"/>
        <v>10</v>
      </c>
      <c r="F37" s="87">
        <v>0</v>
      </c>
      <c r="G37" s="47">
        <f t="shared" si="4"/>
        <v>10</v>
      </c>
      <c r="H37" s="88"/>
      <c r="I37" s="15">
        <v>100</v>
      </c>
      <c r="J37" s="82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 t="s">
        <v>49</v>
      </c>
      <c r="C38" s="79">
        <f>+'23'!G38</f>
        <v>4</v>
      </c>
      <c r="D38" s="87">
        <v>0</v>
      </c>
      <c r="E38" s="47">
        <f t="shared" si="0"/>
        <v>4</v>
      </c>
      <c r="F38" s="87">
        <v>0</v>
      </c>
      <c r="G38" s="47">
        <f t="shared" si="4"/>
        <v>4</v>
      </c>
      <c r="H38" s="88"/>
      <c r="I38" s="15">
        <v>50</v>
      </c>
      <c r="J38" s="82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+'23'!G39</f>
        <v>11</v>
      </c>
      <c r="D39" s="87">
        <v>0</v>
      </c>
      <c r="E39" s="47">
        <f t="shared" si="0"/>
        <v>11</v>
      </c>
      <c r="F39" s="87">
        <v>0</v>
      </c>
      <c r="G39" s="47">
        <f t="shared" si="4"/>
        <v>11</v>
      </c>
      <c r="H39" s="88"/>
      <c r="I39" s="15">
        <v>50</v>
      </c>
      <c r="J39" s="82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+'23'!G40</f>
        <v>7</v>
      </c>
      <c r="D40" s="87">
        <v>0</v>
      </c>
      <c r="E40" s="47">
        <f t="shared" si="0"/>
        <v>7</v>
      </c>
      <c r="F40" s="87">
        <v>0</v>
      </c>
      <c r="G40" s="47">
        <f t="shared" si="4"/>
        <v>7</v>
      </c>
      <c r="H40" s="88"/>
      <c r="I40" s="15">
        <v>50</v>
      </c>
      <c r="J40" s="82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+'23'!G41</f>
        <v>0</v>
      </c>
      <c r="D41" s="87">
        <v>0</v>
      </c>
      <c r="E41" s="47">
        <f t="shared" si="0"/>
        <v>0</v>
      </c>
      <c r="F41" s="87">
        <v>0</v>
      </c>
      <c r="G41" s="47">
        <f t="shared" si="4"/>
        <v>0</v>
      </c>
      <c r="H41" s="88"/>
      <c r="I41" s="15">
        <v>50</v>
      </c>
      <c r="J41" s="82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285</v>
      </c>
      <c r="C42" s="79">
        <f>+'23'!G42</f>
        <v>0</v>
      </c>
      <c r="D42" s="87">
        <v>0</v>
      </c>
      <c r="E42" s="47">
        <f t="shared" si="0"/>
        <v>0</v>
      </c>
      <c r="F42" s="87">
        <v>0</v>
      </c>
      <c r="G42" s="47">
        <f t="shared" si="4"/>
        <v>0</v>
      </c>
      <c r="H42" s="88"/>
      <c r="I42" s="15">
        <v>50</v>
      </c>
      <c r="J42" s="82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+'23'!G43</f>
        <v>0</v>
      </c>
      <c r="D43" s="87">
        <v>0</v>
      </c>
      <c r="E43" s="47">
        <f t="shared" si="0"/>
        <v>0</v>
      </c>
      <c r="F43" s="87">
        <v>0</v>
      </c>
      <c r="G43" s="47">
        <f t="shared" si="4"/>
        <v>0</v>
      </c>
      <c r="H43" s="88"/>
      <c r="I43" s="15">
        <v>50</v>
      </c>
      <c r="J43" s="82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+'23'!G44</f>
        <v>0</v>
      </c>
      <c r="D44" s="87">
        <v>0</v>
      </c>
      <c r="E44" s="47">
        <f t="shared" si="0"/>
        <v>0</v>
      </c>
      <c r="F44" s="87">
        <v>0</v>
      </c>
      <c r="G44" s="47">
        <f t="shared" si="4"/>
        <v>0</v>
      </c>
      <c r="H44" s="88"/>
      <c r="I44" s="15">
        <v>50</v>
      </c>
      <c r="J44" s="82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+'23'!G45</f>
        <v>0</v>
      </c>
      <c r="D45" s="87">
        <v>0</v>
      </c>
      <c r="E45" s="47">
        <f t="shared" si="0"/>
        <v>0</v>
      </c>
      <c r="F45" s="87">
        <v>0</v>
      </c>
      <c r="G45" s="47">
        <f t="shared" si="4"/>
        <v>0</v>
      </c>
      <c r="H45" s="88"/>
      <c r="I45" s="15">
        <v>50</v>
      </c>
      <c r="J45" s="82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286</v>
      </c>
      <c r="C46" s="79">
        <f>+'23'!G46</f>
        <v>0</v>
      </c>
      <c r="D46" s="87">
        <v>0</v>
      </c>
      <c r="E46" s="47">
        <f t="shared" si="0"/>
        <v>0</v>
      </c>
      <c r="F46" s="87">
        <v>0</v>
      </c>
      <c r="G46" s="47">
        <f t="shared" si="4"/>
        <v>0</v>
      </c>
      <c r="H46" s="88"/>
      <c r="I46" s="15">
        <v>50</v>
      </c>
      <c r="J46" s="82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+'23'!G47</f>
        <v>0</v>
      </c>
      <c r="D47" s="87">
        <v>0</v>
      </c>
      <c r="E47" s="47">
        <f t="shared" si="0"/>
        <v>0</v>
      </c>
      <c r="F47" s="87">
        <v>0</v>
      </c>
      <c r="G47" s="47">
        <f t="shared" si="4"/>
        <v>0</v>
      </c>
      <c r="H47" s="88"/>
      <c r="I47" s="15">
        <v>50</v>
      </c>
      <c r="J47" s="82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+'23'!G48</f>
        <v>0</v>
      </c>
      <c r="D48" s="87">
        <v>0</v>
      </c>
      <c r="E48" s="47">
        <f t="shared" si="0"/>
        <v>0</v>
      </c>
      <c r="F48" s="87">
        <v>0</v>
      </c>
      <c r="G48" s="47">
        <f t="shared" si="4"/>
        <v>0</v>
      </c>
      <c r="H48" s="88"/>
      <c r="I48" s="15">
        <v>50</v>
      </c>
      <c r="J48" s="82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+'23'!G49</f>
        <v>-1</v>
      </c>
      <c r="D49" s="87">
        <v>0</v>
      </c>
      <c r="E49" s="47">
        <f t="shared" si="0"/>
        <v>-1</v>
      </c>
      <c r="F49" s="87">
        <v>0</v>
      </c>
      <c r="G49" s="47">
        <f t="shared" si="4"/>
        <v>-1</v>
      </c>
      <c r="H49" s="88"/>
      <c r="I49" s="15">
        <v>50</v>
      </c>
      <c r="J49" s="82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+'23'!G50</f>
        <v>0</v>
      </c>
      <c r="D50" s="87">
        <v>0</v>
      </c>
      <c r="E50" s="47">
        <f t="shared" si="0"/>
        <v>0</v>
      </c>
      <c r="F50" s="87">
        <v>0</v>
      </c>
      <c r="G50" s="47">
        <f t="shared" si="4"/>
        <v>0</v>
      </c>
      <c r="H50" s="88"/>
      <c r="I50" s="15">
        <v>120</v>
      </c>
      <c r="J50" s="82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+'23'!G51</f>
        <v>0</v>
      </c>
      <c r="D51" s="87">
        <v>0</v>
      </c>
      <c r="E51" s="47">
        <f t="shared" si="0"/>
        <v>0</v>
      </c>
      <c r="F51" s="87">
        <v>0</v>
      </c>
      <c r="G51" s="47">
        <f t="shared" si="4"/>
        <v>0</v>
      </c>
      <c r="H51" s="88"/>
      <c r="I51" s="15">
        <v>120</v>
      </c>
      <c r="J51" s="82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+'23'!G52</f>
        <v>0</v>
      </c>
      <c r="D52" s="87">
        <v>0</v>
      </c>
      <c r="E52" s="47">
        <f t="shared" si="0"/>
        <v>0</v>
      </c>
      <c r="F52" s="87">
        <v>0</v>
      </c>
      <c r="G52" s="47">
        <f t="shared" si="4"/>
        <v>0</v>
      </c>
      <c r="H52" s="88"/>
      <c r="I52" s="21">
        <v>120</v>
      </c>
      <c r="J52" s="82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+'23'!G53</f>
        <v>0</v>
      </c>
      <c r="D53" s="87">
        <v>0</v>
      </c>
      <c r="E53" s="47">
        <f t="shared" si="0"/>
        <v>0</v>
      </c>
      <c r="F53" s="87">
        <v>0</v>
      </c>
      <c r="G53" s="47">
        <f t="shared" si="4"/>
        <v>0</v>
      </c>
      <c r="H53" s="88"/>
      <c r="I53" s="15">
        <v>120</v>
      </c>
      <c r="J53" s="82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+'23'!G54</f>
        <v>0</v>
      </c>
      <c r="D54" s="87">
        <v>0</v>
      </c>
      <c r="E54" s="47">
        <f t="shared" si="0"/>
        <v>0</v>
      </c>
      <c r="F54" s="87">
        <v>0</v>
      </c>
      <c r="G54" s="47">
        <f t="shared" si="4"/>
        <v>0</v>
      </c>
      <c r="H54" s="88"/>
      <c r="I54" s="15">
        <v>120</v>
      </c>
      <c r="J54" s="82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+'23'!G55</f>
        <v>1</v>
      </c>
      <c r="D55" s="87">
        <v>0</v>
      </c>
      <c r="E55" s="47">
        <f t="shared" si="0"/>
        <v>1</v>
      </c>
      <c r="F55" s="87">
        <v>0</v>
      </c>
      <c r="G55" s="47">
        <f t="shared" si="4"/>
        <v>1</v>
      </c>
      <c r="H55" s="88"/>
      <c r="I55" s="21">
        <v>120</v>
      </c>
      <c r="J55" s="82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+'23'!G56</f>
        <v>0</v>
      </c>
      <c r="D56" s="87">
        <v>0</v>
      </c>
      <c r="E56" s="47">
        <f t="shared" si="0"/>
        <v>0</v>
      </c>
      <c r="F56" s="87">
        <v>0</v>
      </c>
      <c r="G56" s="47">
        <f t="shared" si="4"/>
        <v>0</v>
      </c>
      <c r="H56" s="88"/>
      <c r="I56" s="21">
        <v>120</v>
      </c>
      <c r="J56" s="82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+'23'!G57</f>
        <v>0</v>
      </c>
      <c r="D57" s="87">
        <v>0</v>
      </c>
      <c r="E57" s="47">
        <f t="shared" si="0"/>
        <v>0</v>
      </c>
      <c r="F57" s="87">
        <v>0</v>
      </c>
      <c r="G57" s="47">
        <f t="shared" si="4"/>
        <v>0</v>
      </c>
      <c r="H57" s="88"/>
      <c r="I57" s="21">
        <v>120</v>
      </c>
      <c r="J57" s="82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+'23'!G58</f>
        <v>0</v>
      </c>
      <c r="D58" s="87">
        <v>0</v>
      </c>
      <c r="E58" s="47">
        <f t="shared" si="0"/>
        <v>0</v>
      </c>
      <c r="F58" s="87">
        <v>0</v>
      </c>
      <c r="G58" s="47">
        <f t="shared" si="4"/>
        <v>0</v>
      </c>
      <c r="H58" s="88"/>
      <c r="I58" s="21">
        <v>120</v>
      </c>
      <c r="J58" s="82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+'23'!G59</f>
        <v>0</v>
      </c>
      <c r="D59" s="87">
        <v>0</v>
      </c>
      <c r="E59" s="47">
        <f t="shared" si="0"/>
        <v>0</v>
      </c>
      <c r="F59" s="87">
        <v>0</v>
      </c>
      <c r="G59" s="47">
        <f t="shared" si="4"/>
        <v>0</v>
      </c>
      <c r="H59" s="88"/>
      <c r="I59" s="15">
        <v>70</v>
      </c>
      <c r="J59" s="82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+'23'!G60</f>
        <v>0</v>
      </c>
      <c r="D60" s="87">
        <v>0</v>
      </c>
      <c r="E60" s="47">
        <f t="shared" si="0"/>
        <v>0</v>
      </c>
      <c r="F60" s="87">
        <v>0</v>
      </c>
      <c r="G60" s="47">
        <f t="shared" si="4"/>
        <v>0</v>
      </c>
      <c r="H60" s="88"/>
      <c r="I60" s="21">
        <v>80</v>
      </c>
      <c r="J60" s="82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+'23'!G61</f>
        <v>0</v>
      </c>
      <c r="D61" s="87">
        <v>0</v>
      </c>
      <c r="E61" s="47">
        <f t="shared" si="0"/>
        <v>0</v>
      </c>
      <c r="F61" s="87">
        <v>0</v>
      </c>
      <c r="G61" s="47">
        <f t="shared" si="4"/>
        <v>0</v>
      </c>
      <c r="H61" s="88"/>
      <c r="I61" s="15">
        <v>50</v>
      </c>
      <c r="J61" s="82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+'23'!G62</f>
        <v>3</v>
      </c>
      <c r="D62" s="87">
        <v>0</v>
      </c>
      <c r="E62" s="47">
        <f t="shared" si="0"/>
        <v>3</v>
      </c>
      <c r="F62" s="87">
        <v>0</v>
      </c>
      <c r="G62" s="47">
        <f t="shared" si="4"/>
        <v>2</v>
      </c>
      <c r="H62" s="88">
        <v>1</v>
      </c>
      <c r="I62" s="20">
        <v>50</v>
      </c>
      <c r="J62" s="82">
        <f t="shared" si="5"/>
        <v>50</v>
      </c>
      <c r="K62" s="17" t="s">
        <v>16</v>
      </c>
      <c r="L62" s="18">
        <v>0</v>
      </c>
      <c r="M62" s="23">
        <f t="shared" si="6"/>
        <v>50</v>
      </c>
    </row>
    <row r="63" spans="1:13" ht="25.5" x14ac:dyDescent="0.55000000000000004">
      <c r="A63" s="10">
        <v>59</v>
      </c>
      <c r="B63" s="19" t="s">
        <v>74</v>
      </c>
      <c r="C63" s="79">
        <f>+'23'!G63</f>
        <v>0</v>
      </c>
      <c r="D63" s="87">
        <v>0</v>
      </c>
      <c r="E63" s="47">
        <f t="shared" si="0"/>
        <v>0</v>
      </c>
      <c r="F63" s="87">
        <v>0</v>
      </c>
      <c r="G63" s="47">
        <f t="shared" si="4"/>
        <v>0</v>
      </c>
      <c r="H63" s="88"/>
      <c r="I63" s="20">
        <v>50</v>
      </c>
      <c r="J63" s="82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+'23'!G64</f>
        <v>0</v>
      </c>
      <c r="D64" s="87">
        <v>0</v>
      </c>
      <c r="E64" s="47">
        <f t="shared" si="0"/>
        <v>0</v>
      </c>
      <c r="F64" s="87">
        <v>0</v>
      </c>
      <c r="G64" s="47">
        <f t="shared" si="4"/>
        <v>0</v>
      </c>
      <c r="H64" s="88"/>
      <c r="I64" s="21">
        <v>30</v>
      </c>
      <c r="J64" s="82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+'23'!G65</f>
        <v>0</v>
      </c>
      <c r="D65" s="87">
        <v>0</v>
      </c>
      <c r="E65" s="47">
        <f t="shared" si="0"/>
        <v>0</v>
      </c>
      <c r="F65" s="87">
        <v>0</v>
      </c>
      <c r="G65" s="47">
        <f t="shared" si="4"/>
        <v>0</v>
      </c>
      <c r="H65" s="88"/>
      <c r="I65" s="21">
        <v>30</v>
      </c>
      <c r="J65" s="82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+'23'!G66</f>
        <v>9</v>
      </c>
      <c r="D66" s="87">
        <v>0</v>
      </c>
      <c r="E66" s="47">
        <f t="shared" si="0"/>
        <v>9</v>
      </c>
      <c r="F66" s="87">
        <v>0</v>
      </c>
      <c r="G66" s="47">
        <f t="shared" si="4"/>
        <v>8</v>
      </c>
      <c r="H66" s="88">
        <v>1</v>
      </c>
      <c r="I66" s="15">
        <v>50</v>
      </c>
      <c r="J66" s="82">
        <f t="shared" si="5"/>
        <v>50</v>
      </c>
      <c r="K66" s="17" t="s">
        <v>16</v>
      </c>
      <c r="L66" s="18">
        <v>0</v>
      </c>
      <c r="M66" s="23">
        <f t="shared" si="6"/>
        <v>50</v>
      </c>
    </row>
    <row r="67" spans="1:13" ht="25.5" x14ac:dyDescent="0.55000000000000004">
      <c r="A67" s="10">
        <v>63</v>
      </c>
      <c r="B67" s="19" t="s">
        <v>78</v>
      </c>
      <c r="C67" s="79">
        <f>+'23'!G67</f>
        <v>3</v>
      </c>
      <c r="D67" s="87">
        <v>0</v>
      </c>
      <c r="E67" s="47">
        <f t="shared" si="0"/>
        <v>3</v>
      </c>
      <c r="F67" s="87">
        <v>0</v>
      </c>
      <c r="G67" s="47">
        <f t="shared" si="4"/>
        <v>3</v>
      </c>
      <c r="H67" s="88"/>
      <c r="I67" s="15">
        <v>50</v>
      </c>
      <c r="J67" s="82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+'23'!G68</f>
        <v>0</v>
      </c>
      <c r="D68" s="87">
        <v>0</v>
      </c>
      <c r="E68" s="47">
        <f t="shared" si="0"/>
        <v>0</v>
      </c>
      <c r="F68" s="87">
        <v>0</v>
      </c>
      <c r="G68" s="47">
        <f t="shared" si="4"/>
        <v>0</v>
      </c>
      <c r="H68" s="88"/>
      <c r="I68" s="20">
        <v>35</v>
      </c>
      <c r="J68" s="82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+'23'!G69</f>
        <v>0</v>
      </c>
      <c r="D69" s="87">
        <v>0</v>
      </c>
      <c r="E69" s="47">
        <f t="shared" si="0"/>
        <v>0</v>
      </c>
      <c r="F69" s="87">
        <v>0</v>
      </c>
      <c r="G69" s="47">
        <f t="shared" si="4"/>
        <v>0</v>
      </c>
      <c r="H69" s="88"/>
      <c r="I69" s="20">
        <v>25</v>
      </c>
      <c r="J69" s="82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+'23'!G70</f>
        <v>2</v>
      </c>
      <c r="D70" s="87">
        <v>0</v>
      </c>
      <c r="E70" s="47">
        <f t="shared" si="0"/>
        <v>2</v>
      </c>
      <c r="F70" s="87">
        <v>0</v>
      </c>
      <c r="G70" s="47">
        <f t="shared" si="4"/>
        <v>2</v>
      </c>
      <c r="H70" s="88"/>
      <c r="I70" s="20">
        <v>50</v>
      </c>
      <c r="J70" s="82">
        <f t="shared" si="5"/>
        <v>0</v>
      </c>
      <c r="K70" s="17" t="s">
        <v>16</v>
      </c>
      <c r="L70" s="18">
        <v>0</v>
      </c>
      <c r="M70" s="23">
        <f t="shared" ref="M70:M134" si="10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+'23'!G71</f>
        <v>0</v>
      </c>
      <c r="D71" s="87">
        <v>0</v>
      </c>
      <c r="E71" s="47">
        <f t="shared" si="0"/>
        <v>0</v>
      </c>
      <c r="F71" s="87">
        <v>0</v>
      </c>
      <c r="G71" s="47">
        <f t="shared" si="4"/>
        <v>0</v>
      </c>
      <c r="H71" s="88"/>
      <c r="I71" s="20">
        <v>60</v>
      </c>
      <c r="J71" s="82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+'23'!G72</f>
        <v>0</v>
      </c>
      <c r="D72" s="87">
        <v>0</v>
      </c>
      <c r="E72" s="47">
        <f t="shared" si="0"/>
        <v>0</v>
      </c>
      <c r="F72" s="87">
        <v>0</v>
      </c>
      <c r="G72" s="47">
        <f t="shared" si="4"/>
        <v>0</v>
      </c>
      <c r="H72" s="88"/>
      <c r="I72" s="22">
        <v>50</v>
      </c>
      <c r="J72" s="82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+'23'!G73</f>
        <v>0</v>
      </c>
      <c r="D73" s="87">
        <v>0</v>
      </c>
      <c r="E73" s="47">
        <f t="shared" si="0"/>
        <v>0</v>
      </c>
      <c r="F73" s="87">
        <v>0</v>
      </c>
      <c r="G73" s="47">
        <f t="shared" si="4"/>
        <v>0</v>
      </c>
      <c r="H73" s="88"/>
      <c r="I73" s="20">
        <v>60</v>
      </c>
      <c r="J73" s="82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+'23'!G74</f>
        <v>1</v>
      </c>
      <c r="D74" s="87">
        <v>0</v>
      </c>
      <c r="E74" s="47">
        <f t="shared" si="0"/>
        <v>1</v>
      </c>
      <c r="F74" s="87">
        <v>0</v>
      </c>
      <c r="G74" s="47">
        <f t="shared" si="4"/>
        <v>0</v>
      </c>
      <c r="H74" s="88">
        <v>1</v>
      </c>
      <c r="I74" s="22">
        <v>120</v>
      </c>
      <c r="J74" s="82">
        <f t="shared" si="5"/>
        <v>120</v>
      </c>
      <c r="K74" s="17" t="s">
        <v>16</v>
      </c>
      <c r="L74" s="18">
        <v>0</v>
      </c>
      <c r="M74" s="23">
        <f t="shared" si="10"/>
        <v>120</v>
      </c>
    </row>
    <row r="75" spans="1:13" ht="25.5" x14ac:dyDescent="0.55000000000000004">
      <c r="A75" s="10">
        <v>71</v>
      </c>
      <c r="B75" s="19" t="s">
        <v>86</v>
      </c>
      <c r="C75" s="79">
        <f>+'23'!G75</f>
        <v>0</v>
      </c>
      <c r="D75" s="87">
        <v>0</v>
      </c>
      <c r="E75" s="47">
        <f t="shared" si="0"/>
        <v>0</v>
      </c>
      <c r="F75" s="87">
        <v>0</v>
      </c>
      <c r="G75" s="47">
        <f t="shared" si="4"/>
        <v>0</v>
      </c>
      <c r="H75" s="88"/>
      <c r="I75" s="22">
        <v>60</v>
      </c>
      <c r="J75" s="82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+'23'!G76</f>
        <v>0</v>
      </c>
      <c r="D76" s="87">
        <v>0</v>
      </c>
      <c r="E76" s="47">
        <f t="shared" si="0"/>
        <v>0</v>
      </c>
      <c r="F76" s="87">
        <v>0</v>
      </c>
      <c r="G76" s="47">
        <f t="shared" si="4"/>
        <v>0</v>
      </c>
      <c r="H76" s="88"/>
      <c r="I76" s="22">
        <v>120</v>
      </c>
      <c r="J76" s="82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1" t="s">
        <v>272</v>
      </c>
      <c r="C77" s="79">
        <f>+'23'!G77</f>
        <v>2</v>
      </c>
      <c r="D77" s="87">
        <v>0</v>
      </c>
      <c r="E77" s="47">
        <f>C77+D77</f>
        <v>2</v>
      </c>
      <c r="F77" s="87">
        <v>0</v>
      </c>
      <c r="G77" s="47">
        <f>+E77-F77-H77</f>
        <v>2</v>
      </c>
      <c r="H77" s="88"/>
      <c r="I77" s="20">
        <v>50</v>
      </c>
      <c r="J77" s="82">
        <f>+I77*H77</f>
        <v>0</v>
      </c>
      <c r="K77" s="17" t="s">
        <v>16</v>
      </c>
      <c r="L77" s="18">
        <v>0</v>
      </c>
      <c r="M77" s="23">
        <f>SUM(J77-L77)</f>
        <v>0</v>
      </c>
    </row>
    <row r="78" spans="1:13" ht="25.5" x14ac:dyDescent="0.55000000000000004">
      <c r="A78" s="10">
        <v>74</v>
      </c>
      <c r="B78" s="19" t="s">
        <v>277</v>
      </c>
      <c r="C78" s="79">
        <f>+'23'!G78</f>
        <v>1</v>
      </c>
      <c r="D78" s="87">
        <v>0</v>
      </c>
      <c r="E78" s="47">
        <f t="shared" si="0"/>
        <v>1</v>
      </c>
      <c r="F78" s="87">
        <v>0</v>
      </c>
      <c r="G78" s="47">
        <f t="shared" si="4"/>
        <v>1</v>
      </c>
      <c r="H78" s="88"/>
      <c r="I78" s="20">
        <v>50</v>
      </c>
      <c r="J78" s="82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278</v>
      </c>
      <c r="C79" s="79">
        <f>+'23'!G79</f>
        <v>0</v>
      </c>
      <c r="D79" s="87">
        <v>0</v>
      </c>
      <c r="E79" s="47">
        <f t="shared" si="0"/>
        <v>0</v>
      </c>
      <c r="F79" s="87">
        <v>0</v>
      </c>
      <c r="G79" s="47">
        <f t="shared" si="4"/>
        <v>0</v>
      </c>
      <c r="H79" s="88"/>
      <c r="I79" s="22">
        <v>120</v>
      </c>
      <c r="J79" s="82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90</v>
      </c>
      <c r="C80" s="79">
        <f>+'23'!G80</f>
        <v>1</v>
      </c>
      <c r="D80" s="87">
        <v>0</v>
      </c>
      <c r="E80" s="47">
        <f t="shared" si="0"/>
        <v>1</v>
      </c>
      <c r="F80" s="87">
        <v>0</v>
      </c>
      <c r="G80" s="47">
        <f t="shared" si="4"/>
        <v>0</v>
      </c>
      <c r="H80" s="88">
        <v>1</v>
      </c>
      <c r="I80" s="22">
        <v>50</v>
      </c>
      <c r="J80" s="82">
        <f t="shared" si="5"/>
        <v>50</v>
      </c>
      <c r="K80" s="17" t="s">
        <v>16</v>
      </c>
      <c r="L80" s="18">
        <v>0</v>
      </c>
      <c r="M80" s="23">
        <f t="shared" si="10"/>
        <v>50</v>
      </c>
    </row>
    <row r="81" spans="1:13" ht="25.5" x14ac:dyDescent="0.55000000000000004">
      <c r="A81" s="10">
        <v>77</v>
      </c>
      <c r="B81" s="19" t="s">
        <v>91</v>
      </c>
      <c r="C81" s="79">
        <f>+'23'!G81</f>
        <v>0</v>
      </c>
      <c r="D81" s="87">
        <v>0</v>
      </c>
      <c r="E81" s="47">
        <f t="shared" si="0"/>
        <v>0</v>
      </c>
      <c r="F81" s="87">
        <v>0</v>
      </c>
      <c r="G81" s="47">
        <f t="shared" si="4"/>
        <v>0</v>
      </c>
      <c r="H81" s="88"/>
      <c r="I81" s="22">
        <v>50</v>
      </c>
      <c r="J81" s="82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92</v>
      </c>
      <c r="C82" s="79">
        <f>+'23'!G82</f>
        <v>3</v>
      </c>
      <c r="D82" s="87">
        <v>0</v>
      </c>
      <c r="E82" s="47">
        <f t="shared" si="0"/>
        <v>3</v>
      </c>
      <c r="F82" s="87">
        <v>0</v>
      </c>
      <c r="G82" s="47">
        <f t="shared" si="4"/>
        <v>3</v>
      </c>
      <c r="H82" s="88"/>
      <c r="I82" s="20">
        <v>55</v>
      </c>
      <c r="J82" s="82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93</v>
      </c>
      <c r="C83" s="79">
        <f>+'23'!G83</f>
        <v>3</v>
      </c>
      <c r="D83" s="87">
        <v>0</v>
      </c>
      <c r="E83" s="47">
        <f t="shared" si="0"/>
        <v>3</v>
      </c>
      <c r="F83" s="87">
        <v>0</v>
      </c>
      <c r="G83" s="47">
        <f t="shared" si="4"/>
        <v>3</v>
      </c>
      <c r="H83" s="88"/>
      <c r="I83" s="22">
        <v>55</v>
      </c>
      <c r="J83" s="82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94</v>
      </c>
      <c r="C84" s="79">
        <f>+'23'!G84</f>
        <v>0</v>
      </c>
      <c r="D84" s="87">
        <v>0</v>
      </c>
      <c r="E84" s="47">
        <f t="shared" si="0"/>
        <v>0</v>
      </c>
      <c r="F84" s="87">
        <v>0</v>
      </c>
      <c r="G84" s="47">
        <f t="shared" si="4"/>
        <v>0</v>
      </c>
      <c r="H84" s="88"/>
      <c r="I84" s="22">
        <v>55</v>
      </c>
      <c r="J84" s="82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95</v>
      </c>
      <c r="C85" s="79">
        <f>+'23'!G85</f>
        <v>0</v>
      </c>
      <c r="D85" s="87">
        <v>0</v>
      </c>
      <c r="E85" s="47">
        <f t="shared" si="0"/>
        <v>0</v>
      </c>
      <c r="F85" s="87">
        <v>0</v>
      </c>
      <c r="G85" s="47">
        <f t="shared" si="4"/>
        <v>0</v>
      </c>
      <c r="H85" s="88"/>
      <c r="I85" s="22">
        <v>55</v>
      </c>
      <c r="J85" s="82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96</v>
      </c>
      <c r="C86" s="79">
        <f>+'23'!G86</f>
        <v>7</v>
      </c>
      <c r="D86" s="87">
        <v>0</v>
      </c>
      <c r="E86" s="47">
        <f t="shared" si="0"/>
        <v>7</v>
      </c>
      <c r="F86" s="87">
        <v>0</v>
      </c>
      <c r="G86" s="47">
        <f t="shared" si="4"/>
        <v>7</v>
      </c>
      <c r="H86" s="88"/>
      <c r="I86" s="22">
        <v>100</v>
      </c>
      <c r="J86" s="82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97</v>
      </c>
      <c r="C87" s="79">
        <f>+'23'!G87</f>
        <v>12</v>
      </c>
      <c r="D87" s="87">
        <v>0</v>
      </c>
      <c r="E87" s="47">
        <f t="shared" si="0"/>
        <v>12</v>
      </c>
      <c r="F87" s="87">
        <v>0</v>
      </c>
      <c r="G87" s="47">
        <f t="shared" si="4"/>
        <v>12</v>
      </c>
      <c r="H87" s="88"/>
      <c r="I87" s="20">
        <v>55</v>
      </c>
      <c r="J87" s="82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98</v>
      </c>
      <c r="C88" s="79">
        <f>+'23'!G88</f>
        <v>9</v>
      </c>
      <c r="D88" s="87">
        <v>0</v>
      </c>
      <c r="E88" s="47">
        <f t="shared" si="0"/>
        <v>9</v>
      </c>
      <c r="F88" s="87">
        <v>0</v>
      </c>
      <c r="G88" s="47">
        <f t="shared" si="4"/>
        <v>8</v>
      </c>
      <c r="H88" s="88">
        <v>1</v>
      </c>
      <c r="I88" s="20">
        <v>60</v>
      </c>
      <c r="J88" s="82">
        <f t="shared" si="5"/>
        <v>60</v>
      </c>
      <c r="K88" s="17" t="s">
        <v>16</v>
      </c>
      <c r="L88" s="18">
        <v>0</v>
      </c>
      <c r="M88" s="23">
        <f t="shared" si="10"/>
        <v>60</v>
      </c>
    </row>
    <row r="89" spans="1:13" ht="25.5" x14ac:dyDescent="0.55000000000000004">
      <c r="A89" s="10">
        <v>85</v>
      </c>
      <c r="B89" s="19" t="s">
        <v>99</v>
      </c>
      <c r="C89" s="79">
        <f>+'23'!G89</f>
        <v>9</v>
      </c>
      <c r="D89" s="87">
        <v>0</v>
      </c>
      <c r="E89" s="47">
        <f t="shared" si="0"/>
        <v>9</v>
      </c>
      <c r="F89" s="87">
        <v>0</v>
      </c>
      <c r="G89" s="47">
        <f t="shared" si="4"/>
        <v>7</v>
      </c>
      <c r="H89" s="88">
        <v>2</v>
      </c>
      <c r="I89" s="20">
        <v>100</v>
      </c>
      <c r="J89" s="82">
        <f t="shared" si="5"/>
        <v>200</v>
      </c>
      <c r="K89" s="17" t="s">
        <v>16</v>
      </c>
      <c r="L89" s="18">
        <v>0</v>
      </c>
      <c r="M89" s="23">
        <f t="shared" si="10"/>
        <v>200</v>
      </c>
    </row>
    <row r="90" spans="1:13" ht="25.5" x14ac:dyDescent="0.55000000000000004">
      <c r="A90" s="10">
        <v>86</v>
      </c>
      <c r="B90" s="19" t="s">
        <v>100</v>
      </c>
      <c r="C90" s="79">
        <f>+'23'!G90</f>
        <v>4</v>
      </c>
      <c r="D90" s="87">
        <v>0</v>
      </c>
      <c r="E90" s="47">
        <f t="shared" si="0"/>
        <v>4</v>
      </c>
      <c r="F90" s="87">
        <v>0</v>
      </c>
      <c r="G90" s="47">
        <f t="shared" si="4"/>
        <v>4</v>
      </c>
      <c r="H90" s="88"/>
      <c r="I90" s="20">
        <v>55</v>
      </c>
      <c r="J90" s="82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101</v>
      </c>
      <c r="C91" s="79">
        <f>+'23'!G91</f>
        <v>0</v>
      </c>
      <c r="D91" s="87">
        <v>0</v>
      </c>
      <c r="E91" s="47">
        <f t="shared" si="0"/>
        <v>0</v>
      </c>
      <c r="F91" s="87">
        <v>0</v>
      </c>
      <c r="G91" s="47">
        <f t="shared" si="4"/>
        <v>0</v>
      </c>
      <c r="H91" s="88"/>
      <c r="I91" s="20">
        <v>50</v>
      </c>
      <c r="J91" s="82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102</v>
      </c>
      <c r="C92" s="79">
        <f>+'23'!G92</f>
        <v>0</v>
      </c>
      <c r="D92" s="87">
        <v>0</v>
      </c>
      <c r="E92" s="47">
        <f t="shared" si="0"/>
        <v>0</v>
      </c>
      <c r="F92" s="87">
        <v>0</v>
      </c>
      <c r="G92" s="47">
        <f t="shared" si="4"/>
        <v>0</v>
      </c>
      <c r="H92" s="88"/>
      <c r="I92" s="22">
        <v>50</v>
      </c>
      <c r="J92" s="82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248</v>
      </c>
      <c r="C93" s="79">
        <f>+'23'!G93</f>
        <v>0</v>
      </c>
      <c r="D93" s="87">
        <v>0</v>
      </c>
      <c r="E93" s="47">
        <f t="shared" si="0"/>
        <v>0</v>
      </c>
      <c r="F93" s="87">
        <v>0</v>
      </c>
      <c r="G93" s="47">
        <f t="shared" si="4"/>
        <v>0</v>
      </c>
      <c r="H93" s="88"/>
      <c r="I93" s="22">
        <v>120</v>
      </c>
      <c r="J93" s="82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104</v>
      </c>
      <c r="C94" s="79">
        <f>+'23'!G94</f>
        <v>0</v>
      </c>
      <c r="D94" s="87">
        <v>0</v>
      </c>
      <c r="E94" s="47">
        <f t="shared" si="0"/>
        <v>0</v>
      </c>
      <c r="F94" s="87">
        <v>0</v>
      </c>
      <c r="G94" s="47">
        <f t="shared" si="4"/>
        <v>0</v>
      </c>
      <c r="H94" s="88"/>
      <c r="I94" s="20">
        <v>250</v>
      </c>
      <c r="J94" s="82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105</v>
      </c>
      <c r="C95" s="79">
        <f>+'23'!G95</f>
        <v>0</v>
      </c>
      <c r="D95" s="87">
        <v>0</v>
      </c>
      <c r="E95" s="47">
        <f t="shared" si="0"/>
        <v>0</v>
      </c>
      <c r="F95" s="87">
        <v>0</v>
      </c>
      <c r="G95" s="47">
        <f t="shared" si="4"/>
        <v>0</v>
      </c>
      <c r="H95" s="88"/>
      <c r="I95" s="20">
        <v>120</v>
      </c>
      <c r="J95" s="82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106</v>
      </c>
      <c r="C96" s="79">
        <f>+'23'!G96</f>
        <v>0</v>
      </c>
      <c r="D96" s="87">
        <v>0</v>
      </c>
      <c r="E96" s="47">
        <f t="shared" si="0"/>
        <v>0</v>
      </c>
      <c r="F96" s="87">
        <v>0</v>
      </c>
      <c r="G96" s="47">
        <f t="shared" si="4"/>
        <v>0</v>
      </c>
      <c r="H96" s="88"/>
      <c r="I96" s="20">
        <v>120</v>
      </c>
      <c r="J96" s="82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107</v>
      </c>
      <c r="C97" s="79">
        <f>+'23'!G97</f>
        <v>0</v>
      </c>
      <c r="D97" s="87">
        <v>0</v>
      </c>
      <c r="E97" s="47">
        <f t="shared" si="0"/>
        <v>0</v>
      </c>
      <c r="F97" s="87">
        <v>0</v>
      </c>
      <c r="G97" s="47">
        <f t="shared" si="4"/>
        <v>0</v>
      </c>
      <c r="H97" s="88"/>
      <c r="I97" s="20">
        <v>120</v>
      </c>
      <c r="J97" s="82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103</v>
      </c>
      <c r="C98" s="79">
        <f>+'23'!G98</f>
        <v>0</v>
      </c>
      <c r="D98" s="87">
        <v>0</v>
      </c>
      <c r="E98" s="47">
        <f t="shared" si="0"/>
        <v>0</v>
      </c>
      <c r="F98" s="87">
        <v>0</v>
      </c>
      <c r="G98" s="47">
        <f t="shared" si="4"/>
        <v>0</v>
      </c>
      <c r="H98" s="88"/>
      <c r="I98" s="20">
        <v>120</v>
      </c>
      <c r="J98" s="82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109</v>
      </c>
      <c r="C99" s="79">
        <f>+'23'!G99</f>
        <v>0</v>
      </c>
      <c r="D99" s="87">
        <v>0</v>
      </c>
      <c r="E99" s="47">
        <f t="shared" si="0"/>
        <v>0</v>
      </c>
      <c r="F99" s="87">
        <v>0</v>
      </c>
      <c r="G99" s="47">
        <f t="shared" si="4"/>
        <v>0</v>
      </c>
      <c r="H99" s="88"/>
      <c r="I99" s="20">
        <v>50</v>
      </c>
      <c r="J99" s="82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110</v>
      </c>
      <c r="C100" s="79">
        <f>+'23'!G100</f>
        <v>0</v>
      </c>
      <c r="D100" s="87">
        <v>0</v>
      </c>
      <c r="E100" s="47">
        <f t="shared" si="0"/>
        <v>0</v>
      </c>
      <c r="F100" s="87">
        <v>0</v>
      </c>
      <c r="G100" s="47">
        <f t="shared" si="4"/>
        <v>0</v>
      </c>
      <c r="H100" s="88"/>
      <c r="I100" s="20">
        <v>50</v>
      </c>
      <c r="J100" s="82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111</v>
      </c>
      <c r="C101" s="79">
        <f>+'23'!G101</f>
        <v>0</v>
      </c>
      <c r="D101" s="87">
        <v>0</v>
      </c>
      <c r="E101" s="47">
        <f t="shared" si="0"/>
        <v>0</v>
      </c>
      <c r="F101" s="87">
        <v>0</v>
      </c>
      <c r="G101" s="47">
        <f t="shared" ref="G101:G164" si="11">+E101-F101-H101</f>
        <v>0</v>
      </c>
      <c r="H101" s="88"/>
      <c r="I101" s="20">
        <v>60</v>
      </c>
      <c r="J101" s="82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112</v>
      </c>
      <c r="C102" s="79">
        <f>+'23'!G102</f>
        <v>0</v>
      </c>
      <c r="D102" s="87">
        <v>0</v>
      </c>
      <c r="E102" s="47">
        <f t="shared" si="0"/>
        <v>0</v>
      </c>
      <c r="F102" s="87">
        <v>0</v>
      </c>
      <c r="G102" s="47">
        <f t="shared" si="11"/>
        <v>0</v>
      </c>
      <c r="H102" s="88"/>
      <c r="I102" s="20">
        <v>55</v>
      </c>
      <c r="J102" s="82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113</v>
      </c>
      <c r="C103" s="79">
        <f>+'23'!G103</f>
        <v>0</v>
      </c>
      <c r="D103" s="87">
        <v>0</v>
      </c>
      <c r="E103" s="47">
        <f t="shared" si="0"/>
        <v>0</v>
      </c>
      <c r="F103" s="87">
        <v>0</v>
      </c>
      <c r="G103" s="47">
        <f t="shared" si="11"/>
        <v>0</v>
      </c>
      <c r="H103" s="88"/>
      <c r="I103" s="20">
        <v>50</v>
      </c>
      <c r="J103" s="82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114</v>
      </c>
      <c r="C104" s="79">
        <f>+'23'!G104</f>
        <v>0</v>
      </c>
      <c r="D104" s="87">
        <v>0</v>
      </c>
      <c r="E104" s="47">
        <f t="shared" si="0"/>
        <v>0</v>
      </c>
      <c r="F104" s="87">
        <v>0</v>
      </c>
      <c r="G104" s="47">
        <f t="shared" si="11"/>
        <v>0</v>
      </c>
      <c r="H104" s="88"/>
      <c r="I104" s="20">
        <v>100</v>
      </c>
      <c r="J104" s="82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115</v>
      </c>
      <c r="C105" s="79">
        <f>+'23'!G105</f>
        <v>0</v>
      </c>
      <c r="D105" s="87">
        <v>0</v>
      </c>
      <c r="E105" s="47">
        <f t="shared" si="0"/>
        <v>0</v>
      </c>
      <c r="F105" s="87">
        <v>0</v>
      </c>
      <c r="G105" s="47">
        <f t="shared" si="11"/>
        <v>0</v>
      </c>
      <c r="H105" s="88"/>
      <c r="I105" s="20">
        <v>100</v>
      </c>
      <c r="J105" s="82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116</v>
      </c>
      <c r="C106" s="79">
        <f>+'23'!G106</f>
        <v>0</v>
      </c>
      <c r="D106" s="87">
        <v>0</v>
      </c>
      <c r="E106" s="47">
        <f t="shared" si="0"/>
        <v>0</v>
      </c>
      <c r="F106" s="87">
        <v>0</v>
      </c>
      <c r="G106" s="47">
        <f t="shared" si="11"/>
        <v>0</v>
      </c>
      <c r="H106" s="88"/>
      <c r="I106" s="22">
        <v>30</v>
      </c>
      <c r="J106" s="82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117</v>
      </c>
      <c r="C107" s="79">
        <f>+'23'!G107</f>
        <v>0</v>
      </c>
      <c r="D107" s="87">
        <v>0</v>
      </c>
      <c r="E107" s="47">
        <f t="shared" si="0"/>
        <v>0</v>
      </c>
      <c r="F107" s="87">
        <v>0</v>
      </c>
      <c r="G107" s="47">
        <f t="shared" si="11"/>
        <v>0</v>
      </c>
      <c r="H107" s="88"/>
      <c r="I107" s="22">
        <v>20</v>
      </c>
      <c r="J107" s="82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118</v>
      </c>
      <c r="C108" s="79">
        <f>+'23'!G108</f>
        <v>0</v>
      </c>
      <c r="D108" s="87">
        <v>0</v>
      </c>
      <c r="E108" s="47">
        <f t="shared" si="0"/>
        <v>0</v>
      </c>
      <c r="F108" s="87">
        <v>0</v>
      </c>
      <c r="G108" s="47">
        <f t="shared" si="11"/>
        <v>0</v>
      </c>
      <c r="H108" s="88"/>
      <c r="I108" s="20">
        <v>100</v>
      </c>
      <c r="J108" s="82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120</v>
      </c>
      <c r="C109" s="79">
        <f>+'23'!G109</f>
        <v>0</v>
      </c>
      <c r="D109" s="87">
        <v>0</v>
      </c>
      <c r="E109" s="47">
        <f t="shared" si="0"/>
        <v>0</v>
      </c>
      <c r="F109" s="87">
        <v>0</v>
      </c>
      <c r="G109" s="47">
        <f t="shared" si="11"/>
        <v>0</v>
      </c>
      <c r="H109" s="88"/>
      <c r="I109" s="20">
        <v>80</v>
      </c>
      <c r="J109" s="82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121</v>
      </c>
      <c r="C110" s="79">
        <f>+'23'!G110</f>
        <v>0</v>
      </c>
      <c r="D110" s="87">
        <v>0</v>
      </c>
      <c r="E110" s="47">
        <f t="shared" si="0"/>
        <v>0</v>
      </c>
      <c r="F110" s="87">
        <v>0</v>
      </c>
      <c r="G110" s="47">
        <f t="shared" si="11"/>
        <v>0</v>
      </c>
      <c r="H110" s="88"/>
      <c r="I110" s="20">
        <v>60</v>
      </c>
      <c r="J110" s="82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122</v>
      </c>
      <c r="C111" s="79">
        <f>+'23'!G111</f>
        <v>0</v>
      </c>
      <c r="D111" s="87">
        <v>0</v>
      </c>
      <c r="E111" s="47">
        <f t="shared" si="0"/>
        <v>0</v>
      </c>
      <c r="F111" s="87">
        <v>0</v>
      </c>
      <c r="G111" s="47">
        <f t="shared" si="11"/>
        <v>0</v>
      </c>
      <c r="H111" s="88"/>
      <c r="I111" s="20">
        <v>35</v>
      </c>
      <c r="J111" s="82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123</v>
      </c>
      <c r="C112" s="79">
        <f>+'23'!G112</f>
        <v>0</v>
      </c>
      <c r="D112" s="87">
        <v>0</v>
      </c>
      <c r="E112" s="47">
        <f t="shared" si="0"/>
        <v>0</v>
      </c>
      <c r="F112" s="87">
        <v>0</v>
      </c>
      <c r="G112" s="47">
        <f t="shared" si="11"/>
        <v>0</v>
      </c>
      <c r="H112" s="88"/>
      <c r="I112" s="20">
        <v>35</v>
      </c>
      <c r="J112" s="82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124</v>
      </c>
      <c r="C113" s="79">
        <f>+'23'!G113</f>
        <v>0</v>
      </c>
      <c r="D113" s="87">
        <v>0</v>
      </c>
      <c r="E113" s="47">
        <f t="shared" si="0"/>
        <v>0</v>
      </c>
      <c r="F113" s="87">
        <v>0</v>
      </c>
      <c r="G113" s="47">
        <f t="shared" si="11"/>
        <v>0</v>
      </c>
      <c r="H113" s="88"/>
      <c r="I113" s="20">
        <v>35</v>
      </c>
      <c r="J113" s="82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125</v>
      </c>
      <c r="C114" s="79">
        <f>+'23'!G114</f>
        <v>0</v>
      </c>
      <c r="D114" s="87">
        <v>0</v>
      </c>
      <c r="E114" s="47">
        <f t="shared" si="0"/>
        <v>0</v>
      </c>
      <c r="F114" s="87">
        <v>0</v>
      </c>
      <c r="G114" s="47">
        <f t="shared" si="11"/>
        <v>0</v>
      </c>
      <c r="H114" s="88"/>
      <c r="I114" s="20">
        <v>35</v>
      </c>
      <c r="J114" s="82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126</v>
      </c>
      <c r="C115" s="79">
        <f>+'23'!G115</f>
        <v>0</v>
      </c>
      <c r="D115" s="87">
        <v>0</v>
      </c>
      <c r="E115" s="47">
        <f t="shared" si="0"/>
        <v>0</v>
      </c>
      <c r="F115" s="87">
        <v>0</v>
      </c>
      <c r="G115" s="47">
        <f t="shared" si="11"/>
        <v>0</v>
      </c>
      <c r="H115" s="88"/>
      <c r="I115" s="20">
        <v>35</v>
      </c>
      <c r="J115" s="82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127</v>
      </c>
      <c r="C116" s="79">
        <f>+'23'!G116</f>
        <v>0</v>
      </c>
      <c r="D116" s="87">
        <v>0</v>
      </c>
      <c r="E116" s="47">
        <f t="shared" si="0"/>
        <v>0</v>
      </c>
      <c r="F116" s="87">
        <v>0</v>
      </c>
      <c r="G116" s="47">
        <f t="shared" si="11"/>
        <v>0</v>
      </c>
      <c r="H116" s="88"/>
      <c r="I116" s="20">
        <v>30</v>
      </c>
      <c r="J116" s="82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128</v>
      </c>
      <c r="C117" s="79">
        <f>+'23'!G117</f>
        <v>0</v>
      </c>
      <c r="D117" s="87">
        <v>0</v>
      </c>
      <c r="E117" s="47">
        <f t="shared" si="0"/>
        <v>0</v>
      </c>
      <c r="F117" s="87">
        <v>0</v>
      </c>
      <c r="G117" s="47">
        <f t="shared" si="11"/>
        <v>0</v>
      </c>
      <c r="H117" s="88"/>
      <c r="I117" s="20">
        <v>30</v>
      </c>
      <c r="J117" s="82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129</v>
      </c>
      <c r="C118" s="79">
        <f>+'23'!G118</f>
        <v>0</v>
      </c>
      <c r="D118" s="87">
        <v>0</v>
      </c>
      <c r="E118" s="47">
        <f t="shared" si="0"/>
        <v>0</v>
      </c>
      <c r="F118" s="87">
        <v>0</v>
      </c>
      <c r="G118" s="47">
        <f t="shared" si="11"/>
        <v>0</v>
      </c>
      <c r="H118" s="88"/>
      <c r="I118" s="20">
        <v>30</v>
      </c>
      <c r="J118" s="82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130</v>
      </c>
      <c r="C119" s="79">
        <f>+'23'!G119</f>
        <v>0</v>
      </c>
      <c r="D119" s="87">
        <v>0</v>
      </c>
      <c r="E119" s="47">
        <f t="shared" si="0"/>
        <v>0</v>
      </c>
      <c r="F119" s="87">
        <v>0</v>
      </c>
      <c r="G119" s="47">
        <f t="shared" si="11"/>
        <v>0</v>
      </c>
      <c r="H119" s="88"/>
      <c r="I119" s="20">
        <v>30</v>
      </c>
      <c r="J119" s="82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131</v>
      </c>
      <c r="C120" s="79">
        <f>+'23'!G120</f>
        <v>0</v>
      </c>
      <c r="D120" s="87">
        <v>0</v>
      </c>
      <c r="E120" s="47">
        <f t="shared" si="0"/>
        <v>0</v>
      </c>
      <c r="F120" s="87">
        <v>0</v>
      </c>
      <c r="G120" s="47">
        <f t="shared" si="11"/>
        <v>0</v>
      </c>
      <c r="H120" s="88"/>
      <c r="I120" s="20">
        <v>30</v>
      </c>
      <c r="J120" s="82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132</v>
      </c>
      <c r="C121" s="79">
        <f>+'23'!G121</f>
        <v>0</v>
      </c>
      <c r="D121" s="87">
        <v>0</v>
      </c>
      <c r="E121" s="47">
        <f t="shared" si="0"/>
        <v>0</v>
      </c>
      <c r="F121" s="87">
        <v>0</v>
      </c>
      <c r="G121" s="47">
        <f t="shared" si="11"/>
        <v>0</v>
      </c>
      <c r="H121" s="88"/>
      <c r="I121" s="20">
        <v>30</v>
      </c>
      <c r="J121" s="82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133</v>
      </c>
      <c r="C122" s="79">
        <f>+'23'!G122</f>
        <v>0</v>
      </c>
      <c r="D122" s="87">
        <v>0</v>
      </c>
      <c r="E122" s="47">
        <f t="shared" si="0"/>
        <v>0</v>
      </c>
      <c r="F122" s="87">
        <v>0</v>
      </c>
      <c r="G122" s="47">
        <f t="shared" si="11"/>
        <v>0</v>
      </c>
      <c r="H122" s="88"/>
      <c r="I122" s="20">
        <v>40</v>
      </c>
      <c r="J122" s="82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134</v>
      </c>
      <c r="C123" s="79">
        <f>+'23'!G123</f>
        <v>0</v>
      </c>
      <c r="D123" s="87">
        <v>0</v>
      </c>
      <c r="E123" s="47">
        <f t="shared" si="0"/>
        <v>0</v>
      </c>
      <c r="F123" s="87">
        <v>0</v>
      </c>
      <c r="G123" s="47">
        <f t="shared" si="11"/>
        <v>0</v>
      </c>
      <c r="H123" s="88"/>
      <c r="I123" s="20">
        <v>35</v>
      </c>
      <c r="J123" s="82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135</v>
      </c>
      <c r="C124" s="79">
        <f>+'23'!G124</f>
        <v>0</v>
      </c>
      <c r="D124" s="87">
        <v>0</v>
      </c>
      <c r="E124" s="47">
        <f t="shared" si="0"/>
        <v>0</v>
      </c>
      <c r="F124" s="87">
        <v>0</v>
      </c>
      <c r="G124" s="47">
        <f t="shared" si="11"/>
        <v>0</v>
      </c>
      <c r="H124" s="88"/>
      <c r="I124" s="20">
        <v>40</v>
      </c>
      <c r="J124" s="82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136</v>
      </c>
      <c r="C125" s="79">
        <f>+'23'!G125</f>
        <v>0</v>
      </c>
      <c r="D125" s="87">
        <v>0</v>
      </c>
      <c r="E125" s="47">
        <f t="shared" si="0"/>
        <v>0</v>
      </c>
      <c r="F125" s="87">
        <v>0</v>
      </c>
      <c r="G125" s="47">
        <f t="shared" si="11"/>
        <v>0</v>
      </c>
      <c r="H125" s="88"/>
      <c r="I125" s="20">
        <v>40</v>
      </c>
      <c r="J125" s="82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137</v>
      </c>
      <c r="C126" s="79">
        <f>+'23'!G126</f>
        <v>0</v>
      </c>
      <c r="D126" s="87">
        <v>0</v>
      </c>
      <c r="E126" s="47">
        <f t="shared" ref="E126:E189" si="13">C126+D126</f>
        <v>0</v>
      </c>
      <c r="F126" s="87">
        <v>0</v>
      </c>
      <c r="G126" s="47">
        <f t="shared" si="11"/>
        <v>0</v>
      </c>
      <c r="H126" s="88"/>
      <c r="I126" s="20">
        <v>30</v>
      </c>
      <c r="J126" s="82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138</v>
      </c>
      <c r="C127" s="79">
        <f>+'23'!G127</f>
        <v>0</v>
      </c>
      <c r="D127" s="87">
        <v>0</v>
      </c>
      <c r="E127" s="47">
        <f t="shared" si="13"/>
        <v>0</v>
      </c>
      <c r="F127" s="87">
        <v>0</v>
      </c>
      <c r="G127" s="47">
        <f t="shared" si="11"/>
        <v>0</v>
      </c>
      <c r="H127" s="88"/>
      <c r="I127" s="20">
        <v>40</v>
      </c>
      <c r="J127" s="82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139</v>
      </c>
      <c r="C128" s="79">
        <f>+'23'!G128</f>
        <v>74</v>
      </c>
      <c r="D128" s="87">
        <v>0</v>
      </c>
      <c r="E128" s="47">
        <f t="shared" si="13"/>
        <v>74</v>
      </c>
      <c r="F128" s="87">
        <v>0</v>
      </c>
      <c r="G128" s="47">
        <f t="shared" si="11"/>
        <v>74</v>
      </c>
      <c r="H128" s="88"/>
      <c r="I128" s="20">
        <v>10</v>
      </c>
      <c r="J128" s="82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140</v>
      </c>
      <c r="C129" s="79">
        <f>+'23'!G129</f>
        <v>0</v>
      </c>
      <c r="D129" s="87">
        <v>0</v>
      </c>
      <c r="E129" s="47">
        <f t="shared" si="13"/>
        <v>0</v>
      </c>
      <c r="F129" s="87">
        <v>0</v>
      </c>
      <c r="G129" s="47">
        <f t="shared" si="11"/>
        <v>0</v>
      </c>
      <c r="H129" s="88"/>
      <c r="I129" s="20">
        <v>35</v>
      </c>
      <c r="J129" s="82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141</v>
      </c>
      <c r="C130" s="79">
        <f>+'23'!G130</f>
        <v>0</v>
      </c>
      <c r="D130" s="87">
        <v>0</v>
      </c>
      <c r="E130" s="47">
        <f t="shared" si="13"/>
        <v>0</v>
      </c>
      <c r="F130" s="87">
        <v>0</v>
      </c>
      <c r="G130" s="47">
        <f t="shared" si="11"/>
        <v>0</v>
      </c>
      <c r="H130" s="88"/>
      <c r="I130" s="20">
        <v>40</v>
      </c>
      <c r="J130" s="82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142</v>
      </c>
      <c r="C131" s="79">
        <f>+'23'!G131</f>
        <v>0</v>
      </c>
      <c r="D131" s="87">
        <v>0</v>
      </c>
      <c r="E131" s="47">
        <f t="shared" si="13"/>
        <v>0</v>
      </c>
      <c r="F131" s="87">
        <v>0</v>
      </c>
      <c r="G131" s="47">
        <f t="shared" si="11"/>
        <v>0</v>
      </c>
      <c r="H131" s="88"/>
      <c r="I131" s="20">
        <v>50</v>
      </c>
      <c r="J131" s="82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143</v>
      </c>
      <c r="C132" s="79">
        <f>+'23'!G132</f>
        <v>0</v>
      </c>
      <c r="D132" s="87">
        <v>0</v>
      </c>
      <c r="E132" s="47">
        <f t="shared" si="13"/>
        <v>0</v>
      </c>
      <c r="F132" s="87">
        <v>0</v>
      </c>
      <c r="G132" s="47">
        <f t="shared" si="11"/>
        <v>0</v>
      </c>
      <c r="H132" s="88"/>
      <c r="I132" s="20">
        <v>55</v>
      </c>
      <c r="J132" s="82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144</v>
      </c>
      <c r="C133" s="79">
        <f>+'23'!G133</f>
        <v>0</v>
      </c>
      <c r="D133" s="87">
        <v>0</v>
      </c>
      <c r="E133" s="47">
        <f t="shared" si="13"/>
        <v>0</v>
      </c>
      <c r="F133" s="87">
        <v>0</v>
      </c>
      <c r="G133" s="47">
        <f t="shared" si="11"/>
        <v>0</v>
      </c>
      <c r="H133" s="88"/>
      <c r="I133" s="20">
        <v>55</v>
      </c>
      <c r="J133" s="82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145</v>
      </c>
      <c r="C134" s="79">
        <f>+'23'!G134</f>
        <v>0</v>
      </c>
      <c r="D134" s="87">
        <v>0</v>
      </c>
      <c r="E134" s="47">
        <f t="shared" si="13"/>
        <v>0</v>
      </c>
      <c r="F134" s="87">
        <v>0</v>
      </c>
      <c r="G134" s="47">
        <f t="shared" si="11"/>
        <v>0</v>
      </c>
      <c r="H134" s="88"/>
      <c r="I134" s="20">
        <v>45</v>
      </c>
      <c r="J134" s="82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5.5" x14ac:dyDescent="0.55000000000000004">
      <c r="A135" s="10">
        <v>131</v>
      </c>
      <c r="B135" s="19" t="s">
        <v>146</v>
      </c>
      <c r="C135" s="79">
        <f>+'23'!G135</f>
        <v>0</v>
      </c>
      <c r="D135" s="87">
        <v>0</v>
      </c>
      <c r="E135" s="47">
        <f t="shared" si="13"/>
        <v>0</v>
      </c>
      <c r="F135" s="87">
        <v>0</v>
      </c>
      <c r="G135" s="47">
        <f t="shared" si="11"/>
        <v>0</v>
      </c>
      <c r="H135" s="88"/>
      <c r="I135" s="20">
        <v>45</v>
      </c>
      <c r="J135" s="82">
        <f t="shared" si="12"/>
        <v>0</v>
      </c>
      <c r="K135" s="17" t="s">
        <v>16</v>
      </c>
      <c r="L135" s="18">
        <v>0</v>
      </c>
      <c r="M135" s="23">
        <f t="shared" ref="M135:M198" si="14">SUM(J135-L135)</f>
        <v>0</v>
      </c>
    </row>
    <row r="136" spans="1:13" ht="25.5" x14ac:dyDescent="0.55000000000000004">
      <c r="A136" s="10">
        <v>132</v>
      </c>
      <c r="B136" s="19" t="s">
        <v>147</v>
      </c>
      <c r="C136" s="79">
        <f>+'23'!G136</f>
        <v>0</v>
      </c>
      <c r="D136" s="87">
        <v>0</v>
      </c>
      <c r="E136" s="47">
        <f t="shared" si="13"/>
        <v>0</v>
      </c>
      <c r="F136" s="87">
        <v>0</v>
      </c>
      <c r="G136" s="47">
        <f t="shared" si="11"/>
        <v>0</v>
      </c>
      <c r="H136" s="88"/>
      <c r="I136" s="20">
        <v>55</v>
      </c>
      <c r="J136" s="82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148</v>
      </c>
      <c r="C137" s="79">
        <f>+'23'!G137</f>
        <v>0</v>
      </c>
      <c r="D137" s="87">
        <v>0</v>
      </c>
      <c r="E137" s="47">
        <f t="shared" si="13"/>
        <v>0</v>
      </c>
      <c r="F137" s="87">
        <v>0</v>
      </c>
      <c r="G137" s="47">
        <f t="shared" si="11"/>
        <v>0</v>
      </c>
      <c r="H137" s="88"/>
      <c r="I137" s="20">
        <v>45</v>
      </c>
      <c r="J137" s="82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149</v>
      </c>
      <c r="C138" s="79">
        <f>+'23'!G138</f>
        <v>0</v>
      </c>
      <c r="D138" s="87">
        <v>0</v>
      </c>
      <c r="E138" s="47">
        <f t="shared" si="13"/>
        <v>0</v>
      </c>
      <c r="F138" s="87">
        <v>0</v>
      </c>
      <c r="G138" s="47">
        <f t="shared" si="11"/>
        <v>0</v>
      </c>
      <c r="H138" s="88"/>
      <c r="I138" s="20">
        <v>45</v>
      </c>
      <c r="J138" s="82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150</v>
      </c>
      <c r="C139" s="79">
        <f>+'23'!G139</f>
        <v>0</v>
      </c>
      <c r="D139" s="87">
        <v>0</v>
      </c>
      <c r="E139" s="47">
        <f t="shared" si="13"/>
        <v>0</v>
      </c>
      <c r="F139" s="87">
        <v>0</v>
      </c>
      <c r="G139" s="47">
        <f t="shared" si="11"/>
        <v>0</v>
      </c>
      <c r="H139" s="88"/>
      <c r="I139" s="20">
        <v>45</v>
      </c>
      <c r="J139" s="82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151</v>
      </c>
      <c r="C140" s="79">
        <f>+'23'!G140</f>
        <v>0</v>
      </c>
      <c r="D140" s="87">
        <v>0</v>
      </c>
      <c r="E140" s="47">
        <f t="shared" si="13"/>
        <v>0</v>
      </c>
      <c r="F140" s="87">
        <v>0</v>
      </c>
      <c r="G140" s="47">
        <f t="shared" si="11"/>
        <v>0</v>
      </c>
      <c r="H140" s="88"/>
      <c r="I140" s="20">
        <v>45</v>
      </c>
      <c r="J140" s="82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152</v>
      </c>
      <c r="C141" s="79">
        <f>+'23'!G141</f>
        <v>0</v>
      </c>
      <c r="D141" s="87">
        <v>0</v>
      </c>
      <c r="E141" s="47">
        <f t="shared" si="13"/>
        <v>0</v>
      </c>
      <c r="F141" s="87">
        <v>0</v>
      </c>
      <c r="G141" s="47">
        <f t="shared" si="11"/>
        <v>0</v>
      </c>
      <c r="H141" s="88"/>
      <c r="I141" s="20">
        <v>45</v>
      </c>
      <c r="J141" s="82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153</v>
      </c>
      <c r="C142" s="79">
        <f>+'23'!G142</f>
        <v>0</v>
      </c>
      <c r="D142" s="87">
        <v>0</v>
      </c>
      <c r="E142" s="47">
        <f t="shared" si="13"/>
        <v>0</v>
      </c>
      <c r="F142" s="87">
        <v>0</v>
      </c>
      <c r="G142" s="47">
        <f t="shared" si="11"/>
        <v>0</v>
      </c>
      <c r="H142" s="88"/>
      <c r="I142" s="20">
        <v>45</v>
      </c>
      <c r="J142" s="82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154</v>
      </c>
      <c r="C143" s="79">
        <f>+'23'!G143</f>
        <v>0</v>
      </c>
      <c r="D143" s="87">
        <v>0</v>
      </c>
      <c r="E143" s="47">
        <f t="shared" si="13"/>
        <v>0</v>
      </c>
      <c r="F143" s="87">
        <v>0</v>
      </c>
      <c r="G143" s="47">
        <f t="shared" si="11"/>
        <v>0</v>
      </c>
      <c r="H143" s="88"/>
      <c r="I143" s="20">
        <v>120</v>
      </c>
      <c r="J143" s="82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155</v>
      </c>
      <c r="C144" s="79">
        <f>+'23'!G144</f>
        <v>0</v>
      </c>
      <c r="D144" s="87">
        <v>0</v>
      </c>
      <c r="E144" s="47">
        <f t="shared" si="13"/>
        <v>0</v>
      </c>
      <c r="F144" s="87">
        <v>0</v>
      </c>
      <c r="G144" s="47">
        <f t="shared" si="11"/>
        <v>0</v>
      </c>
      <c r="H144" s="88"/>
      <c r="I144" s="20">
        <v>120</v>
      </c>
      <c r="J144" s="82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156</v>
      </c>
      <c r="C145" s="79">
        <f>+'23'!G145</f>
        <v>0</v>
      </c>
      <c r="D145" s="87">
        <v>0</v>
      </c>
      <c r="E145" s="47">
        <f t="shared" si="13"/>
        <v>0</v>
      </c>
      <c r="F145" s="87">
        <v>0</v>
      </c>
      <c r="G145" s="47">
        <f t="shared" si="11"/>
        <v>0</v>
      </c>
      <c r="H145" s="88"/>
      <c r="I145" s="20">
        <v>120</v>
      </c>
      <c r="J145" s="82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157</v>
      </c>
      <c r="C146" s="79">
        <f>+'23'!G146</f>
        <v>0</v>
      </c>
      <c r="D146" s="87">
        <v>0</v>
      </c>
      <c r="E146" s="47">
        <f t="shared" si="13"/>
        <v>0</v>
      </c>
      <c r="F146" s="87">
        <v>0</v>
      </c>
      <c r="G146" s="47">
        <f t="shared" si="11"/>
        <v>0</v>
      </c>
      <c r="H146" s="88"/>
      <c r="I146" s="20">
        <v>120</v>
      </c>
      <c r="J146" s="82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158</v>
      </c>
      <c r="C147" s="79">
        <f>+'23'!G147</f>
        <v>0</v>
      </c>
      <c r="D147" s="87">
        <v>0</v>
      </c>
      <c r="E147" s="47">
        <f t="shared" si="13"/>
        <v>0</v>
      </c>
      <c r="F147" s="87">
        <v>0</v>
      </c>
      <c r="G147" s="47">
        <f t="shared" si="11"/>
        <v>0</v>
      </c>
      <c r="H147" s="88"/>
      <c r="I147" s="20">
        <v>185</v>
      </c>
      <c r="J147" s="82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159</v>
      </c>
      <c r="C148" s="79">
        <f>+'23'!G148</f>
        <v>0</v>
      </c>
      <c r="D148" s="87">
        <v>0</v>
      </c>
      <c r="E148" s="47">
        <f t="shared" si="13"/>
        <v>0</v>
      </c>
      <c r="F148" s="87">
        <v>0</v>
      </c>
      <c r="G148" s="47">
        <f t="shared" si="11"/>
        <v>0</v>
      </c>
      <c r="H148" s="88"/>
      <c r="I148" s="20">
        <v>185</v>
      </c>
      <c r="J148" s="82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160</v>
      </c>
      <c r="C149" s="79">
        <f>+'23'!G149</f>
        <v>0</v>
      </c>
      <c r="D149" s="87">
        <v>0</v>
      </c>
      <c r="E149" s="47">
        <f t="shared" si="13"/>
        <v>0</v>
      </c>
      <c r="F149" s="87">
        <v>0</v>
      </c>
      <c r="G149" s="47">
        <f t="shared" si="11"/>
        <v>0</v>
      </c>
      <c r="H149" s="88"/>
      <c r="I149" s="20">
        <v>185</v>
      </c>
      <c r="J149" s="82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161</v>
      </c>
      <c r="C150" s="79">
        <f>+'23'!G150</f>
        <v>0</v>
      </c>
      <c r="D150" s="87">
        <v>0</v>
      </c>
      <c r="E150" s="47">
        <f t="shared" si="13"/>
        <v>0</v>
      </c>
      <c r="F150" s="87">
        <v>0</v>
      </c>
      <c r="G150" s="47">
        <f t="shared" si="11"/>
        <v>0</v>
      </c>
      <c r="H150" s="88"/>
      <c r="I150" s="20">
        <v>185</v>
      </c>
      <c r="J150" s="82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5.5" x14ac:dyDescent="0.55000000000000004">
      <c r="A151" s="10">
        <v>147</v>
      </c>
      <c r="B151" s="19" t="s">
        <v>279</v>
      </c>
      <c r="C151" s="79">
        <f>+'23'!G151</f>
        <v>0</v>
      </c>
      <c r="D151" s="87">
        <v>0</v>
      </c>
      <c r="E151" s="47">
        <f t="shared" si="13"/>
        <v>0</v>
      </c>
      <c r="F151" s="87">
        <v>0</v>
      </c>
      <c r="G151" s="47">
        <f t="shared" si="11"/>
        <v>0</v>
      </c>
      <c r="H151" s="88"/>
      <c r="I151" s="20">
        <v>150</v>
      </c>
      <c r="J151" s="82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280</v>
      </c>
      <c r="C152" s="79">
        <f>+'23'!G152</f>
        <v>1</v>
      </c>
      <c r="D152" s="87">
        <v>0</v>
      </c>
      <c r="E152" s="47">
        <f t="shared" si="13"/>
        <v>1</v>
      </c>
      <c r="F152" s="87">
        <v>0</v>
      </c>
      <c r="G152" s="47">
        <f t="shared" si="11"/>
        <v>1</v>
      </c>
      <c r="H152" s="88"/>
      <c r="I152" s="20">
        <v>150</v>
      </c>
      <c r="J152" s="82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5.5" x14ac:dyDescent="0.55000000000000004">
      <c r="A153" s="10">
        <v>149</v>
      </c>
      <c r="B153" s="19" t="s">
        <v>281</v>
      </c>
      <c r="C153" s="79">
        <f>+'23'!G153</f>
        <v>0</v>
      </c>
      <c r="D153" s="87">
        <v>0</v>
      </c>
      <c r="E153" s="47">
        <f t="shared" si="13"/>
        <v>0</v>
      </c>
      <c r="F153" s="87">
        <v>0</v>
      </c>
      <c r="G153" s="47">
        <f t="shared" si="11"/>
        <v>0</v>
      </c>
      <c r="H153" s="88"/>
      <c r="I153" s="20">
        <v>150</v>
      </c>
      <c r="J153" s="82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282</v>
      </c>
      <c r="C154" s="79">
        <f>+'23'!G154</f>
        <v>0</v>
      </c>
      <c r="D154" s="87">
        <v>0</v>
      </c>
      <c r="E154" s="47">
        <f t="shared" si="13"/>
        <v>0</v>
      </c>
      <c r="F154" s="87">
        <v>0</v>
      </c>
      <c r="G154" s="47">
        <f t="shared" si="11"/>
        <v>0</v>
      </c>
      <c r="H154" s="88"/>
      <c r="I154" s="20">
        <v>150</v>
      </c>
      <c r="J154" s="82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166</v>
      </c>
      <c r="C155" s="79">
        <f>+'23'!G155</f>
        <v>0</v>
      </c>
      <c r="D155" s="87">
        <v>0</v>
      </c>
      <c r="E155" s="47">
        <f t="shared" si="13"/>
        <v>0</v>
      </c>
      <c r="F155" s="87">
        <v>0</v>
      </c>
      <c r="G155" s="47">
        <f t="shared" si="11"/>
        <v>0</v>
      </c>
      <c r="H155" s="88"/>
      <c r="I155" s="20">
        <v>185</v>
      </c>
      <c r="J155" s="82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167</v>
      </c>
      <c r="C156" s="79">
        <f>+'23'!G156</f>
        <v>0</v>
      </c>
      <c r="D156" s="87">
        <v>0</v>
      </c>
      <c r="E156" s="47">
        <f t="shared" si="13"/>
        <v>0</v>
      </c>
      <c r="F156" s="87">
        <v>0</v>
      </c>
      <c r="G156" s="47">
        <f t="shared" si="11"/>
        <v>0</v>
      </c>
      <c r="H156" s="88"/>
      <c r="I156" s="20">
        <v>185</v>
      </c>
      <c r="J156" s="82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168</v>
      </c>
      <c r="C157" s="79">
        <f>+'23'!G157</f>
        <v>0</v>
      </c>
      <c r="D157" s="87">
        <v>0</v>
      </c>
      <c r="E157" s="47">
        <f t="shared" si="13"/>
        <v>0</v>
      </c>
      <c r="F157" s="87">
        <v>0</v>
      </c>
      <c r="G157" s="47">
        <f t="shared" si="11"/>
        <v>0</v>
      </c>
      <c r="H157" s="88"/>
      <c r="I157" s="20">
        <v>185</v>
      </c>
      <c r="J157" s="82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169</v>
      </c>
      <c r="C158" s="79">
        <f>+'23'!G158</f>
        <v>0</v>
      </c>
      <c r="D158" s="87">
        <v>0</v>
      </c>
      <c r="E158" s="47">
        <f t="shared" si="13"/>
        <v>0</v>
      </c>
      <c r="F158" s="87">
        <v>0</v>
      </c>
      <c r="G158" s="47">
        <f t="shared" si="11"/>
        <v>0</v>
      </c>
      <c r="H158" s="88"/>
      <c r="I158" s="20">
        <v>185</v>
      </c>
      <c r="J158" s="82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170</v>
      </c>
      <c r="C159" s="79">
        <f>+'23'!G159</f>
        <v>0</v>
      </c>
      <c r="D159" s="87">
        <v>0</v>
      </c>
      <c r="E159" s="47">
        <f t="shared" si="13"/>
        <v>0</v>
      </c>
      <c r="F159" s="87">
        <v>0</v>
      </c>
      <c r="G159" s="47">
        <f t="shared" si="11"/>
        <v>0</v>
      </c>
      <c r="H159" s="88"/>
      <c r="I159" s="20">
        <v>135</v>
      </c>
      <c r="J159" s="82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171</v>
      </c>
      <c r="C160" s="79">
        <f>+'23'!G160</f>
        <v>0</v>
      </c>
      <c r="D160" s="87">
        <v>0</v>
      </c>
      <c r="E160" s="47">
        <f t="shared" si="13"/>
        <v>0</v>
      </c>
      <c r="F160" s="87">
        <v>0</v>
      </c>
      <c r="G160" s="47">
        <f t="shared" si="11"/>
        <v>0</v>
      </c>
      <c r="H160" s="88"/>
      <c r="I160" s="20">
        <v>90</v>
      </c>
      <c r="J160" s="82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172</v>
      </c>
      <c r="C161" s="79">
        <f>+'23'!G161</f>
        <v>0</v>
      </c>
      <c r="D161" s="87">
        <v>0</v>
      </c>
      <c r="E161" s="47">
        <f t="shared" si="13"/>
        <v>0</v>
      </c>
      <c r="F161" s="87">
        <v>0</v>
      </c>
      <c r="G161" s="47">
        <f t="shared" si="11"/>
        <v>0</v>
      </c>
      <c r="H161" s="88"/>
      <c r="I161" s="20">
        <v>90</v>
      </c>
      <c r="J161" s="82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173</v>
      </c>
      <c r="C162" s="79">
        <f>+'23'!G162</f>
        <v>0</v>
      </c>
      <c r="D162" s="87">
        <v>0</v>
      </c>
      <c r="E162" s="47">
        <f t="shared" si="13"/>
        <v>0</v>
      </c>
      <c r="F162" s="87">
        <v>0</v>
      </c>
      <c r="G162" s="47">
        <f t="shared" si="11"/>
        <v>0</v>
      </c>
      <c r="H162" s="88"/>
      <c r="I162" s="20">
        <v>90</v>
      </c>
      <c r="J162" s="82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174</v>
      </c>
      <c r="C163" s="79">
        <f>+'23'!G163</f>
        <v>0</v>
      </c>
      <c r="D163" s="87">
        <v>0</v>
      </c>
      <c r="E163" s="47">
        <f t="shared" si="13"/>
        <v>0</v>
      </c>
      <c r="F163" s="87">
        <v>0</v>
      </c>
      <c r="G163" s="47">
        <f t="shared" si="11"/>
        <v>0</v>
      </c>
      <c r="H163" s="88"/>
      <c r="I163" s="20">
        <v>90</v>
      </c>
      <c r="J163" s="82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175</v>
      </c>
      <c r="C164" s="79">
        <f>+'23'!G164</f>
        <v>0</v>
      </c>
      <c r="D164" s="87">
        <v>0</v>
      </c>
      <c r="E164" s="47">
        <f t="shared" si="13"/>
        <v>0</v>
      </c>
      <c r="F164" s="87">
        <v>0</v>
      </c>
      <c r="G164" s="47">
        <f t="shared" si="11"/>
        <v>0</v>
      </c>
      <c r="H164" s="88"/>
      <c r="I164" s="20">
        <v>25</v>
      </c>
      <c r="J164" s="82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176</v>
      </c>
      <c r="C165" s="79">
        <f>+'23'!G165</f>
        <v>0</v>
      </c>
      <c r="D165" s="87">
        <v>0</v>
      </c>
      <c r="E165" s="47">
        <f t="shared" si="13"/>
        <v>0</v>
      </c>
      <c r="F165" s="87">
        <v>0</v>
      </c>
      <c r="G165" s="47">
        <f t="shared" ref="G165:G227" si="15">+E165-F165-H165</f>
        <v>0</v>
      </c>
      <c r="H165" s="88"/>
      <c r="I165" s="20">
        <v>50</v>
      </c>
      <c r="J165" s="82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177</v>
      </c>
      <c r="C166" s="79">
        <f>+'23'!G166</f>
        <v>0</v>
      </c>
      <c r="D166" s="87">
        <v>0</v>
      </c>
      <c r="E166" s="47">
        <f t="shared" si="13"/>
        <v>0</v>
      </c>
      <c r="F166" s="87">
        <v>0</v>
      </c>
      <c r="G166" s="47">
        <f t="shared" si="15"/>
        <v>0</v>
      </c>
      <c r="H166" s="88"/>
      <c r="I166" s="20">
        <v>50</v>
      </c>
      <c r="J166" s="82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178</v>
      </c>
      <c r="C167" s="79">
        <f>+'23'!G167</f>
        <v>0</v>
      </c>
      <c r="D167" s="87">
        <v>0</v>
      </c>
      <c r="E167" s="47">
        <f t="shared" si="13"/>
        <v>0</v>
      </c>
      <c r="F167" s="87">
        <v>0</v>
      </c>
      <c r="G167" s="47">
        <f t="shared" si="15"/>
        <v>0</v>
      </c>
      <c r="H167" s="88"/>
      <c r="I167" s="20">
        <v>50</v>
      </c>
      <c r="J167" s="82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179</v>
      </c>
      <c r="C168" s="79">
        <f>+'23'!G168</f>
        <v>0</v>
      </c>
      <c r="D168" s="87">
        <v>0</v>
      </c>
      <c r="E168" s="47">
        <f t="shared" si="13"/>
        <v>0</v>
      </c>
      <c r="F168" s="87">
        <v>0</v>
      </c>
      <c r="G168" s="47">
        <f t="shared" si="15"/>
        <v>0</v>
      </c>
      <c r="H168" s="88"/>
      <c r="I168" s="20">
        <v>50</v>
      </c>
      <c r="J168" s="82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180</v>
      </c>
      <c r="C169" s="79">
        <f>+'23'!G169</f>
        <v>39</v>
      </c>
      <c r="D169" s="87">
        <v>0</v>
      </c>
      <c r="E169" s="47">
        <f t="shared" si="13"/>
        <v>39</v>
      </c>
      <c r="F169" s="87">
        <v>0</v>
      </c>
      <c r="G169" s="47">
        <f t="shared" si="15"/>
        <v>39</v>
      </c>
      <c r="H169" s="88"/>
      <c r="I169" s="20">
        <v>55</v>
      </c>
      <c r="J169" s="82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181</v>
      </c>
      <c r="C170" s="79">
        <f>+'23'!G170</f>
        <v>0</v>
      </c>
      <c r="D170" s="87">
        <v>0</v>
      </c>
      <c r="E170" s="47">
        <f t="shared" si="13"/>
        <v>0</v>
      </c>
      <c r="F170" s="87">
        <v>0</v>
      </c>
      <c r="G170" s="47">
        <f t="shared" si="15"/>
        <v>0</v>
      </c>
      <c r="H170" s="88"/>
      <c r="I170" s="20">
        <v>85</v>
      </c>
      <c r="J170" s="82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182</v>
      </c>
      <c r="C171" s="79">
        <f>+'23'!G171</f>
        <v>3</v>
      </c>
      <c r="D171" s="87">
        <v>0</v>
      </c>
      <c r="E171" s="47">
        <f t="shared" si="13"/>
        <v>3</v>
      </c>
      <c r="F171" s="87">
        <v>0</v>
      </c>
      <c r="G171" s="47">
        <f t="shared" si="15"/>
        <v>3</v>
      </c>
      <c r="H171" s="88"/>
      <c r="I171" s="20">
        <v>80</v>
      </c>
      <c r="J171" s="82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183</v>
      </c>
      <c r="C172" s="79">
        <f>+'23'!G172</f>
        <v>0</v>
      </c>
      <c r="D172" s="87">
        <v>0</v>
      </c>
      <c r="E172" s="47">
        <f t="shared" si="13"/>
        <v>0</v>
      </c>
      <c r="F172" s="87">
        <v>0</v>
      </c>
      <c r="G172" s="47">
        <f t="shared" si="15"/>
        <v>0</v>
      </c>
      <c r="H172" s="88"/>
      <c r="I172" s="20">
        <v>40</v>
      </c>
      <c r="J172" s="82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184</v>
      </c>
      <c r="C173" s="79">
        <f>+'23'!G173</f>
        <v>0</v>
      </c>
      <c r="D173" s="87">
        <v>0</v>
      </c>
      <c r="E173" s="47">
        <f t="shared" si="13"/>
        <v>0</v>
      </c>
      <c r="F173" s="87">
        <v>0</v>
      </c>
      <c r="G173" s="47">
        <f t="shared" si="15"/>
        <v>0</v>
      </c>
      <c r="H173" s="88"/>
      <c r="I173" s="20">
        <v>120</v>
      </c>
      <c r="J173" s="82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185</v>
      </c>
      <c r="C174" s="79">
        <f>+'23'!G174</f>
        <v>0</v>
      </c>
      <c r="D174" s="87">
        <v>0</v>
      </c>
      <c r="E174" s="47">
        <f t="shared" si="13"/>
        <v>0</v>
      </c>
      <c r="F174" s="87">
        <v>0</v>
      </c>
      <c r="G174" s="47">
        <f t="shared" si="15"/>
        <v>0</v>
      </c>
      <c r="H174" s="88"/>
      <c r="I174" s="20">
        <v>120</v>
      </c>
      <c r="J174" s="82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186</v>
      </c>
      <c r="C175" s="79">
        <f>+'23'!G175</f>
        <v>0</v>
      </c>
      <c r="D175" s="87">
        <v>0</v>
      </c>
      <c r="E175" s="47">
        <f t="shared" si="13"/>
        <v>0</v>
      </c>
      <c r="F175" s="87">
        <v>0</v>
      </c>
      <c r="G175" s="47">
        <f t="shared" si="15"/>
        <v>0</v>
      </c>
      <c r="H175" s="88"/>
      <c r="I175" s="20">
        <v>55</v>
      </c>
      <c r="J175" s="82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187</v>
      </c>
      <c r="C176" s="79">
        <f>+'23'!G176</f>
        <v>0</v>
      </c>
      <c r="D176" s="87">
        <v>0</v>
      </c>
      <c r="E176" s="47">
        <f t="shared" si="13"/>
        <v>0</v>
      </c>
      <c r="F176" s="87">
        <v>0</v>
      </c>
      <c r="G176" s="47">
        <f t="shared" si="15"/>
        <v>0</v>
      </c>
      <c r="H176" s="88"/>
      <c r="I176" s="20">
        <v>50</v>
      </c>
      <c r="J176" s="82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188</v>
      </c>
      <c r="C177" s="79">
        <f>+'23'!G177</f>
        <v>0</v>
      </c>
      <c r="D177" s="87">
        <v>0</v>
      </c>
      <c r="E177" s="47">
        <f t="shared" si="13"/>
        <v>0</v>
      </c>
      <c r="F177" s="87">
        <v>0</v>
      </c>
      <c r="G177" s="47">
        <f t="shared" si="15"/>
        <v>0</v>
      </c>
      <c r="H177" s="88"/>
      <c r="I177" s="20">
        <v>50</v>
      </c>
      <c r="J177" s="82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189</v>
      </c>
      <c r="C178" s="79">
        <f>+'23'!G178</f>
        <v>0</v>
      </c>
      <c r="D178" s="87">
        <v>0</v>
      </c>
      <c r="E178" s="47">
        <f t="shared" si="13"/>
        <v>0</v>
      </c>
      <c r="F178" s="87">
        <v>0</v>
      </c>
      <c r="G178" s="47">
        <f t="shared" si="15"/>
        <v>0</v>
      </c>
      <c r="H178" s="88"/>
      <c r="I178" s="20">
        <v>120</v>
      </c>
      <c r="J178" s="82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190</v>
      </c>
      <c r="C179" s="79">
        <f>+'23'!G179</f>
        <v>0</v>
      </c>
      <c r="D179" s="87">
        <v>0</v>
      </c>
      <c r="E179" s="47">
        <f t="shared" si="13"/>
        <v>0</v>
      </c>
      <c r="F179" s="87">
        <v>0</v>
      </c>
      <c r="G179" s="47">
        <f t="shared" si="15"/>
        <v>0</v>
      </c>
      <c r="H179" s="88"/>
      <c r="I179" s="20">
        <v>120</v>
      </c>
      <c r="J179" s="82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191</v>
      </c>
      <c r="C180" s="79">
        <f>+'23'!G180</f>
        <v>0</v>
      </c>
      <c r="D180" s="87">
        <v>0</v>
      </c>
      <c r="E180" s="47">
        <f t="shared" si="13"/>
        <v>0</v>
      </c>
      <c r="F180" s="87">
        <v>0</v>
      </c>
      <c r="G180" s="47">
        <f t="shared" si="15"/>
        <v>0</v>
      </c>
      <c r="H180" s="88"/>
      <c r="I180" s="20">
        <v>10</v>
      </c>
      <c r="J180" s="82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192</v>
      </c>
      <c r="C181" s="79">
        <f>+'23'!G181</f>
        <v>0</v>
      </c>
      <c r="D181" s="87">
        <v>0</v>
      </c>
      <c r="E181" s="47">
        <f t="shared" si="13"/>
        <v>0</v>
      </c>
      <c r="F181" s="87">
        <v>0</v>
      </c>
      <c r="G181" s="47">
        <f t="shared" si="15"/>
        <v>0</v>
      </c>
      <c r="H181" s="88"/>
      <c r="I181" s="20">
        <v>35</v>
      </c>
      <c r="J181" s="82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193</v>
      </c>
      <c r="C182" s="79">
        <f>+'23'!G182</f>
        <v>0</v>
      </c>
      <c r="D182" s="87">
        <v>0</v>
      </c>
      <c r="E182" s="47">
        <f t="shared" si="13"/>
        <v>0</v>
      </c>
      <c r="F182" s="87">
        <v>0</v>
      </c>
      <c r="G182" s="47">
        <f t="shared" si="15"/>
        <v>0</v>
      </c>
      <c r="H182" s="88"/>
      <c r="I182" s="20">
        <v>10</v>
      </c>
      <c r="J182" s="82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194</v>
      </c>
      <c r="C183" s="79">
        <f>+'23'!G183</f>
        <v>0</v>
      </c>
      <c r="D183" s="87">
        <v>0</v>
      </c>
      <c r="E183" s="47">
        <f t="shared" si="13"/>
        <v>0</v>
      </c>
      <c r="F183" s="87">
        <v>0</v>
      </c>
      <c r="G183" s="47">
        <f t="shared" si="15"/>
        <v>0</v>
      </c>
      <c r="H183" s="88"/>
      <c r="I183" s="20">
        <v>10</v>
      </c>
      <c r="J183" s="82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195</v>
      </c>
      <c r="C184" s="79">
        <f>+'23'!G184</f>
        <v>0</v>
      </c>
      <c r="D184" s="87">
        <v>0</v>
      </c>
      <c r="E184" s="47">
        <f t="shared" si="13"/>
        <v>0</v>
      </c>
      <c r="F184" s="87">
        <v>0</v>
      </c>
      <c r="G184" s="47">
        <f t="shared" si="15"/>
        <v>0</v>
      </c>
      <c r="H184" s="88"/>
      <c r="I184" s="20">
        <v>10</v>
      </c>
      <c r="J184" s="82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196</v>
      </c>
      <c r="C185" s="79">
        <f>+'23'!G185</f>
        <v>0</v>
      </c>
      <c r="D185" s="87">
        <v>0</v>
      </c>
      <c r="E185" s="47">
        <f t="shared" si="13"/>
        <v>0</v>
      </c>
      <c r="F185" s="87">
        <v>0</v>
      </c>
      <c r="G185" s="47">
        <f t="shared" si="15"/>
        <v>0</v>
      </c>
      <c r="H185" s="88"/>
      <c r="I185" s="20">
        <v>10</v>
      </c>
      <c r="J185" s="82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197</v>
      </c>
      <c r="C186" s="79">
        <f>+'23'!G186</f>
        <v>0</v>
      </c>
      <c r="D186" s="87">
        <v>0</v>
      </c>
      <c r="E186" s="47">
        <f t="shared" si="13"/>
        <v>0</v>
      </c>
      <c r="F186" s="87">
        <v>0</v>
      </c>
      <c r="G186" s="47">
        <f t="shared" si="15"/>
        <v>0</v>
      </c>
      <c r="H186" s="88"/>
      <c r="I186" s="20">
        <v>10</v>
      </c>
      <c r="J186" s="82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198</v>
      </c>
      <c r="C187" s="79">
        <f>+'23'!G187</f>
        <v>0</v>
      </c>
      <c r="D187" s="87">
        <v>0</v>
      </c>
      <c r="E187" s="47">
        <f t="shared" si="13"/>
        <v>0</v>
      </c>
      <c r="F187" s="87">
        <v>0</v>
      </c>
      <c r="G187" s="47">
        <f t="shared" si="15"/>
        <v>0</v>
      </c>
      <c r="H187" s="88"/>
      <c r="I187" s="20">
        <v>25</v>
      </c>
      <c r="J187" s="82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249</v>
      </c>
      <c r="C188" s="79">
        <f>+'23'!G188</f>
        <v>0</v>
      </c>
      <c r="D188" s="87">
        <v>0</v>
      </c>
      <c r="E188" s="47">
        <f t="shared" si="13"/>
        <v>0</v>
      </c>
      <c r="F188" s="87">
        <v>0</v>
      </c>
      <c r="G188" s="47">
        <f t="shared" si="15"/>
        <v>0</v>
      </c>
      <c r="H188" s="88"/>
      <c r="I188" s="15">
        <v>50</v>
      </c>
      <c r="J188" s="82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250</v>
      </c>
      <c r="C189" s="79">
        <f>+'23'!G189</f>
        <v>0</v>
      </c>
      <c r="D189" s="87">
        <v>0</v>
      </c>
      <c r="E189" s="47">
        <f t="shared" si="13"/>
        <v>0</v>
      </c>
      <c r="F189" s="87">
        <v>0</v>
      </c>
      <c r="G189" s="47">
        <f t="shared" si="15"/>
        <v>0</v>
      </c>
      <c r="H189" s="88"/>
      <c r="I189" s="15">
        <v>10</v>
      </c>
      <c r="J189" s="82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251</v>
      </c>
      <c r="C190" s="79">
        <f>+'23'!G190</f>
        <v>0</v>
      </c>
      <c r="D190" s="87">
        <v>0</v>
      </c>
      <c r="E190" s="47">
        <f t="shared" ref="E190:E252" si="17">C190+D190</f>
        <v>0</v>
      </c>
      <c r="F190" s="87">
        <v>0</v>
      </c>
      <c r="G190" s="47">
        <f t="shared" si="15"/>
        <v>0</v>
      </c>
      <c r="H190" s="88"/>
      <c r="I190" s="15">
        <v>15</v>
      </c>
      <c r="J190" s="82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252</v>
      </c>
      <c r="C191" s="79">
        <f>+'23'!G191</f>
        <v>0</v>
      </c>
      <c r="D191" s="87">
        <v>0</v>
      </c>
      <c r="E191" s="47">
        <f t="shared" si="17"/>
        <v>0</v>
      </c>
      <c r="F191" s="87">
        <v>0</v>
      </c>
      <c r="G191" s="47">
        <f t="shared" si="15"/>
        <v>0</v>
      </c>
      <c r="H191" s="88"/>
      <c r="I191" s="15">
        <v>25</v>
      </c>
      <c r="J191" s="82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253</v>
      </c>
      <c r="C192" s="79">
        <f>+'23'!G192</f>
        <v>0</v>
      </c>
      <c r="D192" s="87">
        <v>0</v>
      </c>
      <c r="E192" s="47">
        <f t="shared" si="17"/>
        <v>0</v>
      </c>
      <c r="F192" s="87">
        <v>0</v>
      </c>
      <c r="G192" s="47">
        <f t="shared" si="15"/>
        <v>0</v>
      </c>
      <c r="H192" s="88"/>
      <c r="I192" s="15">
        <v>50</v>
      </c>
      <c r="J192" s="82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254</v>
      </c>
      <c r="C193" s="79">
        <f>+'23'!G193</f>
        <v>0</v>
      </c>
      <c r="D193" s="87">
        <v>0</v>
      </c>
      <c r="E193" s="47">
        <f t="shared" si="17"/>
        <v>0</v>
      </c>
      <c r="F193" s="87">
        <v>0</v>
      </c>
      <c r="G193" s="47">
        <f t="shared" si="15"/>
        <v>0</v>
      </c>
      <c r="H193" s="88"/>
      <c r="I193" s="15">
        <v>45</v>
      </c>
      <c r="J193" s="82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255</v>
      </c>
      <c r="C194" s="79">
        <f>+'23'!G194</f>
        <v>0</v>
      </c>
      <c r="D194" s="87">
        <v>0</v>
      </c>
      <c r="E194" s="47">
        <f t="shared" si="17"/>
        <v>0</v>
      </c>
      <c r="F194" s="87">
        <v>0</v>
      </c>
      <c r="G194" s="47">
        <f t="shared" si="15"/>
        <v>0</v>
      </c>
      <c r="H194" s="88"/>
      <c r="I194" s="15">
        <v>50</v>
      </c>
      <c r="J194" s="82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199</v>
      </c>
      <c r="C195" s="79">
        <f>+'23'!G195</f>
        <v>0</v>
      </c>
      <c r="D195" s="87">
        <v>0</v>
      </c>
      <c r="E195" s="47">
        <f t="shared" si="17"/>
        <v>0</v>
      </c>
      <c r="F195" s="87">
        <v>0</v>
      </c>
      <c r="G195" s="47">
        <f t="shared" si="15"/>
        <v>0</v>
      </c>
      <c r="H195" s="88"/>
      <c r="I195" s="15">
        <v>150</v>
      </c>
      <c r="J195" s="82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200</v>
      </c>
      <c r="C196" s="79">
        <f>+'23'!G196</f>
        <v>0</v>
      </c>
      <c r="D196" s="87">
        <v>0</v>
      </c>
      <c r="E196" s="47">
        <f t="shared" si="17"/>
        <v>0</v>
      </c>
      <c r="F196" s="87">
        <v>0</v>
      </c>
      <c r="G196" s="47">
        <f t="shared" si="15"/>
        <v>0</v>
      </c>
      <c r="H196" s="88"/>
      <c r="I196" s="15">
        <v>150</v>
      </c>
      <c r="J196" s="82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201</v>
      </c>
      <c r="C197" s="79">
        <f>+'23'!G197</f>
        <v>0</v>
      </c>
      <c r="D197" s="87">
        <v>0</v>
      </c>
      <c r="E197" s="47">
        <f t="shared" si="17"/>
        <v>0</v>
      </c>
      <c r="F197" s="87">
        <v>0</v>
      </c>
      <c r="G197" s="47">
        <f t="shared" si="15"/>
        <v>0</v>
      </c>
      <c r="H197" s="88"/>
      <c r="I197" s="15">
        <v>150</v>
      </c>
      <c r="J197" s="82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256</v>
      </c>
      <c r="C198" s="79">
        <f>+'23'!G198</f>
        <v>0</v>
      </c>
      <c r="D198" s="87">
        <v>0</v>
      </c>
      <c r="E198" s="47">
        <f t="shared" si="17"/>
        <v>0</v>
      </c>
      <c r="F198" s="87">
        <v>0</v>
      </c>
      <c r="G198" s="47">
        <f t="shared" si="15"/>
        <v>0</v>
      </c>
      <c r="H198" s="88"/>
      <c r="I198" s="15">
        <v>55</v>
      </c>
      <c r="J198" s="82">
        <f t="shared" si="16"/>
        <v>0</v>
      </c>
      <c r="K198" s="17" t="s">
        <v>16</v>
      </c>
      <c r="L198" s="18">
        <v>0</v>
      </c>
      <c r="M198" s="23">
        <f t="shared" si="14"/>
        <v>0</v>
      </c>
    </row>
    <row r="199" spans="1:13" ht="25.5" x14ac:dyDescent="0.55000000000000004">
      <c r="A199" s="10">
        <v>195</v>
      </c>
      <c r="B199" s="19" t="s">
        <v>257</v>
      </c>
      <c r="C199" s="79">
        <f>+'23'!G199</f>
        <v>0</v>
      </c>
      <c r="D199" s="87">
        <v>0</v>
      </c>
      <c r="E199" s="47">
        <f t="shared" si="17"/>
        <v>0</v>
      </c>
      <c r="F199" s="87">
        <v>0</v>
      </c>
      <c r="G199" s="47">
        <f t="shared" si="15"/>
        <v>0</v>
      </c>
      <c r="H199" s="88"/>
      <c r="I199" s="15">
        <v>30</v>
      </c>
      <c r="J199" s="82">
        <f t="shared" si="16"/>
        <v>0</v>
      </c>
      <c r="K199" s="17" t="s">
        <v>16</v>
      </c>
      <c r="L199" s="18">
        <v>0</v>
      </c>
      <c r="M199" s="23">
        <f t="shared" ref="M199:M254" si="18">SUM(J199-L199)</f>
        <v>0</v>
      </c>
    </row>
    <row r="200" spans="1:13" ht="25.5" x14ac:dyDescent="0.55000000000000004">
      <c r="A200" s="10">
        <v>196</v>
      </c>
      <c r="B200" s="19" t="s">
        <v>258</v>
      </c>
      <c r="C200" s="79">
        <f>+'23'!G200</f>
        <v>0</v>
      </c>
      <c r="D200" s="87">
        <v>0</v>
      </c>
      <c r="E200" s="47">
        <f t="shared" si="17"/>
        <v>0</v>
      </c>
      <c r="F200" s="87">
        <v>0</v>
      </c>
      <c r="G200" s="47">
        <f t="shared" si="15"/>
        <v>0</v>
      </c>
      <c r="H200" s="88"/>
      <c r="I200" s="15">
        <v>30</v>
      </c>
      <c r="J200" s="82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259</v>
      </c>
      <c r="C201" s="79">
        <f>+'23'!G201</f>
        <v>0</v>
      </c>
      <c r="D201" s="87">
        <v>0</v>
      </c>
      <c r="E201" s="47">
        <f t="shared" si="17"/>
        <v>0</v>
      </c>
      <c r="F201" s="87">
        <v>0</v>
      </c>
      <c r="G201" s="47">
        <f t="shared" si="15"/>
        <v>0</v>
      </c>
      <c r="H201" s="88"/>
      <c r="I201" s="15">
        <v>30</v>
      </c>
      <c r="J201" s="82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260</v>
      </c>
      <c r="C202" s="79">
        <f>+'23'!G202</f>
        <v>0</v>
      </c>
      <c r="D202" s="87">
        <v>0</v>
      </c>
      <c r="E202" s="47">
        <f t="shared" si="17"/>
        <v>0</v>
      </c>
      <c r="F202" s="87">
        <v>0</v>
      </c>
      <c r="G202" s="47">
        <f t="shared" si="15"/>
        <v>0</v>
      </c>
      <c r="H202" s="88"/>
      <c r="I202" s="15">
        <v>30</v>
      </c>
      <c r="J202" s="82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1" t="s">
        <v>261</v>
      </c>
      <c r="C203" s="79">
        <f>+'23'!G203</f>
        <v>0</v>
      </c>
      <c r="D203" s="87">
        <v>0</v>
      </c>
      <c r="E203" s="47">
        <f t="shared" si="17"/>
        <v>0</v>
      </c>
      <c r="F203" s="87">
        <v>0</v>
      </c>
      <c r="G203" s="47">
        <f t="shared" si="15"/>
        <v>0</v>
      </c>
      <c r="H203" s="88"/>
      <c r="I203" s="20">
        <v>30</v>
      </c>
      <c r="J203" s="82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1" t="s">
        <v>262</v>
      </c>
      <c r="C204" s="79">
        <f>+'23'!G204</f>
        <v>0</v>
      </c>
      <c r="D204" s="87">
        <v>0</v>
      </c>
      <c r="E204" s="47">
        <f t="shared" si="17"/>
        <v>0</v>
      </c>
      <c r="F204" s="87">
        <v>0</v>
      </c>
      <c r="G204" s="47">
        <f t="shared" si="15"/>
        <v>0</v>
      </c>
      <c r="H204" s="88"/>
      <c r="I204" s="20">
        <v>30</v>
      </c>
      <c r="J204" s="82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1" t="s">
        <v>263</v>
      </c>
      <c r="C205" s="79">
        <f>+'23'!G205</f>
        <v>0</v>
      </c>
      <c r="D205" s="87">
        <v>0</v>
      </c>
      <c r="E205" s="47">
        <f t="shared" si="17"/>
        <v>0</v>
      </c>
      <c r="F205" s="87">
        <v>0</v>
      </c>
      <c r="G205" s="47">
        <f t="shared" si="15"/>
        <v>0</v>
      </c>
      <c r="H205" s="88"/>
      <c r="I205" s="20">
        <v>50</v>
      </c>
      <c r="J205" s="82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1" t="s">
        <v>264</v>
      </c>
      <c r="C206" s="79">
        <f>+'23'!G206</f>
        <v>0</v>
      </c>
      <c r="D206" s="87">
        <v>0</v>
      </c>
      <c r="E206" s="47">
        <f t="shared" si="17"/>
        <v>0</v>
      </c>
      <c r="F206" s="87">
        <v>0</v>
      </c>
      <c r="G206" s="47">
        <f t="shared" si="15"/>
        <v>0</v>
      </c>
      <c r="H206" s="88"/>
      <c r="I206" s="20">
        <v>100</v>
      </c>
      <c r="J206" s="82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1" t="s">
        <v>265</v>
      </c>
      <c r="C207" s="79">
        <f>+'23'!G207</f>
        <v>0</v>
      </c>
      <c r="D207" s="87">
        <v>0</v>
      </c>
      <c r="E207" s="47">
        <f t="shared" si="17"/>
        <v>0</v>
      </c>
      <c r="F207" s="87">
        <v>0</v>
      </c>
      <c r="G207" s="47">
        <f t="shared" si="15"/>
        <v>0</v>
      </c>
      <c r="H207" s="88"/>
      <c r="I207" s="20">
        <v>100</v>
      </c>
      <c r="J207" s="82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1" t="s">
        <v>266</v>
      </c>
      <c r="C208" s="79">
        <f>+'23'!G208</f>
        <v>0</v>
      </c>
      <c r="D208" s="87">
        <v>0</v>
      </c>
      <c r="E208" s="47">
        <f t="shared" si="17"/>
        <v>0</v>
      </c>
      <c r="F208" s="87">
        <v>0</v>
      </c>
      <c r="G208" s="47">
        <f t="shared" si="15"/>
        <v>0</v>
      </c>
      <c r="H208" s="88"/>
      <c r="I208" s="20">
        <v>100</v>
      </c>
      <c r="J208" s="82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1" t="s">
        <v>267</v>
      </c>
      <c r="C209" s="79">
        <f>+'23'!G209</f>
        <v>0</v>
      </c>
      <c r="D209" s="87">
        <v>0</v>
      </c>
      <c r="E209" s="47">
        <f t="shared" si="17"/>
        <v>0</v>
      </c>
      <c r="F209" s="87">
        <v>0</v>
      </c>
      <c r="G209" s="47">
        <f t="shared" si="15"/>
        <v>0</v>
      </c>
      <c r="H209" s="88"/>
      <c r="I209" s="20">
        <v>100</v>
      </c>
      <c r="J209" s="82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1" t="s">
        <v>268</v>
      </c>
      <c r="C210" s="79">
        <f>+'23'!G210</f>
        <v>0</v>
      </c>
      <c r="D210" s="87">
        <v>0</v>
      </c>
      <c r="E210" s="47">
        <f t="shared" si="17"/>
        <v>0</v>
      </c>
      <c r="F210" s="87">
        <v>0</v>
      </c>
      <c r="G210" s="47">
        <f t="shared" si="15"/>
        <v>0</v>
      </c>
      <c r="H210" s="88"/>
      <c r="I210" s="20">
        <v>250</v>
      </c>
      <c r="J210" s="82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1" t="s">
        <v>269</v>
      </c>
      <c r="C211" s="79">
        <f>+'23'!G211</f>
        <v>0</v>
      </c>
      <c r="D211" s="87">
        <v>0</v>
      </c>
      <c r="E211" s="47">
        <f t="shared" si="17"/>
        <v>0</v>
      </c>
      <c r="F211" s="87">
        <v>0</v>
      </c>
      <c r="G211" s="47">
        <f t="shared" si="15"/>
        <v>0</v>
      </c>
      <c r="H211" s="88"/>
      <c r="I211" s="20">
        <v>250</v>
      </c>
      <c r="J211" s="82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1" t="s">
        <v>270</v>
      </c>
      <c r="C212" s="79">
        <f>+'23'!G212</f>
        <v>0</v>
      </c>
      <c r="D212" s="87">
        <v>0</v>
      </c>
      <c r="E212" s="47">
        <f t="shared" si="17"/>
        <v>0</v>
      </c>
      <c r="F212" s="87">
        <v>0</v>
      </c>
      <c r="G212" s="47">
        <f t="shared" si="15"/>
        <v>0</v>
      </c>
      <c r="H212" s="88"/>
      <c r="I212" s="20">
        <v>250</v>
      </c>
      <c r="J212" s="82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1" t="s">
        <v>271</v>
      </c>
      <c r="C213" s="79">
        <f>+'23'!G213</f>
        <v>0</v>
      </c>
      <c r="D213" s="87">
        <v>0</v>
      </c>
      <c r="E213" s="47">
        <f t="shared" si="17"/>
        <v>0</v>
      </c>
      <c r="F213" s="87">
        <v>0</v>
      </c>
      <c r="G213" s="47">
        <f t="shared" si="15"/>
        <v>0</v>
      </c>
      <c r="H213" s="88"/>
      <c r="I213" s="20">
        <v>50</v>
      </c>
      <c r="J213" s="82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1" t="s">
        <v>273</v>
      </c>
      <c r="C214" s="79">
        <f>+'23'!G214</f>
        <v>0</v>
      </c>
      <c r="D214" s="87">
        <v>0</v>
      </c>
      <c r="E214" s="47">
        <f t="shared" si="17"/>
        <v>0</v>
      </c>
      <c r="F214" s="87">
        <v>0</v>
      </c>
      <c r="G214" s="47">
        <f t="shared" si="15"/>
        <v>0</v>
      </c>
      <c r="H214" s="88"/>
      <c r="I214" s="20">
        <v>50</v>
      </c>
      <c r="J214" s="82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1" t="s">
        <v>274</v>
      </c>
      <c r="C215" s="79">
        <f>+'23'!G215</f>
        <v>0</v>
      </c>
      <c r="D215" s="87">
        <v>0</v>
      </c>
      <c r="E215" s="47">
        <f t="shared" si="17"/>
        <v>0</v>
      </c>
      <c r="F215" s="87">
        <v>0</v>
      </c>
      <c r="G215" s="47">
        <f t="shared" si="15"/>
        <v>0</v>
      </c>
      <c r="H215" s="88"/>
      <c r="I215" s="20">
        <v>50</v>
      </c>
      <c r="J215" s="82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1" t="s">
        <v>242</v>
      </c>
      <c r="C216" s="79">
        <f>+'23'!G216</f>
        <v>0</v>
      </c>
      <c r="D216" s="87">
        <v>0</v>
      </c>
      <c r="E216" s="47">
        <f t="shared" si="17"/>
        <v>0</v>
      </c>
      <c r="F216" s="87">
        <v>0</v>
      </c>
      <c r="G216" s="47">
        <f t="shared" si="15"/>
        <v>0</v>
      </c>
      <c r="H216" s="88"/>
      <c r="I216" s="20">
        <v>35</v>
      </c>
      <c r="J216" s="82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1" t="s">
        <v>275</v>
      </c>
      <c r="C217" s="79">
        <f>+'23'!G217</f>
        <v>0</v>
      </c>
      <c r="D217" s="87">
        <v>0</v>
      </c>
      <c r="E217" s="47">
        <f t="shared" si="17"/>
        <v>0</v>
      </c>
      <c r="F217" s="87">
        <v>0</v>
      </c>
      <c r="G217" s="47">
        <f t="shared" si="15"/>
        <v>0</v>
      </c>
      <c r="H217" s="88"/>
      <c r="I217" s="20">
        <v>199</v>
      </c>
      <c r="J217" s="82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1" t="s">
        <v>283</v>
      </c>
      <c r="C218" s="79"/>
      <c r="D218" s="87">
        <v>0</v>
      </c>
      <c r="E218" s="47">
        <f t="shared" si="17"/>
        <v>0</v>
      </c>
      <c r="F218" s="87">
        <v>0</v>
      </c>
      <c r="G218" s="47">
        <f t="shared" si="15"/>
        <v>0</v>
      </c>
      <c r="H218" s="88"/>
      <c r="I218" s="20">
        <v>25</v>
      </c>
      <c r="J218" s="82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1" t="s">
        <v>284</v>
      </c>
      <c r="C219" s="79"/>
      <c r="D219" s="87">
        <v>0</v>
      </c>
      <c r="E219" s="47">
        <f t="shared" si="17"/>
        <v>0</v>
      </c>
      <c r="F219" s="87">
        <v>0</v>
      </c>
      <c r="G219" s="47">
        <f t="shared" si="15"/>
        <v>0</v>
      </c>
      <c r="H219" s="88"/>
      <c r="I219" s="20">
        <v>25</v>
      </c>
      <c r="J219" s="82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1" t="s">
        <v>314</v>
      </c>
      <c r="C220" s="79">
        <f>+'23'!G220</f>
        <v>0</v>
      </c>
      <c r="D220" s="87">
        <v>0</v>
      </c>
      <c r="E220" s="47">
        <f t="shared" si="17"/>
        <v>0</v>
      </c>
      <c r="F220" s="87">
        <v>0</v>
      </c>
      <c r="G220" s="47">
        <f t="shared" si="15"/>
        <v>0</v>
      </c>
      <c r="H220" s="88"/>
      <c r="I220" s="20">
        <v>35</v>
      </c>
      <c r="J220" s="82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1" t="s">
        <v>326</v>
      </c>
      <c r="C221" s="79">
        <f>+'23'!G221</f>
        <v>1</v>
      </c>
      <c r="D221" s="87">
        <v>0</v>
      </c>
      <c r="E221" s="47">
        <f t="shared" si="17"/>
        <v>1</v>
      </c>
      <c r="F221" s="87">
        <v>0</v>
      </c>
      <c r="G221" s="47">
        <f t="shared" si="15"/>
        <v>1</v>
      </c>
      <c r="H221" s="88"/>
      <c r="I221" s="20">
        <v>55</v>
      </c>
      <c r="J221" s="82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1" t="s">
        <v>327</v>
      </c>
      <c r="C222" s="79">
        <f>+'23'!G222</f>
        <v>0</v>
      </c>
      <c r="D222" s="87">
        <v>15</v>
      </c>
      <c r="E222" s="47">
        <f t="shared" si="17"/>
        <v>15</v>
      </c>
      <c r="F222" s="87">
        <v>0</v>
      </c>
      <c r="G222" s="47">
        <f t="shared" si="15"/>
        <v>14</v>
      </c>
      <c r="H222" s="88">
        <v>1</v>
      </c>
      <c r="I222" s="20">
        <v>40</v>
      </c>
      <c r="J222" s="82">
        <f t="shared" si="16"/>
        <v>40</v>
      </c>
      <c r="K222" s="17" t="s">
        <v>16</v>
      </c>
      <c r="L222" s="18">
        <v>0</v>
      </c>
      <c r="M222" s="23">
        <f t="shared" si="18"/>
        <v>40</v>
      </c>
    </row>
    <row r="223" spans="1:13" ht="25.5" x14ac:dyDescent="0.55000000000000004">
      <c r="A223" s="10">
        <v>219</v>
      </c>
      <c r="B223" s="11"/>
      <c r="C223" s="79">
        <f>+'23'!G223</f>
        <v>0</v>
      </c>
      <c r="D223" s="87">
        <v>0</v>
      </c>
      <c r="E223" s="47">
        <f t="shared" si="17"/>
        <v>0</v>
      </c>
      <c r="F223" s="87">
        <v>0</v>
      </c>
      <c r="G223" s="47">
        <f t="shared" si="15"/>
        <v>0</v>
      </c>
      <c r="H223" s="88"/>
      <c r="I223" s="20"/>
      <c r="J223" s="82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1"/>
      <c r="C224" s="79">
        <f>+'23'!G224</f>
        <v>0</v>
      </c>
      <c r="D224" s="87">
        <v>0</v>
      </c>
      <c r="E224" s="47">
        <f t="shared" si="17"/>
        <v>0</v>
      </c>
      <c r="F224" s="87">
        <v>0</v>
      </c>
      <c r="G224" s="47">
        <f t="shared" si="15"/>
        <v>0</v>
      </c>
      <c r="H224" s="88"/>
      <c r="I224" s="20"/>
      <c r="J224" s="82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1"/>
      <c r="C225" s="79">
        <f>+'23'!G225</f>
        <v>0</v>
      </c>
      <c r="D225" s="87">
        <v>0</v>
      </c>
      <c r="E225" s="47">
        <f t="shared" si="17"/>
        <v>0</v>
      </c>
      <c r="F225" s="87">
        <v>0</v>
      </c>
      <c r="G225" s="47">
        <f t="shared" si="15"/>
        <v>0</v>
      </c>
      <c r="H225" s="88"/>
      <c r="I225" s="20"/>
      <c r="J225" s="82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1"/>
      <c r="C226" s="79">
        <f>+'23'!G226</f>
        <v>0</v>
      </c>
      <c r="D226" s="87">
        <v>0</v>
      </c>
      <c r="E226" s="47">
        <f t="shared" si="17"/>
        <v>0</v>
      </c>
      <c r="F226" s="87">
        <v>0</v>
      </c>
      <c r="G226" s="47">
        <f t="shared" si="15"/>
        <v>0</v>
      </c>
      <c r="H226" s="88"/>
      <c r="I226" s="20"/>
      <c r="J226" s="82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1"/>
      <c r="C227" s="79">
        <f>+'23'!G227</f>
        <v>0</v>
      </c>
      <c r="D227" s="87">
        <v>0</v>
      </c>
      <c r="E227" s="47">
        <f t="shared" si="17"/>
        <v>0</v>
      </c>
      <c r="F227" s="87">
        <v>0</v>
      </c>
      <c r="G227" s="47">
        <f t="shared" si="15"/>
        <v>0</v>
      </c>
      <c r="H227" s="88"/>
      <c r="I227" s="20"/>
      <c r="J227" s="82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1"/>
      <c r="C228" s="79">
        <f>+'23'!G228</f>
        <v>0</v>
      </c>
      <c r="D228" s="87">
        <v>0</v>
      </c>
      <c r="E228" s="47">
        <f t="shared" si="17"/>
        <v>0</v>
      </c>
      <c r="F228" s="87">
        <v>0</v>
      </c>
      <c r="G228" s="47">
        <f t="shared" ref="G228:G254" si="19">+E228-F228-H228</f>
        <v>0</v>
      </c>
      <c r="H228" s="88"/>
      <c r="I228" s="20"/>
      <c r="J228" s="82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1"/>
      <c r="C229" s="79">
        <f>+'23'!G229</f>
        <v>0</v>
      </c>
      <c r="D229" s="87">
        <v>0</v>
      </c>
      <c r="E229" s="47">
        <f t="shared" si="17"/>
        <v>0</v>
      </c>
      <c r="F229" s="87">
        <v>0</v>
      </c>
      <c r="G229" s="47">
        <f t="shared" si="19"/>
        <v>0</v>
      </c>
      <c r="H229" s="88"/>
      <c r="I229" s="20"/>
      <c r="J229" s="82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1"/>
      <c r="C230" s="79">
        <f>+'23'!G230</f>
        <v>0</v>
      </c>
      <c r="D230" s="87">
        <v>0</v>
      </c>
      <c r="E230" s="47">
        <f t="shared" si="17"/>
        <v>0</v>
      </c>
      <c r="F230" s="87">
        <v>0</v>
      </c>
      <c r="G230" s="47">
        <f t="shared" si="19"/>
        <v>0</v>
      </c>
      <c r="H230" s="88"/>
      <c r="I230" s="20"/>
      <c r="J230" s="82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1"/>
      <c r="C231" s="79">
        <f>+'23'!G231</f>
        <v>0</v>
      </c>
      <c r="D231" s="87">
        <v>0</v>
      </c>
      <c r="E231" s="47">
        <f t="shared" si="17"/>
        <v>0</v>
      </c>
      <c r="F231" s="87">
        <v>0</v>
      </c>
      <c r="G231" s="47">
        <f t="shared" si="19"/>
        <v>0</v>
      </c>
      <c r="H231" s="88"/>
      <c r="I231" s="20"/>
      <c r="J231" s="82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1"/>
      <c r="C232" s="79">
        <f>+'23'!G232</f>
        <v>0</v>
      </c>
      <c r="D232" s="87">
        <v>0</v>
      </c>
      <c r="E232" s="47">
        <f t="shared" si="17"/>
        <v>0</v>
      </c>
      <c r="F232" s="87">
        <v>0</v>
      </c>
      <c r="G232" s="47">
        <f t="shared" si="19"/>
        <v>0</v>
      </c>
      <c r="H232" s="88"/>
      <c r="I232" s="20"/>
      <c r="J232" s="82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1"/>
      <c r="C233" s="79">
        <f>+'23'!G233</f>
        <v>0</v>
      </c>
      <c r="D233" s="87">
        <v>0</v>
      </c>
      <c r="E233" s="47">
        <f t="shared" si="17"/>
        <v>0</v>
      </c>
      <c r="F233" s="87">
        <v>0</v>
      </c>
      <c r="G233" s="47">
        <f t="shared" si="19"/>
        <v>0</v>
      </c>
      <c r="H233" s="88"/>
      <c r="I233" s="20"/>
      <c r="J233" s="82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1"/>
      <c r="C234" s="79">
        <f>+'23'!G234</f>
        <v>0</v>
      </c>
      <c r="D234" s="87">
        <v>0</v>
      </c>
      <c r="E234" s="47">
        <f t="shared" si="17"/>
        <v>0</v>
      </c>
      <c r="F234" s="87">
        <v>0</v>
      </c>
      <c r="G234" s="47">
        <f t="shared" si="19"/>
        <v>0</v>
      </c>
      <c r="H234" s="88"/>
      <c r="I234" s="20"/>
      <c r="J234" s="82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1"/>
      <c r="C235" s="79">
        <f>+'23'!G235</f>
        <v>0</v>
      </c>
      <c r="D235" s="87">
        <v>0</v>
      </c>
      <c r="E235" s="47">
        <f t="shared" si="17"/>
        <v>0</v>
      </c>
      <c r="F235" s="87">
        <v>0</v>
      </c>
      <c r="G235" s="47">
        <f t="shared" si="19"/>
        <v>0</v>
      </c>
      <c r="H235" s="88"/>
      <c r="I235" s="20"/>
      <c r="J235" s="82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1"/>
      <c r="C236" s="79">
        <f>+'23'!G236</f>
        <v>0</v>
      </c>
      <c r="D236" s="87">
        <v>0</v>
      </c>
      <c r="E236" s="47">
        <f t="shared" si="17"/>
        <v>0</v>
      </c>
      <c r="F236" s="87">
        <v>0</v>
      </c>
      <c r="G236" s="47">
        <f t="shared" si="19"/>
        <v>0</v>
      </c>
      <c r="H236" s="88"/>
      <c r="I236" s="20"/>
      <c r="J236" s="82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1"/>
      <c r="C237" s="79">
        <f>+'23'!G237</f>
        <v>0</v>
      </c>
      <c r="D237" s="87">
        <v>0</v>
      </c>
      <c r="E237" s="47">
        <f t="shared" si="17"/>
        <v>0</v>
      </c>
      <c r="F237" s="87">
        <v>0</v>
      </c>
      <c r="G237" s="47">
        <f t="shared" si="19"/>
        <v>0</v>
      </c>
      <c r="H237" s="88"/>
      <c r="I237" s="20"/>
      <c r="J237" s="82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1"/>
      <c r="C238" s="79">
        <f>+'23'!G238</f>
        <v>0</v>
      </c>
      <c r="D238" s="87">
        <v>0</v>
      </c>
      <c r="E238" s="47">
        <f t="shared" si="17"/>
        <v>0</v>
      </c>
      <c r="F238" s="87">
        <v>0</v>
      </c>
      <c r="G238" s="47">
        <f t="shared" si="19"/>
        <v>0</v>
      </c>
      <c r="H238" s="88"/>
      <c r="I238" s="20"/>
      <c r="J238" s="82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1"/>
      <c r="C239" s="79">
        <f>+'23'!G239</f>
        <v>0</v>
      </c>
      <c r="D239" s="87">
        <v>0</v>
      </c>
      <c r="E239" s="47">
        <f t="shared" si="17"/>
        <v>0</v>
      </c>
      <c r="F239" s="87">
        <v>0</v>
      </c>
      <c r="G239" s="47">
        <f t="shared" si="19"/>
        <v>0</v>
      </c>
      <c r="H239" s="88"/>
      <c r="I239" s="20"/>
      <c r="J239" s="82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1"/>
      <c r="C240" s="79">
        <f>+'23'!G240</f>
        <v>0</v>
      </c>
      <c r="D240" s="87">
        <v>0</v>
      </c>
      <c r="E240" s="47">
        <f t="shared" si="17"/>
        <v>0</v>
      </c>
      <c r="F240" s="87">
        <v>0</v>
      </c>
      <c r="G240" s="47">
        <f t="shared" si="19"/>
        <v>0</v>
      </c>
      <c r="H240" s="88"/>
      <c r="I240" s="20"/>
      <c r="J240" s="82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1"/>
      <c r="C241" s="79">
        <f>+'23'!G241</f>
        <v>0</v>
      </c>
      <c r="D241" s="87">
        <v>0</v>
      </c>
      <c r="E241" s="47">
        <f t="shared" si="17"/>
        <v>0</v>
      </c>
      <c r="F241" s="87">
        <v>0</v>
      </c>
      <c r="G241" s="47">
        <f t="shared" si="19"/>
        <v>0</v>
      </c>
      <c r="H241" s="88"/>
      <c r="I241" s="20"/>
      <c r="J241" s="82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1"/>
      <c r="C242" s="79">
        <f>+'23'!G242</f>
        <v>0</v>
      </c>
      <c r="D242" s="87">
        <v>0</v>
      </c>
      <c r="E242" s="47">
        <f t="shared" si="17"/>
        <v>0</v>
      </c>
      <c r="F242" s="87">
        <v>0</v>
      </c>
      <c r="G242" s="47">
        <f t="shared" si="19"/>
        <v>0</v>
      </c>
      <c r="H242" s="88"/>
      <c r="I242" s="20"/>
      <c r="J242" s="82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1"/>
      <c r="C243" s="79">
        <f>+'23'!G243</f>
        <v>0</v>
      </c>
      <c r="D243" s="87">
        <v>0</v>
      </c>
      <c r="E243" s="47">
        <f t="shared" si="17"/>
        <v>0</v>
      </c>
      <c r="F243" s="87">
        <v>0</v>
      </c>
      <c r="G243" s="47">
        <f t="shared" si="19"/>
        <v>0</v>
      </c>
      <c r="H243" s="88"/>
      <c r="I243" s="20"/>
      <c r="J243" s="82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1"/>
      <c r="C244" s="79">
        <f>+'23'!G244</f>
        <v>0</v>
      </c>
      <c r="D244" s="87">
        <v>0</v>
      </c>
      <c r="E244" s="47">
        <f t="shared" si="17"/>
        <v>0</v>
      </c>
      <c r="F244" s="87">
        <v>0</v>
      </c>
      <c r="G244" s="47">
        <f t="shared" si="19"/>
        <v>0</v>
      </c>
      <c r="H244" s="88"/>
      <c r="I244" s="20"/>
      <c r="J244" s="82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1"/>
      <c r="C245" s="79">
        <f>+'23'!G245</f>
        <v>0</v>
      </c>
      <c r="D245" s="87">
        <v>0</v>
      </c>
      <c r="E245" s="47">
        <f t="shared" si="17"/>
        <v>0</v>
      </c>
      <c r="F245" s="87">
        <v>0</v>
      </c>
      <c r="G245" s="47">
        <f t="shared" si="19"/>
        <v>0</v>
      </c>
      <c r="H245" s="88"/>
      <c r="I245" s="20"/>
      <c r="J245" s="82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1"/>
      <c r="C246" s="79">
        <f>+'23'!G246</f>
        <v>0</v>
      </c>
      <c r="D246" s="87">
        <v>0</v>
      </c>
      <c r="E246" s="47">
        <f t="shared" si="17"/>
        <v>0</v>
      </c>
      <c r="F246" s="87">
        <v>0</v>
      </c>
      <c r="G246" s="47">
        <f t="shared" si="19"/>
        <v>0</v>
      </c>
      <c r="H246" s="88"/>
      <c r="I246" s="20"/>
      <c r="J246" s="82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1"/>
      <c r="C247" s="79">
        <f>+'23'!G247</f>
        <v>0</v>
      </c>
      <c r="D247" s="87">
        <v>0</v>
      </c>
      <c r="E247" s="47">
        <f t="shared" si="17"/>
        <v>0</v>
      </c>
      <c r="F247" s="87">
        <v>0</v>
      </c>
      <c r="G247" s="47">
        <f t="shared" si="19"/>
        <v>0</v>
      </c>
      <c r="H247" s="88"/>
      <c r="I247" s="20"/>
      <c r="J247" s="82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1"/>
      <c r="C248" s="79">
        <f>+'23'!G248</f>
        <v>0</v>
      </c>
      <c r="D248" s="87">
        <v>0</v>
      </c>
      <c r="E248" s="47">
        <f t="shared" si="17"/>
        <v>0</v>
      </c>
      <c r="F248" s="87">
        <v>0</v>
      </c>
      <c r="G248" s="47">
        <f t="shared" si="19"/>
        <v>0</v>
      </c>
      <c r="H248" s="88"/>
      <c r="I248" s="20"/>
      <c r="J248" s="82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1"/>
      <c r="C249" s="79">
        <f>+'23'!G249</f>
        <v>0</v>
      </c>
      <c r="D249" s="87">
        <v>0</v>
      </c>
      <c r="E249" s="47">
        <f t="shared" si="17"/>
        <v>0</v>
      </c>
      <c r="F249" s="87">
        <v>0</v>
      </c>
      <c r="G249" s="47">
        <f t="shared" si="19"/>
        <v>0</v>
      </c>
      <c r="H249" s="88"/>
      <c r="I249" s="20"/>
      <c r="J249" s="82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1"/>
      <c r="C250" s="79">
        <f>+'23'!G250</f>
        <v>0</v>
      </c>
      <c r="D250" s="87">
        <v>0</v>
      </c>
      <c r="E250" s="47">
        <f t="shared" si="17"/>
        <v>0</v>
      </c>
      <c r="F250" s="87">
        <v>0</v>
      </c>
      <c r="G250" s="47">
        <f t="shared" si="19"/>
        <v>0</v>
      </c>
      <c r="H250" s="88"/>
      <c r="I250" s="20"/>
      <c r="J250" s="82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1"/>
      <c r="C251" s="79">
        <f>+'23'!G251</f>
        <v>0</v>
      </c>
      <c r="D251" s="87">
        <v>0</v>
      </c>
      <c r="E251" s="47">
        <f t="shared" si="17"/>
        <v>0</v>
      </c>
      <c r="F251" s="87">
        <v>0</v>
      </c>
      <c r="G251" s="47">
        <f t="shared" si="19"/>
        <v>0</v>
      </c>
      <c r="H251" s="88"/>
      <c r="I251" s="20"/>
      <c r="J251" s="82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1"/>
      <c r="C252" s="79">
        <f>+'23'!G252</f>
        <v>0</v>
      </c>
      <c r="D252" s="87">
        <v>0</v>
      </c>
      <c r="E252" s="47">
        <f t="shared" si="17"/>
        <v>0</v>
      </c>
      <c r="F252" s="87">
        <v>0</v>
      </c>
      <c r="G252" s="47">
        <f t="shared" si="19"/>
        <v>0</v>
      </c>
      <c r="H252" s="88"/>
      <c r="I252" s="20"/>
      <c r="J252" s="82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1"/>
      <c r="C253" s="79">
        <f>+'23'!G253</f>
        <v>0</v>
      </c>
      <c r="D253" s="87">
        <v>0</v>
      </c>
      <c r="E253" s="47">
        <f t="shared" ref="E253:E254" si="21">C253+D253</f>
        <v>0</v>
      </c>
      <c r="F253" s="87">
        <v>0</v>
      </c>
      <c r="G253" s="47">
        <f t="shared" si="19"/>
        <v>0</v>
      </c>
      <c r="H253" s="88"/>
      <c r="I253" s="20"/>
      <c r="J253" s="82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1"/>
      <c r="C254" s="79">
        <f>+'23'!G254</f>
        <v>0</v>
      </c>
      <c r="D254" s="87">
        <v>0</v>
      </c>
      <c r="E254" s="47">
        <f t="shared" si="21"/>
        <v>0</v>
      </c>
      <c r="F254" s="87">
        <v>0</v>
      </c>
      <c r="G254" s="47">
        <f t="shared" si="19"/>
        <v>0</v>
      </c>
      <c r="H254" s="88"/>
      <c r="I254" s="20"/>
      <c r="J254" s="82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1425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3" t="s">
        <v>213</v>
      </c>
      <c r="N255" s="143"/>
    </row>
    <row r="256" spans="1:14" ht="25.5" customHeight="1" x14ac:dyDescent="0.5">
      <c r="A256" s="1"/>
      <c r="E256" s="24"/>
      <c r="F256" s="25"/>
      <c r="G256" s="24"/>
      <c r="H256" s="148" t="s">
        <v>212</v>
      </c>
      <c r="I256" s="149"/>
      <c r="J256" s="30">
        <f>+X138</f>
        <v>0</v>
      </c>
      <c r="K256" s="27"/>
      <c r="L256" s="29"/>
    </row>
    <row r="257" spans="1:12" ht="25.5" x14ac:dyDescent="0.55000000000000004">
      <c r="A257" s="1"/>
      <c r="E257" s="31"/>
      <c r="G257" s="31"/>
      <c r="H257" s="32"/>
      <c r="I257" s="150" t="s">
        <v>202</v>
      </c>
      <c r="J257" s="150"/>
      <c r="K257" s="33">
        <f>SUM(J5:J256)</f>
        <v>1750</v>
      </c>
    </row>
    <row r="258" spans="1:12" ht="25.5" x14ac:dyDescent="0.55000000000000004">
      <c r="A258" s="1"/>
      <c r="E258" s="31"/>
      <c r="G258" s="31"/>
      <c r="I258" s="140" t="s">
        <v>203</v>
      </c>
      <c r="J258" s="141"/>
      <c r="K258" s="36">
        <v>15</v>
      </c>
    </row>
    <row r="259" spans="1:12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130</v>
      </c>
      <c r="L259" s="2">
        <v>130</v>
      </c>
    </row>
    <row r="260" spans="1:12" ht="25.5" x14ac:dyDescent="0.55000000000000004">
      <c r="A260" s="1"/>
      <c r="E260" s="31"/>
      <c r="G260" s="31"/>
      <c r="I260" s="140" t="s">
        <v>205</v>
      </c>
      <c r="J260" s="141"/>
      <c r="K260" s="36">
        <v>0</v>
      </c>
    </row>
    <row r="261" spans="1:12" ht="25.5" x14ac:dyDescent="0.55000000000000004">
      <c r="A261" s="1"/>
      <c r="E261" s="31"/>
      <c r="G261" s="31"/>
      <c r="I261" s="140" t="s">
        <v>206</v>
      </c>
      <c r="J261" s="141"/>
      <c r="K261" s="36">
        <v>0</v>
      </c>
    </row>
    <row r="262" spans="1:12" ht="25.5" x14ac:dyDescent="0.55000000000000004">
      <c r="A262" s="1"/>
      <c r="E262" s="31"/>
      <c r="G262" s="31"/>
      <c r="I262" s="140" t="s">
        <v>207</v>
      </c>
      <c r="J262" s="141"/>
      <c r="K262" s="37">
        <f>SUM(L5:L255)</f>
        <v>325</v>
      </c>
    </row>
    <row r="263" spans="1:12" ht="25.5" x14ac:dyDescent="0.55000000000000004">
      <c r="A263" s="1"/>
      <c r="E263" s="31"/>
      <c r="G263" s="31"/>
      <c r="I263" s="140" t="s">
        <v>208</v>
      </c>
      <c r="J263" s="141"/>
      <c r="K263" s="33">
        <f>K257-K258-K259-K261-K262</f>
        <v>1280</v>
      </c>
    </row>
    <row r="264" spans="1:12" ht="25.5" x14ac:dyDescent="0.55000000000000004">
      <c r="A264" s="1"/>
      <c r="E264" s="31"/>
      <c r="G264" s="31"/>
      <c r="I264" s="140" t="s">
        <v>209</v>
      </c>
      <c r="J264" s="141"/>
      <c r="K264" s="37">
        <v>1280</v>
      </c>
    </row>
    <row r="265" spans="1:12" ht="25.5" x14ac:dyDescent="0.55000000000000004">
      <c r="A265" s="1"/>
      <c r="E265" s="31"/>
      <c r="G265" s="31"/>
      <c r="I265" s="140" t="s">
        <v>210</v>
      </c>
      <c r="J265" s="141"/>
      <c r="K265" s="33">
        <f>+K264-K263</f>
        <v>0</v>
      </c>
    </row>
    <row r="266" spans="1:12" ht="25.5" x14ac:dyDescent="0.55000000000000004">
      <c r="G266" s="2"/>
      <c r="I266" s="140" t="s">
        <v>211</v>
      </c>
      <c r="J266" s="141"/>
      <c r="K266" s="33">
        <f>+K264-K263</f>
        <v>0</v>
      </c>
    </row>
    <row r="267" spans="1:12" x14ac:dyDescent="0.5">
      <c r="G267" s="2"/>
      <c r="I267" s="2"/>
    </row>
    <row r="268" spans="1:12" ht="25.5" x14ac:dyDescent="0.55000000000000004">
      <c r="G268" s="2"/>
      <c r="I268" s="105" t="s">
        <v>312</v>
      </c>
    </row>
    <row r="269" spans="1:12" x14ac:dyDescent="0.5">
      <c r="G269" s="2"/>
      <c r="I269" s="2"/>
    </row>
    <row r="270" spans="1:12" x14ac:dyDescent="0.5">
      <c r="G270" s="2"/>
      <c r="I270" s="2"/>
    </row>
    <row r="271" spans="1:12" x14ac:dyDescent="0.5">
      <c r="G271" s="2"/>
      <c r="I271" s="2"/>
    </row>
    <row r="272" spans="1:12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DF788-9F21-4170-A4B1-05962F024DFD}">
  <sheetPr>
    <tabColor theme="7" tint="-0.249977111117893"/>
  </sheetPr>
  <dimension ref="A1:AB341"/>
  <sheetViews>
    <sheetView zoomScaleNormal="100" workbookViewId="0">
      <pane xSplit="7" ySplit="4" topLeftCell="H5" activePane="bottomRight" state="frozen"/>
      <selection activeCell="B20" sqref="B20"/>
      <selection pane="topRight" activeCell="B20" sqref="B20"/>
      <selection pane="bottomLeft" activeCell="B20" sqref="B20"/>
      <selection pane="bottomRight" activeCell="B20" sqref="B20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8" x14ac:dyDescent="0.5">
      <c r="A1" s="1"/>
      <c r="G1" s="2"/>
      <c r="I1" s="2"/>
    </row>
    <row r="2" spans="1:28" s="3" customFormat="1" ht="29.25" x14ac:dyDescent="0.6">
      <c r="A2" s="137" t="s">
        <v>247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8" s="5" customFormat="1" ht="26.25" x14ac:dyDescent="0.55000000000000004">
      <c r="A3" s="139" t="s">
        <v>1</v>
      </c>
      <c r="B3" s="151" t="s">
        <v>2</v>
      </c>
      <c r="C3" s="139" t="s">
        <v>3</v>
      </c>
      <c r="D3" s="139" t="s">
        <v>4</v>
      </c>
      <c r="E3" s="139" t="s">
        <v>5</v>
      </c>
      <c r="F3" s="85" t="s">
        <v>6</v>
      </c>
      <c r="G3" s="139" t="s">
        <v>7</v>
      </c>
      <c r="H3" s="142" t="s">
        <v>8</v>
      </c>
      <c r="I3" s="142"/>
      <c r="J3" s="142"/>
      <c r="K3" s="139" t="s">
        <v>9</v>
      </c>
      <c r="L3" s="144" t="s">
        <v>10</v>
      </c>
      <c r="O3" s="139" t="s">
        <v>1</v>
      </c>
      <c r="P3" s="139" t="s">
        <v>2</v>
      </c>
      <c r="Q3" s="139" t="s">
        <v>3</v>
      </c>
      <c r="R3" s="139" t="s">
        <v>4</v>
      </c>
      <c r="S3" s="139" t="s">
        <v>5</v>
      </c>
      <c r="T3" s="85" t="s">
        <v>6</v>
      </c>
      <c r="U3" s="139" t="s">
        <v>7</v>
      </c>
      <c r="V3" s="142" t="s">
        <v>8</v>
      </c>
      <c r="W3" s="142"/>
      <c r="X3" s="142"/>
      <c r="Y3" s="139" t="s">
        <v>9</v>
      </c>
      <c r="Z3" s="144" t="s">
        <v>10</v>
      </c>
    </row>
    <row r="4" spans="1:28" s="5" customFormat="1" ht="26.25" x14ac:dyDescent="0.55000000000000004">
      <c r="A4" s="139"/>
      <c r="B4" s="151"/>
      <c r="C4" s="139"/>
      <c r="D4" s="139"/>
      <c r="E4" s="139"/>
      <c r="F4" s="85" t="s">
        <v>11</v>
      </c>
      <c r="G4" s="139"/>
      <c r="H4" s="85" t="s">
        <v>12</v>
      </c>
      <c r="I4" s="86" t="s">
        <v>13</v>
      </c>
      <c r="J4" s="85" t="s">
        <v>14</v>
      </c>
      <c r="K4" s="139"/>
      <c r="L4" s="144"/>
      <c r="O4" s="139"/>
      <c r="P4" s="139"/>
      <c r="Q4" s="139"/>
      <c r="R4" s="139"/>
      <c r="S4" s="139"/>
      <c r="T4" s="85" t="s">
        <v>11</v>
      </c>
      <c r="U4" s="139"/>
      <c r="V4" s="85" t="s">
        <v>12</v>
      </c>
      <c r="W4" s="86" t="s">
        <v>13</v>
      </c>
      <c r="X4" s="85" t="s">
        <v>14</v>
      </c>
      <c r="Y4" s="139"/>
      <c r="Z4" s="144"/>
      <c r="AB4" s="5" t="s">
        <v>2</v>
      </c>
    </row>
    <row r="5" spans="1:28" ht="25.5" x14ac:dyDescent="0.55000000000000004">
      <c r="A5" s="10">
        <v>1</v>
      </c>
      <c r="B5" s="19" t="s">
        <v>15</v>
      </c>
      <c r="C5" s="79">
        <f>+'24'!G5</f>
        <v>18</v>
      </c>
      <c r="D5" s="87">
        <v>0</v>
      </c>
      <c r="E5" s="47">
        <f t="shared" ref="E5:E125" si="0">C5+D5</f>
        <v>18</v>
      </c>
      <c r="F5" s="87">
        <v>0</v>
      </c>
      <c r="G5" s="47">
        <f>+E5-F5-H5</f>
        <v>11</v>
      </c>
      <c r="H5" s="88">
        <v>7</v>
      </c>
      <c r="I5" s="20">
        <v>50</v>
      </c>
      <c r="J5" s="82">
        <f>+I5*H5</f>
        <v>350</v>
      </c>
      <c r="K5" s="17" t="s">
        <v>16</v>
      </c>
      <c r="L5" s="18">
        <v>50</v>
      </c>
      <c r="M5" s="23">
        <f>SUM(J5-L5)</f>
        <v>300</v>
      </c>
      <c r="O5" s="10">
        <v>1</v>
      </c>
      <c r="P5" s="19"/>
      <c r="Q5" s="47">
        <v>0</v>
      </c>
      <c r="R5" s="87">
        <v>0</v>
      </c>
      <c r="S5" s="47">
        <f t="shared" ref="S5:S14" si="1">Q5+R5</f>
        <v>0</v>
      </c>
      <c r="T5" s="87">
        <v>0</v>
      </c>
      <c r="U5" s="47">
        <f t="shared" ref="U5:U14" si="2">S5-T5-V5</f>
        <v>0</v>
      </c>
      <c r="V5" s="88">
        <v>0</v>
      </c>
      <c r="W5" s="22"/>
      <c r="X5" s="44">
        <f t="shared" ref="X5:X14" si="3">V5*W5</f>
        <v>0</v>
      </c>
      <c r="Y5" s="17" t="s">
        <v>16</v>
      </c>
      <c r="Z5" s="18">
        <v>0</v>
      </c>
      <c r="AB5" s="2" t="s">
        <v>317</v>
      </c>
    </row>
    <row r="6" spans="1:28" ht="25.5" x14ac:dyDescent="0.55000000000000004">
      <c r="A6" s="10">
        <v>2</v>
      </c>
      <c r="B6" s="19" t="s">
        <v>17</v>
      </c>
      <c r="C6" s="79">
        <f>+'24'!G6</f>
        <v>16</v>
      </c>
      <c r="D6" s="87">
        <v>0</v>
      </c>
      <c r="E6" s="47">
        <f t="shared" si="0"/>
        <v>16</v>
      </c>
      <c r="F6" s="87">
        <v>0</v>
      </c>
      <c r="G6" s="47">
        <f t="shared" ref="G6:G100" si="4">+E6-F6-H6</f>
        <v>11</v>
      </c>
      <c r="H6" s="88">
        <v>5</v>
      </c>
      <c r="I6" s="20">
        <v>100</v>
      </c>
      <c r="J6" s="82">
        <f t="shared" ref="J6:J100" si="5">+I6*H6</f>
        <v>500</v>
      </c>
      <c r="K6" s="17" t="s">
        <v>16</v>
      </c>
      <c r="L6" s="18">
        <v>100</v>
      </c>
      <c r="M6" s="23">
        <f t="shared" ref="M6:M69" si="6">SUM(J6-L6)</f>
        <v>400</v>
      </c>
      <c r="O6" s="10">
        <v>2</v>
      </c>
      <c r="P6" s="19"/>
      <c r="Q6" s="47">
        <v>0</v>
      </c>
      <c r="R6" s="87">
        <v>0</v>
      </c>
      <c r="S6" s="47">
        <f t="shared" si="1"/>
        <v>0</v>
      </c>
      <c r="T6" s="87">
        <v>0</v>
      </c>
      <c r="U6" s="47">
        <f t="shared" si="2"/>
        <v>0</v>
      </c>
      <c r="V6" s="88">
        <v>0</v>
      </c>
      <c r="W6" s="22"/>
      <c r="X6" s="44">
        <f t="shared" si="3"/>
        <v>0</v>
      </c>
      <c r="Y6" s="17" t="s">
        <v>16</v>
      </c>
      <c r="Z6" s="18">
        <v>0</v>
      </c>
      <c r="AB6" s="2" t="s">
        <v>318</v>
      </c>
    </row>
    <row r="7" spans="1:28" ht="25.5" x14ac:dyDescent="0.55000000000000004">
      <c r="A7" s="10">
        <v>3</v>
      </c>
      <c r="B7" s="19" t="s">
        <v>18</v>
      </c>
      <c r="C7" s="79">
        <f>+'24'!G7</f>
        <v>0</v>
      </c>
      <c r="D7" s="87">
        <v>0</v>
      </c>
      <c r="E7" s="47">
        <f>C7+D7</f>
        <v>0</v>
      </c>
      <c r="F7" s="87">
        <v>0</v>
      </c>
      <c r="G7" s="47">
        <f t="shared" si="4"/>
        <v>0</v>
      </c>
      <c r="H7" s="88"/>
      <c r="I7" s="15">
        <v>50</v>
      </c>
      <c r="J7" s="8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7">
        <v>0</v>
      </c>
      <c r="S7" s="47">
        <f t="shared" si="1"/>
        <v>0</v>
      </c>
      <c r="T7" s="87">
        <v>0</v>
      </c>
      <c r="U7" s="47">
        <f t="shared" si="2"/>
        <v>0</v>
      </c>
      <c r="V7" s="88">
        <v>0</v>
      </c>
      <c r="W7" s="22"/>
      <c r="X7" s="44">
        <f t="shared" si="3"/>
        <v>0</v>
      </c>
      <c r="Y7" s="17" t="s">
        <v>16</v>
      </c>
      <c r="Z7" s="18">
        <v>0</v>
      </c>
      <c r="AB7" s="2" t="s">
        <v>319</v>
      </c>
    </row>
    <row r="8" spans="1:28" ht="25.5" x14ac:dyDescent="0.55000000000000004">
      <c r="A8" s="10">
        <v>4</v>
      </c>
      <c r="B8" s="19" t="s">
        <v>19</v>
      </c>
      <c r="C8" s="79">
        <f>+'24'!G8</f>
        <v>0</v>
      </c>
      <c r="D8" s="87">
        <v>0</v>
      </c>
      <c r="E8" s="47">
        <f>C8+D8</f>
        <v>0</v>
      </c>
      <c r="F8" s="87">
        <v>0</v>
      </c>
      <c r="G8" s="47">
        <f t="shared" si="4"/>
        <v>0</v>
      </c>
      <c r="H8" s="88"/>
      <c r="I8" s="15">
        <v>100</v>
      </c>
      <c r="J8" s="8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7">
        <v>0</v>
      </c>
      <c r="S8" s="47">
        <f t="shared" si="1"/>
        <v>0</v>
      </c>
      <c r="T8" s="87">
        <v>0</v>
      </c>
      <c r="U8" s="47">
        <f t="shared" si="2"/>
        <v>0</v>
      </c>
      <c r="V8" s="88">
        <v>0</v>
      </c>
      <c r="W8" s="22"/>
      <c r="X8" s="44">
        <f t="shared" si="3"/>
        <v>0</v>
      </c>
      <c r="Y8" s="17" t="s">
        <v>16</v>
      </c>
      <c r="Z8" s="18">
        <v>0</v>
      </c>
      <c r="AB8" s="2" t="s">
        <v>320</v>
      </c>
    </row>
    <row r="9" spans="1:28" ht="25.5" x14ac:dyDescent="0.55000000000000004">
      <c r="A9" s="10">
        <v>5</v>
      </c>
      <c r="B9" s="19" t="s">
        <v>20</v>
      </c>
      <c r="C9" s="79">
        <f>+'24'!G9</f>
        <v>0</v>
      </c>
      <c r="D9" s="87">
        <v>0</v>
      </c>
      <c r="E9" s="47">
        <f>C9+D9</f>
        <v>0</v>
      </c>
      <c r="F9" s="87">
        <v>0</v>
      </c>
      <c r="G9" s="47">
        <f t="shared" si="4"/>
        <v>0</v>
      </c>
      <c r="H9" s="88"/>
      <c r="I9" s="15">
        <v>12</v>
      </c>
      <c r="J9" s="8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7">
        <v>0</v>
      </c>
      <c r="S9" s="47">
        <f t="shared" si="1"/>
        <v>0</v>
      </c>
      <c r="T9" s="87">
        <v>0</v>
      </c>
      <c r="U9" s="47">
        <f t="shared" si="2"/>
        <v>0</v>
      </c>
      <c r="V9" s="88">
        <v>0</v>
      </c>
      <c r="W9" s="22"/>
      <c r="X9" s="44">
        <f t="shared" si="3"/>
        <v>0</v>
      </c>
      <c r="Y9" s="17" t="s">
        <v>16</v>
      </c>
      <c r="Z9" s="18">
        <v>0</v>
      </c>
      <c r="AB9" s="2" t="s">
        <v>307</v>
      </c>
    </row>
    <row r="10" spans="1:28" ht="25.5" x14ac:dyDescent="0.55000000000000004">
      <c r="A10" s="10">
        <v>6</v>
      </c>
      <c r="B10" s="19" t="s">
        <v>21</v>
      </c>
      <c r="C10" s="79">
        <f>+'24'!G10</f>
        <v>0</v>
      </c>
      <c r="D10" s="87">
        <v>0</v>
      </c>
      <c r="E10" s="47">
        <f>C10+D10</f>
        <v>0</v>
      </c>
      <c r="F10" s="87">
        <v>0</v>
      </c>
      <c r="G10" s="47">
        <f t="shared" si="4"/>
        <v>0</v>
      </c>
      <c r="H10" s="88"/>
      <c r="I10" s="15">
        <v>15</v>
      </c>
      <c r="J10" s="8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7">
        <v>0</v>
      </c>
      <c r="S10" s="47">
        <f t="shared" si="1"/>
        <v>0</v>
      </c>
      <c r="T10" s="87">
        <v>0</v>
      </c>
      <c r="U10" s="47">
        <f t="shared" si="2"/>
        <v>0</v>
      </c>
      <c r="V10" s="88">
        <v>0</v>
      </c>
      <c r="W10" s="22"/>
      <c r="X10" s="44">
        <f t="shared" si="3"/>
        <v>0</v>
      </c>
      <c r="Y10" s="17" t="s">
        <v>16</v>
      </c>
      <c r="Z10" s="18">
        <v>0</v>
      </c>
      <c r="AB10" s="2" t="s">
        <v>311</v>
      </c>
    </row>
    <row r="11" spans="1:28" ht="25.5" x14ac:dyDescent="0.55000000000000004">
      <c r="A11" s="10">
        <v>7</v>
      </c>
      <c r="B11" s="19" t="s">
        <v>22</v>
      </c>
      <c r="C11" s="79">
        <f>+'24'!G11</f>
        <v>0</v>
      </c>
      <c r="D11" s="87">
        <v>0</v>
      </c>
      <c r="E11" s="47">
        <f t="shared" si="0"/>
        <v>0</v>
      </c>
      <c r="F11" s="87">
        <v>0</v>
      </c>
      <c r="G11" s="47">
        <f t="shared" si="4"/>
        <v>0</v>
      </c>
      <c r="H11" s="88"/>
      <c r="I11" s="15">
        <v>40</v>
      </c>
      <c r="J11" s="8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7">
        <v>0</v>
      </c>
      <c r="S11" s="47">
        <f t="shared" si="1"/>
        <v>0</v>
      </c>
      <c r="T11" s="87">
        <v>0</v>
      </c>
      <c r="U11" s="47">
        <f t="shared" si="2"/>
        <v>0</v>
      </c>
      <c r="V11" s="88">
        <v>0</v>
      </c>
      <c r="W11" s="22"/>
      <c r="X11" s="44">
        <f t="shared" si="3"/>
        <v>0</v>
      </c>
      <c r="Y11" s="17" t="s">
        <v>16</v>
      </c>
      <c r="Z11" s="18">
        <v>0</v>
      </c>
      <c r="AB11" s="2" t="s">
        <v>321</v>
      </c>
    </row>
    <row r="12" spans="1:28" ht="25.5" x14ac:dyDescent="0.55000000000000004">
      <c r="A12" s="10">
        <v>8</v>
      </c>
      <c r="B12" s="19" t="s">
        <v>23</v>
      </c>
      <c r="C12" s="79">
        <f>+'24'!G12</f>
        <v>7</v>
      </c>
      <c r="D12" s="87">
        <v>0</v>
      </c>
      <c r="E12" s="47">
        <f t="shared" si="0"/>
        <v>7</v>
      </c>
      <c r="F12" s="87">
        <v>0</v>
      </c>
      <c r="G12" s="47">
        <f t="shared" si="4"/>
        <v>6</v>
      </c>
      <c r="H12" s="88">
        <v>1</v>
      </c>
      <c r="I12" s="15">
        <v>50</v>
      </c>
      <c r="J12" s="82">
        <f t="shared" si="5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9"/>
      <c r="Q12" s="47">
        <v>0</v>
      </c>
      <c r="R12" s="87">
        <v>0</v>
      </c>
      <c r="S12" s="47">
        <f t="shared" si="1"/>
        <v>0</v>
      </c>
      <c r="T12" s="87">
        <v>0</v>
      </c>
      <c r="U12" s="47">
        <f t="shared" si="2"/>
        <v>0</v>
      </c>
      <c r="V12" s="88">
        <v>0</v>
      </c>
      <c r="W12" s="22"/>
      <c r="X12" s="44">
        <f t="shared" si="3"/>
        <v>0</v>
      </c>
      <c r="Y12" s="17" t="s">
        <v>16</v>
      </c>
      <c r="Z12" s="18">
        <v>0</v>
      </c>
      <c r="AB12" s="2" t="s">
        <v>289</v>
      </c>
    </row>
    <row r="13" spans="1:28" ht="25.5" x14ac:dyDescent="0.55000000000000004">
      <c r="A13" s="10">
        <v>9</v>
      </c>
      <c r="B13" s="19" t="s">
        <v>24</v>
      </c>
      <c r="C13" s="79">
        <f>+'24'!G13</f>
        <v>0</v>
      </c>
      <c r="D13" s="87">
        <v>0</v>
      </c>
      <c r="E13" s="47">
        <f>C13+D13</f>
        <v>0</v>
      </c>
      <c r="F13" s="87">
        <v>0</v>
      </c>
      <c r="G13" s="47">
        <f t="shared" si="4"/>
        <v>0</v>
      </c>
      <c r="H13" s="88"/>
      <c r="I13" s="15">
        <v>55</v>
      </c>
      <c r="J13" s="8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7">
        <v>0</v>
      </c>
      <c r="S13" s="47">
        <f t="shared" si="1"/>
        <v>0</v>
      </c>
      <c r="T13" s="87">
        <v>0</v>
      </c>
      <c r="U13" s="47">
        <f t="shared" si="2"/>
        <v>0</v>
      </c>
      <c r="V13" s="88">
        <v>0</v>
      </c>
      <c r="W13" s="22"/>
      <c r="X13" s="44">
        <f t="shared" si="3"/>
        <v>0</v>
      </c>
      <c r="Y13" s="17" t="s">
        <v>16</v>
      </c>
      <c r="Z13" s="18">
        <v>0</v>
      </c>
      <c r="AB13" s="2" t="s">
        <v>322</v>
      </c>
    </row>
    <row r="14" spans="1:28" ht="25.5" x14ac:dyDescent="0.55000000000000004">
      <c r="A14" s="10">
        <v>10</v>
      </c>
      <c r="B14" s="19" t="s">
        <v>25</v>
      </c>
      <c r="C14" s="79">
        <f>+'24'!G14</f>
        <v>2</v>
      </c>
      <c r="D14" s="87">
        <v>0</v>
      </c>
      <c r="E14" s="47">
        <f t="shared" si="0"/>
        <v>2</v>
      </c>
      <c r="F14" s="87">
        <v>0</v>
      </c>
      <c r="G14" s="47">
        <f t="shared" si="4"/>
        <v>0</v>
      </c>
      <c r="H14" s="88">
        <v>2</v>
      </c>
      <c r="I14" s="15">
        <v>65</v>
      </c>
      <c r="J14" s="82">
        <f t="shared" si="5"/>
        <v>130</v>
      </c>
      <c r="K14" s="17" t="s">
        <v>16</v>
      </c>
      <c r="L14" s="18">
        <v>0</v>
      </c>
      <c r="M14" s="23">
        <f t="shared" si="6"/>
        <v>130</v>
      </c>
      <c r="O14" s="10">
        <v>10</v>
      </c>
      <c r="P14" s="19"/>
      <c r="Q14" s="47">
        <v>0</v>
      </c>
      <c r="R14" s="87">
        <v>0</v>
      </c>
      <c r="S14" s="47">
        <f t="shared" si="1"/>
        <v>0</v>
      </c>
      <c r="T14" s="87">
        <v>0</v>
      </c>
      <c r="U14" s="47">
        <f t="shared" si="2"/>
        <v>0</v>
      </c>
      <c r="V14" s="88">
        <v>0</v>
      </c>
      <c r="W14" s="22"/>
      <c r="X14" s="44">
        <f t="shared" si="3"/>
        <v>0</v>
      </c>
      <c r="Y14" s="17" t="s">
        <v>16</v>
      </c>
      <c r="Z14" s="18">
        <v>0</v>
      </c>
      <c r="AB14" s="2" t="s">
        <v>306</v>
      </c>
    </row>
    <row r="15" spans="1:28" ht="25.5" x14ac:dyDescent="0.55000000000000004">
      <c r="A15" s="10">
        <v>11</v>
      </c>
      <c r="B15" s="19" t="s">
        <v>26</v>
      </c>
      <c r="C15" s="79">
        <f>+'24'!G15</f>
        <v>0</v>
      </c>
      <c r="D15" s="87">
        <v>0</v>
      </c>
      <c r="E15" s="47">
        <f t="shared" si="0"/>
        <v>0</v>
      </c>
      <c r="F15" s="87">
        <v>0</v>
      </c>
      <c r="G15" s="47">
        <f t="shared" si="4"/>
        <v>0</v>
      </c>
      <c r="H15" s="88"/>
      <c r="I15" s="15">
        <v>50</v>
      </c>
      <c r="J15" s="8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7">
        <v>0</v>
      </c>
      <c r="S15" s="47">
        <f t="shared" ref="S15:S29" si="7">Q15+R15</f>
        <v>0</v>
      </c>
      <c r="T15" s="87">
        <v>0</v>
      </c>
      <c r="U15" s="47">
        <f t="shared" ref="U15:U29" si="8">S15-T15-V15</f>
        <v>0</v>
      </c>
      <c r="V15" s="88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8" ht="25.5" x14ac:dyDescent="0.55000000000000004">
      <c r="A16" s="10">
        <v>12</v>
      </c>
      <c r="B16" s="19" t="s">
        <v>27</v>
      </c>
      <c r="C16" s="79">
        <f>+'24'!G16</f>
        <v>0</v>
      </c>
      <c r="D16" s="87">
        <v>0</v>
      </c>
      <c r="E16" s="47">
        <f t="shared" si="0"/>
        <v>0</v>
      </c>
      <c r="F16" s="87">
        <v>0</v>
      </c>
      <c r="G16" s="47">
        <f t="shared" si="4"/>
        <v>0</v>
      </c>
      <c r="H16" s="88"/>
      <c r="I16" s="15">
        <v>50</v>
      </c>
      <c r="J16" s="8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7">
        <v>0</v>
      </c>
      <c r="S16" s="47">
        <f t="shared" si="7"/>
        <v>0</v>
      </c>
      <c r="T16" s="87">
        <v>0</v>
      </c>
      <c r="U16" s="47">
        <f t="shared" si="8"/>
        <v>0</v>
      </c>
      <c r="V16" s="88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+'24'!G17</f>
        <v>4</v>
      </c>
      <c r="D17" s="87">
        <v>0</v>
      </c>
      <c r="E17" s="47">
        <f t="shared" si="0"/>
        <v>4</v>
      </c>
      <c r="F17" s="87">
        <v>0</v>
      </c>
      <c r="G17" s="47">
        <f t="shared" si="4"/>
        <v>4</v>
      </c>
      <c r="H17" s="88"/>
      <c r="I17" s="15">
        <v>50</v>
      </c>
      <c r="J17" s="8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7">
        <v>0</v>
      </c>
      <c r="S17" s="47">
        <f t="shared" si="7"/>
        <v>0</v>
      </c>
      <c r="T17" s="87">
        <v>0</v>
      </c>
      <c r="U17" s="47">
        <f t="shared" si="8"/>
        <v>0</v>
      </c>
      <c r="V17" s="88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+'24'!G18</f>
        <v>0</v>
      </c>
      <c r="D18" s="87">
        <v>0</v>
      </c>
      <c r="E18" s="47">
        <f t="shared" si="0"/>
        <v>0</v>
      </c>
      <c r="F18" s="87">
        <v>0</v>
      </c>
      <c r="G18" s="47">
        <f t="shared" si="4"/>
        <v>0</v>
      </c>
      <c r="H18" s="88"/>
      <c r="I18" s="15">
        <v>50</v>
      </c>
      <c r="J18" s="8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7">
        <v>0</v>
      </c>
      <c r="S18" s="47">
        <f t="shared" si="7"/>
        <v>0</v>
      </c>
      <c r="T18" s="87">
        <v>0</v>
      </c>
      <c r="U18" s="47">
        <f t="shared" si="8"/>
        <v>0</v>
      </c>
      <c r="V18" s="88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329</v>
      </c>
      <c r="C19" s="79">
        <f>+'24'!G19</f>
        <v>1</v>
      </c>
      <c r="D19" s="87">
        <v>0</v>
      </c>
      <c r="E19" s="47">
        <f t="shared" si="0"/>
        <v>1</v>
      </c>
      <c r="F19" s="87">
        <v>0</v>
      </c>
      <c r="G19" s="47">
        <f t="shared" si="4"/>
        <v>1</v>
      </c>
      <c r="H19" s="88"/>
      <c r="I19" s="15">
        <v>50</v>
      </c>
      <c r="J19" s="8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7">
        <v>0</v>
      </c>
      <c r="S19" s="47">
        <f t="shared" si="7"/>
        <v>0</v>
      </c>
      <c r="T19" s="87">
        <v>0</v>
      </c>
      <c r="U19" s="47">
        <f t="shared" si="8"/>
        <v>0</v>
      </c>
      <c r="V19" s="88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+'24'!G20</f>
        <v>0</v>
      </c>
      <c r="D20" s="87">
        <v>0</v>
      </c>
      <c r="E20" s="47">
        <f t="shared" si="0"/>
        <v>0</v>
      </c>
      <c r="F20" s="87">
        <v>0</v>
      </c>
      <c r="G20" s="47">
        <f t="shared" si="4"/>
        <v>0</v>
      </c>
      <c r="H20" s="88"/>
      <c r="I20" s="15">
        <v>50</v>
      </c>
      <c r="J20" s="8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7">
        <v>0</v>
      </c>
      <c r="S20" s="47">
        <f t="shared" si="7"/>
        <v>0</v>
      </c>
      <c r="T20" s="87">
        <v>0</v>
      </c>
      <c r="U20" s="47">
        <f t="shared" si="8"/>
        <v>0</v>
      </c>
      <c r="V20" s="88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+'24'!G21</f>
        <v>0</v>
      </c>
      <c r="D21" s="87">
        <v>0</v>
      </c>
      <c r="E21" s="47">
        <f t="shared" si="0"/>
        <v>0</v>
      </c>
      <c r="F21" s="87">
        <v>0</v>
      </c>
      <c r="G21" s="47">
        <f t="shared" si="4"/>
        <v>0</v>
      </c>
      <c r="H21" s="88"/>
      <c r="I21" s="15">
        <v>50</v>
      </c>
      <c r="J21" s="8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7">
        <v>0</v>
      </c>
      <c r="S21" s="47">
        <f t="shared" si="7"/>
        <v>0</v>
      </c>
      <c r="T21" s="87">
        <v>0</v>
      </c>
      <c r="U21" s="47">
        <f t="shared" si="8"/>
        <v>0</v>
      </c>
      <c r="V21" s="88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+'24'!G22</f>
        <v>2</v>
      </c>
      <c r="D22" s="87">
        <v>0</v>
      </c>
      <c r="E22" s="47">
        <f t="shared" si="0"/>
        <v>2</v>
      </c>
      <c r="F22" s="87">
        <v>0</v>
      </c>
      <c r="G22" s="47">
        <f t="shared" si="4"/>
        <v>0</v>
      </c>
      <c r="H22" s="88">
        <v>2</v>
      </c>
      <c r="I22" s="15">
        <v>85</v>
      </c>
      <c r="J22" s="82">
        <f t="shared" si="5"/>
        <v>170</v>
      </c>
      <c r="K22" s="17" t="s">
        <v>16</v>
      </c>
      <c r="L22" s="18">
        <v>0</v>
      </c>
      <c r="M22" s="23">
        <f t="shared" si="6"/>
        <v>170</v>
      </c>
      <c r="O22" s="10">
        <v>18</v>
      </c>
      <c r="P22" s="19"/>
      <c r="Q22" s="47">
        <v>0</v>
      </c>
      <c r="R22" s="87">
        <v>0</v>
      </c>
      <c r="S22" s="47">
        <f t="shared" si="7"/>
        <v>0</v>
      </c>
      <c r="T22" s="87">
        <v>0</v>
      </c>
      <c r="U22" s="47">
        <f t="shared" si="8"/>
        <v>0</v>
      </c>
      <c r="V22" s="88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+'24'!G23</f>
        <v>7</v>
      </c>
      <c r="D23" s="87">
        <v>0</v>
      </c>
      <c r="E23" s="47">
        <f t="shared" si="0"/>
        <v>7</v>
      </c>
      <c r="F23" s="87">
        <v>0</v>
      </c>
      <c r="G23" s="47">
        <f t="shared" si="4"/>
        <v>5</v>
      </c>
      <c r="H23" s="88">
        <v>2</v>
      </c>
      <c r="I23" s="15">
        <v>100</v>
      </c>
      <c r="J23" s="82">
        <f t="shared" si="5"/>
        <v>200</v>
      </c>
      <c r="K23" s="17" t="s">
        <v>16</v>
      </c>
      <c r="L23" s="18">
        <v>0</v>
      </c>
      <c r="M23" s="23">
        <f t="shared" si="6"/>
        <v>200</v>
      </c>
      <c r="O23" s="10">
        <v>19</v>
      </c>
      <c r="P23" s="19"/>
      <c r="Q23" s="47">
        <v>0</v>
      </c>
      <c r="R23" s="87">
        <v>0</v>
      </c>
      <c r="S23" s="47">
        <f t="shared" si="7"/>
        <v>0</v>
      </c>
      <c r="T23" s="87">
        <v>0</v>
      </c>
      <c r="U23" s="47">
        <f t="shared" si="8"/>
        <v>0</v>
      </c>
      <c r="V23" s="88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+'24'!G24</f>
        <v>5</v>
      </c>
      <c r="D24" s="87">
        <v>0</v>
      </c>
      <c r="E24" s="47">
        <f t="shared" si="0"/>
        <v>5</v>
      </c>
      <c r="F24" s="87">
        <v>0</v>
      </c>
      <c r="G24" s="47">
        <f t="shared" si="4"/>
        <v>5</v>
      </c>
      <c r="H24" s="88"/>
      <c r="I24" s="21">
        <v>100</v>
      </c>
      <c r="J24" s="8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7">
        <v>0</v>
      </c>
      <c r="S24" s="47">
        <f t="shared" si="7"/>
        <v>0</v>
      </c>
      <c r="T24" s="87">
        <v>0</v>
      </c>
      <c r="U24" s="47">
        <f t="shared" si="8"/>
        <v>0</v>
      </c>
      <c r="V24" s="88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+'24'!G25</f>
        <v>2</v>
      </c>
      <c r="D25" s="87">
        <v>0</v>
      </c>
      <c r="E25" s="47">
        <f t="shared" si="0"/>
        <v>2</v>
      </c>
      <c r="F25" s="87">
        <v>0</v>
      </c>
      <c r="G25" s="47">
        <f t="shared" si="4"/>
        <v>2</v>
      </c>
      <c r="H25" s="88"/>
      <c r="I25" s="21">
        <v>100</v>
      </c>
      <c r="J25" s="8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7">
        <v>0</v>
      </c>
      <c r="S25" s="47">
        <f t="shared" si="7"/>
        <v>0</v>
      </c>
      <c r="T25" s="87">
        <v>0</v>
      </c>
      <c r="U25" s="47">
        <f t="shared" si="8"/>
        <v>0</v>
      </c>
      <c r="V25" s="88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+'24'!G26</f>
        <v>2</v>
      </c>
      <c r="D26" s="87">
        <v>0</v>
      </c>
      <c r="E26" s="47">
        <f t="shared" si="0"/>
        <v>2</v>
      </c>
      <c r="F26" s="87">
        <v>0</v>
      </c>
      <c r="G26" s="47">
        <f t="shared" si="4"/>
        <v>2</v>
      </c>
      <c r="H26" s="88"/>
      <c r="I26" s="21">
        <v>100</v>
      </c>
      <c r="J26" s="8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7">
        <v>0</v>
      </c>
      <c r="S26" s="47">
        <f t="shared" si="7"/>
        <v>0</v>
      </c>
      <c r="T26" s="87">
        <v>0</v>
      </c>
      <c r="U26" s="47">
        <f t="shared" si="8"/>
        <v>0</v>
      </c>
      <c r="V26" s="88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+'24'!G27</f>
        <v>0</v>
      </c>
      <c r="D27" s="87">
        <v>0</v>
      </c>
      <c r="E27" s="47">
        <f t="shared" si="0"/>
        <v>0</v>
      </c>
      <c r="F27" s="87">
        <v>0</v>
      </c>
      <c r="G27" s="47">
        <f t="shared" si="4"/>
        <v>0</v>
      </c>
      <c r="H27" s="88"/>
      <c r="I27" s="20">
        <v>100</v>
      </c>
      <c r="J27" s="8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7">
        <v>0</v>
      </c>
      <c r="S27" s="47">
        <f t="shared" si="7"/>
        <v>0</v>
      </c>
      <c r="T27" s="87">
        <v>0</v>
      </c>
      <c r="U27" s="47">
        <f t="shared" si="8"/>
        <v>0</v>
      </c>
      <c r="V27" s="88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+'24'!G28</f>
        <v>0</v>
      </c>
      <c r="D28" s="87">
        <v>0</v>
      </c>
      <c r="E28" s="47">
        <f t="shared" si="0"/>
        <v>0</v>
      </c>
      <c r="F28" s="87">
        <v>0</v>
      </c>
      <c r="G28" s="47">
        <f t="shared" si="4"/>
        <v>0</v>
      </c>
      <c r="H28" s="88"/>
      <c r="I28" s="20">
        <v>100</v>
      </c>
      <c r="J28" s="8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7">
        <v>0</v>
      </c>
      <c r="S28" s="47">
        <f t="shared" si="7"/>
        <v>0</v>
      </c>
      <c r="T28" s="87">
        <v>0</v>
      </c>
      <c r="U28" s="47">
        <f t="shared" si="8"/>
        <v>0</v>
      </c>
      <c r="V28" s="88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+'24'!G29</f>
        <v>5</v>
      </c>
      <c r="D29" s="87">
        <v>0</v>
      </c>
      <c r="E29" s="47">
        <f t="shared" si="0"/>
        <v>5</v>
      </c>
      <c r="F29" s="87">
        <v>0</v>
      </c>
      <c r="G29" s="47">
        <f t="shared" si="4"/>
        <v>5</v>
      </c>
      <c r="H29" s="88"/>
      <c r="I29" s="15">
        <v>100</v>
      </c>
      <c r="J29" s="8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7">
        <v>0</v>
      </c>
      <c r="S29" s="47">
        <f t="shared" si="7"/>
        <v>0</v>
      </c>
      <c r="T29" s="87">
        <v>0</v>
      </c>
      <c r="U29" s="47">
        <f t="shared" si="8"/>
        <v>0</v>
      </c>
      <c r="V29" s="88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+'24'!G30</f>
        <v>0</v>
      </c>
      <c r="D30" s="87">
        <v>0</v>
      </c>
      <c r="E30" s="47">
        <f t="shared" si="0"/>
        <v>0</v>
      </c>
      <c r="F30" s="87">
        <v>0</v>
      </c>
      <c r="G30" s="47">
        <f t="shared" si="4"/>
        <v>0</v>
      </c>
      <c r="H30" s="88"/>
      <c r="I30" s="15">
        <v>100</v>
      </c>
      <c r="J30" s="8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+'24'!G31</f>
        <v>2</v>
      </c>
      <c r="D31" s="87">
        <v>0</v>
      </c>
      <c r="E31" s="47">
        <f t="shared" si="0"/>
        <v>2</v>
      </c>
      <c r="F31" s="87">
        <v>0</v>
      </c>
      <c r="G31" s="47">
        <f t="shared" si="4"/>
        <v>2</v>
      </c>
      <c r="H31" s="88"/>
      <c r="I31" s="15">
        <v>100</v>
      </c>
      <c r="J31" s="82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+'24'!G32</f>
        <v>0</v>
      </c>
      <c r="D32" s="87">
        <v>0</v>
      </c>
      <c r="E32" s="47">
        <f t="shared" si="0"/>
        <v>0</v>
      </c>
      <c r="F32" s="87">
        <v>0</v>
      </c>
      <c r="G32" s="47">
        <f t="shared" si="4"/>
        <v>0</v>
      </c>
      <c r="H32" s="88"/>
      <c r="I32" s="15">
        <v>130</v>
      </c>
      <c r="J32" s="82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5" t="s">
        <v>119</v>
      </c>
      <c r="Q32" s="146"/>
      <c r="R32" s="146"/>
      <c r="S32" s="146"/>
      <c r="T32" s="146"/>
      <c r="U32" s="146"/>
      <c r="V32" s="146"/>
      <c r="W32" s="147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+'24'!G33</f>
        <v>1</v>
      </c>
      <c r="D33" s="87">
        <v>0</v>
      </c>
      <c r="E33" s="47">
        <f t="shared" si="0"/>
        <v>1</v>
      </c>
      <c r="F33" s="87">
        <v>0</v>
      </c>
      <c r="G33" s="47">
        <f t="shared" si="4"/>
        <v>1</v>
      </c>
      <c r="H33" s="88"/>
      <c r="I33" s="15">
        <v>130</v>
      </c>
      <c r="J33" s="82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+'24'!G34</f>
        <v>7</v>
      </c>
      <c r="D34" s="87">
        <v>0</v>
      </c>
      <c r="E34" s="47">
        <f t="shared" si="0"/>
        <v>7</v>
      </c>
      <c r="F34" s="87">
        <v>0</v>
      </c>
      <c r="G34" s="47">
        <f t="shared" si="4"/>
        <v>2</v>
      </c>
      <c r="H34" s="88">
        <v>5</v>
      </c>
      <c r="I34" s="15">
        <v>130</v>
      </c>
      <c r="J34" s="82">
        <f t="shared" si="5"/>
        <v>650</v>
      </c>
      <c r="K34" s="17" t="s">
        <v>16</v>
      </c>
      <c r="L34" s="18">
        <v>325</v>
      </c>
      <c r="M34" s="23">
        <f t="shared" si="6"/>
        <v>325</v>
      </c>
    </row>
    <row r="35" spans="1:13" ht="25.5" x14ac:dyDescent="0.55000000000000004">
      <c r="A35" s="10">
        <v>31</v>
      </c>
      <c r="B35" s="19" t="s">
        <v>46</v>
      </c>
      <c r="C35" s="79">
        <f>+'24'!G35</f>
        <v>0</v>
      </c>
      <c r="D35" s="87">
        <v>0</v>
      </c>
      <c r="E35" s="47">
        <f t="shared" si="0"/>
        <v>0</v>
      </c>
      <c r="F35" s="87">
        <v>0</v>
      </c>
      <c r="G35" s="47">
        <f t="shared" si="4"/>
        <v>0</v>
      </c>
      <c r="H35" s="88"/>
      <c r="I35" s="15">
        <v>130</v>
      </c>
      <c r="J35" s="82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+'24'!G36</f>
        <v>0</v>
      </c>
      <c r="D36" s="87">
        <v>0</v>
      </c>
      <c r="E36" s="47">
        <f t="shared" si="0"/>
        <v>0</v>
      </c>
      <c r="F36" s="87">
        <v>0</v>
      </c>
      <c r="G36" s="47">
        <f t="shared" si="4"/>
        <v>0</v>
      </c>
      <c r="H36" s="88"/>
      <c r="I36" s="15">
        <v>100</v>
      </c>
      <c r="J36" s="82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+'24'!G37</f>
        <v>10</v>
      </c>
      <c r="D37" s="87">
        <v>0</v>
      </c>
      <c r="E37" s="47">
        <f t="shared" si="0"/>
        <v>10</v>
      </c>
      <c r="F37" s="87">
        <v>0</v>
      </c>
      <c r="G37" s="47">
        <f t="shared" si="4"/>
        <v>6</v>
      </c>
      <c r="H37" s="88">
        <v>4</v>
      </c>
      <c r="I37" s="15">
        <v>100</v>
      </c>
      <c r="J37" s="82">
        <f t="shared" si="5"/>
        <v>400</v>
      </c>
      <c r="K37" s="17" t="s">
        <v>16</v>
      </c>
      <c r="L37" s="18">
        <v>0</v>
      </c>
      <c r="M37" s="23">
        <f t="shared" si="6"/>
        <v>400</v>
      </c>
    </row>
    <row r="38" spans="1:13" ht="25.5" x14ac:dyDescent="0.55000000000000004">
      <c r="A38" s="10">
        <v>34</v>
      </c>
      <c r="B38" s="19" t="s">
        <v>49</v>
      </c>
      <c r="C38" s="79">
        <f>+'24'!G38</f>
        <v>4</v>
      </c>
      <c r="D38" s="87">
        <v>0</v>
      </c>
      <c r="E38" s="47">
        <f t="shared" si="0"/>
        <v>4</v>
      </c>
      <c r="F38" s="87">
        <v>0</v>
      </c>
      <c r="G38" s="47">
        <f t="shared" si="4"/>
        <v>2</v>
      </c>
      <c r="H38" s="88">
        <v>2</v>
      </c>
      <c r="I38" s="15">
        <v>50</v>
      </c>
      <c r="J38" s="82">
        <f t="shared" si="5"/>
        <v>100</v>
      </c>
      <c r="K38" s="17" t="s">
        <v>16</v>
      </c>
      <c r="L38" s="18">
        <v>0</v>
      </c>
      <c r="M38" s="23">
        <f t="shared" si="6"/>
        <v>100</v>
      </c>
    </row>
    <row r="39" spans="1:13" ht="25.5" x14ac:dyDescent="0.55000000000000004">
      <c r="A39" s="10">
        <v>35</v>
      </c>
      <c r="B39" s="19" t="s">
        <v>50</v>
      </c>
      <c r="C39" s="79">
        <v>12</v>
      </c>
      <c r="D39" s="87">
        <v>0</v>
      </c>
      <c r="E39" s="47">
        <f t="shared" si="0"/>
        <v>12</v>
      </c>
      <c r="F39" s="87">
        <v>0</v>
      </c>
      <c r="G39" s="47">
        <f t="shared" si="4"/>
        <v>11</v>
      </c>
      <c r="H39" s="88">
        <v>1</v>
      </c>
      <c r="I39" s="15">
        <v>50</v>
      </c>
      <c r="J39" s="82">
        <f t="shared" si="5"/>
        <v>50</v>
      </c>
      <c r="K39" s="17" t="s">
        <v>16</v>
      </c>
      <c r="L39" s="18">
        <v>0</v>
      </c>
      <c r="M39" s="23">
        <f t="shared" si="6"/>
        <v>50</v>
      </c>
    </row>
    <row r="40" spans="1:13" ht="25.5" x14ac:dyDescent="0.55000000000000004">
      <c r="A40" s="10">
        <v>36</v>
      </c>
      <c r="B40" s="19" t="s">
        <v>51</v>
      </c>
      <c r="C40" s="79">
        <f>+'24'!G40</f>
        <v>7</v>
      </c>
      <c r="D40" s="87">
        <v>0</v>
      </c>
      <c r="E40" s="47">
        <f t="shared" si="0"/>
        <v>7</v>
      </c>
      <c r="F40" s="87">
        <v>0</v>
      </c>
      <c r="G40" s="47">
        <f t="shared" si="4"/>
        <v>7</v>
      </c>
      <c r="H40" s="88"/>
      <c r="I40" s="15">
        <v>50</v>
      </c>
      <c r="J40" s="82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+'24'!G41</f>
        <v>0</v>
      </c>
      <c r="D41" s="87">
        <v>0</v>
      </c>
      <c r="E41" s="47">
        <f t="shared" si="0"/>
        <v>0</v>
      </c>
      <c r="F41" s="87">
        <v>0</v>
      </c>
      <c r="G41" s="47">
        <f t="shared" si="4"/>
        <v>0</v>
      </c>
      <c r="H41" s="88"/>
      <c r="I41" s="15">
        <v>50</v>
      </c>
      <c r="J41" s="82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285</v>
      </c>
      <c r="C42" s="79">
        <f>+'24'!G42</f>
        <v>0</v>
      </c>
      <c r="D42" s="87">
        <v>0</v>
      </c>
      <c r="E42" s="47">
        <f t="shared" si="0"/>
        <v>0</v>
      </c>
      <c r="F42" s="87">
        <v>0</v>
      </c>
      <c r="G42" s="47">
        <f t="shared" si="4"/>
        <v>0</v>
      </c>
      <c r="H42" s="88"/>
      <c r="I42" s="15">
        <v>50</v>
      </c>
      <c r="J42" s="82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+'24'!G43</f>
        <v>0</v>
      </c>
      <c r="D43" s="87">
        <v>0</v>
      </c>
      <c r="E43" s="47">
        <f t="shared" si="0"/>
        <v>0</v>
      </c>
      <c r="F43" s="87">
        <v>0</v>
      </c>
      <c r="G43" s="47">
        <f t="shared" si="4"/>
        <v>0</v>
      </c>
      <c r="H43" s="88"/>
      <c r="I43" s="15">
        <v>50</v>
      </c>
      <c r="J43" s="82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+'24'!G44</f>
        <v>0</v>
      </c>
      <c r="D44" s="87">
        <v>0</v>
      </c>
      <c r="E44" s="47">
        <f t="shared" si="0"/>
        <v>0</v>
      </c>
      <c r="F44" s="87">
        <v>0</v>
      </c>
      <c r="G44" s="47">
        <f t="shared" si="4"/>
        <v>0</v>
      </c>
      <c r="H44" s="88"/>
      <c r="I44" s="15">
        <v>50</v>
      </c>
      <c r="J44" s="82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+'24'!G45</f>
        <v>0</v>
      </c>
      <c r="D45" s="87">
        <v>0</v>
      </c>
      <c r="E45" s="47">
        <f t="shared" si="0"/>
        <v>0</v>
      </c>
      <c r="F45" s="87">
        <v>0</v>
      </c>
      <c r="G45" s="47">
        <f t="shared" si="4"/>
        <v>0</v>
      </c>
      <c r="H45" s="88"/>
      <c r="I45" s="15">
        <v>50</v>
      </c>
      <c r="J45" s="82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286</v>
      </c>
      <c r="C46" s="79">
        <f>+'24'!G46</f>
        <v>0</v>
      </c>
      <c r="D46" s="87">
        <v>0</v>
      </c>
      <c r="E46" s="47">
        <f t="shared" si="0"/>
        <v>0</v>
      </c>
      <c r="F46" s="87">
        <v>0</v>
      </c>
      <c r="G46" s="47">
        <f t="shared" si="4"/>
        <v>0</v>
      </c>
      <c r="H46" s="88"/>
      <c r="I46" s="15">
        <v>50</v>
      </c>
      <c r="J46" s="82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+'24'!G47</f>
        <v>0</v>
      </c>
      <c r="D47" s="87">
        <v>0</v>
      </c>
      <c r="E47" s="47">
        <f t="shared" si="0"/>
        <v>0</v>
      </c>
      <c r="F47" s="87">
        <v>0</v>
      </c>
      <c r="G47" s="47">
        <f t="shared" si="4"/>
        <v>0</v>
      </c>
      <c r="H47" s="88"/>
      <c r="I47" s="15">
        <v>50</v>
      </c>
      <c r="J47" s="82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+'24'!G48</f>
        <v>0</v>
      </c>
      <c r="D48" s="87">
        <v>0</v>
      </c>
      <c r="E48" s="47">
        <f t="shared" si="0"/>
        <v>0</v>
      </c>
      <c r="F48" s="87">
        <v>0</v>
      </c>
      <c r="G48" s="47">
        <f t="shared" si="4"/>
        <v>0</v>
      </c>
      <c r="H48" s="88"/>
      <c r="I48" s="15">
        <v>50</v>
      </c>
      <c r="J48" s="82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+'24'!G49</f>
        <v>-1</v>
      </c>
      <c r="D49" s="87">
        <v>0</v>
      </c>
      <c r="E49" s="47">
        <f t="shared" si="0"/>
        <v>-1</v>
      </c>
      <c r="F49" s="87">
        <v>0</v>
      </c>
      <c r="G49" s="47">
        <f t="shared" si="4"/>
        <v>-1</v>
      </c>
      <c r="H49" s="88"/>
      <c r="I49" s="15">
        <v>50</v>
      </c>
      <c r="J49" s="82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+'24'!G50</f>
        <v>0</v>
      </c>
      <c r="D50" s="87">
        <v>0</v>
      </c>
      <c r="E50" s="47">
        <f t="shared" si="0"/>
        <v>0</v>
      </c>
      <c r="F50" s="87">
        <v>0</v>
      </c>
      <c r="G50" s="47">
        <f t="shared" si="4"/>
        <v>0</v>
      </c>
      <c r="H50" s="88"/>
      <c r="I50" s="15">
        <v>120</v>
      </c>
      <c r="J50" s="82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+'24'!G51</f>
        <v>0</v>
      </c>
      <c r="D51" s="87">
        <v>0</v>
      </c>
      <c r="E51" s="47">
        <f t="shared" si="0"/>
        <v>0</v>
      </c>
      <c r="F51" s="87">
        <v>0</v>
      </c>
      <c r="G51" s="47">
        <f t="shared" si="4"/>
        <v>0</v>
      </c>
      <c r="H51" s="88"/>
      <c r="I51" s="15">
        <v>120</v>
      </c>
      <c r="J51" s="82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+'24'!G52</f>
        <v>0</v>
      </c>
      <c r="D52" s="87">
        <v>0</v>
      </c>
      <c r="E52" s="47">
        <f t="shared" si="0"/>
        <v>0</v>
      </c>
      <c r="F52" s="87">
        <v>0</v>
      </c>
      <c r="G52" s="47">
        <f t="shared" si="4"/>
        <v>0</v>
      </c>
      <c r="H52" s="88"/>
      <c r="I52" s="21">
        <v>120</v>
      </c>
      <c r="J52" s="82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+'24'!G53</f>
        <v>0</v>
      </c>
      <c r="D53" s="87">
        <v>0</v>
      </c>
      <c r="E53" s="47">
        <f t="shared" si="0"/>
        <v>0</v>
      </c>
      <c r="F53" s="87">
        <v>0</v>
      </c>
      <c r="G53" s="47">
        <f t="shared" si="4"/>
        <v>0</v>
      </c>
      <c r="H53" s="88"/>
      <c r="I53" s="15">
        <v>120</v>
      </c>
      <c r="J53" s="82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+'24'!G54</f>
        <v>0</v>
      </c>
      <c r="D54" s="87">
        <v>0</v>
      </c>
      <c r="E54" s="47">
        <f t="shared" si="0"/>
        <v>0</v>
      </c>
      <c r="F54" s="87">
        <v>0</v>
      </c>
      <c r="G54" s="47">
        <f t="shared" si="4"/>
        <v>0</v>
      </c>
      <c r="H54" s="88"/>
      <c r="I54" s="15">
        <v>120</v>
      </c>
      <c r="J54" s="82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+'24'!G55</f>
        <v>1</v>
      </c>
      <c r="D55" s="87">
        <v>0</v>
      </c>
      <c r="E55" s="47">
        <f t="shared" si="0"/>
        <v>1</v>
      </c>
      <c r="F55" s="87">
        <v>0</v>
      </c>
      <c r="G55" s="47">
        <f t="shared" si="4"/>
        <v>1</v>
      </c>
      <c r="H55" s="88"/>
      <c r="I55" s="21">
        <v>120</v>
      </c>
      <c r="J55" s="82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+'24'!G56</f>
        <v>0</v>
      </c>
      <c r="D56" s="87">
        <v>0</v>
      </c>
      <c r="E56" s="47">
        <f t="shared" si="0"/>
        <v>0</v>
      </c>
      <c r="F56" s="87">
        <v>0</v>
      </c>
      <c r="G56" s="47">
        <f t="shared" si="4"/>
        <v>0</v>
      </c>
      <c r="H56" s="88"/>
      <c r="I56" s="21">
        <v>120</v>
      </c>
      <c r="J56" s="82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+'24'!G57</f>
        <v>0</v>
      </c>
      <c r="D57" s="87">
        <v>0</v>
      </c>
      <c r="E57" s="47">
        <f t="shared" si="0"/>
        <v>0</v>
      </c>
      <c r="F57" s="87">
        <v>0</v>
      </c>
      <c r="G57" s="47">
        <f t="shared" si="4"/>
        <v>0</v>
      </c>
      <c r="H57" s="88"/>
      <c r="I57" s="21">
        <v>120</v>
      </c>
      <c r="J57" s="82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+'24'!G58</f>
        <v>0</v>
      </c>
      <c r="D58" s="87">
        <v>0</v>
      </c>
      <c r="E58" s="47">
        <f t="shared" si="0"/>
        <v>0</v>
      </c>
      <c r="F58" s="87">
        <v>0</v>
      </c>
      <c r="G58" s="47">
        <f t="shared" si="4"/>
        <v>0</v>
      </c>
      <c r="H58" s="88"/>
      <c r="I58" s="21">
        <v>120</v>
      </c>
      <c r="J58" s="82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+'24'!G59</f>
        <v>0</v>
      </c>
      <c r="D59" s="87">
        <v>0</v>
      </c>
      <c r="E59" s="47">
        <f t="shared" si="0"/>
        <v>0</v>
      </c>
      <c r="F59" s="87">
        <v>0</v>
      </c>
      <c r="G59" s="47">
        <f t="shared" si="4"/>
        <v>0</v>
      </c>
      <c r="H59" s="88"/>
      <c r="I59" s="15">
        <v>70</v>
      </c>
      <c r="J59" s="82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+'24'!G60</f>
        <v>0</v>
      </c>
      <c r="D60" s="87">
        <v>0</v>
      </c>
      <c r="E60" s="47">
        <f t="shared" si="0"/>
        <v>0</v>
      </c>
      <c r="F60" s="87">
        <v>0</v>
      </c>
      <c r="G60" s="47">
        <f t="shared" si="4"/>
        <v>0</v>
      </c>
      <c r="H60" s="88"/>
      <c r="I60" s="21">
        <v>80</v>
      </c>
      <c r="J60" s="82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+'24'!G61</f>
        <v>0</v>
      </c>
      <c r="D61" s="87">
        <v>0</v>
      </c>
      <c r="E61" s="47">
        <f t="shared" si="0"/>
        <v>0</v>
      </c>
      <c r="F61" s="87">
        <v>0</v>
      </c>
      <c r="G61" s="47">
        <f t="shared" si="4"/>
        <v>0</v>
      </c>
      <c r="H61" s="88"/>
      <c r="I61" s="15">
        <v>50</v>
      </c>
      <c r="J61" s="82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+'24'!G62</f>
        <v>2</v>
      </c>
      <c r="D62" s="87">
        <v>0</v>
      </c>
      <c r="E62" s="47">
        <f t="shared" si="0"/>
        <v>2</v>
      </c>
      <c r="F62" s="87">
        <v>0</v>
      </c>
      <c r="G62" s="47">
        <f t="shared" si="4"/>
        <v>2</v>
      </c>
      <c r="H62" s="88"/>
      <c r="I62" s="20">
        <v>50</v>
      </c>
      <c r="J62" s="82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+'24'!G63</f>
        <v>0</v>
      </c>
      <c r="D63" s="87">
        <v>0</v>
      </c>
      <c r="E63" s="47">
        <f t="shared" si="0"/>
        <v>0</v>
      </c>
      <c r="F63" s="87">
        <v>0</v>
      </c>
      <c r="G63" s="47">
        <f t="shared" si="4"/>
        <v>0</v>
      </c>
      <c r="H63" s="88"/>
      <c r="I63" s="20">
        <v>50</v>
      </c>
      <c r="J63" s="82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+'24'!G64</f>
        <v>0</v>
      </c>
      <c r="D64" s="87">
        <v>0</v>
      </c>
      <c r="E64" s="47">
        <f t="shared" si="0"/>
        <v>0</v>
      </c>
      <c r="F64" s="87">
        <v>0</v>
      </c>
      <c r="G64" s="47">
        <f t="shared" si="4"/>
        <v>0</v>
      </c>
      <c r="H64" s="88"/>
      <c r="I64" s="21">
        <v>30</v>
      </c>
      <c r="J64" s="82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+'24'!G65</f>
        <v>0</v>
      </c>
      <c r="D65" s="87">
        <v>0</v>
      </c>
      <c r="E65" s="47">
        <f t="shared" si="0"/>
        <v>0</v>
      </c>
      <c r="F65" s="87">
        <v>0</v>
      </c>
      <c r="G65" s="47">
        <f t="shared" si="4"/>
        <v>0</v>
      </c>
      <c r="H65" s="88"/>
      <c r="I65" s="21">
        <v>30</v>
      </c>
      <c r="J65" s="82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+'24'!G66</f>
        <v>8</v>
      </c>
      <c r="D66" s="87">
        <v>0</v>
      </c>
      <c r="E66" s="47">
        <f t="shared" si="0"/>
        <v>8</v>
      </c>
      <c r="F66" s="87">
        <v>0</v>
      </c>
      <c r="G66" s="47">
        <f t="shared" si="4"/>
        <v>7</v>
      </c>
      <c r="H66" s="88">
        <v>1</v>
      </c>
      <c r="I66" s="15">
        <v>50</v>
      </c>
      <c r="J66" s="82">
        <f t="shared" si="5"/>
        <v>50</v>
      </c>
      <c r="K66" s="17" t="s">
        <v>16</v>
      </c>
      <c r="L66" s="18">
        <v>0</v>
      </c>
      <c r="M66" s="23">
        <f t="shared" si="6"/>
        <v>50</v>
      </c>
    </row>
    <row r="67" spans="1:13" ht="25.5" x14ac:dyDescent="0.55000000000000004">
      <c r="A67" s="10">
        <v>63</v>
      </c>
      <c r="B67" s="19" t="s">
        <v>78</v>
      </c>
      <c r="C67" s="79">
        <f>+'24'!G67</f>
        <v>3</v>
      </c>
      <c r="D67" s="87">
        <v>0</v>
      </c>
      <c r="E67" s="47">
        <f t="shared" si="0"/>
        <v>3</v>
      </c>
      <c r="F67" s="87">
        <v>0</v>
      </c>
      <c r="G67" s="47">
        <f t="shared" si="4"/>
        <v>3</v>
      </c>
      <c r="H67" s="88"/>
      <c r="I67" s="15">
        <v>50</v>
      </c>
      <c r="J67" s="82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+'24'!G68</f>
        <v>0</v>
      </c>
      <c r="D68" s="87">
        <v>0</v>
      </c>
      <c r="E68" s="47">
        <f t="shared" si="0"/>
        <v>0</v>
      </c>
      <c r="F68" s="87">
        <v>0</v>
      </c>
      <c r="G68" s="47">
        <f t="shared" si="4"/>
        <v>0</v>
      </c>
      <c r="H68" s="88"/>
      <c r="I68" s="20">
        <v>35</v>
      </c>
      <c r="J68" s="82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+'24'!G69</f>
        <v>0</v>
      </c>
      <c r="D69" s="87">
        <v>0</v>
      </c>
      <c r="E69" s="47">
        <f t="shared" si="0"/>
        <v>0</v>
      </c>
      <c r="F69" s="87">
        <v>0</v>
      </c>
      <c r="G69" s="47">
        <f t="shared" si="4"/>
        <v>0</v>
      </c>
      <c r="H69" s="88"/>
      <c r="I69" s="20">
        <v>25</v>
      </c>
      <c r="J69" s="82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+'24'!G70</f>
        <v>2</v>
      </c>
      <c r="D70" s="87">
        <v>0</v>
      </c>
      <c r="E70" s="47">
        <f t="shared" si="0"/>
        <v>2</v>
      </c>
      <c r="F70" s="87">
        <v>0</v>
      </c>
      <c r="G70" s="47">
        <f t="shared" si="4"/>
        <v>2</v>
      </c>
      <c r="H70" s="88"/>
      <c r="I70" s="20">
        <v>50</v>
      </c>
      <c r="J70" s="82">
        <f t="shared" si="5"/>
        <v>0</v>
      </c>
      <c r="K70" s="17" t="s">
        <v>16</v>
      </c>
      <c r="L70" s="18">
        <v>0</v>
      </c>
      <c r="M70" s="23">
        <f t="shared" ref="M70:M134" si="10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+'24'!G71</f>
        <v>0</v>
      </c>
      <c r="D71" s="87">
        <v>0</v>
      </c>
      <c r="E71" s="47">
        <f t="shared" si="0"/>
        <v>0</v>
      </c>
      <c r="F71" s="87">
        <v>0</v>
      </c>
      <c r="G71" s="47">
        <f t="shared" si="4"/>
        <v>0</v>
      </c>
      <c r="H71" s="88"/>
      <c r="I71" s="20">
        <v>60</v>
      </c>
      <c r="J71" s="82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+'24'!G72</f>
        <v>0</v>
      </c>
      <c r="D72" s="87">
        <v>0</v>
      </c>
      <c r="E72" s="47">
        <f t="shared" si="0"/>
        <v>0</v>
      </c>
      <c r="F72" s="87">
        <v>0</v>
      </c>
      <c r="G72" s="47">
        <f t="shared" si="4"/>
        <v>0</v>
      </c>
      <c r="H72" s="88"/>
      <c r="I72" s="22">
        <v>50</v>
      </c>
      <c r="J72" s="82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+'24'!G73</f>
        <v>0</v>
      </c>
      <c r="D73" s="87">
        <v>0</v>
      </c>
      <c r="E73" s="47">
        <f t="shared" si="0"/>
        <v>0</v>
      </c>
      <c r="F73" s="87">
        <v>0</v>
      </c>
      <c r="G73" s="47">
        <f t="shared" si="4"/>
        <v>0</v>
      </c>
      <c r="H73" s="88"/>
      <c r="I73" s="20">
        <v>60</v>
      </c>
      <c r="J73" s="82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+'24'!G74</f>
        <v>0</v>
      </c>
      <c r="D74" s="87">
        <v>0</v>
      </c>
      <c r="E74" s="47">
        <f t="shared" si="0"/>
        <v>0</v>
      </c>
      <c r="F74" s="87">
        <v>0</v>
      </c>
      <c r="G74" s="47">
        <f t="shared" si="4"/>
        <v>0</v>
      </c>
      <c r="H74" s="88"/>
      <c r="I74" s="22">
        <v>120</v>
      </c>
      <c r="J74" s="82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+'24'!G75</f>
        <v>0</v>
      </c>
      <c r="D75" s="87">
        <v>0</v>
      </c>
      <c r="E75" s="47">
        <f t="shared" si="0"/>
        <v>0</v>
      </c>
      <c r="F75" s="87">
        <v>0</v>
      </c>
      <c r="G75" s="47">
        <f t="shared" si="4"/>
        <v>0</v>
      </c>
      <c r="H75" s="88"/>
      <c r="I75" s="22">
        <v>60</v>
      </c>
      <c r="J75" s="82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+'24'!G76</f>
        <v>0</v>
      </c>
      <c r="D76" s="87">
        <v>0</v>
      </c>
      <c r="E76" s="47">
        <f t="shared" si="0"/>
        <v>0</v>
      </c>
      <c r="F76" s="87">
        <v>0</v>
      </c>
      <c r="G76" s="47">
        <f t="shared" si="4"/>
        <v>0</v>
      </c>
      <c r="H76" s="88"/>
      <c r="I76" s="22">
        <v>120</v>
      </c>
      <c r="J76" s="82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1" t="s">
        <v>272</v>
      </c>
      <c r="C77" s="79">
        <f>+'24'!G77</f>
        <v>2</v>
      </c>
      <c r="D77" s="87">
        <v>0</v>
      </c>
      <c r="E77" s="47">
        <f>C77+D77</f>
        <v>2</v>
      </c>
      <c r="F77" s="87">
        <v>0</v>
      </c>
      <c r="G77" s="47">
        <f>+E77-F77-H77</f>
        <v>2</v>
      </c>
      <c r="H77" s="88"/>
      <c r="I77" s="20">
        <v>50</v>
      </c>
      <c r="J77" s="82">
        <f>+I77*H77</f>
        <v>0</v>
      </c>
      <c r="K77" s="17" t="s">
        <v>16</v>
      </c>
      <c r="L77" s="18">
        <v>0</v>
      </c>
      <c r="M77" s="23">
        <f>SUM(J77-L77)</f>
        <v>0</v>
      </c>
    </row>
    <row r="78" spans="1:13" ht="25.5" x14ac:dyDescent="0.55000000000000004">
      <c r="A78" s="10">
        <v>74</v>
      </c>
      <c r="B78" s="19" t="s">
        <v>277</v>
      </c>
      <c r="C78" s="79">
        <f>+'24'!G78</f>
        <v>1</v>
      </c>
      <c r="D78" s="87">
        <v>0</v>
      </c>
      <c r="E78" s="47">
        <f t="shared" si="0"/>
        <v>1</v>
      </c>
      <c r="F78" s="87">
        <v>0</v>
      </c>
      <c r="G78" s="47">
        <f t="shared" si="4"/>
        <v>0</v>
      </c>
      <c r="H78" s="88">
        <v>1</v>
      </c>
      <c r="I78" s="20">
        <v>50</v>
      </c>
      <c r="J78" s="82">
        <f t="shared" si="5"/>
        <v>50</v>
      </c>
      <c r="K78" s="17" t="s">
        <v>16</v>
      </c>
      <c r="L78" s="18">
        <v>0</v>
      </c>
      <c r="M78" s="23">
        <f t="shared" si="10"/>
        <v>50</v>
      </c>
    </row>
    <row r="79" spans="1:13" ht="25.5" x14ac:dyDescent="0.55000000000000004">
      <c r="A79" s="10">
        <v>75</v>
      </c>
      <c r="B79" s="19" t="s">
        <v>278</v>
      </c>
      <c r="C79" s="79">
        <f>+'24'!G79</f>
        <v>0</v>
      </c>
      <c r="D79" s="87">
        <v>0</v>
      </c>
      <c r="E79" s="47">
        <f t="shared" si="0"/>
        <v>0</v>
      </c>
      <c r="F79" s="87">
        <v>0</v>
      </c>
      <c r="G79" s="47">
        <f t="shared" si="4"/>
        <v>0</v>
      </c>
      <c r="H79" s="88"/>
      <c r="I79" s="22">
        <v>120</v>
      </c>
      <c r="J79" s="82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90</v>
      </c>
      <c r="C80" s="79">
        <f>+'24'!G80</f>
        <v>0</v>
      </c>
      <c r="D80" s="87">
        <v>0</v>
      </c>
      <c r="E80" s="47">
        <f t="shared" si="0"/>
        <v>0</v>
      </c>
      <c r="F80" s="87">
        <v>0</v>
      </c>
      <c r="G80" s="47">
        <f t="shared" si="4"/>
        <v>0</v>
      </c>
      <c r="H80" s="88"/>
      <c r="I80" s="22">
        <v>50</v>
      </c>
      <c r="J80" s="82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91</v>
      </c>
      <c r="C81" s="79">
        <f>+'24'!G81</f>
        <v>0</v>
      </c>
      <c r="D81" s="87">
        <v>0</v>
      </c>
      <c r="E81" s="47">
        <f t="shared" si="0"/>
        <v>0</v>
      </c>
      <c r="F81" s="87">
        <v>0</v>
      </c>
      <c r="G81" s="47">
        <f t="shared" si="4"/>
        <v>0</v>
      </c>
      <c r="H81" s="88"/>
      <c r="I81" s="22">
        <v>50</v>
      </c>
      <c r="J81" s="82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92</v>
      </c>
      <c r="C82" s="79">
        <f>+'24'!G82</f>
        <v>3</v>
      </c>
      <c r="D82" s="87">
        <v>0</v>
      </c>
      <c r="E82" s="47">
        <f t="shared" si="0"/>
        <v>3</v>
      </c>
      <c r="F82" s="87">
        <v>0</v>
      </c>
      <c r="G82" s="47">
        <f t="shared" si="4"/>
        <v>3</v>
      </c>
      <c r="H82" s="88"/>
      <c r="I82" s="20">
        <v>55</v>
      </c>
      <c r="J82" s="82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93</v>
      </c>
      <c r="C83" s="79">
        <f>+'24'!G83</f>
        <v>3</v>
      </c>
      <c r="D83" s="87">
        <v>0</v>
      </c>
      <c r="E83" s="47">
        <f t="shared" si="0"/>
        <v>3</v>
      </c>
      <c r="F83" s="87">
        <v>0</v>
      </c>
      <c r="G83" s="47">
        <f t="shared" si="4"/>
        <v>3</v>
      </c>
      <c r="H83" s="88"/>
      <c r="I83" s="22">
        <v>55</v>
      </c>
      <c r="J83" s="82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94</v>
      </c>
      <c r="C84" s="79">
        <f>+'24'!G84</f>
        <v>0</v>
      </c>
      <c r="D84" s="87">
        <v>0</v>
      </c>
      <c r="E84" s="47">
        <f t="shared" si="0"/>
        <v>0</v>
      </c>
      <c r="F84" s="87">
        <v>0</v>
      </c>
      <c r="G84" s="47">
        <f t="shared" si="4"/>
        <v>0</v>
      </c>
      <c r="H84" s="88"/>
      <c r="I84" s="22">
        <v>55</v>
      </c>
      <c r="J84" s="82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95</v>
      </c>
      <c r="C85" s="79">
        <f>+'24'!G85</f>
        <v>0</v>
      </c>
      <c r="D85" s="87">
        <v>0</v>
      </c>
      <c r="E85" s="47">
        <f t="shared" si="0"/>
        <v>0</v>
      </c>
      <c r="F85" s="87">
        <v>0</v>
      </c>
      <c r="G85" s="47">
        <f t="shared" si="4"/>
        <v>0</v>
      </c>
      <c r="H85" s="88"/>
      <c r="I85" s="22">
        <v>55</v>
      </c>
      <c r="J85" s="82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96</v>
      </c>
      <c r="C86" s="79">
        <f>+'24'!G86</f>
        <v>7</v>
      </c>
      <c r="D86" s="87">
        <v>0</v>
      </c>
      <c r="E86" s="47">
        <f t="shared" si="0"/>
        <v>7</v>
      </c>
      <c r="F86" s="87">
        <v>0</v>
      </c>
      <c r="G86" s="47">
        <f t="shared" si="4"/>
        <v>5</v>
      </c>
      <c r="H86" s="88">
        <v>2</v>
      </c>
      <c r="I86" s="22">
        <v>100</v>
      </c>
      <c r="J86" s="82">
        <f t="shared" si="5"/>
        <v>200</v>
      </c>
      <c r="K86" s="17" t="s">
        <v>16</v>
      </c>
      <c r="L86" s="18">
        <v>0</v>
      </c>
      <c r="M86" s="23">
        <f t="shared" si="10"/>
        <v>200</v>
      </c>
    </row>
    <row r="87" spans="1:13" ht="25.5" x14ac:dyDescent="0.55000000000000004">
      <c r="A87" s="10">
        <v>83</v>
      </c>
      <c r="B87" s="19" t="s">
        <v>97</v>
      </c>
      <c r="C87" s="79">
        <f>+'24'!G87</f>
        <v>12</v>
      </c>
      <c r="D87" s="87">
        <v>0</v>
      </c>
      <c r="E87" s="47">
        <f t="shared" si="0"/>
        <v>12</v>
      </c>
      <c r="F87" s="87">
        <v>0</v>
      </c>
      <c r="G87" s="47">
        <f t="shared" si="4"/>
        <v>12</v>
      </c>
      <c r="H87" s="88"/>
      <c r="I87" s="20">
        <v>55</v>
      </c>
      <c r="J87" s="82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98</v>
      </c>
      <c r="C88" s="79">
        <f>+'24'!G88</f>
        <v>8</v>
      </c>
      <c r="D88" s="87">
        <v>0</v>
      </c>
      <c r="E88" s="47">
        <f t="shared" si="0"/>
        <v>8</v>
      </c>
      <c r="F88" s="87">
        <v>0</v>
      </c>
      <c r="G88" s="47">
        <f t="shared" si="4"/>
        <v>7</v>
      </c>
      <c r="H88" s="88">
        <v>1</v>
      </c>
      <c r="I88" s="20">
        <v>60</v>
      </c>
      <c r="J88" s="82">
        <f t="shared" si="5"/>
        <v>60</v>
      </c>
      <c r="K88" s="17" t="s">
        <v>16</v>
      </c>
      <c r="L88" s="18">
        <v>0</v>
      </c>
      <c r="M88" s="23">
        <f t="shared" si="10"/>
        <v>60</v>
      </c>
    </row>
    <row r="89" spans="1:13" ht="25.5" x14ac:dyDescent="0.55000000000000004">
      <c r="A89" s="10">
        <v>85</v>
      </c>
      <c r="B89" s="19" t="s">
        <v>99</v>
      </c>
      <c r="C89" s="79">
        <f>+'24'!G89</f>
        <v>7</v>
      </c>
      <c r="D89" s="87">
        <v>0</v>
      </c>
      <c r="E89" s="47">
        <f t="shared" si="0"/>
        <v>7</v>
      </c>
      <c r="F89" s="87">
        <v>0</v>
      </c>
      <c r="G89" s="47">
        <f t="shared" si="4"/>
        <v>7</v>
      </c>
      <c r="H89" s="88"/>
      <c r="I89" s="20">
        <v>100</v>
      </c>
      <c r="J89" s="82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100</v>
      </c>
      <c r="C90" s="79">
        <f>+'24'!G90</f>
        <v>4</v>
      </c>
      <c r="D90" s="87">
        <v>0</v>
      </c>
      <c r="E90" s="47">
        <f t="shared" si="0"/>
        <v>4</v>
      </c>
      <c r="F90" s="87">
        <v>0</v>
      </c>
      <c r="G90" s="47">
        <f t="shared" si="4"/>
        <v>4</v>
      </c>
      <c r="H90" s="88"/>
      <c r="I90" s="20">
        <v>55</v>
      </c>
      <c r="J90" s="82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101</v>
      </c>
      <c r="C91" s="79">
        <f>+'24'!G91</f>
        <v>0</v>
      </c>
      <c r="D91" s="87">
        <v>0</v>
      </c>
      <c r="E91" s="47">
        <f t="shared" si="0"/>
        <v>0</v>
      </c>
      <c r="F91" s="87">
        <v>0</v>
      </c>
      <c r="G91" s="47">
        <f t="shared" si="4"/>
        <v>0</v>
      </c>
      <c r="H91" s="88"/>
      <c r="I91" s="20">
        <v>50</v>
      </c>
      <c r="J91" s="82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102</v>
      </c>
      <c r="C92" s="79">
        <f>+'24'!G92</f>
        <v>0</v>
      </c>
      <c r="D92" s="87">
        <v>0</v>
      </c>
      <c r="E92" s="47">
        <f t="shared" si="0"/>
        <v>0</v>
      </c>
      <c r="F92" s="87">
        <v>0</v>
      </c>
      <c r="G92" s="47">
        <f t="shared" si="4"/>
        <v>0</v>
      </c>
      <c r="H92" s="88"/>
      <c r="I92" s="22">
        <v>50</v>
      </c>
      <c r="J92" s="82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248</v>
      </c>
      <c r="C93" s="79">
        <f>+'24'!G93</f>
        <v>0</v>
      </c>
      <c r="D93" s="87">
        <v>0</v>
      </c>
      <c r="E93" s="47">
        <f t="shared" si="0"/>
        <v>0</v>
      </c>
      <c r="F93" s="87">
        <v>0</v>
      </c>
      <c r="G93" s="47">
        <f t="shared" si="4"/>
        <v>0</v>
      </c>
      <c r="H93" s="88"/>
      <c r="I93" s="22">
        <v>120</v>
      </c>
      <c r="J93" s="82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104</v>
      </c>
      <c r="C94" s="79">
        <f>+'24'!G94</f>
        <v>0</v>
      </c>
      <c r="D94" s="87">
        <v>0</v>
      </c>
      <c r="E94" s="47">
        <f t="shared" si="0"/>
        <v>0</v>
      </c>
      <c r="F94" s="87">
        <v>0</v>
      </c>
      <c r="G94" s="47">
        <f t="shared" si="4"/>
        <v>0</v>
      </c>
      <c r="H94" s="88"/>
      <c r="I94" s="20">
        <v>250</v>
      </c>
      <c r="J94" s="82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105</v>
      </c>
      <c r="C95" s="79">
        <f>+'24'!G95</f>
        <v>0</v>
      </c>
      <c r="D95" s="87">
        <v>0</v>
      </c>
      <c r="E95" s="47">
        <f t="shared" si="0"/>
        <v>0</v>
      </c>
      <c r="F95" s="87">
        <v>0</v>
      </c>
      <c r="G95" s="47">
        <f t="shared" si="4"/>
        <v>0</v>
      </c>
      <c r="H95" s="88"/>
      <c r="I95" s="20">
        <v>120</v>
      </c>
      <c r="J95" s="82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106</v>
      </c>
      <c r="C96" s="79">
        <f>+'24'!G96</f>
        <v>0</v>
      </c>
      <c r="D96" s="87">
        <v>0</v>
      </c>
      <c r="E96" s="47">
        <f t="shared" si="0"/>
        <v>0</v>
      </c>
      <c r="F96" s="87">
        <v>0</v>
      </c>
      <c r="G96" s="47">
        <f t="shared" si="4"/>
        <v>0</v>
      </c>
      <c r="H96" s="88"/>
      <c r="I96" s="20">
        <v>120</v>
      </c>
      <c r="J96" s="82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107</v>
      </c>
      <c r="C97" s="79">
        <f>+'24'!G97</f>
        <v>0</v>
      </c>
      <c r="D97" s="87">
        <v>0</v>
      </c>
      <c r="E97" s="47">
        <f t="shared" si="0"/>
        <v>0</v>
      </c>
      <c r="F97" s="87">
        <v>0</v>
      </c>
      <c r="G97" s="47">
        <f t="shared" si="4"/>
        <v>0</v>
      </c>
      <c r="H97" s="88"/>
      <c r="I97" s="20">
        <v>120</v>
      </c>
      <c r="J97" s="82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103</v>
      </c>
      <c r="C98" s="79">
        <f>+'24'!G98</f>
        <v>0</v>
      </c>
      <c r="D98" s="87">
        <v>0</v>
      </c>
      <c r="E98" s="47">
        <f t="shared" si="0"/>
        <v>0</v>
      </c>
      <c r="F98" s="87">
        <v>0</v>
      </c>
      <c r="G98" s="47">
        <f t="shared" si="4"/>
        <v>0</v>
      </c>
      <c r="H98" s="88"/>
      <c r="I98" s="20">
        <v>120</v>
      </c>
      <c r="J98" s="82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109</v>
      </c>
      <c r="C99" s="79">
        <f>+'24'!G99</f>
        <v>0</v>
      </c>
      <c r="D99" s="87">
        <v>0</v>
      </c>
      <c r="E99" s="47">
        <f t="shared" si="0"/>
        <v>0</v>
      </c>
      <c r="F99" s="87">
        <v>0</v>
      </c>
      <c r="G99" s="47">
        <f t="shared" si="4"/>
        <v>0</v>
      </c>
      <c r="H99" s="88"/>
      <c r="I99" s="20">
        <v>50</v>
      </c>
      <c r="J99" s="82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110</v>
      </c>
      <c r="C100" s="79">
        <f>+'24'!G100</f>
        <v>0</v>
      </c>
      <c r="D100" s="87">
        <v>0</v>
      </c>
      <c r="E100" s="47">
        <f t="shared" si="0"/>
        <v>0</v>
      </c>
      <c r="F100" s="87">
        <v>0</v>
      </c>
      <c r="G100" s="47">
        <f t="shared" si="4"/>
        <v>0</v>
      </c>
      <c r="H100" s="88"/>
      <c r="I100" s="20">
        <v>50</v>
      </c>
      <c r="J100" s="82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111</v>
      </c>
      <c r="C101" s="79">
        <f>+'24'!G101</f>
        <v>0</v>
      </c>
      <c r="D101" s="87">
        <v>0</v>
      </c>
      <c r="E101" s="47">
        <f t="shared" si="0"/>
        <v>0</v>
      </c>
      <c r="F101" s="87">
        <v>0</v>
      </c>
      <c r="G101" s="47">
        <f t="shared" ref="G101:G164" si="11">+E101-F101-H101</f>
        <v>0</v>
      </c>
      <c r="H101" s="88"/>
      <c r="I101" s="20">
        <v>60</v>
      </c>
      <c r="J101" s="82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112</v>
      </c>
      <c r="C102" s="79">
        <f>+'24'!G102</f>
        <v>0</v>
      </c>
      <c r="D102" s="87">
        <v>0</v>
      </c>
      <c r="E102" s="47">
        <f t="shared" si="0"/>
        <v>0</v>
      </c>
      <c r="F102" s="87">
        <v>0</v>
      </c>
      <c r="G102" s="47">
        <f t="shared" si="11"/>
        <v>0</v>
      </c>
      <c r="H102" s="88"/>
      <c r="I102" s="20">
        <v>55</v>
      </c>
      <c r="J102" s="82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113</v>
      </c>
      <c r="C103" s="79">
        <f>+'24'!G103</f>
        <v>0</v>
      </c>
      <c r="D103" s="87">
        <v>0</v>
      </c>
      <c r="E103" s="47">
        <f t="shared" si="0"/>
        <v>0</v>
      </c>
      <c r="F103" s="87">
        <v>0</v>
      </c>
      <c r="G103" s="47">
        <f t="shared" si="11"/>
        <v>0</v>
      </c>
      <c r="H103" s="88"/>
      <c r="I103" s="20">
        <v>50</v>
      </c>
      <c r="J103" s="82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114</v>
      </c>
      <c r="C104" s="79">
        <f>+'24'!G104</f>
        <v>0</v>
      </c>
      <c r="D104" s="87">
        <v>0</v>
      </c>
      <c r="E104" s="47">
        <f t="shared" si="0"/>
        <v>0</v>
      </c>
      <c r="F104" s="87">
        <v>0</v>
      </c>
      <c r="G104" s="47">
        <f t="shared" si="11"/>
        <v>0</v>
      </c>
      <c r="H104" s="88"/>
      <c r="I104" s="20">
        <v>100</v>
      </c>
      <c r="J104" s="82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115</v>
      </c>
      <c r="C105" s="79">
        <f>+'24'!G105</f>
        <v>0</v>
      </c>
      <c r="D105" s="87">
        <v>0</v>
      </c>
      <c r="E105" s="47">
        <f t="shared" si="0"/>
        <v>0</v>
      </c>
      <c r="F105" s="87">
        <v>0</v>
      </c>
      <c r="G105" s="47">
        <f t="shared" si="11"/>
        <v>0</v>
      </c>
      <c r="H105" s="88"/>
      <c r="I105" s="20">
        <v>100</v>
      </c>
      <c r="J105" s="82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116</v>
      </c>
      <c r="C106" s="79">
        <f>+'24'!G106</f>
        <v>0</v>
      </c>
      <c r="D106" s="87">
        <v>0</v>
      </c>
      <c r="E106" s="47">
        <f t="shared" si="0"/>
        <v>0</v>
      </c>
      <c r="F106" s="87">
        <v>0</v>
      </c>
      <c r="G106" s="47">
        <f t="shared" si="11"/>
        <v>0</v>
      </c>
      <c r="H106" s="88"/>
      <c r="I106" s="22">
        <v>30</v>
      </c>
      <c r="J106" s="82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117</v>
      </c>
      <c r="C107" s="79">
        <f>+'24'!G107</f>
        <v>0</v>
      </c>
      <c r="D107" s="87">
        <v>0</v>
      </c>
      <c r="E107" s="47">
        <f t="shared" si="0"/>
        <v>0</v>
      </c>
      <c r="F107" s="87">
        <v>0</v>
      </c>
      <c r="G107" s="47">
        <f t="shared" si="11"/>
        <v>0</v>
      </c>
      <c r="H107" s="88"/>
      <c r="I107" s="22">
        <v>20</v>
      </c>
      <c r="J107" s="82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118</v>
      </c>
      <c r="C108" s="79">
        <f>+'24'!G108</f>
        <v>0</v>
      </c>
      <c r="D108" s="87">
        <v>0</v>
      </c>
      <c r="E108" s="47">
        <f t="shared" si="0"/>
        <v>0</v>
      </c>
      <c r="F108" s="87">
        <v>0</v>
      </c>
      <c r="G108" s="47">
        <f t="shared" si="11"/>
        <v>0</v>
      </c>
      <c r="H108" s="88"/>
      <c r="I108" s="20">
        <v>100</v>
      </c>
      <c r="J108" s="82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120</v>
      </c>
      <c r="C109" s="79">
        <f>+'24'!G109</f>
        <v>0</v>
      </c>
      <c r="D109" s="87">
        <v>0</v>
      </c>
      <c r="E109" s="47">
        <f t="shared" si="0"/>
        <v>0</v>
      </c>
      <c r="F109" s="87">
        <v>0</v>
      </c>
      <c r="G109" s="47">
        <f t="shared" si="11"/>
        <v>0</v>
      </c>
      <c r="H109" s="88"/>
      <c r="I109" s="20">
        <v>80</v>
      </c>
      <c r="J109" s="82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121</v>
      </c>
      <c r="C110" s="79">
        <f>+'24'!G110</f>
        <v>0</v>
      </c>
      <c r="D110" s="87">
        <v>0</v>
      </c>
      <c r="E110" s="47">
        <f t="shared" si="0"/>
        <v>0</v>
      </c>
      <c r="F110" s="87">
        <v>0</v>
      </c>
      <c r="G110" s="47">
        <f t="shared" si="11"/>
        <v>0</v>
      </c>
      <c r="H110" s="88"/>
      <c r="I110" s="20">
        <v>60</v>
      </c>
      <c r="J110" s="82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122</v>
      </c>
      <c r="C111" s="79">
        <f>+'24'!G111</f>
        <v>0</v>
      </c>
      <c r="D111" s="87">
        <v>0</v>
      </c>
      <c r="E111" s="47">
        <f t="shared" si="0"/>
        <v>0</v>
      </c>
      <c r="F111" s="87">
        <v>0</v>
      </c>
      <c r="G111" s="47">
        <f t="shared" si="11"/>
        <v>0</v>
      </c>
      <c r="H111" s="88"/>
      <c r="I111" s="20">
        <v>35</v>
      </c>
      <c r="J111" s="82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123</v>
      </c>
      <c r="C112" s="79">
        <f>+'24'!G112</f>
        <v>0</v>
      </c>
      <c r="D112" s="87">
        <v>0</v>
      </c>
      <c r="E112" s="47">
        <f t="shared" si="0"/>
        <v>0</v>
      </c>
      <c r="F112" s="87">
        <v>0</v>
      </c>
      <c r="G112" s="47">
        <f t="shared" si="11"/>
        <v>0</v>
      </c>
      <c r="H112" s="88"/>
      <c r="I112" s="20">
        <v>35</v>
      </c>
      <c r="J112" s="82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124</v>
      </c>
      <c r="C113" s="79">
        <f>+'24'!G113</f>
        <v>0</v>
      </c>
      <c r="D113" s="87">
        <v>0</v>
      </c>
      <c r="E113" s="47">
        <f t="shared" si="0"/>
        <v>0</v>
      </c>
      <c r="F113" s="87">
        <v>0</v>
      </c>
      <c r="G113" s="47">
        <f t="shared" si="11"/>
        <v>0</v>
      </c>
      <c r="H113" s="88"/>
      <c r="I113" s="20">
        <v>35</v>
      </c>
      <c r="J113" s="82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125</v>
      </c>
      <c r="C114" s="79">
        <f>+'24'!G114</f>
        <v>0</v>
      </c>
      <c r="D114" s="87">
        <v>0</v>
      </c>
      <c r="E114" s="47">
        <f t="shared" si="0"/>
        <v>0</v>
      </c>
      <c r="F114" s="87">
        <v>0</v>
      </c>
      <c r="G114" s="47">
        <f t="shared" si="11"/>
        <v>0</v>
      </c>
      <c r="H114" s="88"/>
      <c r="I114" s="20">
        <v>35</v>
      </c>
      <c r="J114" s="82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126</v>
      </c>
      <c r="C115" s="79">
        <f>+'24'!G115</f>
        <v>0</v>
      </c>
      <c r="D115" s="87">
        <v>0</v>
      </c>
      <c r="E115" s="47">
        <f t="shared" si="0"/>
        <v>0</v>
      </c>
      <c r="F115" s="87">
        <v>0</v>
      </c>
      <c r="G115" s="47">
        <f t="shared" si="11"/>
        <v>0</v>
      </c>
      <c r="H115" s="88"/>
      <c r="I115" s="20">
        <v>35</v>
      </c>
      <c r="J115" s="82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127</v>
      </c>
      <c r="C116" s="79">
        <f>+'24'!G116</f>
        <v>0</v>
      </c>
      <c r="D116" s="87">
        <v>0</v>
      </c>
      <c r="E116" s="47">
        <f t="shared" si="0"/>
        <v>0</v>
      </c>
      <c r="F116" s="87">
        <v>0</v>
      </c>
      <c r="G116" s="47">
        <f t="shared" si="11"/>
        <v>0</v>
      </c>
      <c r="H116" s="88"/>
      <c r="I116" s="20">
        <v>30</v>
      </c>
      <c r="J116" s="82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128</v>
      </c>
      <c r="C117" s="79">
        <f>+'24'!G117</f>
        <v>0</v>
      </c>
      <c r="D117" s="87">
        <v>0</v>
      </c>
      <c r="E117" s="47">
        <f t="shared" si="0"/>
        <v>0</v>
      </c>
      <c r="F117" s="87">
        <v>0</v>
      </c>
      <c r="G117" s="47">
        <f t="shared" si="11"/>
        <v>0</v>
      </c>
      <c r="H117" s="88"/>
      <c r="I117" s="20">
        <v>30</v>
      </c>
      <c r="J117" s="82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129</v>
      </c>
      <c r="C118" s="79">
        <f>+'24'!G118</f>
        <v>0</v>
      </c>
      <c r="D118" s="87">
        <v>0</v>
      </c>
      <c r="E118" s="47">
        <f t="shared" si="0"/>
        <v>0</v>
      </c>
      <c r="F118" s="87">
        <v>0</v>
      </c>
      <c r="G118" s="47">
        <f t="shared" si="11"/>
        <v>0</v>
      </c>
      <c r="H118" s="88"/>
      <c r="I118" s="20">
        <v>30</v>
      </c>
      <c r="J118" s="82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130</v>
      </c>
      <c r="C119" s="79">
        <f>+'24'!G119</f>
        <v>0</v>
      </c>
      <c r="D119" s="87">
        <v>0</v>
      </c>
      <c r="E119" s="47">
        <f t="shared" si="0"/>
        <v>0</v>
      </c>
      <c r="F119" s="87">
        <v>0</v>
      </c>
      <c r="G119" s="47">
        <f t="shared" si="11"/>
        <v>0</v>
      </c>
      <c r="H119" s="88"/>
      <c r="I119" s="20">
        <v>30</v>
      </c>
      <c r="J119" s="82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131</v>
      </c>
      <c r="C120" s="79">
        <f>+'24'!G120</f>
        <v>0</v>
      </c>
      <c r="D120" s="87">
        <v>0</v>
      </c>
      <c r="E120" s="47">
        <f t="shared" si="0"/>
        <v>0</v>
      </c>
      <c r="F120" s="87">
        <v>0</v>
      </c>
      <c r="G120" s="47">
        <f t="shared" si="11"/>
        <v>0</v>
      </c>
      <c r="H120" s="88"/>
      <c r="I120" s="20">
        <v>30</v>
      </c>
      <c r="J120" s="82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132</v>
      </c>
      <c r="C121" s="79">
        <f>+'24'!G121</f>
        <v>0</v>
      </c>
      <c r="D121" s="87">
        <v>0</v>
      </c>
      <c r="E121" s="47">
        <f t="shared" si="0"/>
        <v>0</v>
      </c>
      <c r="F121" s="87">
        <v>0</v>
      </c>
      <c r="G121" s="47">
        <f t="shared" si="11"/>
        <v>0</v>
      </c>
      <c r="H121" s="88"/>
      <c r="I121" s="20">
        <v>30</v>
      </c>
      <c r="J121" s="82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133</v>
      </c>
      <c r="C122" s="79">
        <f>+'24'!G122</f>
        <v>0</v>
      </c>
      <c r="D122" s="87">
        <v>0</v>
      </c>
      <c r="E122" s="47">
        <f t="shared" si="0"/>
        <v>0</v>
      </c>
      <c r="F122" s="87">
        <v>0</v>
      </c>
      <c r="G122" s="47">
        <f t="shared" si="11"/>
        <v>0</v>
      </c>
      <c r="H122" s="88"/>
      <c r="I122" s="20">
        <v>40</v>
      </c>
      <c r="J122" s="82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134</v>
      </c>
      <c r="C123" s="79">
        <f>+'24'!G123</f>
        <v>0</v>
      </c>
      <c r="D123" s="87">
        <v>0</v>
      </c>
      <c r="E123" s="47">
        <f t="shared" si="0"/>
        <v>0</v>
      </c>
      <c r="F123" s="87">
        <v>0</v>
      </c>
      <c r="G123" s="47">
        <f t="shared" si="11"/>
        <v>0</v>
      </c>
      <c r="H123" s="88"/>
      <c r="I123" s="20">
        <v>35</v>
      </c>
      <c r="J123" s="82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135</v>
      </c>
      <c r="C124" s="79">
        <f>+'24'!G124</f>
        <v>0</v>
      </c>
      <c r="D124" s="87">
        <v>0</v>
      </c>
      <c r="E124" s="47">
        <f t="shared" si="0"/>
        <v>0</v>
      </c>
      <c r="F124" s="87">
        <v>0</v>
      </c>
      <c r="G124" s="47">
        <f t="shared" si="11"/>
        <v>0</v>
      </c>
      <c r="H124" s="88"/>
      <c r="I124" s="20">
        <v>40</v>
      </c>
      <c r="J124" s="82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136</v>
      </c>
      <c r="C125" s="79">
        <f>+'24'!G125</f>
        <v>0</v>
      </c>
      <c r="D125" s="87">
        <v>0</v>
      </c>
      <c r="E125" s="47">
        <f t="shared" si="0"/>
        <v>0</v>
      </c>
      <c r="F125" s="87">
        <v>0</v>
      </c>
      <c r="G125" s="47">
        <f t="shared" si="11"/>
        <v>0</v>
      </c>
      <c r="H125" s="88"/>
      <c r="I125" s="20">
        <v>40</v>
      </c>
      <c r="J125" s="82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137</v>
      </c>
      <c r="C126" s="79">
        <f>+'24'!G126</f>
        <v>0</v>
      </c>
      <c r="D126" s="87">
        <v>0</v>
      </c>
      <c r="E126" s="47">
        <f t="shared" ref="E126:E189" si="13">C126+D126</f>
        <v>0</v>
      </c>
      <c r="F126" s="87">
        <v>0</v>
      </c>
      <c r="G126" s="47">
        <f t="shared" si="11"/>
        <v>0</v>
      </c>
      <c r="H126" s="88"/>
      <c r="I126" s="20">
        <v>30</v>
      </c>
      <c r="J126" s="82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138</v>
      </c>
      <c r="C127" s="79">
        <f>+'24'!G127</f>
        <v>0</v>
      </c>
      <c r="D127" s="87">
        <v>0</v>
      </c>
      <c r="E127" s="47">
        <f t="shared" si="13"/>
        <v>0</v>
      </c>
      <c r="F127" s="87">
        <v>0</v>
      </c>
      <c r="G127" s="47">
        <f t="shared" si="11"/>
        <v>0</v>
      </c>
      <c r="H127" s="88"/>
      <c r="I127" s="20">
        <v>40</v>
      </c>
      <c r="J127" s="82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139</v>
      </c>
      <c r="C128" s="79">
        <f>+'24'!G128</f>
        <v>74</v>
      </c>
      <c r="D128" s="87">
        <v>0</v>
      </c>
      <c r="E128" s="47">
        <f t="shared" si="13"/>
        <v>74</v>
      </c>
      <c r="F128" s="87">
        <v>0</v>
      </c>
      <c r="G128" s="47">
        <f t="shared" si="11"/>
        <v>74</v>
      </c>
      <c r="H128" s="88"/>
      <c r="I128" s="20">
        <v>10</v>
      </c>
      <c r="J128" s="82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140</v>
      </c>
      <c r="C129" s="79">
        <f>+'24'!G129</f>
        <v>0</v>
      </c>
      <c r="D129" s="87">
        <v>0</v>
      </c>
      <c r="E129" s="47">
        <f t="shared" si="13"/>
        <v>0</v>
      </c>
      <c r="F129" s="87">
        <v>0</v>
      </c>
      <c r="G129" s="47">
        <f t="shared" si="11"/>
        <v>0</v>
      </c>
      <c r="H129" s="88"/>
      <c r="I129" s="20">
        <v>35</v>
      </c>
      <c r="J129" s="82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141</v>
      </c>
      <c r="C130" s="79">
        <f>+'24'!G130</f>
        <v>0</v>
      </c>
      <c r="D130" s="87">
        <v>0</v>
      </c>
      <c r="E130" s="47">
        <f t="shared" si="13"/>
        <v>0</v>
      </c>
      <c r="F130" s="87">
        <v>0</v>
      </c>
      <c r="G130" s="47">
        <f t="shared" si="11"/>
        <v>0</v>
      </c>
      <c r="H130" s="88"/>
      <c r="I130" s="20">
        <v>40</v>
      </c>
      <c r="J130" s="82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142</v>
      </c>
      <c r="C131" s="79">
        <f>+'24'!G131</f>
        <v>0</v>
      </c>
      <c r="D131" s="87">
        <v>0</v>
      </c>
      <c r="E131" s="47">
        <f t="shared" si="13"/>
        <v>0</v>
      </c>
      <c r="F131" s="87">
        <v>0</v>
      </c>
      <c r="G131" s="47">
        <f t="shared" si="11"/>
        <v>0</v>
      </c>
      <c r="H131" s="88"/>
      <c r="I131" s="20">
        <v>50</v>
      </c>
      <c r="J131" s="82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143</v>
      </c>
      <c r="C132" s="79">
        <f>+'24'!G132</f>
        <v>0</v>
      </c>
      <c r="D132" s="87">
        <v>0</v>
      </c>
      <c r="E132" s="47">
        <f t="shared" si="13"/>
        <v>0</v>
      </c>
      <c r="F132" s="87">
        <v>0</v>
      </c>
      <c r="G132" s="47">
        <f t="shared" si="11"/>
        <v>0</v>
      </c>
      <c r="H132" s="88"/>
      <c r="I132" s="20">
        <v>55</v>
      </c>
      <c r="J132" s="82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144</v>
      </c>
      <c r="C133" s="79">
        <f>+'24'!G133</f>
        <v>0</v>
      </c>
      <c r="D133" s="87">
        <v>0</v>
      </c>
      <c r="E133" s="47">
        <f t="shared" si="13"/>
        <v>0</v>
      </c>
      <c r="F133" s="87">
        <v>0</v>
      </c>
      <c r="G133" s="47">
        <f t="shared" si="11"/>
        <v>0</v>
      </c>
      <c r="H133" s="88"/>
      <c r="I133" s="20">
        <v>55</v>
      </c>
      <c r="J133" s="82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145</v>
      </c>
      <c r="C134" s="79">
        <f>+'24'!G134</f>
        <v>0</v>
      </c>
      <c r="D134" s="87">
        <v>0</v>
      </c>
      <c r="E134" s="47">
        <f t="shared" si="13"/>
        <v>0</v>
      </c>
      <c r="F134" s="87">
        <v>0</v>
      </c>
      <c r="G134" s="47">
        <f t="shared" si="11"/>
        <v>0</v>
      </c>
      <c r="H134" s="88"/>
      <c r="I134" s="20">
        <v>45</v>
      </c>
      <c r="J134" s="82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5.5" x14ac:dyDescent="0.55000000000000004">
      <c r="A135" s="10">
        <v>131</v>
      </c>
      <c r="B135" s="19" t="s">
        <v>146</v>
      </c>
      <c r="C135" s="79">
        <f>+'24'!G135</f>
        <v>0</v>
      </c>
      <c r="D135" s="87">
        <v>0</v>
      </c>
      <c r="E135" s="47">
        <f t="shared" si="13"/>
        <v>0</v>
      </c>
      <c r="F135" s="87">
        <v>0</v>
      </c>
      <c r="G135" s="47">
        <f t="shared" si="11"/>
        <v>0</v>
      </c>
      <c r="H135" s="88"/>
      <c r="I135" s="20">
        <v>45</v>
      </c>
      <c r="J135" s="82">
        <f t="shared" si="12"/>
        <v>0</v>
      </c>
      <c r="K135" s="17" t="s">
        <v>16</v>
      </c>
      <c r="L135" s="18">
        <v>0</v>
      </c>
      <c r="M135" s="23">
        <f t="shared" ref="M135:M198" si="14">SUM(J135-L135)</f>
        <v>0</v>
      </c>
    </row>
    <row r="136" spans="1:13" ht="25.5" x14ac:dyDescent="0.55000000000000004">
      <c r="A136" s="10">
        <v>132</v>
      </c>
      <c r="B136" s="19" t="s">
        <v>147</v>
      </c>
      <c r="C136" s="79">
        <f>+'24'!G136</f>
        <v>0</v>
      </c>
      <c r="D136" s="87">
        <v>0</v>
      </c>
      <c r="E136" s="47">
        <f t="shared" si="13"/>
        <v>0</v>
      </c>
      <c r="F136" s="87">
        <v>0</v>
      </c>
      <c r="G136" s="47">
        <f t="shared" si="11"/>
        <v>0</v>
      </c>
      <c r="H136" s="88"/>
      <c r="I136" s="20">
        <v>55</v>
      </c>
      <c r="J136" s="82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148</v>
      </c>
      <c r="C137" s="79">
        <f>+'24'!G137</f>
        <v>0</v>
      </c>
      <c r="D137" s="87">
        <v>0</v>
      </c>
      <c r="E137" s="47">
        <f t="shared" si="13"/>
        <v>0</v>
      </c>
      <c r="F137" s="87">
        <v>0</v>
      </c>
      <c r="G137" s="47">
        <f t="shared" si="11"/>
        <v>0</v>
      </c>
      <c r="H137" s="88"/>
      <c r="I137" s="20">
        <v>45</v>
      </c>
      <c r="J137" s="82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149</v>
      </c>
      <c r="C138" s="79">
        <f>+'24'!G138</f>
        <v>0</v>
      </c>
      <c r="D138" s="87">
        <v>0</v>
      </c>
      <c r="E138" s="47">
        <f t="shared" si="13"/>
        <v>0</v>
      </c>
      <c r="F138" s="87">
        <v>0</v>
      </c>
      <c r="G138" s="47">
        <f t="shared" si="11"/>
        <v>0</v>
      </c>
      <c r="H138" s="88"/>
      <c r="I138" s="20">
        <v>45</v>
      </c>
      <c r="J138" s="82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150</v>
      </c>
      <c r="C139" s="79">
        <f>+'24'!G139</f>
        <v>0</v>
      </c>
      <c r="D139" s="87">
        <v>0</v>
      </c>
      <c r="E139" s="47">
        <f t="shared" si="13"/>
        <v>0</v>
      </c>
      <c r="F139" s="87">
        <v>0</v>
      </c>
      <c r="G139" s="47">
        <f t="shared" si="11"/>
        <v>0</v>
      </c>
      <c r="H139" s="88"/>
      <c r="I139" s="20">
        <v>45</v>
      </c>
      <c r="J139" s="82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151</v>
      </c>
      <c r="C140" s="79">
        <f>+'24'!G140</f>
        <v>0</v>
      </c>
      <c r="D140" s="87">
        <v>0</v>
      </c>
      <c r="E140" s="47">
        <f t="shared" si="13"/>
        <v>0</v>
      </c>
      <c r="F140" s="87">
        <v>0</v>
      </c>
      <c r="G140" s="47">
        <f t="shared" si="11"/>
        <v>0</v>
      </c>
      <c r="H140" s="88"/>
      <c r="I140" s="20">
        <v>45</v>
      </c>
      <c r="J140" s="82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152</v>
      </c>
      <c r="C141" s="79">
        <f>+'24'!G141</f>
        <v>0</v>
      </c>
      <c r="D141" s="87">
        <v>0</v>
      </c>
      <c r="E141" s="47">
        <f t="shared" si="13"/>
        <v>0</v>
      </c>
      <c r="F141" s="87">
        <v>0</v>
      </c>
      <c r="G141" s="47">
        <f t="shared" si="11"/>
        <v>0</v>
      </c>
      <c r="H141" s="88"/>
      <c r="I141" s="20">
        <v>45</v>
      </c>
      <c r="J141" s="82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153</v>
      </c>
      <c r="C142" s="79">
        <f>+'24'!G142</f>
        <v>0</v>
      </c>
      <c r="D142" s="87">
        <v>0</v>
      </c>
      <c r="E142" s="47">
        <f t="shared" si="13"/>
        <v>0</v>
      </c>
      <c r="F142" s="87">
        <v>0</v>
      </c>
      <c r="G142" s="47">
        <f t="shared" si="11"/>
        <v>0</v>
      </c>
      <c r="H142" s="88"/>
      <c r="I142" s="20">
        <v>45</v>
      </c>
      <c r="J142" s="82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154</v>
      </c>
      <c r="C143" s="79">
        <f>+'24'!G143</f>
        <v>0</v>
      </c>
      <c r="D143" s="87">
        <v>0</v>
      </c>
      <c r="E143" s="47">
        <f t="shared" si="13"/>
        <v>0</v>
      </c>
      <c r="F143" s="87">
        <v>0</v>
      </c>
      <c r="G143" s="47">
        <f t="shared" si="11"/>
        <v>0</v>
      </c>
      <c r="H143" s="88"/>
      <c r="I143" s="20">
        <v>120</v>
      </c>
      <c r="J143" s="82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155</v>
      </c>
      <c r="C144" s="79">
        <f>+'24'!G144</f>
        <v>0</v>
      </c>
      <c r="D144" s="87">
        <v>0</v>
      </c>
      <c r="E144" s="47">
        <f t="shared" si="13"/>
        <v>0</v>
      </c>
      <c r="F144" s="87">
        <v>0</v>
      </c>
      <c r="G144" s="47">
        <f t="shared" si="11"/>
        <v>0</v>
      </c>
      <c r="H144" s="88"/>
      <c r="I144" s="20">
        <v>120</v>
      </c>
      <c r="J144" s="82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156</v>
      </c>
      <c r="C145" s="79">
        <f>+'24'!G145</f>
        <v>0</v>
      </c>
      <c r="D145" s="87">
        <v>0</v>
      </c>
      <c r="E145" s="47">
        <f t="shared" si="13"/>
        <v>0</v>
      </c>
      <c r="F145" s="87">
        <v>0</v>
      </c>
      <c r="G145" s="47">
        <f t="shared" si="11"/>
        <v>0</v>
      </c>
      <c r="H145" s="88"/>
      <c r="I145" s="20">
        <v>120</v>
      </c>
      <c r="J145" s="82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157</v>
      </c>
      <c r="C146" s="79">
        <f>+'24'!G146</f>
        <v>0</v>
      </c>
      <c r="D146" s="87">
        <v>0</v>
      </c>
      <c r="E146" s="47">
        <f t="shared" si="13"/>
        <v>0</v>
      </c>
      <c r="F146" s="87">
        <v>0</v>
      </c>
      <c r="G146" s="47">
        <f t="shared" si="11"/>
        <v>0</v>
      </c>
      <c r="H146" s="88"/>
      <c r="I146" s="20">
        <v>120</v>
      </c>
      <c r="J146" s="82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158</v>
      </c>
      <c r="C147" s="79">
        <f>+'24'!G147</f>
        <v>0</v>
      </c>
      <c r="D147" s="87">
        <v>0</v>
      </c>
      <c r="E147" s="47">
        <f t="shared" si="13"/>
        <v>0</v>
      </c>
      <c r="F147" s="87">
        <v>0</v>
      </c>
      <c r="G147" s="47">
        <f t="shared" si="11"/>
        <v>0</v>
      </c>
      <c r="H147" s="88"/>
      <c r="I147" s="20">
        <v>185</v>
      </c>
      <c r="J147" s="82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159</v>
      </c>
      <c r="C148" s="79">
        <f>+'24'!G148</f>
        <v>0</v>
      </c>
      <c r="D148" s="87">
        <v>0</v>
      </c>
      <c r="E148" s="47">
        <f t="shared" si="13"/>
        <v>0</v>
      </c>
      <c r="F148" s="87">
        <v>0</v>
      </c>
      <c r="G148" s="47">
        <f t="shared" si="11"/>
        <v>0</v>
      </c>
      <c r="H148" s="88"/>
      <c r="I148" s="20">
        <v>185</v>
      </c>
      <c r="J148" s="82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160</v>
      </c>
      <c r="C149" s="79">
        <f>+'24'!G149</f>
        <v>0</v>
      </c>
      <c r="D149" s="87">
        <v>0</v>
      </c>
      <c r="E149" s="47">
        <f t="shared" si="13"/>
        <v>0</v>
      </c>
      <c r="F149" s="87">
        <v>0</v>
      </c>
      <c r="G149" s="47">
        <f t="shared" si="11"/>
        <v>0</v>
      </c>
      <c r="H149" s="88"/>
      <c r="I149" s="20">
        <v>185</v>
      </c>
      <c r="J149" s="82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161</v>
      </c>
      <c r="C150" s="79">
        <f>+'24'!G150</f>
        <v>0</v>
      </c>
      <c r="D150" s="87">
        <v>0</v>
      </c>
      <c r="E150" s="47">
        <f t="shared" si="13"/>
        <v>0</v>
      </c>
      <c r="F150" s="87">
        <v>0</v>
      </c>
      <c r="G150" s="47">
        <f t="shared" si="11"/>
        <v>0</v>
      </c>
      <c r="H150" s="88"/>
      <c r="I150" s="20">
        <v>185</v>
      </c>
      <c r="J150" s="82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5.5" x14ac:dyDescent="0.55000000000000004">
      <c r="A151" s="10">
        <v>147</v>
      </c>
      <c r="B151" s="19" t="s">
        <v>279</v>
      </c>
      <c r="C151" s="79">
        <f>+'24'!G151</f>
        <v>0</v>
      </c>
      <c r="D151" s="87">
        <v>0</v>
      </c>
      <c r="E151" s="47">
        <f t="shared" si="13"/>
        <v>0</v>
      </c>
      <c r="F151" s="87">
        <v>0</v>
      </c>
      <c r="G151" s="47">
        <f t="shared" si="11"/>
        <v>0</v>
      </c>
      <c r="H151" s="88"/>
      <c r="I151" s="20">
        <v>150</v>
      </c>
      <c r="J151" s="82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280</v>
      </c>
      <c r="C152" s="79">
        <f>+'24'!G152</f>
        <v>1</v>
      </c>
      <c r="D152" s="87">
        <v>0</v>
      </c>
      <c r="E152" s="47">
        <f t="shared" si="13"/>
        <v>1</v>
      </c>
      <c r="F152" s="87">
        <v>0</v>
      </c>
      <c r="G152" s="47">
        <f t="shared" si="11"/>
        <v>1</v>
      </c>
      <c r="H152" s="88"/>
      <c r="I152" s="20">
        <v>150</v>
      </c>
      <c r="J152" s="82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5.5" x14ac:dyDescent="0.55000000000000004">
      <c r="A153" s="10">
        <v>149</v>
      </c>
      <c r="B153" s="19" t="s">
        <v>281</v>
      </c>
      <c r="C153" s="79">
        <f>+'24'!G153</f>
        <v>0</v>
      </c>
      <c r="D153" s="87">
        <v>0</v>
      </c>
      <c r="E153" s="47">
        <f t="shared" si="13"/>
        <v>0</v>
      </c>
      <c r="F153" s="87">
        <v>0</v>
      </c>
      <c r="G153" s="47">
        <f t="shared" si="11"/>
        <v>0</v>
      </c>
      <c r="H153" s="88"/>
      <c r="I153" s="20">
        <v>150</v>
      </c>
      <c r="J153" s="82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282</v>
      </c>
      <c r="C154" s="79">
        <f>+'24'!G154</f>
        <v>0</v>
      </c>
      <c r="D154" s="87">
        <v>0</v>
      </c>
      <c r="E154" s="47">
        <f t="shared" si="13"/>
        <v>0</v>
      </c>
      <c r="F154" s="87">
        <v>0</v>
      </c>
      <c r="G154" s="47">
        <f t="shared" si="11"/>
        <v>0</v>
      </c>
      <c r="H154" s="88"/>
      <c r="I154" s="20">
        <v>150</v>
      </c>
      <c r="J154" s="82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166</v>
      </c>
      <c r="C155" s="79">
        <f>+'24'!G155</f>
        <v>0</v>
      </c>
      <c r="D155" s="87">
        <v>0</v>
      </c>
      <c r="E155" s="47">
        <f t="shared" si="13"/>
        <v>0</v>
      </c>
      <c r="F155" s="87">
        <v>0</v>
      </c>
      <c r="G155" s="47">
        <f t="shared" si="11"/>
        <v>0</v>
      </c>
      <c r="H155" s="88"/>
      <c r="I155" s="20">
        <v>185</v>
      </c>
      <c r="J155" s="82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167</v>
      </c>
      <c r="C156" s="79">
        <f>+'24'!G156</f>
        <v>0</v>
      </c>
      <c r="D156" s="87">
        <v>0</v>
      </c>
      <c r="E156" s="47">
        <f t="shared" si="13"/>
        <v>0</v>
      </c>
      <c r="F156" s="87">
        <v>0</v>
      </c>
      <c r="G156" s="47">
        <f t="shared" si="11"/>
        <v>0</v>
      </c>
      <c r="H156" s="88"/>
      <c r="I156" s="20">
        <v>185</v>
      </c>
      <c r="J156" s="82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168</v>
      </c>
      <c r="C157" s="79">
        <f>+'24'!G157</f>
        <v>0</v>
      </c>
      <c r="D157" s="87">
        <v>0</v>
      </c>
      <c r="E157" s="47">
        <f t="shared" si="13"/>
        <v>0</v>
      </c>
      <c r="F157" s="87">
        <v>0</v>
      </c>
      <c r="G157" s="47">
        <f t="shared" si="11"/>
        <v>0</v>
      </c>
      <c r="H157" s="88"/>
      <c r="I157" s="20">
        <v>185</v>
      </c>
      <c r="J157" s="82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169</v>
      </c>
      <c r="C158" s="79">
        <f>+'24'!G158</f>
        <v>0</v>
      </c>
      <c r="D158" s="87">
        <v>0</v>
      </c>
      <c r="E158" s="47">
        <f t="shared" si="13"/>
        <v>0</v>
      </c>
      <c r="F158" s="87">
        <v>0</v>
      </c>
      <c r="G158" s="47">
        <f t="shared" si="11"/>
        <v>0</v>
      </c>
      <c r="H158" s="88"/>
      <c r="I158" s="20">
        <v>185</v>
      </c>
      <c r="J158" s="82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170</v>
      </c>
      <c r="C159" s="79">
        <f>+'24'!G159</f>
        <v>0</v>
      </c>
      <c r="D159" s="87">
        <v>0</v>
      </c>
      <c r="E159" s="47">
        <f t="shared" si="13"/>
        <v>0</v>
      </c>
      <c r="F159" s="87">
        <v>0</v>
      </c>
      <c r="G159" s="47">
        <f t="shared" si="11"/>
        <v>0</v>
      </c>
      <c r="H159" s="88"/>
      <c r="I159" s="20">
        <v>135</v>
      </c>
      <c r="J159" s="82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171</v>
      </c>
      <c r="C160" s="79">
        <f>+'24'!G160</f>
        <v>0</v>
      </c>
      <c r="D160" s="87">
        <v>0</v>
      </c>
      <c r="E160" s="47">
        <f t="shared" si="13"/>
        <v>0</v>
      </c>
      <c r="F160" s="87">
        <v>0</v>
      </c>
      <c r="G160" s="47">
        <f t="shared" si="11"/>
        <v>0</v>
      </c>
      <c r="H160" s="88"/>
      <c r="I160" s="20">
        <v>90</v>
      </c>
      <c r="J160" s="82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172</v>
      </c>
      <c r="C161" s="79">
        <f>+'24'!G161</f>
        <v>0</v>
      </c>
      <c r="D161" s="87">
        <v>0</v>
      </c>
      <c r="E161" s="47">
        <f t="shared" si="13"/>
        <v>0</v>
      </c>
      <c r="F161" s="87">
        <v>0</v>
      </c>
      <c r="G161" s="47">
        <f t="shared" si="11"/>
        <v>0</v>
      </c>
      <c r="H161" s="88"/>
      <c r="I161" s="20">
        <v>90</v>
      </c>
      <c r="J161" s="82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173</v>
      </c>
      <c r="C162" s="79">
        <f>+'24'!G162</f>
        <v>0</v>
      </c>
      <c r="D162" s="87">
        <v>0</v>
      </c>
      <c r="E162" s="47">
        <f t="shared" si="13"/>
        <v>0</v>
      </c>
      <c r="F162" s="87">
        <v>0</v>
      </c>
      <c r="G162" s="47">
        <f t="shared" si="11"/>
        <v>0</v>
      </c>
      <c r="H162" s="88"/>
      <c r="I162" s="20">
        <v>90</v>
      </c>
      <c r="J162" s="82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174</v>
      </c>
      <c r="C163" s="79">
        <f>+'24'!G163</f>
        <v>0</v>
      </c>
      <c r="D163" s="87">
        <v>0</v>
      </c>
      <c r="E163" s="47">
        <f t="shared" si="13"/>
        <v>0</v>
      </c>
      <c r="F163" s="87">
        <v>0</v>
      </c>
      <c r="G163" s="47">
        <f t="shared" si="11"/>
        <v>0</v>
      </c>
      <c r="H163" s="88"/>
      <c r="I163" s="20">
        <v>90</v>
      </c>
      <c r="J163" s="82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175</v>
      </c>
      <c r="C164" s="79">
        <f>+'24'!G164</f>
        <v>0</v>
      </c>
      <c r="D164" s="87">
        <v>0</v>
      </c>
      <c r="E164" s="47">
        <f t="shared" si="13"/>
        <v>0</v>
      </c>
      <c r="F164" s="87">
        <v>0</v>
      </c>
      <c r="G164" s="47">
        <f t="shared" si="11"/>
        <v>0</v>
      </c>
      <c r="H164" s="88"/>
      <c r="I164" s="20">
        <v>25</v>
      </c>
      <c r="J164" s="82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176</v>
      </c>
      <c r="C165" s="79">
        <f>+'24'!G165</f>
        <v>0</v>
      </c>
      <c r="D165" s="87">
        <v>0</v>
      </c>
      <c r="E165" s="47">
        <f t="shared" si="13"/>
        <v>0</v>
      </c>
      <c r="F165" s="87">
        <v>0</v>
      </c>
      <c r="G165" s="47">
        <f t="shared" ref="G165:G227" si="15">+E165-F165-H165</f>
        <v>0</v>
      </c>
      <c r="H165" s="88"/>
      <c r="I165" s="20">
        <v>50</v>
      </c>
      <c r="J165" s="82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177</v>
      </c>
      <c r="C166" s="79">
        <f>+'24'!G166</f>
        <v>0</v>
      </c>
      <c r="D166" s="87">
        <v>0</v>
      </c>
      <c r="E166" s="47">
        <f t="shared" si="13"/>
        <v>0</v>
      </c>
      <c r="F166" s="87">
        <v>0</v>
      </c>
      <c r="G166" s="47">
        <f t="shared" si="15"/>
        <v>0</v>
      </c>
      <c r="H166" s="88"/>
      <c r="I166" s="20">
        <v>50</v>
      </c>
      <c r="J166" s="82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178</v>
      </c>
      <c r="C167" s="79">
        <f>+'24'!G167</f>
        <v>0</v>
      </c>
      <c r="D167" s="87">
        <v>0</v>
      </c>
      <c r="E167" s="47">
        <f t="shared" si="13"/>
        <v>0</v>
      </c>
      <c r="F167" s="87">
        <v>0</v>
      </c>
      <c r="G167" s="47">
        <f t="shared" si="15"/>
        <v>0</v>
      </c>
      <c r="H167" s="88"/>
      <c r="I167" s="20">
        <v>50</v>
      </c>
      <c r="J167" s="82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179</v>
      </c>
      <c r="C168" s="79">
        <f>+'24'!G168</f>
        <v>0</v>
      </c>
      <c r="D168" s="87">
        <v>0</v>
      </c>
      <c r="E168" s="47">
        <f t="shared" si="13"/>
        <v>0</v>
      </c>
      <c r="F168" s="87">
        <v>0</v>
      </c>
      <c r="G168" s="47">
        <f t="shared" si="15"/>
        <v>0</v>
      </c>
      <c r="H168" s="88"/>
      <c r="I168" s="20">
        <v>50</v>
      </c>
      <c r="J168" s="82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180</v>
      </c>
      <c r="C169" s="79">
        <f>+'24'!G169</f>
        <v>39</v>
      </c>
      <c r="D169" s="87">
        <v>0</v>
      </c>
      <c r="E169" s="47">
        <f t="shared" si="13"/>
        <v>39</v>
      </c>
      <c r="F169" s="87">
        <v>0</v>
      </c>
      <c r="G169" s="47">
        <f t="shared" si="15"/>
        <v>38</v>
      </c>
      <c r="H169" s="88">
        <v>1</v>
      </c>
      <c r="I169" s="20">
        <v>55</v>
      </c>
      <c r="J169" s="82">
        <f t="shared" si="16"/>
        <v>55</v>
      </c>
      <c r="K169" s="17" t="s">
        <v>16</v>
      </c>
      <c r="L169" s="18">
        <v>0</v>
      </c>
      <c r="M169" s="23">
        <f t="shared" si="14"/>
        <v>55</v>
      </c>
    </row>
    <row r="170" spans="1:13" ht="25.5" x14ac:dyDescent="0.55000000000000004">
      <c r="A170" s="10">
        <v>166</v>
      </c>
      <c r="B170" s="19" t="s">
        <v>181</v>
      </c>
      <c r="C170" s="79">
        <f>+'24'!G170</f>
        <v>0</v>
      </c>
      <c r="D170" s="87">
        <v>0</v>
      </c>
      <c r="E170" s="47">
        <f t="shared" si="13"/>
        <v>0</v>
      </c>
      <c r="F170" s="87">
        <v>0</v>
      </c>
      <c r="G170" s="47">
        <f t="shared" si="15"/>
        <v>0</v>
      </c>
      <c r="H170" s="88"/>
      <c r="I170" s="20">
        <v>85</v>
      </c>
      <c r="J170" s="82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182</v>
      </c>
      <c r="C171" s="79">
        <f>+'24'!G171</f>
        <v>3</v>
      </c>
      <c r="D171" s="87">
        <v>0</v>
      </c>
      <c r="E171" s="47">
        <f t="shared" si="13"/>
        <v>3</v>
      </c>
      <c r="F171" s="87">
        <v>0</v>
      </c>
      <c r="G171" s="47">
        <f t="shared" si="15"/>
        <v>3</v>
      </c>
      <c r="H171" s="88"/>
      <c r="I171" s="20">
        <v>80</v>
      </c>
      <c r="J171" s="82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183</v>
      </c>
      <c r="C172" s="79">
        <f>+'24'!G172</f>
        <v>0</v>
      </c>
      <c r="D172" s="87">
        <v>0</v>
      </c>
      <c r="E172" s="47">
        <f t="shared" si="13"/>
        <v>0</v>
      </c>
      <c r="F172" s="87">
        <v>0</v>
      </c>
      <c r="G172" s="47">
        <f t="shared" si="15"/>
        <v>0</v>
      </c>
      <c r="H172" s="88"/>
      <c r="I172" s="20">
        <v>40</v>
      </c>
      <c r="J172" s="82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184</v>
      </c>
      <c r="C173" s="79">
        <f>+'24'!G173</f>
        <v>0</v>
      </c>
      <c r="D173" s="87">
        <v>0</v>
      </c>
      <c r="E173" s="47">
        <f t="shared" si="13"/>
        <v>0</v>
      </c>
      <c r="F173" s="87">
        <v>0</v>
      </c>
      <c r="G173" s="47">
        <f t="shared" si="15"/>
        <v>0</v>
      </c>
      <c r="H173" s="88"/>
      <c r="I173" s="20">
        <v>120</v>
      </c>
      <c r="J173" s="82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185</v>
      </c>
      <c r="C174" s="79">
        <f>+'24'!G174</f>
        <v>0</v>
      </c>
      <c r="D174" s="87">
        <v>0</v>
      </c>
      <c r="E174" s="47">
        <f t="shared" si="13"/>
        <v>0</v>
      </c>
      <c r="F174" s="87">
        <v>0</v>
      </c>
      <c r="G174" s="47">
        <f t="shared" si="15"/>
        <v>0</v>
      </c>
      <c r="H174" s="88"/>
      <c r="I174" s="20">
        <v>120</v>
      </c>
      <c r="J174" s="82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186</v>
      </c>
      <c r="C175" s="79">
        <f>+'24'!G175</f>
        <v>0</v>
      </c>
      <c r="D175" s="87">
        <v>0</v>
      </c>
      <c r="E175" s="47">
        <f t="shared" si="13"/>
        <v>0</v>
      </c>
      <c r="F175" s="87">
        <v>0</v>
      </c>
      <c r="G175" s="47">
        <f t="shared" si="15"/>
        <v>0</v>
      </c>
      <c r="H175" s="88"/>
      <c r="I175" s="20">
        <v>55</v>
      </c>
      <c r="J175" s="82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187</v>
      </c>
      <c r="C176" s="79">
        <f>+'24'!G176</f>
        <v>0</v>
      </c>
      <c r="D176" s="87">
        <v>0</v>
      </c>
      <c r="E176" s="47">
        <f t="shared" si="13"/>
        <v>0</v>
      </c>
      <c r="F176" s="87">
        <v>0</v>
      </c>
      <c r="G176" s="47">
        <f t="shared" si="15"/>
        <v>0</v>
      </c>
      <c r="H176" s="88"/>
      <c r="I176" s="20">
        <v>50</v>
      </c>
      <c r="J176" s="82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188</v>
      </c>
      <c r="C177" s="79">
        <f>+'24'!G177</f>
        <v>0</v>
      </c>
      <c r="D177" s="87">
        <v>0</v>
      </c>
      <c r="E177" s="47">
        <f t="shared" si="13"/>
        <v>0</v>
      </c>
      <c r="F177" s="87">
        <v>0</v>
      </c>
      <c r="G177" s="47">
        <f t="shared" si="15"/>
        <v>0</v>
      </c>
      <c r="H177" s="88"/>
      <c r="I177" s="20">
        <v>50</v>
      </c>
      <c r="J177" s="82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189</v>
      </c>
      <c r="C178" s="79">
        <f>+'24'!G178</f>
        <v>0</v>
      </c>
      <c r="D178" s="87">
        <v>0</v>
      </c>
      <c r="E178" s="47">
        <f t="shared" si="13"/>
        <v>0</v>
      </c>
      <c r="F178" s="87">
        <v>0</v>
      </c>
      <c r="G178" s="47">
        <f t="shared" si="15"/>
        <v>0</v>
      </c>
      <c r="H178" s="88"/>
      <c r="I178" s="20">
        <v>120</v>
      </c>
      <c r="J178" s="82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190</v>
      </c>
      <c r="C179" s="79">
        <f>+'24'!G179</f>
        <v>0</v>
      </c>
      <c r="D179" s="87">
        <v>0</v>
      </c>
      <c r="E179" s="47">
        <f t="shared" si="13"/>
        <v>0</v>
      </c>
      <c r="F179" s="87">
        <v>0</v>
      </c>
      <c r="G179" s="47">
        <f t="shared" si="15"/>
        <v>0</v>
      </c>
      <c r="H179" s="88"/>
      <c r="I179" s="20">
        <v>120</v>
      </c>
      <c r="J179" s="82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191</v>
      </c>
      <c r="C180" s="79">
        <f>+'24'!G180</f>
        <v>0</v>
      </c>
      <c r="D180" s="87">
        <v>0</v>
      </c>
      <c r="E180" s="47">
        <f t="shared" si="13"/>
        <v>0</v>
      </c>
      <c r="F180" s="87">
        <v>0</v>
      </c>
      <c r="G180" s="47">
        <f t="shared" si="15"/>
        <v>0</v>
      </c>
      <c r="H180" s="88"/>
      <c r="I180" s="20">
        <v>10</v>
      </c>
      <c r="J180" s="82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192</v>
      </c>
      <c r="C181" s="79">
        <f>+'24'!G181</f>
        <v>0</v>
      </c>
      <c r="D181" s="87">
        <v>0</v>
      </c>
      <c r="E181" s="47">
        <f t="shared" si="13"/>
        <v>0</v>
      </c>
      <c r="F181" s="87">
        <v>0</v>
      </c>
      <c r="G181" s="47">
        <f t="shared" si="15"/>
        <v>0</v>
      </c>
      <c r="H181" s="88"/>
      <c r="I181" s="20">
        <v>35</v>
      </c>
      <c r="J181" s="82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193</v>
      </c>
      <c r="C182" s="79">
        <f>+'24'!G182</f>
        <v>0</v>
      </c>
      <c r="D182" s="87">
        <v>0</v>
      </c>
      <c r="E182" s="47">
        <f t="shared" si="13"/>
        <v>0</v>
      </c>
      <c r="F182" s="87">
        <v>0</v>
      </c>
      <c r="G182" s="47">
        <f t="shared" si="15"/>
        <v>0</v>
      </c>
      <c r="H182" s="88"/>
      <c r="I182" s="20">
        <v>10</v>
      </c>
      <c r="J182" s="82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194</v>
      </c>
      <c r="C183" s="79">
        <f>+'24'!G183</f>
        <v>0</v>
      </c>
      <c r="D183" s="87">
        <v>0</v>
      </c>
      <c r="E183" s="47">
        <f t="shared" si="13"/>
        <v>0</v>
      </c>
      <c r="F183" s="87">
        <v>0</v>
      </c>
      <c r="G183" s="47">
        <f t="shared" si="15"/>
        <v>0</v>
      </c>
      <c r="H183" s="88"/>
      <c r="I183" s="20">
        <v>10</v>
      </c>
      <c r="J183" s="82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195</v>
      </c>
      <c r="C184" s="79">
        <f>+'24'!G184</f>
        <v>0</v>
      </c>
      <c r="D184" s="87">
        <v>0</v>
      </c>
      <c r="E184" s="47">
        <f t="shared" si="13"/>
        <v>0</v>
      </c>
      <c r="F184" s="87">
        <v>0</v>
      </c>
      <c r="G184" s="47">
        <f t="shared" si="15"/>
        <v>0</v>
      </c>
      <c r="H184" s="88"/>
      <c r="I184" s="20">
        <v>10</v>
      </c>
      <c r="J184" s="82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196</v>
      </c>
      <c r="C185" s="79">
        <f>+'24'!G185</f>
        <v>0</v>
      </c>
      <c r="D185" s="87">
        <v>0</v>
      </c>
      <c r="E185" s="47">
        <f t="shared" si="13"/>
        <v>0</v>
      </c>
      <c r="F185" s="87">
        <v>0</v>
      </c>
      <c r="G185" s="47">
        <f t="shared" si="15"/>
        <v>0</v>
      </c>
      <c r="H185" s="88"/>
      <c r="I185" s="20">
        <v>10</v>
      </c>
      <c r="J185" s="82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197</v>
      </c>
      <c r="C186" s="79">
        <f>+'24'!G186</f>
        <v>0</v>
      </c>
      <c r="D186" s="87">
        <v>0</v>
      </c>
      <c r="E186" s="47">
        <f t="shared" si="13"/>
        <v>0</v>
      </c>
      <c r="F186" s="87">
        <v>0</v>
      </c>
      <c r="G186" s="47">
        <f t="shared" si="15"/>
        <v>0</v>
      </c>
      <c r="H186" s="88"/>
      <c r="I186" s="20">
        <v>10</v>
      </c>
      <c r="J186" s="82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198</v>
      </c>
      <c r="C187" s="79">
        <f>+'24'!G187</f>
        <v>0</v>
      </c>
      <c r="D187" s="87">
        <v>0</v>
      </c>
      <c r="E187" s="47">
        <f t="shared" si="13"/>
        <v>0</v>
      </c>
      <c r="F187" s="87">
        <v>0</v>
      </c>
      <c r="G187" s="47">
        <f t="shared" si="15"/>
        <v>0</v>
      </c>
      <c r="H187" s="88"/>
      <c r="I187" s="20">
        <v>25</v>
      </c>
      <c r="J187" s="82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249</v>
      </c>
      <c r="C188" s="79">
        <f>+'24'!G188</f>
        <v>0</v>
      </c>
      <c r="D188" s="87">
        <v>0</v>
      </c>
      <c r="E188" s="47">
        <f t="shared" si="13"/>
        <v>0</v>
      </c>
      <c r="F188" s="87">
        <v>0</v>
      </c>
      <c r="G188" s="47">
        <f t="shared" si="15"/>
        <v>0</v>
      </c>
      <c r="H188" s="88"/>
      <c r="I188" s="15">
        <v>50</v>
      </c>
      <c r="J188" s="82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250</v>
      </c>
      <c r="C189" s="79">
        <f>+'24'!G189</f>
        <v>0</v>
      </c>
      <c r="D189" s="87">
        <v>0</v>
      </c>
      <c r="E189" s="47">
        <f t="shared" si="13"/>
        <v>0</v>
      </c>
      <c r="F189" s="87">
        <v>0</v>
      </c>
      <c r="G189" s="47">
        <f t="shared" si="15"/>
        <v>0</v>
      </c>
      <c r="H189" s="88"/>
      <c r="I189" s="15">
        <v>10</v>
      </c>
      <c r="J189" s="82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251</v>
      </c>
      <c r="C190" s="79">
        <f>+'24'!G190</f>
        <v>0</v>
      </c>
      <c r="D190" s="87">
        <v>0</v>
      </c>
      <c r="E190" s="47">
        <f t="shared" ref="E190:E252" si="17">C190+D190</f>
        <v>0</v>
      </c>
      <c r="F190" s="87">
        <v>0</v>
      </c>
      <c r="G190" s="47">
        <f t="shared" si="15"/>
        <v>0</v>
      </c>
      <c r="H190" s="88"/>
      <c r="I190" s="15">
        <v>15</v>
      </c>
      <c r="J190" s="82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252</v>
      </c>
      <c r="C191" s="79">
        <f>+'24'!G191</f>
        <v>0</v>
      </c>
      <c r="D191" s="87">
        <v>0</v>
      </c>
      <c r="E191" s="47">
        <f t="shared" si="17"/>
        <v>0</v>
      </c>
      <c r="F191" s="87">
        <v>0</v>
      </c>
      <c r="G191" s="47">
        <f t="shared" si="15"/>
        <v>0</v>
      </c>
      <c r="H191" s="88"/>
      <c r="I191" s="15">
        <v>25</v>
      </c>
      <c r="J191" s="82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253</v>
      </c>
      <c r="C192" s="79">
        <f>+'24'!G192</f>
        <v>0</v>
      </c>
      <c r="D192" s="87">
        <v>0</v>
      </c>
      <c r="E192" s="47">
        <f t="shared" si="17"/>
        <v>0</v>
      </c>
      <c r="F192" s="87">
        <v>0</v>
      </c>
      <c r="G192" s="47">
        <f t="shared" si="15"/>
        <v>0</v>
      </c>
      <c r="H192" s="88"/>
      <c r="I192" s="15">
        <v>50</v>
      </c>
      <c r="J192" s="82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254</v>
      </c>
      <c r="C193" s="79">
        <f>+'24'!G193</f>
        <v>0</v>
      </c>
      <c r="D193" s="87">
        <v>0</v>
      </c>
      <c r="E193" s="47">
        <f t="shared" si="17"/>
        <v>0</v>
      </c>
      <c r="F193" s="87">
        <v>0</v>
      </c>
      <c r="G193" s="47">
        <f t="shared" si="15"/>
        <v>0</v>
      </c>
      <c r="H193" s="88"/>
      <c r="I193" s="15">
        <v>45</v>
      </c>
      <c r="J193" s="82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255</v>
      </c>
      <c r="C194" s="79">
        <f>+'24'!G194</f>
        <v>0</v>
      </c>
      <c r="D194" s="87">
        <v>0</v>
      </c>
      <c r="E194" s="47">
        <f t="shared" si="17"/>
        <v>0</v>
      </c>
      <c r="F194" s="87">
        <v>0</v>
      </c>
      <c r="G194" s="47">
        <f t="shared" si="15"/>
        <v>0</v>
      </c>
      <c r="H194" s="88"/>
      <c r="I194" s="15">
        <v>50</v>
      </c>
      <c r="J194" s="82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199</v>
      </c>
      <c r="C195" s="79">
        <f>+'24'!G195</f>
        <v>0</v>
      </c>
      <c r="D195" s="87">
        <v>0</v>
      </c>
      <c r="E195" s="47">
        <f t="shared" si="17"/>
        <v>0</v>
      </c>
      <c r="F195" s="87">
        <v>0</v>
      </c>
      <c r="G195" s="47">
        <f t="shared" si="15"/>
        <v>0</v>
      </c>
      <c r="H195" s="88"/>
      <c r="I195" s="15">
        <v>150</v>
      </c>
      <c r="J195" s="82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200</v>
      </c>
      <c r="C196" s="79">
        <f>+'24'!G196</f>
        <v>0</v>
      </c>
      <c r="D196" s="87">
        <v>0</v>
      </c>
      <c r="E196" s="47">
        <f t="shared" si="17"/>
        <v>0</v>
      </c>
      <c r="F196" s="87">
        <v>0</v>
      </c>
      <c r="G196" s="47">
        <f t="shared" si="15"/>
        <v>0</v>
      </c>
      <c r="H196" s="88"/>
      <c r="I196" s="15">
        <v>150</v>
      </c>
      <c r="J196" s="82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201</v>
      </c>
      <c r="C197" s="79">
        <f>+'24'!G197</f>
        <v>0</v>
      </c>
      <c r="D197" s="87">
        <v>0</v>
      </c>
      <c r="E197" s="47">
        <f t="shared" si="17"/>
        <v>0</v>
      </c>
      <c r="F197" s="87">
        <v>0</v>
      </c>
      <c r="G197" s="47">
        <f t="shared" si="15"/>
        <v>0</v>
      </c>
      <c r="H197" s="88"/>
      <c r="I197" s="15">
        <v>150</v>
      </c>
      <c r="J197" s="82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256</v>
      </c>
      <c r="C198" s="79">
        <f>+'24'!G198</f>
        <v>0</v>
      </c>
      <c r="D198" s="87">
        <v>0</v>
      </c>
      <c r="E198" s="47">
        <f t="shared" si="17"/>
        <v>0</v>
      </c>
      <c r="F198" s="87">
        <v>0</v>
      </c>
      <c r="G198" s="47">
        <f t="shared" si="15"/>
        <v>0</v>
      </c>
      <c r="H198" s="88"/>
      <c r="I198" s="15">
        <v>55</v>
      </c>
      <c r="J198" s="82">
        <f t="shared" si="16"/>
        <v>0</v>
      </c>
      <c r="K198" s="17" t="s">
        <v>16</v>
      </c>
      <c r="L198" s="18">
        <v>0</v>
      </c>
      <c r="M198" s="23">
        <f t="shared" si="14"/>
        <v>0</v>
      </c>
    </row>
    <row r="199" spans="1:13" ht="25.5" x14ac:dyDescent="0.55000000000000004">
      <c r="A199" s="10">
        <v>195</v>
      </c>
      <c r="B199" s="19" t="s">
        <v>257</v>
      </c>
      <c r="C199" s="79">
        <f>+'24'!G199</f>
        <v>0</v>
      </c>
      <c r="D199" s="87">
        <v>0</v>
      </c>
      <c r="E199" s="47">
        <f t="shared" si="17"/>
        <v>0</v>
      </c>
      <c r="F199" s="87">
        <v>0</v>
      </c>
      <c r="G199" s="47">
        <f t="shared" si="15"/>
        <v>0</v>
      </c>
      <c r="H199" s="88"/>
      <c r="I199" s="15">
        <v>30</v>
      </c>
      <c r="J199" s="82">
        <f t="shared" si="16"/>
        <v>0</v>
      </c>
      <c r="K199" s="17" t="s">
        <v>16</v>
      </c>
      <c r="L199" s="18">
        <v>0</v>
      </c>
      <c r="M199" s="23">
        <f t="shared" ref="M199:M254" si="18">SUM(J199-L199)</f>
        <v>0</v>
      </c>
    </row>
    <row r="200" spans="1:13" ht="25.5" x14ac:dyDescent="0.55000000000000004">
      <c r="A200" s="10">
        <v>196</v>
      </c>
      <c r="B200" s="19" t="s">
        <v>258</v>
      </c>
      <c r="C200" s="79">
        <f>+'24'!G200</f>
        <v>0</v>
      </c>
      <c r="D200" s="87">
        <v>0</v>
      </c>
      <c r="E200" s="47">
        <f t="shared" si="17"/>
        <v>0</v>
      </c>
      <c r="F200" s="87">
        <v>0</v>
      </c>
      <c r="G200" s="47">
        <f t="shared" si="15"/>
        <v>0</v>
      </c>
      <c r="H200" s="88"/>
      <c r="I200" s="15">
        <v>30</v>
      </c>
      <c r="J200" s="82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259</v>
      </c>
      <c r="C201" s="79">
        <f>+'24'!G201</f>
        <v>0</v>
      </c>
      <c r="D201" s="87">
        <v>0</v>
      </c>
      <c r="E201" s="47">
        <f t="shared" si="17"/>
        <v>0</v>
      </c>
      <c r="F201" s="87">
        <v>0</v>
      </c>
      <c r="G201" s="47">
        <f t="shared" si="15"/>
        <v>0</v>
      </c>
      <c r="H201" s="88"/>
      <c r="I201" s="15">
        <v>30</v>
      </c>
      <c r="J201" s="82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260</v>
      </c>
      <c r="C202" s="79">
        <f>+'24'!G202</f>
        <v>0</v>
      </c>
      <c r="D202" s="87">
        <v>0</v>
      </c>
      <c r="E202" s="47">
        <f t="shared" si="17"/>
        <v>0</v>
      </c>
      <c r="F202" s="87">
        <v>0</v>
      </c>
      <c r="G202" s="47">
        <f t="shared" si="15"/>
        <v>0</v>
      </c>
      <c r="H202" s="88"/>
      <c r="I202" s="15">
        <v>30</v>
      </c>
      <c r="J202" s="82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1" t="s">
        <v>261</v>
      </c>
      <c r="C203" s="79">
        <f>+'24'!G203</f>
        <v>0</v>
      </c>
      <c r="D203" s="87">
        <v>0</v>
      </c>
      <c r="E203" s="47">
        <f t="shared" si="17"/>
        <v>0</v>
      </c>
      <c r="F203" s="87">
        <v>0</v>
      </c>
      <c r="G203" s="47">
        <f t="shared" si="15"/>
        <v>0</v>
      </c>
      <c r="H203" s="88"/>
      <c r="I203" s="20">
        <v>30</v>
      </c>
      <c r="J203" s="82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1" t="s">
        <v>262</v>
      </c>
      <c r="C204" s="79">
        <f>+'24'!G204</f>
        <v>0</v>
      </c>
      <c r="D204" s="87">
        <v>0</v>
      </c>
      <c r="E204" s="47">
        <f t="shared" si="17"/>
        <v>0</v>
      </c>
      <c r="F204" s="87">
        <v>0</v>
      </c>
      <c r="G204" s="47">
        <f t="shared" si="15"/>
        <v>0</v>
      </c>
      <c r="H204" s="88"/>
      <c r="I204" s="20">
        <v>30</v>
      </c>
      <c r="J204" s="82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1" t="s">
        <v>263</v>
      </c>
      <c r="C205" s="79">
        <f>+'24'!G205</f>
        <v>0</v>
      </c>
      <c r="D205" s="87">
        <v>0</v>
      </c>
      <c r="E205" s="47">
        <f t="shared" si="17"/>
        <v>0</v>
      </c>
      <c r="F205" s="87">
        <v>0</v>
      </c>
      <c r="G205" s="47">
        <f t="shared" si="15"/>
        <v>0</v>
      </c>
      <c r="H205" s="88"/>
      <c r="I205" s="20">
        <v>50</v>
      </c>
      <c r="J205" s="82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1" t="s">
        <v>264</v>
      </c>
      <c r="C206" s="79">
        <f>+'24'!G206</f>
        <v>0</v>
      </c>
      <c r="D206" s="87">
        <v>0</v>
      </c>
      <c r="E206" s="47">
        <f t="shared" si="17"/>
        <v>0</v>
      </c>
      <c r="F206" s="87">
        <v>0</v>
      </c>
      <c r="G206" s="47">
        <f t="shared" si="15"/>
        <v>0</v>
      </c>
      <c r="H206" s="88"/>
      <c r="I206" s="20">
        <v>100</v>
      </c>
      <c r="J206" s="82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1" t="s">
        <v>265</v>
      </c>
      <c r="C207" s="79">
        <f>+'24'!G207</f>
        <v>0</v>
      </c>
      <c r="D207" s="87">
        <v>0</v>
      </c>
      <c r="E207" s="47">
        <f t="shared" si="17"/>
        <v>0</v>
      </c>
      <c r="F207" s="87">
        <v>0</v>
      </c>
      <c r="G207" s="47">
        <f t="shared" si="15"/>
        <v>0</v>
      </c>
      <c r="H207" s="88"/>
      <c r="I207" s="20">
        <v>100</v>
      </c>
      <c r="J207" s="82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1" t="s">
        <v>266</v>
      </c>
      <c r="C208" s="79">
        <f>+'24'!G208</f>
        <v>0</v>
      </c>
      <c r="D208" s="87">
        <v>0</v>
      </c>
      <c r="E208" s="47">
        <f t="shared" si="17"/>
        <v>0</v>
      </c>
      <c r="F208" s="87">
        <v>0</v>
      </c>
      <c r="G208" s="47">
        <f t="shared" si="15"/>
        <v>0</v>
      </c>
      <c r="H208" s="88"/>
      <c r="I208" s="20">
        <v>100</v>
      </c>
      <c r="J208" s="82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1" t="s">
        <v>267</v>
      </c>
      <c r="C209" s="79">
        <f>+'24'!G209</f>
        <v>0</v>
      </c>
      <c r="D209" s="87">
        <v>0</v>
      </c>
      <c r="E209" s="47">
        <f t="shared" si="17"/>
        <v>0</v>
      </c>
      <c r="F209" s="87">
        <v>0</v>
      </c>
      <c r="G209" s="47">
        <f t="shared" si="15"/>
        <v>0</v>
      </c>
      <c r="H209" s="88"/>
      <c r="I209" s="20">
        <v>100</v>
      </c>
      <c r="J209" s="82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1" t="s">
        <v>268</v>
      </c>
      <c r="C210" s="79">
        <f>+'24'!G210</f>
        <v>0</v>
      </c>
      <c r="D210" s="87">
        <v>0</v>
      </c>
      <c r="E210" s="47">
        <f t="shared" si="17"/>
        <v>0</v>
      </c>
      <c r="F210" s="87">
        <v>0</v>
      </c>
      <c r="G210" s="47">
        <f t="shared" si="15"/>
        <v>0</v>
      </c>
      <c r="H210" s="88"/>
      <c r="I210" s="20">
        <v>250</v>
      </c>
      <c r="J210" s="82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1" t="s">
        <v>269</v>
      </c>
      <c r="C211" s="79">
        <f>+'24'!G211</f>
        <v>0</v>
      </c>
      <c r="D211" s="87">
        <v>0</v>
      </c>
      <c r="E211" s="47">
        <f t="shared" si="17"/>
        <v>0</v>
      </c>
      <c r="F211" s="87">
        <v>0</v>
      </c>
      <c r="G211" s="47">
        <f t="shared" si="15"/>
        <v>0</v>
      </c>
      <c r="H211" s="88"/>
      <c r="I211" s="20">
        <v>250</v>
      </c>
      <c r="J211" s="82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1" t="s">
        <v>270</v>
      </c>
      <c r="C212" s="79">
        <f>+'24'!G212</f>
        <v>0</v>
      </c>
      <c r="D212" s="87">
        <v>0</v>
      </c>
      <c r="E212" s="47">
        <f t="shared" si="17"/>
        <v>0</v>
      </c>
      <c r="F212" s="87">
        <v>0</v>
      </c>
      <c r="G212" s="47">
        <f t="shared" si="15"/>
        <v>0</v>
      </c>
      <c r="H212" s="88"/>
      <c r="I212" s="20">
        <v>250</v>
      </c>
      <c r="J212" s="82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1" t="s">
        <v>271</v>
      </c>
      <c r="C213" s="79">
        <f>+'24'!G213</f>
        <v>0</v>
      </c>
      <c r="D213" s="87">
        <v>0</v>
      </c>
      <c r="E213" s="47">
        <f t="shared" si="17"/>
        <v>0</v>
      </c>
      <c r="F213" s="87">
        <v>0</v>
      </c>
      <c r="G213" s="47">
        <f t="shared" si="15"/>
        <v>0</v>
      </c>
      <c r="H213" s="88"/>
      <c r="I213" s="20">
        <v>50</v>
      </c>
      <c r="J213" s="82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1" t="s">
        <v>273</v>
      </c>
      <c r="C214" s="79">
        <f>+'24'!G214</f>
        <v>0</v>
      </c>
      <c r="D214" s="87">
        <v>0</v>
      </c>
      <c r="E214" s="47">
        <f t="shared" si="17"/>
        <v>0</v>
      </c>
      <c r="F214" s="87">
        <v>0</v>
      </c>
      <c r="G214" s="47">
        <f t="shared" si="15"/>
        <v>0</v>
      </c>
      <c r="H214" s="88"/>
      <c r="I214" s="20">
        <v>50</v>
      </c>
      <c r="J214" s="82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1" t="s">
        <v>274</v>
      </c>
      <c r="C215" s="79">
        <f>+'24'!G215</f>
        <v>0</v>
      </c>
      <c r="D215" s="87">
        <v>0</v>
      </c>
      <c r="E215" s="47">
        <f t="shared" si="17"/>
        <v>0</v>
      </c>
      <c r="F215" s="87">
        <v>0</v>
      </c>
      <c r="G215" s="47">
        <f t="shared" si="15"/>
        <v>0</v>
      </c>
      <c r="H215" s="88"/>
      <c r="I215" s="20">
        <v>50</v>
      </c>
      <c r="J215" s="82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1" t="s">
        <v>242</v>
      </c>
      <c r="C216" s="79">
        <f>+'24'!G216</f>
        <v>0</v>
      </c>
      <c r="D216" s="87">
        <v>0</v>
      </c>
      <c r="E216" s="47">
        <f t="shared" si="17"/>
        <v>0</v>
      </c>
      <c r="F216" s="87">
        <v>0</v>
      </c>
      <c r="G216" s="47">
        <f t="shared" si="15"/>
        <v>0</v>
      </c>
      <c r="H216" s="88"/>
      <c r="I216" s="20">
        <v>35</v>
      </c>
      <c r="J216" s="82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1" t="s">
        <v>275</v>
      </c>
      <c r="C217" s="79">
        <f>+'24'!G217</f>
        <v>0</v>
      </c>
      <c r="D217" s="87">
        <v>0</v>
      </c>
      <c r="E217" s="47">
        <f t="shared" si="17"/>
        <v>0</v>
      </c>
      <c r="F217" s="87">
        <v>0</v>
      </c>
      <c r="G217" s="47">
        <f t="shared" si="15"/>
        <v>0</v>
      </c>
      <c r="H217" s="88"/>
      <c r="I217" s="20">
        <v>199</v>
      </c>
      <c r="J217" s="82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1" t="s">
        <v>283</v>
      </c>
      <c r="C218" s="79"/>
      <c r="D218" s="87">
        <v>0</v>
      </c>
      <c r="E218" s="47">
        <f t="shared" si="17"/>
        <v>0</v>
      </c>
      <c r="F218" s="87">
        <v>0</v>
      </c>
      <c r="G218" s="47">
        <f t="shared" si="15"/>
        <v>0</v>
      </c>
      <c r="H218" s="88"/>
      <c r="I218" s="20">
        <v>25</v>
      </c>
      <c r="J218" s="82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1" t="s">
        <v>284</v>
      </c>
      <c r="C219" s="79"/>
      <c r="D219" s="87">
        <v>0</v>
      </c>
      <c r="E219" s="47">
        <f t="shared" si="17"/>
        <v>0</v>
      </c>
      <c r="F219" s="87">
        <v>0</v>
      </c>
      <c r="G219" s="47">
        <f t="shared" si="15"/>
        <v>0</v>
      </c>
      <c r="H219" s="88"/>
      <c r="I219" s="20">
        <v>25</v>
      </c>
      <c r="J219" s="82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1" t="s">
        <v>314</v>
      </c>
      <c r="C220" s="79">
        <f>+'24'!G220</f>
        <v>0</v>
      </c>
      <c r="D220" s="87">
        <v>0</v>
      </c>
      <c r="E220" s="47">
        <f t="shared" si="17"/>
        <v>0</v>
      </c>
      <c r="F220" s="87">
        <v>0</v>
      </c>
      <c r="G220" s="47">
        <f t="shared" si="15"/>
        <v>0</v>
      </c>
      <c r="H220" s="88"/>
      <c r="I220" s="20">
        <v>35</v>
      </c>
      <c r="J220" s="82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1" t="s">
        <v>326</v>
      </c>
      <c r="C221" s="79">
        <f>+'24'!G221</f>
        <v>1</v>
      </c>
      <c r="D221" s="87">
        <v>0</v>
      </c>
      <c r="E221" s="47">
        <f t="shared" si="17"/>
        <v>1</v>
      </c>
      <c r="F221" s="87">
        <v>0</v>
      </c>
      <c r="G221" s="47">
        <f t="shared" si="15"/>
        <v>1</v>
      </c>
      <c r="H221" s="88"/>
      <c r="I221" s="20">
        <v>55</v>
      </c>
      <c r="J221" s="82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1" t="s">
        <v>327</v>
      </c>
      <c r="C222" s="79">
        <f>+'24'!G222</f>
        <v>14</v>
      </c>
      <c r="D222" s="87">
        <v>0</v>
      </c>
      <c r="E222" s="47">
        <f t="shared" si="17"/>
        <v>14</v>
      </c>
      <c r="F222" s="87">
        <v>0</v>
      </c>
      <c r="G222" s="47">
        <f t="shared" si="15"/>
        <v>13</v>
      </c>
      <c r="H222" s="88">
        <v>1</v>
      </c>
      <c r="I222" s="20">
        <v>40</v>
      </c>
      <c r="J222" s="82">
        <f t="shared" si="16"/>
        <v>40</v>
      </c>
      <c r="K222" s="17" t="s">
        <v>16</v>
      </c>
      <c r="L222" s="18">
        <v>0</v>
      </c>
      <c r="M222" s="23">
        <f t="shared" si="18"/>
        <v>40</v>
      </c>
    </row>
    <row r="223" spans="1:13" ht="25.5" x14ac:dyDescent="0.55000000000000004">
      <c r="A223" s="10">
        <v>219</v>
      </c>
      <c r="B223" s="11"/>
      <c r="C223" s="79">
        <f>+'24'!G223</f>
        <v>0</v>
      </c>
      <c r="D223" s="87">
        <v>0</v>
      </c>
      <c r="E223" s="47">
        <f t="shared" si="17"/>
        <v>0</v>
      </c>
      <c r="F223" s="87">
        <v>0</v>
      </c>
      <c r="G223" s="47">
        <f t="shared" si="15"/>
        <v>0</v>
      </c>
      <c r="H223" s="88"/>
      <c r="I223" s="20"/>
      <c r="J223" s="82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1"/>
      <c r="C224" s="79">
        <f>+'24'!G224</f>
        <v>0</v>
      </c>
      <c r="D224" s="87">
        <v>0</v>
      </c>
      <c r="E224" s="47">
        <f t="shared" si="17"/>
        <v>0</v>
      </c>
      <c r="F224" s="87">
        <v>0</v>
      </c>
      <c r="G224" s="47">
        <f t="shared" si="15"/>
        <v>0</v>
      </c>
      <c r="H224" s="88"/>
      <c r="I224" s="20"/>
      <c r="J224" s="82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1"/>
      <c r="C225" s="79">
        <f>+'24'!G225</f>
        <v>0</v>
      </c>
      <c r="D225" s="87">
        <v>0</v>
      </c>
      <c r="E225" s="47">
        <f t="shared" si="17"/>
        <v>0</v>
      </c>
      <c r="F225" s="87">
        <v>0</v>
      </c>
      <c r="G225" s="47">
        <f t="shared" si="15"/>
        <v>0</v>
      </c>
      <c r="H225" s="88"/>
      <c r="I225" s="20"/>
      <c r="J225" s="82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1"/>
      <c r="C226" s="79">
        <f>+'24'!G226</f>
        <v>0</v>
      </c>
      <c r="D226" s="87">
        <v>0</v>
      </c>
      <c r="E226" s="47">
        <f t="shared" si="17"/>
        <v>0</v>
      </c>
      <c r="F226" s="87">
        <v>0</v>
      </c>
      <c r="G226" s="47">
        <f t="shared" si="15"/>
        <v>0</v>
      </c>
      <c r="H226" s="88"/>
      <c r="I226" s="20"/>
      <c r="J226" s="82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1"/>
      <c r="C227" s="79">
        <f>+'24'!G227</f>
        <v>0</v>
      </c>
      <c r="D227" s="87">
        <v>0</v>
      </c>
      <c r="E227" s="47">
        <f t="shared" si="17"/>
        <v>0</v>
      </c>
      <c r="F227" s="87">
        <v>0</v>
      </c>
      <c r="G227" s="47">
        <f t="shared" si="15"/>
        <v>0</v>
      </c>
      <c r="H227" s="88"/>
      <c r="I227" s="20"/>
      <c r="J227" s="82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1"/>
      <c r="C228" s="79">
        <f>+'24'!G228</f>
        <v>0</v>
      </c>
      <c r="D228" s="87">
        <v>0</v>
      </c>
      <c r="E228" s="47">
        <f t="shared" si="17"/>
        <v>0</v>
      </c>
      <c r="F228" s="87">
        <v>0</v>
      </c>
      <c r="G228" s="47">
        <f t="shared" ref="G228:G254" si="19">+E228-F228-H228</f>
        <v>0</v>
      </c>
      <c r="H228" s="88"/>
      <c r="I228" s="20"/>
      <c r="J228" s="82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1"/>
      <c r="C229" s="79">
        <f>+'24'!G229</f>
        <v>0</v>
      </c>
      <c r="D229" s="87">
        <v>0</v>
      </c>
      <c r="E229" s="47">
        <f t="shared" si="17"/>
        <v>0</v>
      </c>
      <c r="F229" s="87">
        <v>0</v>
      </c>
      <c r="G229" s="47">
        <f t="shared" si="19"/>
        <v>0</v>
      </c>
      <c r="H229" s="88"/>
      <c r="I229" s="20"/>
      <c r="J229" s="82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1"/>
      <c r="C230" s="79">
        <f>+'24'!G230</f>
        <v>0</v>
      </c>
      <c r="D230" s="87">
        <v>0</v>
      </c>
      <c r="E230" s="47">
        <f t="shared" si="17"/>
        <v>0</v>
      </c>
      <c r="F230" s="87">
        <v>0</v>
      </c>
      <c r="G230" s="47">
        <f t="shared" si="19"/>
        <v>0</v>
      </c>
      <c r="H230" s="88"/>
      <c r="I230" s="20"/>
      <c r="J230" s="82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1"/>
      <c r="C231" s="79">
        <f>+'24'!G231</f>
        <v>0</v>
      </c>
      <c r="D231" s="87">
        <v>0</v>
      </c>
      <c r="E231" s="47">
        <f t="shared" si="17"/>
        <v>0</v>
      </c>
      <c r="F231" s="87">
        <v>0</v>
      </c>
      <c r="G231" s="47">
        <f t="shared" si="19"/>
        <v>0</v>
      </c>
      <c r="H231" s="88"/>
      <c r="I231" s="20"/>
      <c r="J231" s="82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1"/>
      <c r="C232" s="79">
        <f>+'24'!G232</f>
        <v>0</v>
      </c>
      <c r="D232" s="87">
        <v>0</v>
      </c>
      <c r="E232" s="47">
        <f t="shared" si="17"/>
        <v>0</v>
      </c>
      <c r="F232" s="87">
        <v>0</v>
      </c>
      <c r="G232" s="47">
        <f t="shared" si="19"/>
        <v>0</v>
      </c>
      <c r="H232" s="88"/>
      <c r="I232" s="20"/>
      <c r="J232" s="82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1"/>
      <c r="C233" s="79">
        <f>+'24'!G233</f>
        <v>0</v>
      </c>
      <c r="D233" s="87">
        <v>0</v>
      </c>
      <c r="E233" s="47">
        <f t="shared" si="17"/>
        <v>0</v>
      </c>
      <c r="F233" s="87">
        <v>0</v>
      </c>
      <c r="G233" s="47">
        <f t="shared" si="19"/>
        <v>0</v>
      </c>
      <c r="H233" s="88"/>
      <c r="I233" s="20"/>
      <c r="J233" s="82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1"/>
      <c r="C234" s="79">
        <f>+'24'!G234</f>
        <v>0</v>
      </c>
      <c r="D234" s="87">
        <v>0</v>
      </c>
      <c r="E234" s="47">
        <f t="shared" si="17"/>
        <v>0</v>
      </c>
      <c r="F234" s="87">
        <v>0</v>
      </c>
      <c r="G234" s="47">
        <f t="shared" si="19"/>
        <v>0</v>
      </c>
      <c r="H234" s="88"/>
      <c r="I234" s="20"/>
      <c r="J234" s="82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1"/>
      <c r="C235" s="79">
        <f>+'24'!G235</f>
        <v>0</v>
      </c>
      <c r="D235" s="87">
        <v>0</v>
      </c>
      <c r="E235" s="47">
        <f t="shared" si="17"/>
        <v>0</v>
      </c>
      <c r="F235" s="87">
        <v>0</v>
      </c>
      <c r="G235" s="47">
        <f t="shared" si="19"/>
        <v>0</v>
      </c>
      <c r="H235" s="88"/>
      <c r="I235" s="20"/>
      <c r="J235" s="82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1"/>
      <c r="C236" s="79">
        <f>+'24'!G236</f>
        <v>0</v>
      </c>
      <c r="D236" s="87">
        <v>0</v>
      </c>
      <c r="E236" s="47">
        <f t="shared" si="17"/>
        <v>0</v>
      </c>
      <c r="F236" s="87">
        <v>0</v>
      </c>
      <c r="G236" s="47">
        <f t="shared" si="19"/>
        <v>0</v>
      </c>
      <c r="H236" s="88"/>
      <c r="I236" s="20"/>
      <c r="J236" s="82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1"/>
      <c r="C237" s="79">
        <f>+'24'!G237</f>
        <v>0</v>
      </c>
      <c r="D237" s="87">
        <v>0</v>
      </c>
      <c r="E237" s="47">
        <f t="shared" si="17"/>
        <v>0</v>
      </c>
      <c r="F237" s="87">
        <v>0</v>
      </c>
      <c r="G237" s="47">
        <f t="shared" si="19"/>
        <v>0</v>
      </c>
      <c r="H237" s="88"/>
      <c r="I237" s="20"/>
      <c r="J237" s="82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1"/>
      <c r="C238" s="79">
        <f>+'24'!G238</f>
        <v>0</v>
      </c>
      <c r="D238" s="87">
        <v>0</v>
      </c>
      <c r="E238" s="47">
        <f t="shared" si="17"/>
        <v>0</v>
      </c>
      <c r="F238" s="87">
        <v>0</v>
      </c>
      <c r="G238" s="47">
        <f t="shared" si="19"/>
        <v>0</v>
      </c>
      <c r="H238" s="88"/>
      <c r="I238" s="20"/>
      <c r="J238" s="82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1"/>
      <c r="C239" s="79">
        <f>+'24'!G239</f>
        <v>0</v>
      </c>
      <c r="D239" s="87">
        <v>0</v>
      </c>
      <c r="E239" s="47">
        <f t="shared" si="17"/>
        <v>0</v>
      </c>
      <c r="F239" s="87">
        <v>0</v>
      </c>
      <c r="G239" s="47">
        <f t="shared" si="19"/>
        <v>0</v>
      </c>
      <c r="H239" s="88"/>
      <c r="I239" s="20"/>
      <c r="J239" s="82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1"/>
      <c r="C240" s="79">
        <f>+'24'!G240</f>
        <v>0</v>
      </c>
      <c r="D240" s="87">
        <v>0</v>
      </c>
      <c r="E240" s="47">
        <f t="shared" si="17"/>
        <v>0</v>
      </c>
      <c r="F240" s="87">
        <v>0</v>
      </c>
      <c r="G240" s="47">
        <f t="shared" si="19"/>
        <v>0</v>
      </c>
      <c r="H240" s="88"/>
      <c r="I240" s="20"/>
      <c r="J240" s="82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1"/>
      <c r="C241" s="79">
        <f>+'24'!G241</f>
        <v>0</v>
      </c>
      <c r="D241" s="87">
        <v>0</v>
      </c>
      <c r="E241" s="47">
        <f t="shared" si="17"/>
        <v>0</v>
      </c>
      <c r="F241" s="87">
        <v>0</v>
      </c>
      <c r="G241" s="47">
        <f t="shared" si="19"/>
        <v>0</v>
      </c>
      <c r="H241" s="88"/>
      <c r="I241" s="20"/>
      <c r="J241" s="82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1"/>
      <c r="C242" s="79">
        <f>+'24'!G242</f>
        <v>0</v>
      </c>
      <c r="D242" s="87">
        <v>0</v>
      </c>
      <c r="E242" s="47">
        <f t="shared" si="17"/>
        <v>0</v>
      </c>
      <c r="F242" s="87">
        <v>0</v>
      </c>
      <c r="G242" s="47">
        <f t="shared" si="19"/>
        <v>0</v>
      </c>
      <c r="H242" s="88"/>
      <c r="I242" s="20"/>
      <c r="J242" s="82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1"/>
      <c r="C243" s="79">
        <f>+'24'!G243</f>
        <v>0</v>
      </c>
      <c r="D243" s="87">
        <v>0</v>
      </c>
      <c r="E243" s="47">
        <f t="shared" si="17"/>
        <v>0</v>
      </c>
      <c r="F243" s="87">
        <v>0</v>
      </c>
      <c r="G243" s="47">
        <f t="shared" si="19"/>
        <v>0</v>
      </c>
      <c r="H243" s="88"/>
      <c r="I243" s="20"/>
      <c r="J243" s="82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1"/>
      <c r="C244" s="79">
        <f>+'24'!G244</f>
        <v>0</v>
      </c>
      <c r="D244" s="87">
        <v>0</v>
      </c>
      <c r="E244" s="47">
        <f t="shared" si="17"/>
        <v>0</v>
      </c>
      <c r="F244" s="87">
        <v>0</v>
      </c>
      <c r="G244" s="47">
        <f t="shared" si="19"/>
        <v>0</v>
      </c>
      <c r="H244" s="88"/>
      <c r="I244" s="20"/>
      <c r="J244" s="82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1"/>
      <c r="C245" s="79">
        <f>+'24'!G245</f>
        <v>0</v>
      </c>
      <c r="D245" s="87">
        <v>0</v>
      </c>
      <c r="E245" s="47">
        <f t="shared" si="17"/>
        <v>0</v>
      </c>
      <c r="F245" s="87">
        <v>0</v>
      </c>
      <c r="G245" s="47">
        <f t="shared" si="19"/>
        <v>0</v>
      </c>
      <c r="H245" s="88"/>
      <c r="I245" s="20"/>
      <c r="J245" s="82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1"/>
      <c r="C246" s="79">
        <f>+'24'!G246</f>
        <v>0</v>
      </c>
      <c r="D246" s="87">
        <v>0</v>
      </c>
      <c r="E246" s="47">
        <f t="shared" si="17"/>
        <v>0</v>
      </c>
      <c r="F246" s="87">
        <v>0</v>
      </c>
      <c r="G246" s="47">
        <f t="shared" si="19"/>
        <v>0</v>
      </c>
      <c r="H246" s="88"/>
      <c r="I246" s="20"/>
      <c r="J246" s="82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1"/>
      <c r="C247" s="79">
        <f>+'24'!G247</f>
        <v>0</v>
      </c>
      <c r="D247" s="87">
        <v>0</v>
      </c>
      <c r="E247" s="47">
        <f t="shared" si="17"/>
        <v>0</v>
      </c>
      <c r="F247" s="87">
        <v>0</v>
      </c>
      <c r="G247" s="47">
        <f t="shared" si="19"/>
        <v>0</v>
      </c>
      <c r="H247" s="88"/>
      <c r="I247" s="20"/>
      <c r="J247" s="82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1"/>
      <c r="C248" s="79">
        <f>+'24'!G248</f>
        <v>0</v>
      </c>
      <c r="D248" s="87">
        <v>0</v>
      </c>
      <c r="E248" s="47">
        <f t="shared" si="17"/>
        <v>0</v>
      </c>
      <c r="F248" s="87">
        <v>0</v>
      </c>
      <c r="G248" s="47">
        <f t="shared" si="19"/>
        <v>0</v>
      </c>
      <c r="H248" s="88"/>
      <c r="I248" s="20"/>
      <c r="J248" s="82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1"/>
      <c r="C249" s="79">
        <f>+'24'!G249</f>
        <v>0</v>
      </c>
      <c r="D249" s="87">
        <v>0</v>
      </c>
      <c r="E249" s="47">
        <f t="shared" si="17"/>
        <v>0</v>
      </c>
      <c r="F249" s="87">
        <v>0</v>
      </c>
      <c r="G249" s="47">
        <f t="shared" si="19"/>
        <v>0</v>
      </c>
      <c r="H249" s="88"/>
      <c r="I249" s="20"/>
      <c r="J249" s="82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1"/>
      <c r="C250" s="79">
        <f>+'24'!G250</f>
        <v>0</v>
      </c>
      <c r="D250" s="87">
        <v>0</v>
      </c>
      <c r="E250" s="47">
        <f t="shared" si="17"/>
        <v>0</v>
      </c>
      <c r="F250" s="87">
        <v>0</v>
      </c>
      <c r="G250" s="47">
        <f t="shared" si="19"/>
        <v>0</v>
      </c>
      <c r="H250" s="88"/>
      <c r="I250" s="20"/>
      <c r="J250" s="82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1"/>
      <c r="C251" s="79">
        <f>+'24'!G251</f>
        <v>0</v>
      </c>
      <c r="D251" s="87">
        <v>0</v>
      </c>
      <c r="E251" s="47">
        <f t="shared" si="17"/>
        <v>0</v>
      </c>
      <c r="F251" s="87">
        <v>0</v>
      </c>
      <c r="G251" s="47">
        <f t="shared" si="19"/>
        <v>0</v>
      </c>
      <c r="H251" s="88"/>
      <c r="I251" s="20"/>
      <c r="J251" s="82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1"/>
      <c r="C252" s="79">
        <f>+'24'!G252</f>
        <v>0</v>
      </c>
      <c r="D252" s="87">
        <v>0</v>
      </c>
      <c r="E252" s="47">
        <f t="shared" si="17"/>
        <v>0</v>
      </c>
      <c r="F252" s="87">
        <v>0</v>
      </c>
      <c r="G252" s="47">
        <f t="shared" si="19"/>
        <v>0</v>
      </c>
      <c r="H252" s="88"/>
      <c r="I252" s="20"/>
      <c r="J252" s="82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1"/>
      <c r="C253" s="79">
        <f>+'24'!G253</f>
        <v>0</v>
      </c>
      <c r="D253" s="87">
        <v>0</v>
      </c>
      <c r="E253" s="47">
        <f t="shared" ref="E253:E254" si="21">C253+D253</f>
        <v>0</v>
      </c>
      <c r="F253" s="87">
        <v>0</v>
      </c>
      <c r="G253" s="47">
        <f t="shared" si="19"/>
        <v>0</v>
      </c>
      <c r="H253" s="88"/>
      <c r="I253" s="20"/>
      <c r="J253" s="82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1"/>
      <c r="C254" s="79">
        <f>+'24'!G254</f>
        <v>0</v>
      </c>
      <c r="D254" s="87">
        <v>0</v>
      </c>
      <c r="E254" s="47">
        <f t="shared" si="21"/>
        <v>0</v>
      </c>
      <c r="F254" s="87">
        <v>0</v>
      </c>
      <c r="G254" s="47">
        <f t="shared" si="19"/>
        <v>0</v>
      </c>
      <c r="H254" s="88"/>
      <c r="I254" s="20"/>
      <c r="J254" s="82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2580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3" t="s">
        <v>213</v>
      </c>
      <c r="N255" s="143"/>
    </row>
    <row r="256" spans="1:14" ht="25.5" customHeight="1" x14ac:dyDescent="0.5">
      <c r="A256" s="1"/>
      <c r="E256" s="24"/>
      <c r="F256" s="25"/>
      <c r="G256" s="24"/>
      <c r="H256" s="148" t="s">
        <v>212</v>
      </c>
      <c r="I256" s="149"/>
      <c r="J256" s="30">
        <f>+X138</f>
        <v>0</v>
      </c>
      <c r="K256" s="27"/>
      <c r="L256" s="29"/>
    </row>
    <row r="257" spans="1:15" ht="25.5" x14ac:dyDescent="0.55000000000000004">
      <c r="A257" s="1"/>
      <c r="E257" s="31"/>
      <c r="G257" s="31"/>
      <c r="H257" s="32"/>
      <c r="I257" s="150" t="s">
        <v>202</v>
      </c>
      <c r="J257" s="150"/>
      <c r="K257" s="33">
        <f>SUM(J5:J256)</f>
        <v>3055</v>
      </c>
    </row>
    <row r="258" spans="1:15" ht="25.5" x14ac:dyDescent="0.55000000000000004">
      <c r="A258" s="1"/>
      <c r="E258" s="31"/>
      <c r="G258" s="31"/>
      <c r="I258" s="140" t="s">
        <v>203</v>
      </c>
      <c r="J258" s="141"/>
      <c r="K258" s="36">
        <v>15</v>
      </c>
    </row>
    <row r="259" spans="1:15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465</v>
      </c>
      <c r="L259" s="2">
        <v>200</v>
      </c>
      <c r="M259" s="2">
        <v>100</v>
      </c>
      <c r="N259" s="2">
        <v>100</v>
      </c>
      <c r="O259" s="2">
        <v>65</v>
      </c>
    </row>
    <row r="260" spans="1:15" ht="25.5" x14ac:dyDescent="0.55000000000000004">
      <c r="A260" s="1"/>
      <c r="E260" s="31"/>
      <c r="G260" s="31"/>
      <c r="I260" s="140" t="s">
        <v>205</v>
      </c>
      <c r="J260" s="141"/>
      <c r="K260" s="36">
        <v>0</v>
      </c>
    </row>
    <row r="261" spans="1:15" ht="25.5" x14ac:dyDescent="0.55000000000000004">
      <c r="A261" s="1"/>
      <c r="E261" s="31"/>
      <c r="G261" s="31"/>
      <c r="I261" s="140" t="s">
        <v>206</v>
      </c>
      <c r="J261" s="141"/>
      <c r="K261" s="36">
        <v>0</v>
      </c>
    </row>
    <row r="262" spans="1:15" ht="25.5" x14ac:dyDescent="0.55000000000000004">
      <c r="A262" s="1"/>
      <c r="E262" s="31"/>
      <c r="G262" s="31"/>
      <c r="I262" s="140" t="s">
        <v>207</v>
      </c>
      <c r="J262" s="141"/>
      <c r="K262" s="37">
        <f>SUM(L5:L255)</f>
        <v>475</v>
      </c>
    </row>
    <row r="263" spans="1:15" ht="25.5" x14ac:dyDescent="0.55000000000000004">
      <c r="A263" s="1"/>
      <c r="E263" s="31"/>
      <c r="G263" s="31"/>
      <c r="I263" s="140" t="s">
        <v>208</v>
      </c>
      <c r="J263" s="141"/>
      <c r="K263" s="33">
        <f>K257-K258-K259-K261-K262</f>
        <v>2100</v>
      </c>
    </row>
    <row r="264" spans="1:15" ht="25.5" x14ac:dyDescent="0.55000000000000004">
      <c r="A264" s="1"/>
      <c r="E264" s="31"/>
      <c r="G264" s="31"/>
      <c r="I264" s="140" t="s">
        <v>209</v>
      </c>
      <c r="J264" s="141"/>
      <c r="K264" s="37">
        <v>2100</v>
      </c>
    </row>
    <row r="265" spans="1:15" ht="25.5" x14ac:dyDescent="0.55000000000000004">
      <c r="A265" s="1"/>
      <c r="E265" s="31"/>
      <c r="G265" s="31"/>
      <c r="I265" s="140" t="s">
        <v>210</v>
      </c>
      <c r="J265" s="141"/>
      <c r="K265" s="33">
        <f>+K264-K263</f>
        <v>0</v>
      </c>
    </row>
    <row r="266" spans="1:15" ht="25.5" x14ac:dyDescent="0.55000000000000004">
      <c r="G266" s="2"/>
      <c r="I266" s="140" t="s">
        <v>211</v>
      </c>
      <c r="J266" s="141"/>
      <c r="K266" s="33">
        <f>+K264-K263</f>
        <v>0</v>
      </c>
    </row>
    <row r="267" spans="1:15" x14ac:dyDescent="0.5">
      <c r="G267" s="2"/>
      <c r="I267" s="2"/>
    </row>
    <row r="268" spans="1:15" ht="25.5" x14ac:dyDescent="0.55000000000000004">
      <c r="G268" s="2"/>
      <c r="I268" s="105" t="s">
        <v>312</v>
      </c>
    </row>
    <row r="269" spans="1:15" x14ac:dyDescent="0.5">
      <c r="G269" s="2"/>
      <c r="I269" s="2"/>
    </row>
    <row r="270" spans="1:15" x14ac:dyDescent="0.5">
      <c r="G270" s="2"/>
      <c r="I270" s="2"/>
    </row>
    <row r="271" spans="1:15" x14ac:dyDescent="0.5">
      <c r="G271" s="2"/>
      <c r="I271" s="2"/>
    </row>
    <row r="272" spans="1:15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40C3B-EEC3-4ED3-820C-D66B873C4555}">
  <sheetPr>
    <tabColor theme="7" tint="-0.249977111117893"/>
  </sheetPr>
  <dimension ref="A1:AB341"/>
  <sheetViews>
    <sheetView zoomScaleNormal="100" workbookViewId="0">
      <pane xSplit="7" ySplit="4" topLeftCell="H251" activePane="bottomRight" state="frozen"/>
      <selection activeCell="B20" sqref="B20"/>
      <selection pane="topRight" activeCell="B20" sqref="B20"/>
      <selection pane="bottomLeft" activeCell="B20" sqref="B20"/>
      <selection pane="bottomRight" activeCell="B20" sqref="B20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8" x14ac:dyDescent="0.5">
      <c r="A1" s="1"/>
      <c r="G1" s="2"/>
      <c r="I1" s="2"/>
    </row>
    <row r="2" spans="1:28" s="3" customFormat="1" ht="29.25" x14ac:dyDescent="0.6">
      <c r="A2" s="137" t="s">
        <v>247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8" s="5" customFormat="1" ht="26.25" x14ac:dyDescent="0.55000000000000004">
      <c r="A3" s="139" t="s">
        <v>1</v>
      </c>
      <c r="B3" s="151" t="s">
        <v>2</v>
      </c>
      <c r="C3" s="139" t="s">
        <v>3</v>
      </c>
      <c r="D3" s="139" t="s">
        <v>4</v>
      </c>
      <c r="E3" s="139" t="s">
        <v>5</v>
      </c>
      <c r="F3" s="85" t="s">
        <v>6</v>
      </c>
      <c r="G3" s="139" t="s">
        <v>7</v>
      </c>
      <c r="H3" s="142" t="s">
        <v>8</v>
      </c>
      <c r="I3" s="142"/>
      <c r="J3" s="142"/>
      <c r="K3" s="139" t="s">
        <v>9</v>
      </c>
      <c r="L3" s="144" t="s">
        <v>10</v>
      </c>
      <c r="O3" s="139" t="s">
        <v>1</v>
      </c>
      <c r="P3" s="139" t="s">
        <v>2</v>
      </c>
      <c r="Q3" s="139" t="s">
        <v>3</v>
      </c>
      <c r="R3" s="139" t="s">
        <v>4</v>
      </c>
      <c r="S3" s="139" t="s">
        <v>5</v>
      </c>
      <c r="T3" s="85" t="s">
        <v>6</v>
      </c>
      <c r="U3" s="139" t="s">
        <v>7</v>
      </c>
      <c r="V3" s="142" t="s">
        <v>8</v>
      </c>
      <c r="W3" s="142"/>
      <c r="X3" s="142"/>
      <c r="Y3" s="139" t="s">
        <v>9</v>
      </c>
      <c r="Z3" s="144" t="s">
        <v>10</v>
      </c>
    </row>
    <row r="4" spans="1:28" s="5" customFormat="1" ht="26.25" x14ac:dyDescent="0.55000000000000004">
      <c r="A4" s="139"/>
      <c r="B4" s="151"/>
      <c r="C4" s="139"/>
      <c r="D4" s="139"/>
      <c r="E4" s="139"/>
      <c r="F4" s="85" t="s">
        <v>11</v>
      </c>
      <c r="G4" s="139"/>
      <c r="H4" s="85" t="s">
        <v>12</v>
      </c>
      <c r="I4" s="86" t="s">
        <v>13</v>
      </c>
      <c r="J4" s="85" t="s">
        <v>14</v>
      </c>
      <c r="K4" s="139"/>
      <c r="L4" s="144"/>
      <c r="O4" s="139"/>
      <c r="P4" s="139"/>
      <c r="Q4" s="139"/>
      <c r="R4" s="139"/>
      <c r="S4" s="139"/>
      <c r="T4" s="85" t="s">
        <v>11</v>
      </c>
      <c r="U4" s="139"/>
      <c r="V4" s="85" t="s">
        <v>12</v>
      </c>
      <c r="W4" s="86" t="s">
        <v>13</v>
      </c>
      <c r="X4" s="85" t="s">
        <v>14</v>
      </c>
      <c r="Y4" s="139"/>
      <c r="Z4" s="144"/>
      <c r="AB4" s="5" t="s">
        <v>2</v>
      </c>
    </row>
    <row r="5" spans="1:28" ht="25.5" x14ac:dyDescent="0.55000000000000004">
      <c r="A5" s="10">
        <v>1</v>
      </c>
      <c r="B5" s="19" t="s">
        <v>15</v>
      </c>
      <c r="C5" s="79">
        <f>+'25'!G5</f>
        <v>11</v>
      </c>
      <c r="D5" s="87">
        <v>10</v>
      </c>
      <c r="E5" s="47">
        <f t="shared" ref="E5:E125" si="0">C5+D5</f>
        <v>21</v>
      </c>
      <c r="F5" s="87">
        <v>0</v>
      </c>
      <c r="G5" s="47">
        <f>+E5-F5-H5</f>
        <v>14</v>
      </c>
      <c r="H5" s="88">
        <v>7</v>
      </c>
      <c r="I5" s="20">
        <v>50</v>
      </c>
      <c r="J5" s="82">
        <f>+I5*H5</f>
        <v>350</v>
      </c>
      <c r="K5" s="17" t="s">
        <v>16</v>
      </c>
      <c r="L5" s="18">
        <v>50</v>
      </c>
      <c r="M5" s="104">
        <f>SUM(J5-L5)</f>
        <v>300</v>
      </c>
      <c r="O5" s="10">
        <v>1</v>
      </c>
      <c r="P5" s="19"/>
      <c r="Q5" s="47">
        <v>0</v>
      </c>
      <c r="R5" s="87">
        <v>0</v>
      </c>
      <c r="S5" s="47">
        <f t="shared" ref="S5:S14" si="1">Q5+R5</f>
        <v>0</v>
      </c>
      <c r="T5" s="87">
        <v>0</v>
      </c>
      <c r="U5" s="47">
        <f t="shared" ref="U5:U14" si="2">S5-T5-V5</f>
        <v>0</v>
      </c>
      <c r="V5" s="88">
        <v>0</v>
      </c>
      <c r="W5" s="22"/>
      <c r="X5" s="44">
        <f t="shared" ref="X5:X14" si="3">V5*W5</f>
        <v>0</v>
      </c>
      <c r="Y5" s="17" t="s">
        <v>16</v>
      </c>
      <c r="Z5" s="18">
        <v>0</v>
      </c>
      <c r="AB5" s="2" t="s">
        <v>317</v>
      </c>
    </row>
    <row r="6" spans="1:28" ht="25.5" x14ac:dyDescent="0.55000000000000004">
      <c r="A6" s="10">
        <v>2</v>
      </c>
      <c r="B6" s="19" t="s">
        <v>17</v>
      </c>
      <c r="C6" s="79">
        <f>+'25'!G6</f>
        <v>11</v>
      </c>
      <c r="D6" s="87">
        <v>10</v>
      </c>
      <c r="E6" s="47">
        <f t="shared" si="0"/>
        <v>21</v>
      </c>
      <c r="F6" s="87">
        <v>0</v>
      </c>
      <c r="G6" s="47">
        <f t="shared" ref="G6:G100" si="4">+E6-F6-H6</f>
        <v>16</v>
      </c>
      <c r="H6" s="88">
        <v>5</v>
      </c>
      <c r="I6" s="20">
        <v>100</v>
      </c>
      <c r="J6" s="82">
        <f t="shared" ref="J6:J100" si="5">+I6*H6</f>
        <v>500</v>
      </c>
      <c r="K6" s="17" t="s">
        <v>16</v>
      </c>
      <c r="L6" s="18">
        <v>0</v>
      </c>
      <c r="M6" s="104">
        <f t="shared" ref="M6:M69" si="6">SUM(J6-L6)</f>
        <v>500</v>
      </c>
      <c r="O6" s="10">
        <v>2</v>
      </c>
      <c r="P6" s="19"/>
      <c r="Q6" s="47">
        <v>0</v>
      </c>
      <c r="R6" s="87">
        <v>0</v>
      </c>
      <c r="S6" s="47">
        <f t="shared" si="1"/>
        <v>0</v>
      </c>
      <c r="T6" s="87">
        <v>0</v>
      </c>
      <c r="U6" s="47">
        <f t="shared" si="2"/>
        <v>0</v>
      </c>
      <c r="V6" s="88">
        <v>0</v>
      </c>
      <c r="W6" s="22"/>
      <c r="X6" s="44">
        <f t="shared" si="3"/>
        <v>0</v>
      </c>
      <c r="Y6" s="17" t="s">
        <v>16</v>
      </c>
      <c r="Z6" s="18">
        <v>0</v>
      </c>
      <c r="AB6" s="2" t="s">
        <v>318</v>
      </c>
    </row>
    <row r="7" spans="1:28" ht="25.5" x14ac:dyDescent="0.55000000000000004">
      <c r="A7" s="10">
        <v>3</v>
      </c>
      <c r="B7" s="19" t="s">
        <v>18</v>
      </c>
      <c r="C7" s="79">
        <f>+'25'!G7</f>
        <v>0</v>
      </c>
      <c r="D7" s="87">
        <v>0</v>
      </c>
      <c r="E7" s="47">
        <f>C7+D7</f>
        <v>0</v>
      </c>
      <c r="F7" s="87">
        <v>0</v>
      </c>
      <c r="G7" s="47">
        <f t="shared" si="4"/>
        <v>0</v>
      </c>
      <c r="H7" s="88"/>
      <c r="I7" s="15">
        <v>50</v>
      </c>
      <c r="J7" s="8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7">
        <v>0</v>
      </c>
      <c r="S7" s="47">
        <f t="shared" si="1"/>
        <v>0</v>
      </c>
      <c r="T7" s="87">
        <v>0</v>
      </c>
      <c r="U7" s="47">
        <f t="shared" si="2"/>
        <v>0</v>
      </c>
      <c r="V7" s="88">
        <v>0</v>
      </c>
      <c r="W7" s="22"/>
      <c r="X7" s="44">
        <f t="shared" si="3"/>
        <v>0</v>
      </c>
      <c r="Y7" s="17" t="s">
        <v>16</v>
      </c>
      <c r="Z7" s="18">
        <v>0</v>
      </c>
      <c r="AB7" s="2" t="s">
        <v>319</v>
      </c>
    </row>
    <row r="8" spans="1:28" ht="25.5" x14ac:dyDescent="0.55000000000000004">
      <c r="A8" s="10">
        <v>4</v>
      </c>
      <c r="B8" s="19" t="s">
        <v>19</v>
      </c>
      <c r="C8" s="79">
        <f>+'25'!G8</f>
        <v>0</v>
      </c>
      <c r="D8" s="87">
        <v>0</v>
      </c>
      <c r="E8" s="47">
        <f>C8+D8</f>
        <v>0</v>
      </c>
      <c r="F8" s="87">
        <v>0</v>
      </c>
      <c r="G8" s="47">
        <f t="shared" si="4"/>
        <v>0</v>
      </c>
      <c r="H8" s="88"/>
      <c r="I8" s="15">
        <v>100</v>
      </c>
      <c r="J8" s="8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7">
        <v>0</v>
      </c>
      <c r="S8" s="47">
        <f t="shared" si="1"/>
        <v>0</v>
      </c>
      <c r="T8" s="87">
        <v>0</v>
      </c>
      <c r="U8" s="47">
        <f t="shared" si="2"/>
        <v>0</v>
      </c>
      <c r="V8" s="88">
        <v>0</v>
      </c>
      <c r="W8" s="22"/>
      <c r="X8" s="44">
        <f t="shared" si="3"/>
        <v>0</v>
      </c>
      <c r="Y8" s="17" t="s">
        <v>16</v>
      </c>
      <c r="Z8" s="18">
        <v>0</v>
      </c>
      <c r="AB8" s="2" t="s">
        <v>320</v>
      </c>
    </row>
    <row r="9" spans="1:28" ht="25.5" x14ac:dyDescent="0.55000000000000004">
      <c r="A9" s="10">
        <v>5</v>
      </c>
      <c r="B9" s="19" t="s">
        <v>20</v>
      </c>
      <c r="C9" s="79">
        <f>+'25'!G9</f>
        <v>0</v>
      </c>
      <c r="D9" s="87">
        <v>0</v>
      </c>
      <c r="E9" s="47">
        <f>C9+D9</f>
        <v>0</v>
      </c>
      <c r="F9" s="87">
        <v>0</v>
      </c>
      <c r="G9" s="47">
        <f t="shared" si="4"/>
        <v>0</v>
      </c>
      <c r="H9" s="88"/>
      <c r="I9" s="15">
        <v>12</v>
      </c>
      <c r="J9" s="8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7">
        <v>0</v>
      </c>
      <c r="S9" s="47">
        <f t="shared" si="1"/>
        <v>0</v>
      </c>
      <c r="T9" s="87">
        <v>0</v>
      </c>
      <c r="U9" s="47">
        <f t="shared" si="2"/>
        <v>0</v>
      </c>
      <c r="V9" s="88">
        <v>0</v>
      </c>
      <c r="W9" s="22"/>
      <c r="X9" s="44">
        <f t="shared" si="3"/>
        <v>0</v>
      </c>
      <c r="Y9" s="17" t="s">
        <v>16</v>
      </c>
      <c r="Z9" s="18">
        <v>0</v>
      </c>
      <c r="AB9" s="2" t="s">
        <v>307</v>
      </c>
    </row>
    <row r="10" spans="1:28" ht="25.5" x14ac:dyDescent="0.55000000000000004">
      <c r="A10" s="10">
        <v>6</v>
      </c>
      <c r="B10" s="19" t="s">
        <v>21</v>
      </c>
      <c r="C10" s="79">
        <f>+'25'!G10</f>
        <v>0</v>
      </c>
      <c r="D10" s="87">
        <v>0</v>
      </c>
      <c r="E10" s="47">
        <f>C10+D10</f>
        <v>0</v>
      </c>
      <c r="F10" s="87">
        <v>0</v>
      </c>
      <c r="G10" s="47">
        <f t="shared" si="4"/>
        <v>0</v>
      </c>
      <c r="H10" s="88"/>
      <c r="I10" s="15">
        <v>15</v>
      </c>
      <c r="J10" s="8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7">
        <v>0</v>
      </c>
      <c r="S10" s="47">
        <f t="shared" si="1"/>
        <v>0</v>
      </c>
      <c r="T10" s="87">
        <v>0</v>
      </c>
      <c r="U10" s="47">
        <f t="shared" si="2"/>
        <v>0</v>
      </c>
      <c r="V10" s="88">
        <v>0</v>
      </c>
      <c r="W10" s="22"/>
      <c r="X10" s="44">
        <f t="shared" si="3"/>
        <v>0</v>
      </c>
      <c r="Y10" s="17" t="s">
        <v>16</v>
      </c>
      <c r="Z10" s="18">
        <v>0</v>
      </c>
      <c r="AB10" s="2" t="s">
        <v>311</v>
      </c>
    </row>
    <row r="11" spans="1:28" ht="25.5" x14ac:dyDescent="0.55000000000000004">
      <c r="A11" s="10">
        <v>7</v>
      </c>
      <c r="B11" s="19" t="s">
        <v>22</v>
      </c>
      <c r="C11" s="79">
        <f>+'25'!G11</f>
        <v>0</v>
      </c>
      <c r="D11" s="87">
        <v>0</v>
      </c>
      <c r="E11" s="47">
        <f t="shared" si="0"/>
        <v>0</v>
      </c>
      <c r="F11" s="87">
        <v>0</v>
      </c>
      <c r="G11" s="47">
        <f t="shared" si="4"/>
        <v>0</v>
      </c>
      <c r="H11" s="88"/>
      <c r="I11" s="15">
        <v>40</v>
      </c>
      <c r="J11" s="8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7">
        <v>0</v>
      </c>
      <c r="S11" s="47">
        <f t="shared" si="1"/>
        <v>0</v>
      </c>
      <c r="T11" s="87">
        <v>0</v>
      </c>
      <c r="U11" s="47">
        <f t="shared" si="2"/>
        <v>0</v>
      </c>
      <c r="V11" s="88">
        <v>0</v>
      </c>
      <c r="W11" s="22"/>
      <c r="X11" s="44">
        <f t="shared" si="3"/>
        <v>0</v>
      </c>
      <c r="Y11" s="17" t="s">
        <v>16</v>
      </c>
      <c r="Z11" s="18">
        <v>0</v>
      </c>
      <c r="AB11" s="2" t="s">
        <v>321</v>
      </c>
    </row>
    <row r="12" spans="1:28" ht="25.5" x14ac:dyDescent="0.55000000000000004">
      <c r="A12" s="10">
        <v>8</v>
      </c>
      <c r="B12" s="19" t="s">
        <v>23</v>
      </c>
      <c r="C12" s="79">
        <f>+'25'!G12</f>
        <v>6</v>
      </c>
      <c r="D12" s="87">
        <v>5</v>
      </c>
      <c r="E12" s="47">
        <f t="shared" si="0"/>
        <v>11</v>
      </c>
      <c r="F12" s="87">
        <v>0</v>
      </c>
      <c r="G12" s="47">
        <f t="shared" si="4"/>
        <v>8</v>
      </c>
      <c r="H12" s="88">
        <v>3</v>
      </c>
      <c r="I12" s="15">
        <v>50</v>
      </c>
      <c r="J12" s="82">
        <f t="shared" si="5"/>
        <v>150</v>
      </c>
      <c r="K12" s="17" t="s">
        <v>16</v>
      </c>
      <c r="L12" s="18">
        <v>50</v>
      </c>
      <c r="M12" s="104">
        <f t="shared" si="6"/>
        <v>100</v>
      </c>
      <c r="O12" s="10">
        <v>8</v>
      </c>
      <c r="P12" s="19"/>
      <c r="Q12" s="47">
        <v>0</v>
      </c>
      <c r="R12" s="87">
        <v>0</v>
      </c>
      <c r="S12" s="47">
        <f t="shared" si="1"/>
        <v>0</v>
      </c>
      <c r="T12" s="87">
        <v>0</v>
      </c>
      <c r="U12" s="47">
        <f t="shared" si="2"/>
        <v>0</v>
      </c>
      <c r="V12" s="88">
        <v>0</v>
      </c>
      <c r="W12" s="22"/>
      <c r="X12" s="44">
        <f t="shared" si="3"/>
        <v>0</v>
      </c>
      <c r="Y12" s="17" t="s">
        <v>16</v>
      </c>
      <c r="Z12" s="18">
        <v>0</v>
      </c>
      <c r="AB12" s="2" t="s">
        <v>289</v>
      </c>
    </row>
    <row r="13" spans="1:28" ht="25.5" x14ac:dyDescent="0.55000000000000004">
      <c r="A13" s="10">
        <v>9</v>
      </c>
      <c r="B13" s="19" t="s">
        <v>24</v>
      </c>
      <c r="C13" s="79">
        <f>+'25'!G13</f>
        <v>0</v>
      </c>
      <c r="D13" s="87">
        <v>0</v>
      </c>
      <c r="E13" s="47">
        <f>C13+D13</f>
        <v>0</v>
      </c>
      <c r="F13" s="87">
        <v>0</v>
      </c>
      <c r="G13" s="47">
        <f t="shared" si="4"/>
        <v>0</v>
      </c>
      <c r="H13" s="88"/>
      <c r="I13" s="15">
        <v>55</v>
      </c>
      <c r="J13" s="8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7">
        <v>0</v>
      </c>
      <c r="S13" s="47">
        <f t="shared" si="1"/>
        <v>0</v>
      </c>
      <c r="T13" s="87">
        <v>0</v>
      </c>
      <c r="U13" s="47">
        <f t="shared" si="2"/>
        <v>0</v>
      </c>
      <c r="V13" s="88">
        <v>0</v>
      </c>
      <c r="W13" s="22"/>
      <c r="X13" s="44">
        <f t="shared" si="3"/>
        <v>0</v>
      </c>
      <c r="Y13" s="17" t="s">
        <v>16</v>
      </c>
      <c r="Z13" s="18">
        <v>0</v>
      </c>
      <c r="AB13" s="2" t="s">
        <v>322</v>
      </c>
    </row>
    <row r="14" spans="1:28" ht="25.5" x14ac:dyDescent="0.55000000000000004">
      <c r="A14" s="10">
        <v>10</v>
      </c>
      <c r="B14" s="19" t="s">
        <v>25</v>
      </c>
      <c r="C14" s="79">
        <f>+'25'!G14</f>
        <v>0</v>
      </c>
      <c r="D14" s="87">
        <v>5</v>
      </c>
      <c r="E14" s="47">
        <f t="shared" si="0"/>
        <v>5</v>
      </c>
      <c r="F14" s="87">
        <v>0</v>
      </c>
      <c r="G14" s="47">
        <f t="shared" si="4"/>
        <v>5</v>
      </c>
      <c r="H14" s="88"/>
      <c r="I14" s="15">
        <v>65</v>
      </c>
      <c r="J14" s="8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7">
        <v>0</v>
      </c>
      <c r="S14" s="47">
        <f t="shared" si="1"/>
        <v>0</v>
      </c>
      <c r="T14" s="87">
        <v>0</v>
      </c>
      <c r="U14" s="47">
        <f t="shared" si="2"/>
        <v>0</v>
      </c>
      <c r="V14" s="88">
        <v>0</v>
      </c>
      <c r="W14" s="22"/>
      <c r="X14" s="44">
        <f t="shared" si="3"/>
        <v>0</v>
      </c>
      <c r="Y14" s="17" t="s">
        <v>16</v>
      </c>
      <c r="Z14" s="18">
        <v>0</v>
      </c>
      <c r="AB14" s="2" t="s">
        <v>306</v>
      </c>
    </row>
    <row r="15" spans="1:28" ht="25.5" x14ac:dyDescent="0.55000000000000004">
      <c r="A15" s="10">
        <v>11</v>
      </c>
      <c r="B15" s="19" t="s">
        <v>26</v>
      </c>
      <c r="C15" s="79">
        <f>+'25'!G15</f>
        <v>0</v>
      </c>
      <c r="D15" s="87">
        <v>0</v>
      </c>
      <c r="E15" s="47">
        <f t="shared" si="0"/>
        <v>0</v>
      </c>
      <c r="F15" s="87">
        <v>0</v>
      </c>
      <c r="G15" s="47">
        <f t="shared" si="4"/>
        <v>0</v>
      </c>
      <c r="H15" s="88"/>
      <c r="I15" s="15">
        <v>50</v>
      </c>
      <c r="J15" s="8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7">
        <v>0</v>
      </c>
      <c r="S15" s="47">
        <f t="shared" ref="S15:S29" si="7">Q15+R15</f>
        <v>0</v>
      </c>
      <c r="T15" s="87">
        <v>0</v>
      </c>
      <c r="U15" s="47">
        <f t="shared" ref="U15:U29" si="8">S15-T15-V15</f>
        <v>0</v>
      </c>
      <c r="V15" s="88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8" ht="25.5" x14ac:dyDescent="0.55000000000000004">
      <c r="A16" s="10">
        <v>12</v>
      </c>
      <c r="B16" s="19" t="s">
        <v>27</v>
      </c>
      <c r="C16" s="79">
        <f>+'25'!G16</f>
        <v>0</v>
      </c>
      <c r="D16" s="87">
        <v>0</v>
      </c>
      <c r="E16" s="47">
        <f t="shared" si="0"/>
        <v>0</v>
      </c>
      <c r="F16" s="87">
        <v>0</v>
      </c>
      <c r="G16" s="47">
        <f t="shared" si="4"/>
        <v>0</v>
      </c>
      <c r="H16" s="88"/>
      <c r="I16" s="15">
        <v>50</v>
      </c>
      <c r="J16" s="8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7">
        <v>0</v>
      </c>
      <c r="S16" s="47">
        <f t="shared" si="7"/>
        <v>0</v>
      </c>
      <c r="T16" s="87">
        <v>0</v>
      </c>
      <c r="U16" s="47">
        <f t="shared" si="8"/>
        <v>0</v>
      </c>
      <c r="V16" s="88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+'25'!G17</f>
        <v>4</v>
      </c>
      <c r="D17" s="87">
        <v>0</v>
      </c>
      <c r="E17" s="47">
        <f t="shared" si="0"/>
        <v>4</v>
      </c>
      <c r="F17" s="87">
        <v>0</v>
      </c>
      <c r="G17" s="47">
        <f t="shared" si="4"/>
        <v>3</v>
      </c>
      <c r="H17" s="88">
        <v>1</v>
      </c>
      <c r="I17" s="15">
        <v>50</v>
      </c>
      <c r="J17" s="82">
        <f t="shared" si="5"/>
        <v>50</v>
      </c>
      <c r="K17" s="17" t="s">
        <v>16</v>
      </c>
      <c r="L17" s="18">
        <v>0</v>
      </c>
      <c r="M17" s="104">
        <f t="shared" si="6"/>
        <v>50</v>
      </c>
      <c r="O17" s="10">
        <v>13</v>
      </c>
      <c r="P17" s="19"/>
      <c r="Q17" s="47">
        <v>0</v>
      </c>
      <c r="R17" s="87">
        <v>0</v>
      </c>
      <c r="S17" s="47">
        <f t="shared" si="7"/>
        <v>0</v>
      </c>
      <c r="T17" s="87">
        <v>0</v>
      </c>
      <c r="U17" s="47">
        <f t="shared" si="8"/>
        <v>0</v>
      </c>
      <c r="V17" s="88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+'25'!G18</f>
        <v>0</v>
      </c>
      <c r="D18" s="87">
        <v>0</v>
      </c>
      <c r="E18" s="47">
        <f t="shared" si="0"/>
        <v>0</v>
      </c>
      <c r="F18" s="87">
        <v>0</v>
      </c>
      <c r="G18" s="47">
        <f t="shared" si="4"/>
        <v>0</v>
      </c>
      <c r="H18" s="88"/>
      <c r="I18" s="15">
        <v>50</v>
      </c>
      <c r="J18" s="8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7">
        <v>0</v>
      </c>
      <c r="S18" s="47">
        <f t="shared" si="7"/>
        <v>0</v>
      </c>
      <c r="T18" s="87">
        <v>0</v>
      </c>
      <c r="U18" s="47">
        <f t="shared" si="8"/>
        <v>0</v>
      </c>
      <c r="V18" s="88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329</v>
      </c>
      <c r="C19" s="79">
        <f>+'25'!G19</f>
        <v>1</v>
      </c>
      <c r="D19" s="87">
        <v>5</v>
      </c>
      <c r="E19" s="47">
        <f t="shared" si="0"/>
        <v>6</v>
      </c>
      <c r="F19" s="87">
        <v>0</v>
      </c>
      <c r="G19" s="47">
        <f t="shared" si="4"/>
        <v>6</v>
      </c>
      <c r="H19" s="88"/>
      <c r="I19" s="15">
        <v>50</v>
      </c>
      <c r="J19" s="8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7">
        <v>0</v>
      </c>
      <c r="S19" s="47">
        <f t="shared" si="7"/>
        <v>0</v>
      </c>
      <c r="T19" s="87">
        <v>0</v>
      </c>
      <c r="U19" s="47">
        <f t="shared" si="8"/>
        <v>0</v>
      </c>
      <c r="V19" s="88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+'25'!G20</f>
        <v>0</v>
      </c>
      <c r="D20" s="87">
        <v>0</v>
      </c>
      <c r="E20" s="47">
        <f t="shared" si="0"/>
        <v>0</v>
      </c>
      <c r="F20" s="87">
        <v>0</v>
      </c>
      <c r="G20" s="47">
        <f t="shared" si="4"/>
        <v>0</v>
      </c>
      <c r="H20" s="88"/>
      <c r="I20" s="15">
        <v>50</v>
      </c>
      <c r="J20" s="8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7">
        <v>0</v>
      </c>
      <c r="S20" s="47">
        <f t="shared" si="7"/>
        <v>0</v>
      </c>
      <c r="T20" s="87">
        <v>0</v>
      </c>
      <c r="U20" s="47">
        <f t="shared" si="8"/>
        <v>0</v>
      </c>
      <c r="V20" s="88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+'25'!G21</f>
        <v>0</v>
      </c>
      <c r="D21" s="87">
        <v>0</v>
      </c>
      <c r="E21" s="47">
        <f t="shared" si="0"/>
        <v>0</v>
      </c>
      <c r="F21" s="87">
        <v>0</v>
      </c>
      <c r="G21" s="47">
        <f t="shared" si="4"/>
        <v>0</v>
      </c>
      <c r="H21" s="88"/>
      <c r="I21" s="15">
        <v>50</v>
      </c>
      <c r="J21" s="8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7">
        <v>0</v>
      </c>
      <c r="S21" s="47">
        <f t="shared" si="7"/>
        <v>0</v>
      </c>
      <c r="T21" s="87">
        <v>0</v>
      </c>
      <c r="U21" s="47">
        <f t="shared" si="8"/>
        <v>0</v>
      </c>
      <c r="V21" s="88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+'25'!G22</f>
        <v>0</v>
      </c>
      <c r="D22" s="87">
        <v>5</v>
      </c>
      <c r="E22" s="47">
        <f t="shared" si="0"/>
        <v>5</v>
      </c>
      <c r="F22" s="87">
        <v>0</v>
      </c>
      <c r="G22" s="47">
        <f t="shared" si="4"/>
        <v>5</v>
      </c>
      <c r="H22" s="88"/>
      <c r="I22" s="15">
        <v>85</v>
      </c>
      <c r="J22" s="8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7">
        <v>0</v>
      </c>
      <c r="S22" s="47">
        <f t="shared" si="7"/>
        <v>0</v>
      </c>
      <c r="T22" s="87">
        <v>0</v>
      </c>
      <c r="U22" s="47">
        <f t="shared" si="8"/>
        <v>0</v>
      </c>
      <c r="V22" s="88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+'25'!G23</f>
        <v>5</v>
      </c>
      <c r="D23" s="87">
        <v>20</v>
      </c>
      <c r="E23" s="47">
        <f t="shared" si="0"/>
        <v>25</v>
      </c>
      <c r="F23" s="87">
        <v>0</v>
      </c>
      <c r="G23" s="47">
        <f t="shared" si="4"/>
        <v>24</v>
      </c>
      <c r="H23" s="88">
        <v>1</v>
      </c>
      <c r="I23" s="15">
        <v>100</v>
      </c>
      <c r="J23" s="82">
        <f t="shared" si="5"/>
        <v>100</v>
      </c>
      <c r="K23" s="17" t="s">
        <v>16</v>
      </c>
      <c r="L23" s="18">
        <v>0</v>
      </c>
      <c r="M23" s="104">
        <f t="shared" si="6"/>
        <v>100</v>
      </c>
      <c r="O23" s="10">
        <v>19</v>
      </c>
      <c r="P23" s="19"/>
      <c r="Q23" s="47">
        <v>0</v>
      </c>
      <c r="R23" s="87">
        <v>0</v>
      </c>
      <c r="S23" s="47">
        <f t="shared" si="7"/>
        <v>0</v>
      </c>
      <c r="T23" s="87">
        <v>0</v>
      </c>
      <c r="U23" s="47">
        <f t="shared" si="8"/>
        <v>0</v>
      </c>
      <c r="V23" s="88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+'25'!G24</f>
        <v>5</v>
      </c>
      <c r="D24" s="87">
        <v>0</v>
      </c>
      <c r="E24" s="47">
        <f t="shared" si="0"/>
        <v>5</v>
      </c>
      <c r="F24" s="87">
        <v>0</v>
      </c>
      <c r="G24" s="47">
        <f t="shared" si="4"/>
        <v>3</v>
      </c>
      <c r="H24" s="88">
        <v>2</v>
      </c>
      <c r="I24" s="21">
        <v>100</v>
      </c>
      <c r="J24" s="82">
        <f t="shared" si="5"/>
        <v>200</v>
      </c>
      <c r="K24" s="17" t="s">
        <v>16</v>
      </c>
      <c r="L24" s="18">
        <v>0</v>
      </c>
      <c r="M24" s="104">
        <f t="shared" si="6"/>
        <v>200</v>
      </c>
      <c r="O24" s="10">
        <v>20</v>
      </c>
      <c r="P24" s="19"/>
      <c r="Q24" s="47">
        <v>0</v>
      </c>
      <c r="R24" s="87">
        <v>0</v>
      </c>
      <c r="S24" s="47">
        <f t="shared" si="7"/>
        <v>0</v>
      </c>
      <c r="T24" s="87">
        <v>0</v>
      </c>
      <c r="U24" s="47">
        <f t="shared" si="8"/>
        <v>0</v>
      </c>
      <c r="V24" s="88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+'25'!G25</f>
        <v>2</v>
      </c>
      <c r="D25" s="87">
        <v>0</v>
      </c>
      <c r="E25" s="47">
        <f t="shared" si="0"/>
        <v>2</v>
      </c>
      <c r="F25" s="87">
        <v>0</v>
      </c>
      <c r="G25" s="47">
        <f t="shared" si="4"/>
        <v>0</v>
      </c>
      <c r="H25" s="88">
        <v>2</v>
      </c>
      <c r="I25" s="21">
        <v>100</v>
      </c>
      <c r="J25" s="82">
        <f t="shared" si="5"/>
        <v>200</v>
      </c>
      <c r="K25" s="17" t="s">
        <v>16</v>
      </c>
      <c r="L25" s="18">
        <v>0</v>
      </c>
      <c r="M25" s="104">
        <f t="shared" si="6"/>
        <v>200</v>
      </c>
      <c r="O25" s="10">
        <v>21</v>
      </c>
      <c r="P25" s="19"/>
      <c r="Q25" s="47">
        <v>0</v>
      </c>
      <c r="R25" s="87">
        <v>0</v>
      </c>
      <c r="S25" s="47">
        <f t="shared" si="7"/>
        <v>0</v>
      </c>
      <c r="T25" s="87">
        <v>0</v>
      </c>
      <c r="U25" s="47">
        <f t="shared" si="8"/>
        <v>0</v>
      </c>
      <c r="V25" s="88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+'25'!G26</f>
        <v>2</v>
      </c>
      <c r="D26" s="87">
        <v>2</v>
      </c>
      <c r="E26" s="47">
        <f t="shared" si="0"/>
        <v>4</v>
      </c>
      <c r="F26" s="87">
        <v>0</v>
      </c>
      <c r="G26" s="47">
        <f t="shared" si="4"/>
        <v>4</v>
      </c>
      <c r="H26" s="88"/>
      <c r="I26" s="21">
        <v>100</v>
      </c>
      <c r="J26" s="8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7">
        <v>0</v>
      </c>
      <c r="S26" s="47">
        <f t="shared" si="7"/>
        <v>0</v>
      </c>
      <c r="T26" s="87">
        <v>0</v>
      </c>
      <c r="U26" s="47">
        <f t="shared" si="8"/>
        <v>0</v>
      </c>
      <c r="V26" s="88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+'25'!G27</f>
        <v>0</v>
      </c>
      <c r="D27" s="87">
        <v>0</v>
      </c>
      <c r="E27" s="47">
        <f t="shared" si="0"/>
        <v>0</v>
      </c>
      <c r="F27" s="87">
        <v>0</v>
      </c>
      <c r="G27" s="47">
        <f t="shared" si="4"/>
        <v>0</v>
      </c>
      <c r="H27" s="88"/>
      <c r="I27" s="20">
        <v>100</v>
      </c>
      <c r="J27" s="8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7">
        <v>0</v>
      </c>
      <c r="S27" s="47">
        <f t="shared" si="7"/>
        <v>0</v>
      </c>
      <c r="T27" s="87">
        <v>0</v>
      </c>
      <c r="U27" s="47">
        <f t="shared" si="8"/>
        <v>0</v>
      </c>
      <c r="V27" s="88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+'25'!G28</f>
        <v>0</v>
      </c>
      <c r="D28" s="87">
        <v>0</v>
      </c>
      <c r="E28" s="47">
        <f t="shared" si="0"/>
        <v>0</v>
      </c>
      <c r="F28" s="87">
        <v>0</v>
      </c>
      <c r="G28" s="47">
        <f t="shared" si="4"/>
        <v>0</v>
      </c>
      <c r="H28" s="88"/>
      <c r="I28" s="20">
        <v>100</v>
      </c>
      <c r="J28" s="8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7">
        <v>0</v>
      </c>
      <c r="S28" s="47">
        <f t="shared" si="7"/>
        <v>0</v>
      </c>
      <c r="T28" s="87">
        <v>0</v>
      </c>
      <c r="U28" s="47">
        <f t="shared" si="8"/>
        <v>0</v>
      </c>
      <c r="V28" s="88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+'25'!G29</f>
        <v>5</v>
      </c>
      <c r="D29" s="87">
        <v>0</v>
      </c>
      <c r="E29" s="47">
        <f t="shared" si="0"/>
        <v>5</v>
      </c>
      <c r="F29" s="87">
        <v>0</v>
      </c>
      <c r="G29" s="47">
        <f t="shared" si="4"/>
        <v>5</v>
      </c>
      <c r="H29" s="88"/>
      <c r="I29" s="15">
        <v>100</v>
      </c>
      <c r="J29" s="8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7">
        <v>0</v>
      </c>
      <c r="S29" s="47">
        <f t="shared" si="7"/>
        <v>0</v>
      </c>
      <c r="T29" s="87">
        <v>0</v>
      </c>
      <c r="U29" s="47">
        <f t="shared" si="8"/>
        <v>0</v>
      </c>
      <c r="V29" s="88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+'25'!G30</f>
        <v>0</v>
      </c>
      <c r="D30" s="87">
        <v>0</v>
      </c>
      <c r="E30" s="47">
        <f t="shared" si="0"/>
        <v>0</v>
      </c>
      <c r="F30" s="87">
        <v>0</v>
      </c>
      <c r="G30" s="47">
        <f t="shared" si="4"/>
        <v>0</v>
      </c>
      <c r="H30" s="88"/>
      <c r="I30" s="15">
        <v>100</v>
      </c>
      <c r="J30" s="8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+'25'!G31</f>
        <v>2</v>
      </c>
      <c r="D31" s="87">
        <v>2</v>
      </c>
      <c r="E31" s="47">
        <f t="shared" si="0"/>
        <v>4</v>
      </c>
      <c r="F31" s="87">
        <v>0</v>
      </c>
      <c r="G31" s="47">
        <f t="shared" si="4"/>
        <v>4</v>
      </c>
      <c r="H31" s="88"/>
      <c r="I31" s="15">
        <v>100</v>
      </c>
      <c r="J31" s="82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+'25'!G32</f>
        <v>0</v>
      </c>
      <c r="D32" s="87">
        <v>0</v>
      </c>
      <c r="E32" s="47">
        <f t="shared" si="0"/>
        <v>0</v>
      </c>
      <c r="F32" s="87">
        <v>0</v>
      </c>
      <c r="G32" s="47">
        <f t="shared" si="4"/>
        <v>0</v>
      </c>
      <c r="H32" s="88"/>
      <c r="I32" s="15">
        <v>130</v>
      </c>
      <c r="J32" s="82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5" t="s">
        <v>119</v>
      </c>
      <c r="Q32" s="146"/>
      <c r="R32" s="146"/>
      <c r="S32" s="146"/>
      <c r="T32" s="146"/>
      <c r="U32" s="146"/>
      <c r="V32" s="146"/>
      <c r="W32" s="147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+'25'!G33</f>
        <v>1</v>
      </c>
      <c r="D33" s="87">
        <v>5</v>
      </c>
      <c r="E33" s="47">
        <f t="shared" si="0"/>
        <v>6</v>
      </c>
      <c r="F33" s="87">
        <v>0</v>
      </c>
      <c r="G33" s="47">
        <f t="shared" si="4"/>
        <v>5</v>
      </c>
      <c r="H33" s="88">
        <v>1</v>
      </c>
      <c r="I33" s="15">
        <v>130</v>
      </c>
      <c r="J33" s="82">
        <f t="shared" si="5"/>
        <v>130</v>
      </c>
      <c r="K33" s="17" t="s">
        <v>16</v>
      </c>
      <c r="L33" s="18">
        <v>0</v>
      </c>
      <c r="M33" s="104">
        <f t="shared" si="6"/>
        <v>130</v>
      </c>
    </row>
    <row r="34" spans="1:13" ht="25.5" x14ac:dyDescent="0.55000000000000004">
      <c r="A34" s="10">
        <v>30</v>
      </c>
      <c r="B34" s="19" t="s">
        <v>45</v>
      </c>
      <c r="C34" s="79">
        <f>+'25'!G34</f>
        <v>2</v>
      </c>
      <c r="D34" s="87">
        <v>5</v>
      </c>
      <c r="E34" s="47">
        <f t="shared" si="0"/>
        <v>7</v>
      </c>
      <c r="F34" s="87">
        <v>0</v>
      </c>
      <c r="G34" s="47">
        <f t="shared" si="4"/>
        <v>6</v>
      </c>
      <c r="H34" s="88">
        <v>1</v>
      </c>
      <c r="I34" s="15">
        <v>130</v>
      </c>
      <c r="J34" s="82">
        <f t="shared" si="5"/>
        <v>130</v>
      </c>
      <c r="K34" s="17" t="s">
        <v>16</v>
      </c>
      <c r="L34" s="18">
        <v>0</v>
      </c>
      <c r="M34" s="104">
        <f t="shared" si="6"/>
        <v>130</v>
      </c>
    </row>
    <row r="35" spans="1:13" ht="25.5" x14ac:dyDescent="0.55000000000000004">
      <c r="A35" s="10">
        <v>31</v>
      </c>
      <c r="B35" s="19" t="s">
        <v>46</v>
      </c>
      <c r="C35" s="79">
        <f>+'25'!G35</f>
        <v>0</v>
      </c>
      <c r="D35" s="87">
        <v>0</v>
      </c>
      <c r="E35" s="47">
        <f t="shared" si="0"/>
        <v>0</v>
      </c>
      <c r="F35" s="87">
        <v>0</v>
      </c>
      <c r="G35" s="47">
        <f t="shared" si="4"/>
        <v>0</v>
      </c>
      <c r="H35" s="88"/>
      <c r="I35" s="15">
        <v>130</v>
      </c>
      <c r="J35" s="82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+'25'!G36</f>
        <v>0</v>
      </c>
      <c r="D36" s="87">
        <v>0</v>
      </c>
      <c r="E36" s="47">
        <f t="shared" si="0"/>
        <v>0</v>
      </c>
      <c r="F36" s="87">
        <v>0</v>
      </c>
      <c r="G36" s="47">
        <f t="shared" si="4"/>
        <v>0</v>
      </c>
      <c r="H36" s="88"/>
      <c r="I36" s="15">
        <v>100</v>
      </c>
      <c r="J36" s="82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+'25'!G37</f>
        <v>6</v>
      </c>
      <c r="D37" s="87">
        <v>10</v>
      </c>
      <c r="E37" s="47">
        <f t="shared" si="0"/>
        <v>16</v>
      </c>
      <c r="F37" s="87">
        <v>0</v>
      </c>
      <c r="G37" s="47">
        <f t="shared" si="4"/>
        <v>13</v>
      </c>
      <c r="H37" s="88">
        <v>3</v>
      </c>
      <c r="I37" s="15">
        <v>100</v>
      </c>
      <c r="J37" s="82">
        <f t="shared" si="5"/>
        <v>300</v>
      </c>
      <c r="K37" s="17" t="s">
        <v>16</v>
      </c>
      <c r="L37" s="18">
        <v>0</v>
      </c>
      <c r="M37" s="104">
        <f t="shared" si="6"/>
        <v>300</v>
      </c>
    </row>
    <row r="38" spans="1:13" ht="25.5" x14ac:dyDescent="0.55000000000000004">
      <c r="A38" s="10">
        <v>34</v>
      </c>
      <c r="B38" s="19" t="s">
        <v>49</v>
      </c>
      <c r="C38" s="79">
        <f>+'25'!G38</f>
        <v>2</v>
      </c>
      <c r="D38" s="87">
        <v>5</v>
      </c>
      <c r="E38" s="47">
        <f t="shared" si="0"/>
        <v>7</v>
      </c>
      <c r="F38" s="87">
        <v>0</v>
      </c>
      <c r="G38" s="47">
        <f t="shared" si="4"/>
        <v>7</v>
      </c>
      <c r="H38" s="88"/>
      <c r="I38" s="15">
        <v>50</v>
      </c>
      <c r="J38" s="82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+'25'!G39</f>
        <v>11</v>
      </c>
      <c r="D39" s="87">
        <v>5</v>
      </c>
      <c r="E39" s="47">
        <f t="shared" si="0"/>
        <v>16</v>
      </c>
      <c r="F39" s="87">
        <v>0</v>
      </c>
      <c r="G39" s="47">
        <f t="shared" si="4"/>
        <v>14</v>
      </c>
      <c r="H39" s="88">
        <v>2</v>
      </c>
      <c r="I39" s="15">
        <v>50</v>
      </c>
      <c r="J39" s="82">
        <f t="shared" si="5"/>
        <v>100</v>
      </c>
      <c r="K39" s="17" t="s">
        <v>16</v>
      </c>
      <c r="L39" s="18">
        <v>50</v>
      </c>
      <c r="M39" s="104">
        <f t="shared" si="6"/>
        <v>50</v>
      </c>
    </row>
    <row r="40" spans="1:13" ht="25.5" x14ac:dyDescent="0.55000000000000004">
      <c r="A40" s="10">
        <v>36</v>
      </c>
      <c r="B40" s="19" t="s">
        <v>51</v>
      </c>
      <c r="C40" s="79">
        <f>+'25'!G40</f>
        <v>7</v>
      </c>
      <c r="D40" s="87">
        <v>5</v>
      </c>
      <c r="E40" s="47">
        <f t="shared" si="0"/>
        <v>12</v>
      </c>
      <c r="F40" s="87">
        <v>0</v>
      </c>
      <c r="G40" s="47">
        <f t="shared" si="4"/>
        <v>12</v>
      </c>
      <c r="H40" s="88"/>
      <c r="I40" s="15">
        <v>50</v>
      </c>
      <c r="J40" s="82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+'25'!G41</f>
        <v>0</v>
      </c>
      <c r="D41" s="87">
        <v>0</v>
      </c>
      <c r="E41" s="47">
        <f t="shared" si="0"/>
        <v>0</v>
      </c>
      <c r="F41" s="87">
        <v>0</v>
      </c>
      <c r="G41" s="47">
        <f t="shared" si="4"/>
        <v>0</v>
      </c>
      <c r="H41" s="88"/>
      <c r="I41" s="15">
        <v>50</v>
      </c>
      <c r="J41" s="82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285</v>
      </c>
      <c r="C42" s="79">
        <f>+'25'!G42</f>
        <v>0</v>
      </c>
      <c r="D42" s="87">
        <v>2</v>
      </c>
      <c r="E42" s="47">
        <f t="shared" si="0"/>
        <v>2</v>
      </c>
      <c r="F42" s="87">
        <v>0</v>
      </c>
      <c r="G42" s="47">
        <f t="shared" si="4"/>
        <v>2</v>
      </c>
      <c r="H42" s="88"/>
      <c r="I42" s="15">
        <v>50</v>
      </c>
      <c r="J42" s="82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+'25'!G43</f>
        <v>0</v>
      </c>
      <c r="D43" s="87">
        <v>2</v>
      </c>
      <c r="E43" s="47">
        <f t="shared" si="0"/>
        <v>2</v>
      </c>
      <c r="F43" s="87">
        <v>0</v>
      </c>
      <c r="G43" s="47">
        <f t="shared" si="4"/>
        <v>2</v>
      </c>
      <c r="H43" s="88"/>
      <c r="I43" s="15">
        <v>50</v>
      </c>
      <c r="J43" s="82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+'25'!G44</f>
        <v>0</v>
      </c>
      <c r="D44" s="87">
        <v>2</v>
      </c>
      <c r="E44" s="47">
        <f t="shared" si="0"/>
        <v>2</v>
      </c>
      <c r="F44" s="87">
        <v>0</v>
      </c>
      <c r="G44" s="47">
        <f t="shared" si="4"/>
        <v>2</v>
      </c>
      <c r="H44" s="88"/>
      <c r="I44" s="15">
        <v>50</v>
      </c>
      <c r="J44" s="82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+'25'!G45</f>
        <v>0</v>
      </c>
      <c r="D45" s="87">
        <v>0</v>
      </c>
      <c r="E45" s="47">
        <f t="shared" si="0"/>
        <v>0</v>
      </c>
      <c r="F45" s="87">
        <v>0</v>
      </c>
      <c r="G45" s="47">
        <f t="shared" si="4"/>
        <v>0</v>
      </c>
      <c r="H45" s="88"/>
      <c r="I45" s="15">
        <v>50</v>
      </c>
      <c r="J45" s="82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286</v>
      </c>
      <c r="C46" s="79">
        <f>+'25'!G46</f>
        <v>0</v>
      </c>
      <c r="D46" s="87">
        <v>2</v>
      </c>
      <c r="E46" s="47">
        <f t="shared" si="0"/>
        <v>2</v>
      </c>
      <c r="F46" s="87">
        <v>0</v>
      </c>
      <c r="G46" s="47">
        <f t="shared" si="4"/>
        <v>2</v>
      </c>
      <c r="H46" s="88"/>
      <c r="I46" s="15">
        <v>50</v>
      </c>
      <c r="J46" s="82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+'25'!G47</f>
        <v>0</v>
      </c>
      <c r="D47" s="87">
        <v>2</v>
      </c>
      <c r="E47" s="47">
        <f t="shared" si="0"/>
        <v>2</v>
      </c>
      <c r="F47" s="87">
        <v>0</v>
      </c>
      <c r="G47" s="47">
        <f t="shared" si="4"/>
        <v>2</v>
      </c>
      <c r="H47" s="88"/>
      <c r="I47" s="15">
        <v>50</v>
      </c>
      <c r="J47" s="82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+'25'!G48</f>
        <v>0</v>
      </c>
      <c r="D48" s="87">
        <v>2</v>
      </c>
      <c r="E48" s="47">
        <f t="shared" si="0"/>
        <v>2</v>
      </c>
      <c r="F48" s="87">
        <v>0</v>
      </c>
      <c r="G48" s="47">
        <f t="shared" si="4"/>
        <v>2</v>
      </c>
      <c r="H48" s="88"/>
      <c r="I48" s="15">
        <v>50</v>
      </c>
      <c r="J48" s="82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v>0</v>
      </c>
      <c r="D49" s="87">
        <v>2</v>
      </c>
      <c r="E49" s="47">
        <f t="shared" si="0"/>
        <v>2</v>
      </c>
      <c r="F49" s="87">
        <v>0</v>
      </c>
      <c r="G49" s="47">
        <f t="shared" si="4"/>
        <v>2</v>
      </c>
      <c r="H49" s="88"/>
      <c r="I49" s="15">
        <v>50</v>
      </c>
      <c r="J49" s="82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+'25'!G50</f>
        <v>0</v>
      </c>
      <c r="D50" s="87">
        <v>2</v>
      </c>
      <c r="E50" s="47">
        <f t="shared" si="0"/>
        <v>2</v>
      </c>
      <c r="F50" s="87">
        <v>0</v>
      </c>
      <c r="G50" s="47">
        <f t="shared" si="4"/>
        <v>2</v>
      </c>
      <c r="H50" s="88"/>
      <c r="I50" s="15">
        <v>120</v>
      </c>
      <c r="J50" s="82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+'25'!G51</f>
        <v>0</v>
      </c>
      <c r="D51" s="87">
        <v>2</v>
      </c>
      <c r="E51" s="47">
        <f t="shared" si="0"/>
        <v>2</v>
      </c>
      <c r="F51" s="87">
        <v>0</v>
      </c>
      <c r="G51" s="47">
        <f t="shared" si="4"/>
        <v>2</v>
      </c>
      <c r="H51" s="88"/>
      <c r="I51" s="15">
        <v>120</v>
      </c>
      <c r="J51" s="82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+'25'!G52</f>
        <v>0</v>
      </c>
      <c r="D52" s="87">
        <v>0</v>
      </c>
      <c r="E52" s="47">
        <f t="shared" si="0"/>
        <v>0</v>
      </c>
      <c r="F52" s="87">
        <v>0</v>
      </c>
      <c r="G52" s="47">
        <f t="shared" si="4"/>
        <v>0</v>
      </c>
      <c r="H52" s="88"/>
      <c r="I52" s="21">
        <v>120</v>
      </c>
      <c r="J52" s="82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+'25'!G53</f>
        <v>0</v>
      </c>
      <c r="D53" s="87">
        <v>0</v>
      </c>
      <c r="E53" s="47">
        <f t="shared" si="0"/>
        <v>0</v>
      </c>
      <c r="F53" s="87">
        <v>0</v>
      </c>
      <c r="G53" s="47">
        <f t="shared" si="4"/>
        <v>0</v>
      </c>
      <c r="H53" s="88"/>
      <c r="I53" s="15">
        <v>120</v>
      </c>
      <c r="J53" s="82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+'25'!G54</f>
        <v>0</v>
      </c>
      <c r="D54" s="87">
        <v>0</v>
      </c>
      <c r="E54" s="47">
        <f t="shared" si="0"/>
        <v>0</v>
      </c>
      <c r="F54" s="87">
        <v>0</v>
      </c>
      <c r="G54" s="47">
        <f t="shared" si="4"/>
        <v>0</v>
      </c>
      <c r="H54" s="88"/>
      <c r="I54" s="15">
        <v>120</v>
      </c>
      <c r="J54" s="82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+'25'!G55</f>
        <v>1</v>
      </c>
      <c r="D55" s="87">
        <v>2</v>
      </c>
      <c r="E55" s="47">
        <f t="shared" si="0"/>
        <v>3</v>
      </c>
      <c r="F55" s="87">
        <v>0</v>
      </c>
      <c r="G55" s="47">
        <f t="shared" si="4"/>
        <v>2</v>
      </c>
      <c r="H55" s="88">
        <v>1</v>
      </c>
      <c r="I55" s="21">
        <v>120</v>
      </c>
      <c r="J55" s="82">
        <f t="shared" si="5"/>
        <v>120</v>
      </c>
      <c r="K55" s="17" t="s">
        <v>16</v>
      </c>
      <c r="L55" s="18">
        <v>35</v>
      </c>
      <c r="M55" s="104">
        <f t="shared" si="6"/>
        <v>85</v>
      </c>
    </row>
    <row r="56" spans="1:13" ht="25.5" x14ac:dyDescent="0.55000000000000004">
      <c r="A56" s="10">
        <v>52</v>
      </c>
      <c r="B56" s="19" t="s">
        <v>67</v>
      </c>
      <c r="C56" s="79">
        <f>+'25'!G56</f>
        <v>0</v>
      </c>
      <c r="D56" s="87">
        <v>0</v>
      </c>
      <c r="E56" s="47">
        <f t="shared" si="0"/>
        <v>0</v>
      </c>
      <c r="F56" s="87">
        <v>0</v>
      </c>
      <c r="G56" s="47">
        <f t="shared" si="4"/>
        <v>0</v>
      </c>
      <c r="H56" s="88"/>
      <c r="I56" s="21">
        <v>120</v>
      </c>
      <c r="J56" s="82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+'25'!G57</f>
        <v>0</v>
      </c>
      <c r="D57" s="87">
        <v>2</v>
      </c>
      <c r="E57" s="47">
        <f t="shared" si="0"/>
        <v>2</v>
      </c>
      <c r="F57" s="87">
        <v>0</v>
      </c>
      <c r="G57" s="47">
        <f t="shared" si="4"/>
        <v>1</v>
      </c>
      <c r="H57" s="88">
        <v>1</v>
      </c>
      <c r="I57" s="21">
        <v>120</v>
      </c>
      <c r="J57" s="82">
        <f t="shared" si="5"/>
        <v>120</v>
      </c>
      <c r="K57" s="17" t="s">
        <v>16</v>
      </c>
      <c r="L57" s="18">
        <v>35</v>
      </c>
      <c r="M57" s="104">
        <f t="shared" si="6"/>
        <v>85</v>
      </c>
    </row>
    <row r="58" spans="1:13" ht="25.5" x14ac:dyDescent="0.55000000000000004">
      <c r="A58" s="10">
        <v>54</v>
      </c>
      <c r="B58" s="19" t="s">
        <v>69</v>
      </c>
      <c r="C58" s="79">
        <f>+'25'!G58</f>
        <v>0</v>
      </c>
      <c r="D58" s="87">
        <v>0</v>
      </c>
      <c r="E58" s="47">
        <f t="shared" si="0"/>
        <v>0</v>
      </c>
      <c r="F58" s="87">
        <v>0</v>
      </c>
      <c r="G58" s="47">
        <f t="shared" si="4"/>
        <v>0</v>
      </c>
      <c r="H58" s="88"/>
      <c r="I58" s="21">
        <v>120</v>
      </c>
      <c r="J58" s="82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+'25'!G59</f>
        <v>0</v>
      </c>
      <c r="D59" s="87">
        <v>0</v>
      </c>
      <c r="E59" s="47">
        <f t="shared" si="0"/>
        <v>0</v>
      </c>
      <c r="F59" s="87">
        <v>0</v>
      </c>
      <c r="G59" s="47">
        <f t="shared" si="4"/>
        <v>0</v>
      </c>
      <c r="H59" s="88"/>
      <c r="I59" s="15">
        <v>70</v>
      </c>
      <c r="J59" s="82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+'25'!G60</f>
        <v>0</v>
      </c>
      <c r="D60" s="87">
        <v>0</v>
      </c>
      <c r="E60" s="47">
        <f t="shared" si="0"/>
        <v>0</v>
      </c>
      <c r="F60" s="87">
        <v>0</v>
      </c>
      <c r="G60" s="47">
        <f t="shared" si="4"/>
        <v>0</v>
      </c>
      <c r="H60" s="88"/>
      <c r="I60" s="21">
        <v>80</v>
      </c>
      <c r="J60" s="82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+'25'!G61</f>
        <v>0</v>
      </c>
      <c r="D61" s="87">
        <v>0</v>
      </c>
      <c r="E61" s="47">
        <f t="shared" si="0"/>
        <v>0</v>
      </c>
      <c r="F61" s="87">
        <v>0</v>
      </c>
      <c r="G61" s="47">
        <f t="shared" si="4"/>
        <v>0</v>
      </c>
      <c r="H61" s="88"/>
      <c r="I61" s="15">
        <v>50</v>
      </c>
      <c r="J61" s="82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+'25'!G62</f>
        <v>2</v>
      </c>
      <c r="D62" s="87">
        <v>2</v>
      </c>
      <c r="E62" s="47">
        <f t="shared" si="0"/>
        <v>4</v>
      </c>
      <c r="F62" s="87">
        <v>0</v>
      </c>
      <c r="G62" s="47">
        <f t="shared" si="4"/>
        <v>2</v>
      </c>
      <c r="H62" s="88">
        <v>2</v>
      </c>
      <c r="I62" s="20">
        <v>50</v>
      </c>
      <c r="J62" s="82">
        <f t="shared" si="5"/>
        <v>100</v>
      </c>
      <c r="K62" s="17" t="s">
        <v>16</v>
      </c>
      <c r="L62" s="18">
        <v>0</v>
      </c>
      <c r="M62" s="104">
        <f t="shared" si="6"/>
        <v>100</v>
      </c>
    </row>
    <row r="63" spans="1:13" ht="25.5" x14ac:dyDescent="0.55000000000000004">
      <c r="A63" s="10">
        <v>59</v>
      </c>
      <c r="B63" s="19" t="s">
        <v>74</v>
      </c>
      <c r="C63" s="79">
        <f>+'25'!G63</f>
        <v>0</v>
      </c>
      <c r="D63" s="87">
        <v>0</v>
      </c>
      <c r="E63" s="47">
        <f t="shared" si="0"/>
        <v>0</v>
      </c>
      <c r="F63" s="87">
        <v>0</v>
      </c>
      <c r="G63" s="47">
        <f t="shared" si="4"/>
        <v>0</v>
      </c>
      <c r="H63" s="88"/>
      <c r="I63" s="20">
        <v>50</v>
      </c>
      <c r="J63" s="82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+'25'!G64</f>
        <v>0</v>
      </c>
      <c r="D64" s="87">
        <v>0</v>
      </c>
      <c r="E64" s="47">
        <f t="shared" si="0"/>
        <v>0</v>
      </c>
      <c r="F64" s="87">
        <v>0</v>
      </c>
      <c r="G64" s="47">
        <f t="shared" si="4"/>
        <v>0</v>
      </c>
      <c r="H64" s="88"/>
      <c r="I64" s="21">
        <v>30</v>
      </c>
      <c r="J64" s="82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+'25'!G65</f>
        <v>0</v>
      </c>
      <c r="D65" s="87">
        <v>0</v>
      </c>
      <c r="E65" s="47">
        <f t="shared" si="0"/>
        <v>0</v>
      </c>
      <c r="F65" s="87">
        <v>0</v>
      </c>
      <c r="G65" s="47">
        <f t="shared" si="4"/>
        <v>0</v>
      </c>
      <c r="H65" s="88"/>
      <c r="I65" s="21">
        <v>30</v>
      </c>
      <c r="J65" s="82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v>6</v>
      </c>
      <c r="D66" s="87">
        <v>10</v>
      </c>
      <c r="E66" s="47">
        <f t="shared" si="0"/>
        <v>16</v>
      </c>
      <c r="F66" s="87">
        <v>0</v>
      </c>
      <c r="G66" s="47">
        <f t="shared" si="4"/>
        <v>16</v>
      </c>
      <c r="H66" s="88"/>
      <c r="I66" s="15">
        <v>50</v>
      </c>
      <c r="J66" s="82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v>0</v>
      </c>
      <c r="D67" s="87">
        <v>10</v>
      </c>
      <c r="E67" s="47">
        <f t="shared" si="0"/>
        <v>10</v>
      </c>
      <c r="F67" s="87">
        <v>0</v>
      </c>
      <c r="G67" s="47">
        <f t="shared" si="4"/>
        <v>8</v>
      </c>
      <c r="H67" s="88">
        <v>2</v>
      </c>
      <c r="I67" s="15">
        <v>50</v>
      </c>
      <c r="J67" s="82">
        <f t="shared" si="5"/>
        <v>100</v>
      </c>
      <c r="K67" s="17" t="s">
        <v>16</v>
      </c>
      <c r="L67" s="18">
        <v>0</v>
      </c>
      <c r="M67" s="104">
        <f t="shared" si="6"/>
        <v>100</v>
      </c>
    </row>
    <row r="68" spans="1:13" ht="25.5" x14ac:dyDescent="0.55000000000000004">
      <c r="A68" s="10">
        <v>64</v>
      </c>
      <c r="B68" s="19" t="s">
        <v>79</v>
      </c>
      <c r="C68" s="79">
        <f>+'25'!G68</f>
        <v>0</v>
      </c>
      <c r="D68" s="87">
        <v>0</v>
      </c>
      <c r="E68" s="47">
        <f t="shared" si="0"/>
        <v>0</v>
      </c>
      <c r="F68" s="87">
        <v>0</v>
      </c>
      <c r="G68" s="47">
        <f t="shared" si="4"/>
        <v>0</v>
      </c>
      <c r="H68" s="88"/>
      <c r="I68" s="20">
        <v>35</v>
      </c>
      <c r="J68" s="82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+'25'!G69</f>
        <v>0</v>
      </c>
      <c r="D69" s="87">
        <v>0</v>
      </c>
      <c r="E69" s="47">
        <f t="shared" si="0"/>
        <v>0</v>
      </c>
      <c r="F69" s="87">
        <v>0</v>
      </c>
      <c r="G69" s="47">
        <f t="shared" si="4"/>
        <v>0</v>
      </c>
      <c r="H69" s="88"/>
      <c r="I69" s="20">
        <v>25</v>
      </c>
      <c r="J69" s="82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+'25'!G70</f>
        <v>2</v>
      </c>
      <c r="D70" s="87">
        <v>10</v>
      </c>
      <c r="E70" s="47">
        <f t="shared" si="0"/>
        <v>12</v>
      </c>
      <c r="F70" s="87">
        <v>0</v>
      </c>
      <c r="G70" s="47">
        <f t="shared" si="4"/>
        <v>12</v>
      </c>
      <c r="H70" s="88"/>
      <c r="I70" s="20">
        <v>50</v>
      </c>
      <c r="J70" s="82">
        <f t="shared" si="5"/>
        <v>0</v>
      </c>
      <c r="K70" s="17" t="s">
        <v>16</v>
      </c>
      <c r="L70" s="18">
        <v>0</v>
      </c>
      <c r="M70" s="23">
        <f t="shared" ref="M70:M134" si="10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+'25'!G71</f>
        <v>0</v>
      </c>
      <c r="D71" s="87">
        <v>0</v>
      </c>
      <c r="E71" s="47">
        <f t="shared" si="0"/>
        <v>0</v>
      </c>
      <c r="F71" s="87">
        <v>0</v>
      </c>
      <c r="G71" s="47">
        <f t="shared" si="4"/>
        <v>0</v>
      </c>
      <c r="H71" s="88"/>
      <c r="I71" s="20">
        <v>60</v>
      </c>
      <c r="J71" s="82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+'25'!G72</f>
        <v>0</v>
      </c>
      <c r="D72" s="87">
        <v>0</v>
      </c>
      <c r="E72" s="47">
        <f t="shared" si="0"/>
        <v>0</v>
      </c>
      <c r="F72" s="87">
        <v>0</v>
      </c>
      <c r="G72" s="47">
        <f t="shared" si="4"/>
        <v>0</v>
      </c>
      <c r="H72" s="88"/>
      <c r="I72" s="22">
        <v>50</v>
      </c>
      <c r="J72" s="82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+'25'!G73</f>
        <v>0</v>
      </c>
      <c r="D73" s="87">
        <v>0</v>
      </c>
      <c r="E73" s="47">
        <f t="shared" si="0"/>
        <v>0</v>
      </c>
      <c r="F73" s="87">
        <v>0</v>
      </c>
      <c r="G73" s="47">
        <f t="shared" si="4"/>
        <v>0</v>
      </c>
      <c r="H73" s="88"/>
      <c r="I73" s="20">
        <v>60</v>
      </c>
      <c r="J73" s="82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+'25'!G74</f>
        <v>0</v>
      </c>
      <c r="D74" s="87">
        <v>10</v>
      </c>
      <c r="E74" s="47">
        <f t="shared" si="0"/>
        <v>10</v>
      </c>
      <c r="F74" s="87">
        <v>0</v>
      </c>
      <c r="G74" s="47">
        <f t="shared" si="4"/>
        <v>9</v>
      </c>
      <c r="H74" s="88">
        <v>1</v>
      </c>
      <c r="I74" s="22">
        <v>120</v>
      </c>
      <c r="J74" s="82">
        <f t="shared" si="5"/>
        <v>120</v>
      </c>
      <c r="K74" s="17" t="s">
        <v>16</v>
      </c>
      <c r="L74" s="18">
        <v>0</v>
      </c>
      <c r="M74" s="104">
        <f t="shared" si="10"/>
        <v>120</v>
      </c>
    </row>
    <row r="75" spans="1:13" ht="25.5" x14ac:dyDescent="0.55000000000000004">
      <c r="A75" s="10">
        <v>71</v>
      </c>
      <c r="B75" s="19" t="s">
        <v>86</v>
      </c>
      <c r="C75" s="79">
        <f>+'25'!G75</f>
        <v>0</v>
      </c>
      <c r="D75" s="87">
        <v>0</v>
      </c>
      <c r="E75" s="47">
        <f t="shared" si="0"/>
        <v>0</v>
      </c>
      <c r="F75" s="87">
        <v>0</v>
      </c>
      <c r="G75" s="47">
        <f t="shared" si="4"/>
        <v>0</v>
      </c>
      <c r="H75" s="88"/>
      <c r="I75" s="22">
        <v>60</v>
      </c>
      <c r="J75" s="82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+'25'!G76</f>
        <v>0</v>
      </c>
      <c r="D76" s="87">
        <v>0</v>
      </c>
      <c r="E76" s="47">
        <f t="shared" si="0"/>
        <v>0</v>
      </c>
      <c r="F76" s="87">
        <v>0</v>
      </c>
      <c r="G76" s="47">
        <f t="shared" si="4"/>
        <v>0</v>
      </c>
      <c r="H76" s="88"/>
      <c r="I76" s="22">
        <v>120</v>
      </c>
      <c r="J76" s="82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1" t="s">
        <v>272</v>
      </c>
      <c r="C77" s="79">
        <f>+'25'!G77</f>
        <v>2</v>
      </c>
      <c r="D77" s="87">
        <v>2</v>
      </c>
      <c r="E77" s="47">
        <f>C77+D77</f>
        <v>4</v>
      </c>
      <c r="F77" s="87">
        <v>0</v>
      </c>
      <c r="G77" s="47">
        <f>+E77-F77-H77</f>
        <v>4</v>
      </c>
      <c r="H77" s="88"/>
      <c r="I77" s="20">
        <v>50</v>
      </c>
      <c r="J77" s="82">
        <f>+I77*H77</f>
        <v>0</v>
      </c>
      <c r="K77" s="17" t="s">
        <v>16</v>
      </c>
      <c r="L77" s="18">
        <v>0</v>
      </c>
      <c r="M77" s="23">
        <f>SUM(J77-L77)</f>
        <v>0</v>
      </c>
    </row>
    <row r="78" spans="1:13" ht="25.5" x14ac:dyDescent="0.55000000000000004">
      <c r="A78" s="10">
        <v>74</v>
      </c>
      <c r="B78" s="19" t="s">
        <v>277</v>
      </c>
      <c r="C78" s="79">
        <f>+'25'!G78</f>
        <v>0</v>
      </c>
      <c r="D78" s="87">
        <v>2</v>
      </c>
      <c r="E78" s="47">
        <f t="shared" si="0"/>
        <v>2</v>
      </c>
      <c r="F78" s="87">
        <v>0</v>
      </c>
      <c r="G78" s="47">
        <f t="shared" si="4"/>
        <v>2</v>
      </c>
      <c r="H78" s="88"/>
      <c r="I78" s="20">
        <v>50</v>
      </c>
      <c r="J78" s="82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278</v>
      </c>
      <c r="C79" s="79">
        <f>+'25'!G79</f>
        <v>0</v>
      </c>
      <c r="D79" s="87">
        <v>0</v>
      </c>
      <c r="E79" s="47">
        <f t="shared" si="0"/>
        <v>0</v>
      </c>
      <c r="F79" s="87">
        <v>0</v>
      </c>
      <c r="G79" s="47">
        <f t="shared" si="4"/>
        <v>0</v>
      </c>
      <c r="H79" s="88"/>
      <c r="I79" s="22">
        <v>120</v>
      </c>
      <c r="J79" s="82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90</v>
      </c>
      <c r="C80" s="79">
        <f>+'25'!G80</f>
        <v>0</v>
      </c>
      <c r="D80" s="87">
        <v>5</v>
      </c>
      <c r="E80" s="47">
        <f t="shared" si="0"/>
        <v>5</v>
      </c>
      <c r="F80" s="87">
        <v>0</v>
      </c>
      <c r="G80" s="47">
        <f t="shared" si="4"/>
        <v>4</v>
      </c>
      <c r="H80" s="88">
        <v>1</v>
      </c>
      <c r="I80" s="22">
        <v>50</v>
      </c>
      <c r="J80" s="82">
        <f t="shared" si="5"/>
        <v>50</v>
      </c>
      <c r="K80" s="17" t="s">
        <v>16</v>
      </c>
      <c r="L80" s="18">
        <v>0</v>
      </c>
      <c r="M80" s="104">
        <f t="shared" si="10"/>
        <v>50</v>
      </c>
    </row>
    <row r="81" spans="1:13" ht="25.5" x14ac:dyDescent="0.55000000000000004">
      <c r="A81" s="10">
        <v>77</v>
      </c>
      <c r="B81" s="19" t="s">
        <v>91</v>
      </c>
      <c r="C81" s="79">
        <f>+'25'!G81</f>
        <v>0</v>
      </c>
      <c r="D81" s="87">
        <v>0</v>
      </c>
      <c r="E81" s="47">
        <f t="shared" si="0"/>
        <v>0</v>
      </c>
      <c r="F81" s="87">
        <v>0</v>
      </c>
      <c r="G81" s="47">
        <f t="shared" si="4"/>
        <v>0</v>
      </c>
      <c r="H81" s="88"/>
      <c r="I81" s="22">
        <v>50</v>
      </c>
      <c r="J81" s="82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92</v>
      </c>
      <c r="C82" s="79">
        <f>+'25'!G82</f>
        <v>3</v>
      </c>
      <c r="D82" s="87">
        <v>2</v>
      </c>
      <c r="E82" s="47">
        <f t="shared" si="0"/>
        <v>5</v>
      </c>
      <c r="F82" s="87">
        <v>0</v>
      </c>
      <c r="G82" s="47">
        <f t="shared" si="4"/>
        <v>4</v>
      </c>
      <c r="H82" s="88">
        <v>1</v>
      </c>
      <c r="I82" s="20">
        <v>55</v>
      </c>
      <c r="J82" s="82">
        <f t="shared" si="5"/>
        <v>55</v>
      </c>
      <c r="K82" s="17" t="s">
        <v>16</v>
      </c>
      <c r="L82" s="18">
        <v>0</v>
      </c>
      <c r="M82" s="104">
        <f t="shared" si="10"/>
        <v>55</v>
      </c>
    </row>
    <row r="83" spans="1:13" ht="25.5" x14ac:dyDescent="0.55000000000000004">
      <c r="A83" s="10">
        <v>79</v>
      </c>
      <c r="B83" s="19" t="s">
        <v>93</v>
      </c>
      <c r="C83" s="79">
        <f>+'25'!G83</f>
        <v>3</v>
      </c>
      <c r="D83" s="87">
        <v>2</v>
      </c>
      <c r="E83" s="47">
        <f t="shared" si="0"/>
        <v>5</v>
      </c>
      <c r="F83" s="87">
        <v>0</v>
      </c>
      <c r="G83" s="47">
        <f t="shared" si="4"/>
        <v>5</v>
      </c>
      <c r="H83" s="88"/>
      <c r="I83" s="22">
        <v>55</v>
      </c>
      <c r="J83" s="82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94</v>
      </c>
      <c r="C84" s="79">
        <f>+'25'!G84</f>
        <v>0</v>
      </c>
      <c r="D84" s="87">
        <v>0</v>
      </c>
      <c r="E84" s="47">
        <f t="shared" si="0"/>
        <v>0</v>
      </c>
      <c r="F84" s="87">
        <v>0</v>
      </c>
      <c r="G84" s="47">
        <f t="shared" si="4"/>
        <v>0</v>
      </c>
      <c r="H84" s="88"/>
      <c r="I84" s="22">
        <v>55</v>
      </c>
      <c r="J84" s="82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95</v>
      </c>
      <c r="C85" s="79">
        <f>+'25'!G85</f>
        <v>0</v>
      </c>
      <c r="D85" s="87">
        <v>0</v>
      </c>
      <c r="E85" s="47">
        <f t="shared" si="0"/>
        <v>0</v>
      </c>
      <c r="F85" s="87">
        <v>0</v>
      </c>
      <c r="G85" s="47">
        <f t="shared" si="4"/>
        <v>0</v>
      </c>
      <c r="H85" s="88"/>
      <c r="I85" s="22">
        <v>55</v>
      </c>
      <c r="J85" s="82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96</v>
      </c>
      <c r="C86" s="79">
        <f>+'25'!G86</f>
        <v>5</v>
      </c>
      <c r="D86" s="87">
        <v>0</v>
      </c>
      <c r="E86" s="47">
        <f t="shared" si="0"/>
        <v>5</v>
      </c>
      <c r="F86" s="87">
        <v>0</v>
      </c>
      <c r="G86" s="47">
        <f t="shared" si="4"/>
        <v>5</v>
      </c>
      <c r="H86" s="88"/>
      <c r="I86" s="22">
        <v>100</v>
      </c>
      <c r="J86" s="82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97</v>
      </c>
      <c r="C87" s="79">
        <f>+'25'!G87</f>
        <v>12</v>
      </c>
      <c r="D87" s="87">
        <v>0</v>
      </c>
      <c r="E87" s="47">
        <f t="shared" si="0"/>
        <v>12</v>
      </c>
      <c r="F87" s="87">
        <v>0</v>
      </c>
      <c r="G87" s="47">
        <f t="shared" si="4"/>
        <v>12</v>
      </c>
      <c r="H87" s="88"/>
      <c r="I87" s="20">
        <v>55</v>
      </c>
      <c r="J87" s="82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98</v>
      </c>
      <c r="C88" s="79">
        <f>+'25'!G88</f>
        <v>7</v>
      </c>
      <c r="D88" s="87">
        <v>0</v>
      </c>
      <c r="E88" s="47">
        <f t="shared" si="0"/>
        <v>7</v>
      </c>
      <c r="F88" s="87">
        <v>0</v>
      </c>
      <c r="G88" s="47">
        <f t="shared" si="4"/>
        <v>7</v>
      </c>
      <c r="H88" s="88"/>
      <c r="I88" s="20">
        <v>60</v>
      </c>
      <c r="J88" s="82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99</v>
      </c>
      <c r="C89" s="79">
        <f>+'25'!G89</f>
        <v>7</v>
      </c>
      <c r="D89" s="87">
        <v>0</v>
      </c>
      <c r="E89" s="47">
        <f t="shared" si="0"/>
        <v>7</v>
      </c>
      <c r="F89" s="87">
        <v>0</v>
      </c>
      <c r="G89" s="47">
        <f t="shared" si="4"/>
        <v>5</v>
      </c>
      <c r="H89" s="88">
        <v>2</v>
      </c>
      <c r="I89" s="20">
        <v>100</v>
      </c>
      <c r="J89" s="82">
        <f t="shared" si="5"/>
        <v>200</v>
      </c>
      <c r="K89" s="17" t="s">
        <v>16</v>
      </c>
      <c r="L89" s="18">
        <v>0</v>
      </c>
      <c r="M89" s="104">
        <f t="shared" si="10"/>
        <v>200</v>
      </c>
    </row>
    <row r="90" spans="1:13" ht="25.5" x14ac:dyDescent="0.55000000000000004">
      <c r="A90" s="10">
        <v>86</v>
      </c>
      <c r="B90" s="19" t="s">
        <v>100</v>
      </c>
      <c r="C90" s="79">
        <f>+'25'!G90</f>
        <v>4</v>
      </c>
      <c r="D90" s="87">
        <v>0</v>
      </c>
      <c r="E90" s="47">
        <f t="shared" si="0"/>
        <v>4</v>
      </c>
      <c r="F90" s="87">
        <v>0</v>
      </c>
      <c r="G90" s="47">
        <f t="shared" si="4"/>
        <v>4</v>
      </c>
      <c r="H90" s="88"/>
      <c r="I90" s="20">
        <v>55</v>
      </c>
      <c r="J90" s="82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101</v>
      </c>
      <c r="C91" s="79">
        <f>+'25'!G91</f>
        <v>0</v>
      </c>
      <c r="D91" s="87">
        <v>0</v>
      </c>
      <c r="E91" s="47">
        <f t="shared" si="0"/>
        <v>0</v>
      </c>
      <c r="F91" s="87">
        <v>0</v>
      </c>
      <c r="G91" s="47">
        <f t="shared" si="4"/>
        <v>0</v>
      </c>
      <c r="H91" s="88"/>
      <c r="I91" s="20">
        <v>50</v>
      </c>
      <c r="J91" s="82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102</v>
      </c>
      <c r="C92" s="79">
        <f>+'25'!G92</f>
        <v>0</v>
      </c>
      <c r="D92" s="87">
        <v>0</v>
      </c>
      <c r="E92" s="47">
        <f t="shared" si="0"/>
        <v>0</v>
      </c>
      <c r="F92" s="87">
        <v>0</v>
      </c>
      <c r="G92" s="47">
        <f t="shared" si="4"/>
        <v>0</v>
      </c>
      <c r="H92" s="88"/>
      <c r="I92" s="22">
        <v>50</v>
      </c>
      <c r="J92" s="82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248</v>
      </c>
      <c r="C93" s="79">
        <f>+'25'!G93</f>
        <v>0</v>
      </c>
      <c r="D93" s="87">
        <v>0</v>
      </c>
      <c r="E93" s="47">
        <f t="shared" si="0"/>
        <v>0</v>
      </c>
      <c r="F93" s="87">
        <v>0</v>
      </c>
      <c r="G93" s="47">
        <f t="shared" si="4"/>
        <v>0</v>
      </c>
      <c r="H93" s="88"/>
      <c r="I93" s="22">
        <v>120</v>
      </c>
      <c r="J93" s="82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104</v>
      </c>
      <c r="C94" s="79">
        <f>+'25'!G94</f>
        <v>0</v>
      </c>
      <c r="D94" s="87">
        <v>0</v>
      </c>
      <c r="E94" s="47">
        <f t="shared" si="0"/>
        <v>0</v>
      </c>
      <c r="F94" s="87">
        <v>0</v>
      </c>
      <c r="G94" s="47">
        <f t="shared" si="4"/>
        <v>0</v>
      </c>
      <c r="H94" s="88"/>
      <c r="I94" s="20">
        <v>250</v>
      </c>
      <c r="J94" s="82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105</v>
      </c>
      <c r="C95" s="79">
        <f>+'25'!G95</f>
        <v>0</v>
      </c>
      <c r="D95" s="87">
        <v>0</v>
      </c>
      <c r="E95" s="47">
        <f t="shared" si="0"/>
        <v>0</v>
      </c>
      <c r="F95" s="87">
        <v>0</v>
      </c>
      <c r="G95" s="47">
        <f t="shared" si="4"/>
        <v>0</v>
      </c>
      <c r="H95" s="88"/>
      <c r="I95" s="20">
        <v>120</v>
      </c>
      <c r="J95" s="82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106</v>
      </c>
      <c r="C96" s="79">
        <f>+'25'!G96</f>
        <v>0</v>
      </c>
      <c r="D96" s="87">
        <v>0</v>
      </c>
      <c r="E96" s="47">
        <f t="shared" si="0"/>
        <v>0</v>
      </c>
      <c r="F96" s="87">
        <v>0</v>
      </c>
      <c r="G96" s="47">
        <f t="shared" si="4"/>
        <v>0</v>
      </c>
      <c r="H96" s="88"/>
      <c r="I96" s="20">
        <v>120</v>
      </c>
      <c r="J96" s="82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107</v>
      </c>
      <c r="C97" s="79">
        <f>+'25'!G97</f>
        <v>0</v>
      </c>
      <c r="D97" s="87">
        <v>0</v>
      </c>
      <c r="E97" s="47">
        <f t="shared" si="0"/>
        <v>0</v>
      </c>
      <c r="F97" s="87">
        <v>0</v>
      </c>
      <c r="G97" s="47">
        <f t="shared" si="4"/>
        <v>0</v>
      </c>
      <c r="H97" s="88"/>
      <c r="I97" s="20">
        <v>120</v>
      </c>
      <c r="J97" s="82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103</v>
      </c>
      <c r="C98" s="79">
        <f>+'25'!G98</f>
        <v>0</v>
      </c>
      <c r="D98" s="87">
        <v>0</v>
      </c>
      <c r="E98" s="47">
        <f t="shared" si="0"/>
        <v>0</v>
      </c>
      <c r="F98" s="87">
        <v>0</v>
      </c>
      <c r="G98" s="47">
        <f t="shared" si="4"/>
        <v>0</v>
      </c>
      <c r="H98" s="88"/>
      <c r="I98" s="20">
        <v>120</v>
      </c>
      <c r="J98" s="82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109</v>
      </c>
      <c r="C99" s="79">
        <f>+'25'!G99</f>
        <v>0</v>
      </c>
      <c r="D99" s="87">
        <v>0</v>
      </c>
      <c r="E99" s="47">
        <f t="shared" si="0"/>
        <v>0</v>
      </c>
      <c r="F99" s="87">
        <v>0</v>
      </c>
      <c r="G99" s="47">
        <f t="shared" si="4"/>
        <v>0</v>
      </c>
      <c r="H99" s="88"/>
      <c r="I99" s="20">
        <v>50</v>
      </c>
      <c r="J99" s="82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110</v>
      </c>
      <c r="C100" s="79">
        <f>+'25'!G100</f>
        <v>0</v>
      </c>
      <c r="D100" s="87">
        <v>0</v>
      </c>
      <c r="E100" s="47">
        <f t="shared" si="0"/>
        <v>0</v>
      </c>
      <c r="F100" s="87">
        <v>0</v>
      </c>
      <c r="G100" s="47">
        <f t="shared" si="4"/>
        <v>0</v>
      </c>
      <c r="H100" s="88"/>
      <c r="I100" s="20">
        <v>50</v>
      </c>
      <c r="J100" s="82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111</v>
      </c>
      <c r="C101" s="79">
        <f>+'25'!G101</f>
        <v>0</v>
      </c>
      <c r="D101" s="87">
        <v>0</v>
      </c>
      <c r="E101" s="47">
        <f t="shared" si="0"/>
        <v>0</v>
      </c>
      <c r="F101" s="87">
        <v>0</v>
      </c>
      <c r="G101" s="47">
        <f t="shared" ref="G101:G164" si="11">+E101-F101-H101</f>
        <v>0</v>
      </c>
      <c r="H101" s="88"/>
      <c r="I101" s="20">
        <v>60</v>
      </c>
      <c r="J101" s="82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112</v>
      </c>
      <c r="C102" s="79">
        <f>+'25'!G102</f>
        <v>0</v>
      </c>
      <c r="D102" s="87">
        <v>0</v>
      </c>
      <c r="E102" s="47">
        <f t="shared" si="0"/>
        <v>0</v>
      </c>
      <c r="F102" s="87">
        <v>0</v>
      </c>
      <c r="G102" s="47">
        <f t="shared" si="11"/>
        <v>0</v>
      </c>
      <c r="H102" s="88"/>
      <c r="I102" s="20">
        <v>55</v>
      </c>
      <c r="J102" s="82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113</v>
      </c>
      <c r="C103" s="79">
        <f>+'25'!G103</f>
        <v>0</v>
      </c>
      <c r="D103" s="87">
        <v>0</v>
      </c>
      <c r="E103" s="47">
        <f t="shared" si="0"/>
        <v>0</v>
      </c>
      <c r="F103" s="87">
        <v>0</v>
      </c>
      <c r="G103" s="47">
        <f t="shared" si="11"/>
        <v>0</v>
      </c>
      <c r="H103" s="88"/>
      <c r="I103" s="20">
        <v>50</v>
      </c>
      <c r="J103" s="82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114</v>
      </c>
      <c r="C104" s="79">
        <f>+'25'!G104</f>
        <v>0</v>
      </c>
      <c r="D104" s="87">
        <v>0</v>
      </c>
      <c r="E104" s="47">
        <f t="shared" si="0"/>
        <v>0</v>
      </c>
      <c r="F104" s="87">
        <v>0</v>
      </c>
      <c r="G104" s="47">
        <f t="shared" si="11"/>
        <v>0</v>
      </c>
      <c r="H104" s="88"/>
      <c r="I104" s="20">
        <v>100</v>
      </c>
      <c r="J104" s="82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115</v>
      </c>
      <c r="C105" s="79">
        <f>+'25'!G105</f>
        <v>0</v>
      </c>
      <c r="D105" s="87">
        <v>0</v>
      </c>
      <c r="E105" s="47">
        <f t="shared" si="0"/>
        <v>0</v>
      </c>
      <c r="F105" s="87">
        <v>0</v>
      </c>
      <c r="G105" s="47">
        <f t="shared" si="11"/>
        <v>0</v>
      </c>
      <c r="H105" s="88"/>
      <c r="I105" s="20">
        <v>100</v>
      </c>
      <c r="J105" s="82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116</v>
      </c>
      <c r="C106" s="79">
        <f>+'25'!G106</f>
        <v>0</v>
      </c>
      <c r="D106" s="87">
        <v>0</v>
      </c>
      <c r="E106" s="47">
        <f t="shared" si="0"/>
        <v>0</v>
      </c>
      <c r="F106" s="87">
        <v>0</v>
      </c>
      <c r="G106" s="47">
        <f t="shared" si="11"/>
        <v>0</v>
      </c>
      <c r="H106" s="88"/>
      <c r="I106" s="22">
        <v>30</v>
      </c>
      <c r="J106" s="82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117</v>
      </c>
      <c r="C107" s="79">
        <f>+'25'!G107</f>
        <v>0</v>
      </c>
      <c r="D107" s="87">
        <v>0</v>
      </c>
      <c r="E107" s="47">
        <f t="shared" si="0"/>
        <v>0</v>
      </c>
      <c r="F107" s="87">
        <v>0</v>
      </c>
      <c r="G107" s="47">
        <f t="shared" si="11"/>
        <v>0</v>
      </c>
      <c r="H107" s="88"/>
      <c r="I107" s="22">
        <v>20</v>
      </c>
      <c r="J107" s="82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118</v>
      </c>
      <c r="C108" s="79">
        <f>+'25'!G108</f>
        <v>0</v>
      </c>
      <c r="D108" s="87">
        <v>0</v>
      </c>
      <c r="E108" s="47">
        <f t="shared" si="0"/>
        <v>0</v>
      </c>
      <c r="F108" s="87">
        <v>0</v>
      </c>
      <c r="G108" s="47">
        <f t="shared" si="11"/>
        <v>0</v>
      </c>
      <c r="H108" s="88"/>
      <c r="I108" s="20">
        <v>100</v>
      </c>
      <c r="J108" s="82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120</v>
      </c>
      <c r="C109" s="79">
        <f>+'25'!G109</f>
        <v>0</v>
      </c>
      <c r="D109" s="87">
        <v>0</v>
      </c>
      <c r="E109" s="47">
        <f t="shared" si="0"/>
        <v>0</v>
      </c>
      <c r="F109" s="87">
        <v>0</v>
      </c>
      <c r="G109" s="47">
        <f t="shared" si="11"/>
        <v>0</v>
      </c>
      <c r="H109" s="88"/>
      <c r="I109" s="20">
        <v>80</v>
      </c>
      <c r="J109" s="82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121</v>
      </c>
      <c r="C110" s="79">
        <f>+'25'!G110</f>
        <v>0</v>
      </c>
      <c r="D110" s="87">
        <v>0</v>
      </c>
      <c r="E110" s="47">
        <f t="shared" si="0"/>
        <v>0</v>
      </c>
      <c r="F110" s="87">
        <v>0</v>
      </c>
      <c r="G110" s="47">
        <f t="shared" si="11"/>
        <v>0</v>
      </c>
      <c r="H110" s="88"/>
      <c r="I110" s="20">
        <v>60</v>
      </c>
      <c r="J110" s="82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122</v>
      </c>
      <c r="C111" s="79">
        <f>+'25'!G111</f>
        <v>0</v>
      </c>
      <c r="D111" s="87">
        <v>0</v>
      </c>
      <c r="E111" s="47">
        <f t="shared" si="0"/>
        <v>0</v>
      </c>
      <c r="F111" s="87">
        <v>0</v>
      </c>
      <c r="G111" s="47">
        <f t="shared" si="11"/>
        <v>0</v>
      </c>
      <c r="H111" s="88"/>
      <c r="I111" s="20">
        <v>35</v>
      </c>
      <c r="J111" s="82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123</v>
      </c>
      <c r="C112" s="79">
        <f>+'25'!G112</f>
        <v>0</v>
      </c>
      <c r="D112" s="87">
        <v>0</v>
      </c>
      <c r="E112" s="47">
        <f t="shared" si="0"/>
        <v>0</v>
      </c>
      <c r="F112" s="87">
        <v>0</v>
      </c>
      <c r="G112" s="47">
        <f t="shared" si="11"/>
        <v>0</v>
      </c>
      <c r="H112" s="88"/>
      <c r="I112" s="20">
        <v>35</v>
      </c>
      <c r="J112" s="82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124</v>
      </c>
      <c r="C113" s="79">
        <f>+'25'!G113</f>
        <v>0</v>
      </c>
      <c r="D113" s="87">
        <v>0</v>
      </c>
      <c r="E113" s="47">
        <f t="shared" si="0"/>
        <v>0</v>
      </c>
      <c r="F113" s="87">
        <v>0</v>
      </c>
      <c r="G113" s="47">
        <f t="shared" si="11"/>
        <v>0</v>
      </c>
      <c r="H113" s="88"/>
      <c r="I113" s="20">
        <v>35</v>
      </c>
      <c r="J113" s="82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125</v>
      </c>
      <c r="C114" s="79">
        <f>+'25'!G114</f>
        <v>0</v>
      </c>
      <c r="D114" s="87">
        <v>0</v>
      </c>
      <c r="E114" s="47">
        <f t="shared" si="0"/>
        <v>0</v>
      </c>
      <c r="F114" s="87">
        <v>0</v>
      </c>
      <c r="G114" s="47">
        <f t="shared" si="11"/>
        <v>0</v>
      </c>
      <c r="H114" s="88"/>
      <c r="I114" s="20">
        <v>35</v>
      </c>
      <c r="J114" s="82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126</v>
      </c>
      <c r="C115" s="79">
        <f>+'25'!G115</f>
        <v>0</v>
      </c>
      <c r="D115" s="87">
        <v>0</v>
      </c>
      <c r="E115" s="47">
        <f t="shared" si="0"/>
        <v>0</v>
      </c>
      <c r="F115" s="87">
        <v>0</v>
      </c>
      <c r="G115" s="47">
        <f t="shared" si="11"/>
        <v>0</v>
      </c>
      <c r="H115" s="88"/>
      <c r="I115" s="20">
        <v>35</v>
      </c>
      <c r="J115" s="82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127</v>
      </c>
      <c r="C116" s="79">
        <f>+'25'!G116</f>
        <v>0</v>
      </c>
      <c r="D116" s="87">
        <v>0</v>
      </c>
      <c r="E116" s="47">
        <f t="shared" si="0"/>
        <v>0</v>
      </c>
      <c r="F116" s="87">
        <v>0</v>
      </c>
      <c r="G116" s="47">
        <f t="shared" si="11"/>
        <v>0</v>
      </c>
      <c r="H116" s="88"/>
      <c r="I116" s="20">
        <v>30</v>
      </c>
      <c r="J116" s="82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128</v>
      </c>
      <c r="C117" s="79">
        <f>+'25'!G117</f>
        <v>0</v>
      </c>
      <c r="D117" s="87">
        <v>0</v>
      </c>
      <c r="E117" s="47">
        <f t="shared" si="0"/>
        <v>0</v>
      </c>
      <c r="F117" s="87">
        <v>0</v>
      </c>
      <c r="G117" s="47">
        <f t="shared" si="11"/>
        <v>0</v>
      </c>
      <c r="H117" s="88"/>
      <c r="I117" s="20">
        <v>30</v>
      </c>
      <c r="J117" s="82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129</v>
      </c>
      <c r="C118" s="79">
        <f>+'25'!G118</f>
        <v>0</v>
      </c>
      <c r="D118" s="87">
        <v>0</v>
      </c>
      <c r="E118" s="47">
        <f t="shared" si="0"/>
        <v>0</v>
      </c>
      <c r="F118" s="87">
        <v>0</v>
      </c>
      <c r="G118" s="47">
        <f t="shared" si="11"/>
        <v>0</v>
      </c>
      <c r="H118" s="88"/>
      <c r="I118" s="20">
        <v>30</v>
      </c>
      <c r="J118" s="82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130</v>
      </c>
      <c r="C119" s="79">
        <f>+'25'!G119</f>
        <v>0</v>
      </c>
      <c r="D119" s="87">
        <v>0</v>
      </c>
      <c r="E119" s="47">
        <f t="shared" si="0"/>
        <v>0</v>
      </c>
      <c r="F119" s="87">
        <v>0</v>
      </c>
      <c r="G119" s="47">
        <f t="shared" si="11"/>
        <v>0</v>
      </c>
      <c r="H119" s="88"/>
      <c r="I119" s="20">
        <v>30</v>
      </c>
      <c r="J119" s="82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131</v>
      </c>
      <c r="C120" s="79">
        <f>+'25'!G120</f>
        <v>0</v>
      </c>
      <c r="D120" s="87">
        <v>0</v>
      </c>
      <c r="E120" s="47">
        <f t="shared" si="0"/>
        <v>0</v>
      </c>
      <c r="F120" s="87">
        <v>0</v>
      </c>
      <c r="G120" s="47">
        <f t="shared" si="11"/>
        <v>0</v>
      </c>
      <c r="H120" s="88"/>
      <c r="I120" s="20">
        <v>30</v>
      </c>
      <c r="J120" s="82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132</v>
      </c>
      <c r="C121" s="79">
        <f>+'25'!G121</f>
        <v>0</v>
      </c>
      <c r="D121" s="87">
        <v>0</v>
      </c>
      <c r="E121" s="47">
        <f t="shared" si="0"/>
        <v>0</v>
      </c>
      <c r="F121" s="87">
        <v>0</v>
      </c>
      <c r="G121" s="47">
        <f t="shared" si="11"/>
        <v>0</v>
      </c>
      <c r="H121" s="88"/>
      <c r="I121" s="20">
        <v>30</v>
      </c>
      <c r="J121" s="82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133</v>
      </c>
      <c r="C122" s="79">
        <f>+'25'!G122</f>
        <v>0</v>
      </c>
      <c r="D122" s="87">
        <v>0</v>
      </c>
      <c r="E122" s="47">
        <f t="shared" si="0"/>
        <v>0</v>
      </c>
      <c r="F122" s="87">
        <v>0</v>
      </c>
      <c r="G122" s="47">
        <f t="shared" si="11"/>
        <v>0</v>
      </c>
      <c r="H122" s="88"/>
      <c r="I122" s="20">
        <v>40</v>
      </c>
      <c r="J122" s="82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134</v>
      </c>
      <c r="C123" s="79">
        <f>+'25'!G123</f>
        <v>0</v>
      </c>
      <c r="D123" s="87">
        <v>0</v>
      </c>
      <c r="E123" s="47">
        <f t="shared" si="0"/>
        <v>0</v>
      </c>
      <c r="F123" s="87">
        <v>0</v>
      </c>
      <c r="G123" s="47">
        <f t="shared" si="11"/>
        <v>0</v>
      </c>
      <c r="H123" s="88"/>
      <c r="I123" s="20">
        <v>35</v>
      </c>
      <c r="J123" s="82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135</v>
      </c>
      <c r="C124" s="79">
        <f>+'25'!G124</f>
        <v>0</v>
      </c>
      <c r="D124" s="87">
        <v>0</v>
      </c>
      <c r="E124" s="47">
        <f t="shared" si="0"/>
        <v>0</v>
      </c>
      <c r="F124" s="87">
        <v>0</v>
      </c>
      <c r="G124" s="47">
        <f t="shared" si="11"/>
        <v>0</v>
      </c>
      <c r="H124" s="88"/>
      <c r="I124" s="20">
        <v>40</v>
      </c>
      <c r="J124" s="82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136</v>
      </c>
      <c r="C125" s="79">
        <f>+'25'!G125</f>
        <v>0</v>
      </c>
      <c r="D125" s="87">
        <v>0</v>
      </c>
      <c r="E125" s="47">
        <f t="shared" si="0"/>
        <v>0</v>
      </c>
      <c r="F125" s="87">
        <v>0</v>
      </c>
      <c r="G125" s="47">
        <f t="shared" si="11"/>
        <v>0</v>
      </c>
      <c r="H125" s="88"/>
      <c r="I125" s="20">
        <v>40</v>
      </c>
      <c r="J125" s="82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137</v>
      </c>
      <c r="C126" s="79">
        <f>+'25'!G126</f>
        <v>0</v>
      </c>
      <c r="D126" s="87">
        <v>0</v>
      </c>
      <c r="E126" s="47">
        <f t="shared" ref="E126:E189" si="13">C126+D126</f>
        <v>0</v>
      </c>
      <c r="F126" s="87">
        <v>0</v>
      </c>
      <c r="G126" s="47">
        <f t="shared" si="11"/>
        <v>0</v>
      </c>
      <c r="H126" s="88"/>
      <c r="I126" s="20">
        <v>30</v>
      </c>
      <c r="J126" s="82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138</v>
      </c>
      <c r="C127" s="79">
        <f>+'25'!G127</f>
        <v>0</v>
      </c>
      <c r="D127" s="87">
        <v>0</v>
      </c>
      <c r="E127" s="47">
        <f t="shared" si="13"/>
        <v>0</v>
      </c>
      <c r="F127" s="87">
        <v>0</v>
      </c>
      <c r="G127" s="47">
        <f t="shared" si="11"/>
        <v>0</v>
      </c>
      <c r="H127" s="88"/>
      <c r="I127" s="20">
        <v>40</v>
      </c>
      <c r="J127" s="82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139</v>
      </c>
      <c r="C128" s="79">
        <f>+'25'!G128</f>
        <v>74</v>
      </c>
      <c r="D128" s="87">
        <v>0</v>
      </c>
      <c r="E128" s="47">
        <f t="shared" si="13"/>
        <v>74</v>
      </c>
      <c r="F128" s="87">
        <v>0</v>
      </c>
      <c r="G128" s="47">
        <f t="shared" si="11"/>
        <v>74</v>
      </c>
      <c r="H128" s="88"/>
      <c r="I128" s="20">
        <v>10</v>
      </c>
      <c r="J128" s="82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140</v>
      </c>
      <c r="C129" s="79">
        <f>+'25'!G129</f>
        <v>0</v>
      </c>
      <c r="D129" s="87">
        <v>0</v>
      </c>
      <c r="E129" s="47">
        <f t="shared" si="13"/>
        <v>0</v>
      </c>
      <c r="F129" s="87">
        <v>0</v>
      </c>
      <c r="G129" s="47">
        <f t="shared" si="11"/>
        <v>0</v>
      </c>
      <c r="H129" s="88"/>
      <c r="I129" s="20">
        <v>35</v>
      </c>
      <c r="J129" s="82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141</v>
      </c>
      <c r="C130" s="79">
        <f>+'25'!G130</f>
        <v>0</v>
      </c>
      <c r="D130" s="87">
        <v>0</v>
      </c>
      <c r="E130" s="47">
        <f t="shared" si="13"/>
        <v>0</v>
      </c>
      <c r="F130" s="87">
        <v>0</v>
      </c>
      <c r="G130" s="47">
        <f t="shared" si="11"/>
        <v>0</v>
      </c>
      <c r="H130" s="88"/>
      <c r="I130" s="20">
        <v>40</v>
      </c>
      <c r="J130" s="82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142</v>
      </c>
      <c r="C131" s="79">
        <f>+'25'!G131</f>
        <v>0</v>
      </c>
      <c r="D131" s="87">
        <v>0</v>
      </c>
      <c r="E131" s="47">
        <f t="shared" si="13"/>
        <v>0</v>
      </c>
      <c r="F131" s="87">
        <v>0</v>
      </c>
      <c r="G131" s="47">
        <f t="shared" si="11"/>
        <v>0</v>
      </c>
      <c r="H131" s="88"/>
      <c r="I131" s="20">
        <v>50</v>
      </c>
      <c r="J131" s="82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143</v>
      </c>
      <c r="C132" s="79">
        <f>+'25'!G132</f>
        <v>0</v>
      </c>
      <c r="D132" s="87">
        <v>0</v>
      </c>
      <c r="E132" s="47">
        <f t="shared" si="13"/>
        <v>0</v>
      </c>
      <c r="F132" s="87">
        <v>0</v>
      </c>
      <c r="G132" s="47">
        <f t="shared" si="11"/>
        <v>0</v>
      </c>
      <c r="H132" s="88"/>
      <c r="I132" s="20">
        <v>55</v>
      </c>
      <c r="J132" s="82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144</v>
      </c>
      <c r="C133" s="79">
        <f>+'25'!G133</f>
        <v>0</v>
      </c>
      <c r="D133" s="87">
        <v>0</v>
      </c>
      <c r="E133" s="47">
        <f t="shared" si="13"/>
        <v>0</v>
      </c>
      <c r="F133" s="87">
        <v>0</v>
      </c>
      <c r="G133" s="47">
        <f t="shared" si="11"/>
        <v>0</v>
      </c>
      <c r="H133" s="88"/>
      <c r="I133" s="20">
        <v>55</v>
      </c>
      <c r="J133" s="82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145</v>
      </c>
      <c r="C134" s="79">
        <f>+'25'!G134</f>
        <v>0</v>
      </c>
      <c r="D134" s="87">
        <v>0</v>
      </c>
      <c r="E134" s="47">
        <f t="shared" si="13"/>
        <v>0</v>
      </c>
      <c r="F134" s="87">
        <v>0</v>
      </c>
      <c r="G134" s="47">
        <f t="shared" si="11"/>
        <v>0</v>
      </c>
      <c r="H134" s="88"/>
      <c r="I134" s="20">
        <v>45</v>
      </c>
      <c r="J134" s="82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5.5" x14ac:dyDescent="0.55000000000000004">
      <c r="A135" s="10">
        <v>131</v>
      </c>
      <c r="B135" s="19" t="s">
        <v>146</v>
      </c>
      <c r="C135" s="79">
        <f>+'25'!G135</f>
        <v>0</v>
      </c>
      <c r="D135" s="87">
        <v>0</v>
      </c>
      <c r="E135" s="47">
        <f t="shared" si="13"/>
        <v>0</v>
      </c>
      <c r="F135" s="87">
        <v>0</v>
      </c>
      <c r="G135" s="47">
        <f t="shared" si="11"/>
        <v>0</v>
      </c>
      <c r="H135" s="88"/>
      <c r="I135" s="20">
        <v>45</v>
      </c>
      <c r="J135" s="82">
        <f t="shared" si="12"/>
        <v>0</v>
      </c>
      <c r="K135" s="17" t="s">
        <v>16</v>
      </c>
      <c r="L135" s="18">
        <v>0</v>
      </c>
      <c r="M135" s="23">
        <f t="shared" ref="M135:M198" si="14">SUM(J135-L135)</f>
        <v>0</v>
      </c>
    </row>
    <row r="136" spans="1:13" ht="25.5" x14ac:dyDescent="0.55000000000000004">
      <c r="A136" s="10">
        <v>132</v>
      </c>
      <c r="B136" s="19" t="s">
        <v>147</v>
      </c>
      <c r="C136" s="79">
        <f>+'25'!G136</f>
        <v>0</v>
      </c>
      <c r="D136" s="87">
        <v>0</v>
      </c>
      <c r="E136" s="47">
        <f t="shared" si="13"/>
        <v>0</v>
      </c>
      <c r="F136" s="87">
        <v>0</v>
      </c>
      <c r="G136" s="47">
        <f t="shared" si="11"/>
        <v>0</v>
      </c>
      <c r="H136" s="88"/>
      <c r="I136" s="20">
        <v>55</v>
      </c>
      <c r="J136" s="82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148</v>
      </c>
      <c r="C137" s="79">
        <f>+'25'!G137</f>
        <v>0</v>
      </c>
      <c r="D137" s="87">
        <v>0</v>
      </c>
      <c r="E137" s="47">
        <f t="shared" si="13"/>
        <v>0</v>
      </c>
      <c r="F137" s="87">
        <v>0</v>
      </c>
      <c r="G137" s="47">
        <f t="shared" si="11"/>
        <v>0</v>
      </c>
      <c r="H137" s="88"/>
      <c r="I137" s="20">
        <v>45</v>
      </c>
      <c r="J137" s="82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149</v>
      </c>
      <c r="C138" s="79">
        <f>+'25'!G138</f>
        <v>0</v>
      </c>
      <c r="D138" s="87">
        <v>0</v>
      </c>
      <c r="E138" s="47">
        <f t="shared" si="13"/>
        <v>0</v>
      </c>
      <c r="F138" s="87">
        <v>0</v>
      </c>
      <c r="G138" s="47">
        <f t="shared" si="11"/>
        <v>0</v>
      </c>
      <c r="H138" s="88"/>
      <c r="I138" s="20">
        <v>45</v>
      </c>
      <c r="J138" s="82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150</v>
      </c>
      <c r="C139" s="79">
        <f>+'25'!G139</f>
        <v>0</v>
      </c>
      <c r="D139" s="87">
        <v>0</v>
      </c>
      <c r="E139" s="47">
        <f t="shared" si="13"/>
        <v>0</v>
      </c>
      <c r="F139" s="87">
        <v>0</v>
      </c>
      <c r="G139" s="47">
        <f t="shared" si="11"/>
        <v>0</v>
      </c>
      <c r="H139" s="88"/>
      <c r="I139" s="20">
        <v>45</v>
      </c>
      <c r="J139" s="82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151</v>
      </c>
      <c r="C140" s="79">
        <f>+'25'!G140</f>
        <v>0</v>
      </c>
      <c r="D140" s="87">
        <v>0</v>
      </c>
      <c r="E140" s="47">
        <f t="shared" si="13"/>
        <v>0</v>
      </c>
      <c r="F140" s="87">
        <v>0</v>
      </c>
      <c r="G140" s="47">
        <f t="shared" si="11"/>
        <v>0</v>
      </c>
      <c r="H140" s="88"/>
      <c r="I140" s="20">
        <v>45</v>
      </c>
      <c r="J140" s="82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152</v>
      </c>
      <c r="C141" s="79">
        <f>+'25'!G141</f>
        <v>0</v>
      </c>
      <c r="D141" s="87">
        <v>0</v>
      </c>
      <c r="E141" s="47">
        <f t="shared" si="13"/>
        <v>0</v>
      </c>
      <c r="F141" s="87">
        <v>0</v>
      </c>
      <c r="G141" s="47">
        <f t="shared" si="11"/>
        <v>0</v>
      </c>
      <c r="H141" s="88"/>
      <c r="I141" s="20">
        <v>45</v>
      </c>
      <c r="J141" s="82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153</v>
      </c>
      <c r="C142" s="79">
        <f>+'25'!G142</f>
        <v>0</v>
      </c>
      <c r="D142" s="87">
        <v>0</v>
      </c>
      <c r="E142" s="47">
        <f t="shared" si="13"/>
        <v>0</v>
      </c>
      <c r="F142" s="87">
        <v>0</v>
      </c>
      <c r="G142" s="47">
        <f t="shared" si="11"/>
        <v>0</v>
      </c>
      <c r="H142" s="88"/>
      <c r="I142" s="20">
        <v>45</v>
      </c>
      <c r="J142" s="82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154</v>
      </c>
      <c r="C143" s="79">
        <f>+'25'!G143</f>
        <v>0</v>
      </c>
      <c r="D143" s="87">
        <v>0</v>
      </c>
      <c r="E143" s="47">
        <f t="shared" si="13"/>
        <v>0</v>
      </c>
      <c r="F143" s="87">
        <v>0</v>
      </c>
      <c r="G143" s="47">
        <f t="shared" si="11"/>
        <v>0</v>
      </c>
      <c r="H143" s="88"/>
      <c r="I143" s="20">
        <v>120</v>
      </c>
      <c r="J143" s="82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155</v>
      </c>
      <c r="C144" s="79">
        <f>+'25'!G144</f>
        <v>0</v>
      </c>
      <c r="D144" s="87">
        <v>0</v>
      </c>
      <c r="E144" s="47">
        <f t="shared" si="13"/>
        <v>0</v>
      </c>
      <c r="F144" s="87">
        <v>0</v>
      </c>
      <c r="G144" s="47">
        <f t="shared" si="11"/>
        <v>0</v>
      </c>
      <c r="H144" s="88"/>
      <c r="I144" s="20">
        <v>120</v>
      </c>
      <c r="J144" s="82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156</v>
      </c>
      <c r="C145" s="79">
        <f>+'25'!G145</f>
        <v>0</v>
      </c>
      <c r="D145" s="87">
        <v>0</v>
      </c>
      <c r="E145" s="47">
        <f t="shared" si="13"/>
        <v>0</v>
      </c>
      <c r="F145" s="87">
        <v>0</v>
      </c>
      <c r="G145" s="47">
        <f t="shared" si="11"/>
        <v>0</v>
      </c>
      <c r="H145" s="88"/>
      <c r="I145" s="20">
        <v>120</v>
      </c>
      <c r="J145" s="82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157</v>
      </c>
      <c r="C146" s="79">
        <f>+'25'!G146</f>
        <v>0</v>
      </c>
      <c r="D146" s="87">
        <v>0</v>
      </c>
      <c r="E146" s="47">
        <f t="shared" si="13"/>
        <v>0</v>
      </c>
      <c r="F146" s="87">
        <v>0</v>
      </c>
      <c r="G146" s="47">
        <f t="shared" si="11"/>
        <v>0</v>
      </c>
      <c r="H146" s="88"/>
      <c r="I146" s="20">
        <v>120</v>
      </c>
      <c r="J146" s="82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158</v>
      </c>
      <c r="C147" s="79">
        <f>+'25'!G147</f>
        <v>0</v>
      </c>
      <c r="D147" s="87">
        <v>0</v>
      </c>
      <c r="E147" s="47">
        <f t="shared" si="13"/>
        <v>0</v>
      </c>
      <c r="F147" s="87">
        <v>0</v>
      </c>
      <c r="G147" s="47">
        <f t="shared" si="11"/>
        <v>0</v>
      </c>
      <c r="H147" s="88"/>
      <c r="I147" s="20">
        <v>185</v>
      </c>
      <c r="J147" s="82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159</v>
      </c>
      <c r="C148" s="79">
        <f>+'25'!G148</f>
        <v>0</v>
      </c>
      <c r="D148" s="87">
        <v>0</v>
      </c>
      <c r="E148" s="47">
        <f t="shared" si="13"/>
        <v>0</v>
      </c>
      <c r="F148" s="87">
        <v>0</v>
      </c>
      <c r="G148" s="47">
        <f t="shared" si="11"/>
        <v>0</v>
      </c>
      <c r="H148" s="88"/>
      <c r="I148" s="20">
        <v>185</v>
      </c>
      <c r="J148" s="82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160</v>
      </c>
      <c r="C149" s="79">
        <f>+'25'!G149</f>
        <v>0</v>
      </c>
      <c r="D149" s="87">
        <v>0</v>
      </c>
      <c r="E149" s="47">
        <f t="shared" si="13"/>
        <v>0</v>
      </c>
      <c r="F149" s="87">
        <v>0</v>
      </c>
      <c r="G149" s="47">
        <f t="shared" si="11"/>
        <v>0</v>
      </c>
      <c r="H149" s="88"/>
      <c r="I149" s="20">
        <v>185</v>
      </c>
      <c r="J149" s="82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161</v>
      </c>
      <c r="C150" s="79">
        <f>+'25'!G150</f>
        <v>0</v>
      </c>
      <c r="D150" s="87">
        <v>0</v>
      </c>
      <c r="E150" s="47">
        <f t="shared" si="13"/>
        <v>0</v>
      </c>
      <c r="F150" s="87">
        <v>0</v>
      </c>
      <c r="G150" s="47">
        <f t="shared" si="11"/>
        <v>0</v>
      </c>
      <c r="H150" s="88"/>
      <c r="I150" s="20">
        <v>185</v>
      </c>
      <c r="J150" s="82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5.5" x14ac:dyDescent="0.55000000000000004">
      <c r="A151" s="10">
        <v>147</v>
      </c>
      <c r="B151" s="19" t="s">
        <v>279</v>
      </c>
      <c r="C151" s="79">
        <f>+'25'!G151</f>
        <v>0</v>
      </c>
      <c r="D151" s="87">
        <v>0</v>
      </c>
      <c r="E151" s="47">
        <f t="shared" si="13"/>
        <v>0</v>
      </c>
      <c r="F151" s="87">
        <v>0</v>
      </c>
      <c r="G151" s="47">
        <f t="shared" si="11"/>
        <v>0</v>
      </c>
      <c r="H151" s="88"/>
      <c r="I151" s="20">
        <v>150</v>
      </c>
      <c r="J151" s="82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280</v>
      </c>
      <c r="C152" s="79">
        <f>+'25'!G152</f>
        <v>1</v>
      </c>
      <c r="D152" s="87">
        <v>0</v>
      </c>
      <c r="E152" s="47">
        <f t="shared" si="13"/>
        <v>1</v>
      </c>
      <c r="F152" s="87">
        <v>0</v>
      </c>
      <c r="G152" s="47">
        <f t="shared" si="11"/>
        <v>1</v>
      </c>
      <c r="H152" s="88"/>
      <c r="I152" s="20">
        <v>150</v>
      </c>
      <c r="J152" s="82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5.5" x14ac:dyDescent="0.55000000000000004">
      <c r="A153" s="10">
        <v>149</v>
      </c>
      <c r="B153" s="19" t="s">
        <v>281</v>
      </c>
      <c r="C153" s="79">
        <f>+'25'!G153</f>
        <v>0</v>
      </c>
      <c r="D153" s="87">
        <v>0</v>
      </c>
      <c r="E153" s="47">
        <f t="shared" si="13"/>
        <v>0</v>
      </c>
      <c r="F153" s="87">
        <v>0</v>
      </c>
      <c r="G153" s="47">
        <f t="shared" si="11"/>
        <v>0</v>
      </c>
      <c r="H153" s="88"/>
      <c r="I153" s="20">
        <v>150</v>
      </c>
      <c r="J153" s="82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282</v>
      </c>
      <c r="C154" s="79">
        <f>+'25'!G154</f>
        <v>0</v>
      </c>
      <c r="D154" s="87">
        <v>0</v>
      </c>
      <c r="E154" s="47">
        <f t="shared" si="13"/>
        <v>0</v>
      </c>
      <c r="F154" s="87">
        <v>0</v>
      </c>
      <c r="G154" s="47">
        <f t="shared" si="11"/>
        <v>0</v>
      </c>
      <c r="H154" s="88"/>
      <c r="I154" s="20">
        <v>150</v>
      </c>
      <c r="J154" s="82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166</v>
      </c>
      <c r="C155" s="79">
        <f>+'25'!G155</f>
        <v>0</v>
      </c>
      <c r="D155" s="87">
        <v>0</v>
      </c>
      <c r="E155" s="47">
        <f t="shared" si="13"/>
        <v>0</v>
      </c>
      <c r="F155" s="87">
        <v>0</v>
      </c>
      <c r="G155" s="47">
        <f t="shared" si="11"/>
        <v>0</v>
      </c>
      <c r="H155" s="88"/>
      <c r="I155" s="20">
        <v>185</v>
      </c>
      <c r="J155" s="82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167</v>
      </c>
      <c r="C156" s="79">
        <f>+'25'!G156</f>
        <v>0</v>
      </c>
      <c r="D156" s="87">
        <v>0</v>
      </c>
      <c r="E156" s="47">
        <f t="shared" si="13"/>
        <v>0</v>
      </c>
      <c r="F156" s="87">
        <v>0</v>
      </c>
      <c r="G156" s="47">
        <f t="shared" si="11"/>
        <v>0</v>
      </c>
      <c r="H156" s="88"/>
      <c r="I156" s="20">
        <v>185</v>
      </c>
      <c r="J156" s="82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168</v>
      </c>
      <c r="C157" s="79">
        <f>+'25'!G157</f>
        <v>0</v>
      </c>
      <c r="D157" s="87">
        <v>0</v>
      </c>
      <c r="E157" s="47">
        <f t="shared" si="13"/>
        <v>0</v>
      </c>
      <c r="F157" s="87">
        <v>0</v>
      </c>
      <c r="G157" s="47">
        <f t="shared" si="11"/>
        <v>0</v>
      </c>
      <c r="H157" s="88"/>
      <c r="I157" s="20">
        <v>185</v>
      </c>
      <c r="J157" s="82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169</v>
      </c>
      <c r="C158" s="79">
        <f>+'25'!G158</f>
        <v>0</v>
      </c>
      <c r="D158" s="87">
        <v>0</v>
      </c>
      <c r="E158" s="47">
        <f t="shared" si="13"/>
        <v>0</v>
      </c>
      <c r="F158" s="87">
        <v>0</v>
      </c>
      <c r="G158" s="47">
        <f t="shared" si="11"/>
        <v>0</v>
      </c>
      <c r="H158" s="88"/>
      <c r="I158" s="20">
        <v>185</v>
      </c>
      <c r="J158" s="82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170</v>
      </c>
      <c r="C159" s="79">
        <f>+'25'!G159</f>
        <v>0</v>
      </c>
      <c r="D159" s="87">
        <v>0</v>
      </c>
      <c r="E159" s="47">
        <f t="shared" si="13"/>
        <v>0</v>
      </c>
      <c r="F159" s="87">
        <v>0</v>
      </c>
      <c r="G159" s="47">
        <f t="shared" si="11"/>
        <v>0</v>
      </c>
      <c r="H159" s="88"/>
      <c r="I159" s="20">
        <v>135</v>
      </c>
      <c r="J159" s="82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171</v>
      </c>
      <c r="C160" s="79">
        <f>+'25'!G160</f>
        <v>0</v>
      </c>
      <c r="D160" s="87">
        <v>0</v>
      </c>
      <c r="E160" s="47">
        <f t="shared" si="13"/>
        <v>0</v>
      </c>
      <c r="F160" s="87">
        <v>0</v>
      </c>
      <c r="G160" s="47">
        <f t="shared" si="11"/>
        <v>0</v>
      </c>
      <c r="H160" s="88"/>
      <c r="I160" s="20">
        <v>90</v>
      </c>
      <c r="J160" s="82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172</v>
      </c>
      <c r="C161" s="79">
        <f>+'25'!G161</f>
        <v>0</v>
      </c>
      <c r="D161" s="87">
        <v>0</v>
      </c>
      <c r="E161" s="47">
        <f t="shared" si="13"/>
        <v>0</v>
      </c>
      <c r="F161" s="87">
        <v>0</v>
      </c>
      <c r="G161" s="47">
        <f t="shared" si="11"/>
        <v>0</v>
      </c>
      <c r="H161" s="88"/>
      <c r="I161" s="20">
        <v>90</v>
      </c>
      <c r="J161" s="82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173</v>
      </c>
      <c r="C162" s="79">
        <f>+'25'!G162</f>
        <v>0</v>
      </c>
      <c r="D162" s="87">
        <v>0</v>
      </c>
      <c r="E162" s="47">
        <f t="shared" si="13"/>
        <v>0</v>
      </c>
      <c r="F162" s="87">
        <v>0</v>
      </c>
      <c r="G162" s="47">
        <f t="shared" si="11"/>
        <v>0</v>
      </c>
      <c r="H162" s="88"/>
      <c r="I162" s="20">
        <v>90</v>
      </c>
      <c r="J162" s="82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174</v>
      </c>
      <c r="C163" s="79">
        <f>+'25'!G163</f>
        <v>0</v>
      </c>
      <c r="D163" s="87">
        <v>0</v>
      </c>
      <c r="E163" s="47">
        <f t="shared" si="13"/>
        <v>0</v>
      </c>
      <c r="F163" s="87">
        <v>0</v>
      </c>
      <c r="G163" s="47">
        <f t="shared" si="11"/>
        <v>0</v>
      </c>
      <c r="H163" s="88"/>
      <c r="I163" s="20">
        <v>90</v>
      </c>
      <c r="J163" s="82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175</v>
      </c>
      <c r="C164" s="79">
        <f>+'25'!G164</f>
        <v>0</v>
      </c>
      <c r="D164" s="87">
        <v>0</v>
      </c>
      <c r="E164" s="47">
        <f t="shared" si="13"/>
        <v>0</v>
      </c>
      <c r="F164" s="87">
        <v>0</v>
      </c>
      <c r="G164" s="47">
        <f t="shared" si="11"/>
        <v>0</v>
      </c>
      <c r="H164" s="88"/>
      <c r="I164" s="20">
        <v>25</v>
      </c>
      <c r="J164" s="82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176</v>
      </c>
      <c r="C165" s="79">
        <f>+'25'!G165</f>
        <v>0</v>
      </c>
      <c r="D165" s="87">
        <v>0</v>
      </c>
      <c r="E165" s="47">
        <f t="shared" si="13"/>
        <v>0</v>
      </c>
      <c r="F165" s="87">
        <v>0</v>
      </c>
      <c r="G165" s="47">
        <f t="shared" ref="G165:G227" si="15">+E165-F165-H165</f>
        <v>0</v>
      </c>
      <c r="H165" s="88"/>
      <c r="I165" s="20">
        <v>50</v>
      </c>
      <c r="J165" s="82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177</v>
      </c>
      <c r="C166" s="79">
        <f>+'25'!G166</f>
        <v>0</v>
      </c>
      <c r="D166" s="87">
        <v>0</v>
      </c>
      <c r="E166" s="47">
        <f t="shared" si="13"/>
        <v>0</v>
      </c>
      <c r="F166" s="87">
        <v>0</v>
      </c>
      <c r="G166" s="47">
        <f t="shared" si="15"/>
        <v>0</v>
      </c>
      <c r="H166" s="88"/>
      <c r="I166" s="20">
        <v>50</v>
      </c>
      <c r="J166" s="82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178</v>
      </c>
      <c r="C167" s="79">
        <f>+'25'!G167</f>
        <v>0</v>
      </c>
      <c r="D167" s="87">
        <v>0</v>
      </c>
      <c r="E167" s="47">
        <f t="shared" si="13"/>
        <v>0</v>
      </c>
      <c r="F167" s="87">
        <v>0</v>
      </c>
      <c r="G167" s="47">
        <f t="shared" si="15"/>
        <v>0</v>
      </c>
      <c r="H167" s="88"/>
      <c r="I167" s="20">
        <v>50</v>
      </c>
      <c r="J167" s="82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179</v>
      </c>
      <c r="C168" s="79">
        <f>+'25'!G168</f>
        <v>0</v>
      </c>
      <c r="D168" s="87">
        <v>0</v>
      </c>
      <c r="E168" s="47">
        <f t="shared" si="13"/>
        <v>0</v>
      </c>
      <c r="F168" s="87">
        <v>0</v>
      </c>
      <c r="G168" s="47">
        <f t="shared" si="15"/>
        <v>0</v>
      </c>
      <c r="H168" s="88"/>
      <c r="I168" s="20">
        <v>50</v>
      </c>
      <c r="J168" s="82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180</v>
      </c>
      <c r="C169" s="79">
        <f>+'25'!G169</f>
        <v>38</v>
      </c>
      <c r="D169" s="87">
        <v>0</v>
      </c>
      <c r="E169" s="47">
        <f t="shared" si="13"/>
        <v>38</v>
      </c>
      <c r="F169" s="87">
        <v>0</v>
      </c>
      <c r="G169" s="47">
        <f t="shared" si="15"/>
        <v>38</v>
      </c>
      <c r="H169" s="88"/>
      <c r="I169" s="20">
        <v>55</v>
      </c>
      <c r="J169" s="82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181</v>
      </c>
      <c r="C170" s="79">
        <f>+'25'!G170</f>
        <v>0</v>
      </c>
      <c r="D170" s="87">
        <v>0</v>
      </c>
      <c r="E170" s="47">
        <f t="shared" si="13"/>
        <v>0</v>
      </c>
      <c r="F170" s="87">
        <v>0</v>
      </c>
      <c r="G170" s="47">
        <f t="shared" si="15"/>
        <v>0</v>
      </c>
      <c r="H170" s="88"/>
      <c r="I170" s="20">
        <v>85</v>
      </c>
      <c r="J170" s="82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182</v>
      </c>
      <c r="C171" s="79">
        <f>+'25'!G171</f>
        <v>3</v>
      </c>
      <c r="D171" s="87">
        <v>0</v>
      </c>
      <c r="E171" s="47">
        <f t="shared" si="13"/>
        <v>3</v>
      </c>
      <c r="F171" s="87">
        <v>0</v>
      </c>
      <c r="G171" s="47">
        <f t="shared" si="15"/>
        <v>3</v>
      </c>
      <c r="H171" s="88"/>
      <c r="I171" s="20">
        <v>80</v>
      </c>
      <c r="J171" s="82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183</v>
      </c>
      <c r="C172" s="79">
        <f>+'25'!G172</f>
        <v>0</v>
      </c>
      <c r="D172" s="87">
        <v>0</v>
      </c>
      <c r="E172" s="47">
        <f t="shared" si="13"/>
        <v>0</v>
      </c>
      <c r="F172" s="87">
        <v>0</v>
      </c>
      <c r="G172" s="47">
        <f t="shared" si="15"/>
        <v>0</v>
      </c>
      <c r="H172" s="88"/>
      <c r="I172" s="20">
        <v>40</v>
      </c>
      <c r="J172" s="82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184</v>
      </c>
      <c r="C173" s="79">
        <f>+'25'!G173</f>
        <v>0</v>
      </c>
      <c r="D173" s="87">
        <v>0</v>
      </c>
      <c r="E173" s="47">
        <f t="shared" si="13"/>
        <v>0</v>
      </c>
      <c r="F173" s="87">
        <v>0</v>
      </c>
      <c r="G173" s="47">
        <f t="shared" si="15"/>
        <v>0</v>
      </c>
      <c r="H173" s="88"/>
      <c r="I173" s="20">
        <v>120</v>
      </c>
      <c r="J173" s="82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185</v>
      </c>
      <c r="C174" s="79">
        <f>+'25'!G174</f>
        <v>0</v>
      </c>
      <c r="D174" s="87">
        <v>0</v>
      </c>
      <c r="E174" s="47">
        <f t="shared" si="13"/>
        <v>0</v>
      </c>
      <c r="F174" s="87">
        <v>0</v>
      </c>
      <c r="G174" s="47">
        <f t="shared" si="15"/>
        <v>0</v>
      </c>
      <c r="H174" s="88"/>
      <c r="I174" s="20">
        <v>120</v>
      </c>
      <c r="J174" s="82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186</v>
      </c>
      <c r="C175" s="79">
        <f>+'25'!G175</f>
        <v>0</v>
      </c>
      <c r="D175" s="87">
        <v>0</v>
      </c>
      <c r="E175" s="47">
        <f t="shared" si="13"/>
        <v>0</v>
      </c>
      <c r="F175" s="87">
        <v>0</v>
      </c>
      <c r="G175" s="47">
        <f t="shared" si="15"/>
        <v>0</v>
      </c>
      <c r="H175" s="88"/>
      <c r="I175" s="20">
        <v>55</v>
      </c>
      <c r="J175" s="82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187</v>
      </c>
      <c r="C176" s="79">
        <f>+'25'!G176</f>
        <v>0</v>
      </c>
      <c r="D176" s="87">
        <v>0</v>
      </c>
      <c r="E176" s="47">
        <f t="shared" si="13"/>
        <v>0</v>
      </c>
      <c r="F176" s="87">
        <v>0</v>
      </c>
      <c r="G176" s="47">
        <f t="shared" si="15"/>
        <v>0</v>
      </c>
      <c r="H176" s="88"/>
      <c r="I176" s="20">
        <v>50</v>
      </c>
      <c r="J176" s="82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188</v>
      </c>
      <c r="C177" s="79">
        <f>+'25'!G177</f>
        <v>0</v>
      </c>
      <c r="D177" s="87">
        <v>5</v>
      </c>
      <c r="E177" s="47">
        <f t="shared" si="13"/>
        <v>5</v>
      </c>
      <c r="F177" s="87">
        <v>0</v>
      </c>
      <c r="G177" s="47">
        <f t="shared" si="15"/>
        <v>4</v>
      </c>
      <c r="H177" s="88">
        <v>1</v>
      </c>
      <c r="I177" s="20">
        <v>50</v>
      </c>
      <c r="J177" s="82">
        <f t="shared" si="16"/>
        <v>50</v>
      </c>
      <c r="K177" s="17" t="s">
        <v>16</v>
      </c>
      <c r="L177" s="18">
        <v>0</v>
      </c>
      <c r="M177" s="23">
        <f t="shared" si="14"/>
        <v>50</v>
      </c>
    </row>
    <row r="178" spans="1:13" ht="25.5" x14ac:dyDescent="0.55000000000000004">
      <c r="A178" s="10">
        <v>174</v>
      </c>
      <c r="B178" s="19" t="s">
        <v>189</v>
      </c>
      <c r="C178" s="79">
        <f>+'25'!G178</f>
        <v>0</v>
      </c>
      <c r="D178" s="87">
        <v>0</v>
      </c>
      <c r="E178" s="47">
        <f t="shared" si="13"/>
        <v>0</v>
      </c>
      <c r="F178" s="87">
        <v>0</v>
      </c>
      <c r="G178" s="47">
        <f t="shared" si="15"/>
        <v>0</v>
      </c>
      <c r="H178" s="88"/>
      <c r="I178" s="20">
        <v>120</v>
      </c>
      <c r="J178" s="82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190</v>
      </c>
      <c r="C179" s="79">
        <f>+'25'!G179</f>
        <v>0</v>
      </c>
      <c r="D179" s="87">
        <v>5</v>
      </c>
      <c r="E179" s="47">
        <f t="shared" si="13"/>
        <v>5</v>
      </c>
      <c r="F179" s="87">
        <v>0</v>
      </c>
      <c r="G179" s="47">
        <f t="shared" si="15"/>
        <v>5</v>
      </c>
      <c r="H179" s="88"/>
      <c r="I179" s="20">
        <v>120</v>
      </c>
      <c r="J179" s="82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191</v>
      </c>
      <c r="C180" s="79">
        <f>+'25'!G180</f>
        <v>0</v>
      </c>
      <c r="D180" s="87">
        <v>0</v>
      </c>
      <c r="E180" s="47">
        <f t="shared" si="13"/>
        <v>0</v>
      </c>
      <c r="F180" s="87">
        <v>0</v>
      </c>
      <c r="G180" s="47">
        <f t="shared" si="15"/>
        <v>0</v>
      </c>
      <c r="H180" s="88"/>
      <c r="I180" s="20">
        <v>10</v>
      </c>
      <c r="J180" s="82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192</v>
      </c>
      <c r="C181" s="79">
        <f>+'25'!G181</f>
        <v>0</v>
      </c>
      <c r="D181" s="87">
        <v>0</v>
      </c>
      <c r="E181" s="47">
        <f t="shared" si="13"/>
        <v>0</v>
      </c>
      <c r="F181" s="87">
        <v>0</v>
      </c>
      <c r="G181" s="47">
        <f t="shared" si="15"/>
        <v>0</v>
      </c>
      <c r="H181" s="88"/>
      <c r="I181" s="20">
        <v>35</v>
      </c>
      <c r="J181" s="82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193</v>
      </c>
      <c r="C182" s="79">
        <f>+'25'!G182</f>
        <v>0</v>
      </c>
      <c r="D182" s="87">
        <v>0</v>
      </c>
      <c r="E182" s="47">
        <f t="shared" si="13"/>
        <v>0</v>
      </c>
      <c r="F182" s="87">
        <v>0</v>
      </c>
      <c r="G182" s="47">
        <f t="shared" si="15"/>
        <v>0</v>
      </c>
      <c r="H182" s="88"/>
      <c r="I182" s="20">
        <v>10</v>
      </c>
      <c r="J182" s="82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194</v>
      </c>
      <c r="C183" s="79">
        <f>+'25'!G183</f>
        <v>0</v>
      </c>
      <c r="D183" s="87">
        <v>0</v>
      </c>
      <c r="E183" s="47">
        <f t="shared" si="13"/>
        <v>0</v>
      </c>
      <c r="F183" s="87">
        <v>0</v>
      </c>
      <c r="G183" s="47">
        <f t="shared" si="15"/>
        <v>0</v>
      </c>
      <c r="H183" s="88"/>
      <c r="I183" s="20">
        <v>10</v>
      </c>
      <c r="J183" s="82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195</v>
      </c>
      <c r="C184" s="79">
        <f>+'25'!G184</f>
        <v>0</v>
      </c>
      <c r="D184" s="87">
        <v>0</v>
      </c>
      <c r="E184" s="47">
        <f t="shared" si="13"/>
        <v>0</v>
      </c>
      <c r="F184" s="87">
        <v>0</v>
      </c>
      <c r="G184" s="47">
        <f t="shared" si="15"/>
        <v>0</v>
      </c>
      <c r="H184" s="88"/>
      <c r="I184" s="20">
        <v>10</v>
      </c>
      <c r="J184" s="82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196</v>
      </c>
      <c r="C185" s="79">
        <f>+'25'!G185</f>
        <v>0</v>
      </c>
      <c r="D185" s="87">
        <v>0</v>
      </c>
      <c r="E185" s="47">
        <f t="shared" si="13"/>
        <v>0</v>
      </c>
      <c r="F185" s="87">
        <v>0</v>
      </c>
      <c r="G185" s="47">
        <f t="shared" si="15"/>
        <v>0</v>
      </c>
      <c r="H185" s="88"/>
      <c r="I185" s="20">
        <v>10</v>
      </c>
      <c r="J185" s="82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197</v>
      </c>
      <c r="C186" s="79">
        <f>+'25'!G186</f>
        <v>0</v>
      </c>
      <c r="D186" s="87">
        <v>0</v>
      </c>
      <c r="E186" s="47">
        <f t="shared" si="13"/>
        <v>0</v>
      </c>
      <c r="F186" s="87">
        <v>0</v>
      </c>
      <c r="G186" s="47">
        <f t="shared" si="15"/>
        <v>0</v>
      </c>
      <c r="H186" s="88"/>
      <c r="I186" s="20">
        <v>10</v>
      </c>
      <c r="J186" s="82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198</v>
      </c>
      <c r="C187" s="79">
        <f>+'25'!G187</f>
        <v>0</v>
      </c>
      <c r="D187" s="87">
        <v>0</v>
      </c>
      <c r="E187" s="47">
        <f t="shared" si="13"/>
        <v>0</v>
      </c>
      <c r="F187" s="87">
        <v>0</v>
      </c>
      <c r="G187" s="47">
        <f t="shared" si="15"/>
        <v>0</v>
      </c>
      <c r="H187" s="88"/>
      <c r="I187" s="20">
        <v>25</v>
      </c>
      <c r="J187" s="82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249</v>
      </c>
      <c r="C188" s="79">
        <f>+'25'!G188</f>
        <v>0</v>
      </c>
      <c r="D188" s="87">
        <v>0</v>
      </c>
      <c r="E188" s="47">
        <f t="shared" si="13"/>
        <v>0</v>
      </c>
      <c r="F188" s="87">
        <v>0</v>
      </c>
      <c r="G188" s="47">
        <f t="shared" si="15"/>
        <v>0</v>
      </c>
      <c r="H188" s="88"/>
      <c r="I188" s="15">
        <v>50</v>
      </c>
      <c r="J188" s="82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250</v>
      </c>
      <c r="C189" s="79">
        <f>+'25'!G189</f>
        <v>0</v>
      </c>
      <c r="D189" s="87">
        <v>0</v>
      </c>
      <c r="E189" s="47">
        <f t="shared" si="13"/>
        <v>0</v>
      </c>
      <c r="F189" s="87">
        <v>0</v>
      </c>
      <c r="G189" s="47">
        <f t="shared" si="15"/>
        <v>0</v>
      </c>
      <c r="H189" s="88"/>
      <c r="I189" s="15">
        <v>10</v>
      </c>
      <c r="J189" s="82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251</v>
      </c>
      <c r="C190" s="79">
        <f>+'25'!G190</f>
        <v>0</v>
      </c>
      <c r="D190" s="87">
        <v>0</v>
      </c>
      <c r="E190" s="47">
        <f t="shared" ref="E190:E252" si="17">C190+D190</f>
        <v>0</v>
      </c>
      <c r="F190" s="87">
        <v>0</v>
      </c>
      <c r="G190" s="47">
        <f t="shared" si="15"/>
        <v>0</v>
      </c>
      <c r="H190" s="88"/>
      <c r="I190" s="15">
        <v>15</v>
      </c>
      <c r="J190" s="82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252</v>
      </c>
      <c r="C191" s="79">
        <f>+'25'!G191</f>
        <v>0</v>
      </c>
      <c r="D191" s="87">
        <v>0</v>
      </c>
      <c r="E191" s="47">
        <f t="shared" si="17"/>
        <v>0</v>
      </c>
      <c r="F191" s="87">
        <v>0</v>
      </c>
      <c r="G191" s="47">
        <f t="shared" si="15"/>
        <v>0</v>
      </c>
      <c r="H191" s="88"/>
      <c r="I191" s="15">
        <v>25</v>
      </c>
      <c r="J191" s="82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253</v>
      </c>
      <c r="C192" s="79">
        <f>+'25'!G192</f>
        <v>0</v>
      </c>
      <c r="D192" s="87">
        <v>0</v>
      </c>
      <c r="E192" s="47">
        <f t="shared" si="17"/>
        <v>0</v>
      </c>
      <c r="F192" s="87">
        <v>0</v>
      </c>
      <c r="G192" s="47">
        <f t="shared" si="15"/>
        <v>0</v>
      </c>
      <c r="H192" s="88"/>
      <c r="I192" s="15">
        <v>50</v>
      </c>
      <c r="J192" s="82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254</v>
      </c>
      <c r="C193" s="79">
        <f>+'25'!G193</f>
        <v>0</v>
      </c>
      <c r="D193" s="87">
        <v>0</v>
      </c>
      <c r="E193" s="47">
        <f t="shared" si="17"/>
        <v>0</v>
      </c>
      <c r="F193" s="87">
        <v>0</v>
      </c>
      <c r="G193" s="47">
        <f t="shared" si="15"/>
        <v>0</v>
      </c>
      <c r="H193" s="88"/>
      <c r="I193" s="15">
        <v>45</v>
      </c>
      <c r="J193" s="82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255</v>
      </c>
      <c r="C194" s="79">
        <f>+'25'!G194</f>
        <v>0</v>
      </c>
      <c r="D194" s="87">
        <v>0</v>
      </c>
      <c r="E194" s="47">
        <f t="shared" si="17"/>
        <v>0</v>
      </c>
      <c r="F194" s="87">
        <v>0</v>
      </c>
      <c r="G194" s="47">
        <f t="shared" si="15"/>
        <v>0</v>
      </c>
      <c r="H194" s="88"/>
      <c r="I194" s="15">
        <v>50</v>
      </c>
      <c r="J194" s="82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199</v>
      </c>
      <c r="C195" s="79">
        <f>+'25'!G195</f>
        <v>0</v>
      </c>
      <c r="D195" s="87">
        <v>0</v>
      </c>
      <c r="E195" s="47">
        <f t="shared" si="17"/>
        <v>0</v>
      </c>
      <c r="F195" s="87">
        <v>0</v>
      </c>
      <c r="G195" s="47">
        <f t="shared" si="15"/>
        <v>0</v>
      </c>
      <c r="H195" s="88"/>
      <c r="I195" s="15">
        <v>150</v>
      </c>
      <c r="J195" s="82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200</v>
      </c>
      <c r="C196" s="79">
        <f>+'25'!G196</f>
        <v>0</v>
      </c>
      <c r="D196" s="87">
        <v>0</v>
      </c>
      <c r="E196" s="47">
        <f t="shared" si="17"/>
        <v>0</v>
      </c>
      <c r="F196" s="87">
        <v>0</v>
      </c>
      <c r="G196" s="47">
        <f t="shared" si="15"/>
        <v>0</v>
      </c>
      <c r="H196" s="88"/>
      <c r="I196" s="15">
        <v>150</v>
      </c>
      <c r="J196" s="82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201</v>
      </c>
      <c r="C197" s="79">
        <f>+'25'!G197</f>
        <v>0</v>
      </c>
      <c r="D197" s="87">
        <v>0</v>
      </c>
      <c r="E197" s="47">
        <f t="shared" si="17"/>
        <v>0</v>
      </c>
      <c r="F197" s="87">
        <v>0</v>
      </c>
      <c r="G197" s="47">
        <f t="shared" si="15"/>
        <v>0</v>
      </c>
      <c r="H197" s="88"/>
      <c r="I197" s="15">
        <v>150</v>
      </c>
      <c r="J197" s="82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256</v>
      </c>
      <c r="C198" s="79">
        <f>+'25'!G198</f>
        <v>0</v>
      </c>
      <c r="D198" s="87">
        <v>0</v>
      </c>
      <c r="E198" s="47">
        <f t="shared" si="17"/>
        <v>0</v>
      </c>
      <c r="F198" s="87">
        <v>0</v>
      </c>
      <c r="G198" s="47">
        <f t="shared" si="15"/>
        <v>0</v>
      </c>
      <c r="H198" s="88"/>
      <c r="I198" s="15">
        <v>55</v>
      </c>
      <c r="J198" s="82">
        <f t="shared" si="16"/>
        <v>0</v>
      </c>
      <c r="K198" s="17" t="s">
        <v>16</v>
      </c>
      <c r="L198" s="18">
        <v>0</v>
      </c>
      <c r="M198" s="23">
        <f t="shared" si="14"/>
        <v>0</v>
      </c>
    </row>
    <row r="199" spans="1:13" ht="25.5" x14ac:dyDescent="0.55000000000000004">
      <c r="A199" s="10">
        <v>195</v>
      </c>
      <c r="B199" s="19" t="s">
        <v>257</v>
      </c>
      <c r="C199" s="79">
        <f>+'25'!G199</f>
        <v>0</v>
      </c>
      <c r="D199" s="87">
        <v>0</v>
      </c>
      <c r="E199" s="47">
        <f t="shared" si="17"/>
        <v>0</v>
      </c>
      <c r="F199" s="87">
        <v>0</v>
      </c>
      <c r="G199" s="47">
        <f t="shared" si="15"/>
        <v>0</v>
      </c>
      <c r="H199" s="88"/>
      <c r="I199" s="15">
        <v>30</v>
      </c>
      <c r="J199" s="82">
        <f t="shared" si="16"/>
        <v>0</v>
      </c>
      <c r="K199" s="17" t="s">
        <v>16</v>
      </c>
      <c r="L199" s="18">
        <v>0</v>
      </c>
      <c r="M199" s="23">
        <f t="shared" ref="M199:M254" si="18">SUM(J199-L199)</f>
        <v>0</v>
      </c>
    </row>
    <row r="200" spans="1:13" ht="25.5" x14ac:dyDescent="0.55000000000000004">
      <c r="A200" s="10">
        <v>196</v>
      </c>
      <c r="B200" s="19" t="s">
        <v>258</v>
      </c>
      <c r="C200" s="79">
        <f>+'25'!G200</f>
        <v>0</v>
      </c>
      <c r="D200" s="87">
        <v>0</v>
      </c>
      <c r="E200" s="47">
        <f t="shared" si="17"/>
        <v>0</v>
      </c>
      <c r="F200" s="87">
        <v>0</v>
      </c>
      <c r="G200" s="47">
        <f t="shared" si="15"/>
        <v>0</v>
      </c>
      <c r="H200" s="88"/>
      <c r="I200" s="15">
        <v>30</v>
      </c>
      <c r="J200" s="82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259</v>
      </c>
      <c r="C201" s="79">
        <f>+'25'!G201</f>
        <v>0</v>
      </c>
      <c r="D201" s="87">
        <v>0</v>
      </c>
      <c r="E201" s="47">
        <f t="shared" si="17"/>
        <v>0</v>
      </c>
      <c r="F201" s="87">
        <v>0</v>
      </c>
      <c r="G201" s="47">
        <f t="shared" si="15"/>
        <v>0</v>
      </c>
      <c r="H201" s="88"/>
      <c r="I201" s="15">
        <v>30</v>
      </c>
      <c r="J201" s="82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260</v>
      </c>
      <c r="C202" s="79">
        <f>+'25'!G202</f>
        <v>0</v>
      </c>
      <c r="D202" s="87">
        <v>0</v>
      </c>
      <c r="E202" s="47">
        <f t="shared" si="17"/>
        <v>0</v>
      </c>
      <c r="F202" s="87">
        <v>0</v>
      </c>
      <c r="G202" s="47">
        <f t="shared" si="15"/>
        <v>0</v>
      </c>
      <c r="H202" s="88"/>
      <c r="I202" s="15">
        <v>30</v>
      </c>
      <c r="J202" s="82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1" t="s">
        <v>261</v>
      </c>
      <c r="C203" s="79">
        <f>+'25'!G203</f>
        <v>0</v>
      </c>
      <c r="D203" s="87">
        <v>0</v>
      </c>
      <c r="E203" s="47">
        <f t="shared" si="17"/>
        <v>0</v>
      </c>
      <c r="F203" s="87">
        <v>0</v>
      </c>
      <c r="G203" s="47">
        <f t="shared" si="15"/>
        <v>0</v>
      </c>
      <c r="H203" s="88"/>
      <c r="I203" s="20">
        <v>30</v>
      </c>
      <c r="J203" s="82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1" t="s">
        <v>262</v>
      </c>
      <c r="C204" s="79">
        <f>+'25'!G204</f>
        <v>0</v>
      </c>
      <c r="D204" s="87">
        <v>0</v>
      </c>
      <c r="E204" s="47">
        <f t="shared" si="17"/>
        <v>0</v>
      </c>
      <c r="F204" s="87">
        <v>0</v>
      </c>
      <c r="G204" s="47">
        <f t="shared" si="15"/>
        <v>0</v>
      </c>
      <c r="H204" s="88"/>
      <c r="I204" s="20">
        <v>30</v>
      </c>
      <c r="J204" s="82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1" t="s">
        <v>263</v>
      </c>
      <c r="C205" s="79">
        <f>+'25'!G205</f>
        <v>0</v>
      </c>
      <c r="D205" s="87">
        <v>0</v>
      </c>
      <c r="E205" s="47">
        <f t="shared" si="17"/>
        <v>0</v>
      </c>
      <c r="F205" s="87">
        <v>0</v>
      </c>
      <c r="G205" s="47">
        <f t="shared" si="15"/>
        <v>0</v>
      </c>
      <c r="H205" s="88"/>
      <c r="I205" s="20">
        <v>50</v>
      </c>
      <c r="J205" s="82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1" t="s">
        <v>264</v>
      </c>
      <c r="C206" s="79">
        <f>+'25'!G206</f>
        <v>0</v>
      </c>
      <c r="D206" s="87">
        <v>0</v>
      </c>
      <c r="E206" s="47">
        <f t="shared" si="17"/>
        <v>0</v>
      </c>
      <c r="F206" s="87">
        <v>0</v>
      </c>
      <c r="G206" s="47">
        <f t="shared" si="15"/>
        <v>0</v>
      </c>
      <c r="H206" s="88"/>
      <c r="I206" s="20">
        <v>100</v>
      </c>
      <c r="J206" s="82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1" t="s">
        <v>265</v>
      </c>
      <c r="C207" s="79">
        <f>+'25'!G207</f>
        <v>0</v>
      </c>
      <c r="D207" s="87">
        <v>0</v>
      </c>
      <c r="E207" s="47">
        <f t="shared" si="17"/>
        <v>0</v>
      </c>
      <c r="F207" s="87">
        <v>0</v>
      </c>
      <c r="G207" s="47">
        <f t="shared" si="15"/>
        <v>0</v>
      </c>
      <c r="H207" s="88"/>
      <c r="I207" s="20">
        <v>100</v>
      </c>
      <c r="J207" s="82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1" t="s">
        <v>266</v>
      </c>
      <c r="C208" s="79">
        <f>+'25'!G208</f>
        <v>0</v>
      </c>
      <c r="D208" s="87">
        <v>0</v>
      </c>
      <c r="E208" s="47">
        <f t="shared" si="17"/>
        <v>0</v>
      </c>
      <c r="F208" s="87">
        <v>0</v>
      </c>
      <c r="G208" s="47">
        <f t="shared" si="15"/>
        <v>0</v>
      </c>
      <c r="H208" s="88"/>
      <c r="I208" s="20">
        <v>100</v>
      </c>
      <c r="J208" s="82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1" t="s">
        <v>267</v>
      </c>
      <c r="C209" s="79">
        <f>+'25'!G209</f>
        <v>0</v>
      </c>
      <c r="D209" s="87">
        <v>0</v>
      </c>
      <c r="E209" s="47">
        <f t="shared" si="17"/>
        <v>0</v>
      </c>
      <c r="F209" s="87">
        <v>0</v>
      </c>
      <c r="G209" s="47">
        <f t="shared" si="15"/>
        <v>0</v>
      </c>
      <c r="H209" s="88"/>
      <c r="I209" s="20">
        <v>100</v>
      </c>
      <c r="J209" s="82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1" t="s">
        <v>268</v>
      </c>
      <c r="C210" s="79">
        <f>+'25'!G210</f>
        <v>0</v>
      </c>
      <c r="D210" s="87">
        <v>0</v>
      </c>
      <c r="E210" s="47">
        <f t="shared" si="17"/>
        <v>0</v>
      </c>
      <c r="F210" s="87">
        <v>0</v>
      </c>
      <c r="G210" s="47">
        <f t="shared" si="15"/>
        <v>0</v>
      </c>
      <c r="H210" s="88"/>
      <c r="I210" s="20">
        <v>250</v>
      </c>
      <c r="J210" s="82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1" t="s">
        <v>269</v>
      </c>
      <c r="C211" s="79">
        <f>+'25'!G211</f>
        <v>0</v>
      </c>
      <c r="D211" s="87">
        <v>0</v>
      </c>
      <c r="E211" s="47">
        <f t="shared" si="17"/>
        <v>0</v>
      </c>
      <c r="F211" s="87">
        <v>0</v>
      </c>
      <c r="G211" s="47">
        <f t="shared" si="15"/>
        <v>0</v>
      </c>
      <c r="H211" s="88"/>
      <c r="I211" s="20">
        <v>250</v>
      </c>
      <c r="J211" s="82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1" t="s">
        <v>270</v>
      </c>
      <c r="C212" s="79">
        <f>+'25'!G212</f>
        <v>0</v>
      </c>
      <c r="D212" s="87">
        <v>0</v>
      </c>
      <c r="E212" s="47">
        <f t="shared" si="17"/>
        <v>0</v>
      </c>
      <c r="F212" s="87">
        <v>0</v>
      </c>
      <c r="G212" s="47">
        <f t="shared" si="15"/>
        <v>0</v>
      </c>
      <c r="H212" s="88"/>
      <c r="I212" s="20">
        <v>250</v>
      </c>
      <c r="J212" s="82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1" t="s">
        <v>271</v>
      </c>
      <c r="C213" s="79">
        <f>+'25'!G213</f>
        <v>0</v>
      </c>
      <c r="D213" s="87">
        <v>0</v>
      </c>
      <c r="E213" s="47">
        <f t="shared" si="17"/>
        <v>0</v>
      </c>
      <c r="F213" s="87">
        <v>0</v>
      </c>
      <c r="G213" s="47">
        <f t="shared" si="15"/>
        <v>0</v>
      </c>
      <c r="H213" s="88"/>
      <c r="I213" s="20">
        <v>50</v>
      </c>
      <c r="J213" s="82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1" t="s">
        <v>273</v>
      </c>
      <c r="C214" s="79">
        <f>+'25'!G214</f>
        <v>0</v>
      </c>
      <c r="D214" s="87">
        <v>0</v>
      </c>
      <c r="E214" s="47">
        <f t="shared" si="17"/>
        <v>0</v>
      </c>
      <c r="F214" s="87">
        <v>0</v>
      </c>
      <c r="G214" s="47">
        <f t="shared" si="15"/>
        <v>0</v>
      </c>
      <c r="H214" s="88"/>
      <c r="I214" s="20">
        <v>50</v>
      </c>
      <c r="J214" s="82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1" t="s">
        <v>274</v>
      </c>
      <c r="C215" s="79">
        <f>+'25'!G215</f>
        <v>0</v>
      </c>
      <c r="D215" s="87">
        <v>0</v>
      </c>
      <c r="E215" s="47">
        <f t="shared" si="17"/>
        <v>0</v>
      </c>
      <c r="F215" s="87">
        <v>0</v>
      </c>
      <c r="G215" s="47">
        <f t="shared" si="15"/>
        <v>0</v>
      </c>
      <c r="H215" s="88"/>
      <c r="I215" s="20">
        <v>50</v>
      </c>
      <c r="J215" s="82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1" t="s">
        <v>242</v>
      </c>
      <c r="C216" s="79">
        <f>+'25'!G216</f>
        <v>0</v>
      </c>
      <c r="D216" s="87">
        <v>0</v>
      </c>
      <c r="E216" s="47">
        <f t="shared" si="17"/>
        <v>0</v>
      </c>
      <c r="F216" s="87">
        <v>0</v>
      </c>
      <c r="G216" s="47">
        <f t="shared" si="15"/>
        <v>0</v>
      </c>
      <c r="H216" s="88"/>
      <c r="I216" s="20">
        <v>35</v>
      </c>
      <c r="J216" s="82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1" t="s">
        <v>275</v>
      </c>
      <c r="C217" s="79">
        <f>+'25'!G217</f>
        <v>0</v>
      </c>
      <c r="D217" s="87">
        <v>0</v>
      </c>
      <c r="E217" s="47">
        <f t="shared" si="17"/>
        <v>0</v>
      </c>
      <c r="F217" s="87">
        <v>0</v>
      </c>
      <c r="G217" s="47">
        <f t="shared" si="15"/>
        <v>0</v>
      </c>
      <c r="H217" s="88"/>
      <c r="I217" s="20">
        <v>199</v>
      </c>
      <c r="J217" s="82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1" t="s">
        <v>283</v>
      </c>
      <c r="C218" s="79"/>
      <c r="D218" s="87">
        <v>0</v>
      </c>
      <c r="E218" s="47">
        <f t="shared" si="17"/>
        <v>0</v>
      </c>
      <c r="F218" s="87">
        <v>0</v>
      </c>
      <c r="G218" s="47">
        <f t="shared" si="15"/>
        <v>0</v>
      </c>
      <c r="H218" s="88"/>
      <c r="I218" s="20">
        <v>25</v>
      </c>
      <c r="J218" s="82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1" t="s">
        <v>284</v>
      </c>
      <c r="C219" s="79"/>
      <c r="D219" s="87">
        <v>0</v>
      </c>
      <c r="E219" s="47">
        <f t="shared" si="17"/>
        <v>0</v>
      </c>
      <c r="F219" s="87">
        <v>0</v>
      </c>
      <c r="G219" s="47">
        <f t="shared" si="15"/>
        <v>0</v>
      </c>
      <c r="H219" s="88"/>
      <c r="I219" s="20">
        <v>25</v>
      </c>
      <c r="J219" s="82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1" t="s">
        <v>314</v>
      </c>
      <c r="C220" s="79">
        <f>+'25'!G220</f>
        <v>0</v>
      </c>
      <c r="D220" s="87">
        <v>0</v>
      </c>
      <c r="E220" s="47">
        <f t="shared" si="17"/>
        <v>0</v>
      </c>
      <c r="F220" s="87">
        <v>0</v>
      </c>
      <c r="G220" s="47">
        <f t="shared" si="15"/>
        <v>0</v>
      </c>
      <c r="H220" s="88"/>
      <c r="I220" s="20">
        <v>35</v>
      </c>
      <c r="J220" s="82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1" t="s">
        <v>326</v>
      </c>
      <c r="C221" s="79">
        <f>+'25'!G221</f>
        <v>1</v>
      </c>
      <c r="D221" s="87">
        <v>0</v>
      </c>
      <c r="E221" s="47">
        <f t="shared" si="17"/>
        <v>1</v>
      </c>
      <c r="F221" s="87">
        <v>0</v>
      </c>
      <c r="G221" s="47">
        <f t="shared" si="15"/>
        <v>1</v>
      </c>
      <c r="H221" s="88"/>
      <c r="I221" s="20">
        <v>55</v>
      </c>
      <c r="J221" s="82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1" t="s">
        <v>327</v>
      </c>
      <c r="C222" s="79">
        <f>+'25'!G222</f>
        <v>13</v>
      </c>
      <c r="D222" s="87">
        <v>0</v>
      </c>
      <c r="E222" s="47">
        <f t="shared" si="17"/>
        <v>13</v>
      </c>
      <c r="F222" s="87">
        <v>0</v>
      </c>
      <c r="G222" s="47">
        <f t="shared" si="15"/>
        <v>12</v>
      </c>
      <c r="H222" s="88">
        <v>1</v>
      </c>
      <c r="I222" s="20">
        <v>40</v>
      </c>
      <c r="J222" s="82">
        <f t="shared" si="16"/>
        <v>40</v>
      </c>
      <c r="K222" s="17" t="s">
        <v>16</v>
      </c>
      <c r="L222" s="18">
        <v>0</v>
      </c>
      <c r="M222" s="23">
        <f t="shared" si="18"/>
        <v>40</v>
      </c>
    </row>
    <row r="223" spans="1:13" ht="25.5" x14ac:dyDescent="0.55000000000000004">
      <c r="A223" s="10">
        <v>219</v>
      </c>
      <c r="B223" s="11"/>
      <c r="C223" s="79">
        <f>+'25'!G223</f>
        <v>0</v>
      </c>
      <c r="D223" s="87">
        <v>0</v>
      </c>
      <c r="E223" s="47">
        <f t="shared" si="17"/>
        <v>0</v>
      </c>
      <c r="F223" s="87">
        <v>0</v>
      </c>
      <c r="G223" s="47">
        <f t="shared" si="15"/>
        <v>0</v>
      </c>
      <c r="H223" s="88"/>
      <c r="I223" s="20"/>
      <c r="J223" s="82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1"/>
      <c r="C224" s="79">
        <f>+'25'!G224</f>
        <v>0</v>
      </c>
      <c r="D224" s="87">
        <v>0</v>
      </c>
      <c r="E224" s="47">
        <f t="shared" si="17"/>
        <v>0</v>
      </c>
      <c r="F224" s="87">
        <v>0</v>
      </c>
      <c r="G224" s="47">
        <f t="shared" si="15"/>
        <v>0</v>
      </c>
      <c r="H224" s="88"/>
      <c r="I224" s="20"/>
      <c r="J224" s="82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1"/>
      <c r="C225" s="79">
        <f>+'25'!G225</f>
        <v>0</v>
      </c>
      <c r="D225" s="87">
        <v>0</v>
      </c>
      <c r="E225" s="47">
        <f t="shared" si="17"/>
        <v>0</v>
      </c>
      <c r="F225" s="87">
        <v>0</v>
      </c>
      <c r="G225" s="47">
        <f t="shared" si="15"/>
        <v>0</v>
      </c>
      <c r="H225" s="88"/>
      <c r="I225" s="20"/>
      <c r="J225" s="82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1"/>
      <c r="C226" s="79">
        <f>+'25'!G226</f>
        <v>0</v>
      </c>
      <c r="D226" s="87">
        <v>0</v>
      </c>
      <c r="E226" s="47">
        <f t="shared" si="17"/>
        <v>0</v>
      </c>
      <c r="F226" s="87">
        <v>0</v>
      </c>
      <c r="G226" s="47">
        <f t="shared" si="15"/>
        <v>0</v>
      </c>
      <c r="H226" s="88"/>
      <c r="I226" s="20"/>
      <c r="J226" s="82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1"/>
      <c r="C227" s="79">
        <f>+'25'!G227</f>
        <v>0</v>
      </c>
      <c r="D227" s="87">
        <v>0</v>
      </c>
      <c r="E227" s="47">
        <f t="shared" si="17"/>
        <v>0</v>
      </c>
      <c r="F227" s="87">
        <v>0</v>
      </c>
      <c r="G227" s="47">
        <f t="shared" si="15"/>
        <v>0</v>
      </c>
      <c r="H227" s="88"/>
      <c r="I227" s="20"/>
      <c r="J227" s="82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1"/>
      <c r="C228" s="79">
        <f>+'25'!G228</f>
        <v>0</v>
      </c>
      <c r="D228" s="87">
        <v>0</v>
      </c>
      <c r="E228" s="47">
        <f t="shared" si="17"/>
        <v>0</v>
      </c>
      <c r="F228" s="87">
        <v>0</v>
      </c>
      <c r="G228" s="47">
        <f t="shared" ref="G228:G254" si="19">+E228-F228-H228</f>
        <v>0</v>
      </c>
      <c r="H228" s="88"/>
      <c r="I228" s="20"/>
      <c r="J228" s="82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1"/>
      <c r="C229" s="79">
        <f>+'25'!G229</f>
        <v>0</v>
      </c>
      <c r="D229" s="87">
        <v>0</v>
      </c>
      <c r="E229" s="47">
        <f t="shared" si="17"/>
        <v>0</v>
      </c>
      <c r="F229" s="87">
        <v>0</v>
      </c>
      <c r="G229" s="47">
        <f t="shared" si="19"/>
        <v>0</v>
      </c>
      <c r="H229" s="88"/>
      <c r="I229" s="20"/>
      <c r="J229" s="82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1"/>
      <c r="C230" s="79">
        <f>+'25'!G230</f>
        <v>0</v>
      </c>
      <c r="D230" s="87">
        <v>0</v>
      </c>
      <c r="E230" s="47">
        <f t="shared" si="17"/>
        <v>0</v>
      </c>
      <c r="F230" s="87">
        <v>0</v>
      </c>
      <c r="G230" s="47">
        <f t="shared" si="19"/>
        <v>0</v>
      </c>
      <c r="H230" s="88"/>
      <c r="I230" s="20"/>
      <c r="J230" s="82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1"/>
      <c r="C231" s="79">
        <f>+'25'!G231</f>
        <v>0</v>
      </c>
      <c r="D231" s="87">
        <v>0</v>
      </c>
      <c r="E231" s="47">
        <f t="shared" si="17"/>
        <v>0</v>
      </c>
      <c r="F231" s="87">
        <v>0</v>
      </c>
      <c r="G231" s="47">
        <f t="shared" si="19"/>
        <v>0</v>
      </c>
      <c r="H231" s="88"/>
      <c r="I231" s="20"/>
      <c r="J231" s="82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1"/>
      <c r="C232" s="79">
        <f>+'25'!G232</f>
        <v>0</v>
      </c>
      <c r="D232" s="87">
        <v>0</v>
      </c>
      <c r="E232" s="47">
        <f t="shared" si="17"/>
        <v>0</v>
      </c>
      <c r="F232" s="87">
        <v>0</v>
      </c>
      <c r="G232" s="47">
        <f t="shared" si="19"/>
        <v>0</v>
      </c>
      <c r="H232" s="88"/>
      <c r="I232" s="20"/>
      <c r="J232" s="82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1"/>
      <c r="C233" s="79">
        <f>+'25'!G233</f>
        <v>0</v>
      </c>
      <c r="D233" s="87">
        <v>0</v>
      </c>
      <c r="E233" s="47">
        <f t="shared" si="17"/>
        <v>0</v>
      </c>
      <c r="F233" s="87">
        <v>0</v>
      </c>
      <c r="G233" s="47">
        <f t="shared" si="19"/>
        <v>0</v>
      </c>
      <c r="H233" s="88"/>
      <c r="I233" s="20"/>
      <c r="J233" s="82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1"/>
      <c r="C234" s="79">
        <f>+'25'!G234</f>
        <v>0</v>
      </c>
      <c r="D234" s="87">
        <v>0</v>
      </c>
      <c r="E234" s="47">
        <f t="shared" si="17"/>
        <v>0</v>
      </c>
      <c r="F234" s="87">
        <v>0</v>
      </c>
      <c r="G234" s="47">
        <f t="shared" si="19"/>
        <v>0</v>
      </c>
      <c r="H234" s="88"/>
      <c r="I234" s="20"/>
      <c r="J234" s="82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1"/>
      <c r="C235" s="79">
        <f>+'25'!G235</f>
        <v>0</v>
      </c>
      <c r="D235" s="87">
        <v>0</v>
      </c>
      <c r="E235" s="47">
        <f t="shared" si="17"/>
        <v>0</v>
      </c>
      <c r="F235" s="87">
        <v>0</v>
      </c>
      <c r="G235" s="47">
        <f t="shared" si="19"/>
        <v>0</v>
      </c>
      <c r="H235" s="88"/>
      <c r="I235" s="20"/>
      <c r="J235" s="82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1"/>
      <c r="C236" s="79">
        <f>+'25'!G236</f>
        <v>0</v>
      </c>
      <c r="D236" s="87">
        <v>0</v>
      </c>
      <c r="E236" s="47">
        <f t="shared" si="17"/>
        <v>0</v>
      </c>
      <c r="F236" s="87">
        <v>0</v>
      </c>
      <c r="G236" s="47">
        <f t="shared" si="19"/>
        <v>0</v>
      </c>
      <c r="H236" s="88"/>
      <c r="I236" s="20"/>
      <c r="J236" s="82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1"/>
      <c r="C237" s="79">
        <f>+'25'!G237</f>
        <v>0</v>
      </c>
      <c r="D237" s="87">
        <v>0</v>
      </c>
      <c r="E237" s="47">
        <f t="shared" si="17"/>
        <v>0</v>
      </c>
      <c r="F237" s="87">
        <v>0</v>
      </c>
      <c r="G237" s="47">
        <f t="shared" si="19"/>
        <v>0</v>
      </c>
      <c r="H237" s="88"/>
      <c r="I237" s="20"/>
      <c r="J237" s="82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1"/>
      <c r="C238" s="79">
        <f>+'25'!G238</f>
        <v>0</v>
      </c>
      <c r="D238" s="87">
        <v>0</v>
      </c>
      <c r="E238" s="47">
        <f t="shared" si="17"/>
        <v>0</v>
      </c>
      <c r="F238" s="87">
        <v>0</v>
      </c>
      <c r="G238" s="47">
        <f t="shared" si="19"/>
        <v>0</v>
      </c>
      <c r="H238" s="88"/>
      <c r="I238" s="20"/>
      <c r="J238" s="82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1"/>
      <c r="C239" s="79">
        <f>+'25'!G239</f>
        <v>0</v>
      </c>
      <c r="D239" s="87">
        <v>0</v>
      </c>
      <c r="E239" s="47">
        <f t="shared" si="17"/>
        <v>0</v>
      </c>
      <c r="F239" s="87">
        <v>0</v>
      </c>
      <c r="G239" s="47">
        <f t="shared" si="19"/>
        <v>0</v>
      </c>
      <c r="H239" s="88"/>
      <c r="I239" s="20"/>
      <c r="J239" s="82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1"/>
      <c r="C240" s="79">
        <f>+'25'!G240</f>
        <v>0</v>
      </c>
      <c r="D240" s="87">
        <v>0</v>
      </c>
      <c r="E240" s="47">
        <f t="shared" si="17"/>
        <v>0</v>
      </c>
      <c r="F240" s="87">
        <v>0</v>
      </c>
      <c r="G240" s="47">
        <f t="shared" si="19"/>
        <v>0</v>
      </c>
      <c r="H240" s="88"/>
      <c r="I240" s="20"/>
      <c r="J240" s="82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1"/>
      <c r="C241" s="79">
        <f>+'25'!G241</f>
        <v>0</v>
      </c>
      <c r="D241" s="87">
        <v>0</v>
      </c>
      <c r="E241" s="47">
        <f t="shared" si="17"/>
        <v>0</v>
      </c>
      <c r="F241" s="87">
        <v>0</v>
      </c>
      <c r="G241" s="47">
        <f t="shared" si="19"/>
        <v>0</v>
      </c>
      <c r="H241" s="88"/>
      <c r="I241" s="20"/>
      <c r="J241" s="82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1"/>
      <c r="C242" s="79">
        <f>+'25'!G242</f>
        <v>0</v>
      </c>
      <c r="D242" s="87">
        <v>0</v>
      </c>
      <c r="E242" s="47">
        <f t="shared" si="17"/>
        <v>0</v>
      </c>
      <c r="F242" s="87">
        <v>0</v>
      </c>
      <c r="G242" s="47">
        <f t="shared" si="19"/>
        <v>0</v>
      </c>
      <c r="H242" s="88"/>
      <c r="I242" s="20"/>
      <c r="J242" s="82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1"/>
      <c r="C243" s="79">
        <f>+'25'!G243</f>
        <v>0</v>
      </c>
      <c r="D243" s="87">
        <v>0</v>
      </c>
      <c r="E243" s="47">
        <f t="shared" si="17"/>
        <v>0</v>
      </c>
      <c r="F243" s="87">
        <v>0</v>
      </c>
      <c r="G243" s="47">
        <f t="shared" si="19"/>
        <v>0</v>
      </c>
      <c r="H243" s="88"/>
      <c r="I243" s="20"/>
      <c r="J243" s="82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1"/>
      <c r="C244" s="79">
        <f>+'25'!G244</f>
        <v>0</v>
      </c>
      <c r="D244" s="87">
        <v>0</v>
      </c>
      <c r="E244" s="47">
        <f t="shared" si="17"/>
        <v>0</v>
      </c>
      <c r="F244" s="87">
        <v>0</v>
      </c>
      <c r="G244" s="47">
        <f t="shared" si="19"/>
        <v>0</v>
      </c>
      <c r="H244" s="88"/>
      <c r="I244" s="20"/>
      <c r="J244" s="82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1"/>
      <c r="C245" s="79">
        <f>+'25'!G245</f>
        <v>0</v>
      </c>
      <c r="D245" s="87">
        <v>0</v>
      </c>
      <c r="E245" s="47">
        <f t="shared" si="17"/>
        <v>0</v>
      </c>
      <c r="F245" s="87">
        <v>0</v>
      </c>
      <c r="G245" s="47">
        <f t="shared" si="19"/>
        <v>0</v>
      </c>
      <c r="H245" s="88"/>
      <c r="I245" s="20"/>
      <c r="J245" s="82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1"/>
      <c r="C246" s="79">
        <f>+'25'!G246</f>
        <v>0</v>
      </c>
      <c r="D246" s="87">
        <v>0</v>
      </c>
      <c r="E246" s="47">
        <f t="shared" si="17"/>
        <v>0</v>
      </c>
      <c r="F246" s="87">
        <v>0</v>
      </c>
      <c r="G246" s="47">
        <f t="shared" si="19"/>
        <v>0</v>
      </c>
      <c r="H246" s="88"/>
      <c r="I246" s="20"/>
      <c r="J246" s="82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1"/>
      <c r="C247" s="79">
        <f>+'25'!G247</f>
        <v>0</v>
      </c>
      <c r="D247" s="87">
        <v>0</v>
      </c>
      <c r="E247" s="47">
        <f t="shared" si="17"/>
        <v>0</v>
      </c>
      <c r="F247" s="87">
        <v>0</v>
      </c>
      <c r="G247" s="47">
        <f t="shared" si="19"/>
        <v>0</v>
      </c>
      <c r="H247" s="88"/>
      <c r="I247" s="20"/>
      <c r="J247" s="82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1"/>
      <c r="C248" s="79">
        <f>+'25'!G248</f>
        <v>0</v>
      </c>
      <c r="D248" s="87">
        <v>0</v>
      </c>
      <c r="E248" s="47">
        <f t="shared" si="17"/>
        <v>0</v>
      </c>
      <c r="F248" s="87">
        <v>0</v>
      </c>
      <c r="G248" s="47">
        <f t="shared" si="19"/>
        <v>0</v>
      </c>
      <c r="H248" s="88"/>
      <c r="I248" s="20"/>
      <c r="J248" s="82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1"/>
      <c r="C249" s="79">
        <f>+'25'!G249</f>
        <v>0</v>
      </c>
      <c r="D249" s="87">
        <v>0</v>
      </c>
      <c r="E249" s="47">
        <f t="shared" si="17"/>
        <v>0</v>
      </c>
      <c r="F249" s="87">
        <v>0</v>
      </c>
      <c r="G249" s="47">
        <f t="shared" si="19"/>
        <v>0</v>
      </c>
      <c r="H249" s="88"/>
      <c r="I249" s="20"/>
      <c r="J249" s="82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1"/>
      <c r="C250" s="79">
        <f>+'25'!G250</f>
        <v>0</v>
      </c>
      <c r="D250" s="87">
        <v>0</v>
      </c>
      <c r="E250" s="47">
        <f t="shared" si="17"/>
        <v>0</v>
      </c>
      <c r="F250" s="87">
        <v>0</v>
      </c>
      <c r="G250" s="47">
        <f t="shared" si="19"/>
        <v>0</v>
      </c>
      <c r="H250" s="88"/>
      <c r="I250" s="20"/>
      <c r="J250" s="82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1"/>
      <c r="C251" s="79">
        <f>+'25'!G251</f>
        <v>0</v>
      </c>
      <c r="D251" s="87">
        <v>0</v>
      </c>
      <c r="E251" s="47">
        <f t="shared" si="17"/>
        <v>0</v>
      </c>
      <c r="F251" s="87">
        <v>0</v>
      </c>
      <c r="G251" s="47">
        <f t="shared" si="19"/>
        <v>0</v>
      </c>
      <c r="H251" s="88"/>
      <c r="I251" s="20"/>
      <c r="J251" s="82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1"/>
      <c r="C252" s="79">
        <f>+'25'!G252</f>
        <v>0</v>
      </c>
      <c r="D252" s="87">
        <v>0</v>
      </c>
      <c r="E252" s="47">
        <f t="shared" si="17"/>
        <v>0</v>
      </c>
      <c r="F252" s="87">
        <v>0</v>
      </c>
      <c r="G252" s="47">
        <f t="shared" si="19"/>
        <v>0</v>
      </c>
      <c r="H252" s="88"/>
      <c r="I252" s="20"/>
      <c r="J252" s="82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1"/>
      <c r="C253" s="79">
        <f>+'25'!G253</f>
        <v>0</v>
      </c>
      <c r="D253" s="87">
        <v>0</v>
      </c>
      <c r="E253" s="47">
        <f t="shared" ref="E253:E254" si="21">C253+D253</f>
        <v>0</v>
      </c>
      <c r="F253" s="87">
        <v>0</v>
      </c>
      <c r="G253" s="47">
        <f t="shared" si="19"/>
        <v>0</v>
      </c>
      <c r="H253" s="88"/>
      <c r="I253" s="20"/>
      <c r="J253" s="82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1"/>
      <c r="C254" s="79">
        <f>+'25'!G254</f>
        <v>0</v>
      </c>
      <c r="D254" s="87">
        <v>0</v>
      </c>
      <c r="E254" s="47">
        <f t="shared" si="21"/>
        <v>0</v>
      </c>
      <c r="F254" s="87">
        <v>0</v>
      </c>
      <c r="G254" s="47">
        <f t="shared" si="19"/>
        <v>0</v>
      </c>
      <c r="H254" s="88"/>
      <c r="I254" s="20"/>
      <c r="J254" s="82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2945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3" t="s">
        <v>213</v>
      </c>
      <c r="N255" s="143"/>
    </row>
    <row r="256" spans="1:14" ht="25.5" customHeight="1" x14ac:dyDescent="0.5">
      <c r="A256" s="1"/>
      <c r="E256" s="24"/>
      <c r="F256" s="25"/>
      <c r="G256" s="24"/>
      <c r="H256" s="148" t="s">
        <v>212</v>
      </c>
      <c r="I256" s="149"/>
      <c r="J256" s="30">
        <f>+X138</f>
        <v>0</v>
      </c>
      <c r="K256" s="27"/>
      <c r="L256" s="29"/>
    </row>
    <row r="257" spans="1:14" ht="25.5" x14ac:dyDescent="0.55000000000000004">
      <c r="A257" s="1"/>
      <c r="E257" s="31"/>
      <c r="G257" s="31"/>
      <c r="H257" s="32"/>
      <c r="I257" s="150" t="s">
        <v>202</v>
      </c>
      <c r="J257" s="150"/>
      <c r="K257" s="33">
        <f>SUM(J5:J256)</f>
        <v>3165</v>
      </c>
    </row>
    <row r="258" spans="1:14" ht="25.5" x14ac:dyDescent="0.55000000000000004">
      <c r="A258" s="1"/>
      <c r="E258" s="31"/>
      <c r="G258" s="31"/>
      <c r="I258" s="140" t="s">
        <v>203</v>
      </c>
      <c r="J258" s="141"/>
      <c r="K258" s="36">
        <v>15</v>
      </c>
    </row>
    <row r="259" spans="1:14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1030</v>
      </c>
      <c r="L259" s="2">
        <v>400</v>
      </c>
      <c r="M259" s="2">
        <v>230</v>
      </c>
      <c r="N259" s="2">
        <v>400</v>
      </c>
    </row>
    <row r="260" spans="1:14" ht="25.5" x14ac:dyDescent="0.55000000000000004">
      <c r="A260" s="1"/>
      <c r="E260" s="31"/>
      <c r="G260" s="31"/>
      <c r="I260" s="140" t="s">
        <v>205</v>
      </c>
      <c r="J260" s="141"/>
      <c r="K260" s="36">
        <v>0</v>
      </c>
    </row>
    <row r="261" spans="1:14" ht="25.5" x14ac:dyDescent="0.55000000000000004">
      <c r="A261" s="1"/>
      <c r="E261" s="31"/>
      <c r="G261" s="31"/>
      <c r="I261" s="140" t="s">
        <v>206</v>
      </c>
      <c r="J261" s="141"/>
      <c r="K261" s="36">
        <v>0</v>
      </c>
    </row>
    <row r="262" spans="1:14" ht="25.5" x14ac:dyDescent="0.55000000000000004">
      <c r="A262" s="1"/>
      <c r="E262" s="31"/>
      <c r="G262" s="31"/>
      <c r="I262" s="140" t="s">
        <v>207</v>
      </c>
      <c r="J262" s="141"/>
      <c r="K262" s="37">
        <f>SUM(L5:L255)</f>
        <v>220</v>
      </c>
    </row>
    <row r="263" spans="1:14" ht="25.5" x14ac:dyDescent="0.55000000000000004">
      <c r="A263" s="1"/>
      <c r="E263" s="31"/>
      <c r="G263" s="31"/>
      <c r="I263" s="140" t="s">
        <v>208</v>
      </c>
      <c r="J263" s="141"/>
      <c r="K263" s="33">
        <f>K257-K258-K259-K261-K262</f>
        <v>1900</v>
      </c>
    </row>
    <row r="264" spans="1:14" ht="25.5" x14ac:dyDescent="0.55000000000000004">
      <c r="A264" s="1"/>
      <c r="E264" s="31"/>
      <c r="G264" s="31"/>
      <c r="I264" s="140" t="s">
        <v>209</v>
      </c>
      <c r="J264" s="141"/>
      <c r="K264" s="37">
        <v>1900</v>
      </c>
    </row>
    <row r="265" spans="1:14" ht="25.5" x14ac:dyDescent="0.55000000000000004">
      <c r="A265" s="1"/>
      <c r="E265" s="31"/>
      <c r="G265" s="31"/>
      <c r="I265" s="140" t="s">
        <v>210</v>
      </c>
      <c r="J265" s="141"/>
      <c r="K265" s="33">
        <f>+K264-K263</f>
        <v>0</v>
      </c>
    </row>
    <row r="266" spans="1:14" ht="25.5" x14ac:dyDescent="0.55000000000000004">
      <c r="G266" s="2"/>
      <c r="I266" s="140" t="s">
        <v>211</v>
      </c>
      <c r="J266" s="141"/>
      <c r="K266" s="33">
        <f>+K264-K263</f>
        <v>0</v>
      </c>
    </row>
    <row r="267" spans="1:14" x14ac:dyDescent="0.5">
      <c r="G267" s="2"/>
      <c r="I267" s="2"/>
    </row>
    <row r="268" spans="1:14" ht="25.5" x14ac:dyDescent="0.55000000000000004">
      <c r="G268" s="2"/>
      <c r="I268" s="105" t="s">
        <v>312</v>
      </c>
    </row>
    <row r="269" spans="1:14" x14ac:dyDescent="0.5">
      <c r="G269" s="2"/>
      <c r="I269" s="2"/>
    </row>
    <row r="270" spans="1:14" x14ac:dyDescent="0.5">
      <c r="G270" s="2"/>
      <c r="I270" s="2"/>
    </row>
    <row r="271" spans="1:14" x14ac:dyDescent="0.5">
      <c r="G271" s="2"/>
      <c r="I271" s="2"/>
    </row>
    <row r="272" spans="1:14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6C629-5C10-48B0-83A3-2823DAF34619}">
  <sheetPr>
    <tabColor theme="7" tint="-0.249977111117893"/>
  </sheetPr>
  <dimension ref="A1:AB341"/>
  <sheetViews>
    <sheetView zoomScaleNormal="100" workbookViewId="0">
      <pane xSplit="7" ySplit="4" topLeftCell="H254" activePane="bottomRight" state="frozen"/>
      <selection activeCell="B20" sqref="B20"/>
      <selection pane="topRight" activeCell="B20" sqref="B20"/>
      <selection pane="bottomLeft" activeCell="B20" sqref="B20"/>
      <selection pane="bottomRight" activeCell="B20" sqref="B20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8" x14ac:dyDescent="0.5">
      <c r="A1" s="1"/>
      <c r="G1" s="2"/>
      <c r="I1" s="2"/>
    </row>
    <row r="2" spans="1:28" s="3" customFormat="1" ht="29.25" x14ac:dyDescent="0.6">
      <c r="A2" s="137" t="s">
        <v>247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8" s="5" customFormat="1" ht="26.25" x14ac:dyDescent="0.55000000000000004">
      <c r="A3" s="139" t="s">
        <v>1</v>
      </c>
      <c r="B3" s="151" t="s">
        <v>2</v>
      </c>
      <c r="C3" s="139" t="s">
        <v>3</v>
      </c>
      <c r="D3" s="139" t="s">
        <v>4</v>
      </c>
      <c r="E3" s="139" t="s">
        <v>5</v>
      </c>
      <c r="F3" s="85" t="s">
        <v>6</v>
      </c>
      <c r="G3" s="139" t="s">
        <v>7</v>
      </c>
      <c r="H3" s="142" t="s">
        <v>8</v>
      </c>
      <c r="I3" s="142"/>
      <c r="J3" s="142"/>
      <c r="K3" s="139" t="s">
        <v>9</v>
      </c>
      <c r="L3" s="144" t="s">
        <v>10</v>
      </c>
      <c r="O3" s="139" t="s">
        <v>1</v>
      </c>
      <c r="P3" s="139" t="s">
        <v>2</v>
      </c>
      <c r="Q3" s="139" t="s">
        <v>3</v>
      </c>
      <c r="R3" s="139" t="s">
        <v>4</v>
      </c>
      <c r="S3" s="139" t="s">
        <v>5</v>
      </c>
      <c r="T3" s="85" t="s">
        <v>6</v>
      </c>
      <c r="U3" s="139" t="s">
        <v>7</v>
      </c>
      <c r="V3" s="142" t="s">
        <v>8</v>
      </c>
      <c r="W3" s="142"/>
      <c r="X3" s="142"/>
      <c r="Y3" s="139" t="s">
        <v>9</v>
      </c>
      <c r="Z3" s="144" t="s">
        <v>10</v>
      </c>
    </row>
    <row r="4" spans="1:28" s="5" customFormat="1" ht="26.25" x14ac:dyDescent="0.55000000000000004">
      <c r="A4" s="139"/>
      <c r="B4" s="151"/>
      <c r="C4" s="139"/>
      <c r="D4" s="139"/>
      <c r="E4" s="139"/>
      <c r="F4" s="85" t="s">
        <v>11</v>
      </c>
      <c r="G4" s="139"/>
      <c r="H4" s="85" t="s">
        <v>12</v>
      </c>
      <c r="I4" s="86" t="s">
        <v>13</v>
      </c>
      <c r="J4" s="85" t="s">
        <v>14</v>
      </c>
      <c r="K4" s="139"/>
      <c r="L4" s="144"/>
      <c r="O4" s="139"/>
      <c r="P4" s="139"/>
      <c r="Q4" s="139"/>
      <c r="R4" s="139"/>
      <c r="S4" s="139"/>
      <c r="T4" s="85" t="s">
        <v>11</v>
      </c>
      <c r="U4" s="139"/>
      <c r="V4" s="85" t="s">
        <v>12</v>
      </c>
      <c r="W4" s="86" t="s">
        <v>13</v>
      </c>
      <c r="X4" s="85" t="s">
        <v>14</v>
      </c>
      <c r="Y4" s="139"/>
      <c r="Z4" s="144"/>
      <c r="AB4" s="5" t="s">
        <v>2</v>
      </c>
    </row>
    <row r="5" spans="1:28" ht="25.5" x14ac:dyDescent="0.55000000000000004">
      <c r="A5" s="10">
        <v>1</v>
      </c>
      <c r="B5" s="19" t="s">
        <v>15</v>
      </c>
      <c r="C5" s="79">
        <f>+'26'!G5</f>
        <v>14</v>
      </c>
      <c r="D5" s="87">
        <v>0</v>
      </c>
      <c r="E5" s="47">
        <f t="shared" ref="E5:E125" si="0">C5+D5</f>
        <v>14</v>
      </c>
      <c r="F5" s="87">
        <v>0</v>
      </c>
      <c r="G5" s="47">
        <f>+E5-F5-H5</f>
        <v>12</v>
      </c>
      <c r="H5" s="88">
        <v>2</v>
      </c>
      <c r="I5" s="20">
        <v>50</v>
      </c>
      <c r="J5" s="82">
        <f>+I5*H5</f>
        <v>100</v>
      </c>
      <c r="K5" s="17" t="s">
        <v>16</v>
      </c>
      <c r="L5" s="18">
        <v>0</v>
      </c>
      <c r="M5" s="23">
        <f>SUM(J5-L5)</f>
        <v>100</v>
      </c>
      <c r="O5" s="10">
        <v>1</v>
      </c>
      <c r="P5" s="19"/>
      <c r="Q5" s="47">
        <v>0</v>
      </c>
      <c r="R5" s="87">
        <v>0</v>
      </c>
      <c r="S5" s="47">
        <f t="shared" ref="S5:S14" si="1">Q5+R5</f>
        <v>0</v>
      </c>
      <c r="T5" s="87">
        <v>0</v>
      </c>
      <c r="U5" s="47">
        <f t="shared" ref="U5:U14" si="2">S5-T5-V5</f>
        <v>0</v>
      </c>
      <c r="V5" s="88">
        <v>0</v>
      </c>
      <c r="W5" s="22"/>
      <c r="X5" s="44">
        <f t="shared" ref="X5:X14" si="3">V5*W5</f>
        <v>0</v>
      </c>
      <c r="Y5" s="17" t="s">
        <v>16</v>
      </c>
      <c r="Z5" s="18">
        <v>0</v>
      </c>
      <c r="AB5" s="2" t="s">
        <v>317</v>
      </c>
    </row>
    <row r="6" spans="1:28" ht="25.5" x14ac:dyDescent="0.55000000000000004">
      <c r="A6" s="10">
        <v>2</v>
      </c>
      <c r="B6" s="19" t="s">
        <v>17</v>
      </c>
      <c r="C6" s="79">
        <f>+'26'!G6</f>
        <v>16</v>
      </c>
      <c r="D6" s="87">
        <v>0</v>
      </c>
      <c r="E6" s="47">
        <f t="shared" si="0"/>
        <v>16</v>
      </c>
      <c r="F6" s="87">
        <v>5</v>
      </c>
      <c r="G6" s="47">
        <f t="shared" ref="G6:G100" si="4">+E6-F6-H6</f>
        <v>10</v>
      </c>
      <c r="H6" s="88">
        <v>1</v>
      </c>
      <c r="I6" s="20">
        <v>100</v>
      </c>
      <c r="J6" s="82">
        <f t="shared" ref="J6:J100" si="5">+I6*H6</f>
        <v>100</v>
      </c>
      <c r="K6" s="17" t="s">
        <v>16</v>
      </c>
      <c r="L6" s="18">
        <v>0</v>
      </c>
      <c r="M6" s="23">
        <f t="shared" ref="M6:M69" si="6">SUM(J6-L6)</f>
        <v>100</v>
      </c>
      <c r="O6" s="10">
        <v>2</v>
      </c>
      <c r="P6" s="19"/>
      <c r="Q6" s="47">
        <v>0</v>
      </c>
      <c r="R6" s="87">
        <v>0</v>
      </c>
      <c r="S6" s="47">
        <f t="shared" si="1"/>
        <v>0</v>
      </c>
      <c r="T6" s="87">
        <v>0</v>
      </c>
      <c r="U6" s="47">
        <f t="shared" si="2"/>
        <v>0</v>
      </c>
      <c r="V6" s="88">
        <v>0</v>
      </c>
      <c r="W6" s="22"/>
      <c r="X6" s="44">
        <f t="shared" si="3"/>
        <v>0</v>
      </c>
      <c r="Y6" s="17" t="s">
        <v>16</v>
      </c>
      <c r="Z6" s="18">
        <v>0</v>
      </c>
      <c r="AB6" s="2" t="s">
        <v>318</v>
      </c>
    </row>
    <row r="7" spans="1:28" ht="25.5" x14ac:dyDescent="0.55000000000000004">
      <c r="A7" s="10">
        <v>3</v>
      </c>
      <c r="B7" s="19" t="s">
        <v>18</v>
      </c>
      <c r="C7" s="79">
        <f>+'26'!G7</f>
        <v>0</v>
      </c>
      <c r="D7" s="87">
        <v>0</v>
      </c>
      <c r="E7" s="47">
        <f>C7+D7</f>
        <v>0</v>
      </c>
      <c r="F7" s="87">
        <v>0</v>
      </c>
      <c r="G7" s="47">
        <f t="shared" si="4"/>
        <v>0</v>
      </c>
      <c r="H7" s="88"/>
      <c r="I7" s="15">
        <v>50</v>
      </c>
      <c r="J7" s="8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7">
        <v>0</v>
      </c>
      <c r="S7" s="47">
        <f t="shared" si="1"/>
        <v>0</v>
      </c>
      <c r="T7" s="87">
        <v>0</v>
      </c>
      <c r="U7" s="47">
        <f t="shared" si="2"/>
        <v>0</v>
      </c>
      <c r="V7" s="88">
        <v>0</v>
      </c>
      <c r="W7" s="22"/>
      <c r="X7" s="44">
        <f t="shared" si="3"/>
        <v>0</v>
      </c>
      <c r="Y7" s="17" t="s">
        <v>16</v>
      </c>
      <c r="Z7" s="18">
        <v>0</v>
      </c>
      <c r="AB7" s="2" t="s">
        <v>319</v>
      </c>
    </row>
    <row r="8" spans="1:28" ht="25.5" x14ac:dyDescent="0.55000000000000004">
      <c r="A8" s="10">
        <v>4</v>
      </c>
      <c r="B8" s="19" t="s">
        <v>19</v>
      </c>
      <c r="C8" s="79">
        <f>+'26'!G8</f>
        <v>0</v>
      </c>
      <c r="D8" s="87">
        <v>0</v>
      </c>
      <c r="E8" s="47">
        <f>C8+D8</f>
        <v>0</v>
      </c>
      <c r="F8" s="87">
        <v>0</v>
      </c>
      <c r="G8" s="47">
        <f t="shared" si="4"/>
        <v>0</v>
      </c>
      <c r="H8" s="88"/>
      <c r="I8" s="15">
        <v>100</v>
      </c>
      <c r="J8" s="8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7">
        <v>0</v>
      </c>
      <c r="S8" s="47">
        <f t="shared" si="1"/>
        <v>0</v>
      </c>
      <c r="T8" s="87">
        <v>0</v>
      </c>
      <c r="U8" s="47">
        <f t="shared" si="2"/>
        <v>0</v>
      </c>
      <c r="V8" s="88">
        <v>0</v>
      </c>
      <c r="W8" s="22"/>
      <c r="X8" s="44">
        <f t="shared" si="3"/>
        <v>0</v>
      </c>
      <c r="Y8" s="17" t="s">
        <v>16</v>
      </c>
      <c r="Z8" s="18">
        <v>0</v>
      </c>
      <c r="AB8" s="2" t="s">
        <v>320</v>
      </c>
    </row>
    <row r="9" spans="1:28" ht="25.5" x14ac:dyDescent="0.55000000000000004">
      <c r="A9" s="10">
        <v>5</v>
      </c>
      <c r="B9" s="19" t="s">
        <v>20</v>
      </c>
      <c r="C9" s="79">
        <f>+'26'!G9</f>
        <v>0</v>
      </c>
      <c r="D9" s="87">
        <v>0</v>
      </c>
      <c r="E9" s="47">
        <f>C9+D9</f>
        <v>0</v>
      </c>
      <c r="F9" s="87">
        <v>0</v>
      </c>
      <c r="G9" s="47">
        <f t="shared" si="4"/>
        <v>0</v>
      </c>
      <c r="H9" s="88"/>
      <c r="I9" s="15">
        <v>12</v>
      </c>
      <c r="J9" s="8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7">
        <v>0</v>
      </c>
      <c r="S9" s="47">
        <f t="shared" si="1"/>
        <v>0</v>
      </c>
      <c r="T9" s="87">
        <v>0</v>
      </c>
      <c r="U9" s="47">
        <f t="shared" si="2"/>
        <v>0</v>
      </c>
      <c r="V9" s="88">
        <v>0</v>
      </c>
      <c r="W9" s="22"/>
      <c r="X9" s="44">
        <f t="shared" si="3"/>
        <v>0</v>
      </c>
      <c r="Y9" s="17" t="s">
        <v>16</v>
      </c>
      <c r="Z9" s="18">
        <v>0</v>
      </c>
      <c r="AB9" s="2" t="s">
        <v>307</v>
      </c>
    </row>
    <row r="10" spans="1:28" ht="25.5" x14ac:dyDescent="0.55000000000000004">
      <c r="A10" s="10">
        <v>6</v>
      </c>
      <c r="B10" s="19" t="s">
        <v>21</v>
      </c>
      <c r="C10" s="79">
        <f>+'26'!G10</f>
        <v>0</v>
      </c>
      <c r="D10" s="87">
        <v>0</v>
      </c>
      <c r="E10" s="47">
        <f>C10+D10</f>
        <v>0</v>
      </c>
      <c r="F10" s="87">
        <v>0</v>
      </c>
      <c r="G10" s="47">
        <f t="shared" si="4"/>
        <v>0</v>
      </c>
      <c r="H10" s="88"/>
      <c r="I10" s="15">
        <v>15</v>
      </c>
      <c r="J10" s="8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7">
        <v>0</v>
      </c>
      <c r="S10" s="47">
        <f t="shared" si="1"/>
        <v>0</v>
      </c>
      <c r="T10" s="87">
        <v>0</v>
      </c>
      <c r="U10" s="47">
        <f t="shared" si="2"/>
        <v>0</v>
      </c>
      <c r="V10" s="88">
        <v>0</v>
      </c>
      <c r="W10" s="22"/>
      <c r="X10" s="44">
        <f t="shared" si="3"/>
        <v>0</v>
      </c>
      <c r="Y10" s="17" t="s">
        <v>16</v>
      </c>
      <c r="Z10" s="18">
        <v>0</v>
      </c>
      <c r="AB10" s="2" t="s">
        <v>311</v>
      </c>
    </row>
    <row r="11" spans="1:28" ht="25.5" x14ac:dyDescent="0.55000000000000004">
      <c r="A11" s="10">
        <v>7</v>
      </c>
      <c r="B11" s="19" t="s">
        <v>22</v>
      </c>
      <c r="C11" s="79">
        <f>+'26'!G11</f>
        <v>0</v>
      </c>
      <c r="D11" s="87">
        <v>0</v>
      </c>
      <c r="E11" s="47">
        <f t="shared" si="0"/>
        <v>0</v>
      </c>
      <c r="F11" s="87">
        <v>0</v>
      </c>
      <c r="G11" s="47">
        <f t="shared" si="4"/>
        <v>0</v>
      </c>
      <c r="H11" s="88"/>
      <c r="I11" s="15">
        <v>40</v>
      </c>
      <c r="J11" s="8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7">
        <v>0</v>
      </c>
      <c r="S11" s="47">
        <f t="shared" si="1"/>
        <v>0</v>
      </c>
      <c r="T11" s="87">
        <v>0</v>
      </c>
      <c r="U11" s="47">
        <f t="shared" si="2"/>
        <v>0</v>
      </c>
      <c r="V11" s="88">
        <v>0</v>
      </c>
      <c r="W11" s="22"/>
      <c r="X11" s="44">
        <f t="shared" si="3"/>
        <v>0</v>
      </c>
      <c r="Y11" s="17" t="s">
        <v>16</v>
      </c>
      <c r="Z11" s="18">
        <v>0</v>
      </c>
      <c r="AB11" s="2" t="s">
        <v>321</v>
      </c>
    </row>
    <row r="12" spans="1:28" ht="25.5" x14ac:dyDescent="0.55000000000000004">
      <c r="A12" s="10">
        <v>8</v>
      </c>
      <c r="B12" s="19" t="s">
        <v>23</v>
      </c>
      <c r="C12" s="79">
        <f>+'26'!G12</f>
        <v>8</v>
      </c>
      <c r="D12" s="87">
        <v>0</v>
      </c>
      <c r="E12" s="47">
        <f t="shared" si="0"/>
        <v>8</v>
      </c>
      <c r="F12" s="87">
        <v>0</v>
      </c>
      <c r="G12" s="47">
        <f t="shared" si="4"/>
        <v>5</v>
      </c>
      <c r="H12" s="88">
        <v>3</v>
      </c>
      <c r="I12" s="15">
        <v>50</v>
      </c>
      <c r="J12" s="82">
        <f t="shared" si="5"/>
        <v>150</v>
      </c>
      <c r="K12" s="17" t="s">
        <v>16</v>
      </c>
      <c r="L12" s="18">
        <v>0</v>
      </c>
      <c r="M12" s="23">
        <f t="shared" si="6"/>
        <v>150</v>
      </c>
      <c r="O12" s="10">
        <v>8</v>
      </c>
      <c r="P12" s="19"/>
      <c r="Q12" s="47">
        <v>0</v>
      </c>
      <c r="R12" s="87">
        <v>0</v>
      </c>
      <c r="S12" s="47">
        <f t="shared" si="1"/>
        <v>0</v>
      </c>
      <c r="T12" s="87">
        <v>0</v>
      </c>
      <c r="U12" s="47">
        <f t="shared" si="2"/>
        <v>0</v>
      </c>
      <c r="V12" s="88">
        <v>0</v>
      </c>
      <c r="W12" s="22"/>
      <c r="X12" s="44">
        <f t="shared" si="3"/>
        <v>0</v>
      </c>
      <c r="Y12" s="17" t="s">
        <v>16</v>
      </c>
      <c r="Z12" s="18">
        <v>0</v>
      </c>
      <c r="AB12" s="2" t="s">
        <v>289</v>
      </c>
    </row>
    <row r="13" spans="1:28" ht="25.5" x14ac:dyDescent="0.55000000000000004">
      <c r="A13" s="10">
        <v>9</v>
      </c>
      <c r="B13" s="19" t="s">
        <v>24</v>
      </c>
      <c r="C13" s="79">
        <f>+'26'!G13</f>
        <v>0</v>
      </c>
      <c r="D13" s="87">
        <v>0</v>
      </c>
      <c r="E13" s="47">
        <f>C13+D13</f>
        <v>0</v>
      </c>
      <c r="F13" s="87">
        <v>0</v>
      </c>
      <c r="G13" s="47">
        <f t="shared" si="4"/>
        <v>0</v>
      </c>
      <c r="H13" s="88"/>
      <c r="I13" s="15">
        <v>55</v>
      </c>
      <c r="J13" s="8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7">
        <v>0</v>
      </c>
      <c r="S13" s="47">
        <f t="shared" si="1"/>
        <v>0</v>
      </c>
      <c r="T13" s="87">
        <v>0</v>
      </c>
      <c r="U13" s="47">
        <f t="shared" si="2"/>
        <v>0</v>
      </c>
      <c r="V13" s="88">
        <v>0</v>
      </c>
      <c r="W13" s="22"/>
      <c r="X13" s="44">
        <f t="shared" si="3"/>
        <v>0</v>
      </c>
      <c r="Y13" s="17" t="s">
        <v>16</v>
      </c>
      <c r="Z13" s="18">
        <v>0</v>
      </c>
      <c r="AB13" s="2" t="s">
        <v>322</v>
      </c>
    </row>
    <row r="14" spans="1:28" ht="25.5" x14ac:dyDescent="0.55000000000000004">
      <c r="A14" s="10">
        <v>10</v>
      </c>
      <c r="B14" s="19" t="s">
        <v>25</v>
      </c>
      <c r="C14" s="79">
        <f>+'26'!G14</f>
        <v>5</v>
      </c>
      <c r="D14" s="87">
        <v>0</v>
      </c>
      <c r="E14" s="47">
        <f t="shared" si="0"/>
        <v>5</v>
      </c>
      <c r="F14" s="87">
        <v>0</v>
      </c>
      <c r="G14" s="47">
        <f t="shared" si="4"/>
        <v>2</v>
      </c>
      <c r="H14" s="88">
        <v>3</v>
      </c>
      <c r="I14" s="15">
        <v>65</v>
      </c>
      <c r="J14" s="82">
        <f t="shared" si="5"/>
        <v>195</v>
      </c>
      <c r="K14" s="17" t="s">
        <v>16</v>
      </c>
      <c r="L14" s="18">
        <v>0</v>
      </c>
      <c r="M14" s="23">
        <f t="shared" si="6"/>
        <v>195</v>
      </c>
      <c r="O14" s="10">
        <v>10</v>
      </c>
      <c r="P14" s="19"/>
      <c r="Q14" s="47">
        <v>0</v>
      </c>
      <c r="R14" s="87">
        <v>0</v>
      </c>
      <c r="S14" s="47">
        <f t="shared" si="1"/>
        <v>0</v>
      </c>
      <c r="T14" s="87">
        <v>0</v>
      </c>
      <c r="U14" s="47">
        <f t="shared" si="2"/>
        <v>0</v>
      </c>
      <c r="V14" s="88">
        <v>0</v>
      </c>
      <c r="W14" s="22"/>
      <c r="X14" s="44">
        <f t="shared" si="3"/>
        <v>0</v>
      </c>
      <c r="Y14" s="17" t="s">
        <v>16</v>
      </c>
      <c r="Z14" s="18">
        <v>0</v>
      </c>
      <c r="AB14" s="2" t="s">
        <v>306</v>
      </c>
    </row>
    <row r="15" spans="1:28" ht="25.5" x14ac:dyDescent="0.55000000000000004">
      <c r="A15" s="10">
        <v>11</v>
      </c>
      <c r="B15" s="19" t="s">
        <v>26</v>
      </c>
      <c r="C15" s="79">
        <f>+'26'!G15</f>
        <v>0</v>
      </c>
      <c r="D15" s="87">
        <v>0</v>
      </c>
      <c r="E15" s="47">
        <f t="shared" si="0"/>
        <v>0</v>
      </c>
      <c r="F15" s="87">
        <v>0</v>
      </c>
      <c r="G15" s="47">
        <f t="shared" si="4"/>
        <v>0</v>
      </c>
      <c r="H15" s="88"/>
      <c r="I15" s="15">
        <v>50</v>
      </c>
      <c r="J15" s="8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7">
        <v>0</v>
      </c>
      <c r="S15" s="47">
        <f t="shared" ref="S15:S29" si="7">Q15+R15</f>
        <v>0</v>
      </c>
      <c r="T15" s="87">
        <v>0</v>
      </c>
      <c r="U15" s="47">
        <f t="shared" ref="U15:U29" si="8">S15-T15-V15</f>
        <v>0</v>
      </c>
      <c r="V15" s="88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8" ht="25.5" x14ac:dyDescent="0.55000000000000004">
      <c r="A16" s="10">
        <v>12</v>
      </c>
      <c r="B16" s="19" t="s">
        <v>27</v>
      </c>
      <c r="C16" s="79">
        <f>+'26'!G16</f>
        <v>0</v>
      </c>
      <c r="D16" s="87">
        <v>0</v>
      </c>
      <c r="E16" s="47">
        <f t="shared" si="0"/>
        <v>0</v>
      </c>
      <c r="F16" s="87">
        <v>0</v>
      </c>
      <c r="G16" s="47">
        <f t="shared" si="4"/>
        <v>0</v>
      </c>
      <c r="H16" s="88"/>
      <c r="I16" s="15">
        <v>50</v>
      </c>
      <c r="J16" s="8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7">
        <v>0</v>
      </c>
      <c r="S16" s="47">
        <f t="shared" si="7"/>
        <v>0</v>
      </c>
      <c r="T16" s="87">
        <v>0</v>
      </c>
      <c r="U16" s="47">
        <f t="shared" si="8"/>
        <v>0</v>
      </c>
      <c r="V16" s="88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+'26'!G17</f>
        <v>3</v>
      </c>
      <c r="D17" s="87">
        <v>0</v>
      </c>
      <c r="E17" s="47">
        <f t="shared" si="0"/>
        <v>3</v>
      </c>
      <c r="F17" s="87">
        <v>0</v>
      </c>
      <c r="G17" s="47">
        <f t="shared" si="4"/>
        <v>1</v>
      </c>
      <c r="H17" s="88">
        <v>2</v>
      </c>
      <c r="I17" s="15">
        <v>50</v>
      </c>
      <c r="J17" s="82">
        <f t="shared" si="5"/>
        <v>100</v>
      </c>
      <c r="K17" s="17" t="s">
        <v>16</v>
      </c>
      <c r="L17" s="18">
        <v>50</v>
      </c>
      <c r="M17" s="23">
        <f t="shared" si="6"/>
        <v>50</v>
      </c>
      <c r="O17" s="10">
        <v>13</v>
      </c>
      <c r="P17" s="19"/>
      <c r="Q17" s="47">
        <v>0</v>
      </c>
      <c r="R17" s="87">
        <v>0</v>
      </c>
      <c r="S17" s="47">
        <f t="shared" si="7"/>
        <v>0</v>
      </c>
      <c r="T17" s="87">
        <v>0</v>
      </c>
      <c r="U17" s="47">
        <f t="shared" si="8"/>
        <v>0</v>
      </c>
      <c r="V17" s="88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+'26'!G18</f>
        <v>0</v>
      </c>
      <c r="D18" s="87">
        <v>0</v>
      </c>
      <c r="E18" s="47">
        <f t="shared" si="0"/>
        <v>0</v>
      </c>
      <c r="F18" s="87">
        <v>0</v>
      </c>
      <c r="G18" s="47">
        <f t="shared" si="4"/>
        <v>0</v>
      </c>
      <c r="H18" s="88"/>
      <c r="I18" s="15">
        <v>50</v>
      </c>
      <c r="J18" s="8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7">
        <v>0</v>
      </c>
      <c r="S18" s="47">
        <f t="shared" si="7"/>
        <v>0</v>
      </c>
      <c r="T18" s="87">
        <v>0</v>
      </c>
      <c r="U18" s="47">
        <f t="shared" si="8"/>
        <v>0</v>
      </c>
      <c r="V18" s="88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329</v>
      </c>
      <c r="C19" s="79">
        <f>+'26'!G19</f>
        <v>6</v>
      </c>
      <c r="D19" s="87">
        <v>0</v>
      </c>
      <c r="E19" s="47">
        <f t="shared" si="0"/>
        <v>6</v>
      </c>
      <c r="F19" s="87">
        <v>0</v>
      </c>
      <c r="G19" s="47">
        <f t="shared" si="4"/>
        <v>5</v>
      </c>
      <c r="H19" s="88">
        <v>1</v>
      </c>
      <c r="I19" s="15">
        <v>50</v>
      </c>
      <c r="J19" s="82">
        <f t="shared" si="5"/>
        <v>50</v>
      </c>
      <c r="K19" s="17" t="s">
        <v>16</v>
      </c>
      <c r="L19" s="18">
        <v>50</v>
      </c>
      <c r="M19" s="23">
        <f t="shared" si="6"/>
        <v>0</v>
      </c>
      <c r="O19" s="10">
        <v>15</v>
      </c>
      <c r="P19" s="19"/>
      <c r="Q19" s="47">
        <v>0</v>
      </c>
      <c r="R19" s="87">
        <v>0</v>
      </c>
      <c r="S19" s="47">
        <f t="shared" si="7"/>
        <v>0</v>
      </c>
      <c r="T19" s="87">
        <v>0</v>
      </c>
      <c r="U19" s="47">
        <f t="shared" si="8"/>
        <v>0</v>
      </c>
      <c r="V19" s="88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+'26'!G20</f>
        <v>0</v>
      </c>
      <c r="D20" s="87">
        <v>0</v>
      </c>
      <c r="E20" s="47">
        <f t="shared" si="0"/>
        <v>0</v>
      </c>
      <c r="F20" s="87">
        <v>0</v>
      </c>
      <c r="G20" s="47">
        <f t="shared" si="4"/>
        <v>0</v>
      </c>
      <c r="H20" s="88"/>
      <c r="I20" s="15">
        <v>50</v>
      </c>
      <c r="J20" s="8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7">
        <v>0</v>
      </c>
      <c r="S20" s="47">
        <f t="shared" si="7"/>
        <v>0</v>
      </c>
      <c r="T20" s="87">
        <v>0</v>
      </c>
      <c r="U20" s="47">
        <f t="shared" si="8"/>
        <v>0</v>
      </c>
      <c r="V20" s="88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+'26'!G21</f>
        <v>0</v>
      </c>
      <c r="D21" s="87">
        <v>0</v>
      </c>
      <c r="E21" s="47">
        <f t="shared" si="0"/>
        <v>0</v>
      </c>
      <c r="F21" s="87">
        <v>0</v>
      </c>
      <c r="G21" s="47">
        <f t="shared" si="4"/>
        <v>0</v>
      </c>
      <c r="H21" s="88"/>
      <c r="I21" s="15">
        <v>50</v>
      </c>
      <c r="J21" s="8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7">
        <v>0</v>
      </c>
      <c r="S21" s="47">
        <f t="shared" si="7"/>
        <v>0</v>
      </c>
      <c r="T21" s="87">
        <v>0</v>
      </c>
      <c r="U21" s="47">
        <f t="shared" si="8"/>
        <v>0</v>
      </c>
      <c r="V21" s="88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+'26'!G22</f>
        <v>5</v>
      </c>
      <c r="D22" s="87">
        <v>0</v>
      </c>
      <c r="E22" s="47">
        <f t="shared" si="0"/>
        <v>5</v>
      </c>
      <c r="F22" s="87">
        <v>0</v>
      </c>
      <c r="G22" s="47">
        <f t="shared" si="4"/>
        <v>4</v>
      </c>
      <c r="H22" s="88">
        <v>1</v>
      </c>
      <c r="I22" s="15">
        <v>85</v>
      </c>
      <c r="J22" s="82">
        <f t="shared" si="5"/>
        <v>85</v>
      </c>
      <c r="K22" s="17" t="s">
        <v>16</v>
      </c>
      <c r="L22" s="18">
        <v>0</v>
      </c>
      <c r="M22" s="23">
        <f t="shared" si="6"/>
        <v>85</v>
      </c>
      <c r="O22" s="10">
        <v>18</v>
      </c>
      <c r="P22" s="19"/>
      <c r="Q22" s="47">
        <v>0</v>
      </c>
      <c r="R22" s="87">
        <v>0</v>
      </c>
      <c r="S22" s="47">
        <f t="shared" si="7"/>
        <v>0</v>
      </c>
      <c r="T22" s="87">
        <v>0</v>
      </c>
      <c r="U22" s="47">
        <f t="shared" si="8"/>
        <v>0</v>
      </c>
      <c r="V22" s="88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+'26'!G23</f>
        <v>24</v>
      </c>
      <c r="D23" s="87">
        <v>0</v>
      </c>
      <c r="E23" s="47">
        <f t="shared" si="0"/>
        <v>24</v>
      </c>
      <c r="F23" s="87">
        <v>2</v>
      </c>
      <c r="G23" s="47">
        <f t="shared" si="4"/>
        <v>22</v>
      </c>
      <c r="H23" s="88"/>
      <c r="I23" s="15">
        <v>100</v>
      </c>
      <c r="J23" s="8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v>0</v>
      </c>
      <c r="R23" s="87">
        <v>0</v>
      </c>
      <c r="S23" s="47">
        <f t="shared" si="7"/>
        <v>0</v>
      </c>
      <c r="T23" s="87">
        <v>0</v>
      </c>
      <c r="U23" s="47">
        <f t="shared" si="8"/>
        <v>0</v>
      </c>
      <c r="V23" s="88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+'26'!G24</f>
        <v>3</v>
      </c>
      <c r="D24" s="87">
        <v>0</v>
      </c>
      <c r="E24" s="47">
        <f t="shared" si="0"/>
        <v>3</v>
      </c>
      <c r="F24" s="87">
        <v>0</v>
      </c>
      <c r="G24" s="47">
        <f t="shared" si="4"/>
        <v>3</v>
      </c>
      <c r="H24" s="88"/>
      <c r="I24" s="21">
        <v>100</v>
      </c>
      <c r="J24" s="8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7">
        <v>0</v>
      </c>
      <c r="S24" s="47">
        <f t="shared" si="7"/>
        <v>0</v>
      </c>
      <c r="T24" s="87">
        <v>0</v>
      </c>
      <c r="U24" s="47">
        <f t="shared" si="8"/>
        <v>0</v>
      </c>
      <c r="V24" s="88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+'26'!G25</f>
        <v>0</v>
      </c>
      <c r="D25" s="87">
        <v>0</v>
      </c>
      <c r="E25" s="47">
        <f t="shared" si="0"/>
        <v>0</v>
      </c>
      <c r="F25" s="87">
        <v>0</v>
      </c>
      <c r="G25" s="47">
        <f t="shared" si="4"/>
        <v>0</v>
      </c>
      <c r="H25" s="88"/>
      <c r="I25" s="21">
        <v>100</v>
      </c>
      <c r="J25" s="8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7">
        <v>0</v>
      </c>
      <c r="S25" s="47">
        <f t="shared" si="7"/>
        <v>0</v>
      </c>
      <c r="T25" s="87">
        <v>0</v>
      </c>
      <c r="U25" s="47">
        <f t="shared" si="8"/>
        <v>0</v>
      </c>
      <c r="V25" s="88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+'26'!G26</f>
        <v>4</v>
      </c>
      <c r="D26" s="87">
        <v>0</v>
      </c>
      <c r="E26" s="47">
        <f t="shared" si="0"/>
        <v>4</v>
      </c>
      <c r="F26" s="87">
        <v>0</v>
      </c>
      <c r="G26" s="47">
        <f t="shared" si="4"/>
        <v>4</v>
      </c>
      <c r="H26" s="88"/>
      <c r="I26" s="21">
        <v>100</v>
      </c>
      <c r="J26" s="8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7">
        <v>0</v>
      </c>
      <c r="S26" s="47">
        <f t="shared" si="7"/>
        <v>0</v>
      </c>
      <c r="T26" s="87">
        <v>0</v>
      </c>
      <c r="U26" s="47">
        <f t="shared" si="8"/>
        <v>0</v>
      </c>
      <c r="V26" s="88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+'26'!G27</f>
        <v>0</v>
      </c>
      <c r="D27" s="87">
        <v>0</v>
      </c>
      <c r="E27" s="47">
        <f t="shared" si="0"/>
        <v>0</v>
      </c>
      <c r="F27" s="87">
        <v>0</v>
      </c>
      <c r="G27" s="47">
        <f t="shared" si="4"/>
        <v>0</v>
      </c>
      <c r="H27" s="88"/>
      <c r="I27" s="20">
        <v>100</v>
      </c>
      <c r="J27" s="8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7">
        <v>0</v>
      </c>
      <c r="S27" s="47">
        <f t="shared" si="7"/>
        <v>0</v>
      </c>
      <c r="T27" s="87">
        <v>0</v>
      </c>
      <c r="U27" s="47">
        <f t="shared" si="8"/>
        <v>0</v>
      </c>
      <c r="V27" s="88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+'26'!G28</f>
        <v>0</v>
      </c>
      <c r="D28" s="87">
        <v>0</v>
      </c>
      <c r="E28" s="47">
        <f t="shared" si="0"/>
        <v>0</v>
      </c>
      <c r="F28" s="87">
        <v>0</v>
      </c>
      <c r="G28" s="47">
        <f t="shared" si="4"/>
        <v>0</v>
      </c>
      <c r="H28" s="88"/>
      <c r="I28" s="20">
        <v>100</v>
      </c>
      <c r="J28" s="8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7">
        <v>0</v>
      </c>
      <c r="S28" s="47">
        <f t="shared" si="7"/>
        <v>0</v>
      </c>
      <c r="T28" s="87">
        <v>0</v>
      </c>
      <c r="U28" s="47">
        <f t="shared" si="8"/>
        <v>0</v>
      </c>
      <c r="V28" s="88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+'26'!G29</f>
        <v>5</v>
      </c>
      <c r="D29" s="87">
        <v>0</v>
      </c>
      <c r="E29" s="47">
        <f t="shared" si="0"/>
        <v>5</v>
      </c>
      <c r="F29" s="87">
        <v>0</v>
      </c>
      <c r="G29" s="47">
        <f t="shared" si="4"/>
        <v>3</v>
      </c>
      <c r="H29" s="88">
        <v>2</v>
      </c>
      <c r="I29" s="15">
        <v>100</v>
      </c>
      <c r="J29" s="82">
        <f t="shared" si="5"/>
        <v>200</v>
      </c>
      <c r="K29" s="17" t="s">
        <v>16</v>
      </c>
      <c r="L29" s="18">
        <v>0</v>
      </c>
      <c r="M29" s="23">
        <f t="shared" si="6"/>
        <v>200</v>
      </c>
      <c r="O29" s="10">
        <v>25</v>
      </c>
      <c r="P29" s="19"/>
      <c r="Q29" s="47">
        <v>0</v>
      </c>
      <c r="R29" s="87">
        <v>0</v>
      </c>
      <c r="S29" s="47">
        <f t="shared" si="7"/>
        <v>0</v>
      </c>
      <c r="T29" s="87">
        <v>0</v>
      </c>
      <c r="U29" s="47">
        <f t="shared" si="8"/>
        <v>0</v>
      </c>
      <c r="V29" s="88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+'26'!G30</f>
        <v>0</v>
      </c>
      <c r="D30" s="87">
        <v>0</v>
      </c>
      <c r="E30" s="47">
        <f t="shared" si="0"/>
        <v>0</v>
      </c>
      <c r="F30" s="87">
        <v>0</v>
      </c>
      <c r="G30" s="47">
        <f t="shared" si="4"/>
        <v>0</v>
      </c>
      <c r="H30" s="88"/>
      <c r="I30" s="15">
        <v>100</v>
      </c>
      <c r="J30" s="8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+'26'!G31</f>
        <v>4</v>
      </c>
      <c r="D31" s="87">
        <v>0</v>
      </c>
      <c r="E31" s="47">
        <f t="shared" si="0"/>
        <v>4</v>
      </c>
      <c r="F31" s="87">
        <v>0</v>
      </c>
      <c r="G31" s="47">
        <f t="shared" si="4"/>
        <v>4</v>
      </c>
      <c r="H31" s="88"/>
      <c r="I31" s="15">
        <v>100</v>
      </c>
      <c r="J31" s="82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+'26'!G32</f>
        <v>0</v>
      </c>
      <c r="D32" s="87">
        <v>0</v>
      </c>
      <c r="E32" s="47">
        <f t="shared" si="0"/>
        <v>0</v>
      </c>
      <c r="F32" s="87">
        <v>0</v>
      </c>
      <c r="G32" s="47">
        <f t="shared" si="4"/>
        <v>0</v>
      </c>
      <c r="H32" s="88"/>
      <c r="I32" s="15">
        <v>130</v>
      </c>
      <c r="J32" s="82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5" t="s">
        <v>119</v>
      </c>
      <c r="Q32" s="146"/>
      <c r="R32" s="146"/>
      <c r="S32" s="146"/>
      <c r="T32" s="146"/>
      <c r="U32" s="146"/>
      <c r="V32" s="146"/>
      <c r="W32" s="147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+'26'!G33</f>
        <v>5</v>
      </c>
      <c r="D33" s="87">
        <v>0</v>
      </c>
      <c r="E33" s="47">
        <f t="shared" si="0"/>
        <v>5</v>
      </c>
      <c r="F33" s="87">
        <v>0</v>
      </c>
      <c r="G33" s="47">
        <f t="shared" si="4"/>
        <v>4</v>
      </c>
      <c r="H33" s="88">
        <v>1</v>
      </c>
      <c r="I33" s="15">
        <v>130</v>
      </c>
      <c r="J33" s="82">
        <f t="shared" si="5"/>
        <v>130</v>
      </c>
      <c r="K33" s="17" t="s">
        <v>16</v>
      </c>
      <c r="L33" s="18">
        <v>0</v>
      </c>
      <c r="M33" s="23">
        <f t="shared" si="6"/>
        <v>130</v>
      </c>
    </row>
    <row r="34" spans="1:13" ht="25.5" x14ac:dyDescent="0.55000000000000004">
      <c r="A34" s="10">
        <v>30</v>
      </c>
      <c r="B34" s="19" t="s">
        <v>45</v>
      </c>
      <c r="C34" s="79">
        <f>+'26'!G34</f>
        <v>6</v>
      </c>
      <c r="D34" s="87">
        <v>0</v>
      </c>
      <c r="E34" s="47">
        <f t="shared" si="0"/>
        <v>6</v>
      </c>
      <c r="F34" s="87">
        <v>0</v>
      </c>
      <c r="G34" s="47">
        <f t="shared" si="4"/>
        <v>4</v>
      </c>
      <c r="H34" s="88">
        <v>2</v>
      </c>
      <c r="I34" s="15">
        <v>130</v>
      </c>
      <c r="J34" s="82">
        <f t="shared" si="5"/>
        <v>260</v>
      </c>
      <c r="K34" s="17" t="s">
        <v>16</v>
      </c>
      <c r="L34" s="18">
        <v>0</v>
      </c>
      <c r="M34" s="23">
        <f t="shared" si="6"/>
        <v>260</v>
      </c>
    </row>
    <row r="35" spans="1:13" ht="25.5" x14ac:dyDescent="0.55000000000000004">
      <c r="A35" s="10">
        <v>31</v>
      </c>
      <c r="B35" s="19" t="s">
        <v>46</v>
      </c>
      <c r="C35" s="79">
        <f>+'26'!G35</f>
        <v>0</v>
      </c>
      <c r="D35" s="87">
        <v>0</v>
      </c>
      <c r="E35" s="47">
        <f t="shared" si="0"/>
        <v>0</v>
      </c>
      <c r="F35" s="87">
        <v>0</v>
      </c>
      <c r="G35" s="47">
        <f t="shared" si="4"/>
        <v>0</v>
      </c>
      <c r="H35" s="88"/>
      <c r="I35" s="15">
        <v>130</v>
      </c>
      <c r="J35" s="82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+'26'!G36</f>
        <v>0</v>
      </c>
      <c r="D36" s="87">
        <v>0</v>
      </c>
      <c r="E36" s="47">
        <f t="shared" si="0"/>
        <v>0</v>
      </c>
      <c r="F36" s="87">
        <v>0</v>
      </c>
      <c r="G36" s="47">
        <f t="shared" si="4"/>
        <v>0</v>
      </c>
      <c r="H36" s="88"/>
      <c r="I36" s="15">
        <v>100</v>
      </c>
      <c r="J36" s="82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+'26'!G37</f>
        <v>13</v>
      </c>
      <c r="D37" s="87">
        <v>0</v>
      </c>
      <c r="E37" s="47">
        <f t="shared" si="0"/>
        <v>13</v>
      </c>
      <c r="F37" s="87">
        <v>0</v>
      </c>
      <c r="G37" s="47">
        <f t="shared" si="4"/>
        <v>11</v>
      </c>
      <c r="H37" s="88">
        <v>2</v>
      </c>
      <c r="I37" s="15">
        <v>100</v>
      </c>
      <c r="J37" s="82">
        <f t="shared" si="5"/>
        <v>200</v>
      </c>
      <c r="K37" s="17" t="s">
        <v>16</v>
      </c>
      <c r="L37" s="18">
        <v>0</v>
      </c>
      <c r="M37" s="23">
        <f t="shared" si="6"/>
        <v>200</v>
      </c>
    </row>
    <row r="38" spans="1:13" ht="25.5" x14ac:dyDescent="0.55000000000000004">
      <c r="A38" s="10">
        <v>34</v>
      </c>
      <c r="B38" s="19" t="s">
        <v>49</v>
      </c>
      <c r="C38" s="79">
        <f>+'26'!G38</f>
        <v>7</v>
      </c>
      <c r="D38" s="87">
        <v>0</v>
      </c>
      <c r="E38" s="47">
        <f t="shared" si="0"/>
        <v>7</v>
      </c>
      <c r="F38" s="87">
        <v>0</v>
      </c>
      <c r="G38" s="47">
        <f t="shared" si="4"/>
        <v>4</v>
      </c>
      <c r="H38" s="88">
        <v>3</v>
      </c>
      <c r="I38" s="15">
        <v>50</v>
      </c>
      <c r="J38" s="82">
        <f t="shared" si="5"/>
        <v>150</v>
      </c>
      <c r="K38" s="17" t="s">
        <v>16</v>
      </c>
      <c r="L38" s="18">
        <v>0</v>
      </c>
      <c r="M38" s="23">
        <f t="shared" si="6"/>
        <v>150</v>
      </c>
    </row>
    <row r="39" spans="1:13" ht="25.5" x14ac:dyDescent="0.55000000000000004">
      <c r="A39" s="10">
        <v>35</v>
      </c>
      <c r="B39" s="19" t="s">
        <v>50</v>
      </c>
      <c r="C39" s="79">
        <f>+'26'!G39</f>
        <v>14</v>
      </c>
      <c r="D39" s="87">
        <v>0</v>
      </c>
      <c r="E39" s="47">
        <f t="shared" si="0"/>
        <v>14</v>
      </c>
      <c r="F39" s="87">
        <v>0</v>
      </c>
      <c r="G39" s="47">
        <f t="shared" si="4"/>
        <v>14</v>
      </c>
      <c r="H39" s="88"/>
      <c r="I39" s="15">
        <v>50</v>
      </c>
      <c r="J39" s="82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v>11</v>
      </c>
      <c r="D40" s="87">
        <v>0</v>
      </c>
      <c r="E40" s="47">
        <f t="shared" si="0"/>
        <v>11</v>
      </c>
      <c r="F40" s="87">
        <v>0</v>
      </c>
      <c r="G40" s="47">
        <f t="shared" si="4"/>
        <v>8</v>
      </c>
      <c r="H40" s="88">
        <v>3</v>
      </c>
      <c r="I40" s="15">
        <v>50</v>
      </c>
      <c r="J40" s="82">
        <f t="shared" si="5"/>
        <v>150</v>
      </c>
      <c r="K40" s="17" t="s">
        <v>16</v>
      </c>
      <c r="L40" s="18">
        <v>0</v>
      </c>
      <c r="M40" s="23">
        <f t="shared" si="6"/>
        <v>150</v>
      </c>
    </row>
    <row r="41" spans="1:13" ht="25.5" x14ac:dyDescent="0.55000000000000004">
      <c r="A41" s="10">
        <v>37</v>
      </c>
      <c r="B41" s="19" t="s">
        <v>52</v>
      </c>
      <c r="C41" s="79">
        <f>+'26'!G41</f>
        <v>0</v>
      </c>
      <c r="D41" s="87">
        <v>0</v>
      </c>
      <c r="E41" s="47">
        <f t="shared" si="0"/>
        <v>0</v>
      </c>
      <c r="F41" s="87">
        <v>0</v>
      </c>
      <c r="G41" s="47">
        <f t="shared" si="4"/>
        <v>0</v>
      </c>
      <c r="H41" s="88"/>
      <c r="I41" s="15">
        <v>50</v>
      </c>
      <c r="J41" s="82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285</v>
      </c>
      <c r="C42" s="79">
        <f>+'26'!G42</f>
        <v>2</v>
      </c>
      <c r="D42" s="87">
        <v>0</v>
      </c>
      <c r="E42" s="47">
        <f t="shared" si="0"/>
        <v>2</v>
      </c>
      <c r="F42" s="87">
        <v>0</v>
      </c>
      <c r="G42" s="47">
        <f t="shared" si="4"/>
        <v>2</v>
      </c>
      <c r="H42" s="88"/>
      <c r="I42" s="15">
        <v>50</v>
      </c>
      <c r="J42" s="82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+'26'!G43</f>
        <v>2</v>
      </c>
      <c r="D43" s="87">
        <v>0</v>
      </c>
      <c r="E43" s="47">
        <f t="shared" si="0"/>
        <v>2</v>
      </c>
      <c r="F43" s="87">
        <v>0</v>
      </c>
      <c r="G43" s="47">
        <f t="shared" si="4"/>
        <v>2</v>
      </c>
      <c r="H43" s="88"/>
      <c r="I43" s="15">
        <v>50</v>
      </c>
      <c r="J43" s="82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+'26'!G44</f>
        <v>2</v>
      </c>
      <c r="D44" s="87">
        <v>0</v>
      </c>
      <c r="E44" s="47">
        <f t="shared" si="0"/>
        <v>2</v>
      </c>
      <c r="F44" s="87">
        <v>0</v>
      </c>
      <c r="G44" s="47">
        <f t="shared" si="4"/>
        <v>2</v>
      </c>
      <c r="H44" s="88"/>
      <c r="I44" s="15">
        <v>50</v>
      </c>
      <c r="J44" s="82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+'26'!G45</f>
        <v>0</v>
      </c>
      <c r="D45" s="87">
        <v>0</v>
      </c>
      <c r="E45" s="47">
        <f t="shared" si="0"/>
        <v>0</v>
      </c>
      <c r="F45" s="87">
        <v>0</v>
      </c>
      <c r="G45" s="47">
        <f t="shared" si="4"/>
        <v>0</v>
      </c>
      <c r="H45" s="88"/>
      <c r="I45" s="15">
        <v>50</v>
      </c>
      <c r="J45" s="82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286</v>
      </c>
      <c r="C46" s="79">
        <f>+'26'!G46</f>
        <v>2</v>
      </c>
      <c r="D46" s="87">
        <v>0</v>
      </c>
      <c r="E46" s="47">
        <f t="shared" si="0"/>
        <v>2</v>
      </c>
      <c r="F46" s="87">
        <v>0</v>
      </c>
      <c r="G46" s="47">
        <f t="shared" si="4"/>
        <v>2</v>
      </c>
      <c r="H46" s="88"/>
      <c r="I46" s="15">
        <v>50</v>
      </c>
      <c r="J46" s="82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+'26'!G47</f>
        <v>2</v>
      </c>
      <c r="D47" s="87">
        <v>0</v>
      </c>
      <c r="E47" s="47">
        <f t="shared" si="0"/>
        <v>2</v>
      </c>
      <c r="F47" s="87">
        <v>0</v>
      </c>
      <c r="G47" s="47">
        <f t="shared" si="4"/>
        <v>2</v>
      </c>
      <c r="H47" s="88"/>
      <c r="I47" s="15">
        <v>50</v>
      </c>
      <c r="J47" s="82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+'26'!G48</f>
        <v>2</v>
      </c>
      <c r="D48" s="87">
        <v>0</v>
      </c>
      <c r="E48" s="47">
        <f t="shared" si="0"/>
        <v>2</v>
      </c>
      <c r="F48" s="87">
        <v>0</v>
      </c>
      <c r="G48" s="47">
        <f t="shared" si="4"/>
        <v>2</v>
      </c>
      <c r="H48" s="88"/>
      <c r="I48" s="15">
        <v>50</v>
      </c>
      <c r="J48" s="82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+'26'!G49</f>
        <v>2</v>
      </c>
      <c r="D49" s="87">
        <v>0</v>
      </c>
      <c r="E49" s="47">
        <f t="shared" si="0"/>
        <v>2</v>
      </c>
      <c r="F49" s="87">
        <v>0</v>
      </c>
      <c r="G49" s="47">
        <f t="shared" si="4"/>
        <v>2</v>
      </c>
      <c r="H49" s="88"/>
      <c r="I49" s="15">
        <v>50</v>
      </c>
      <c r="J49" s="82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+'26'!G50</f>
        <v>2</v>
      </c>
      <c r="D50" s="87">
        <v>0</v>
      </c>
      <c r="E50" s="47">
        <f t="shared" si="0"/>
        <v>2</v>
      </c>
      <c r="F50" s="87">
        <v>0</v>
      </c>
      <c r="G50" s="47">
        <f t="shared" si="4"/>
        <v>1</v>
      </c>
      <c r="H50" s="88">
        <v>1</v>
      </c>
      <c r="I50" s="15">
        <v>120</v>
      </c>
      <c r="J50" s="82">
        <f t="shared" si="5"/>
        <v>120</v>
      </c>
      <c r="K50" s="17" t="s">
        <v>16</v>
      </c>
      <c r="L50" s="18">
        <v>0</v>
      </c>
      <c r="M50" s="23">
        <f t="shared" si="6"/>
        <v>120</v>
      </c>
    </row>
    <row r="51" spans="1:13" ht="25.5" x14ac:dyDescent="0.55000000000000004">
      <c r="A51" s="10">
        <v>47</v>
      </c>
      <c r="B51" s="19" t="s">
        <v>62</v>
      </c>
      <c r="C51" s="79">
        <f>+'26'!G51</f>
        <v>2</v>
      </c>
      <c r="D51" s="87">
        <v>0</v>
      </c>
      <c r="E51" s="47">
        <f t="shared" si="0"/>
        <v>2</v>
      </c>
      <c r="F51" s="87">
        <v>0</v>
      </c>
      <c r="G51" s="47">
        <f t="shared" si="4"/>
        <v>2</v>
      </c>
      <c r="H51" s="88"/>
      <c r="I51" s="15">
        <v>120</v>
      </c>
      <c r="J51" s="82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+'26'!G52</f>
        <v>0</v>
      </c>
      <c r="D52" s="87">
        <v>0</v>
      </c>
      <c r="E52" s="47">
        <f t="shared" si="0"/>
        <v>0</v>
      </c>
      <c r="F52" s="87">
        <v>0</v>
      </c>
      <c r="G52" s="47">
        <f t="shared" si="4"/>
        <v>0</v>
      </c>
      <c r="H52" s="88"/>
      <c r="I52" s="21">
        <v>120</v>
      </c>
      <c r="J52" s="82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+'26'!G53</f>
        <v>0</v>
      </c>
      <c r="D53" s="87">
        <v>0</v>
      </c>
      <c r="E53" s="47">
        <f t="shared" si="0"/>
        <v>0</v>
      </c>
      <c r="F53" s="87">
        <v>0</v>
      </c>
      <c r="G53" s="47">
        <f t="shared" si="4"/>
        <v>0</v>
      </c>
      <c r="H53" s="88"/>
      <c r="I53" s="15">
        <v>120</v>
      </c>
      <c r="J53" s="82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+'26'!G54</f>
        <v>0</v>
      </c>
      <c r="D54" s="87">
        <v>0</v>
      </c>
      <c r="E54" s="47">
        <f t="shared" si="0"/>
        <v>0</v>
      </c>
      <c r="F54" s="87">
        <v>0</v>
      </c>
      <c r="G54" s="47">
        <f t="shared" si="4"/>
        <v>0</v>
      </c>
      <c r="H54" s="88"/>
      <c r="I54" s="15">
        <v>120</v>
      </c>
      <c r="J54" s="82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+'26'!G55</f>
        <v>2</v>
      </c>
      <c r="D55" s="87">
        <v>0</v>
      </c>
      <c r="E55" s="47">
        <f t="shared" si="0"/>
        <v>2</v>
      </c>
      <c r="F55" s="87">
        <v>1</v>
      </c>
      <c r="G55" s="47">
        <f t="shared" si="4"/>
        <v>1</v>
      </c>
      <c r="H55" s="88"/>
      <c r="I55" s="21">
        <v>120</v>
      </c>
      <c r="J55" s="82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+'26'!G56</f>
        <v>0</v>
      </c>
      <c r="D56" s="87">
        <v>0</v>
      </c>
      <c r="E56" s="47">
        <f t="shared" si="0"/>
        <v>0</v>
      </c>
      <c r="F56" s="87">
        <v>0</v>
      </c>
      <c r="G56" s="47">
        <f t="shared" si="4"/>
        <v>0</v>
      </c>
      <c r="H56" s="88"/>
      <c r="I56" s="21">
        <v>120</v>
      </c>
      <c r="J56" s="82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+'26'!G57</f>
        <v>1</v>
      </c>
      <c r="D57" s="87">
        <v>0</v>
      </c>
      <c r="E57" s="47">
        <f t="shared" si="0"/>
        <v>1</v>
      </c>
      <c r="F57" s="87">
        <v>0</v>
      </c>
      <c r="G57" s="47">
        <f t="shared" si="4"/>
        <v>1</v>
      </c>
      <c r="H57" s="88"/>
      <c r="I57" s="21">
        <v>120</v>
      </c>
      <c r="J57" s="82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+'26'!G58</f>
        <v>0</v>
      </c>
      <c r="D58" s="87">
        <v>0</v>
      </c>
      <c r="E58" s="47">
        <f t="shared" si="0"/>
        <v>0</v>
      </c>
      <c r="F58" s="87">
        <v>0</v>
      </c>
      <c r="G58" s="47">
        <f t="shared" si="4"/>
        <v>0</v>
      </c>
      <c r="H58" s="88"/>
      <c r="I58" s="21">
        <v>120</v>
      </c>
      <c r="J58" s="82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+'26'!G59</f>
        <v>0</v>
      </c>
      <c r="D59" s="87">
        <v>0</v>
      </c>
      <c r="E59" s="47">
        <f t="shared" si="0"/>
        <v>0</v>
      </c>
      <c r="F59" s="87">
        <v>0</v>
      </c>
      <c r="G59" s="47">
        <f t="shared" si="4"/>
        <v>0</v>
      </c>
      <c r="H59" s="88"/>
      <c r="I59" s="15">
        <v>70</v>
      </c>
      <c r="J59" s="82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+'26'!G60</f>
        <v>0</v>
      </c>
      <c r="D60" s="87">
        <v>0</v>
      </c>
      <c r="E60" s="47">
        <f t="shared" si="0"/>
        <v>0</v>
      </c>
      <c r="F60" s="87">
        <v>0</v>
      </c>
      <c r="G60" s="47">
        <f t="shared" si="4"/>
        <v>0</v>
      </c>
      <c r="H60" s="88"/>
      <c r="I60" s="21">
        <v>80</v>
      </c>
      <c r="J60" s="82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+'26'!G61</f>
        <v>0</v>
      </c>
      <c r="D61" s="87">
        <v>0</v>
      </c>
      <c r="E61" s="47">
        <f t="shared" si="0"/>
        <v>0</v>
      </c>
      <c r="F61" s="87">
        <v>0</v>
      </c>
      <c r="G61" s="47">
        <f t="shared" si="4"/>
        <v>0</v>
      </c>
      <c r="H61" s="88"/>
      <c r="I61" s="15">
        <v>50</v>
      </c>
      <c r="J61" s="82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+'26'!G62</f>
        <v>2</v>
      </c>
      <c r="D62" s="87">
        <v>0</v>
      </c>
      <c r="E62" s="47">
        <f t="shared" si="0"/>
        <v>2</v>
      </c>
      <c r="F62" s="87">
        <v>0</v>
      </c>
      <c r="G62" s="47">
        <f t="shared" si="4"/>
        <v>0</v>
      </c>
      <c r="H62" s="88">
        <v>2</v>
      </c>
      <c r="I62" s="20">
        <v>50</v>
      </c>
      <c r="J62" s="82">
        <f t="shared" si="5"/>
        <v>100</v>
      </c>
      <c r="K62" s="17" t="s">
        <v>16</v>
      </c>
      <c r="L62" s="18">
        <v>0</v>
      </c>
      <c r="M62" s="23">
        <f t="shared" si="6"/>
        <v>100</v>
      </c>
    </row>
    <row r="63" spans="1:13" ht="25.5" x14ac:dyDescent="0.55000000000000004">
      <c r="A63" s="10">
        <v>59</v>
      </c>
      <c r="B63" s="19" t="s">
        <v>74</v>
      </c>
      <c r="C63" s="79">
        <f>+'26'!G63</f>
        <v>0</v>
      </c>
      <c r="D63" s="87">
        <v>0</v>
      </c>
      <c r="E63" s="47">
        <f t="shared" si="0"/>
        <v>0</v>
      </c>
      <c r="F63" s="87">
        <v>0</v>
      </c>
      <c r="G63" s="47">
        <f t="shared" si="4"/>
        <v>0</v>
      </c>
      <c r="H63" s="88"/>
      <c r="I63" s="20">
        <v>50</v>
      </c>
      <c r="J63" s="82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+'26'!G64</f>
        <v>0</v>
      </c>
      <c r="D64" s="87">
        <v>0</v>
      </c>
      <c r="E64" s="47">
        <f t="shared" si="0"/>
        <v>0</v>
      </c>
      <c r="F64" s="87">
        <v>0</v>
      </c>
      <c r="G64" s="47">
        <f t="shared" si="4"/>
        <v>0</v>
      </c>
      <c r="H64" s="88"/>
      <c r="I64" s="21">
        <v>30</v>
      </c>
      <c r="J64" s="82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+'26'!G65</f>
        <v>0</v>
      </c>
      <c r="D65" s="87">
        <v>0</v>
      </c>
      <c r="E65" s="47">
        <f t="shared" si="0"/>
        <v>0</v>
      </c>
      <c r="F65" s="87">
        <v>0</v>
      </c>
      <c r="G65" s="47">
        <f t="shared" si="4"/>
        <v>0</v>
      </c>
      <c r="H65" s="88"/>
      <c r="I65" s="21">
        <v>30</v>
      </c>
      <c r="J65" s="82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+'26'!G66</f>
        <v>16</v>
      </c>
      <c r="D66" s="87">
        <v>0</v>
      </c>
      <c r="E66" s="47">
        <f t="shared" si="0"/>
        <v>16</v>
      </c>
      <c r="F66" s="87">
        <v>0</v>
      </c>
      <c r="G66" s="47">
        <f t="shared" si="4"/>
        <v>15</v>
      </c>
      <c r="H66" s="88">
        <v>1</v>
      </c>
      <c r="I66" s="15">
        <v>50</v>
      </c>
      <c r="J66" s="82">
        <f t="shared" si="5"/>
        <v>50</v>
      </c>
      <c r="K66" s="17" t="s">
        <v>16</v>
      </c>
      <c r="L66" s="18">
        <v>0</v>
      </c>
      <c r="M66" s="23">
        <f t="shared" si="6"/>
        <v>50</v>
      </c>
    </row>
    <row r="67" spans="1:13" ht="25.5" x14ac:dyDescent="0.55000000000000004">
      <c r="A67" s="10">
        <v>63</v>
      </c>
      <c r="B67" s="19" t="s">
        <v>78</v>
      </c>
      <c r="C67" s="79">
        <f>+'26'!G67</f>
        <v>8</v>
      </c>
      <c r="D67" s="87">
        <v>0</v>
      </c>
      <c r="E67" s="47">
        <f t="shared" si="0"/>
        <v>8</v>
      </c>
      <c r="F67" s="87">
        <v>0</v>
      </c>
      <c r="G67" s="47">
        <f t="shared" si="4"/>
        <v>7</v>
      </c>
      <c r="H67" s="88">
        <v>1</v>
      </c>
      <c r="I67" s="15">
        <v>50</v>
      </c>
      <c r="J67" s="82">
        <f t="shared" si="5"/>
        <v>50</v>
      </c>
      <c r="K67" s="17" t="s">
        <v>16</v>
      </c>
      <c r="L67" s="18">
        <v>0</v>
      </c>
      <c r="M67" s="23">
        <f t="shared" si="6"/>
        <v>50</v>
      </c>
    </row>
    <row r="68" spans="1:13" ht="25.5" x14ac:dyDescent="0.55000000000000004">
      <c r="A68" s="10">
        <v>64</v>
      </c>
      <c r="B68" s="19" t="s">
        <v>79</v>
      </c>
      <c r="C68" s="79">
        <f>+'26'!G68</f>
        <v>0</v>
      </c>
      <c r="D68" s="87">
        <v>0</v>
      </c>
      <c r="E68" s="47">
        <f t="shared" si="0"/>
        <v>0</v>
      </c>
      <c r="F68" s="87">
        <v>0</v>
      </c>
      <c r="G68" s="47">
        <f t="shared" si="4"/>
        <v>0</v>
      </c>
      <c r="H68" s="88"/>
      <c r="I68" s="20">
        <v>35</v>
      </c>
      <c r="J68" s="82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+'26'!G69</f>
        <v>0</v>
      </c>
      <c r="D69" s="87">
        <v>0</v>
      </c>
      <c r="E69" s="47">
        <f t="shared" si="0"/>
        <v>0</v>
      </c>
      <c r="F69" s="87">
        <v>0</v>
      </c>
      <c r="G69" s="47">
        <f t="shared" si="4"/>
        <v>0</v>
      </c>
      <c r="H69" s="88"/>
      <c r="I69" s="20">
        <v>25</v>
      </c>
      <c r="J69" s="82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+'26'!G70</f>
        <v>12</v>
      </c>
      <c r="D70" s="87">
        <v>0</v>
      </c>
      <c r="E70" s="47">
        <f t="shared" si="0"/>
        <v>12</v>
      </c>
      <c r="F70" s="87">
        <v>0</v>
      </c>
      <c r="G70" s="47">
        <f t="shared" si="4"/>
        <v>7</v>
      </c>
      <c r="H70" s="88">
        <v>5</v>
      </c>
      <c r="I70" s="20">
        <v>50</v>
      </c>
      <c r="J70" s="82">
        <f t="shared" si="5"/>
        <v>250</v>
      </c>
      <c r="K70" s="17" t="s">
        <v>16</v>
      </c>
      <c r="L70" s="18">
        <v>0</v>
      </c>
      <c r="M70" s="23">
        <f t="shared" ref="M70:M134" si="10">SUM(J70-L70)</f>
        <v>250</v>
      </c>
    </row>
    <row r="71" spans="1:13" ht="25.5" x14ac:dyDescent="0.55000000000000004">
      <c r="A71" s="10">
        <v>67</v>
      </c>
      <c r="B71" s="19" t="s">
        <v>82</v>
      </c>
      <c r="C71" s="79">
        <f>+'26'!G71</f>
        <v>0</v>
      </c>
      <c r="D71" s="87">
        <v>0</v>
      </c>
      <c r="E71" s="47">
        <f t="shared" si="0"/>
        <v>0</v>
      </c>
      <c r="F71" s="87">
        <v>0</v>
      </c>
      <c r="G71" s="47">
        <f t="shared" si="4"/>
        <v>0</v>
      </c>
      <c r="H71" s="88"/>
      <c r="I71" s="20">
        <v>60</v>
      </c>
      <c r="J71" s="82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+'26'!G72</f>
        <v>0</v>
      </c>
      <c r="D72" s="87">
        <v>0</v>
      </c>
      <c r="E72" s="47">
        <f t="shared" si="0"/>
        <v>0</v>
      </c>
      <c r="F72" s="87">
        <v>0</v>
      </c>
      <c r="G72" s="47">
        <f t="shared" si="4"/>
        <v>0</v>
      </c>
      <c r="H72" s="88"/>
      <c r="I72" s="22">
        <v>50</v>
      </c>
      <c r="J72" s="82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+'26'!G73</f>
        <v>0</v>
      </c>
      <c r="D73" s="87">
        <v>0</v>
      </c>
      <c r="E73" s="47">
        <f t="shared" si="0"/>
        <v>0</v>
      </c>
      <c r="F73" s="87">
        <v>0</v>
      </c>
      <c r="G73" s="47">
        <f t="shared" si="4"/>
        <v>0</v>
      </c>
      <c r="H73" s="88"/>
      <c r="I73" s="20">
        <v>60</v>
      </c>
      <c r="J73" s="82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+'26'!G74</f>
        <v>9</v>
      </c>
      <c r="D74" s="87">
        <v>0</v>
      </c>
      <c r="E74" s="47">
        <f t="shared" si="0"/>
        <v>9</v>
      </c>
      <c r="F74" s="87">
        <v>0</v>
      </c>
      <c r="G74" s="47">
        <f t="shared" si="4"/>
        <v>9</v>
      </c>
      <c r="H74" s="88"/>
      <c r="I74" s="22">
        <v>120</v>
      </c>
      <c r="J74" s="82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+'26'!G75</f>
        <v>0</v>
      </c>
      <c r="D75" s="87">
        <v>0</v>
      </c>
      <c r="E75" s="47">
        <f t="shared" si="0"/>
        <v>0</v>
      </c>
      <c r="F75" s="87">
        <v>0</v>
      </c>
      <c r="G75" s="47">
        <f t="shared" si="4"/>
        <v>0</v>
      </c>
      <c r="H75" s="88"/>
      <c r="I75" s="22">
        <v>60</v>
      </c>
      <c r="J75" s="82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+'26'!G76</f>
        <v>0</v>
      </c>
      <c r="D76" s="87">
        <v>0</v>
      </c>
      <c r="E76" s="47">
        <f t="shared" si="0"/>
        <v>0</v>
      </c>
      <c r="F76" s="87">
        <v>0</v>
      </c>
      <c r="G76" s="47">
        <f t="shared" si="4"/>
        <v>0</v>
      </c>
      <c r="H76" s="88"/>
      <c r="I76" s="22">
        <v>120</v>
      </c>
      <c r="J76" s="82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1" t="s">
        <v>272</v>
      </c>
      <c r="C77" s="79">
        <f>+'26'!G77</f>
        <v>4</v>
      </c>
      <c r="D77" s="87">
        <v>0</v>
      </c>
      <c r="E77" s="47">
        <f>C77+D77</f>
        <v>4</v>
      </c>
      <c r="F77" s="87">
        <v>0</v>
      </c>
      <c r="G77" s="47">
        <f>+E77-F77-H77</f>
        <v>2</v>
      </c>
      <c r="H77" s="88">
        <v>2</v>
      </c>
      <c r="I77" s="20">
        <v>50</v>
      </c>
      <c r="J77" s="82">
        <f>+I77*H77</f>
        <v>100</v>
      </c>
      <c r="K77" s="17" t="s">
        <v>16</v>
      </c>
      <c r="L77" s="18">
        <v>0</v>
      </c>
      <c r="M77" s="23">
        <f>SUM(J77-L77)</f>
        <v>100</v>
      </c>
    </row>
    <row r="78" spans="1:13" ht="25.5" x14ac:dyDescent="0.55000000000000004">
      <c r="A78" s="10">
        <v>74</v>
      </c>
      <c r="B78" s="19" t="s">
        <v>277</v>
      </c>
      <c r="C78" s="79">
        <f>+'26'!G78</f>
        <v>2</v>
      </c>
      <c r="D78" s="87">
        <v>0</v>
      </c>
      <c r="E78" s="47">
        <f t="shared" si="0"/>
        <v>2</v>
      </c>
      <c r="F78" s="87">
        <v>0</v>
      </c>
      <c r="G78" s="47">
        <f t="shared" si="4"/>
        <v>0</v>
      </c>
      <c r="H78" s="88">
        <v>2</v>
      </c>
      <c r="I78" s="20">
        <v>50</v>
      </c>
      <c r="J78" s="82">
        <f t="shared" si="5"/>
        <v>100</v>
      </c>
      <c r="K78" s="17" t="s">
        <v>16</v>
      </c>
      <c r="L78" s="18">
        <v>0</v>
      </c>
      <c r="M78" s="23">
        <f t="shared" si="10"/>
        <v>100</v>
      </c>
    </row>
    <row r="79" spans="1:13" ht="25.5" x14ac:dyDescent="0.55000000000000004">
      <c r="A79" s="10">
        <v>75</v>
      </c>
      <c r="B79" s="19" t="s">
        <v>278</v>
      </c>
      <c r="C79" s="79">
        <f>+'26'!G79</f>
        <v>0</v>
      </c>
      <c r="D79" s="87">
        <v>0</v>
      </c>
      <c r="E79" s="47">
        <f t="shared" si="0"/>
        <v>0</v>
      </c>
      <c r="F79" s="87">
        <v>0</v>
      </c>
      <c r="G79" s="47">
        <f t="shared" si="4"/>
        <v>0</v>
      </c>
      <c r="H79" s="88"/>
      <c r="I79" s="22">
        <v>120</v>
      </c>
      <c r="J79" s="82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90</v>
      </c>
      <c r="C80" s="79">
        <v>2</v>
      </c>
      <c r="D80" s="87">
        <v>0</v>
      </c>
      <c r="E80" s="47">
        <f t="shared" si="0"/>
        <v>2</v>
      </c>
      <c r="F80" s="87">
        <v>0</v>
      </c>
      <c r="G80" s="47">
        <f t="shared" si="4"/>
        <v>0</v>
      </c>
      <c r="H80" s="88">
        <v>2</v>
      </c>
      <c r="I80" s="22">
        <v>50</v>
      </c>
      <c r="J80" s="82">
        <f t="shared" si="5"/>
        <v>100</v>
      </c>
      <c r="K80" s="17" t="s">
        <v>16</v>
      </c>
      <c r="L80" s="18">
        <v>0</v>
      </c>
      <c r="M80" s="23">
        <f t="shared" si="10"/>
        <v>100</v>
      </c>
    </row>
    <row r="81" spans="1:13" ht="25.5" x14ac:dyDescent="0.55000000000000004">
      <c r="A81" s="10">
        <v>77</v>
      </c>
      <c r="B81" s="19" t="s">
        <v>91</v>
      </c>
      <c r="C81" s="79">
        <f>+'26'!G81</f>
        <v>0</v>
      </c>
      <c r="D81" s="87">
        <v>0</v>
      </c>
      <c r="E81" s="47">
        <f t="shared" si="0"/>
        <v>0</v>
      </c>
      <c r="F81" s="87">
        <v>0</v>
      </c>
      <c r="G81" s="47">
        <f t="shared" si="4"/>
        <v>0</v>
      </c>
      <c r="H81" s="88"/>
      <c r="I81" s="22">
        <v>50</v>
      </c>
      <c r="J81" s="82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92</v>
      </c>
      <c r="C82" s="79">
        <f>+'26'!G82</f>
        <v>4</v>
      </c>
      <c r="D82" s="87">
        <v>0</v>
      </c>
      <c r="E82" s="47">
        <f t="shared" si="0"/>
        <v>4</v>
      </c>
      <c r="F82" s="87">
        <v>0</v>
      </c>
      <c r="G82" s="47">
        <f t="shared" si="4"/>
        <v>4</v>
      </c>
      <c r="H82" s="88"/>
      <c r="I82" s="20">
        <v>55</v>
      </c>
      <c r="J82" s="82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93</v>
      </c>
      <c r="C83" s="79">
        <f>+'26'!G83</f>
        <v>5</v>
      </c>
      <c r="D83" s="87">
        <v>0</v>
      </c>
      <c r="E83" s="47">
        <f t="shared" si="0"/>
        <v>5</v>
      </c>
      <c r="F83" s="87">
        <v>0</v>
      </c>
      <c r="G83" s="47">
        <f t="shared" si="4"/>
        <v>2</v>
      </c>
      <c r="H83" s="88">
        <v>3</v>
      </c>
      <c r="I83" s="22">
        <v>55</v>
      </c>
      <c r="J83" s="82">
        <f t="shared" si="5"/>
        <v>165</v>
      </c>
      <c r="K83" s="17" t="s">
        <v>16</v>
      </c>
      <c r="L83" s="18">
        <v>0</v>
      </c>
      <c r="M83" s="23">
        <f t="shared" si="10"/>
        <v>165</v>
      </c>
    </row>
    <row r="84" spans="1:13" ht="25.5" x14ac:dyDescent="0.55000000000000004">
      <c r="A84" s="10">
        <v>80</v>
      </c>
      <c r="B84" s="19" t="s">
        <v>94</v>
      </c>
      <c r="C84" s="79">
        <f>+'26'!G84</f>
        <v>0</v>
      </c>
      <c r="D84" s="87">
        <v>0</v>
      </c>
      <c r="E84" s="47">
        <f t="shared" si="0"/>
        <v>0</v>
      </c>
      <c r="F84" s="87">
        <v>0</v>
      </c>
      <c r="G84" s="47">
        <f t="shared" si="4"/>
        <v>0</v>
      </c>
      <c r="H84" s="88"/>
      <c r="I84" s="22">
        <v>55</v>
      </c>
      <c r="J84" s="82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95</v>
      </c>
      <c r="C85" s="79">
        <f>+'26'!G85</f>
        <v>0</v>
      </c>
      <c r="D85" s="87">
        <v>0</v>
      </c>
      <c r="E85" s="47">
        <f t="shared" si="0"/>
        <v>0</v>
      </c>
      <c r="F85" s="87">
        <v>0</v>
      </c>
      <c r="G85" s="47">
        <f t="shared" si="4"/>
        <v>0</v>
      </c>
      <c r="H85" s="88"/>
      <c r="I85" s="22">
        <v>55</v>
      </c>
      <c r="J85" s="82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96</v>
      </c>
      <c r="C86" s="79">
        <f>+'26'!G86</f>
        <v>5</v>
      </c>
      <c r="D86" s="87">
        <v>0</v>
      </c>
      <c r="E86" s="47">
        <f t="shared" si="0"/>
        <v>5</v>
      </c>
      <c r="F86" s="87">
        <v>0</v>
      </c>
      <c r="G86" s="47">
        <f t="shared" si="4"/>
        <v>4</v>
      </c>
      <c r="H86" s="88">
        <v>1</v>
      </c>
      <c r="I86" s="22">
        <v>100</v>
      </c>
      <c r="J86" s="82">
        <f t="shared" si="5"/>
        <v>100</v>
      </c>
      <c r="K86" s="17" t="s">
        <v>16</v>
      </c>
      <c r="L86" s="18">
        <v>0</v>
      </c>
      <c r="M86" s="23">
        <f t="shared" si="10"/>
        <v>100</v>
      </c>
    </row>
    <row r="87" spans="1:13" ht="25.5" x14ac:dyDescent="0.55000000000000004">
      <c r="A87" s="10">
        <v>83</v>
      </c>
      <c r="B87" s="19" t="s">
        <v>97</v>
      </c>
      <c r="C87" s="79">
        <f>+'26'!G87</f>
        <v>12</v>
      </c>
      <c r="D87" s="87">
        <v>0</v>
      </c>
      <c r="E87" s="47">
        <f t="shared" si="0"/>
        <v>12</v>
      </c>
      <c r="F87" s="87">
        <v>0</v>
      </c>
      <c r="G87" s="47">
        <f t="shared" si="4"/>
        <v>11</v>
      </c>
      <c r="H87" s="88">
        <v>1</v>
      </c>
      <c r="I87" s="20">
        <v>55</v>
      </c>
      <c r="J87" s="82">
        <f t="shared" si="5"/>
        <v>55</v>
      </c>
      <c r="K87" s="17" t="s">
        <v>16</v>
      </c>
      <c r="L87" s="18">
        <v>0</v>
      </c>
      <c r="M87" s="23">
        <f t="shared" si="10"/>
        <v>55</v>
      </c>
    </row>
    <row r="88" spans="1:13" ht="25.5" x14ac:dyDescent="0.55000000000000004">
      <c r="A88" s="10">
        <v>84</v>
      </c>
      <c r="B88" s="19" t="s">
        <v>98</v>
      </c>
      <c r="C88" s="79">
        <f>+'26'!G88</f>
        <v>7</v>
      </c>
      <c r="D88" s="87">
        <v>0</v>
      </c>
      <c r="E88" s="47">
        <f t="shared" si="0"/>
        <v>7</v>
      </c>
      <c r="F88" s="87">
        <v>0</v>
      </c>
      <c r="G88" s="47">
        <f t="shared" si="4"/>
        <v>7</v>
      </c>
      <c r="H88" s="88"/>
      <c r="I88" s="20">
        <v>60</v>
      </c>
      <c r="J88" s="82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99</v>
      </c>
      <c r="C89" s="79">
        <f>+'26'!G89</f>
        <v>5</v>
      </c>
      <c r="D89" s="87">
        <v>0</v>
      </c>
      <c r="E89" s="47">
        <f t="shared" si="0"/>
        <v>5</v>
      </c>
      <c r="F89" s="87">
        <v>0</v>
      </c>
      <c r="G89" s="47">
        <f t="shared" si="4"/>
        <v>5</v>
      </c>
      <c r="H89" s="88"/>
      <c r="I89" s="20">
        <v>100</v>
      </c>
      <c r="J89" s="82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100</v>
      </c>
      <c r="C90" s="79">
        <f>+'26'!G90</f>
        <v>4</v>
      </c>
      <c r="D90" s="87">
        <v>0</v>
      </c>
      <c r="E90" s="47">
        <f t="shared" si="0"/>
        <v>4</v>
      </c>
      <c r="F90" s="87">
        <v>0</v>
      </c>
      <c r="G90" s="47">
        <f t="shared" si="4"/>
        <v>4</v>
      </c>
      <c r="H90" s="88"/>
      <c r="I90" s="20">
        <v>55</v>
      </c>
      <c r="J90" s="82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101</v>
      </c>
      <c r="C91" s="79">
        <f>+'26'!G91</f>
        <v>0</v>
      </c>
      <c r="D91" s="87">
        <v>0</v>
      </c>
      <c r="E91" s="47">
        <f t="shared" si="0"/>
        <v>0</v>
      </c>
      <c r="F91" s="87">
        <v>0</v>
      </c>
      <c r="G91" s="47">
        <f t="shared" si="4"/>
        <v>0</v>
      </c>
      <c r="H91" s="88"/>
      <c r="I91" s="20">
        <v>50</v>
      </c>
      <c r="J91" s="82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102</v>
      </c>
      <c r="C92" s="79">
        <f>+'26'!G92</f>
        <v>0</v>
      </c>
      <c r="D92" s="87">
        <v>0</v>
      </c>
      <c r="E92" s="47">
        <f t="shared" si="0"/>
        <v>0</v>
      </c>
      <c r="F92" s="87">
        <v>0</v>
      </c>
      <c r="G92" s="47">
        <f t="shared" si="4"/>
        <v>0</v>
      </c>
      <c r="H92" s="88"/>
      <c r="I92" s="22">
        <v>50</v>
      </c>
      <c r="J92" s="82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248</v>
      </c>
      <c r="C93" s="79">
        <f>+'26'!G93</f>
        <v>0</v>
      </c>
      <c r="D93" s="87">
        <v>0</v>
      </c>
      <c r="E93" s="47">
        <f t="shared" si="0"/>
        <v>0</v>
      </c>
      <c r="F93" s="87">
        <v>0</v>
      </c>
      <c r="G93" s="47">
        <f t="shared" si="4"/>
        <v>0</v>
      </c>
      <c r="H93" s="88"/>
      <c r="I93" s="22">
        <v>120</v>
      </c>
      <c r="J93" s="82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104</v>
      </c>
      <c r="C94" s="79">
        <f>+'26'!G94</f>
        <v>0</v>
      </c>
      <c r="D94" s="87">
        <v>0</v>
      </c>
      <c r="E94" s="47">
        <f t="shared" si="0"/>
        <v>0</v>
      </c>
      <c r="F94" s="87">
        <v>0</v>
      </c>
      <c r="G94" s="47">
        <f t="shared" si="4"/>
        <v>0</v>
      </c>
      <c r="H94" s="88"/>
      <c r="I94" s="20">
        <v>250</v>
      </c>
      <c r="J94" s="82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105</v>
      </c>
      <c r="C95" s="79">
        <f>+'26'!G95</f>
        <v>0</v>
      </c>
      <c r="D95" s="87">
        <v>0</v>
      </c>
      <c r="E95" s="47">
        <f t="shared" si="0"/>
        <v>0</v>
      </c>
      <c r="F95" s="87">
        <v>0</v>
      </c>
      <c r="G95" s="47">
        <f t="shared" si="4"/>
        <v>0</v>
      </c>
      <c r="H95" s="88"/>
      <c r="I95" s="20">
        <v>120</v>
      </c>
      <c r="J95" s="82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106</v>
      </c>
      <c r="C96" s="79">
        <f>+'26'!G96</f>
        <v>0</v>
      </c>
      <c r="D96" s="87">
        <v>0</v>
      </c>
      <c r="E96" s="47">
        <f t="shared" si="0"/>
        <v>0</v>
      </c>
      <c r="F96" s="87">
        <v>0</v>
      </c>
      <c r="G96" s="47">
        <f t="shared" si="4"/>
        <v>0</v>
      </c>
      <c r="H96" s="88"/>
      <c r="I96" s="20">
        <v>120</v>
      </c>
      <c r="J96" s="82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107</v>
      </c>
      <c r="C97" s="79">
        <f>+'26'!G97</f>
        <v>0</v>
      </c>
      <c r="D97" s="87">
        <v>0</v>
      </c>
      <c r="E97" s="47">
        <f t="shared" si="0"/>
        <v>0</v>
      </c>
      <c r="F97" s="87">
        <v>0</v>
      </c>
      <c r="G97" s="47">
        <f t="shared" si="4"/>
        <v>0</v>
      </c>
      <c r="H97" s="88"/>
      <c r="I97" s="20">
        <v>120</v>
      </c>
      <c r="J97" s="82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103</v>
      </c>
      <c r="C98" s="79">
        <f>+'26'!G98</f>
        <v>0</v>
      </c>
      <c r="D98" s="87">
        <v>0</v>
      </c>
      <c r="E98" s="47">
        <f t="shared" si="0"/>
        <v>0</v>
      </c>
      <c r="F98" s="87">
        <v>0</v>
      </c>
      <c r="G98" s="47">
        <f t="shared" si="4"/>
        <v>0</v>
      </c>
      <c r="H98" s="88"/>
      <c r="I98" s="20">
        <v>120</v>
      </c>
      <c r="J98" s="82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109</v>
      </c>
      <c r="C99" s="79">
        <f>+'26'!G99</f>
        <v>0</v>
      </c>
      <c r="D99" s="87">
        <v>0</v>
      </c>
      <c r="E99" s="47">
        <f t="shared" si="0"/>
        <v>0</v>
      </c>
      <c r="F99" s="87">
        <v>0</v>
      </c>
      <c r="G99" s="47">
        <f t="shared" si="4"/>
        <v>0</v>
      </c>
      <c r="H99" s="88"/>
      <c r="I99" s="20">
        <v>50</v>
      </c>
      <c r="J99" s="82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110</v>
      </c>
      <c r="C100" s="79">
        <f>+'26'!G100</f>
        <v>0</v>
      </c>
      <c r="D100" s="87">
        <v>0</v>
      </c>
      <c r="E100" s="47">
        <f t="shared" si="0"/>
        <v>0</v>
      </c>
      <c r="F100" s="87">
        <v>0</v>
      </c>
      <c r="G100" s="47">
        <f t="shared" si="4"/>
        <v>0</v>
      </c>
      <c r="H100" s="88"/>
      <c r="I100" s="20">
        <v>50</v>
      </c>
      <c r="J100" s="82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111</v>
      </c>
      <c r="C101" s="79">
        <f>+'26'!G101</f>
        <v>0</v>
      </c>
      <c r="D101" s="87">
        <v>0</v>
      </c>
      <c r="E101" s="47">
        <f t="shared" si="0"/>
        <v>0</v>
      </c>
      <c r="F101" s="87">
        <v>0</v>
      </c>
      <c r="G101" s="47">
        <f t="shared" ref="G101:G164" si="11">+E101-F101-H101</f>
        <v>0</v>
      </c>
      <c r="H101" s="88"/>
      <c r="I101" s="20">
        <v>60</v>
      </c>
      <c r="J101" s="82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112</v>
      </c>
      <c r="C102" s="79">
        <f>+'26'!G102</f>
        <v>0</v>
      </c>
      <c r="D102" s="87">
        <v>0</v>
      </c>
      <c r="E102" s="47">
        <f t="shared" si="0"/>
        <v>0</v>
      </c>
      <c r="F102" s="87">
        <v>0</v>
      </c>
      <c r="G102" s="47">
        <f t="shared" si="11"/>
        <v>0</v>
      </c>
      <c r="H102" s="88"/>
      <c r="I102" s="20">
        <v>55</v>
      </c>
      <c r="J102" s="82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113</v>
      </c>
      <c r="C103" s="79">
        <f>+'26'!G103</f>
        <v>0</v>
      </c>
      <c r="D103" s="87">
        <v>0</v>
      </c>
      <c r="E103" s="47">
        <f t="shared" si="0"/>
        <v>0</v>
      </c>
      <c r="F103" s="87">
        <v>0</v>
      </c>
      <c r="G103" s="47">
        <f t="shared" si="11"/>
        <v>0</v>
      </c>
      <c r="H103" s="88"/>
      <c r="I103" s="20">
        <v>50</v>
      </c>
      <c r="J103" s="82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114</v>
      </c>
      <c r="C104" s="79">
        <f>+'26'!G104</f>
        <v>0</v>
      </c>
      <c r="D104" s="87">
        <v>0</v>
      </c>
      <c r="E104" s="47">
        <f t="shared" si="0"/>
        <v>0</v>
      </c>
      <c r="F104" s="87">
        <v>0</v>
      </c>
      <c r="G104" s="47">
        <f t="shared" si="11"/>
        <v>0</v>
      </c>
      <c r="H104" s="88"/>
      <c r="I104" s="20">
        <v>100</v>
      </c>
      <c r="J104" s="82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115</v>
      </c>
      <c r="C105" s="79">
        <f>+'26'!G105</f>
        <v>0</v>
      </c>
      <c r="D105" s="87">
        <v>0</v>
      </c>
      <c r="E105" s="47">
        <f t="shared" si="0"/>
        <v>0</v>
      </c>
      <c r="F105" s="87">
        <v>0</v>
      </c>
      <c r="G105" s="47">
        <f t="shared" si="11"/>
        <v>0</v>
      </c>
      <c r="H105" s="88"/>
      <c r="I105" s="20">
        <v>100</v>
      </c>
      <c r="J105" s="82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116</v>
      </c>
      <c r="C106" s="79">
        <f>+'26'!G106</f>
        <v>0</v>
      </c>
      <c r="D106" s="87">
        <v>0</v>
      </c>
      <c r="E106" s="47">
        <f t="shared" si="0"/>
        <v>0</v>
      </c>
      <c r="F106" s="87">
        <v>0</v>
      </c>
      <c r="G106" s="47">
        <f t="shared" si="11"/>
        <v>0</v>
      </c>
      <c r="H106" s="88"/>
      <c r="I106" s="22">
        <v>30</v>
      </c>
      <c r="J106" s="82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117</v>
      </c>
      <c r="C107" s="79">
        <f>+'26'!G107</f>
        <v>0</v>
      </c>
      <c r="D107" s="87">
        <v>0</v>
      </c>
      <c r="E107" s="47">
        <f t="shared" si="0"/>
        <v>0</v>
      </c>
      <c r="F107" s="87">
        <v>0</v>
      </c>
      <c r="G107" s="47">
        <f t="shared" si="11"/>
        <v>0</v>
      </c>
      <c r="H107" s="88"/>
      <c r="I107" s="22">
        <v>20</v>
      </c>
      <c r="J107" s="82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118</v>
      </c>
      <c r="C108" s="79">
        <f>+'26'!G108</f>
        <v>0</v>
      </c>
      <c r="D108" s="87">
        <v>0</v>
      </c>
      <c r="E108" s="47">
        <f t="shared" si="0"/>
        <v>0</v>
      </c>
      <c r="F108" s="87">
        <v>0</v>
      </c>
      <c r="G108" s="47">
        <f t="shared" si="11"/>
        <v>0</v>
      </c>
      <c r="H108" s="88"/>
      <c r="I108" s="20">
        <v>100</v>
      </c>
      <c r="J108" s="82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120</v>
      </c>
      <c r="C109" s="79">
        <f>+'26'!G109</f>
        <v>0</v>
      </c>
      <c r="D109" s="87">
        <v>0</v>
      </c>
      <c r="E109" s="47">
        <f t="shared" si="0"/>
        <v>0</v>
      </c>
      <c r="F109" s="87">
        <v>0</v>
      </c>
      <c r="G109" s="47">
        <f t="shared" si="11"/>
        <v>0</v>
      </c>
      <c r="H109" s="88"/>
      <c r="I109" s="20">
        <v>80</v>
      </c>
      <c r="J109" s="82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121</v>
      </c>
      <c r="C110" s="79">
        <f>+'26'!G110</f>
        <v>0</v>
      </c>
      <c r="D110" s="87">
        <v>0</v>
      </c>
      <c r="E110" s="47">
        <f t="shared" si="0"/>
        <v>0</v>
      </c>
      <c r="F110" s="87">
        <v>0</v>
      </c>
      <c r="G110" s="47">
        <f t="shared" si="11"/>
        <v>0</v>
      </c>
      <c r="H110" s="88"/>
      <c r="I110" s="20">
        <v>60</v>
      </c>
      <c r="J110" s="82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122</v>
      </c>
      <c r="C111" s="79">
        <f>+'26'!G111</f>
        <v>0</v>
      </c>
      <c r="D111" s="87">
        <v>0</v>
      </c>
      <c r="E111" s="47">
        <f t="shared" si="0"/>
        <v>0</v>
      </c>
      <c r="F111" s="87">
        <v>0</v>
      </c>
      <c r="G111" s="47">
        <f t="shared" si="11"/>
        <v>0</v>
      </c>
      <c r="H111" s="88"/>
      <c r="I111" s="20">
        <v>35</v>
      </c>
      <c r="J111" s="82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123</v>
      </c>
      <c r="C112" s="79">
        <f>+'26'!G112</f>
        <v>0</v>
      </c>
      <c r="D112" s="87">
        <v>0</v>
      </c>
      <c r="E112" s="47">
        <f t="shared" si="0"/>
        <v>0</v>
      </c>
      <c r="F112" s="87">
        <v>0</v>
      </c>
      <c r="G112" s="47">
        <f t="shared" si="11"/>
        <v>0</v>
      </c>
      <c r="H112" s="88"/>
      <c r="I112" s="20">
        <v>35</v>
      </c>
      <c r="J112" s="82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124</v>
      </c>
      <c r="C113" s="79">
        <f>+'26'!G113</f>
        <v>0</v>
      </c>
      <c r="D113" s="87">
        <v>0</v>
      </c>
      <c r="E113" s="47">
        <f t="shared" si="0"/>
        <v>0</v>
      </c>
      <c r="F113" s="87">
        <v>0</v>
      </c>
      <c r="G113" s="47">
        <f t="shared" si="11"/>
        <v>0</v>
      </c>
      <c r="H113" s="88"/>
      <c r="I113" s="20">
        <v>35</v>
      </c>
      <c r="J113" s="82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125</v>
      </c>
      <c r="C114" s="79">
        <f>+'26'!G114</f>
        <v>0</v>
      </c>
      <c r="D114" s="87">
        <v>0</v>
      </c>
      <c r="E114" s="47">
        <f t="shared" si="0"/>
        <v>0</v>
      </c>
      <c r="F114" s="87">
        <v>0</v>
      </c>
      <c r="G114" s="47">
        <f t="shared" si="11"/>
        <v>0</v>
      </c>
      <c r="H114" s="88"/>
      <c r="I114" s="20">
        <v>35</v>
      </c>
      <c r="J114" s="82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126</v>
      </c>
      <c r="C115" s="79">
        <f>+'26'!G115</f>
        <v>0</v>
      </c>
      <c r="D115" s="87">
        <v>0</v>
      </c>
      <c r="E115" s="47">
        <f t="shared" si="0"/>
        <v>0</v>
      </c>
      <c r="F115" s="87">
        <v>0</v>
      </c>
      <c r="G115" s="47">
        <f t="shared" si="11"/>
        <v>0</v>
      </c>
      <c r="H115" s="88"/>
      <c r="I115" s="20">
        <v>35</v>
      </c>
      <c r="J115" s="82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127</v>
      </c>
      <c r="C116" s="79">
        <f>+'26'!G116</f>
        <v>0</v>
      </c>
      <c r="D116" s="87">
        <v>0</v>
      </c>
      <c r="E116" s="47">
        <f t="shared" si="0"/>
        <v>0</v>
      </c>
      <c r="F116" s="87">
        <v>0</v>
      </c>
      <c r="G116" s="47">
        <f t="shared" si="11"/>
        <v>0</v>
      </c>
      <c r="H116" s="88"/>
      <c r="I116" s="20">
        <v>30</v>
      </c>
      <c r="J116" s="82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128</v>
      </c>
      <c r="C117" s="79">
        <f>+'26'!G117</f>
        <v>0</v>
      </c>
      <c r="D117" s="87">
        <v>0</v>
      </c>
      <c r="E117" s="47">
        <f t="shared" si="0"/>
        <v>0</v>
      </c>
      <c r="F117" s="87">
        <v>0</v>
      </c>
      <c r="G117" s="47">
        <f t="shared" si="11"/>
        <v>0</v>
      </c>
      <c r="H117" s="88"/>
      <c r="I117" s="20">
        <v>30</v>
      </c>
      <c r="J117" s="82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129</v>
      </c>
      <c r="C118" s="79">
        <f>+'26'!G118</f>
        <v>0</v>
      </c>
      <c r="D118" s="87">
        <v>0</v>
      </c>
      <c r="E118" s="47">
        <f t="shared" si="0"/>
        <v>0</v>
      </c>
      <c r="F118" s="87">
        <v>0</v>
      </c>
      <c r="G118" s="47">
        <f t="shared" si="11"/>
        <v>0</v>
      </c>
      <c r="H118" s="88"/>
      <c r="I118" s="20">
        <v>30</v>
      </c>
      <c r="J118" s="82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130</v>
      </c>
      <c r="C119" s="79">
        <f>+'26'!G119</f>
        <v>0</v>
      </c>
      <c r="D119" s="87">
        <v>0</v>
      </c>
      <c r="E119" s="47">
        <f t="shared" si="0"/>
        <v>0</v>
      </c>
      <c r="F119" s="87">
        <v>0</v>
      </c>
      <c r="G119" s="47">
        <f t="shared" si="11"/>
        <v>0</v>
      </c>
      <c r="H119" s="88"/>
      <c r="I119" s="20">
        <v>30</v>
      </c>
      <c r="J119" s="82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131</v>
      </c>
      <c r="C120" s="79">
        <f>+'26'!G120</f>
        <v>0</v>
      </c>
      <c r="D120" s="87">
        <v>0</v>
      </c>
      <c r="E120" s="47">
        <f t="shared" si="0"/>
        <v>0</v>
      </c>
      <c r="F120" s="87">
        <v>0</v>
      </c>
      <c r="G120" s="47">
        <f t="shared" si="11"/>
        <v>0</v>
      </c>
      <c r="H120" s="88"/>
      <c r="I120" s="20">
        <v>30</v>
      </c>
      <c r="J120" s="82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132</v>
      </c>
      <c r="C121" s="79">
        <f>+'26'!G121</f>
        <v>0</v>
      </c>
      <c r="D121" s="87">
        <v>0</v>
      </c>
      <c r="E121" s="47">
        <f t="shared" si="0"/>
        <v>0</v>
      </c>
      <c r="F121" s="87">
        <v>0</v>
      </c>
      <c r="G121" s="47">
        <f t="shared" si="11"/>
        <v>0</v>
      </c>
      <c r="H121" s="88"/>
      <c r="I121" s="20">
        <v>30</v>
      </c>
      <c r="J121" s="82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133</v>
      </c>
      <c r="C122" s="79">
        <f>+'26'!G122</f>
        <v>0</v>
      </c>
      <c r="D122" s="87">
        <v>0</v>
      </c>
      <c r="E122" s="47">
        <f t="shared" si="0"/>
        <v>0</v>
      </c>
      <c r="F122" s="87">
        <v>0</v>
      </c>
      <c r="G122" s="47">
        <f t="shared" si="11"/>
        <v>0</v>
      </c>
      <c r="H122" s="88"/>
      <c r="I122" s="20">
        <v>40</v>
      </c>
      <c r="J122" s="82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134</v>
      </c>
      <c r="C123" s="79">
        <f>+'26'!G123</f>
        <v>0</v>
      </c>
      <c r="D123" s="87">
        <v>0</v>
      </c>
      <c r="E123" s="47">
        <f t="shared" si="0"/>
        <v>0</v>
      </c>
      <c r="F123" s="87">
        <v>0</v>
      </c>
      <c r="G123" s="47">
        <f t="shared" si="11"/>
        <v>0</v>
      </c>
      <c r="H123" s="88"/>
      <c r="I123" s="20">
        <v>35</v>
      </c>
      <c r="J123" s="82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135</v>
      </c>
      <c r="C124" s="79">
        <f>+'26'!G124</f>
        <v>0</v>
      </c>
      <c r="D124" s="87">
        <v>0</v>
      </c>
      <c r="E124" s="47">
        <f t="shared" si="0"/>
        <v>0</v>
      </c>
      <c r="F124" s="87">
        <v>0</v>
      </c>
      <c r="G124" s="47">
        <f t="shared" si="11"/>
        <v>0</v>
      </c>
      <c r="H124" s="88"/>
      <c r="I124" s="20">
        <v>40</v>
      </c>
      <c r="J124" s="82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136</v>
      </c>
      <c r="C125" s="79">
        <f>+'26'!G125</f>
        <v>0</v>
      </c>
      <c r="D125" s="87">
        <v>0</v>
      </c>
      <c r="E125" s="47">
        <f t="shared" si="0"/>
        <v>0</v>
      </c>
      <c r="F125" s="87">
        <v>0</v>
      </c>
      <c r="G125" s="47">
        <f t="shared" si="11"/>
        <v>0</v>
      </c>
      <c r="H125" s="88"/>
      <c r="I125" s="20">
        <v>40</v>
      </c>
      <c r="J125" s="82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137</v>
      </c>
      <c r="C126" s="79">
        <f>+'26'!G126</f>
        <v>0</v>
      </c>
      <c r="D126" s="87">
        <v>0</v>
      </c>
      <c r="E126" s="47">
        <f t="shared" ref="E126:E189" si="13">C126+D126</f>
        <v>0</v>
      </c>
      <c r="F126" s="87">
        <v>0</v>
      </c>
      <c r="G126" s="47">
        <f t="shared" si="11"/>
        <v>0</v>
      </c>
      <c r="H126" s="88"/>
      <c r="I126" s="20">
        <v>30</v>
      </c>
      <c r="J126" s="82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138</v>
      </c>
      <c r="C127" s="79">
        <f>+'26'!G127</f>
        <v>0</v>
      </c>
      <c r="D127" s="87">
        <v>0</v>
      </c>
      <c r="E127" s="47">
        <f t="shared" si="13"/>
        <v>0</v>
      </c>
      <c r="F127" s="87">
        <v>0</v>
      </c>
      <c r="G127" s="47">
        <f t="shared" si="11"/>
        <v>0</v>
      </c>
      <c r="H127" s="88"/>
      <c r="I127" s="20">
        <v>40</v>
      </c>
      <c r="J127" s="82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139</v>
      </c>
      <c r="C128" s="79">
        <f>+'26'!G128</f>
        <v>74</v>
      </c>
      <c r="D128" s="87">
        <v>0</v>
      </c>
      <c r="E128" s="47">
        <f t="shared" si="13"/>
        <v>74</v>
      </c>
      <c r="F128" s="87">
        <v>0</v>
      </c>
      <c r="G128" s="47">
        <f t="shared" si="11"/>
        <v>74</v>
      </c>
      <c r="H128" s="88"/>
      <c r="I128" s="20">
        <v>10</v>
      </c>
      <c r="J128" s="82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140</v>
      </c>
      <c r="C129" s="79">
        <f>+'26'!G129</f>
        <v>0</v>
      </c>
      <c r="D129" s="87">
        <v>0</v>
      </c>
      <c r="E129" s="47">
        <f t="shared" si="13"/>
        <v>0</v>
      </c>
      <c r="F129" s="87">
        <v>0</v>
      </c>
      <c r="G129" s="47">
        <f t="shared" si="11"/>
        <v>0</v>
      </c>
      <c r="H129" s="88"/>
      <c r="I129" s="20">
        <v>35</v>
      </c>
      <c r="J129" s="82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141</v>
      </c>
      <c r="C130" s="79">
        <f>+'26'!G130</f>
        <v>0</v>
      </c>
      <c r="D130" s="87">
        <v>0</v>
      </c>
      <c r="E130" s="47">
        <f t="shared" si="13"/>
        <v>0</v>
      </c>
      <c r="F130" s="87">
        <v>0</v>
      </c>
      <c r="G130" s="47">
        <f t="shared" si="11"/>
        <v>0</v>
      </c>
      <c r="H130" s="88"/>
      <c r="I130" s="20">
        <v>40</v>
      </c>
      <c r="J130" s="82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142</v>
      </c>
      <c r="C131" s="79">
        <f>+'26'!G131</f>
        <v>0</v>
      </c>
      <c r="D131" s="87">
        <v>0</v>
      </c>
      <c r="E131" s="47">
        <f t="shared" si="13"/>
        <v>0</v>
      </c>
      <c r="F131" s="87">
        <v>0</v>
      </c>
      <c r="G131" s="47">
        <f t="shared" si="11"/>
        <v>0</v>
      </c>
      <c r="H131" s="88"/>
      <c r="I131" s="20">
        <v>50</v>
      </c>
      <c r="J131" s="82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143</v>
      </c>
      <c r="C132" s="79">
        <f>+'26'!G132</f>
        <v>0</v>
      </c>
      <c r="D132" s="87">
        <v>0</v>
      </c>
      <c r="E132" s="47">
        <f t="shared" si="13"/>
        <v>0</v>
      </c>
      <c r="F132" s="87">
        <v>0</v>
      </c>
      <c r="G132" s="47">
        <f t="shared" si="11"/>
        <v>0</v>
      </c>
      <c r="H132" s="88"/>
      <c r="I132" s="20">
        <v>55</v>
      </c>
      <c r="J132" s="82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144</v>
      </c>
      <c r="C133" s="79">
        <f>+'26'!G133</f>
        <v>0</v>
      </c>
      <c r="D133" s="87">
        <v>0</v>
      </c>
      <c r="E133" s="47">
        <f t="shared" si="13"/>
        <v>0</v>
      </c>
      <c r="F133" s="87">
        <v>0</v>
      </c>
      <c r="G133" s="47">
        <f t="shared" si="11"/>
        <v>0</v>
      </c>
      <c r="H133" s="88"/>
      <c r="I133" s="20">
        <v>55</v>
      </c>
      <c r="J133" s="82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145</v>
      </c>
      <c r="C134" s="79">
        <f>+'26'!G134</f>
        <v>0</v>
      </c>
      <c r="D134" s="87">
        <v>0</v>
      </c>
      <c r="E134" s="47">
        <f t="shared" si="13"/>
        <v>0</v>
      </c>
      <c r="F134" s="87">
        <v>0</v>
      </c>
      <c r="G134" s="47">
        <f t="shared" si="11"/>
        <v>0</v>
      </c>
      <c r="H134" s="88"/>
      <c r="I134" s="20">
        <v>45</v>
      </c>
      <c r="J134" s="82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5.5" x14ac:dyDescent="0.55000000000000004">
      <c r="A135" s="10">
        <v>131</v>
      </c>
      <c r="B135" s="19" t="s">
        <v>146</v>
      </c>
      <c r="C135" s="79">
        <f>+'26'!G135</f>
        <v>0</v>
      </c>
      <c r="D135" s="87">
        <v>0</v>
      </c>
      <c r="E135" s="47">
        <f t="shared" si="13"/>
        <v>0</v>
      </c>
      <c r="F135" s="87">
        <v>0</v>
      </c>
      <c r="G135" s="47">
        <f t="shared" si="11"/>
        <v>0</v>
      </c>
      <c r="H135" s="88"/>
      <c r="I135" s="20">
        <v>45</v>
      </c>
      <c r="J135" s="82">
        <f t="shared" si="12"/>
        <v>0</v>
      </c>
      <c r="K135" s="17" t="s">
        <v>16</v>
      </c>
      <c r="L135" s="18">
        <v>0</v>
      </c>
      <c r="M135" s="23">
        <f t="shared" ref="M135:M198" si="14">SUM(J135-L135)</f>
        <v>0</v>
      </c>
    </row>
    <row r="136" spans="1:13" ht="25.5" x14ac:dyDescent="0.55000000000000004">
      <c r="A136" s="10">
        <v>132</v>
      </c>
      <c r="B136" s="19" t="s">
        <v>147</v>
      </c>
      <c r="C136" s="79">
        <f>+'26'!G136</f>
        <v>0</v>
      </c>
      <c r="D136" s="87">
        <v>0</v>
      </c>
      <c r="E136" s="47">
        <f t="shared" si="13"/>
        <v>0</v>
      </c>
      <c r="F136" s="87">
        <v>0</v>
      </c>
      <c r="G136" s="47">
        <f t="shared" si="11"/>
        <v>0</v>
      </c>
      <c r="H136" s="88"/>
      <c r="I136" s="20">
        <v>55</v>
      </c>
      <c r="J136" s="82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148</v>
      </c>
      <c r="C137" s="79">
        <f>+'26'!G137</f>
        <v>0</v>
      </c>
      <c r="D137" s="87">
        <v>0</v>
      </c>
      <c r="E137" s="47">
        <f t="shared" si="13"/>
        <v>0</v>
      </c>
      <c r="F137" s="87">
        <v>0</v>
      </c>
      <c r="G137" s="47">
        <f t="shared" si="11"/>
        <v>0</v>
      </c>
      <c r="H137" s="88"/>
      <c r="I137" s="20">
        <v>45</v>
      </c>
      <c r="J137" s="82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149</v>
      </c>
      <c r="C138" s="79">
        <f>+'26'!G138</f>
        <v>0</v>
      </c>
      <c r="D138" s="87">
        <v>0</v>
      </c>
      <c r="E138" s="47">
        <f t="shared" si="13"/>
        <v>0</v>
      </c>
      <c r="F138" s="87">
        <v>0</v>
      </c>
      <c r="G138" s="47">
        <f t="shared" si="11"/>
        <v>0</v>
      </c>
      <c r="H138" s="88"/>
      <c r="I138" s="20">
        <v>45</v>
      </c>
      <c r="J138" s="82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150</v>
      </c>
      <c r="C139" s="79">
        <f>+'26'!G139</f>
        <v>0</v>
      </c>
      <c r="D139" s="87">
        <v>0</v>
      </c>
      <c r="E139" s="47">
        <f t="shared" si="13"/>
        <v>0</v>
      </c>
      <c r="F139" s="87">
        <v>0</v>
      </c>
      <c r="G139" s="47">
        <f t="shared" si="11"/>
        <v>0</v>
      </c>
      <c r="H139" s="88"/>
      <c r="I139" s="20">
        <v>45</v>
      </c>
      <c r="J139" s="82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151</v>
      </c>
      <c r="C140" s="79">
        <f>+'26'!G140</f>
        <v>0</v>
      </c>
      <c r="D140" s="87">
        <v>0</v>
      </c>
      <c r="E140" s="47">
        <f t="shared" si="13"/>
        <v>0</v>
      </c>
      <c r="F140" s="87">
        <v>0</v>
      </c>
      <c r="G140" s="47">
        <f t="shared" si="11"/>
        <v>0</v>
      </c>
      <c r="H140" s="88"/>
      <c r="I140" s="20">
        <v>45</v>
      </c>
      <c r="J140" s="82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152</v>
      </c>
      <c r="C141" s="79">
        <f>+'26'!G141</f>
        <v>0</v>
      </c>
      <c r="D141" s="87">
        <v>0</v>
      </c>
      <c r="E141" s="47">
        <f t="shared" si="13"/>
        <v>0</v>
      </c>
      <c r="F141" s="87">
        <v>0</v>
      </c>
      <c r="G141" s="47">
        <f t="shared" si="11"/>
        <v>0</v>
      </c>
      <c r="H141" s="88"/>
      <c r="I141" s="20">
        <v>45</v>
      </c>
      <c r="J141" s="82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153</v>
      </c>
      <c r="C142" s="79">
        <f>+'26'!G142</f>
        <v>0</v>
      </c>
      <c r="D142" s="87">
        <v>0</v>
      </c>
      <c r="E142" s="47">
        <f t="shared" si="13"/>
        <v>0</v>
      </c>
      <c r="F142" s="87">
        <v>0</v>
      </c>
      <c r="G142" s="47">
        <f t="shared" si="11"/>
        <v>0</v>
      </c>
      <c r="H142" s="88"/>
      <c r="I142" s="20">
        <v>45</v>
      </c>
      <c r="J142" s="82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154</v>
      </c>
      <c r="C143" s="79">
        <f>+'26'!G143</f>
        <v>0</v>
      </c>
      <c r="D143" s="87">
        <v>0</v>
      </c>
      <c r="E143" s="47">
        <f t="shared" si="13"/>
        <v>0</v>
      </c>
      <c r="F143" s="87">
        <v>0</v>
      </c>
      <c r="G143" s="47">
        <f t="shared" si="11"/>
        <v>0</v>
      </c>
      <c r="H143" s="88"/>
      <c r="I143" s="20">
        <v>120</v>
      </c>
      <c r="J143" s="82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155</v>
      </c>
      <c r="C144" s="79">
        <f>+'26'!G144</f>
        <v>0</v>
      </c>
      <c r="D144" s="87">
        <v>0</v>
      </c>
      <c r="E144" s="47">
        <f t="shared" si="13"/>
        <v>0</v>
      </c>
      <c r="F144" s="87">
        <v>0</v>
      </c>
      <c r="G144" s="47">
        <f t="shared" si="11"/>
        <v>0</v>
      </c>
      <c r="H144" s="88"/>
      <c r="I144" s="20">
        <v>120</v>
      </c>
      <c r="J144" s="82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156</v>
      </c>
      <c r="C145" s="79">
        <f>+'26'!G145</f>
        <v>0</v>
      </c>
      <c r="D145" s="87">
        <v>0</v>
      </c>
      <c r="E145" s="47">
        <f t="shared" si="13"/>
        <v>0</v>
      </c>
      <c r="F145" s="87">
        <v>0</v>
      </c>
      <c r="G145" s="47">
        <f t="shared" si="11"/>
        <v>0</v>
      </c>
      <c r="H145" s="88"/>
      <c r="I145" s="20">
        <v>120</v>
      </c>
      <c r="J145" s="82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157</v>
      </c>
      <c r="C146" s="79">
        <f>+'26'!G146</f>
        <v>0</v>
      </c>
      <c r="D146" s="87">
        <v>0</v>
      </c>
      <c r="E146" s="47">
        <f t="shared" si="13"/>
        <v>0</v>
      </c>
      <c r="F146" s="87">
        <v>0</v>
      </c>
      <c r="G146" s="47">
        <f t="shared" si="11"/>
        <v>0</v>
      </c>
      <c r="H146" s="88"/>
      <c r="I146" s="20">
        <v>120</v>
      </c>
      <c r="J146" s="82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158</v>
      </c>
      <c r="C147" s="79">
        <f>+'26'!G147</f>
        <v>0</v>
      </c>
      <c r="D147" s="87">
        <v>0</v>
      </c>
      <c r="E147" s="47">
        <f t="shared" si="13"/>
        <v>0</v>
      </c>
      <c r="F147" s="87">
        <v>0</v>
      </c>
      <c r="G147" s="47">
        <f t="shared" si="11"/>
        <v>0</v>
      </c>
      <c r="H147" s="88"/>
      <c r="I147" s="20">
        <v>185</v>
      </c>
      <c r="J147" s="82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159</v>
      </c>
      <c r="C148" s="79">
        <f>+'26'!G148</f>
        <v>0</v>
      </c>
      <c r="D148" s="87">
        <v>0</v>
      </c>
      <c r="E148" s="47">
        <f t="shared" si="13"/>
        <v>0</v>
      </c>
      <c r="F148" s="87">
        <v>0</v>
      </c>
      <c r="G148" s="47">
        <f t="shared" si="11"/>
        <v>0</v>
      </c>
      <c r="H148" s="88"/>
      <c r="I148" s="20">
        <v>185</v>
      </c>
      <c r="J148" s="82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160</v>
      </c>
      <c r="C149" s="79">
        <f>+'26'!G149</f>
        <v>0</v>
      </c>
      <c r="D149" s="87">
        <v>0</v>
      </c>
      <c r="E149" s="47">
        <f t="shared" si="13"/>
        <v>0</v>
      </c>
      <c r="F149" s="87">
        <v>0</v>
      </c>
      <c r="G149" s="47">
        <f t="shared" si="11"/>
        <v>0</v>
      </c>
      <c r="H149" s="88"/>
      <c r="I149" s="20">
        <v>185</v>
      </c>
      <c r="J149" s="82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161</v>
      </c>
      <c r="C150" s="79">
        <f>+'26'!G150</f>
        <v>0</v>
      </c>
      <c r="D150" s="87">
        <v>0</v>
      </c>
      <c r="E150" s="47">
        <f t="shared" si="13"/>
        <v>0</v>
      </c>
      <c r="F150" s="87">
        <v>0</v>
      </c>
      <c r="G150" s="47">
        <f t="shared" si="11"/>
        <v>0</v>
      </c>
      <c r="H150" s="88"/>
      <c r="I150" s="20">
        <v>185</v>
      </c>
      <c r="J150" s="82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5.5" x14ac:dyDescent="0.55000000000000004">
      <c r="A151" s="10">
        <v>147</v>
      </c>
      <c r="B151" s="19" t="s">
        <v>279</v>
      </c>
      <c r="C151" s="79">
        <f>+'26'!G151</f>
        <v>0</v>
      </c>
      <c r="D151" s="87">
        <v>0</v>
      </c>
      <c r="E151" s="47">
        <f t="shared" si="13"/>
        <v>0</v>
      </c>
      <c r="F151" s="87">
        <v>0</v>
      </c>
      <c r="G151" s="47">
        <f t="shared" si="11"/>
        <v>0</v>
      </c>
      <c r="H151" s="88"/>
      <c r="I151" s="20">
        <v>150</v>
      </c>
      <c r="J151" s="82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280</v>
      </c>
      <c r="C152" s="79">
        <f>+'26'!G152</f>
        <v>1</v>
      </c>
      <c r="D152" s="87">
        <v>0</v>
      </c>
      <c r="E152" s="47">
        <f t="shared" si="13"/>
        <v>1</v>
      </c>
      <c r="F152" s="87">
        <v>0</v>
      </c>
      <c r="G152" s="47">
        <f t="shared" si="11"/>
        <v>1</v>
      </c>
      <c r="H152" s="88"/>
      <c r="I152" s="20">
        <v>150</v>
      </c>
      <c r="J152" s="82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5.5" x14ac:dyDescent="0.55000000000000004">
      <c r="A153" s="10">
        <v>149</v>
      </c>
      <c r="B153" s="19" t="s">
        <v>281</v>
      </c>
      <c r="C153" s="79">
        <f>+'26'!G153</f>
        <v>0</v>
      </c>
      <c r="D153" s="87">
        <v>0</v>
      </c>
      <c r="E153" s="47">
        <f t="shared" si="13"/>
        <v>0</v>
      </c>
      <c r="F153" s="87">
        <v>0</v>
      </c>
      <c r="G153" s="47">
        <f t="shared" si="11"/>
        <v>0</v>
      </c>
      <c r="H153" s="88"/>
      <c r="I153" s="20">
        <v>150</v>
      </c>
      <c r="J153" s="82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282</v>
      </c>
      <c r="C154" s="79">
        <f>+'26'!G154</f>
        <v>0</v>
      </c>
      <c r="D154" s="87">
        <v>0</v>
      </c>
      <c r="E154" s="47">
        <f t="shared" si="13"/>
        <v>0</v>
      </c>
      <c r="F154" s="87">
        <v>0</v>
      </c>
      <c r="G154" s="47">
        <f t="shared" si="11"/>
        <v>0</v>
      </c>
      <c r="H154" s="88"/>
      <c r="I154" s="20">
        <v>150</v>
      </c>
      <c r="J154" s="82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166</v>
      </c>
      <c r="C155" s="79">
        <f>+'26'!G155</f>
        <v>0</v>
      </c>
      <c r="D155" s="87">
        <v>0</v>
      </c>
      <c r="E155" s="47">
        <f t="shared" si="13"/>
        <v>0</v>
      </c>
      <c r="F155" s="87">
        <v>0</v>
      </c>
      <c r="G155" s="47">
        <f t="shared" si="11"/>
        <v>0</v>
      </c>
      <c r="H155" s="88"/>
      <c r="I155" s="20">
        <v>185</v>
      </c>
      <c r="J155" s="82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167</v>
      </c>
      <c r="C156" s="79">
        <f>+'26'!G156</f>
        <v>0</v>
      </c>
      <c r="D156" s="87">
        <v>0</v>
      </c>
      <c r="E156" s="47">
        <f t="shared" si="13"/>
        <v>0</v>
      </c>
      <c r="F156" s="87">
        <v>0</v>
      </c>
      <c r="G156" s="47">
        <f t="shared" si="11"/>
        <v>0</v>
      </c>
      <c r="H156" s="88"/>
      <c r="I156" s="20">
        <v>185</v>
      </c>
      <c r="J156" s="82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168</v>
      </c>
      <c r="C157" s="79">
        <f>+'26'!G157</f>
        <v>0</v>
      </c>
      <c r="D157" s="87">
        <v>0</v>
      </c>
      <c r="E157" s="47">
        <f t="shared" si="13"/>
        <v>0</v>
      </c>
      <c r="F157" s="87">
        <v>0</v>
      </c>
      <c r="G157" s="47">
        <f t="shared" si="11"/>
        <v>0</v>
      </c>
      <c r="H157" s="88"/>
      <c r="I157" s="20">
        <v>185</v>
      </c>
      <c r="J157" s="82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169</v>
      </c>
      <c r="C158" s="79">
        <f>+'26'!G158</f>
        <v>0</v>
      </c>
      <c r="D158" s="87">
        <v>0</v>
      </c>
      <c r="E158" s="47">
        <f t="shared" si="13"/>
        <v>0</v>
      </c>
      <c r="F158" s="87">
        <v>0</v>
      </c>
      <c r="G158" s="47">
        <f t="shared" si="11"/>
        <v>0</v>
      </c>
      <c r="H158" s="88"/>
      <c r="I158" s="20">
        <v>185</v>
      </c>
      <c r="J158" s="82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170</v>
      </c>
      <c r="C159" s="79">
        <f>+'26'!G159</f>
        <v>0</v>
      </c>
      <c r="D159" s="87">
        <v>0</v>
      </c>
      <c r="E159" s="47">
        <f t="shared" si="13"/>
        <v>0</v>
      </c>
      <c r="F159" s="87">
        <v>0</v>
      </c>
      <c r="G159" s="47">
        <f t="shared" si="11"/>
        <v>0</v>
      </c>
      <c r="H159" s="88"/>
      <c r="I159" s="20">
        <v>135</v>
      </c>
      <c r="J159" s="82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171</v>
      </c>
      <c r="C160" s="79">
        <f>+'26'!G160</f>
        <v>0</v>
      </c>
      <c r="D160" s="87">
        <v>0</v>
      </c>
      <c r="E160" s="47">
        <f t="shared" si="13"/>
        <v>0</v>
      </c>
      <c r="F160" s="87">
        <v>0</v>
      </c>
      <c r="G160" s="47">
        <f t="shared" si="11"/>
        <v>0</v>
      </c>
      <c r="H160" s="88"/>
      <c r="I160" s="20">
        <v>90</v>
      </c>
      <c r="J160" s="82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172</v>
      </c>
      <c r="C161" s="79">
        <f>+'26'!G161</f>
        <v>0</v>
      </c>
      <c r="D161" s="87">
        <v>0</v>
      </c>
      <c r="E161" s="47">
        <f t="shared" si="13"/>
        <v>0</v>
      </c>
      <c r="F161" s="87">
        <v>0</v>
      </c>
      <c r="G161" s="47">
        <f t="shared" si="11"/>
        <v>0</v>
      </c>
      <c r="H161" s="88"/>
      <c r="I161" s="20">
        <v>90</v>
      </c>
      <c r="J161" s="82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173</v>
      </c>
      <c r="C162" s="79">
        <f>+'26'!G162</f>
        <v>0</v>
      </c>
      <c r="D162" s="87">
        <v>0</v>
      </c>
      <c r="E162" s="47">
        <f t="shared" si="13"/>
        <v>0</v>
      </c>
      <c r="F162" s="87">
        <v>0</v>
      </c>
      <c r="G162" s="47">
        <f t="shared" si="11"/>
        <v>0</v>
      </c>
      <c r="H162" s="88"/>
      <c r="I162" s="20">
        <v>90</v>
      </c>
      <c r="J162" s="82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174</v>
      </c>
      <c r="C163" s="79">
        <f>+'26'!G163</f>
        <v>0</v>
      </c>
      <c r="D163" s="87">
        <v>0</v>
      </c>
      <c r="E163" s="47">
        <f t="shared" si="13"/>
        <v>0</v>
      </c>
      <c r="F163" s="87">
        <v>0</v>
      </c>
      <c r="G163" s="47">
        <f t="shared" si="11"/>
        <v>0</v>
      </c>
      <c r="H163" s="88"/>
      <c r="I163" s="20">
        <v>90</v>
      </c>
      <c r="J163" s="82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175</v>
      </c>
      <c r="C164" s="79">
        <f>+'26'!G164</f>
        <v>0</v>
      </c>
      <c r="D164" s="87">
        <v>0</v>
      </c>
      <c r="E164" s="47">
        <f t="shared" si="13"/>
        <v>0</v>
      </c>
      <c r="F164" s="87">
        <v>0</v>
      </c>
      <c r="G164" s="47">
        <f t="shared" si="11"/>
        <v>0</v>
      </c>
      <c r="H164" s="88"/>
      <c r="I164" s="20">
        <v>25</v>
      </c>
      <c r="J164" s="82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176</v>
      </c>
      <c r="C165" s="79">
        <f>+'26'!G165</f>
        <v>0</v>
      </c>
      <c r="D165" s="87">
        <v>0</v>
      </c>
      <c r="E165" s="47">
        <f t="shared" si="13"/>
        <v>0</v>
      </c>
      <c r="F165" s="87">
        <v>0</v>
      </c>
      <c r="G165" s="47">
        <f t="shared" ref="G165:G227" si="15">+E165-F165-H165</f>
        <v>0</v>
      </c>
      <c r="H165" s="88"/>
      <c r="I165" s="20">
        <v>50</v>
      </c>
      <c r="J165" s="82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177</v>
      </c>
      <c r="C166" s="79">
        <f>+'26'!G166</f>
        <v>0</v>
      </c>
      <c r="D166" s="87">
        <v>0</v>
      </c>
      <c r="E166" s="47">
        <f t="shared" si="13"/>
        <v>0</v>
      </c>
      <c r="F166" s="87">
        <v>0</v>
      </c>
      <c r="G166" s="47">
        <f t="shared" si="15"/>
        <v>0</v>
      </c>
      <c r="H166" s="88"/>
      <c r="I166" s="20">
        <v>50</v>
      </c>
      <c r="J166" s="82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178</v>
      </c>
      <c r="C167" s="79">
        <f>+'26'!G167</f>
        <v>0</v>
      </c>
      <c r="D167" s="87">
        <v>0</v>
      </c>
      <c r="E167" s="47">
        <f t="shared" si="13"/>
        <v>0</v>
      </c>
      <c r="F167" s="87">
        <v>0</v>
      </c>
      <c r="G167" s="47">
        <f t="shared" si="15"/>
        <v>0</v>
      </c>
      <c r="H167" s="88"/>
      <c r="I167" s="20">
        <v>50</v>
      </c>
      <c r="J167" s="82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179</v>
      </c>
      <c r="C168" s="79">
        <f>+'26'!G168</f>
        <v>0</v>
      </c>
      <c r="D168" s="87">
        <v>0</v>
      </c>
      <c r="E168" s="47">
        <f t="shared" si="13"/>
        <v>0</v>
      </c>
      <c r="F168" s="87">
        <v>0</v>
      </c>
      <c r="G168" s="47">
        <f t="shared" si="15"/>
        <v>0</v>
      </c>
      <c r="H168" s="88"/>
      <c r="I168" s="20">
        <v>50</v>
      </c>
      <c r="J168" s="82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180</v>
      </c>
      <c r="C169" s="79">
        <f>+'26'!G169</f>
        <v>38</v>
      </c>
      <c r="D169" s="87">
        <v>0</v>
      </c>
      <c r="E169" s="47">
        <f t="shared" si="13"/>
        <v>38</v>
      </c>
      <c r="F169" s="87">
        <v>0</v>
      </c>
      <c r="G169" s="47">
        <f t="shared" si="15"/>
        <v>38</v>
      </c>
      <c r="H169" s="88"/>
      <c r="I169" s="20">
        <v>55</v>
      </c>
      <c r="J169" s="82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181</v>
      </c>
      <c r="C170" s="79">
        <f>+'26'!G170</f>
        <v>0</v>
      </c>
      <c r="D170" s="87">
        <v>0</v>
      </c>
      <c r="E170" s="47">
        <f t="shared" si="13"/>
        <v>0</v>
      </c>
      <c r="F170" s="87">
        <v>0</v>
      </c>
      <c r="G170" s="47">
        <f t="shared" si="15"/>
        <v>0</v>
      </c>
      <c r="H170" s="88"/>
      <c r="I170" s="20">
        <v>85</v>
      </c>
      <c r="J170" s="82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182</v>
      </c>
      <c r="C171" s="79">
        <f>+'26'!G171</f>
        <v>3</v>
      </c>
      <c r="D171" s="87">
        <v>0</v>
      </c>
      <c r="E171" s="47">
        <f t="shared" si="13"/>
        <v>3</v>
      </c>
      <c r="F171" s="87">
        <v>0</v>
      </c>
      <c r="G171" s="47">
        <f t="shared" si="15"/>
        <v>2</v>
      </c>
      <c r="H171" s="88">
        <v>1</v>
      </c>
      <c r="I171" s="20">
        <v>80</v>
      </c>
      <c r="J171" s="82">
        <f t="shared" si="16"/>
        <v>80</v>
      </c>
      <c r="K171" s="17" t="s">
        <v>16</v>
      </c>
      <c r="L171" s="18">
        <v>0</v>
      </c>
      <c r="M171" s="23">
        <f t="shared" si="14"/>
        <v>80</v>
      </c>
    </row>
    <row r="172" spans="1:13" ht="25.5" x14ac:dyDescent="0.55000000000000004">
      <c r="A172" s="10">
        <v>168</v>
      </c>
      <c r="B172" s="19" t="s">
        <v>183</v>
      </c>
      <c r="C172" s="79">
        <f>+'26'!G172</f>
        <v>0</v>
      </c>
      <c r="D172" s="87">
        <v>0</v>
      </c>
      <c r="E172" s="47">
        <f t="shared" si="13"/>
        <v>0</v>
      </c>
      <c r="F172" s="87">
        <v>0</v>
      </c>
      <c r="G172" s="47">
        <f t="shared" si="15"/>
        <v>0</v>
      </c>
      <c r="H172" s="88"/>
      <c r="I172" s="20">
        <v>40</v>
      </c>
      <c r="J172" s="82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184</v>
      </c>
      <c r="C173" s="79">
        <f>+'26'!G173</f>
        <v>0</v>
      </c>
      <c r="D173" s="87">
        <v>0</v>
      </c>
      <c r="E173" s="47">
        <f t="shared" si="13"/>
        <v>0</v>
      </c>
      <c r="F173" s="87">
        <v>0</v>
      </c>
      <c r="G173" s="47">
        <f t="shared" si="15"/>
        <v>0</v>
      </c>
      <c r="H173" s="88"/>
      <c r="I173" s="20">
        <v>120</v>
      </c>
      <c r="J173" s="82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185</v>
      </c>
      <c r="C174" s="79">
        <f>+'26'!G174</f>
        <v>0</v>
      </c>
      <c r="D174" s="87">
        <v>0</v>
      </c>
      <c r="E174" s="47">
        <f t="shared" si="13"/>
        <v>0</v>
      </c>
      <c r="F174" s="87">
        <v>0</v>
      </c>
      <c r="G174" s="47">
        <f t="shared" si="15"/>
        <v>0</v>
      </c>
      <c r="H174" s="88"/>
      <c r="I174" s="20">
        <v>120</v>
      </c>
      <c r="J174" s="82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186</v>
      </c>
      <c r="C175" s="79">
        <f>+'26'!G175</f>
        <v>0</v>
      </c>
      <c r="D175" s="87">
        <v>0</v>
      </c>
      <c r="E175" s="47">
        <f t="shared" si="13"/>
        <v>0</v>
      </c>
      <c r="F175" s="87">
        <v>0</v>
      </c>
      <c r="G175" s="47">
        <f t="shared" si="15"/>
        <v>0</v>
      </c>
      <c r="H175" s="88"/>
      <c r="I175" s="20">
        <v>55</v>
      </c>
      <c r="J175" s="82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187</v>
      </c>
      <c r="C176" s="79">
        <f>+'26'!G176</f>
        <v>0</v>
      </c>
      <c r="D176" s="87">
        <v>0</v>
      </c>
      <c r="E176" s="47">
        <f t="shared" si="13"/>
        <v>0</v>
      </c>
      <c r="F176" s="87">
        <v>0</v>
      </c>
      <c r="G176" s="47">
        <f t="shared" si="15"/>
        <v>0</v>
      </c>
      <c r="H176" s="88"/>
      <c r="I176" s="20">
        <v>50</v>
      </c>
      <c r="J176" s="82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188</v>
      </c>
      <c r="C177" s="79">
        <f>+'26'!G177</f>
        <v>4</v>
      </c>
      <c r="D177" s="87">
        <v>0</v>
      </c>
      <c r="E177" s="47">
        <f t="shared" si="13"/>
        <v>4</v>
      </c>
      <c r="F177" s="87">
        <v>0</v>
      </c>
      <c r="G177" s="47">
        <f t="shared" si="15"/>
        <v>2</v>
      </c>
      <c r="H177" s="88">
        <v>2</v>
      </c>
      <c r="I177" s="20">
        <v>50</v>
      </c>
      <c r="J177" s="82">
        <f t="shared" si="16"/>
        <v>100</v>
      </c>
      <c r="K177" s="17" t="s">
        <v>16</v>
      </c>
      <c r="L177" s="18">
        <v>0</v>
      </c>
      <c r="M177" s="23">
        <f t="shared" si="14"/>
        <v>100</v>
      </c>
    </row>
    <row r="178" spans="1:13" ht="25.5" x14ac:dyDescent="0.55000000000000004">
      <c r="A178" s="10">
        <v>174</v>
      </c>
      <c r="B178" s="19" t="s">
        <v>189</v>
      </c>
      <c r="C178" s="79">
        <f>+'26'!G178</f>
        <v>0</v>
      </c>
      <c r="D178" s="87">
        <v>0</v>
      </c>
      <c r="E178" s="47">
        <f t="shared" si="13"/>
        <v>0</v>
      </c>
      <c r="F178" s="87">
        <v>0</v>
      </c>
      <c r="G178" s="47">
        <f t="shared" si="15"/>
        <v>0</v>
      </c>
      <c r="H178" s="88"/>
      <c r="I178" s="20">
        <v>120</v>
      </c>
      <c r="J178" s="82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190</v>
      </c>
      <c r="C179" s="79">
        <f>+'26'!G179</f>
        <v>5</v>
      </c>
      <c r="D179" s="87">
        <v>0</v>
      </c>
      <c r="E179" s="47">
        <f t="shared" si="13"/>
        <v>5</v>
      </c>
      <c r="F179" s="87">
        <v>0</v>
      </c>
      <c r="G179" s="47">
        <f t="shared" si="15"/>
        <v>4</v>
      </c>
      <c r="H179" s="88">
        <v>1</v>
      </c>
      <c r="I179" s="20">
        <v>120</v>
      </c>
      <c r="J179" s="82">
        <f t="shared" si="16"/>
        <v>120</v>
      </c>
      <c r="K179" s="17" t="s">
        <v>16</v>
      </c>
      <c r="L179" s="18">
        <v>0</v>
      </c>
      <c r="M179" s="23">
        <f t="shared" si="14"/>
        <v>120</v>
      </c>
    </row>
    <row r="180" spans="1:13" ht="25.5" x14ac:dyDescent="0.55000000000000004">
      <c r="A180" s="10">
        <v>176</v>
      </c>
      <c r="B180" s="19" t="s">
        <v>191</v>
      </c>
      <c r="C180" s="79">
        <f>+'26'!G180</f>
        <v>0</v>
      </c>
      <c r="D180" s="87">
        <v>0</v>
      </c>
      <c r="E180" s="47">
        <f t="shared" si="13"/>
        <v>0</v>
      </c>
      <c r="F180" s="87">
        <v>0</v>
      </c>
      <c r="G180" s="47">
        <f t="shared" si="15"/>
        <v>0</v>
      </c>
      <c r="H180" s="88"/>
      <c r="I180" s="20">
        <v>10</v>
      </c>
      <c r="J180" s="82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192</v>
      </c>
      <c r="C181" s="79">
        <f>+'26'!G181</f>
        <v>0</v>
      </c>
      <c r="D181" s="87">
        <v>0</v>
      </c>
      <c r="E181" s="47">
        <f t="shared" si="13"/>
        <v>0</v>
      </c>
      <c r="F181" s="87">
        <v>0</v>
      </c>
      <c r="G181" s="47">
        <f t="shared" si="15"/>
        <v>0</v>
      </c>
      <c r="H181" s="88"/>
      <c r="I181" s="20">
        <v>35</v>
      </c>
      <c r="J181" s="82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193</v>
      </c>
      <c r="C182" s="79">
        <f>+'26'!G182</f>
        <v>0</v>
      </c>
      <c r="D182" s="87">
        <v>0</v>
      </c>
      <c r="E182" s="47">
        <f t="shared" si="13"/>
        <v>0</v>
      </c>
      <c r="F182" s="87">
        <v>0</v>
      </c>
      <c r="G182" s="47">
        <f t="shared" si="15"/>
        <v>0</v>
      </c>
      <c r="H182" s="88"/>
      <c r="I182" s="20">
        <v>10</v>
      </c>
      <c r="J182" s="82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194</v>
      </c>
      <c r="C183" s="79">
        <f>+'26'!G183</f>
        <v>0</v>
      </c>
      <c r="D183" s="87">
        <v>0</v>
      </c>
      <c r="E183" s="47">
        <f t="shared" si="13"/>
        <v>0</v>
      </c>
      <c r="F183" s="87">
        <v>0</v>
      </c>
      <c r="G183" s="47">
        <f t="shared" si="15"/>
        <v>0</v>
      </c>
      <c r="H183" s="88"/>
      <c r="I183" s="20">
        <v>10</v>
      </c>
      <c r="J183" s="82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195</v>
      </c>
      <c r="C184" s="79">
        <f>+'26'!G184</f>
        <v>0</v>
      </c>
      <c r="D184" s="87">
        <v>0</v>
      </c>
      <c r="E184" s="47">
        <f t="shared" si="13"/>
        <v>0</v>
      </c>
      <c r="F184" s="87">
        <v>0</v>
      </c>
      <c r="G184" s="47">
        <f t="shared" si="15"/>
        <v>0</v>
      </c>
      <c r="H184" s="88"/>
      <c r="I184" s="20">
        <v>10</v>
      </c>
      <c r="J184" s="82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196</v>
      </c>
      <c r="C185" s="79">
        <f>+'26'!G185</f>
        <v>0</v>
      </c>
      <c r="D185" s="87">
        <v>0</v>
      </c>
      <c r="E185" s="47">
        <f t="shared" si="13"/>
        <v>0</v>
      </c>
      <c r="F185" s="87">
        <v>0</v>
      </c>
      <c r="G185" s="47">
        <f t="shared" si="15"/>
        <v>0</v>
      </c>
      <c r="H185" s="88"/>
      <c r="I185" s="20">
        <v>10</v>
      </c>
      <c r="J185" s="82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197</v>
      </c>
      <c r="C186" s="79">
        <f>+'26'!G186</f>
        <v>0</v>
      </c>
      <c r="D186" s="87">
        <v>0</v>
      </c>
      <c r="E186" s="47">
        <f t="shared" si="13"/>
        <v>0</v>
      </c>
      <c r="F186" s="87">
        <v>0</v>
      </c>
      <c r="G186" s="47">
        <f t="shared" si="15"/>
        <v>0</v>
      </c>
      <c r="H186" s="88"/>
      <c r="I186" s="20">
        <v>10</v>
      </c>
      <c r="J186" s="82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198</v>
      </c>
      <c r="C187" s="79">
        <f>+'26'!G187</f>
        <v>0</v>
      </c>
      <c r="D187" s="87">
        <v>0</v>
      </c>
      <c r="E187" s="47">
        <f t="shared" si="13"/>
        <v>0</v>
      </c>
      <c r="F187" s="87">
        <v>0</v>
      </c>
      <c r="G187" s="47">
        <f t="shared" si="15"/>
        <v>0</v>
      </c>
      <c r="H187" s="88"/>
      <c r="I187" s="20">
        <v>25</v>
      </c>
      <c r="J187" s="82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249</v>
      </c>
      <c r="C188" s="79">
        <f>+'26'!G188</f>
        <v>0</v>
      </c>
      <c r="D188" s="87">
        <v>0</v>
      </c>
      <c r="E188" s="47">
        <f t="shared" si="13"/>
        <v>0</v>
      </c>
      <c r="F188" s="87">
        <v>0</v>
      </c>
      <c r="G188" s="47">
        <f t="shared" si="15"/>
        <v>0</v>
      </c>
      <c r="H188" s="88"/>
      <c r="I188" s="15">
        <v>50</v>
      </c>
      <c r="J188" s="82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250</v>
      </c>
      <c r="C189" s="79">
        <f>+'26'!G189</f>
        <v>0</v>
      </c>
      <c r="D189" s="87">
        <v>0</v>
      </c>
      <c r="E189" s="47">
        <f t="shared" si="13"/>
        <v>0</v>
      </c>
      <c r="F189" s="87">
        <v>0</v>
      </c>
      <c r="G189" s="47">
        <f t="shared" si="15"/>
        <v>0</v>
      </c>
      <c r="H189" s="88"/>
      <c r="I189" s="15">
        <v>10</v>
      </c>
      <c r="J189" s="82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251</v>
      </c>
      <c r="C190" s="79">
        <f>+'26'!G190</f>
        <v>0</v>
      </c>
      <c r="D190" s="87">
        <v>0</v>
      </c>
      <c r="E190" s="47">
        <f t="shared" ref="E190:E252" si="17">C190+D190</f>
        <v>0</v>
      </c>
      <c r="F190" s="87">
        <v>0</v>
      </c>
      <c r="G190" s="47">
        <f t="shared" si="15"/>
        <v>0</v>
      </c>
      <c r="H190" s="88"/>
      <c r="I190" s="15">
        <v>15</v>
      </c>
      <c r="J190" s="82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252</v>
      </c>
      <c r="C191" s="79">
        <f>+'26'!G191</f>
        <v>0</v>
      </c>
      <c r="D191" s="87">
        <v>0</v>
      </c>
      <c r="E191" s="47">
        <f t="shared" si="17"/>
        <v>0</v>
      </c>
      <c r="F191" s="87">
        <v>0</v>
      </c>
      <c r="G191" s="47">
        <f t="shared" si="15"/>
        <v>0</v>
      </c>
      <c r="H191" s="88"/>
      <c r="I191" s="15">
        <v>25</v>
      </c>
      <c r="J191" s="82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253</v>
      </c>
      <c r="C192" s="79">
        <f>+'26'!G192</f>
        <v>0</v>
      </c>
      <c r="D192" s="87">
        <v>0</v>
      </c>
      <c r="E192" s="47">
        <f t="shared" si="17"/>
        <v>0</v>
      </c>
      <c r="F192" s="87">
        <v>0</v>
      </c>
      <c r="G192" s="47">
        <f t="shared" si="15"/>
        <v>0</v>
      </c>
      <c r="H192" s="88"/>
      <c r="I192" s="15">
        <v>50</v>
      </c>
      <c r="J192" s="82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254</v>
      </c>
      <c r="C193" s="79">
        <f>+'26'!G193</f>
        <v>0</v>
      </c>
      <c r="D193" s="87">
        <v>0</v>
      </c>
      <c r="E193" s="47">
        <f t="shared" si="17"/>
        <v>0</v>
      </c>
      <c r="F193" s="87">
        <v>0</v>
      </c>
      <c r="G193" s="47">
        <f t="shared" si="15"/>
        <v>0</v>
      </c>
      <c r="H193" s="88"/>
      <c r="I193" s="15">
        <v>45</v>
      </c>
      <c r="J193" s="82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255</v>
      </c>
      <c r="C194" s="79">
        <f>+'26'!G194</f>
        <v>0</v>
      </c>
      <c r="D194" s="87">
        <v>0</v>
      </c>
      <c r="E194" s="47">
        <f t="shared" si="17"/>
        <v>0</v>
      </c>
      <c r="F194" s="87">
        <v>0</v>
      </c>
      <c r="G194" s="47">
        <f t="shared" si="15"/>
        <v>0</v>
      </c>
      <c r="H194" s="88"/>
      <c r="I194" s="15">
        <v>50</v>
      </c>
      <c r="J194" s="82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199</v>
      </c>
      <c r="C195" s="79">
        <f>+'26'!G195</f>
        <v>0</v>
      </c>
      <c r="D195" s="87">
        <v>0</v>
      </c>
      <c r="E195" s="47">
        <f t="shared" si="17"/>
        <v>0</v>
      </c>
      <c r="F195" s="87">
        <v>0</v>
      </c>
      <c r="G195" s="47">
        <f t="shared" si="15"/>
        <v>0</v>
      </c>
      <c r="H195" s="88"/>
      <c r="I195" s="15">
        <v>150</v>
      </c>
      <c r="J195" s="82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200</v>
      </c>
      <c r="C196" s="79">
        <f>+'26'!G196</f>
        <v>0</v>
      </c>
      <c r="D196" s="87">
        <v>0</v>
      </c>
      <c r="E196" s="47">
        <f t="shared" si="17"/>
        <v>0</v>
      </c>
      <c r="F196" s="87">
        <v>0</v>
      </c>
      <c r="G196" s="47">
        <f t="shared" si="15"/>
        <v>0</v>
      </c>
      <c r="H196" s="88"/>
      <c r="I196" s="15">
        <v>150</v>
      </c>
      <c r="J196" s="82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201</v>
      </c>
      <c r="C197" s="79">
        <f>+'26'!G197</f>
        <v>0</v>
      </c>
      <c r="D197" s="87">
        <v>0</v>
      </c>
      <c r="E197" s="47">
        <f t="shared" si="17"/>
        <v>0</v>
      </c>
      <c r="F197" s="87">
        <v>0</v>
      </c>
      <c r="G197" s="47">
        <f t="shared" si="15"/>
        <v>0</v>
      </c>
      <c r="H197" s="88"/>
      <c r="I197" s="15">
        <v>150</v>
      </c>
      <c r="J197" s="82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256</v>
      </c>
      <c r="C198" s="79">
        <f>+'26'!G198</f>
        <v>0</v>
      </c>
      <c r="D198" s="87">
        <v>0</v>
      </c>
      <c r="E198" s="47">
        <f t="shared" si="17"/>
        <v>0</v>
      </c>
      <c r="F198" s="87">
        <v>0</v>
      </c>
      <c r="G198" s="47">
        <f t="shared" si="15"/>
        <v>0</v>
      </c>
      <c r="H198" s="88"/>
      <c r="I198" s="15">
        <v>55</v>
      </c>
      <c r="J198" s="82">
        <f t="shared" si="16"/>
        <v>0</v>
      </c>
      <c r="K198" s="17" t="s">
        <v>16</v>
      </c>
      <c r="L198" s="18">
        <v>0</v>
      </c>
      <c r="M198" s="23">
        <f t="shared" si="14"/>
        <v>0</v>
      </c>
    </row>
    <row r="199" spans="1:13" ht="25.5" x14ac:dyDescent="0.55000000000000004">
      <c r="A199" s="10">
        <v>195</v>
      </c>
      <c r="B199" s="19" t="s">
        <v>257</v>
      </c>
      <c r="C199" s="79">
        <f>+'26'!G199</f>
        <v>0</v>
      </c>
      <c r="D199" s="87">
        <v>0</v>
      </c>
      <c r="E199" s="47">
        <f t="shared" si="17"/>
        <v>0</v>
      </c>
      <c r="F199" s="87">
        <v>0</v>
      </c>
      <c r="G199" s="47">
        <f t="shared" si="15"/>
        <v>0</v>
      </c>
      <c r="H199" s="88"/>
      <c r="I199" s="15">
        <v>30</v>
      </c>
      <c r="J199" s="82">
        <f t="shared" si="16"/>
        <v>0</v>
      </c>
      <c r="K199" s="17" t="s">
        <v>16</v>
      </c>
      <c r="L199" s="18">
        <v>0</v>
      </c>
      <c r="M199" s="23">
        <f t="shared" ref="M199:M254" si="18">SUM(J199-L199)</f>
        <v>0</v>
      </c>
    </row>
    <row r="200" spans="1:13" ht="25.5" x14ac:dyDescent="0.55000000000000004">
      <c r="A200" s="10">
        <v>196</v>
      </c>
      <c r="B200" s="19" t="s">
        <v>258</v>
      </c>
      <c r="C200" s="79">
        <f>+'26'!G200</f>
        <v>0</v>
      </c>
      <c r="D200" s="87">
        <v>0</v>
      </c>
      <c r="E200" s="47">
        <f t="shared" si="17"/>
        <v>0</v>
      </c>
      <c r="F200" s="87">
        <v>0</v>
      </c>
      <c r="G200" s="47">
        <f t="shared" si="15"/>
        <v>0</v>
      </c>
      <c r="H200" s="88"/>
      <c r="I200" s="15">
        <v>30</v>
      </c>
      <c r="J200" s="82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259</v>
      </c>
      <c r="C201" s="79">
        <f>+'26'!G201</f>
        <v>0</v>
      </c>
      <c r="D201" s="87">
        <v>0</v>
      </c>
      <c r="E201" s="47">
        <f t="shared" si="17"/>
        <v>0</v>
      </c>
      <c r="F201" s="87">
        <v>0</v>
      </c>
      <c r="G201" s="47">
        <f t="shared" si="15"/>
        <v>0</v>
      </c>
      <c r="H201" s="88"/>
      <c r="I201" s="15">
        <v>30</v>
      </c>
      <c r="J201" s="82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260</v>
      </c>
      <c r="C202" s="79">
        <f>+'26'!G202</f>
        <v>0</v>
      </c>
      <c r="D202" s="87">
        <v>0</v>
      </c>
      <c r="E202" s="47">
        <f t="shared" si="17"/>
        <v>0</v>
      </c>
      <c r="F202" s="87">
        <v>0</v>
      </c>
      <c r="G202" s="47">
        <f t="shared" si="15"/>
        <v>0</v>
      </c>
      <c r="H202" s="88"/>
      <c r="I202" s="15">
        <v>30</v>
      </c>
      <c r="J202" s="82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1" t="s">
        <v>261</v>
      </c>
      <c r="C203" s="79">
        <f>+'26'!G203</f>
        <v>0</v>
      </c>
      <c r="D203" s="87">
        <v>0</v>
      </c>
      <c r="E203" s="47">
        <f t="shared" si="17"/>
        <v>0</v>
      </c>
      <c r="F203" s="87">
        <v>0</v>
      </c>
      <c r="G203" s="47">
        <f t="shared" si="15"/>
        <v>0</v>
      </c>
      <c r="H203" s="88"/>
      <c r="I203" s="20">
        <v>30</v>
      </c>
      <c r="J203" s="82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1" t="s">
        <v>262</v>
      </c>
      <c r="C204" s="79">
        <f>+'26'!G204</f>
        <v>0</v>
      </c>
      <c r="D204" s="87">
        <v>0</v>
      </c>
      <c r="E204" s="47">
        <f t="shared" si="17"/>
        <v>0</v>
      </c>
      <c r="F204" s="87">
        <v>0</v>
      </c>
      <c r="G204" s="47">
        <f t="shared" si="15"/>
        <v>0</v>
      </c>
      <c r="H204" s="88"/>
      <c r="I204" s="20">
        <v>30</v>
      </c>
      <c r="J204" s="82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1" t="s">
        <v>263</v>
      </c>
      <c r="C205" s="79">
        <f>+'26'!G205</f>
        <v>0</v>
      </c>
      <c r="D205" s="87">
        <v>0</v>
      </c>
      <c r="E205" s="47">
        <f t="shared" si="17"/>
        <v>0</v>
      </c>
      <c r="F205" s="87">
        <v>0</v>
      </c>
      <c r="G205" s="47">
        <f t="shared" si="15"/>
        <v>0</v>
      </c>
      <c r="H205" s="88"/>
      <c r="I205" s="20">
        <v>50</v>
      </c>
      <c r="J205" s="82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1" t="s">
        <v>264</v>
      </c>
      <c r="C206" s="79">
        <f>+'26'!G206</f>
        <v>0</v>
      </c>
      <c r="D206" s="87">
        <v>0</v>
      </c>
      <c r="E206" s="47">
        <f t="shared" si="17"/>
        <v>0</v>
      </c>
      <c r="F206" s="87">
        <v>0</v>
      </c>
      <c r="G206" s="47">
        <f t="shared" si="15"/>
        <v>0</v>
      </c>
      <c r="H206" s="88"/>
      <c r="I206" s="20">
        <v>100</v>
      </c>
      <c r="J206" s="82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1" t="s">
        <v>265</v>
      </c>
      <c r="C207" s="79">
        <f>+'26'!G207</f>
        <v>0</v>
      </c>
      <c r="D207" s="87">
        <v>0</v>
      </c>
      <c r="E207" s="47">
        <f t="shared" si="17"/>
        <v>0</v>
      </c>
      <c r="F207" s="87">
        <v>0</v>
      </c>
      <c r="G207" s="47">
        <f t="shared" si="15"/>
        <v>0</v>
      </c>
      <c r="H207" s="88"/>
      <c r="I207" s="20">
        <v>100</v>
      </c>
      <c r="J207" s="82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1" t="s">
        <v>266</v>
      </c>
      <c r="C208" s="79">
        <f>+'26'!G208</f>
        <v>0</v>
      </c>
      <c r="D208" s="87">
        <v>0</v>
      </c>
      <c r="E208" s="47">
        <f t="shared" si="17"/>
        <v>0</v>
      </c>
      <c r="F208" s="87">
        <v>0</v>
      </c>
      <c r="G208" s="47">
        <f t="shared" si="15"/>
        <v>0</v>
      </c>
      <c r="H208" s="88"/>
      <c r="I208" s="20">
        <v>100</v>
      </c>
      <c r="J208" s="82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1" t="s">
        <v>267</v>
      </c>
      <c r="C209" s="79">
        <f>+'26'!G209</f>
        <v>0</v>
      </c>
      <c r="D209" s="87">
        <v>0</v>
      </c>
      <c r="E209" s="47">
        <f t="shared" si="17"/>
        <v>0</v>
      </c>
      <c r="F209" s="87">
        <v>0</v>
      </c>
      <c r="G209" s="47">
        <f t="shared" si="15"/>
        <v>0</v>
      </c>
      <c r="H209" s="88"/>
      <c r="I209" s="20">
        <v>100</v>
      </c>
      <c r="J209" s="82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1" t="s">
        <v>268</v>
      </c>
      <c r="C210" s="79">
        <f>+'26'!G210</f>
        <v>0</v>
      </c>
      <c r="D210" s="87">
        <v>0</v>
      </c>
      <c r="E210" s="47">
        <f t="shared" si="17"/>
        <v>0</v>
      </c>
      <c r="F210" s="87">
        <v>0</v>
      </c>
      <c r="G210" s="47">
        <f t="shared" si="15"/>
        <v>0</v>
      </c>
      <c r="H210" s="88"/>
      <c r="I210" s="20">
        <v>250</v>
      </c>
      <c r="J210" s="82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1" t="s">
        <v>269</v>
      </c>
      <c r="C211" s="79">
        <f>+'26'!G211</f>
        <v>0</v>
      </c>
      <c r="D211" s="87">
        <v>0</v>
      </c>
      <c r="E211" s="47">
        <f t="shared" si="17"/>
        <v>0</v>
      </c>
      <c r="F211" s="87">
        <v>0</v>
      </c>
      <c r="G211" s="47">
        <f t="shared" si="15"/>
        <v>0</v>
      </c>
      <c r="H211" s="88"/>
      <c r="I211" s="20">
        <v>250</v>
      </c>
      <c r="J211" s="82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1" t="s">
        <v>270</v>
      </c>
      <c r="C212" s="79">
        <f>+'26'!G212</f>
        <v>0</v>
      </c>
      <c r="D212" s="87">
        <v>0</v>
      </c>
      <c r="E212" s="47">
        <f t="shared" si="17"/>
        <v>0</v>
      </c>
      <c r="F212" s="87">
        <v>0</v>
      </c>
      <c r="G212" s="47">
        <f t="shared" si="15"/>
        <v>0</v>
      </c>
      <c r="H212" s="88"/>
      <c r="I212" s="20">
        <v>250</v>
      </c>
      <c r="J212" s="82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1" t="s">
        <v>271</v>
      </c>
      <c r="C213" s="79">
        <f>+'26'!G213</f>
        <v>0</v>
      </c>
      <c r="D213" s="87">
        <v>0</v>
      </c>
      <c r="E213" s="47">
        <f t="shared" si="17"/>
        <v>0</v>
      </c>
      <c r="F213" s="87">
        <v>0</v>
      </c>
      <c r="G213" s="47">
        <f t="shared" si="15"/>
        <v>0</v>
      </c>
      <c r="H213" s="88"/>
      <c r="I213" s="20">
        <v>50</v>
      </c>
      <c r="J213" s="82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1" t="s">
        <v>273</v>
      </c>
      <c r="C214" s="79">
        <f>+'26'!G214</f>
        <v>0</v>
      </c>
      <c r="D214" s="87">
        <v>0</v>
      </c>
      <c r="E214" s="47">
        <f t="shared" si="17"/>
        <v>0</v>
      </c>
      <c r="F214" s="87">
        <v>0</v>
      </c>
      <c r="G214" s="47">
        <f t="shared" si="15"/>
        <v>0</v>
      </c>
      <c r="H214" s="88"/>
      <c r="I214" s="20">
        <v>50</v>
      </c>
      <c r="J214" s="82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1" t="s">
        <v>274</v>
      </c>
      <c r="C215" s="79">
        <f>+'26'!G215</f>
        <v>0</v>
      </c>
      <c r="D215" s="87">
        <v>0</v>
      </c>
      <c r="E215" s="47">
        <f t="shared" si="17"/>
        <v>0</v>
      </c>
      <c r="F215" s="87">
        <v>0</v>
      </c>
      <c r="G215" s="47">
        <f t="shared" si="15"/>
        <v>0</v>
      </c>
      <c r="H215" s="88"/>
      <c r="I215" s="20">
        <v>50</v>
      </c>
      <c r="J215" s="82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1" t="s">
        <v>242</v>
      </c>
      <c r="C216" s="79">
        <f>+'26'!G216</f>
        <v>0</v>
      </c>
      <c r="D216" s="87">
        <v>0</v>
      </c>
      <c r="E216" s="47">
        <f t="shared" si="17"/>
        <v>0</v>
      </c>
      <c r="F216" s="87">
        <v>0</v>
      </c>
      <c r="G216" s="47">
        <f t="shared" si="15"/>
        <v>0</v>
      </c>
      <c r="H216" s="88"/>
      <c r="I216" s="20">
        <v>35</v>
      </c>
      <c r="J216" s="82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1" t="s">
        <v>275</v>
      </c>
      <c r="C217" s="79">
        <f>+'26'!G217</f>
        <v>0</v>
      </c>
      <c r="D217" s="87">
        <v>0</v>
      </c>
      <c r="E217" s="47">
        <f t="shared" si="17"/>
        <v>0</v>
      </c>
      <c r="F217" s="87">
        <v>0</v>
      </c>
      <c r="G217" s="47">
        <f t="shared" si="15"/>
        <v>0</v>
      </c>
      <c r="H217" s="88"/>
      <c r="I217" s="20">
        <v>199</v>
      </c>
      <c r="J217" s="82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1" t="s">
        <v>283</v>
      </c>
      <c r="C218" s="79"/>
      <c r="D218" s="87">
        <v>0</v>
      </c>
      <c r="E218" s="47">
        <f t="shared" si="17"/>
        <v>0</v>
      </c>
      <c r="F218" s="87">
        <v>0</v>
      </c>
      <c r="G218" s="47">
        <f t="shared" si="15"/>
        <v>0</v>
      </c>
      <c r="H218" s="88"/>
      <c r="I218" s="20">
        <v>25</v>
      </c>
      <c r="J218" s="82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1" t="s">
        <v>284</v>
      </c>
      <c r="C219" s="79"/>
      <c r="D219" s="87">
        <v>0</v>
      </c>
      <c r="E219" s="47">
        <f t="shared" si="17"/>
        <v>0</v>
      </c>
      <c r="F219" s="87">
        <v>0</v>
      </c>
      <c r="G219" s="47">
        <f t="shared" si="15"/>
        <v>0</v>
      </c>
      <c r="H219" s="88"/>
      <c r="I219" s="20">
        <v>25</v>
      </c>
      <c r="J219" s="82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1" t="s">
        <v>314</v>
      </c>
      <c r="C220" s="79">
        <f>+'26'!G220</f>
        <v>0</v>
      </c>
      <c r="D220" s="87">
        <v>0</v>
      </c>
      <c r="E220" s="47">
        <f t="shared" si="17"/>
        <v>0</v>
      </c>
      <c r="F220" s="87">
        <v>0</v>
      </c>
      <c r="G220" s="47">
        <f t="shared" si="15"/>
        <v>0</v>
      </c>
      <c r="H220" s="88"/>
      <c r="I220" s="20">
        <v>35</v>
      </c>
      <c r="J220" s="82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1" t="s">
        <v>326</v>
      </c>
      <c r="C221" s="79">
        <f>+'26'!G221</f>
        <v>1</v>
      </c>
      <c r="D221" s="87">
        <v>0</v>
      </c>
      <c r="E221" s="47">
        <f t="shared" si="17"/>
        <v>1</v>
      </c>
      <c r="F221" s="87">
        <v>0</v>
      </c>
      <c r="G221" s="47">
        <f t="shared" si="15"/>
        <v>1</v>
      </c>
      <c r="H221" s="88"/>
      <c r="I221" s="20">
        <v>55</v>
      </c>
      <c r="J221" s="82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1" t="s">
        <v>327</v>
      </c>
      <c r="C222" s="79">
        <f>+'26'!G222</f>
        <v>12</v>
      </c>
      <c r="D222" s="87">
        <v>0</v>
      </c>
      <c r="E222" s="47">
        <f t="shared" si="17"/>
        <v>12</v>
      </c>
      <c r="F222" s="87">
        <v>0</v>
      </c>
      <c r="G222" s="47">
        <f t="shared" si="15"/>
        <v>6</v>
      </c>
      <c r="H222" s="88">
        <v>6</v>
      </c>
      <c r="I222" s="20">
        <v>40</v>
      </c>
      <c r="J222" s="82">
        <f t="shared" si="16"/>
        <v>240</v>
      </c>
      <c r="K222" s="17" t="s">
        <v>16</v>
      </c>
      <c r="L222" s="18">
        <v>0</v>
      </c>
      <c r="M222" s="23">
        <f t="shared" si="18"/>
        <v>240</v>
      </c>
    </row>
    <row r="223" spans="1:13" ht="25.5" x14ac:dyDescent="0.55000000000000004">
      <c r="A223" s="10">
        <v>219</v>
      </c>
      <c r="B223" s="11"/>
      <c r="C223" s="79">
        <f>+'26'!G223</f>
        <v>0</v>
      </c>
      <c r="D223" s="87">
        <v>0</v>
      </c>
      <c r="E223" s="47">
        <f t="shared" si="17"/>
        <v>0</v>
      </c>
      <c r="F223" s="87">
        <v>0</v>
      </c>
      <c r="G223" s="47">
        <f t="shared" si="15"/>
        <v>0</v>
      </c>
      <c r="H223" s="88"/>
      <c r="I223" s="20"/>
      <c r="J223" s="82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1"/>
      <c r="C224" s="79">
        <f>+'26'!G224</f>
        <v>0</v>
      </c>
      <c r="D224" s="87">
        <v>0</v>
      </c>
      <c r="E224" s="47">
        <f t="shared" si="17"/>
        <v>0</v>
      </c>
      <c r="F224" s="87">
        <v>0</v>
      </c>
      <c r="G224" s="47">
        <f t="shared" si="15"/>
        <v>0</v>
      </c>
      <c r="H224" s="88"/>
      <c r="I224" s="20"/>
      <c r="J224" s="82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1"/>
      <c r="C225" s="79">
        <f>+'26'!G225</f>
        <v>0</v>
      </c>
      <c r="D225" s="87">
        <v>0</v>
      </c>
      <c r="E225" s="47">
        <f t="shared" si="17"/>
        <v>0</v>
      </c>
      <c r="F225" s="87">
        <v>0</v>
      </c>
      <c r="G225" s="47">
        <f t="shared" si="15"/>
        <v>0</v>
      </c>
      <c r="H225" s="88"/>
      <c r="I225" s="20"/>
      <c r="J225" s="82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1"/>
      <c r="C226" s="79">
        <f>+'26'!G226</f>
        <v>0</v>
      </c>
      <c r="D226" s="87">
        <v>0</v>
      </c>
      <c r="E226" s="47">
        <f t="shared" si="17"/>
        <v>0</v>
      </c>
      <c r="F226" s="87">
        <v>0</v>
      </c>
      <c r="G226" s="47">
        <f t="shared" si="15"/>
        <v>0</v>
      </c>
      <c r="H226" s="88"/>
      <c r="I226" s="20"/>
      <c r="J226" s="82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1"/>
      <c r="C227" s="79">
        <f>+'26'!G227</f>
        <v>0</v>
      </c>
      <c r="D227" s="87">
        <v>0</v>
      </c>
      <c r="E227" s="47">
        <f t="shared" si="17"/>
        <v>0</v>
      </c>
      <c r="F227" s="87">
        <v>0</v>
      </c>
      <c r="G227" s="47">
        <f t="shared" si="15"/>
        <v>0</v>
      </c>
      <c r="H227" s="88"/>
      <c r="I227" s="20"/>
      <c r="J227" s="82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1"/>
      <c r="C228" s="79">
        <f>+'26'!G228</f>
        <v>0</v>
      </c>
      <c r="D228" s="87">
        <v>0</v>
      </c>
      <c r="E228" s="47">
        <f t="shared" si="17"/>
        <v>0</v>
      </c>
      <c r="F228" s="87">
        <v>0</v>
      </c>
      <c r="G228" s="47">
        <f t="shared" ref="G228:G254" si="19">+E228-F228-H228</f>
        <v>0</v>
      </c>
      <c r="H228" s="88"/>
      <c r="I228" s="20"/>
      <c r="J228" s="82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1"/>
      <c r="C229" s="79">
        <f>+'26'!G229</f>
        <v>0</v>
      </c>
      <c r="D229" s="87">
        <v>0</v>
      </c>
      <c r="E229" s="47">
        <f t="shared" si="17"/>
        <v>0</v>
      </c>
      <c r="F229" s="87">
        <v>0</v>
      </c>
      <c r="G229" s="47">
        <f t="shared" si="19"/>
        <v>0</v>
      </c>
      <c r="H229" s="88"/>
      <c r="I229" s="20"/>
      <c r="J229" s="82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1"/>
      <c r="C230" s="79">
        <f>+'26'!G230</f>
        <v>0</v>
      </c>
      <c r="D230" s="87">
        <v>0</v>
      </c>
      <c r="E230" s="47">
        <f t="shared" si="17"/>
        <v>0</v>
      </c>
      <c r="F230" s="87">
        <v>0</v>
      </c>
      <c r="G230" s="47">
        <f t="shared" si="19"/>
        <v>0</v>
      </c>
      <c r="H230" s="88"/>
      <c r="I230" s="20"/>
      <c r="J230" s="82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1"/>
      <c r="C231" s="79">
        <f>+'26'!G231</f>
        <v>0</v>
      </c>
      <c r="D231" s="87">
        <v>0</v>
      </c>
      <c r="E231" s="47">
        <f t="shared" si="17"/>
        <v>0</v>
      </c>
      <c r="F231" s="87">
        <v>0</v>
      </c>
      <c r="G231" s="47">
        <f t="shared" si="19"/>
        <v>0</v>
      </c>
      <c r="H231" s="88"/>
      <c r="I231" s="20"/>
      <c r="J231" s="82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1"/>
      <c r="C232" s="79">
        <f>+'26'!G232</f>
        <v>0</v>
      </c>
      <c r="D232" s="87">
        <v>0</v>
      </c>
      <c r="E232" s="47">
        <f t="shared" si="17"/>
        <v>0</v>
      </c>
      <c r="F232" s="87">
        <v>0</v>
      </c>
      <c r="G232" s="47">
        <f t="shared" si="19"/>
        <v>0</v>
      </c>
      <c r="H232" s="88"/>
      <c r="I232" s="20"/>
      <c r="J232" s="82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1"/>
      <c r="C233" s="79">
        <f>+'26'!G233</f>
        <v>0</v>
      </c>
      <c r="D233" s="87">
        <v>0</v>
      </c>
      <c r="E233" s="47">
        <f t="shared" si="17"/>
        <v>0</v>
      </c>
      <c r="F233" s="87">
        <v>0</v>
      </c>
      <c r="G233" s="47">
        <f t="shared" si="19"/>
        <v>0</v>
      </c>
      <c r="H233" s="88"/>
      <c r="I233" s="20"/>
      <c r="J233" s="82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1"/>
      <c r="C234" s="79">
        <f>+'26'!G234</f>
        <v>0</v>
      </c>
      <c r="D234" s="87">
        <v>0</v>
      </c>
      <c r="E234" s="47">
        <f t="shared" si="17"/>
        <v>0</v>
      </c>
      <c r="F234" s="87">
        <v>0</v>
      </c>
      <c r="G234" s="47">
        <f t="shared" si="19"/>
        <v>0</v>
      </c>
      <c r="H234" s="88"/>
      <c r="I234" s="20"/>
      <c r="J234" s="82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1"/>
      <c r="C235" s="79">
        <f>+'26'!G235</f>
        <v>0</v>
      </c>
      <c r="D235" s="87">
        <v>0</v>
      </c>
      <c r="E235" s="47">
        <f t="shared" si="17"/>
        <v>0</v>
      </c>
      <c r="F235" s="87">
        <v>0</v>
      </c>
      <c r="G235" s="47">
        <f t="shared" si="19"/>
        <v>0</v>
      </c>
      <c r="H235" s="88"/>
      <c r="I235" s="20"/>
      <c r="J235" s="82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1"/>
      <c r="C236" s="79">
        <f>+'26'!G236</f>
        <v>0</v>
      </c>
      <c r="D236" s="87">
        <v>0</v>
      </c>
      <c r="E236" s="47">
        <f t="shared" si="17"/>
        <v>0</v>
      </c>
      <c r="F236" s="87">
        <v>0</v>
      </c>
      <c r="G236" s="47">
        <f t="shared" si="19"/>
        <v>0</v>
      </c>
      <c r="H236" s="88"/>
      <c r="I236" s="20"/>
      <c r="J236" s="82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1"/>
      <c r="C237" s="79">
        <f>+'26'!G237</f>
        <v>0</v>
      </c>
      <c r="D237" s="87">
        <v>0</v>
      </c>
      <c r="E237" s="47">
        <f t="shared" si="17"/>
        <v>0</v>
      </c>
      <c r="F237" s="87">
        <v>0</v>
      </c>
      <c r="G237" s="47">
        <f t="shared" si="19"/>
        <v>0</v>
      </c>
      <c r="H237" s="88"/>
      <c r="I237" s="20"/>
      <c r="J237" s="82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1"/>
      <c r="C238" s="79">
        <f>+'26'!G238</f>
        <v>0</v>
      </c>
      <c r="D238" s="87">
        <v>0</v>
      </c>
      <c r="E238" s="47">
        <f t="shared" si="17"/>
        <v>0</v>
      </c>
      <c r="F238" s="87">
        <v>0</v>
      </c>
      <c r="G238" s="47">
        <f t="shared" si="19"/>
        <v>0</v>
      </c>
      <c r="H238" s="88"/>
      <c r="I238" s="20"/>
      <c r="J238" s="82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1"/>
      <c r="C239" s="79">
        <f>+'26'!G239</f>
        <v>0</v>
      </c>
      <c r="D239" s="87">
        <v>0</v>
      </c>
      <c r="E239" s="47">
        <f t="shared" si="17"/>
        <v>0</v>
      </c>
      <c r="F239" s="87">
        <v>0</v>
      </c>
      <c r="G239" s="47">
        <f t="shared" si="19"/>
        <v>0</v>
      </c>
      <c r="H239" s="88"/>
      <c r="I239" s="20"/>
      <c r="J239" s="82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1"/>
      <c r="C240" s="79">
        <f>+'26'!G240</f>
        <v>0</v>
      </c>
      <c r="D240" s="87">
        <v>0</v>
      </c>
      <c r="E240" s="47">
        <f t="shared" si="17"/>
        <v>0</v>
      </c>
      <c r="F240" s="87">
        <v>0</v>
      </c>
      <c r="G240" s="47">
        <f t="shared" si="19"/>
        <v>0</v>
      </c>
      <c r="H240" s="88"/>
      <c r="I240" s="20"/>
      <c r="J240" s="82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1"/>
      <c r="C241" s="79">
        <f>+'26'!G241</f>
        <v>0</v>
      </c>
      <c r="D241" s="87">
        <v>0</v>
      </c>
      <c r="E241" s="47">
        <f t="shared" si="17"/>
        <v>0</v>
      </c>
      <c r="F241" s="87">
        <v>0</v>
      </c>
      <c r="G241" s="47">
        <f t="shared" si="19"/>
        <v>0</v>
      </c>
      <c r="H241" s="88"/>
      <c r="I241" s="20"/>
      <c r="J241" s="82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1"/>
      <c r="C242" s="79">
        <f>+'26'!G242</f>
        <v>0</v>
      </c>
      <c r="D242" s="87">
        <v>0</v>
      </c>
      <c r="E242" s="47">
        <f t="shared" si="17"/>
        <v>0</v>
      </c>
      <c r="F242" s="87">
        <v>0</v>
      </c>
      <c r="G242" s="47">
        <f t="shared" si="19"/>
        <v>0</v>
      </c>
      <c r="H242" s="88"/>
      <c r="I242" s="20"/>
      <c r="J242" s="82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1"/>
      <c r="C243" s="79">
        <f>+'26'!G243</f>
        <v>0</v>
      </c>
      <c r="D243" s="87">
        <v>0</v>
      </c>
      <c r="E243" s="47">
        <f t="shared" si="17"/>
        <v>0</v>
      </c>
      <c r="F243" s="87">
        <v>0</v>
      </c>
      <c r="G243" s="47">
        <f t="shared" si="19"/>
        <v>0</v>
      </c>
      <c r="H243" s="88"/>
      <c r="I243" s="20"/>
      <c r="J243" s="82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1"/>
      <c r="C244" s="79">
        <f>+'26'!G244</f>
        <v>0</v>
      </c>
      <c r="D244" s="87">
        <v>0</v>
      </c>
      <c r="E244" s="47">
        <f t="shared" si="17"/>
        <v>0</v>
      </c>
      <c r="F244" s="87">
        <v>0</v>
      </c>
      <c r="G244" s="47">
        <f t="shared" si="19"/>
        <v>0</v>
      </c>
      <c r="H244" s="88"/>
      <c r="I244" s="20"/>
      <c r="J244" s="82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1"/>
      <c r="C245" s="79">
        <f>+'26'!G245</f>
        <v>0</v>
      </c>
      <c r="D245" s="87">
        <v>0</v>
      </c>
      <c r="E245" s="47">
        <f t="shared" si="17"/>
        <v>0</v>
      </c>
      <c r="F245" s="87">
        <v>0</v>
      </c>
      <c r="G245" s="47">
        <f t="shared" si="19"/>
        <v>0</v>
      </c>
      <c r="H245" s="88"/>
      <c r="I245" s="20"/>
      <c r="J245" s="82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1"/>
      <c r="C246" s="79">
        <f>+'26'!G246</f>
        <v>0</v>
      </c>
      <c r="D246" s="87">
        <v>0</v>
      </c>
      <c r="E246" s="47">
        <f t="shared" si="17"/>
        <v>0</v>
      </c>
      <c r="F246" s="87">
        <v>0</v>
      </c>
      <c r="G246" s="47">
        <f t="shared" si="19"/>
        <v>0</v>
      </c>
      <c r="H246" s="88"/>
      <c r="I246" s="20"/>
      <c r="J246" s="82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1"/>
      <c r="C247" s="79">
        <f>+'26'!G247</f>
        <v>0</v>
      </c>
      <c r="D247" s="87">
        <v>0</v>
      </c>
      <c r="E247" s="47">
        <f t="shared" si="17"/>
        <v>0</v>
      </c>
      <c r="F247" s="87">
        <v>0</v>
      </c>
      <c r="G247" s="47">
        <f t="shared" si="19"/>
        <v>0</v>
      </c>
      <c r="H247" s="88"/>
      <c r="I247" s="20"/>
      <c r="J247" s="82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1"/>
      <c r="C248" s="79">
        <f>+'26'!G248</f>
        <v>0</v>
      </c>
      <c r="D248" s="87">
        <v>0</v>
      </c>
      <c r="E248" s="47">
        <f t="shared" si="17"/>
        <v>0</v>
      </c>
      <c r="F248" s="87">
        <v>0</v>
      </c>
      <c r="G248" s="47">
        <f t="shared" si="19"/>
        <v>0</v>
      </c>
      <c r="H248" s="88"/>
      <c r="I248" s="20"/>
      <c r="J248" s="82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1"/>
      <c r="C249" s="79">
        <f>+'26'!G249</f>
        <v>0</v>
      </c>
      <c r="D249" s="87">
        <v>0</v>
      </c>
      <c r="E249" s="47">
        <f t="shared" si="17"/>
        <v>0</v>
      </c>
      <c r="F249" s="87">
        <v>0</v>
      </c>
      <c r="G249" s="47">
        <f t="shared" si="19"/>
        <v>0</v>
      </c>
      <c r="H249" s="88"/>
      <c r="I249" s="20"/>
      <c r="J249" s="82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1"/>
      <c r="C250" s="79">
        <f>+'26'!G250</f>
        <v>0</v>
      </c>
      <c r="D250" s="87">
        <v>0</v>
      </c>
      <c r="E250" s="47">
        <f t="shared" si="17"/>
        <v>0</v>
      </c>
      <c r="F250" s="87">
        <v>0</v>
      </c>
      <c r="G250" s="47">
        <f t="shared" si="19"/>
        <v>0</v>
      </c>
      <c r="H250" s="88"/>
      <c r="I250" s="20"/>
      <c r="J250" s="82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1"/>
      <c r="C251" s="79">
        <f>+'26'!G251</f>
        <v>0</v>
      </c>
      <c r="D251" s="87">
        <v>0</v>
      </c>
      <c r="E251" s="47">
        <f t="shared" si="17"/>
        <v>0</v>
      </c>
      <c r="F251" s="87">
        <v>0</v>
      </c>
      <c r="G251" s="47">
        <f t="shared" si="19"/>
        <v>0</v>
      </c>
      <c r="H251" s="88"/>
      <c r="I251" s="20"/>
      <c r="J251" s="82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1"/>
      <c r="C252" s="79">
        <f>+'26'!G252</f>
        <v>0</v>
      </c>
      <c r="D252" s="87">
        <v>0</v>
      </c>
      <c r="E252" s="47">
        <f t="shared" si="17"/>
        <v>0</v>
      </c>
      <c r="F252" s="87">
        <v>0</v>
      </c>
      <c r="G252" s="47">
        <f t="shared" si="19"/>
        <v>0</v>
      </c>
      <c r="H252" s="88"/>
      <c r="I252" s="20"/>
      <c r="J252" s="82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1"/>
      <c r="C253" s="79">
        <f>+'26'!G253</f>
        <v>0</v>
      </c>
      <c r="D253" s="87">
        <v>0</v>
      </c>
      <c r="E253" s="47">
        <f t="shared" ref="E253:E254" si="21">C253+D253</f>
        <v>0</v>
      </c>
      <c r="F253" s="87">
        <v>0</v>
      </c>
      <c r="G253" s="47">
        <f t="shared" si="19"/>
        <v>0</v>
      </c>
      <c r="H253" s="88"/>
      <c r="I253" s="20"/>
      <c r="J253" s="82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1"/>
      <c r="C254" s="79">
        <f>+'26'!G254</f>
        <v>0</v>
      </c>
      <c r="D254" s="87">
        <v>0</v>
      </c>
      <c r="E254" s="47">
        <f t="shared" si="21"/>
        <v>0</v>
      </c>
      <c r="F254" s="87">
        <v>0</v>
      </c>
      <c r="G254" s="47">
        <f t="shared" si="19"/>
        <v>0</v>
      </c>
      <c r="H254" s="88"/>
      <c r="I254" s="20"/>
      <c r="J254" s="82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3500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3" t="s">
        <v>213</v>
      </c>
      <c r="N255" s="143"/>
    </row>
    <row r="256" spans="1:14" ht="25.5" customHeight="1" x14ac:dyDescent="0.5">
      <c r="A256" s="1"/>
      <c r="E256" s="24"/>
      <c r="F256" s="25"/>
      <c r="G256" s="24"/>
      <c r="H256" s="148" t="s">
        <v>212</v>
      </c>
      <c r="I256" s="149"/>
      <c r="J256" s="30">
        <f>+X138</f>
        <v>0</v>
      </c>
      <c r="K256" s="27"/>
      <c r="L256" s="29"/>
    </row>
    <row r="257" spans="1:23" ht="25.5" x14ac:dyDescent="0.55000000000000004">
      <c r="A257" s="1"/>
      <c r="E257" s="31"/>
      <c r="G257" s="31"/>
      <c r="H257" s="32"/>
      <c r="I257" s="150" t="s">
        <v>202</v>
      </c>
      <c r="J257" s="150"/>
      <c r="K257" s="33">
        <f>SUM(J5:J256)</f>
        <v>3600</v>
      </c>
    </row>
    <row r="258" spans="1:23" ht="25.5" x14ac:dyDescent="0.55000000000000004">
      <c r="A258" s="1"/>
      <c r="E258" s="31"/>
      <c r="G258" s="31"/>
      <c r="I258" s="140" t="s">
        <v>203</v>
      </c>
      <c r="J258" s="141"/>
      <c r="K258" s="36">
        <v>15</v>
      </c>
    </row>
    <row r="259" spans="1:23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1165</v>
      </c>
      <c r="L259" s="2">
        <v>140</v>
      </c>
      <c r="M259" s="2">
        <v>215</v>
      </c>
      <c r="N259" s="2">
        <v>100</v>
      </c>
      <c r="O259" s="2">
        <v>50</v>
      </c>
      <c r="P259" s="2">
        <v>50</v>
      </c>
      <c r="Q259" s="2">
        <v>115</v>
      </c>
      <c r="R259" s="2">
        <v>50</v>
      </c>
      <c r="S259" s="2">
        <v>50</v>
      </c>
      <c r="T259" s="2">
        <v>65</v>
      </c>
      <c r="U259" s="2">
        <v>120</v>
      </c>
      <c r="V259" s="2">
        <v>50</v>
      </c>
      <c r="W259" s="2">
        <v>160</v>
      </c>
    </row>
    <row r="260" spans="1:23" ht="25.5" x14ac:dyDescent="0.55000000000000004">
      <c r="A260" s="1"/>
      <c r="E260" s="31"/>
      <c r="G260" s="31"/>
      <c r="I260" s="140" t="s">
        <v>205</v>
      </c>
      <c r="J260" s="141"/>
      <c r="K260" s="36">
        <v>0</v>
      </c>
    </row>
    <row r="261" spans="1:23" ht="25.5" x14ac:dyDescent="0.55000000000000004">
      <c r="A261" s="1"/>
      <c r="E261" s="31"/>
      <c r="G261" s="31"/>
      <c r="I261" s="140" t="s">
        <v>206</v>
      </c>
      <c r="J261" s="141"/>
      <c r="K261" s="36">
        <v>0</v>
      </c>
    </row>
    <row r="262" spans="1:23" ht="25.5" x14ac:dyDescent="0.55000000000000004">
      <c r="A262" s="1"/>
      <c r="E262" s="31"/>
      <c r="G262" s="31"/>
      <c r="I262" s="140" t="s">
        <v>207</v>
      </c>
      <c r="J262" s="141"/>
      <c r="K262" s="37">
        <f>SUM(L5:L255)</f>
        <v>100</v>
      </c>
    </row>
    <row r="263" spans="1:23" ht="25.5" x14ac:dyDescent="0.55000000000000004">
      <c r="A263" s="1"/>
      <c r="E263" s="31"/>
      <c r="G263" s="31"/>
      <c r="I263" s="140" t="s">
        <v>208</v>
      </c>
      <c r="J263" s="141"/>
      <c r="K263" s="33">
        <f>K257-K258-K259-K261-K262</f>
        <v>2320</v>
      </c>
    </row>
    <row r="264" spans="1:23" ht="25.5" x14ac:dyDescent="0.55000000000000004">
      <c r="A264" s="1"/>
      <c r="E264" s="31"/>
      <c r="G264" s="31"/>
      <c r="I264" s="140" t="s">
        <v>209</v>
      </c>
      <c r="J264" s="141"/>
      <c r="K264" s="37">
        <v>2320</v>
      </c>
    </row>
    <row r="265" spans="1:23" ht="25.5" x14ac:dyDescent="0.55000000000000004">
      <c r="A265" s="1"/>
      <c r="E265" s="31"/>
      <c r="G265" s="31"/>
      <c r="I265" s="140" t="s">
        <v>210</v>
      </c>
      <c r="J265" s="141"/>
      <c r="K265" s="33">
        <f>+K264-K263</f>
        <v>0</v>
      </c>
    </row>
    <row r="266" spans="1:23" ht="25.5" x14ac:dyDescent="0.55000000000000004">
      <c r="G266" s="2"/>
      <c r="I266" s="140" t="s">
        <v>211</v>
      </c>
      <c r="J266" s="141"/>
      <c r="K266" s="33">
        <f>+K264-K263</f>
        <v>0</v>
      </c>
    </row>
    <row r="267" spans="1:23" x14ac:dyDescent="0.5">
      <c r="G267" s="2"/>
      <c r="I267" s="2"/>
    </row>
    <row r="268" spans="1:23" ht="25.5" x14ac:dyDescent="0.55000000000000004">
      <c r="G268" s="2"/>
      <c r="I268" s="105" t="s">
        <v>312</v>
      </c>
    </row>
    <row r="269" spans="1:23" x14ac:dyDescent="0.5">
      <c r="G269" s="2"/>
      <c r="I269" s="2"/>
    </row>
    <row r="270" spans="1:23" x14ac:dyDescent="0.5">
      <c r="G270" s="2"/>
      <c r="I270" s="2"/>
    </row>
    <row r="271" spans="1:23" x14ac:dyDescent="0.5">
      <c r="G271" s="2"/>
      <c r="I271" s="2"/>
    </row>
    <row r="272" spans="1:23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F7C6-7B2F-466C-9C41-3277E58B6866}">
  <sheetPr>
    <tabColor theme="7" tint="-0.249977111117893"/>
  </sheetPr>
  <dimension ref="A1:AB341"/>
  <sheetViews>
    <sheetView zoomScaleNormal="100" workbookViewId="0">
      <pane xSplit="7" ySplit="4" topLeftCell="H254" activePane="bottomRight" state="frozen"/>
      <selection activeCell="B20" sqref="B20"/>
      <selection pane="topRight" activeCell="B20" sqref="B20"/>
      <selection pane="bottomLeft" activeCell="B20" sqref="B20"/>
      <selection pane="bottomRight" activeCell="B20" sqref="B20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8" x14ac:dyDescent="0.5">
      <c r="A1" s="1"/>
      <c r="G1" s="2"/>
      <c r="I1" s="2"/>
    </row>
    <row r="2" spans="1:28" s="3" customFormat="1" ht="29.25" x14ac:dyDescent="0.6">
      <c r="A2" s="137" t="s">
        <v>247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8" s="5" customFormat="1" ht="26.25" x14ac:dyDescent="0.55000000000000004">
      <c r="A3" s="139" t="s">
        <v>1</v>
      </c>
      <c r="B3" s="151" t="s">
        <v>2</v>
      </c>
      <c r="C3" s="139" t="s">
        <v>3</v>
      </c>
      <c r="D3" s="139" t="s">
        <v>4</v>
      </c>
      <c r="E3" s="139" t="s">
        <v>5</v>
      </c>
      <c r="F3" s="85" t="s">
        <v>6</v>
      </c>
      <c r="G3" s="139" t="s">
        <v>7</v>
      </c>
      <c r="H3" s="142" t="s">
        <v>8</v>
      </c>
      <c r="I3" s="142"/>
      <c r="J3" s="142"/>
      <c r="K3" s="139" t="s">
        <v>9</v>
      </c>
      <c r="L3" s="144" t="s">
        <v>10</v>
      </c>
      <c r="O3" s="139" t="s">
        <v>1</v>
      </c>
      <c r="P3" s="139" t="s">
        <v>2</v>
      </c>
      <c r="Q3" s="139" t="s">
        <v>3</v>
      </c>
      <c r="R3" s="139" t="s">
        <v>4</v>
      </c>
      <c r="S3" s="139" t="s">
        <v>5</v>
      </c>
      <c r="T3" s="85" t="s">
        <v>6</v>
      </c>
      <c r="U3" s="139" t="s">
        <v>7</v>
      </c>
      <c r="V3" s="142" t="s">
        <v>8</v>
      </c>
      <c r="W3" s="142"/>
      <c r="X3" s="142"/>
      <c r="Y3" s="139" t="s">
        <v>9</v>
      </c>
      <c r="Z3" s="144" t="s">
        <v>10</v>
      </c>
    </row>
    <row r="4" spans="1:28" s="5" customFormat="1" ht="26.25" x14ac:dyDescent="0.55000000000000004">
      <c r="A4" s="139"/>
      <c r="B4" s="151"/>
      <c r="C4" s="139"/>
      <c r="D4" s="139"/>
      <c r="E4" s="139"/>
      <c r="F4" s="85" t="s">
        <v>11</v>
      </c>
      <c r="G4" s="139"/>
      <c r="H4" s="85" t="s">
        <v>12</v>
      </c>
      <c r="I4" s="86" t="s">
        <v>13</v>
      </c>
      <c r="J4" s="85" t="s">
        <v>14</v>
      </c>
      <c r="K4" s="139"/>
      <c r="L4" s="144"/>
      <c r="O4" s="139"/>
      <c r="P4" s="139"/>
      <c r="Q4" s="139"/>
      <c r="R4" s="139"/>
      <c r="S4" s="139"/>
      <c r="T4" s="85" t="s">
        <v>11</v>
      </c>
      <c r="U4" s="139"/>
      <c r="V4" s="85" t="s">
        <v>12</v>
      </c>
      <c r="W4" s="86" t="s">
        <v>13</v>
      </c>
      <c r="X4" s="85" t="s">
        <v>14</v>
      </c>
      <c r="Y4" s="139"/>
      <c r="Z4" s="144"/>
      <c r="AB4" s="5" t="s">
        <v>2</v>
      </c>
    </row>
    <row r="5" spans="1:28" ht="25.5" x14ac:dyDescent="0.55000000000000004">
      <c r="A5" s="10">
        <v>1</v>
      </c>
      <c r="B5" s="19" t="s">
        <v>15</v>
      </c>
      <c r="C5" s="79">
        <f>+'27'!G5</f>
        <v>12</v>
      </c>
      <c r="D5" s="87">
        <v>0</v>
      </c>
      <c r="E5" s="47">
        <f t="shared" ref="E5:E125" si="0">C5+D5</f>
        <v>12</v>
      </c>
      <c r="F5" s="87">
        <v>0</v>
      </c>
      <c r="G5" s="47">
        <f>+E5-F5-H5</f>
        <v>6</v>
      </c>
      <c r="H5" s="88">
        <v>6</v>
      </c>
      <c r="I5" s="15">
        <v>50</v>
      </c>
      <c r="J5" s="82">
        <f>+I5*H5</f>
        <v>300</v>
      </c>
      <c r="K5" s="17" t="s">
        <v>16</v>
      </c>
      <c r="L5" s="18">
        <v>100</v>
      </c>
      <c r="M5" s="104">
        <f>SUM(J5-L5)</f>
        <v>200</v>
      </c>
      <c r="O5" s="10">
        <v>1</v>
      </c>
      <c r="P5" s="19"/>
      <c r="Q5" s="47">
        <v>0</v>
      </c>
      <c r="R5" s="87">
        <v>0</v>
      </c>
      <c r="S5" s="47">
        <f t="shared" ref="S5:S14" si="1">Q5+R5</f>
        <v>0</v>
      </c>
      <c r="T5" s="87">
        <v>0</v>
      </c>
      <c r="U5" s="47">
        <f t="shared" ref="U5:U14" si="2">S5-T5-V5</f>
        <v>0</v>
      </c>
      <c r="V5" s="88">
        <v>0</v>
      </c>
      <c r="W5" s="22"/>
      <c r="X5" s="44">
        <f t="shared" ref="X5:X14" si="3">V5*W5</f>
        <v>0</v>
      </c>
      <c r="Y5" s="17" t="s">
        <v>16</v>
      </c>
      <c r="Z5" s="18">
        <v>0</v>
      </c>
      <c r="AB5" s="2" t="s">
        <v>317</v>
      </c>
    </row>
    <row r="6" spans="1:28" ht="25.5" x14ac:dyDescent="0.55000000000000004">
      <c r="A6" s="10">
        <v>2</v>
      </c>
      <c r="B6" s="19" t="s">
        <v>17</v>
      </c>
      <c r="C6" s="79">
        <f>+'27'!G6</f>
        <v>10</v>
      </c>
      <c r="D6" s="87">
        <v>0</v>
      </c>
      <c r="E6" s="47">
        <f t="shared" si="0"/>
        <v>10</v>
      </c>
      <c r="F6" s="87">
        <v>0</v>
      </c>
      <c r="G6" s="47">
        <f t="shared" ref="G6:G100" si="4">+E6-F6-H6</f>
        <v>3</v>
      </c>
      <c r="H6" s="88">
        <v>7</v>
      </c>
      <c r="I6" s="15">
        <v>100</v>
      </c>
      <c r="J6" s="82">
        <f t="shared" ref="J6:J100" si="5">+I6*H6</f>
        <v>700</v>
      </c>
      <c r="K6" s="17" t="s">
        <v>16</v>
      </c>
      <c r="L6" s="18">
        <v>0</v>
      </c>
      <c r="M6" s="104">
        <f t="shared" ref="M6:M69" si="6">SUM(J6-L6)</f>
        <v>700</v>
      </c>
      <c r="O6" s="10">
        <v>2</v>
      </c>
      <c r="P6" s="19"/>
      <c r="Q6" s="47">
        <v>0</v>
      </c>
      <c r="R6" s="87">
        <v>0</v>
      </c>
      <c r="S6" s="47">
        <f t="shared" si="1"/>
        <v>0</v>
      </c>
      <c r="T6" s="87">
        <v>0</v>
      </c>
      <c r="U6" s="47">
        <f t="shared" si="2"/>
        <v>0</v>
      </c>
      <c r="V6" s="88">
        <v>0</v>
      </c>
      <c r="W6" s="22"/>
      <c r="X6" s="44">
        <f t="shared" si="3"/>
        <v>0</v>
      </c>
      <c r="Y6" s="17" t="s">
        <v>16</v>
      </c>
      <c r="Z6" s="18">
        <v>0</v>
      </c>
      <c r="AB6" s="2" t="s">
        <v>318</v>
      </c>
    </row>
    <row r="7" spans="1:28" ht="25.5" x14ac:dyDescent="0.55000000000000004">
      <c r="A7" s="10">
        <v>3</v>
      </c>
      <c r="B7" s="19" t="s">
        <v>18</v>
      </c>
      <c r="C7" s="79">
        <f>+'27'!G7</f>
        <v>0</v>
      </c>
      <c r="D7" s="87">
        <v>0</v>
      </c>
      <c r="E7" s="47">
        <f>C7+D7</f>
        <v>0</v>
      </c>
      <c r="F7" s="87">
        <v>0</v>
      </c>
      <c r="G7" s="47">
        <f t="shared" si="4"/>
        <v>0</v>
      </c>
      <c r="H7" s="88"/>
      <c r="I7" s="15">
        <v>50</v>
      </c>
      <c r="J7" s="8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7">
        <v>0</v>
      </c>
      <c r="S7" s="47">
        <f t="shared" si="1"/>
        <v>0</v>
      </c>
      <c r="T7" s="87">
        <v>0</v>
      </c>
      <c r="U7" s="47">
        <f t="shared" si="2"/>
        <v>0</v>
      </c>
      <c r="V7" s="88">
        <v>0</v>
      </c>
      <c r="W7" s="22"/>
      <c r="X7" s="44">
        <f t="shared" si="3"/>
        <v>0</v>
      </c>
      <c r="Y7" s="17" t="s">
        <v>16</v>
      </c>
      <c r="Z7" s="18">
        <v>0</v>
      </c>
      <c r="AB7" s="2" t="s">
        <v>319</v>
      </c>
    </row>
    <row r="8" spans="1:28" ht="25.5" x14ac:dyDescent="0.55000000000000004">
      <c r="A8" s="10">
        <v>4</v>
      </c>
      <c r="B8" s="19" t="s">
        <v>19</v>
      </c>
      <c r="C8" s="79">
        <f>+'27'!G8</f>
        <v>0</v>
      </c>
      <c r="D8" s="87">
        <v>0</v>
      </c>
      <c r="E8" s="47">
        <f>C8+D8</f>
        <v>0</v>
      </c>
      <c r="F8" s="87">
        <v>0</v>
      </c>
      <c r="G8" s="47">
        <f t="shared" si="4"/>
        <v>0</v>
      </c>
      <c r="H8" s="88"/>
      <c r="I8" s="15">
        <v>100</v>
      </c>
      <c r="J8" s="8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7">
        <v>0</v>
      </c>
      <c r="S8" s="47">
        <f t="shared" si="1"/>
        <v>0</v>
      </c>
      <c r="T8" s="87">
        <v>0</v>
      </c>
      <c r="U8" s="47">
        <f t="shared" si="2"/>
        <v>0</v>
      </c>
      <c r="V8" s="88">
        <v>0</v>
      </c>
      <c r="W8" s="22"/>
      <c r="X8" s="44">
        <f t="shared" si="3"/>
        <v>0</v>
      </c>
      <c r="Y8" s="17" t="s">
        <v>16</v>
      </c>
      <c r="Z8" s="18">
        <v>0</v>
      </c>
      <c r="AB8" s="2" t="s">
        <v>320</v>
      </c>
    </row>
    <row r="9" spans="1:28" ht="25.5" x14ac:dyDescent="0.55000000000000004">
      <c r="A9" s="10">
        <v>5</v>
      </c>
      <c r="B9" s="19" t="s">
        <v>20</v>
      </c>
      <c r="C9" s="79">
        <f>+'27'!G9</f>
        <v>0</v>
      </c>
      <c r="D9" s="87">
        <v>0</v>
      </c>
      <c r="E9" s="47">
        <f>C9+D9</f>
        <v>0</v>
      </c>
      <c r="F9" s="87">
        <v>0</v>
      </c>
      <c r="G9" s="47">
        <f t="shared" si="4"/>
        <v>0</v>
      </c>
      <c r="H9" s="88"/>
      <c r="I9" s="15">
        <v>12</v>
      </c>
      <c r="J9" s="8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7">
        <v>0</v>
      </c>
      <c r="S9" s="47">
        <f t="shared" si="1"/>
        <v>0</v>
      </c>
      <c r="T9" s="87">
        <v>0</v>
      </c>
      <c r="U9" s="47">
        <f t="shared" si="2"/>
        <v>0</v>
      </c>
      <c r="V9" s="88">
        <v>0</v>
      </c>
      <c r="W9" s="22"/>
      <c r="X9" s="44">
        <f t="shared" si="3"/>
        <v>0</v>
      </c>
      <c r="Y9" s="17" t="s">
        <v>16</v>
      </c>
      <c r="Z9" s="18">
        <v>0</v>
      </c>
      <c r="AB9" s="2" t="s">
        <v>307</v>
      </c>
    </row>
    <row r="10" spans="1:28" ht="25.5" x14ac:dyDescent="0.55000000000000004">
      <c r="A10" s="10">
        <v>6</v>
      </c>
      <c r="B10" s="19" t="s">
        <v>21</v>
      </c>
      <c r="C10" s="79">
        <f>+'27'!G10</f>
        <v>0</v>
      </c>
      <c r="D10" s="87">
        <v>0</v>
      </c>
      <c r="E10" s="47">
        <f>C10+D10</f>
        <v>0</v>
      </c>
      <c r="F10" s="87">
        <v>0</v>
      </c>
      <c r="G10" s="47">
        <f t="shared" si="4"/>
        <v>0</v>
      </c>
      <c r="H10" s="88"/>
      <c r="I10" s="15">
        <v>15</v>
      </c>
      <c r="J10" s="8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7">
        <v>0</v>
      </c>
      <c r="S10" s="47">
        <f t="shared" si="1"/>
        <v>0</v>
      </c>
      <c r="T10" s="87">
        <v>0</v>
      </c>
      <c r="U10" s="47">
        <f t="shared" si="2"/>
        <v>0</v>
      </c>
      <c r="V10" s="88">
        <v>0</v>
      </c>
      <c r="W10" s="22"/>
      <c r="X10" s="44">
        <f t="shared" si="3"/>
        <v>0</v>
      </c>
      <c r="Y10" s="17" t="s">
        <v>16</v>
      </c>
      <c r="Z10" s="18">
        <v>0</v>
      </c>
      <c r="AB10" s="2" t="s">
        <v>311</v>
      </c>
    </row>
    <row r="11" spans="1:28" ht="25.5" x14ac:dyDescent="0.55000000000000004">
      <c r="A11" s="10">
        <v>7</v>
      </c>
      <c r="B11" s="19" t="s">
        <v>22</v>
      </c>
      <c r="C11" s="79">
        <f>+'27'!G11</f>
        <v>0</v>
      </c>
      <c r="D11" s="87">
        <v>0</v>
      </c>
      <c r="E11" s="47">
        <f t="shared" si="0"/>
        <v>0</v>
      </c>
      <c r="F11" s="87">
        <v>0</v>
      </c>
      <c r="G11" s="47">
        <f t="shared" si="4"/>
        <v>0</v>
      </c>
      <c r="H11" s="88"/>
      <c r="I11" s="15">
        <v>40</v>
      </c>
      <c r="J11" s="8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7">
        <v>0</v>
      </c>
      <c r="S11" s="47">
        <f t="shared" si="1"/>
        <v>0</v>
      </c>
      <c r="T11" s="87">
        <v>0</v>
      </c>
      <c r="U11" s="47">
        <f t="shared" si="2"/>
        <v>0</v>
      </c>
      <c r="V11" s="88">
        <v>0</v>
      </c>
      <c r="W11" s="22"/>
      <c r="X11" s="44">
        <f t="shared" si="3"/>
        <v>0</v>
      </c>
      <c r="Y11" s="17" t="s">
        <v>16</v>
      </c>
      <c r="Z11" s="18">
        <v>0</v>
      </c>
      <c r="AB11" s="2" t="s">
        <v>321</v>
      </c>
    </row>
    <row r="12" spans="1:28" ht="25.5" x14ac:dyDescent="0.55000000000000004">
      <c r="A12" s="10">
        <v>8</v>
      </c>
      <c r="B12" s="19" t="s">
        <v>23</v>
      </c>
      <c r="C12" s="79">
        <f>+'27'!G12</f>
        <v>5</v>
      </c>
      <c r="D12" s="87">
        <v>0</v>
      </c>
      <c r="E12" s="47">
        <f t="shared" si="0"/>
        <v>5</v>
      </c>
      <c r="F12" s="87">
        <v>0</v>
      </c>
      <c r="G12" s="47">
        <f t="shared" si="4"/>
        <v>1</v>
      </c>
      <c r="H12" s="88">
        <v>4</v>
      </c>
      <c r="I12" s="20">
        <v>50</v>
      </c>
      <c r="J12" s="82">
        <f t="shared" si="5"/>
        <v>200</v>
      </c>
      <c r="K12" s="17" t="s">
        <v>16</v>
      </c>
      <c r="L12" s="18">
        <v>0</v>
      </c>
      <c r="M12" s="104">
        <f t="shared" si="6"/>
        <v>200</v>
      </c>
      <c r="O12" s="10">
        <v>8</v>
      </c>
      <c r="P12" s="19"/>
      <c r="Q12" s="47">
        <v>0</v>
      </c>
      <c r="R12" s="87">
        <v>0</v>
      </c>
      <c r="S12" s="47">
        <f t="shared" si="1"/>
        <v>0</v>
      </c>
      <c r="T12" s="87">
        <v>0</v>
      </c>
      <c r="U12" s="47">
        <f t="shared" si="2"/>
        <v>0</v>
      </c>
      <c r="V12" s="88">
        <v>0</v>
      </c>
      <c r="W12" s="22"/>
      <c r="X12" s="44">
        <f t="shared" si="3"/>
        <v>0</v>
      </c>
      <c r="Y12" s="17" t="s">
        <v>16</v>
      </c>
      <c r="Z12" s="18">
        <v>0</v>
      </c>
      <c r="AB12" s="2" t="s">
        <v>289</v>
      </c>
    </row>
    <row r="13" spans="1:28" ht="25.5" x14ac:dyDescent="0.55000000000000004">
      <c r="A13" s="10">
        <v>9</v>
      </c>
      <c r="B13" s="19" t="s">
        <v>24</v>
      </c>
      <c r="C13" s="79">
        <f>+'27'!G13</f>
        <v>0</v>
      </c>
      <c r="D13" s="87">
        <v>0</v>
      </c>
      <c r="E13" s="47">
        <f>C13+D13</f>
        <v>0</v>
      </c>
      <c r="F13" s="87">
        <v>0</v>
      </c>
      <c r="G13" s="47">
        <f t="shared" si="4"/>
        <v>0</v>
      </c>
      <c r="H13" s="88"/>
      <c r="I13" s="20">
        <v>55</v>
      </c>
      <c r="J13" s="8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7">
        <v>0</v>
      </c>
      <c r="S13" s="47">
        <f t="shared" si="1"/>
        <v>0</v>
      </c>
      <c r="T13" s="87">
        <v>0</v>
      </c>
      <c r="U13" s="47">
        <f t="shared" si="2"/>
        <v>0</v>
      </c>
      <c r="V13" s="88">
        <v>0</v>
      </c>
      <c r="W13" s="22"/>
      <c r="X13" s="44">
        <f t="shared" si="3"/>
        <v>0</v>
      </c>
      <c r="Y13" s="17" t="s">
        <v>16</v>
      </c>
      <c r="Z13" s="18">
        <v>0</v>
      </c>
      <c r="AB13" s="2" t="s">
        <v>322</v>
      </c>
    </row>
    <row r="14" spans="1:28" ht="25.5" x14ac:dyDescent="0.55000000000000004">
      <c r="A14" s="10">
        <v>10</v>
      </c>
      <c r="B14" s="19" t="s">
        <v>25</v>
      </c>
      <c r="C14" s="79">
        <f>+'27'!G14</f>
        <v>2</v>
      </c>
      <c r="D14" s="87">
        <v>0</v>
      </c>
      <c r="E14" s="47">
        <f t="shared" si="0"/>
        <v>2</v>
      </c>
      <c r="F14" s="87">
        <v>0</v>
      </c>
      <c r="G14" s="47">
        <f t="shared" si="4"/>
        <v>1</v>
      </c>
      <c r="H14" s="88">
        <v>1</v>
      </c>
      <c r="I14" s="20">
        <v>65</v>
      </c>
      <c r="J14" s="82">
        <f t="shared" si="5"/>
        <v>65</v>
      </c>
      <c r="K14" s="17" t="s">
        <v>16</v>
      </c>
      <c r="L14" s="18">
        <v>0</v>
      </c>
      <c r="M14" s="104">
        <f t="shared" si="6"/>
        <v>65</v>
      </c>
      <c r="O14" s="10">
        <v>10</v>
      </c>
      <c r="P14" s="19"/>
      <c r="Q14" s="47">
        <v>0</v>
      </c>
      <c r="R14" s="87">
        <v>0</v>
      </c>
      <c r="S14" s="47">
        <f t="shared" si="1"/>
        <v>0</v>
      </c>
      <c r="T14" s="87">
        <v>0</v>
      </c>
      <c r="U14" s="47">
        <f t="shared" si="2"/>
        <v>0</v>
      </c>
      <c r="V14" s="88">
        <v>0</v>
      </c>
      <c r="W14" s="22"/>
      <c r="X14" s="44">
        <f t="shared" si="3"/>
        <v>0</v>
      </c>
      <c r="Y14" s="17" t="s">
        <v>16</v>
      </c>
      <c r="Z14" s="18">
        <v>0</v>
      </c>
      <c r="AB14" s="2" t="s">
        <v>306</v>
      </c>
    </row>
    <row r="15" spans="1:28" ht="25.5" x14ac:dyDescent="0.55000000000000004">
      <c r="A15" s="10">
        <v>11</v>
      </c>
      <c r="B15" s="19" t="s">
        <v>26</v>
      </c>
      <c r="C15" s="79">
        <f>+'27'!G15</f>
        <v>0</v>
      </c>
      <c r="D15" s="87">
        <v>0</v>
      </c>
      <c r="E15" s="47">
        <f t="shared" si="0"/>
        <v>0</v>
      </c>
      <c r="F15" s="87">
        <v>0</v>
      </c>
      <c r="G15" s="47">
        <f t="shared" si="4"/>
        <v>0</v>
      </c>
      <c r="H15" s="88"/>
      <c r="I15" s="20">
        <v>50</v>
      </c>
      <c r="J15" s="8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7">
        <v>0</v>
      </c>
      <c r="S15" s="47">
        <f t="shared" ref="S15:S29" si="7">Q15+R15</f>
        <v>0</v>
      </c>
      <c r="T15" s="87">
        <v>0</v>
      </c>
      <c r="U15" s="47">
        <f t="shared" ref="U15:U29" si="8">S15-T15-V15</f>
        <v>0</v>
      </c>
      <c r="V15" s="88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8" ht="25.5" x14ac:dyDescent="0.55000000000000004">
      <c r="A16" s="10">
        <v>12</v>
      </c>
      <c r="B16" s="19" t="s">
        <v>27</v>
      </c>
      <c r="C16" s="79">
        <f>+'27'!G16</f>
        <v>0</v>
      </c>
      <c r="D16" s="87">
        <v>0</v>
      </c>
      <c r="E16" s="47">
        <f t="shared" si="0"/>
        <v>0</v>
      </c>
      <c r="F16" s="87">
        <v>0</v>
      </c>
      <c r="G16" s="47">
        <f t="shared" si="4"/>
        <v>0</v>
      </c>
      <c r="H16" s="88"/>
      <c r="I16" s="15">
        <v>50</v>
      </c>
      <c r="J16" s="8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7">
        <v>0</v>
      </c>
      <c r="S16" s="47">
        <f t="shared" si="7"/>
        <v>0</v>
      </c>
      <c r="T16" s="87">
        <v>0</v>
      </c>
      <c r="U16" s="47">
        <f t="shared" si="8"/>
        <v>0</v>
      </c>
      <c r="V16" s="88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+'27'!G17</f>
        <v>1</v>
      </c>
      <c r="D17" s="87">
        <v>0</v>
      </c>
      <c r="E17" s="47">
        <f t="shared" si="0"/>
        <v>1</v>
      </c>
      <c r="F17" s="87">
        <v>0</v>
      </c>
      <c r="G17" s="47">
        <f t="shared" si="4"/>
        <v>0</v>
      </c>
      <c r="H17" s="88">
        <v>1</v>
      </c>
      <c r="I17" s="15">
        <v>50</v>
      </c>
      <c r="J17" s="82">
        <f t="shared" si="5"/>
        <v>50</v>
      </c>
      <c r="K17" s="17" t="s">
        <v>16</v>
      </c>
      <c r="L17" s="18">
        <v>0</v>
      </c>
      <c r="M17" s="104">
        <f t="shared" si="6"/>
        <v>50</v>
      </c>
      <c r="O17" s="10">
        <v>13</v>
      </c>
      <c r="P17" s="19"/>
      <c r="Q17" s="47">
        <v>0</v>
      </c>
      <c r="R17" s="87">
        <v>0</v>
      </c>
      <c r="S17" s="47">
        <f t="shared" si="7"/>
        <v>0</v>
      </c>
      <c r="T17" s="87">
        <v>0</v>
      </c>
      <c r="U17" s="47">
        <f t="shared" si="8"/>
        <v>0</v>
      </c>
      <c r="V17" s="88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+'27'!G18</f>
        <v>0</v>
      </c>
      <c r="D18" s="87">
        <v>0</v>
      </c>
      <c r="E18" s="47">
        <f t="shared" si="0"/>
        <v>0</v>
      </c>
      <c r="F18" s="87">
        <v>0</v>
      </c>
      <c r="G18" s="47">
        <f t="shared" si="4"/>
        <v>0</v>
      </c>
      <c r="H18" s="88"/>
      <c r="I18" s="20">
        <v>50</v>
      </c>
      <c r="J18" s="8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7">
        <v>0</v>
      </c>
      <c r="S18" s="47">
        <f t="shared" si="7"/>
        <v>0</v>
      </c>
      <c r="T18" s="87">
        <v>0</v>
      </c>
      <c r="U18" s="47">
        <f t="shared" si="8"/>
        <v>0</v>
      </c>
      <c r="V18" s="88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329</v>
      </c>
      <c r="C19" s="79">
        <f>+'27'!G19</f>
        <v>5</v>
      </c>
      <c r="D19" s="87">
        <v>0</v>
      </c>
      <c r="E19" s="47">
        <f t="shared" si="0"/>
        <v>5</v>
      </c>
      <c r="F19" s="87">
        <v>0</v>
      </c>
      <c r="G19" s="47">
        <f t="shared" si="4"/>
        <v>5</v>
      </c>
      <c r="H19" s="88"/>
      <c r="I19" s="15">
        <v>50</v>
      </c>
      <c r="J19" s="8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7">
        <v>0</v>
      </c>
      <c r="S19" s="47">
        <f t="shared" si="7"/>
        <v>0</v>
      </c>
      <c r="T19" s="87">
        <v>0</v>
      </c>
      <c r="U19" s="47">
        <f t="shared" si="8"/>
        <v>0</v>
      </c>
      <c r="V19" s="88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+'27'!G20</f>
        <v>0</v>
      </c>
      <c r="D20" s="87">
        <v>0</v>
      </c>
      <c r="E20" s="47">
        <f t="shared" si="0"/>
        <v>0</v>
      </c>
      <c r="F20" s="87">
        <v>0</v>
      </c>
      <c r="G20" s="47">
        <f t="shared" si="4"/>
        <v>0</v>
      </c>
      <c r="H20" s="88"/>
      <c r="I20" s="15">
        <v>50</v>
      </c>
      <c r="J20" s="8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7">
        <v>0</v>
      </c>
      <c r="S20" s="47">
        <f t="shared" si="7"/>
        <v>0</v>
      </c>
      <c r="T20" s="87">
        <v>0</v>
      </c>
      <c r="U20" s="47">
        <f t="shared" si="8"/>
        <v>0</v>
      </c>
      <c r="V20" s="88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+'27'!G21</f>
        <v>0</v>
      </c>
      <c r="D21" s="87">
        <v>0</v>
      </c>
      <c r="E21" s="47">
        <f t="shared" si="0"/>
        <v>0</v>
      </c>
      <c r="F21" s="87">
        <v>0</v>
      </c>
      <c r="G21" s="47">
        <f t="shared" si="4"/>
        <v>0</v>
      </c>
      <c r="H21" s="88"/>
      <c r="I21" s="15">
        <v>50</v>
      </c>
      <c r="J21" s="8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7">
        <v>0</v>
      </c>
      <c r="S21" s="47">
        <f t="shared" si="7"/>
        <v>0</v>
      </c>
      <c r="T21" s="87">
        <v>0</v>
      </c>
      <c r="U21" s="47">
        <f t="shared" si="8"/>
        <v>0</v>
      </c>
      <c r="V21" s="88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+'27'!G22</f>
        <v>4</v>
      </c>
      <c r="D22" s="87">
        <v>0</v>
      </c>
      <c r="E22" s="47">
        <f t="shared" si="0"/>
        <v>4</v>
      </c>
      <c r="F22" s="87">
        <v>0</v>
      </c>
      <c r="G22" s="47">
        <f t="shared" si="4"/>
        <v>2</v>
      </c>
      <c r="H22" s="88">
        <v>2</v>
      </c>
      <c r="I22" s="15">
        <v>85</v>
      </c>
      <c r="J22" s="82">
        <f t="shared" si="5"/>
        <v>170</v>
      </c>
      <c r="K22" s="17" t="s">
        <v>16</v>
      </c>
      <c r="L22" s="18">
        <v>0</v>
      </c>
      <c r="M22" s="104">
        <f t="shared" si="6"/>
        <v>170</v>
      </c>
      <c r="O22" s="10">
        <v>18</v>
      </c>
      <c r="P22" s="19"/>
      <c r="Q22" s="47">
        <v>0</v>
      </c>
      <c r="R22" s="87">
        <v>0</v>
      </c>
      <c r="S22" s="47">
        <f t="shared" si="7"/>
        <v>0</v>
      </c>
      <c r="T22" s="87">
        <v>0</v>
      </c>
      <c r="U22" s="47">
        <f t="shared" si="8"/>
        <v>0</v>
      </c>
      <c r="V22" s="88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+'27'!G23</f>
        <v>22</v>
      </c>
      <c r="D23" s="87">
        <v>0</v>
      </c>
      <c r="E23" s="47">
        <f t="shared" si="0"/>
        <v>22</v>
      </c>
      <c r="F23" s="87">
        <v>0</v>
      </c>
      <c r="G23" s="47">
        <f t="shared" si="4"/>
        <v>18</v>
      </c>
      <c r="H23" s="88">
        <v>4</v>
      </c>
      <c r="I23" s="15">
        <v>100</v>
      </c>
      <c r="J23" s="82">
        <f t="shared" si="5"/>
        <v>400</v>
      </c>
      <c r="K23" s="17" t="s">
        <v>16</v>
      </c>
      <c r="L23" s="18">
        <v>0</v>
      </c>
      <c r="M23" s="104">
        <f t="shared" si="6"/>
        <v>400</v>
      </c>
      <c r="O23" s="10">
        <v>19</v>
      </c>
      <c r="P23" s="19"/>
      <c r="Q23" s="47">
        <v>0</v>
      </c>
      <c r="R23" s="87">
        <v>0</v>
      </c>
      <c r="S23" s="47">
        <f t="shared" si="7"/>
        <v>0</v>
      </c>
      <c r="T23" s="87">
        <v>0</v>
      </c>
      <c r="U23" s="47">
        <f t="shared" si="8"/>
        <v>0</v>
      </c>
      <c r="V23" s="88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+'27'!G24</f>
        <v>3</v>
      </c>
      <c r="D24" s="87">
        <v>0</v>
      </c>
      <c r="E24" s="47">
        <f t="shared" si="0"/>
        <v>3</v>
      </c>
      <c r="F24" s="87">
        <v>0</v>
      </c>
      <c r="G24" s="47">
        <f t="shared" si="4"/>
        <v>1</v>
      </c>
      <c r="H24" s="88">
        <v>2</v>
      </c>
      <c r="I24" s="21">
        <v>100</v>
      </c>
      <c r="J24" s="82">
        <f t="shared" si="5"/>
        <v>200</v>
      </c>
      <c r="K24" s="17" t="s">
        <v>16</v>
      </c>
      <c r="L24" s="18">
        <v>0</v>
      </c>
      <c r="M24" s="104">
        <f t="shared" si="6"/>
        <v>200</v>
      </c>
      <c r="O24" s="10">
        <v>20</v>
      </c>
      <c r="P24" s="19"/>
      <c r="Q24" s="47">
        <v>0</v>
      </c>
      <c r="R24" s="87">
        <v>0</v>
      </c>
      <c r="S24" s="47">
        <f t="shared" si="7"/>
        <v>0</v>
      </c>
      <c r="T24" s="87">
        <v>0</v>
      </c>
      <c r="U24" s="47">
        <f t="shared" si="8"/>
        <v>0</v>
      </c>
      <c r="V24" s="88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+'27'!G25</f>
        <v>0</v>
      </c>
      <c r="D25" s="87">
        <v>0</v>
      </c>
      <c r="E25" s="47">
        <f t="shared" si="0"/>
        <v>0</v>
      </c>
      <c r="F25" s="87">
        <v>0</v>
      </c>
      <c r="G25" s="47">
        <f t="shared" si="4"/>
        <v>0</v>
      </c>
      <c r="H25" s="88"/>
      <c r="I25" s="21">
        <v>100</v>
      </c>
      <c r="J25" s="8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7">
        <v>0</v>
      </c>
      <c r="S25" s="47">
        <f t="shared" si="7"/>
        <v>0</v>
      </c>
      <c r="T25" s="87">
        <v>0</v>
      </c>
      <c r="U25" s="47">
        <f t="shared" si="8"/>
        <v>0</v>
      </c>
      <c r="V25" s="88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+'27'!G26</f>
        <v>4</v>
      </c>
      <c r="D26" s="87">
        <v>0</v>
      </c>
      <c r="E26" s="47">
        <f t="shared" si="0"/>
        <v>4</v>
      </c>
      <c r="F26" s="87">
        <v>0</v>
      </c>
      <c r="G26" s="47">
        <f t="shared" si="4"/>
        <v>4</v>
      </c>
      <c r="H26" s="88"/>
      <c r="I26" s="21">
        <v>100</v>
      </c>
      <c r="J26" s="8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7">
        <v>0</v>
      </c>
      <c r="S26" s="47">
        <f t="shared" si="7"/>
        <v>0</v>
      </c>
      <c r="T26" s="87">
        <v>0</v>
      </c>
      <c r="U26" s="47">
        <f t="shared" si="8"/>
        <v>0</v>
      </c>
      <c r="V26" s="88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+'27'!G27</f>
        <v>0</v>
      </c>
      <c r="D27" s="87">
        <v>0</v>
      </c>
      <c r="E27" s="47">
        <f t="shared" si="0"/>
        <v>0</v>
      </c>
      <c r="F27" s="87">
        <v>0</v>
      </c>
      <c r="G27" s="47">
        <f t="shared" si="4"/>
        <v>0</v>
      </c>
      <c r="H27" s="88"/>
      <c r="I27" s="20">
        <v>100</v>
      </c>
      <c r="J27" s="8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7">
        <v>0</v>
      </c>
      <c r="S27" s="47">
        <f t="shared" si="7"/>
        <v>0</v>
      </c>
      <c r="T27" s="87">
        <v>0</v>
      </c>
      <c r="U27" s="47">
        <f t="shared" si="8"/>
        <v>0</v>
      </c>
      <c r="V27" s="88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+'27'!G28</f>
        <v>0</v>
      </c>
      <c r="D28" s="87">
        <v>0</v>
      </c>
      <c r="E28" s="47">
        <f t="shared" si="0"/>
        <v>0</v>
      </c>
      <c r="F28" s="87">
        <v>0</v>
      </c>
      <c r="G28" s="47">
        <f t="shared" si="4"/>
        <v>0</v>
      </c>
      <c r="H28" s="88"/>
      <c r="I28" s="20">
        <v>100</v>
      </c>
      <c r="J28" s="8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7">
        <v>0</v>
      </c>
      <c r="S28" s="47">
        <f t="shared" si="7"/>
        <v>0</v>
      </c>
      <c r="T28" s="87">
        <v>0</v>
      </c>
      <c r="U28" s="47">
        <f t="shared" si="8"/>
        <v>0</v>
      </c>
      <c r="V28" s="88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+'27'!G29</f>
        <v>3</v>
      </c>
      <c r="D29" s="87">
        <v>0</v>
      </c>
      <c r="E29" s="47">
        <f t="shared" si="0"/>
        <v>3</v>
      </c>
      <c r="F29" s="87">
        <v>0</v>
      </c>
      <c r="G29" s="47">
        <f t="shared" si="4"/>
        <v>3</v>
      </c>
      <c r="H29" s="88"/>
      <c r="I29" s="15">
        <v>100</v>
      </c>
      <c r="J29" s="8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7">
        <v>0</v>
      </c>
      <c r="S29" s="47">
        <f t="shared" si="7"/>
        <v>0</v>
      </c>
      <c r="T29" s="87">
        <v>0</v>
      </c>
      <c r="U29" s="47">
        <f t="shared" si="8"/>
        <v>0</v>
      </c>
      <c r="V29" s="88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+'27'!G30</f>
        <v>0</v>
      </c>
      <c r="D30" s="87">
        <v>0</v>
      </c>
      <c r="E30" s="47">
        <f t="shared" si="0"/>
        <v>0</v>
      </c>
      <c r="F30" s="87">
        <v>0</v>
      </c>
      <c r="G30" s="47">
        <f t="shared" si="4"/>
        <v>0</v>
      </c>
      <c r="H30" s="88"/>
      <c r="I30" s="15">
        <v>100</v>
      </c>
      <c r="J30" s="8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+'27'!G31</f>
        <v>4</v>
      </c>
      <c r="D31" s="87">
        <v>0</v>
      </c>
      <c r="E31" s="47">
        <f t="shared" si="0"/>
        <v>4</v>
      </c>
      <c r="F31" s="87">
        <v>0</v>
      </c>
      <c r="G31" s="47">
        <f t="shared" si="4"/>
        <v>4</v>
      </c>
      <c r="H31" s="88"/>
      <c r="I31" s="15">
        <v>100</v>
      </c>
      <c r="J31" s="82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+'27'!G32</f>
        <v>0</v>
      </c>
      <c r="D32" s="87">
        <v>0</v>
      </c>
      <c r="E32" s="47">
        <f t="shared" si="0"/>
        <v>0</v>
      </c>
      <c r="F32" s="87">
        <v>0</v>
      </c>
      <c r="G32" s="47">
        <f t="shared" si="4"/>
        <v>0</v>
      </c>
      <c r="H32" s="88"/>
      <c r="I32" s="15">
        <v>130</v>
      </c>
      <c r="J32" s="82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5" t="s">
        <v>119</v>
      </c>
      <c r="Q32" s="146"/>
      <c r="R32" s="146"/>
      <c r="S32" s="146"/>
      <c r="T32" s="146"/>
      <c r="U32" s="146"/>
      <c r="V32" s="146"/>
      <c r="W32" s="147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+'27'!G33</f>
        <v>4</v>
      </c>
      <c r="D33" s="87">
        <v>0</v>
      </c>
      <c r="E33" s="47">
        <f t="shared" si="0"/>
        <v>4</v>
      </c>
      <c r="F33" s="87">
        <v>0</v>
      </c>
      <c r="G33" s="47">
        <f t="shared" si="4"/>
        <v>3</v>
      </c>
      <c r="H33" s="88">
        <v>1</v>
      </c>
      <c r="I33" s="15">
        <v>130</v>
      </c>
      <c r="J33" s="82">
        <f t="shared" si="5"/>
        <v>130</v>
      </c>
      <c r="K33" s="17" t="s">
        <v>16</v>
      </c>
      <c r="L33" s="18">
        <v>0</v>
      </c>
      <c r="M33" s="104">
        <f t="shared" si="6"/>
        <v>130</v>
      </c>
    </row>
    <row r="34" spans="1:13" ht="25.5" x14ac:dyDescent="0.55000000000000004">
      <c r="A34" s="10">
        <v>30</v>
      </c>
      <c r="B34" s="19" t="s">
        <v>45</v>
      </c>
      <c r="C34" s="79">
        <f>+'27'!G34</f>
        <v>4</v>
      </c>
      <c r="D34" s="87">
        <v>0</v>
      </c>
      <c r="E34" s="47">
        <f t="shared" si="0"/>
        <v>4</v>
      </c>
      <c r="F34" s="87">
        <v>0</v>
      </c>
      <c r="G34" s="47">
        <f t="shared" si="4"/>
        <v>2</v>
      </c>
      <c r="H34" s="88">
        <v>2</v>
      </c>
      <c r="I34" s="15">
        <v>130</v>
      </c>
      <c r="J34" s="82">
        <f t="shared" si="5"/>
        <v>260</v>
      </c>
      <c r="K34" s="17" t="s">
        <v>16</v>
      </c>
      <c r="L34" s="18">
        <v>0</v>
      </c>
      <c r="M34" s="104">
        <f t="shared" si="6"/>
        <v>260</v>
      </c>
    </row>
    <row r="35" spans="1:13" ht="25.5" x14ac:dyDescent="0.55000000000000004">
      <c r="A35" s="10">
        <v>31</v>
      </c>
      <c r="B35" s="19" t="s">
        <v>46</v>
      </c>
      <c r="C35" s="79">
        <f>+'27'!G35</f>
        <v>0</v>
      </c>
      <c r="D35" s="87">
        <v>0</v>
      </c>
      <c r="E35" s="47">
        <f t="shared" si="0"/>
        <v>0</v>
      </c>
      <c r="F35" s="87">
        <v>0</v>
      </c>
      <c r="G35" s="47">
        <f t="shared" si="4"/>
        <v>0</v>
      </c>
      <c r="H35" s="88"/>
      <c r="I35" s="15">
        <v>130</v>
      </c>
      <c r="J35" s="82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+'27'!G36</f>
        <v>0</v>
      </c>
      <c r="D36" s="87">
        <v>0</v>
      </c>
      <c r="E36" s="47">
        <f t="shared" si="0"/>
        <v>0</v>
      </c>
      <c r="F36" s="87">
        <v>0</v>
      </c>
      <c r="G36" s="47">
        <f t="shared" si="4"/>
        <v>0</v>
      </c>
      <c r="H36" s="88"/>
      <c r="I36" s="15">
        <v>100</v>
      </c>
      <c r="J36" s="82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v>9</v>
      </c>
      <c r="D37" s="87">
        <v>0</v>
      </c>
      <c r="E37" s="47">
        <f t="shared" si="0"/>
        <v>9</v>
      </c>
      <c r="F37" s="87">
        <v>0</v>
      </c>
      <c r="G37" s="47">
        <f t="shared" si="4"/>
        <v>4</v>
      </c>
      <c r="H37" s="88">
        <v>5</v>
      </c>
      <c r="I37" s="15">
        <v>100</v>
      </c>
      <c r="J37" s="82">
        <f t="shared" si="5"/>
        <v>500</v>
      </c>
      <c r="K37" s="17" t="s">
        <v>16</v>
      </c>
      <c r="L37" s="18">
        <v>0</v>
      </c>
      <c r="M37" s="104">
        <f t="shared" si="6"/>
        <v>500</v>
      </c>
    </row>
    <row r="38" spans="1:13" ht="25.5" x14ac:dyDescent="0.55000000000000004">
      <c r="A38" s="10">
        <v>34</v>
      </c>
      <c r="B38" s="19" t="s">
        <v>49</v>
      </c>
      <c r="C38" s="79">
        <f>+'27'!G38</f>
        <v>4</v>
      </c>
      <c r="D38" s="87">
        <v>0</v>
      </c>
      <c r="E38" s="47">
        <f t="shared" si="0"/>
        <v>4</v>
      </c>
      <c r="F38" s="87">
        <v>0</v>
      </c>
      <c r="G38" s="47">
        <f t="shared" si="4"/>
        <v>2</v>
      </c>
      <c r="H38" s="88">
        <v>2</v>
      </c>
      <c r="I38" s="15">
        <v>50</v>
      </c>
      <c r="J38" s="82">
        <f t="shared" si="5"/>
        <v>100</v>
      </c>
      <c r="K38" s="17" t="s">
        <v>16</v>
      </c>
      <c r="L38" s="18">
        <v>0</v>
      </c>
      <c r="M38" s="104">
        <f t="shared" si="6"/>
        <v>100</v>
      </c>
    </row>
    <row r="39" spans="1:13" ht="25.5" x14ac:dyDescent="0.55000000000000004">
      <c r="A39" s="10">
        <v>35</v>
      </c>
      <c r="B39" s="19" t="s">
        <v>50</v>
      </c>
      <c r="C39" s="79">
        <f>+'27'!G39</f>
        <v>14</v>
      </c>
      <c r="D39" s="87">
        <v>0</v>
      </c>
      <c r="E39" s="47">
        <f t="shared" si="0"/>
        <v>14</v>
      </c>
      <c r="F39" s="87">
        <v>0</v>
      </c>
      <c r="G39" s="47">
        <f t="shared" si="4"/>
        <v>13</v>
      </c>
      <c r="H39" s="88">
        <v>1</v>
      </c>
      <c r="I39" s="15">
        <v>50</v>
      </c>
      <c r="J39" s="82">
        <f t="shared" si="5"/>
        <v>50</v>
      </c>
      <c r="K39" s="17" t="s">
        <v>16</v>
      </c>
      <c r="L39" s="18">
        <v>0</v>
      </c>
      <c r="M39" s="104">
        <f t="shared" si="6"/>
        <v>50</v>
      </c>
    </row>
    <row r="40" spans="1:13" ht="25.5" x14ac:dyDescent="0.55000000000000004">
      <c r="A40" s="10">
        <v>36</v>
      </c>
      <c r="B40" s="19" t="s">
        <v>51</v>
      </c>
      <c r="C40" s="79">
        <f>+'27'!G40</f>
        <v>8</v>
      </c>
      <c r="D40" s="87">
        <v>0</v>
      </c>
      <c r="E40" s="47">
        <f t="shared" si="0"/>
        <v>8</v>
      </c>
      <c r="F40" s="87">
        <v>0</v>
      </c>
      <c r="G40" s="47">
        <f t="shared" si="4"/>
        <v>7</v>
      </c>
      <c r="H40" s="88">
        <v>1</v>
      </c>
      <c r="I40" s="15">
        <v>50</v>
      </c>
      <c r="J40" s="82">
        <f t="shared" si="5"/>
        <v>50</v>
      </c>
      <c r="K40" s="17" t="s">
        <v>16</v>
      </c>
      <c r="L40" s="18">
        <v>0</v>
      </c>
      <c r="M40" s="104">
        <f t="shared" si="6"/>
        <v>50</v>
      </c>
    </row>
    <row r="41" spans="1:13" ht="25.5" x14ac:dyDescent="0.55000000000000004">
      <c r="A41" s="10">
        <v>37</v>
      </c>
      <c r="B41" s="19" t="s">
        <v>52</v>
      </c>
      <c r="C41" s="79">
        <f>+'27'!G41</f>
        <v>0</v>
      </c>
      <c r="D41" s="87">
        <v>0</v>
      </c>
      <c r="E41" s="47">
        <f t="shared" si="0"/>
        <v>0</v>
      </c>
      <c r="F41" s="87">
        <v>0</v>
      </c>
      <c r="G41" s="47">
        <f t="shared" si="4"/>
        <v>0</v>
      </c>
      <c r="H41" s="88"/>
      <c r="I41" s="15">
        <v>50</v>
      </c>
      <c r="J41" s="82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285</v>
      </c>
      <c r="C42" s="79">
        <f>+'27'!G42</f>
        <v>2</v>
      </c>
      <c r="D42" s="87">
        <v>0</v>
      </c>
      <c r="E42" s="47">
        <f t="shared" si="0"/>
        <v>2</v>
      </c>
      <c r="F42" s="87">
        <v>0</v>
      </c>
      <c r="G42" s="47">
        <f t="shared" si="4"/>
        <v>2</v>
      </c>
      <c r="H42" s="88"/>
      <c r="I42" s="15">
        <v>50</v>
      </c>
      <c r="J42" s="82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+'27'!G43</f>
        <v>2</v>
      </c>
      <c r="D43" s="87">
        <v>0</v>
      </c>
      <c r="E43" s="47">
        <f t="shared" si="0"/>
        <v>2</v>
      </c>
      <c r="F43" s="87">
        <v>0</v>
      </c>
      <c r="G43" s="47">
        <f t="shared" si="4"/>
        <v>1</v>
      </c>
      <c r="H43" s="88">
        <v>1</v>
      </c>
      <c r="I43" s="15">
        <v>50</v>
      </c>
      <c r="J43" s="82">
        <f t="shared" si="5"/>
        <v>50</v>
      </c>
      <c r="K43" s="17" t="s">
        <v>16</v>
      </c>
      <c r="L43" s="18">
        <v>0</v>
      </c>
      <c r="M43" s="104">
        <f t="shared" si="6"/>
        <v>50</v>
      </c>
    </row>
    <row r="44" spans="1:13" ht="25.5" x14ac:dyDescent="0.55000000000000004">
      <c r="A44" s="10">
        <v>40</v>
      </c>
      <c r="B44" s="19" t="s">
        <v>55</v>
      </c>
      <c r="C44" s="79">
        <f>+'27'!G44</f>
        <v>2</v>
      </c>
      <c r="D44" s="87">
        <v>0</v>
      </c>
      <c r="E44" s="47">
        <f t="shared" si="0"/>
        <v>2</v>
      </c>
      <c r="F44" s="87">
        <v>0</v>
      </c>
      <c r="G44" s="47">
        <f t="shared" si="4"/>
        <v>2</v>
      </c>
      <c r="H44" s="88"/>
      <c r="I44" s="15">
        <v>50</v>
      </c>
      <c r="J44" s="82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+'27'!G45</f>
        <v>0</v>
      </c>
      <c r="D45" s="87">
        <v>0</v>
      </c>
      <c r="E45" s="47">
        <f t="shared" si="0"/>
        <v>0</v>
      </c>
      <c r="F45" s="87">
        <v>0</v>
      </c>
      <c r="G45" s="47">
        <f t="shared" si="4"/>
        <v>0</v>
      </c>
      <c r="H45" s="88"/>
      <c r="I45" s="15">
        <v>50</v>
      </c>
      <c r="J45" s="82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286</v>
      </c>
      <c r="C46" s="79">
        <f>+'27'!G46</f>
        <v>2</v>
      </c>
      <c r="D46" s="87">
        <v>0</v>
      </c>
      <c r="E46" s="47">
        <f t="shared" si="0"/>
        <v>2</v>
      </c>
      <c r="F46" s="87">
        <v>0</v>
      </c>
      <c r="G46" s="47">
        <f t="shared" si="4"/>
        <v>2</v>
      </c>
      <c r="H46" s="88"/>
      <c r="I46" s="15">
        <v>50</v>
      </c>
      <c r="J46" s="82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+'27'!G47</f>
        <v>2</v>
      </c>
      <c r="D47" s="87">
        <v>0</v>
      </c>
      <c r="E47" s="47">
        <f t="shared" si="0"/>
        <v>2</v>
      </c>
      <c r="F47" s="87">
        <v>0</v>
      </c>
      <c r="G47" s="47">
        <f t="shared" si="4"/>
        <v>1</v>
      </c>
      <c r="H47" s="88">
        <v>1</v>
      </c>
      <c r="I47" s="15">
        <v>50</v>
      </c>
      <c r="J47" s="82">
        <f t="shared" si="5"/>
        <v>50</v>
      </c>
      <c r="K47" s="17" t="s">
        <v>16</v>
      </c>
      <c r="L47" s="18">
        <v>0</v>
      </c>
      <c r="M47" s="104">
        <f t="shared" si="6"/>
        <v>50</v>
      </c>
    </row>
    <row r="48" spans="1:13" ht="25.5" x14ac:dyDescent="0.55000000000000004">
      <c r="A48" s="10">
        <v>44</v>
      </c>
      <c r="B48" s="19" t="s">
        <v>59</v>
      </c>
      <c r="C48" s="79">
        <f>+'27'!G48</f>
        <v>2</v>
      </c>
      <c r="D48" s="87">
        <v>0</v>
      </c>
      <c r="E48" s="47">
        <f t="shared" si="0"/>
        <v>2</v>
      </c>
      <c r="F48" s="87">
        <v>0</v>
      </c>
      <c r="G48" s="47">
        <f t="shared" si="4"/>
        <v>2</v>
      </c>
      <c r="H48" s="88"/>
      <c r="I48" s="15">
        <v>50</v>
      </c>
      <c r="J48" s="82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+'27'!G49</f>
        <v>2</v>
      </c>
      <c r="D49" s="87">
        <v>0</v>
      </c>
      <c r="E49" s="47">
        <f t="shared" si="0"/>
        <v>2</v>
      </c>
      <c r="F49" s="87">
        <v>0</v>
      </c>
      <c r="G49" s="47">
        <f t="shared" si="4"/>
        <v>2</v>
      </c>
      <c r="H49" s="88"/>
      <c r="I49" s="15">
        <v>50</v>
      </c>
      <c r="J49" s="82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+'27'!G50</f>
        <v>1</v>
      </c>
      <c r="D50" s="87">
        <v>0</v>
      </c>
      <c r="E50" s="47">
        <f t="shared" si="0"/>
        <v>1</v>
      </c>
      <c r="F50" s="87">
        <v>0</v>
      </c>
      <c r="G50" s="47">
        <f t="shared" si="4"/>
        <v>0</v>
      </c>
      <c r="H50" s="88">
        <v>1</v>
      </c>
      <c r="I50" s="15">
        <v>120</v>
      </c>
      <c r="J50" s="82">
        <f t="shared" si="5"/>
        <v>120</v>
      </c>
      <c r="K50" s="17" t="s">
        <v>16</v>
      </c>
      <c r="L50" s="18">
        <v>35</v>
      </c>
      <c r="M50" s="23">
        <f t="shared" si="6"/>
        <v>85</v>
      </c>
    </row>
    <row r="51" spans="1:13" ht="25.5" x14ac:dyDescent="0.55000000000000004">
      <c r="A51" s="10">
        <v>47</v>
      </c>
      <c r="B51" s="19" t="s">
        <v>62</v>
      </c>
      <c r="C51" s="79">
        <f>+'27'!G51</f>
        <v>2</v>
      </c>
      <c r="D51" s="87">
        <v>0</v>
      </c>
      <c r="E51" s="47">
        <f t="shared" si="0"/>
        <v>2</v>
      </c>
      <c r="F51" s="87">
        <v>0</v>
      </c>
      <c r="G51" s="47">
        <f t="shared" si="4"/>
        <v>2</v>
      </c>
      <c r="H51" s="88"/>
      <c r="I51" s="15">
        <v>120</v>
      </c>
      <c r="J51" s="82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+'27'!G52</f>
        <v>0</v>
      </c>
      <c r="D52" s="87">
        <v>0</v>
      </c>
      <c r="E52" s="47">
        <f t="shared" si="0"/>
        <v>0</v>
      </c>
      <c r="F52" s="87">
        <v>0</v>
      </c>
      <c r="G52" s="47">
        <f t="shared" si="4"/>
        <v>0</v>
      </c>
      <c r="H52" s="88"/>
      <c r="I52" s="21">
        <v>120</v>
      </c>
      <c r="J52" s="82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+'27'!G53</f>
        <v>0</v>
      </c>
      <c r="D53" s="87">
        <v>0</v>
      </c>
      <c r="E53" s="47">
        <f t="shared" si="0"/>
        <v>0</v>
      </c>
      <c r="F53" s="87">
        <v>0</v>
      </c>
      <c r="G53" s="47">
        <f t="shared" si="4"/>
        <v>0</v>
      </c>
      <c r="H53" s="88"/>
      <c r="I53" s="15">
        <v>120</v>
      </c>
      <c r="J53" s="82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+'27'!G54</f>
        <v>0</v>
      </c>
      <c r="D54" s="87">
        <v>0</v>
      </c>
      <c r="E54" s="47">
        <f t="shared" si="0"/>
        <v>0</v>
      </c>
      <c r="F54" s="87">
        <v>0</v>
      </c>
      <c r="G54" s="47">
        <f t="shared" si="4"/>
        <v>0</v>
      </c>
      <c r="H54" s="88"/>
      <c r="I54" s="15">
        <v>120</v>
      </c>
      <c r="J54" s="82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+'27'!G55</f>
        <v>1</v>
      </c>
      <c r="D55" s="87">
        <v>0</v>
      </c>
      <c r="E55" s="47">
        <f t="shared" si="0"/>
        <v>1</v>
      </c>
      <c r="F55" s="87">
        <v>0</v>
      </c>
      <c r="G55" s="47">
        <f t="shared" si="4"/>
        <v>1</v>
      </c>
      <c r="H55" s="88"/>
      <c r="I55" s="21">
        <v>120</v>
      </c>
      <c r="J55" s="82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+'27'!G56</f>
        <v>0</v>
      </c>
      <c r="D56" s="87">
        <v>0</v>
      </c>
      <c r="E56" s="47">
        <f t="shared" si="0"/>
        <v>0</v>
      </c>
      <c r="F56" s="87">
        <v>0</v>
      </c>
      <c r="G56" s="47">
        <f t="shared" si="4"/>
        <v>0</v>
      </c>
      <c r="H56" s="88"/>
      <c r="I56" s="21">
        <v>120</v>
      </c>
      <c r="J56" s="82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+'27'!G57</f>
        <v>1</v>
      </c>
      <c r="D57" s="87">
        <v>0</v>
      </c>
      <c r="E57" s="47">
        <f t="shared" si="0"/>
        <v>1</v>
      </c>
      <c r="F57" s="87">
        <v>0</v>
      </c>
      <c r="G57" s="47">
        <f t="shared" si="4"/>
        <v>0</v>
      </c>
      <c r="H57" s="88">
        <v>1</v>
      </c>
      <c r="I57" s="21">
        <v>120</v>
      </c>
      <c r="J57" s="82">
        <f t="shared" si="5"/>
        <v>120</v>
      </c>
      <c r="K57" s="17" t="s">
        <v>16</v>
      </c>
      <c r="L57" s="18">
        <v>35</v>
      </c>
      <c r="M57" s="23">
        <f t="shared" si="6"/>
        <v>85</v>
      </c>
    </row>
    <row r="58" spans="1:13" ht="25.5" x14ac:dyDescent="0.55000000000000004">
      <c r="A58" s="10">
        <v>54</v>
      </c>
      <c r="B58" s="19" t="s">
        <v>69</v>
      </c>
      <c r="C58" s="79">
        <f>+'27'!G58</f>
        <v>0</v>
      </c>
      <c r="D58" s="87">
        <v>0</v>
      </c>
      <c r="E58" s="47">
        <f t="shared" si="0"/>
        <v>0</v>
      </c>
      <c r="F58" s="87">
        <v>0</v>
      </c>
      <c r="G58" s="47">
        <f t="shared" si="4"/>
        <v>0</v>
      </c>
      <c r="H58" s="88"/>
      <c r="I58" s="21">
        <v>120</v>
      </c>
      <c r="J58" s="82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+'27'!G59</f>
        <v>0</v>
      </c>
      <c r="D59" s="87">
        <v>0</v>
      </c>
      <c r="E59" s="47">
        <f t="shared" si="0"/>
        <v>0</v>
      </c>
      <c r="F59" s="87">
        <v>0</v>
      </c>
      <c r="G59" s="47">
        <f t="shared" si="4"/>
        <v>0</v>
      </c>
      <c r="H59" s="88"/>
      <c r="I59" s="15">
        <v>70</v>
      </c>
      <c r="J59" s="82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+'27'!G60</f>
        <v>0</v>
      </c>
      <c r="D60" s="87">
        <v>0</v>
      </c>
      <c r="E60" s="47">
        <f t="shared" si="0"/>
        <v>0</v>
      </c>
      <c r="F60" s="87">
        <v>0</v>
      </c>
      <c r="G60" s="47">
        <f t="shared" si="4"/>
        <v>0</v>
      </c>
      <c r="H60" s="88"/>
      <c r="I60" s="21">
        <v>80</v>
      </c>
      <c r="J60" s="82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+'27'!G61</f>
        <v>0</v>
      </c>
      <c r="D61" s="87">
        <v>0</v>
      </c>
      <c r="E61" s="47">
        <f t="shared" si="0"/>
        <v>0</v>
      </c>
      <c r="F61" s="87">
        <v>0</v>
      </c>
      <c r="G61" s="47">
        <f t="shared" si="4"/>
        <v>0</v>
      </c>
      <c r="H61" s="88"/>
      <c r="I61" s="15">
        <v>50</v>
      </c>
      <c r="J61" s="82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+'27'!G62</f>
        <v>0</v>
      </c>
      <c r="D62" s="87">
        <v>0</v>
      </c>
      <c r="E62" s="47">
        <f t="shared" si="0"/>
        <v>0</v>
      </c>
      <c r="F62" s="87">
        <v>0</v>
      </c>
      <c r="G62" s="47">
        <f t="shared" si="4"/>
        <v>0</v>
      </c>
      <c r="H62" s="88"/>
      <c r="I62" s="20">
        <v>50</v>
      </c>
      <c r="J62" s="82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+'27'!G63</f>
        <v>0</v>
      </c>
      <c r="D63" s="87">
        <v>0</v>
      </c>
      <c r="E63" s="47">
        <f t="shared" si="0"/>
        <v>0</v>
      </c>
      <c r="F63" s="87">
        <v>0</v>
      </c>
      <c r="G63" s="47">
        <f t="shared" si="4"/>
        <v>0</v>
      </c>
      <c r="H63" s="88"/>
      <c r="I63" s="20">
        <v>50</v>
      </c>
      <c r="J63" s="82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+'27'!G64</f>
        <v>0</v>
      </c>
      <c r="D64" s="87">
        <v>0</v>
      </c>
      <c r="E64" s="47">
        <f t="shared" si="0"/>
        <v>0</v>
      </c>
      <c r="F64" s="87">
        <v>0</v>
      </c>
      <c r="G64" s="47">
        <f t="shared" si="4"/>
        <v>0</v>
      </c>
      <c r="H64" s="88"/>
      <c r="I64" s="21">
        <v>30</v>
      </c>
      <c r="J64" s="82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+'27'!G65</f>
        <v>0</v>
      </c>
      <c r="D65" s="87">
        <v>0</v>
      </c>
      <c r="E65" s="47">
        <f t="shared" si="0"/>
        <v>0</v>
      </c>
      <c r="F65" s="87">
        <v>0</v>
      </c>
      <c r="G65" s="47">
        <f t="shared" si="4"/>
        <v>0</v>
      </c>
      <c r="H65" s="88"/>
      <c r="I65" s="21">
        <v>30</v>
      </c>
      <c r="J65" s="82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+'27'!G66</f>
        <v>15</v>
      </c>
      <c r="D66" s="87">
        <v>0</v>
      </c>
      <c r="E66" s="47">
        <f t="shared" si="0"/>
        <v>15</v>
      </c>
      <c r="F66" s="87">
        <v>0</v>
      </c>
      <c r="G66" s="47">
        <f t="shared" si="4"/>
        <v>12</v>
      </c>
      <c r="H66" s="88">
        <v>3</v>
      </c>
      <c r="I66" s="15">
        <v>50</v>
      </c>
      <c r="J66" s="82">
        <f t="shared" si="5"/>
        <v>150</v>
      </c>
      <c r="K66" s="17" t="s">
        <v>16</v>
      </c>
      <c r="L66" s="18">
        <v>0</v>
      </c>
      <c r="M66" s="23">
        <f t="shared" si="6"/>
        <v>150</v>
      </c>
    </row>
    <row r="67" spans="1:13" ht="25.5" x14ac:dyDescent="0.55000000000000004">
      <c r="A67" s="10">
        <v>63</v>
      </c>
      <c r="B67" s="19" t="s">
        <v>78</v>
      </c>
      <c r="C67" s="79">
        <f>+'27'!G67</f>
        <v>7</v>
      </c>
      <c r="D67" s="87">
        <v>0</v>
      </c>
      <c r="E67" s="47">
        <f t="shared" si="0"/>
        <v>7</v>
      </c>
      <c r="F67" s="87">
        <v>0</v>
      </c>
      <c r="G67" s="47">
        <f t="shared" si="4"/>
        <v>5</v>
      </c>
      <c r="H67" s="88">
        <v>2</v>
      </c>
      <c r="I67" s="15">
        <v>50</v>
      </c>
      <c r="J67" s="82">
        <f t="shared" si="5"/>
        <v>100</v>
      </c>
      <c r="K67" s="17" t="s">
        <v>16</v>
      </c>
      <c r="L67" s="18">
        <v>50</v>
      </c>
      <c r="M67" s="23">
        <f t="shared" si="6"/>
        <v>50</v>
      </c>
    </row>
    <row r="68" spans="1:13" ht="25.5" x14ac:dyDescent="0.55000000000000004">
      <c r="A68" s="10">
        <v>64</v>
      </c>
      <c r="B68" s="19" t="s">
        <v>79</v>
      </c>
      <c r="C68" s="79">
        <f>+'27'!G68</f>
        <v>0</v>
      </c>
      <c r="D68" s="87">
        <v>0</v>
      </c>
      <c r="E68" s="47">
        <f t="shared" si="0"/>
        <v>0</v>
      </c>
      <c r="F68" s="87">
        <v>0</v>
      </c>
      <c r="G68" s="47">
        <f t="shared" si="4"/>
        <v>0</v>
      </c>
      <c r="H68" s="88"/>
      <c r="I68" s="20">
        <v>35</v>
      </c>
      <c r="J68" s="82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+'27'!G69</f>
        <v>0</v>
      </c>
      <c r="D69" s="87">
        <v>0</v>
      </c>
      <c r="E69" s="47">
        <f t="shared" si="0"/>
        <v>0</v>
      </c>
      <c r="F69" s="87">
        <v>0</v>
      </c>
      <c r="G69" s="47">
        <f t="shared" si="4"/>
        <v>0</v>
      </c>
      <c r="H69" s="88"/>
      <c r="I69" s="20">
        <v>25</v>
      </c>
      <c r="J69" s="82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+'27'!G70</f>
        <v>7</v>
      </c>
      <c r="D70" s="87">
        <v>0</v>
      </c>
      <c r="E70" s="47">
        <f t="shared" si="0"/>
        <v>7</v>
      </c>
      <c r="F70" s="87">
        <v>0</v>
      </c>
      <c r="G70" s="47">
        <f t="shared" si="4"/>
        <v>6</v>
      </c>
      <c r="H70" s="88">
        <v>1</v>
      </c>
      <c r="I70" s="20">
        <v>50</v>
      </c>
      <c r="J70" s="82">
        <f t="shared" si="5"/>
        <v>50</v>
      </c>
      <c r="K70" s="17" t="s">
        <v>16</v>
      </c>
      <c r="L70" s="18">
        <v>0</v>
      </c>
      <c r="M70" s="23">
        <f t="shared" ref="M70:M134" si="10">SUM(J70-L70)</f>
        <v>50</v>
      </c>
    </row>
    <row r="71" spans="1:13" ht="25.5" x14ac:dyDescent="0.55000000000000004">
      <c r="A71" s="10">
        <v>67</v>
      </c>
      <c r="B71" s="19" t="s">
        <v>82</v>
      </c>
      <c r="C71" s="79">
        <f>+'27'!G71</f>
        <v>0</v>
      </c>
      <c r="D71" s="87">
        <v>0</v>
      </c>
      <c r="E71" s="47">
        <f t="shared" si="0"/>
        <v>0</v>
      </c>
      <c r="F71" s="87">
        <v>0</v>
      </c>
      <c r="G71" s="47">
        <f t="shared" si="4"/>
        <v>0</v>
      </c>
      <c r="H71" s="88"/>
      <c r="I71" s="20">
        <v>60</v>
      </c>
      <c r="J71" s="82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+'27'!G72</f>
        <v>0</v>
      </c>
      <c r="D72" s="87">
        <v>0</v>
      </c>
      <c r="E72" s="47">
        <f t="shared" si="0"/>
        <v>0</v>
      </c>
      <c r="F72" s="87">
        <v>0</v>
      </c>
      <c r="G72" s="47">
        <f t="shared" si="4"/>
        <v>0</v>
      </c>
      <c r="H72" s="88"/>
      <c r="I72" s="22">
        <v>50</v>
      </c>
      <c r="J72" s="82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+'27'!G73</f>
        <v>0</v>
      </c>
      <c r="D73" s="87">
        <v>0</v>
      </c>
      <c r="E73" s="47">
        <f t="shared" si="0"/>
        <v>0</v>
      </c>
      <c r="F73" s="87">
        <v>0</v>
      </c>
      <c r="G73" s="47">
        <f t="shared" si="4"/>
        <v>0</v>
      </c>
      <c r="H73" s="88"/>
      <c r="I73" s="20">
        <v>60</v>
      </c>
      <c r="J73" s="82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+'27'!G74</f>
        <v>9</v>
      </c>
      <c r="D74" s="87">
        <v>0</v>
      </c>
      <c r="E74" s="47">
        <f t="shared" si="0"/>
        <v>9</v>
      </c>
      <c r="F74" s="87">
        <v>0</v>
      </c>
      <c r="G74" s="47">
        <f t="shared" si="4"/>
        <v>4</v>
      </c>
      <c r="H74" s="88">
        <v>5</v>
      </c>
      <c r="I74" s="22">
        <v>120</v>
      </c>
      <c r="J74" s="82">
        <f t="shared" si="5"/>
        <v>600</v>
      </c>
      <c r="K74" s="17" t="s">
        <v>16</v>
      </c>
      <c r="L74" s="18">
        <v>0</v>
      </c>
      <c r="M74" s="23">
        <f t="shared" si="10"/>
        <v>600</v>
      </c>
    </row>
    <row r="75" spans="1:13" ht="25.5" x14ac:dyDescent="0.55000000000000004">
      <c r="A75" s="10">
        <v>71</v>
      </c>
      <c r="B75" s="19" t="s">
        <v>86</v>
      </c>
      <c r="C75" s="79">
        <f>+'27'!G75</f>
        <v>0</v>
      </c>
      <c r="D75" s="87">
        <v>0</v>
      </c>
      <c r="E75" s="47">
        <f t="shared" si="0"/>
        <v>0</v>
      </c>
      <c r="F75" s="87">
        <v>0</v>
      </c>
      <c r="G75" s="47">
        <f t="shared" si="4"/>
        <v>0</v>
      </c>
      <c r="H75" s="88"/>
      <c r="I75" s="22">
        <v>60</v>
      </c>
      <c r="J75" s="82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+'27'!G76</f>
        <v>0</v>
      </c>
      <c r="D76" s="87">
        <v>0</v>
      </c>
      <c r="E76" s="47">
        <f t="shared" si="0"/>
        <v>0</v>
      </c>
      <c r="F76" s="87">
        <v>0</v>
      </c>
      <c r="G76" s="47">
        <f t="shared" si="4"/>
        <v>0</v>
      </c>
      <c r="H76" s="88"/>
      <c r="I76" s="22">
        <v>120</v>
      </c>
      <c r="J76" s="82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1" t="s">
        <v>272</v>
      </c>
      <c r="C77" s="79">
        <f>+'27'!G77</f>
        <v>2</v>
      </c>
      <c r="D77" s="87">
        <v>0</v>
      </c>
      <c r="E77" s="47">
        <f>C77+D77</f>
        <v>2</v>
      </c>
      <c r="F77" s="87">
        <v>0</v>
      </c>
      <c r="G77" s="47">
        <f>+E77-F77-H77</f>
        <v>0</v>
      </c>
      <c r="H77" s="88">
        <v>2</v>
      </c>
      <c r="I77" s="20">
        <v>50</v>
      </c>
      <c r="J77" s="82">
        <f>+I77*H77</f>
        <v>100</v>
      </c>
      <c r="K77" s="17" t="s">
        <v>16</v>
      </c>
      <c r="L77" s="18">
        <v>0</v>
      </c>
      <c r="M77" s="23">
        <f>SUM(J77-L77)</f>
        <v>100</v>
      </c>
    </row>
    <row r="78" spans="1:13" ht="25.5" x14ac:dyDescent="0.55000000000000004">
      <c r="A78" s="10">
        <v>74</v>
      </c>
      <c r="B78" s="19" t="s">
        <v>277</v>
      </c>
      <c r="C78" s="79">
        <f>+'27'!G78</f>
        <v>0</v>
      </c>
      <c r="D78" s="87">
        <v>0</v>
      </c>
      <c r="E78" s="47">
        <f t="shared" si="0"/>
        <v>0</v>
      </c>
      <c r="F78" s="87">
        <v>0</v>
      </c>
      <c r="G78" s="47">
        <f t="shared" si="4"/>
        <v>0</v>
      </c>
      <c r="H78" s="88"/>
      <c r="I78" s="20">
        <v>50</v>
      </c>
      <c r="J78" s="82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278</v>
      </c>
      <c r="C79" s="79">
        <f>+'27'!G79</f>
        <v>0</v>
      </c>
      <c r="D79" s="87">
        <v>0</v>
      </c>
      <c r="E79" s="47">
        <f t="shared" si="0"/>
        <v>0</v>
      </c>
      <c r="F79" s="87">
        <v>0</v>
      </c>
      <c r="G79" s="47">
        <f t="shared" si="4"/>
        <v>0</v>
      </c>
      <c r="H79" s="88"/>
      <c r="I79" s="22">
        <v>120</v>
      </c>
      <c r="J79" s="82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90</v>
      </c>
      <c r="C80" s="79">
        <f>+'27'!G80</f>
        <v>0</v>
      </c>
      <c r="D80" s="87">
        <v>0</v>
      </c>
      <c r="E80" s="47">
        <f t="shared" si="0"/>
        <v>0</v>
      </c>
      <c r="F80" s="87">
        <v>0</v>
      </c>
      <c r="G80" s="47">
        <f t="shared" si="4"/>
        <v>0</v>
      </c>
      <c r="H80" s="88"/>
      <c r="I80" s="22">
        <v>50</v>
      </c>
      <c r="J80" s="82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91</v>
      </c>
      <c r="C81" s="79">
        <f>+'27'!G81</f>
        <v>0</v>
      </c>
      <c r="D81" s="87">
        <v>0</v>
      </c>
      <c r="E81" s="47">
        <f t="shared" si="0"/>
        <v>0</v>
      </c>
      <c r="F81" s="87">
        <v>0</v>
      </c>
      <c r="G81" s="47">
        <f t="shared" si="4"/>
        <v>0</v>
      </c>
      <c r="H81" s="88"/>
      <c r="I81" s="22">
        <v>50</v>
      </c>
      <c r="J81" s="82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92</v>
      </c>
      <c r="C82" s="79">
        <f>+'27'!G82</f>
        <v>4</v>
      </c>
      <c r="D82" s="87">
        <v>0</v>
      </c>
      <c r="E82" s="47">
        <f t="shared" si="0"/>
        <v>4</v>
      </c>
      <c r="F82" s="87">
        <v>0</v>
      </c>
      <c r="G82" s="47">
        <f t="shared" si="4"/>
        <v>4</v>
      </c>
      <c r="H82" s="88"/>
      <c r="I82" s="20">
        <v>55</v>
      </c>
      <c r="J82" s="82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93</v>
      </c>
      <c r="C83" s="79">
        <f>+'27'!G83</f>
        <v>2</v>
      </c>
      <c r="D83" s="87">
        <v>0</v>
      </c>
      <c r="E83" s="47">
        <f t="shared" si="0"/>
        <v>2</v>
      </c>
      <c r="F83" s="87">
        <v>0</v>
      </c>
      <c r="G83" s="47">
        <f t="shared" si="4"/>
        <v>2</v>
      </c>
      <c r="H83" s="88"/>
      <c r="I83" s="22">
        <v>55</v>
      </c>
      <c r="J83" s="82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94</v>
      </c>
      <c r="C84" s="79">
        <f>+'27'!G84</f>
        <v>0</v>
      </c>
      <c r="D84" s="87">
        <v>0</v>
      </c>
      <c r="E84" s="47">
        <f t="shared" si="0"/>
        <v>0</v>
      </c>
      <c r="F84" s="87">
        <v>0</v>
      </c>
      <c r="G84" s="47">
        <f t="shared" si="4"/>
        <v>0</v>
      </c>
      <c r="H84" s="88"/>
      <c r="I84" s="22">
        <v>55</v>
      </c>
      <c r="J84" s="82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95</v>
      </c>
      <c r="C85" s="79">
        <f>+'27'!G85</f>
        <v>0</v>
      </c>
      <c r="D85" s="87">
        <v>0</v>
      </c>
      <c r="E85" s="47">
        <f t="shared" si="0"/>
        <v>0</v>
      </c>
      <c r="F85" s="87">
        <v>0</v>
      </c>
      <c r="G85" s="47">
        <f t="shared" si="4"/>
        <v>0</v>
      </c>
      <c r="H85" s="88"/>
      <c r="I85" s="22">
        <v>55</v>
      </c>
      <c r="J85" s="82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96</v>
      </c>
      <c r="C86" s="79">
        <f>+'27'!G86</f>
        <v>4</v>
      </c>
      <c r="D86" s="87">
        <v>0</v>
      </c>
      <c r="E86" s="47">
        <f t="shared" si="0"/>
        <v>4</v>
      </c>
      <c r="F86" s="87">
        <v>0</v>
      </c>
      <c r="G86" s="47">
        <f t="shared" si="4"/>
        <v>2</v>
      </c>
      <c r="H86" s="88">
        <v>2</v>
      </c>
      <c r="I86" s="22">
        <v>100</v>
      </c>
      <c r="J86" s="82">
        <f t="shared" si="5"/>
        <v>200</v>
      </c>
      <c r="K86" s="17" t="s">
        <v>16</v>
      </c>
      <c r="L86" s="18">
        <v>0</v>
      </c>
      <c r="M86" s="23">
        <f t="shared" si="10"/>
        <v>200</v>
      </c>
    </row>
    <row r="87" spans="1:13" ht="25.5" x14ac:dyDescent="0.55000000000000004">
      <c r="A87" s="10">
        <v>83</v>
      </c>
      <c r="B87" s="19" t="s">
        <v>97</v>
      </c>
      <c r="C87" s="79">
        <f>+'27'!G87</f>
        <v>11</v>
      </c>
      <c r="D87" s="87">
        <v>0</v>
      </c>
      <c r="E87" s="47">
        <f t="shared" si="0"/>
        <v>11</v>
      </c>
      <c r="F87" s="87">
        <v>0</v>
      </c>
      <c r="G87" s="47">
        <f t="shared" si="4"/>
        <v>10</v>
      </c>
      <c r="H87" s="88">
        <v>1</v>
      </c>
      <c r="I87" s="20">
        <v>55</v>
      </c>
      <c r="J87" s="82">
        <f t="shared" si="5"/>
        <v>55</v>
      </c>
      <c r="K87" s="17" t="s">
        <v>16</v>
      </c>
      <c r="L87" s="18">
        <v>0</v>
      </c>
      <c r="M87" s="23">
        <f t="shared" si="10"/>
        <v>55</v>
      </c>
    </row>
    <row r="88" spans="1:13" ht="25.5" x14ac:dyDescent="0.55000000000000004">
      <c r="A88" s="10">
        <v>84</v>
      </c>
      <c r="B88" s="19" t="s">
        <v>98</v>
      </c>
      <c r="C88" s="79">
        <f>+'27'!G88</f>
        <v>7</v>
      </c>
      <c r="D88" s="87">
        <v>0</v>
      </c>
      <c r="E88" s="47">
        <f t="shared" si="0"/>
        <v>7</v>
      </c>
      <c r="F88" s="87">
        <v>0</v>
      </c>
      <c r="G88" s="47">
        <f t="shared" si="4"/>
        <v>5</v>
      </c>
      <c r="H88" s="88">
        <v>2</v>
      </c>
      <c r="I88" s="20">
        <v>60</v>
      </c>
      <c r="J88" s="82">
        <f t="shared" si="5"/>
        <v>120</v>
      </c>
      <c r="K88" s="17" t="s">
        <v>16</v>
      </c>
      <c r="L88" s="18">
        <v>0</v>
      </c>
      <c r="M88" s="23">
        <f t="shared" si="10"/>
        <v>120</v>
      </c>
    </row>
    <row r="89" spans="1:13" ht="25.5" x14ac:dyDescent="0.55000000000000004">
      <c r="A89" s="10">
        <v>85</v>
      </c>
      <c r="B89" s="19" t="s">
        <v>99</v>
      </c>
      <c r="C89" s="79">
        <f>+'27'!G89</f>
        <v>5</v>
      </c>
      <c r="D89" s="87">
        <v>0</v>
      </c>
      <c r="E89" s="47">
        <f t="shared" si="0"/>
        <v>5</v>
      </c>
      <c r="F89" s="87">
        <v>0</v>
      </c>
      <c r="G89" s="47">
        <f t="shared" si="4"/>
        <v>4</v>
      </c>
      <c r="H89" s="88">
        <v>1</v>
      </c>
      <c r="I89" s="20">
        <v>100</v>
      </c>
      <c r="J89" s="82">
        <f t="shared" si="5"/>
        <v>100</v>
      </c>
      <c r="K89" s="17" t="s">
        <v>16</v>
      </c>
      <c r="L89" s="18">
        <v>100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100</v>
      </c>
      <c r="C90" s="79">
        <f>+'27'!G90</f>
        <v>4</v>
      </c>
      <c r="D90" s="87">
        <v>0</v>
      </c>
      <c r="E90" s="47">
        <f t="shared" si="0"/>
        <v>4</v>
      </c>
      <c r="F90" s="87">
        <v>0</v>
      </c>
      <c r="G90" s="47">
        <f t="shared" si="4"/>
        <v>3</v>
      </c>
      <c r="H90" s="88">
        <v>1</v>
      </c>
      <c r="I90" s="20">
        <v>55</v>
      </c>
      <c r="J90" s="82">
        <f t="shared" si="5"/>
        <v>55</v>
      </c>
      <c r="K90" s="17" t="s">
        <v>16</v>
      </c>
      <c r="L90" s="18">
        <v>0</v>
      </c>
      <c r="M90" s="23">
        <f t="shared" si="10"/>
        <v>55</v>
      </c>
    </row>
    <row r="91" spans="1:13" ht="25.5" x14ac:dyDescent="0.55000000000000004">
      <c r="A91" s="10">
        <v>87</v>
      </c>
      <c r="B91" s="19" t="s">
        <v>101</v>
      </c>
      <c r="C91" s="79">
        <f>+'27'!G91</f>
        <v>0</v>
      </c>
      <c r="D91" s="87">
        <v>0</v>
      </c>
      <c r="E91" s="47">
        <f t="shared" si="0"/>
        <v>0</v>
      </c>
      <c r="F91" s="87">
        <v>0</v>
      </c>
      <c r="G91" s="47">
        <f t="shared" si="4"/>
        <v>0</v>
      </c>
      <c r="H91" s="88"/>
      <c r="I91" s="20">
        <v>50</v>
      </c>
      <c r="J91" s="82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102</v>
      </c>
      <c r="C92" s="79">
        <f>+'27'!G92</f>
        <v>0</v>
      </c>
      <c r="D92" s="87">
        <v>0</v>
      </c>
      <c r="E92" s="47">
        <f t="shared" si="0"/>
        <v>0</v>
      </c>
      <c r="F92" s="87">
        <v>0</v>
      </c>
      <c r="G92" s="47">
        <f t="shared" si="4"/>
        <v>0</v>
      </c>
      <c r="H92" s="88"/>
      <c r="I92" s="22">
        <v>50</v>
      </c>
      <c r="J92" s="82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248</v>
      </c>
      <c r="C93" s="79">
        <f>+'27'!G93</f>
        <v>0</v>
      </c>
      <c r="D93" s="87">
        <v>0</v>
      </c>
      <c r="E93" s="47">
        <f t="shared" si="0"/>
        <v>0</v>
      </c>
      <c r="F93" s="87">
        <v>0</v>
      </c>
      <c r="G93" s="47">
        <f t="shared" si="4"/>
        <v>0</v>
      </c>
      <c r="H93" s="88"/>
      <c r="I93" s="22">
        <v>120</v>
      </c>
      <c r="J93" s="82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104</v>
      </c>
      <c r="C94" s="79">
        <f>+'27'!G94</f>
        <v>0</v>
      </c>
      <c r="D94" s="87">
        <v>0</v>
      </c>
      <c r="E94" s="47">
        <f t="shared" si="0"/>
        <v>0</v>
      </c>
      <c r="F94" s="87">
        <v>0</v>
      </c>
      <c r="G94" s="47">
        <f t="shared" si="4"/>
        <v>0</v>
      </c>
      <c r="H94" s="88"/>
      <c r="I94" s="20">
        <v>250</v>
      </c>
      <c r="J94" s="82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105</v>
      </c>
      <c r="C95" s="79">
        <f>+'27'!G95</f>
        <v>0</v>
      </c>
      <c r="D95" s="87">
        <v>0</v>
      </c>
      <c r="E95" s="47">
        <f t="shared" si="0"/>
        <v>0</v>
      </c>
      <c r="F95" s="87">
        <v>0</v>
      </c>
      <c r="G95" s="47">
        <f t="shared" si="4"/>
        <v>0</v>
      </c>
      <c r="H95" s="88"/>
      <c r="I95" s="20">
        <v>120</v>
      </c>
      <c r="J95" s="82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106</v>
      </c>
      <c r="C96" s="79">
        <f>+'27'!G96</f>
        <v>0</v>
      </c>
      <c r="D96" s="87">
        <v>0</v>
      </c>
      <c r="E96" s="47">
        <f t="shared" si="0"/>
        <v>0</v>
      </c>
      <c r="F96" s="87">
        <v>0</v>
      </c>
      <c r="G96" s="47">
        <f t="shared" si="4"/>
        <v>0</v>
      </c>
      <c r="H96" s="88"/>
      <c r="I96" s="20">
        <v>120</v>
      </c>
      <c r="J96" s="82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107</v>
      </c>
      <c r="C97" s="79">
        <f>+'27'!G97</f>
        <v>0</v>
      </c>
      <c r="D97" s="87">
        <v>0</v>
      </c>
      <c r="E97" s="47">
        <f t="shared" si="0"/>
        <v>0</v>
      </c>
      <c r="F97" s="87">
        <v>0</v>
      </c>
      <c r="G97" s="47">
        <f t="shared" si="4"/>
        <v>0</v>
      </c>
      <c r="H97" s="88"/>
      <c r="I97" s="20">
        <v>120</v>
      </c>
      <c r="J97" s="82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103</v>
      </c>
      <c r="C98" s="79">
        <f>+'27'!G98</f>
        <v>0</v>
      </c>
      <c r="D98" s="87">
        <v>0</v>
      </c>
      <c r="E98" s="47">
        <f t="shared" si="0"/>
        <v>0</v>
      </c>
      <c r="F98" s="87">
        <v>0</v>
      </c>
      <c r="G98" s="47">
        <f t="shared" si="4"/>
        <v>0</v>
      </c>
      <c r="H98" s="88"/>
      <c r="I98" s="20">
        <v>120</v>
      </c>
      <c r="J98" s="82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109</v>
      </c>
      <c r="C99" s="79">
        <f>+'27'!G99</f>
        <v>0</v>
      </c>
      <c r="D99" s="87">
        <v>0</v>
      </c>
      <c r="E99" s="47">
        <f t="shared" si="0"/>
        <v>0</v>
      </c>
      <c r="F99" s="87">
        <v>0</v>
      </c>
      <c r="G99" s="47">
        <f t="shared" si="4"/>
        <v>0</v>
      </c>
      <c r="H99" s="88"/>
      <c r="I99" s="20">
        <v>50</v>
      </c>
      <c r="J99" s="82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110</v>
      </c>
      <c r="C100" s="79">
        <f>+'27'!G100</f>
        <v>0</v>
      </c>
      <c r="D100" s="87">
        <v>0</v>
      </c>
      <c r="E100" s="47">
        <f t="shared" si="0"/>
        <v>0</v>
      </c>
      <c r="F100" s="87">
        <v>0</v>
      </c>
      <c r="G100" s="47">
        <f t="shared" si="4"/>
        <v>0</v>
      </c>
      <c r="H100" s="88"/>
      <c r="I100" s="20">
        <v>50</v>
      </c>
      <c r="J100" s="82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111</v>
      </c>
      <c r="C101" s="79">
        <f>+'27'!G101</f>
        <v>0</v>
      </c>
      <c r="D101" s="87">
        <v>0</v>
      </c>
      <c r="E101" s="47">
        <f t="shared" si="0"/>
        <v>0</v>
      </c>
      <c r="F101" s="87">
        <v>0</v>
      </c>
      <c r="G101" s="47">
        <f t="shared" ref="G101:G164" si="11">+E101-F101-H101</f>
        <v>0</v>
      </c>
      <c r="H101" s="88"/>
      <c r="I101" s="20">
        <v>60</v>
      </c>
      <c r="J101" s="82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112</v>
      </c>
      <c r="C102" s="79">
        <f>+'27'!G102</f>
        <v>0</v>
      </c>
      <c r="D102" s="87">
        <v>0</v>
      </c>
      <c r="E102" s="47">
        <f t="shared" si="0"/>
        <v>0</v>
      </c>
      <c r="F102" s="87">
        <v>0</v>
      </c>
      <c r="G102" s="47">
        <f t="shared" si="11"/>
        <v>0</v>
      </c>
      <c r="H102" s="88"/>
      <c r="I102" s="20">
        <v>55</v>
      </c>
      <c r="J102" s="82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113</v>
      </c>
      <c r="C103" s="79">
        <f>+'27'!G103</f>
        <v>0</v>
      </c>
      <c r="D103" s="87">
        <v>0</v>
      </c>
      <c r="E103" s="47">
        <f t="shared" si="0"/>
        <v>0</v>
      </c>
      <c r="F103" s="87">
        <v>0</v>
      </c>
      <c r="G103" s="47">
        <f t="shared" si="11"/>
        <v>0</v>
      </c>
      <c r="H103" s="88"/>
      <c r="I103" s="20">
        <v>50</v>
      </c>
      <c r="J103" s="82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114</v>
      </c>
      <c r="C104" s="79">
        <f>+'27'!G104</f>
        <v>0</v>
      </c>
      <c r="D104" s="87">
        <v>0</v>
      </c>
      <c r="E104" s="47">
        <f t="shared" si="0"/>
        <v>0</v>
      </c>
      <c r="F104" s="87">
        <v>0</v>
      </c>
      <c r="G104" s="47">
        <f t="shared" si="11"/>
        <v>0</v>
      </c>
      <c r="H104" s="88"/>
      <c r="I104" s="20">
        <v>100</v>
      </c>
      <c r="J104" s="82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115</v>
      </c>
      <c r="C105" s="79">
        <f>+'27'!G105</f>
        <v>0</v>
      </c>
      <c r="D105" s="87">
        <v>0</v>
      </c>
      <c r="E105" s="47">
        <f t="shared" si="0"/>
        <v>0</v>
      </c>
      <c r="F105" s="87">
        <v>0</v>
      </c>
      <c r="G105" s="47">
        <f t="shared" si="11"/>
        <v>0</v>
      </c>
      <c r="H105" s="88"/>
      <c r="I105" s="20">
        <v>100</v>
      </c>
      <c r="J105" s="82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116</v>
      </c>
      <c r="C106" s="79">
        <f>+'27'!G106</f>
        <v>0</v>
      </c>
      <c r="D106" s="87">
        <v>0</v>
      </c>
      <c r="E106" s="47">
        <f t="shared" si="0"/>
        <v>0</v>
      </c>
      <c r="F106" s="87">
        <v>0</v>
      </c>
      <c r="G106" s="47">
        <f t="shared" si="11"/>
        <v>0</v>
      </c>
      <c r="H106" s="88"/>
      <c r="I106" s="22">
        <v>30</v>
      </c>
      <c r="J106" s="82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117</v>
      </c>
      <c r="C107" s="79">
        <f>+'27'!G107</f>
        <v>0</v>
      </c>
      <c r="D107" s="87">
        <v>0</v>
      </c>
      <c r="E107" s="47">
        <f t="shared" si="0"/>
        <v>0</v>
      </c>
      <c r="F107" s="87">
        <v>0</v>
      </c>
      <c r="G107" s="47">
        <f t="shared" si="11"/>
        <v>0</v>
      </c>
      <c r="H107" s="88"/>
      <c r="I107" s="22">
        <v>20</v>
      </c>
      <c r="J107" s="82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118</v>
      </c>
      <c r="C108" s="79">
        <f>+'27'!G108</f>
        <v>0</v>
      </c>
      <c r="D108" s="87">
        <v>0</v>
      </c>
      <c r="E108" s="47">
        <f t="shared" si="0"/>
        <v>0</v>
      </c>
      <c r="F108" s="87">
        <v>0</v>
      </c>
      <c r="G108" s="47">
        <f t="shared" si="11"/>
        <v>0</v>
      </c>
      <c r="H108" s="88"/>
      <c r="I108" s="20">
        <v>100</v>
      </c>
      <c r="J108" s="82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120</v>
      </c>
      <c r="C109" s="79">
        <f>+'27'!G109</f>
        <v>0</v>
      </c>
      <c r="D109" s="87">
        <v>0</v>
      </c>
      <c r="E109" s="47">
        <f t="shared" si="0"/>
        <v>0</v>
      </c>
      <c r="F109" s="87">
        <v>0</v>
      </c>
      <c r="G109" s="47">
        <f t="shared" si="11"/>
        <v>0</v>
      </c>
      <c r="H109" s="88"/>
      <c r="I109" s="20">
        <v>80</v>
      </c>
      <c r="J109" s="82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121</v>
      </c>
      <c r="C110" s="79">
        <f>+'27'!G110</f>
        <v>0</v>
      </c>
      <c r="D110" s="87">
        <v>0</v>
      </c>
      <c r="E110" s="47">
        <f t="shared" si="0"/>
        <v>0</v>
      </c>
      <c r="F110" s="87">
        <v>0</v>
      </c>
      <c r="G110" s="47">
        <f t="shared" si="11"/>
        <v>0</v>
      </c>
      <c r="H110" s="88"/>
      <c r="I110" s="20">
        <v>60</v>
      </c>
      <c r="J110" s="82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122</v>
      </c>
      <c r="C111" s="79">
        <f>+'27'!G111</f>
        <v>0</v>
      </c>
      <c r="D111" s="87">
        <v>0</v>
      </c>
      <c r="E111" s="47">
        <f t="shared" si="0"/>
        <v>0</v>
      </c>
      <c r="F111" s="87">
        <v>0</v>
      </c>
      <c r="G111" s="47">
        <f t="shared" si="11"/>
        <v>0</v>
      </c>
      <c r="H111" s="88"/>
      <c r="I111" s="20">
        <v>35</v>
      </c>
      <c r="J111" s="82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123</v>
      </c>
      <c r="C112" s="79">
        <f>+'27'!G112</f>
        <v>0</v>
      </c>
      <c r="D112" s="87">
        <v>0</v>
      </c>
      <c r="E112" s="47">
        <f t="shared" si="0"/>
        <v>0</v>
      </c>
      <c r="F112" s="87">
        <v>0</v>
      </c>
      <c r="G112" s="47">
        <f t="shared" si="11"/>
        <v>0</v>
      </c>
      <c r="H112" s="88"/>
      <c r="I112" s="20">
        <v>35</v>
      </c>
      <c r="J112" s="82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124</v>
      </c>
      <c r="C113" s="79">
        <f>+'27'!G113</f>
        <v>0</v>
      </c>
      <c r="D113" s="87">
        <v>0</v>
      </c>
      <c r="E113" s="47">
        <f t="shared" si="0"/>
        <v>0</v>
      </c>
      <c r="F113" s="87">
        <v>0</v>
      </c>
      <c r="G113" s="47">
        <f t="shared" si="11"/>
        <v>0</v>
      </c>
      <c r="H113" s="88"/>
      <c r="I113" s="20">
        <v>35</v>
      </c>
      <c r="J113" s="82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125</v>
      </c>
      <c r="C114" s="79">
        <f>+'27'!G114</f>
        <v>0</v>
      </c>
      <c r="D114" s="87">
        <v>0</v>
      </c>
      <c r="E114" s="47">
        <f t="shared" si="0"/>
        <v>0</v>
      </c>
      <c r="F114" s="87">
        <v>0</v>
      </c>
      <c r="G114" s="47">
        <f t="shared" si="11"/>
        <v>0</v>
      </c>
      <c r="H114" s="88"/>
      <c r="I114" s="20">
        <v>35</v>
      </c>
      <c r="J114" s="82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126</v>
      </c>
      <c r="C115" s="79">
        <f>+'27'!G115</f>
        <v>0</v>
      </c>
      <c r="D115" s="87">
        <v>0</v>
      </c>
      <c r="E115" s="47">
        <f t="shared" si="0"/>
        <v>0</v>
      </c>
      <c r="F115" s="87">
        <v>0</v>
      </c>
      <c r="G115" s="47">
        <f t="shared" si="11"/>
        <v>0</v>
      </c>
      <c r="H115" s="88"/>
      <c r="I115" s="20">
        <v>35</v>
      </c>
      <c r="J115" s="82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127</v>
      </c>
      <c r="C116" s="79">
        <f>+'27'!G116</f>
        <v>0</v>
      </c>
      <c r="D116" s="87">
        <v>0</v>
      </c>
      <c r="E116" s="47">
        <f t="shared" si="0"/>
        <v>0</v>
      </c>
      <c r="F116" s="87">
        <v>0</v>
      </c>
      <c r="G116" s="47">
        <f t="shared" si="11"/>
        <v>0</v>
      </c>
      <c r="H116" s="88"/>
      <c r="I116" s="20">
        <v>30</v>
      </c>
      <c r="J116" s="82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128</v>
      </c>
      <c r="C117" s="79">
        <f>+'27'!G117</f>
        <v>0</v>
      </c>
      <c r="D117" s="87">
        <v>0</v>
      </c>
      <c r="E117" s="47">
        <f t="shared" si="0"/>
        <v>0</v>
      </c>
      <c r="F117" s="87">
        <v>0</v>
      </c>
      <c r="G117" s="47">
        <f t="shared" si="11"/>
        <v>0</v>
      </c>
      <c r="H117" s="88"/>
      <c r="I117" s="20">
        <v>30</v>
      </c>
      <c r="J117" s="82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129</v>
      </c>
      <c r="C118" s="79">
        <f>+'27'!G118</f>
        <v>0</v>
      </c>
      <c r="D118" s="87">
        <v>0</v>
      </c>
      <c r="E118" s="47">
        <f t="shared" si="0"/>
        <v>0</v>
      </c>
      <c r="F118" s="87">
        <v>0</v>
      </c>
      <c r="G118" s="47">
        <f t="shared" si="11"/>
        <v>0</v>
      </c>
      <c r="H118" s="88"/>
      <c r="I118" s="20">
        <v>30</v>
      </c>
      <c r="J118" s="82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130</v>
      </c>
      <c r="C119" s="79">
        <f>+'27'!G119</f>
        <v>0</v>
      </c>
      <c r="D119" s="87">
        <v>0</v>
      </c>
      <c r="E119" s="47">
        <f t="shared" si="0"/>
        <v>0</v>
      </c>
      <c r="F119" s="87">
        <v>0</v>
      </c>
      <c r="G119" s="47">
        <f t="shared" si="11"/>
        <v>0</v>
      </c>
      <c r="H119" s="88"/>
      <c r="I119" s="20">
        <v>30</v>
      </c>
      <c r="J119" s="82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131</v>
      </c>
      <c r="C120" s="79">
        <f>+'27'!G120</f>
        <v>0</v>
      </c>
      <c r="D120" s="87">
        <v>0</v>
      </c>
      <c r="E120" s="47">
        <f t="shared" si="0"/>
        <v>0</v>
      </c>
      <c r="F120" s="87">
        <v>0</v>
      </c>
      <c r="G120" s="47">
        <f t="shared" si="11"/>
        <v>0</v>
      </c>
      <c r="H120" s="88"/>
      <c r="I120" s="20">
        <v>30</v>
      </c>
      <c r="J120" s="82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132</v>
      </c>
      <c r="C121" s="79">
        <f>+'27'!G121</f>
        <v>0</v>
      </c>
      <c r="D121" s="87">
        <v>0</v>
      </c>
      <c r="E121" s="47">
        <f t="shared" si="0"/>
        <v>0</v>
      </c>
      <c r="F121" s="87">
        <v>0</v>
      </c>
      <c r="G121" s="47">
        <f t="shared" si="11"/>
        <v>0</v>
      </c>
      <c r="H121" s="88"/>
      <c r="I121" s="20">
        <v>30</v>
      </c>
      <c r="J121" s="82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133</v>
      </c>
      <c r="C122" s="79">
        <f>+'27'!G122</f>
        <v>0</v>
      </c>
      <c r="D122" s="87">
        <v>0</v>
      </c>
      <c r="E122" s="47">
        <f t="shared" si="0"/>
        <v>0</v>
      </c>
      <c r="F122" s="87">
        <v>0</v>
      </c>
      <c r="G122" s="47">
        <f t="shared" si="11"/>
        <v>0</v>
      </c>
      <c r="H122" s="88"/>
      <c r="I122" s="20">
        <v>40</v>
      </c>
      <c r="J122" s="82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134</v>
      </c>
      <c r="C123" s="79">
        <f>+'27'!G123</f>
        <v>0</v>
      </c>
      <c r="D123" s="87">
        <v>0</v>
      </c>
      <c r="E123" s="47">
        <f t="shared" si="0"/>
        <v>0</v>
      </c>
      <c r="F123" s="87">
        <v>0</v>
      </c>
      <c r="G123" s="47">
        <f t="shared" si="11"/>
        <v>0</v>
      </c>
      <c r="H123" s="88"/>
      <c r="I123" s="20">
        <v>35</v>
      </c>
      <c r="J123" s="82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135</v>
      </c>
      <c r="C124" s="79">
        <f>+'27'!G124</f>
        <v>0</v>
      </c>
      <c r="D124" s="87">
        <v>0</v>
      </c>
      <c r="E124" s="47">
        <f t="shared" si="0"/>
        <v>0</v>
      </c>
      <c r="F124" s="87">
        <v>0</v>
      </c>
      <c r="G124" s="47">
        <f t="shared" si="11"/>
        <v>0</v>
      </c>
      <c r="H124" s="88"/>
      <c r="I124" s="20">
        <v>40</v>
      </c>
      <c r="J124" s="82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136</v>
      </c>
      <c r="C125" s="79">
        <f>+'27'!G125</f>
        <v>0</v>
      </c>
      <c r="D125" s="87">
        <v>0</v>
      </c>
      <c r="E125" s="47">
        <f t="shared" si="0"/>
        <v>0</v>
      </c>
      <c r="F125" s="87">
        <v>0</v>
      </c>
      <c r="G125" s="47">
        <f t="shared" si="11"/>
        <v>0</v>
      </c>
      <c r="H125" s="88"/>
      <c r="I125" s="20">
        <v>40</v>
      </c>
      <c r="J125" s="82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137</v>
      </c>
      <c r="C126" s="79">
        <f>+'27'!G126</f>
        <v>0</v>
      </c>
      <c r="D126" s="87">
        <v>0</v>
      </c>
      <c r="E126" s="47">
        <f t="shared" ref="E126:E189" si="13">C126+D126</f>
        <v>0</v>
      </c>
      <c r="F126" s="87">
        <v>0</v>
      </c>
      <c r="G126" s="47">
        <f t="shared" si="11"/>
        <v>0</v>
      </c>
      <c r="H126" s="88"/>
      <c r="I126" s="20">
        <v>30</v>
      </c>
      <c r="J126" s="82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138</v>
      </c>
      <c r="C127" s="79">
        <f>+'27'!G127</f>
        <v>0</v>
      </c>
      <c r="D127" s="87">
        <v>0</v>
      </c>
      <c r="E127" s="47">
        <f t="shared" si="13"/>
        <v>0</v>
      </c>
      <c r="F127" s="87">
        <v>0</v>
      </c>
      <c r="G127" s="47">
        <f t="shared" si="11"/>
        <v>0</v>
      </c>
      <c r="H127" s="88"/>
      <c r="I127" s="20">
        <v>40</v>
      </c>
      <c r="J127" s="82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139</v>
      </c>
      <c r="C128" s="79">
        <f>+'27'!G128</f>
        <v>74</v>
      </c>
      <c r="D128" s="87">
        <v>0</v>
      </c>
      <c r="E128" s="47">
        <f t="shared" si="13"/>
        <v>74</v>
      </c>
      <c r="F128" s="87">
        <v>0</v>
      </c>
      <c r="G128" s="47">
        <f t="shared" si="11"/>
        <v>74</v>
      </c>
      <c r="H128" s="88"/>
      <c r="I128" s="20">
        <v>10</v>
      </c>
      <c r="J128" s="82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140</v>
      </c>
      <c r="C129" s="79">
        <f>+'27'!G129</f>
        <v>0</v>
      </c>
      <c r="D129" s="87">
        <v>0</v>
      </c>
      <c r="E129" s="47">
        <f t="shared" si="13"/>
        <v>0</v>
      </c>
      <c r="F129" s="87">
        <v>0</v>
      </c>
      <c r="G129" s="47">
        <f t="shared" si="11"/>
        <v>0</v>
      </c>
      <c r="H129" s="88"/>
      <c r="I129" s="20">
        <v>35</v>
      </c>
      <c r="J129" s="82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141</v>
      </c>
      <c r="C130" s="79">
        <f>+'27'!G130</f>
        <v>0</v>
      </c>
      <c r="D130" s="87">
        <v>0</v>
      </c>
      <c r="E130" s="47">
        <f t="shared" si="13"/>
        <v>0</v>
      </c>
      <c r="F130" s="87">
        <v>0</v>
      </c>
      <c r="G130" s="47">
        <f t="shared" si="11"/>
        <v>0</v>
      </c>
      <c r="H130" s="88"/>
      <c r="I130" s="20">
        <v>40</v>
      </c>
      <c r="J130" s="82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142</v>
      </c>
      <c r="C131" s="79">
        <f>+'27'!G131</f>
        <v>0</v>
      </c>
      <c r="D131" s="87">
        <v>0</v>
      </c>
      <c r="E131" s="47">
        <f t="shared" si="13"/>
        <v>0</v>
      </c>
      <c r="F131" s="87">
        <v>0</v>
      </c>
      <c r="G131" s="47">
        <f t="shared" si="11"/>
        <v>0</v>
      </c>
      <c r="H131" s="88"/>
      <c r="I131" s="20">
        <v>50</v>
      </c>
      <c r="J131" s="82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143</v>
      </c>
      <c r="C132" s="79">
        <f>+'27'!G132</f>
        <v>0</v>
      </c>
      <c r="D132" s="87">
        <v>0</v>
      </c>
      <c r="E132" s="47">
        <f t="shared" si="13"/>
        <v>0</v>
      </c>
      <c r="F132" s="87">
        <v>0</v>
      </c>
      <c r="G132" s="47">
        <f t="shared" si="11"/>
        <v>0</v>
      </c>
      <c r="H132" s="88"/>
      <c r="I132" s="20">
        <v>55</v>
      </c>
      <c r="J132" s="82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144</v>
      </c>
      <c r="C133" s="79">
        <f>+'27'!G133</f>
        <v>0</v>
      </c>
      <c r="D133" s="87">
        <v>0</v>
      </c>
      <c r="E133" s="47">
        <f t="shared" si="13"/>
        <v>0</v>
      </c>
      <c r="F133" s="87">
        <v>0</v>
      </c>
      <c r="G133" s="47">
        <f t="shared" si="11"/>
        <v>0</v>
      </c>
      <c r="H133" s="88"/>
      <c r="I133" s="20">
        <v>55</v>
      </c>
      <c r="J133" s="82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145</v>
      </c>
      <c r="C134" s="79">
        <f>+'27'!G134</f>
        <v>0</v>
      </c>
      <c r="D134" s="87">
        <v>0</v>
      </c>
      <c r="E134" s="47">
        <f t="shared" si="13"/>
        <v>0</v>
      </c>
      <c r="F134" s="87">
        <v>0</v>
      </c>
      <c r="G134" s="47">
        <f t="shared" si="11"/>
        <v>0</v>
      </c>
      <c r="H134" s="88"/>
      <c r="I134" s="20">
        <v>45</v>
      </c>
      <c r="J134" s="82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5.5" x14ac:dyDescent="0.55000000000000004">
      <c r="A135" s="10">
        <v>131</v>
      </c>
      <c r="B135" s="19" t="s">
        <v>146</v>
      </c>
      <c r="C135" s="79">
        <f>+'27'!G135</f>
        <v>0</v>
      </c>
      <c r="D135" s="87">
        <v>0</v>
      </c>
      <c r="E135" s="47">
        <f t="shared" si="13"/>
        <v>0</v>
      </c>
      <c r="F135" s="87">
        <v>0</v>
      </c>
      <c r="G135" s="47">
        <f t="shared" si="11"/>
        <v>0</v>
      </c>
      <c r="H135" s="88"/>
      <c r="I135" s="20">
        <v>45</v>
      </c>
      <c r="J135" s="82">
        <f t="shared" si="12"/>
        <v>0</v>
      </c>
      <c r="K135" s="17" t="s">
        <v>16</v>
      </c>
      <c r="L135" s="18">
        <v>0</v>
      </c>
      <c r="M135" s="23">
        <f t="shared" ref="M135:M198" si="14">SUM(J135-L135)</f>
        <v>0</v>
      </c>
    </row>
    <row r="136" spans="1:13" ht="25.5" x14ac:dyDescent="0.55000000000000004">
      <c r="A136" s="10">
        <v>132</v>
      </c>
      <c r="B136" s="19" t="s">
        <v>147</v>
      </c>
      <c r="C136" s="79">
        <f>+'27'!G136</f>
        <v>0</v>
      </c>
      <c r="D136" s="87">
        <v>0</v>
      </c>
      <c r="E136" s="47">
        <f t="shared" si="13"/>
        <v>0</v>
      </c>
      <c r="F136" s="87">
        <v>0</v>
      </c>
      <c r="G136" s="47">
        <f t="shared" si="11"/>
        <v>0</v>
      </c>
      <c r="H136" s="88"/>
      <c r="I136" s="20">
        <v>55</v>
      </c>
      <c r="J136" s="82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148</v>
      </c>
      <c r="C137" s="79">
        <f>+'27'!G137</f>
        <v>0</v>
      </c>
      <c r="D137" s="87">
        <v>0</v>
      </c>
      <c r="E137" s="47">
        <f t="shared" si="13"/>
        <v>0</v>
      </c>
      <c r="F137" s="87">
        <v>0</v>
      </c>
      <c r="G137" s="47">
        <f t="shared" si="11"/>
        <v>0</v>
      </c>
      <c r="H137" s="88"/>
      <c r="I137" s="20">
        <v>45</v>
      </c>
      <c r="J137" s="82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149</v>
      </c>
      <c r="C138" s="79">
        <f>+'27'!G138</f>
        <v>0</v>
      </c>
      <c r="D138" s="87">
        <v>0</v>
      </c>
      <c r="E138" s="47">
        <f t="shared" si="13"/>
        <v>0</v>
      </c>
      <c r="F138" s="87">
        <v>0</v>
      </c>
      <c r="G138" s="47">
        <f t="shared" si="11"/>
        <v>0</v>
      </c>
      <c r="H138" s="88"/>
      <c r="I138" s="20">
        <v>45</v>
      </c>
      <c r="J138" s="82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150</v>
      </c>
      <c r="C139" s="79">
        <f>+'27'!G139</f>
        <v>0</v>
      </c>
      <c r="D139" s="87">
        <v>0</v>
      </c>
      <c r="E139" s="47">
        <f t="shared" si="13"/>
        <v>0</v>
      </c>
      <c r="F139" s="87">
        <v>0</v>
      </c>
      <c r="G139" s="47">
        <f t="shared" si="11"/>
        <v>0</v>
      </c>
      <c r="H139" s="88"/>
      <c r="I139" s="20">
        <v>45</v>
      </c>
      <c r="J139" s="82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151</v>
      </c>
      <c r="C140" s="79">
        <f>+'27'!G140</f>
        <v>0</v>
      </c>
      <c r="D140" s="87">
        <v>0</v>
      </c>
      <c r="E140" s="47">
        <f t="shared" si="13"/>
        <v>0</v>
      </c>
      <c r="F140" s="87">
        <v>0</v>
      </c>
      <c r="G140" s="47">
        <f t="shared" si="11"/>
        <v>0</v>
      </c>
      <c r="H140" s="88"/>
      <c r="I140" s="20">
        <v>45</v>
      </c>
      <c r="J140" s="82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152</v>
      </c>
      <c r="C141" s="79">
        <f>+'27'!G141</f>
        <v>0</v>
      </c>
      <c r="D141" s="87">
        <v>0</v>
      </c>
      <c r="E141" s="47">
        <f t="shared" si="13"/>
        <v>0</v>
      </c>
      <c r="F141" s="87">
        <v>0</v>
      </c>
      <c r="G141" s="47">
        <f t="shared" si="11"/>
        <v>0</v>
      </c>
      <c r="H141" s="88"/>
      <c r="I141" s="20">
        <v>45</v>
      </c>
      <c r="J141" s="82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153</v>
      </c>
      <c r="C142" s="79">
        <f>+'27'!G142</f>
        <v>0</v>
      </c>
      <c r="D142" s="87">
        <v>0</v>
      </c>
      <c r="E142" s="47">
        <f t="shared" si="13"/>
        <v>0</v>
      </c>
      <c r="F142" s="87">
        <v>0</v>
      </c>
      <c r="G142" s="47">
        <f t="shared" si="11"/>
        <v>0</v>
      </c>
      <c r="H142" s="88"/>
      <c r="I142" s="20">
        <v>45</v>
      </c>
      <c r="J142" s="82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154</v>
      </c>
      <c r="C143" s="79">
        <f>+'27'!G143</f>
        <v>0</v>
      </c>
      <c r="D143" s="87">
        <v>0</v>
      </c>
      <c r="E143" s="47">
        <f t="shared" si="13"/>
        <v>0</v>
      </c>
      <c r="F143" s="87">
        <v>0</v>
      </c>
      <c r="G143" s="47">
        <f t="shared" si="11"/>
        <v>0</v>
      </c>
      <c r="H143" s="88"/>
      <c r="I143" s="20">
        <v>120</v>
      </c>
      <c r="J143" s="82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155</v>
      </c>
      <c r="C144" s="79">
        <f>+'27'!G144</f>
        <v>0</v>
      </c>
      <c r="D144" s="87">
        <v>0</v>
      </c>
      <c r="E144" s="47">
        <f t="shared" si="13"/>
        <v>0</v>
      </c>
      <c r="F144" s="87">
        <v>0</v>
      </c>
      <c r="G144" s="47">
        <f t="shared" si="11"/>
        <v>0</v>
      </c>
      <c r="H144" s="88"/>
      <c r="I144" s="20">
        <v>120</v>
      </c>
      <c r="J144" s="82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156</v>
      </c>
      <c r="C145" s="79">
        <f>+'27'!G145</f>
        <v>0</v>
      </c>
      <c r="D145" s="87">
        <v>0</v>
      </c>
      <c r="E145" s="47">
        <f t="shared" si="13"/>
        <v>0</v>
      </c>
      <c r="F145" s="87">
        <v>0</v>
      </c>
      <c r="G145" s="47">
        <f t="shared" si="11"/>
        <v>0</v>
      </c>
      <c r="H145" s="88"/>
      <c r="I145" s="20">
        <v>120</v>
      </c>
      <c r="J145" s="82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157</v>
      </c>
      <c r="C146" s="79">
        <f>+'27'!G146</f>
        <v>0</v>
      </c>
      <c r="D146" s="87">
        <v>0</v>
      </c>
      <c r="E146" s="47">
        <f t="shared" si="13"/>
        <v>0</v>
      </c>
      <c r="F146" s="87">
        <v>0</v>
      </c>
      <c r="G146" s="47">
        <f t="shared" si="11"/>
        <v>0</v>
      </c>
      <c r="H146" s="88"/>
      <c r="I146" s="20">
        <v>120</v>
      </c>
      <c r="J146" s="82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158</v>
      </c>
      <c r="C147" s="79">
        <f>+'27'!G147</f>
        <v>0</v>
      </c>
      <c r="D147" s="87">
        <v>0</v>
      </c>
      <c r="E147" s="47">
        <f t="shared" si="13"/>
        <v>0</v>
      </c>
      <c r="F147" s="87">
        <v>0</v>
      </c>
      <c r="G147" s="47">
        <f t="shared" si="11"/>
        <v>0</v>
      </c>
      <c r="H147" s="88"/>
      <c r="I147" s="20">
        <v>185</v>
      </c>
      <c r="J147" s="82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159</v>
      </c>
      <c r="C148" s="79">
        <f>+'27'!G148</f>
        <v>0</v>
      </c>
      <c r="D148" s="87">
        <v>0</v>
      </c>
      <c r="E148" s="47">
        <f t="shared" si="13"/>
        <v>0</v>
      </c>
      <c r="F148" s="87">
        <v>0</v>
      </c>
      <c r="G148" s="47">
        <f t="shared" si="11"/>
        <v>0</v>
      </c>
      <c r="H148" s="88"/>
      <c r="I148" s="20">
        <v>185</v>
      </c>
      <c r="J148" s="82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160</v>
      </c>
      <c r="C149" s="79">
        <f>+'27'!G149</f>
        <v>0</v>
      </c>
      <c r="D149" s="87">
        <v>0</v>
      </c>
      <c r="E149" s="47">
        <f t="shared" si="13"/>
        <v>0</v>
      </c>
      <c r="F149" s="87">
        <v>0</v>
      </c>
      <c r="G149" s="47">
        <f t="shared" si="11"/>
        <v>0</v>
      </c>
      <c r="H149" s="88"/>
      <c r="I149" s="20">
        <v>185</v>
      </c>
      <c r="J149" s="82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161</v>
      </c>
      <c r="C150" s="79">
        <f>+'27'!G150</f>
        <v>0</v>
      </c>
      <c r="D150" s="87">
        <v>0</v>
      </c>
      <c r="E150" s="47">
        <f t="shared" si="13"/>
        <v>0</v>
      </c>
      <c r="F150" s="87">
        <v>0</v>
      </c>
      <c r="G150" s="47">
        <f t="shared" si="11"/>
        <v>0</v>
      </c>
      <c r="H150" s="88"/>
      <c r="I150" s="20">
        <v>185</v>
      </c>
      <c r="J150" s="82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5.5" x14ac:dyDescent="0.55000000000000004">
      <c r="A151" s="10">
        <v>147</v>
      </c>
      <c r="B151" s="19" t="s">
        <v>279</v>
      </c>
      <c r="C151" s="79">
        <f>+'27'!G151</f>
        <v>0</v>
      </c>
      <c r="D151" s="87">
        <v>0</v>
      </c>
      <c r="E151" s="47">
        <f t="shared" si="13"/>
        <v>0</v>
      </c>
      <c r="F151" s="87">
        <v>0</v>
      </c>
      <c r="G151" s="47">
        <f t="shared" si="11"/>
        <v>0</v>
      </c>
      <c r="H151" s="88"/>
      <c r="I151" s="20">
        <v>150</v>
      </c>
      <c r="J151" s="82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280</v>
      </c>
      <c r="C152" s="79">
        <f>+'27'!G152</f>
        <v>1</v>
      </c>
      <c r="D152" s="87">
        <v>0</v>
      </c>
      <c r="E152" s="47">
        <f t="shared" si="13"/>
        <v>1</v>
      </c>
      <c r="F152" s="87">
        <v>0</v>
      </c>
      <c r="G152" s="47">
        <f t="shared" si="11"/>
        <v>1</v>
      </c>
      <c r="H152" s="88"/>
      <c r="I152" s="20">
        <v>150</v>
      </c>
      <c r="J152" s="82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5.5" x14ac:dyDescent="0.55000000000000004">
      <c r="A153" s="10">
        <v>149</v>
      </c>
      <c r="B153" s="19" t="s">
        <v>281</v>
      </c>
      <c r="C153" s="79">
        <f>+'27'!G153</f>
        <v>0</v>
      </c>
      <c r="D153" s="87">
        <v>0</v>
      </c>
      <c r="E153" s="47">
        <f t="shared" si="13"/>
        <v>0</v>
      </c>
      <c r="F153" s="87">
        <v>0</v>
      </c>
      <c r="G153" s="47">
        <f t="shared" si="11"/>
        <v>0</v>
      </c>
      <c r="H153" s="88"/>
      <c r="I153" s="20">
        <v>150</v>
      </c>
      <c r="J153" s="82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282</v>
      </c>
      <c r="C154" s="79">
        <f>+'27'!G154</f>
        <v>0</v>
      </c>
      <c r="D154" s="87">
        <v>0</v>
      </c>
      <c r="E154" s="47">
        <f t="shared" si="13"/>
        <v>0</v>
      </c>
      <c r="F154" s="87">
        <v>0</v>
      </c>
      <c r="G154" s="47">
        <f t="shared" si="11"/>
        <v>0</v>
      </c>
      <c r="H154" s="88"/>
      <c r="I154" s="20">
        <v>150</v>
      </c>
      <c r="J154" s="82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166</v>
      </c>
      <c r="C155" s="79">
        <f>+'27'!G155</f>
        <v>0</v>
      </c>
      <c r="D155" s="87">
        <v>0</v>
      </c>
      <c r="E155" s="47">
        <f t="shared" si="13"/>
        <v>0</v>
      </c>
      <c r="F155" s="87">
        <v>0</v>
      </c>
      <c r="G155" s="47">
        <f t="shared" si="11"/>
        <v>0</v>
      </c>
      <c r="H155" s="88"/>
      <c r="I155" s="20">
        <v>185</v>
      </c>
      <c r="J155" s="82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167</v>
      </c>
      <c r="C156" s="79">
        <f>+'27'!G156</f>
        <v>0</v>
      </c>
      <c r="D156" s="87">
        <v>0</v>
      </c>
      <c r="E156" s="47">
        <f t="shared" si="13"/>
        <v>0</v>
      </c>
      <c r="F156" s="87">
        <v>0</v>
      </c>
      <c r="G156" s="47">
        <f t="shared" si="11"/>
        <v>0</v>
      </c>
      <c r="H156" s="88"/>
      <c r="I156" s="20">
        <v>185</v>
      </c>
      <c r="J156" s="82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168</v>
      </c>
      <c r="C157" s="79">
        <f>+'27'!G157</f>
        <v>0</v>
      </c>
      <c r="D157" s="87">
        <v>0</v>
      </c>
      <c r="E157" s="47">
        <f t="shared" si="13"/>
        <v>0</v>
      </c>
      <c r="F157" s="87">
        <v>0</v>
      </c>
      <c r="G157" s="47">
        <f t="shared" si="11"/>
        <v>0</v>
      </c>
      <c r="H157" s="88"/>
      <c r="I157" s="20">
        <v>185</v>
      </c>
      <c r="J157" s="82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169</v>
      </c>
      <c r="C158" s="79">
        <f>+'27'!G158</f>
        <v>0</v>
      </c>
      <c r="D158" s="87">
        <v>0</v>
      </c>
      <c r="E158" s="47">
        <f t="shared" si="13"/>
        <v>0</v>
      </c>
      <c r="F158" s="87">
        <v>0</v>
      </c>
      <c r="G158" s="47">
        <f t="shared" si="11"/>
        <v>0</v>
      </c>
      <c r="H158" s="88"/>
      <c r="I158" s="20">
        <v>185</v>
      </c>
      <c r="J158" s="82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170</v>
      </c>
      <c r="C159" s="79">
        <f>+'27'!G159</f>
        <v>0</v>
      </c>
      <c r="D159" s="87">
        <v>0</v>
      </c>
      <c r="E159" s="47">
        <f t="shared" si="13"/>
        <v>0</v>
      </c>
      <c r="F159" s="87">
        <v>0</v>
      </c>
      <c r="G159" s="47">
        <f t="shared" si="11"/>
        <v>0</v>
      </c>
      <c r="H159" s="88"/>
      <c r="I159" s="20">
        <v>135</v>
      </c>
      <c r="J159" s="82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171</v>
      </c>
      <c r="C160" s="79">
        <f>+'27'!G160</f>
        <v>0</v>
      </c>
      <c r="D160" s="87">
        <v>0</v>
      </c>
      <c r="E160" s="47">
        <f t="shared" si="13"/>
        <v>0</v>
      </c>
      <c r="F160" s="87">
        <v>0</v>
      </c>
      <c r="G160" s="47">
        <f t="shared" si="11"/>
        <v>0</v>
      </c>
      <c r="H160" s="88"/>
      <c r="I160" s="20">
        <v>90</v>
      </c>
      <c r="J160" s="82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172</v>
      </c>
      <c r="C161" s="79">
        <f>+'27'!G161</f>
        <v>0</v>
      </c>
      <c r="D161" s="87">
        <v>0</v>
      </c>
      <c r="E161" s="47">
        <f t="shared" si="13"/>
        <v>0</v>
      </c>
      <c r="F161" s="87">
        <v>0</v>
      </c>
      <c r="G161" s="47">
        <f t="shared" si="11"/>
        <v>0</v>
      </c>
      <c r="H161" s="88"/>
      <c r="I161" s="20">
        <v>90</v>
      </c>
      <c r="J161" s="82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173</v>
      </c>
      <c r="C162" s="79">
        <f>+'27'!G162</f>
        <v>0</v>
      </c>
      <c r="D162" s="87">
        <v>0</v>
      </c>
      <c r="E162" s="47">
        <f t="shared" si="13"/>
        <v>0</v>
      </c>
      <c r="F162" s="87">
        <v>0</v>
      </c>
      <c r="G162" s="47">
        <f t="shared" si="11"/>
        <v>0</v>
      </c>
      <c r="H162" s="88"/>
      <c r="I162" s="20">
        <v>90</v>
      </c>
      <c r="J162" s="82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174</v>
      </c>
      <c r="C163" s="79">
        <f>+'27'!G163</f>
        <v>0</v>
      </c>
      <c r="D163" s="87">
        <v>0</v>
      </c>
      <c r="E163" s="47">
        <f t="shared" si="13"/>
        <v>0</v>
      </c>
      <c r="F163" s="87">
        <v>0</v>
      </c>
      <c r="G163" s="47">
        <f t="shared" si="11"/>
        <v>0</v>
      </c>
      <c r="H163" s="88"/>
      <c r="I163" s="20">
        <v>90</v>
      </c>
      <c r="J163" s="82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175</v>
      </c>
      <c r="C164" s="79">
        <f>+'27'!G164</f>
        <v>0</v>
      </c>
      <c r="D164" s="87">
        <v>0</v>
      </c>
      <c r="E164" s="47">
        <f t="shared" si="13"/>
        <v>0</v>
      </c>
      <c r="F164" s="87">
        <v>0</v>
      </c>
      <c r="G164" s="47">
        <f t="shared" si="11"/>
        <v>0</v>
      </c>
      <c r="H164" s="88"/>
      <c r="I164" s="20">
        <v>25</v>
      </c>
      <c r="J164" s="82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176</v>
      </c>
      <c r="C165" s="79">
        <f>+'27'!G165</f>
        <v>0</v>
      </c>
      <c r="D165" s="87">
        <v>0</v>
      </c>
      <c r="E165" s="47">
        <f t="shared" si="13"/>
        <v>0</v>
      </c>
      <c r="F165" s="87">
        <v>0</v>
      </c>
      <c r="G165" s="47">
        <f t="shared" ref="G165:G227" si="15">+E165-F165-H165</f>
        <v>0</v>
      </c>
      <c r="H165" s="88"/>
      <c r="I165" s="20">
        <v>50</v>
      </c>
      <c r="J165" s="82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177</v>
      </c>
      <c r="C166" s="79">
        <f>+'27'!G166</f>
        <v>0</v>
      </c>
      <c r="D166" s="87">
        <v>0</v>
      </c>
      <c r="E166" s="47">
        <f t="shared" si="13"/>
        <v>0</v>
      </c>
      <c r="F166" s="87">
        <v>0</v>
      </c>
      <c r="G166" s="47">
        <f t="shared" si="15"/>
        <v>0</v>
      </c>
      <c r="H166" s="88"/>
      <c r="I166" s="20">
        <v>50</v>
      </c>
      <c r="J166" s="82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178</v>
      </c>
      <c r="C167" s="79">
        <f>+'27'!G167</f>
        <v>0</v>
      </c>
      <c r="D167" s="87">
        <v>0</v>
      </c>
      <c r="E167" s="47">
        <f t="shared" si="13"/>
        <v>0</v>
      </c>
      <c r="F167" s="87">
        <v>0</v>
      </c>
      <c r="G167" s="47">
        <f t="shared" si="15"/>
        <v>0</v>
      </c>
      <c r="H167" s="88"/>
      <c r="I167" s="20">
        <v>50</v>
      </c>
      <c r="J167" s="82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179</v>
      </c>
      <c r="C168" s="79">
        <f>+'27'!G168</f>
        <v>0</v>
      </c>
      <c r="D168" s="87">
        <v>0</v>
      </c>
      <c r="E168" s="47">
        <f t="shared" si="13"/>
        <v>0</v>
      </c>
      <c r="F168" s="87">
        <v>0</v>
      </c>
      <c r="G168" s="47">
        <f t="shared" si="15"/>
        <v>0</v>
      </c>
      <c r="H168" s="88"/>
      <c r="I168" s="20">
        <v>50</v>
      </c>
      <c r="J168" s="82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180</v>
      </c>
      <c r="C169" s="79">
        <f>+'27'!G169</f>
        <v>38</v>
      </c>
      <c r="D169" s="87">
        <v>0</v>
      </c>
      <c r="E169" s="47">
        <f t="shared" si="13"/>
        <v>38</v>
      </c>
      <c r="F169" s="87">
        <v>0</v>
      </c>
      <c r="G169" s="47">
        <f t="shared" si="15"/>
        <v>38</v>
      </c>
      <c r="H169" s="88"/>
      <c r="I169" s="20">
        <v>55</v>
      </c>
      <c r="J169" s="82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181</v>
      </c>
      <c r="C170" s="79">
        <f>+'27'!G170</f>
        <v>0</v>
      </c>
      <c r="D170" s="87">
        <v>0</v>
      </c>
      <c r="E170" s="47">
        <f t="shared" si="13"/>
        <v>0</v>
      </c>
      <c r="F170" s="87">
        <v>0</v>
      </c>
      <c r="G170" s="47">
        <f t="shared" si="15"/>
        <v>0</v>
      </c>
      <c r="H170" s="88"/>
      <c r="I170" s="20">
        <v>85</v>
      </c>
      <c r="J170" s="82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182</v>
      </c>
      <c r="C171" s="79">
        <f>+'27'!G171</f>
        <v>2</v>
      </c>
      <c r="D171" s="87">
        <v>0</v>
      </c>
      <c r="E171" s="47">
        <f t="shared" si="13"/>
        <v>2</v>
      </c>
      <c r="F171" s="87">
        <v>0</v>
      </c>
      <c r="G171" s="47">
        <f t="shared" si="15"/>
        <v>1</v>
      </c>
      <c r="H171" s="88">
        <v>1</v>
      </c>
      <c r="I171" s="20">
        <v>80</v>
      </c>
      <c r="J171" s="82">
        <f t="shared" si="16"/>
        <v>80</v>
      </c>
      <c r="K171" s="17" t="s">
        <v>16</v>
      </c>
      <c r="L171" s="18">
        <v>0</v>
      </c>
      <c r="M171" s="23">
        <f t="shared" si="14"/>
        <v>80</v>
      </c>
    </row>
    <row r="172" spans="1:13" ht="25.5" x14ac:dyDescent="0.55000000000000004">
      <c r="A172" s="10">
        <v>168</v>
      </c>
      <c r="B172" s="19" t="s">
        <v>183</v>
      </c>
      <c r="C172" s="79">
        <f>+'27'!G172</f>
        <v>0</v>
      </c>
      <c r="D172" s="87">
        <v>0</v>
      </c>
      <c r="E172" s="47">
        <f t="shared" si="13"/>
        <v>0</v>
      </c>
      <c r="F172" s="87">
        <v>0</v>
      </c>
      <c r="G172" s="47">
        <f t="shared" si="15"/>
        <v>0</v>
      </c>
      <c r="H172" s="88"/>
      <c r="I172" s="20">
        <v>40</v>
      </c>
      <c r="J172" s="82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184</v>
      </c>
      <c r="C173" s="79">
        <f>+'27'!G173</f>
        <v>0</v>
      </c>
      <c r="D173" s="87">
        <v>0</v>
      </c>
      <c r="E173" s="47">
        <f t="shared" si="13"/>
        <v>0</v>
      </c>
      <c r="F173" s="87">
        <v>0</v>
      </c>
      <c r="G173" s="47">
        <f t="shared" si="15"/>
        <v>0</v>
      </c>
      <c r="H173" s="88"/>
      <c r="I173" s="20">
        <v>120</v>
      </c>
      <c r="J173" s="82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185</v>
      </c>
      <c r="C174" s="79">
        <f>+'27'!G174</f>
        <v>0</v>
      </c>
      <c r="D174" s="87">
        <v>0</v>
      </c>
      <c r="E174" s="47">
        <f t="shared" si="13"/>
        <v>0</v>
      </c>
      <c r="F174" s="87">
        <v>0</v>
      </c>
      <c r="G174" s="47">
        <f t="shared" si="15"/>
        <v>0</v>
      </c>
      <c r="H174" s="88"/>
      <c r="I174" s="20">
        <v>120</v>
      </c>
      <c r="J174" s="82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186</v>
      </c>
      <c r="C175" s="79">
        <f>+'27'!G175</f>
        <v>0</v>
      </c>
      <c r="D175" s="87">
        <v>0</v>
      </c>
      <c r="E175" s="47">
        <f t="shared" si="13"/>
        <v>0</v>
      </c>
      <c r="F175" s="87">
        <v>0</v>
      </c>
      <c r="G175" s="47">
        <f t="shared" si="15"/>
        <v>0</v>
      </c>
      <c r="H175" s="88"/>
      <c r="I175" s="20">
        <v>55</v>
      </c>
      <c r="J175" s="82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187</v>
      </c>
      <c r="C176" s="79">
        <f>+'27'!G176</f>
        <v>0</v>
      </c>
      <c r="D176" s="87">
        <v>0</v>
      </c>
      <c r="E176" s="47">
        <f t="shared" si="13"/>
        <v>0</v>
      </c>
      <c r="F176" s="87">
        <v>0</v>
      </c>
      <c r="G176" s="47">
        <f t="shared" si="15"/>
        <v>0</v>
      </c>
      <c r="H176" s="88"/>
      <c r="I176" s="20">
        <v>50</v>
      </c>
      <c r="J176" s="82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188</v>
      </c>
      <c r="C177" s="79">
        <f>+'27'!G177</f>
        <v>2</v>
      </c>
      <c r="D177" s="87">
        <v>0</v>
      </c>
      <c r="E177" s="47">
        <f t="shared" si="13"/>
        <v>2</v>
      </c>
      <c r="F177" s="87">
        <v>0</v>
      </c>
      <c r="G177" s="47">
        <f t="shared" si="15"/>
        <v>2</v>
      </c>
      <c r="H177" s="88"/>
      <c r="I177" s="20">
        <v>50</v>
      </c>
      <c r="J177" s="82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189</v>
      </c>
      <c r="C178" s="79">
        <f>+'27'!G178</f>
        <v>0</v>
      </c>
      <c r="D178" s="87">
        <v>0</v>
      </c>
      <c r="E178" s="47">
        <f t="shared" si="13"/>
        <v>0</v>
      </c>
      <c r="F178" s="87">
        <v>0</v>
      </c>
      <c r="G178" s="47">
        <f t="shared" si="15"/>
        <v>0</v>
      </c>
      <c r="H178" s="88"/>
      <c r="I178" s="20">
        <v>120</v>
      </c>
      <c r="J178" s="82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190</v>
      </c>
      <c r="C179" s="79">
        <f>+'27'!G179</f>
        <v>4</v>
      </c>
      <c r="D179" s="87">
        <v>0</v>
      </c>
      <c r="E179" s="47">
        <f t="shared" si="13"/>
        <v>4</v>
      </c>
      <c r="F179" s="87">
        <v>0</v>
      </c>
      <c r="G179" s="47">
        <f t="shared" si="15"/>
        <v>2</v>
      </c>
      <c r="H179" s="88">
        <v>2</v>
      </c>
      <c r="I179" s="20">
        <v>120</v>
      </c>
      <c r="J179" s="82">
        <f t="shared" si="16"/>
        <v>240</v>
      </c>
      <c r="K179" s="17" t="s">
        <v>16</v>
      </c>
      <c r="L179" s="18">
        <v>0</v>
      </c>
      <c r="M179" s="23">
        <f t="shared" si="14"/>
        <v>240</v>
      </c>
    </row>
    <row r="180" spans="1:13" ht="25.5" x14ac:dyDescent="0.55000000000000004">
      <c r="A180" s="10">
        <v>176</v>
      </c>
      <c r="B180" s="19" t="s">
        <v>191</v>
      </c>
      <c r="C180" s="79">
        <f>+'27'!G180</f>
        <v>0</v>
      </c>
      <c r="D180" s="87">
        <v>0</v>
      </c>
      <c r="E180" s="47">
        <f t="shared" si="13"/>
        <v>0</v>
      </c>
      <c r="F180" s="87">
        <v>0</v>
      </c>
      <c r="G180" s="47">
        <f t="shared" si="15"/>
        <v>0</v>
      </c>
      <c r="H180" s="88"/>
      <c r="I180" s="20">
        <v>10</v>
      </c>
      <c r="J180" s="82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192</v>
      </c>
      <c r="C181" s="79">
        <f>+'27'!G181</f>
        <v>0</v>
      </c>
      <c r="D181" s="87">
        <v>0</v>
      </c>
      <c r="E181" s="47">
        <f t="shared" si="13"/>
        <v>0</v>
      </c>
      <c r="F181" s="87">
        <v>0</v>
      </c>
      <c r="G181" s="47">
        <f t="shared" si="15"/>
        <v>0</v>
      </c>
      <c r="H181" s="88"/>
      <c r="I181" s="20">
        <v>35</v>
      </c>
      <c r="J181" s="82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193</v>
      </c>
      <c r="C182" s="79">
        <f>+'27'!G182</f>
        <v>0</v>
      </c>
      <c r="D182" s="87">
        <v>0</v>
      </c>
      <c r="E182" s="47">
        <f t="shared" si="13"/>
        <v>0</v>
      </c>
      <c r="F182" s="87">
        <v>0</v>
      </c>
      <c r="G182" s="47">
        <f t="shared" si="15"/>
        <v>0</v>
      </c>
      <c r="H182" s="88"/>
      <c r="I182" s="20">
        <v>10</v>
      </c>
      <c r="J182" s="82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194</v>
      </c>
      <c r="C183" s="79">
        <f>+'27'!G183</f>
        <v>0</v>
      </c>
      <c r="D183" s="87">
        <v>0</v>
      </c>
      <c r="E183" s="47">
        <f t="shared" si="13"/>
        <v>0</v>
      </c>
      <c r="F183" s="87">
        <v>0</v>
      </c>
      <c r="G183" s="47">
        <f t="shared" si="15"/>
        <v>0</v>
      </c>
      <c r="H183" s="88"/>
      <c r="I183" s="20">
        <v>10</v>
      </c>
      <c r="J183" s="82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195</v>
      </c>
      <c r="C184" s="79">
        <f>+'27'!G184</f>
        <v>0</v>
      </c>
      <c r="D184" s="87">
        <v>0</v>
      </c>
      <c r="E184" s="47">
        <f t="shared" si="13"/>
        <v>0</v>
      </c>
      <c r="F184" s="87">
        <v>0</v>
      </c>
      <c r="G184" s="47">
        <f t="shared" si="15"/>
        <v>0</v>
      </c>
      <c r="H184" s="88"/>
      <c r="I184" s="20">
        <v>10</v>
      </c>
      <c r="J184" s="82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196</v>
      </c>
      <c r="C185" s="79">
        <f>+'27'!G185</f>
        <v>0</v>
      </c>
      <c r="D185" s="87">
        <v>0</v>
      </c>
      <c r="E185" s="47">
        <f t="shared" si="13"/>
        <v>0</v>
      </c>
      <c r="F185" s="87">
        <v>0</v>
      </c>
      <c r="G185" s="47">
        <f t="shared" si="15"/>
        <v>0</v>
      </c>
      <c r="H185" s="88"/>
      <c r="I185" s="20">
        <v>10</v>
      </c>
      <c r="J185" s="82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197</v>
      </c>
      <c r="C186" s="79">
        <f>+'27'!G186</f>
        <v>0</v>
      </c>
      <c r="D186" s="87">
        <v>0</v>
      </c>
      <c r="E186" s="47">
        <f t="shared" si="13"/>
        <v>0</v>
      </c>
      <c r="F186" s="87">
        <v>0</v>
      </c>
      <c r="G186" s="47">
        <f t="shared" si="15"/>
        <v>0</v>
      </c>
      <c r="H186" s="88"/>
      <c r="I186" s="20">
        <v>10</v>
      </c>
      <c r="J186" s="82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198</v>
      </c>
      <c r="C187" s="79">
        <f>+'27'!G187</f>
        <v>0</v>
      </c>
      <c r="D187" s="87">
        <v>0</v>
      </c>
      <c r="E187" s="47">
        <f t="shared" si="13"/>
        <v>0</v>
      </c>
      <c r="F187" s="87">
        <v>0</v>
      </c>
      <c r="G187" s="47">
        <f t="shared" si="15"/>
        <v>0</v>
      </c>
      <c r="H187" s="88"/>
      <c r="I187" s="20">
        <v>25</v>
      </c>
      <c r="J187" s="82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249</v>
      </c>
      <c r="C188" s="79">
        <f>+'27'!G188</f>
        <v>0</v>
      </c>
      <c r="D188" s="87">
        <v>0</v>
      </c>
      <c r="E188" s="47">
        <f t="shared" si="13"/>
        <v>0</v>
      </c>
      <c r="F188" s="87">
        <v>0</v>
      </c>
      <c r="G188" s="47">
        <f t="shared" si="15"/>
        <v>0</v>
      </c>
      <c r="H188" s="88"/>
      <c r="I188" s="15">
        <v>50</v>
      </c>
      <c r="J188" s="82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250</v>
      </c>
      <c r="C189" s="79">
        <f>+'27'!G189</f>
        <v>0</v>
      </c>
      <c r="D189" s="87">
        <v>0</v>
      </c>
      <c r="E189" s="47">
        <f t="shared" si="13"/>
        <v>0</v>
      </c>
      <c r="F189" s="87">
        <v>0</v>
      </c>
      <c r="G189" s="47">
        <f t="shared" si="15"/>
        <v>0</v>
      </c>
      <c r="H189" s="88"/>
      <c r="I189" s="15">
        <v>10</v>
      </c>
      <c r="J189" s="82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251</v>
      </c>
      <c r="C190" s="79">
        <f>+'27'!G190</f>
        <v>0</v>
      </c>
      <c r="D190" s="87">
        <v>0</v>
      </c>
      <c r="E190" s="47">
        <f t="shared" ref="E190:E252" si="17">C190+D190</f>
        <v>0</v>
      </c>
      <c r="F190" s="87">
        <v>0</v>
      </c>
      <c r="G190" s="47">
        <f t="shared" si="15"/>
        <v>0</v>
      </c>
      <c r="H190" s="88"/>
      <c r="I190" s="15">
        <v>15</v>
      </c>
      <c r="J190" s="82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252</v>
      </c>
      <c r="C191" s="79">
        <f>+'27'!G191</f>
        <v>0</v>
      </c>
      <c r="D191" s="87">
        <v>0</v>
      </c>
      <c r="E191" s="47">
        <f t="shared" si="17"/>
        <v>0</v>
      </c>
      <c r="F191" s="87">
        <v>0</v>
      </c>
      <c r="G191" s="47">
        <f t="shared" si="15"/>
        <v>0</v>
      </c>
      <c r="H191" s="88"/>
      <c r="I191" s="15">
        <v>25</v>
      </c>
      <c r="J191" s="82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253</v>
      </c>
      <c r="C192" s="79">
        <f>+'27'!G192</f>
        <v>0</v>
      </c>
      <c r="D192" s="87">
        <v>0</v>
      </c>
      <c r="E192" s="47">
        <f t="shared" si="17"/>
        <v>0</v>
      </c>
      <c r="F192" s="87">
        <v>0</v>
      </c>
      <c r="G192" s="47">
        <f t="shared" si="15"/>
        <v>0</v>
      </c>
      <c r="H192" s="88"/>
      <c r="I192" s="15">
        <v>50</v>
      </c>
      <c r="J192" s="82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254</v>
      </c>
      <c r="C193" s="79">
        <f>+'27'!G193</f>
        <v>0</v>
      </c>
      <c r="D193" s="87">
        <v>0</v>
      </c>
      <c r="E193" s="47">
        <f t="shared" si="17"/>
        <v>0</v>
      </c>
      <c r="F193" s="87">
        <v>0</v>
      </c>
      <c r="G193" s="47">
        <f t="shared" si="15"/>
        <v>0</v>
      </c>
      <c r="H193" s="88"/>
      <c r="I193" s="15">
        <v>45</v>
      </c>
      <c r="J193" s="82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255</v>
      </c>
      <c r="C194" s="79">
        <f>+'27'!G194</f>
        <v>0</v>
      </c>
      <c r="D194" s="87">
        <v>0</v>
      </c>
      <c r="E194" s="47">
        <f t="shared" si="17"/>
        <v>0</v>
      </c>
      <c r="F194" s="87">
        <v>0</v>
      </c>
      <c r="G194" s="47">
        <f t="shared" si="15"/>
        <v>0</v>
      </c>
      <c r="H194" s="88"/>
      <c r="I194" s="15">
        <v>50</v>
      </c>
      <c r="J194" s="82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199</v>
      </c>
      <c r="C195" s="79">
        <f>+'27'!G195</f>
        <v>0</v>
      </c>
      <c r="D195" s="87">
        <v>0</v>
      </c>
      <c r="E195" s="47">
        <f t="shared" si="17"/>
        <v>0</v>
      </c>
      <c r="F195" s="87">
        <v>0</v>
      </c>
      <c r="G195" s="47">
        <f t="shared" si="15"/>
        <v>0</v>
      </c>
      <c r="H195" s="88"/>
      <c r="I195" s="15">
        <v>150</v>
      </c>
      <c r="J195" s="82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200</v>
      </c>
      <c r="C196" s="79">
        <f>+'27'!G196</f>
        <v>0</v>
      </c>
      <c r="D196" s="87">
        <v>0</v>
      </c>
      <c r="E196" s="47">
        <f t="shared" si="17"/>
        <v>0</v>
      </c>
      <c r="F196" s="87">
        <v>0</v>
      </c>
      <c r="G196" s="47">
        <f t="shared" si="15"/>
        <v>0</v>
      </c>
      <c r="H196" s="88"/>
      <c r="I196" s="15">
        <v>150</v>
      </c>
      <c r="J196" s="82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201</v>
      </c>
      <c r="C197" s="79">
        <f>+'27'!G197</f>
        <v>0</v>
      </c>
      <c r="D197" s="87">
        <v>0</v>
      </c>
      <c r="E197" s="47">
        <f t="shared" si="17"/>
        <v>0</v>
      </c>
      <c r="F197" s="87">
        <v>0</v>
      </c>
      <c r="G197" s="47">
        <f t="shared" si="15"/>
        <v>0</v>
      </c>
      <c r="H197" s="88"/>
      <c r="I197" s="15">
        <v>150</v>
      </c>
      <c r="J197" s="82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256</v>
      </c>
      <c r="C198" s="79">
        <f>+'27'!G198</f>
        <v>0</v>
      </c>
      <c r="D198" s="87">
        <v>0</v>
      </c>
      <c r="E198" s="47">
        <f t="shared" si="17"/>
        <v>0</v>
      </c>
      <c r="F198" s="87">
        <v>0</v>
      </c>
      <c r="G198" s="47">
        <f t="shared" si="15"/>
        <v>0</v>
      </c>
      <c r="H198" s="88"/>
      <c r="I198" s="15">
        <v>55</v>
      </c>
      <c r="J198" s="82">
        <f t="shared" si="16"/>
        <v>0</v>
      </c>
      <c r="K198" s="17" t="s">
        <v>16</v>
      </c>
      <c r="L198" s="18">
        <v>0</v>
      </c>
      <c r="M198" s="23">
        <f t="shared" si="14"/>
        <v>0</v>
      </c>
    </row>
    <row r="199" spans="1:13" ht="25.5" x14ac:dyDescent="0.55000000000000004">
      <c r="A199" s="10">
        <v>195</v>
      </c>
      <c r="B199" s="19" t="s">
        <v>257</v>
      </c>
      <c r="C199" s="79">
        <f>+'27'!G199</f>
        <v>0</v>
      </c>
      <c r="D199" s="87">
        <v>0</v>
      </c>
      <c r="E199" s="47">
        <f t="shared" si="17"/>
        <v>0</v>
      </c>
      <c r="F199" s="87">
        <v>0</v>
      </c>
      <c r="G199" s="47">
        <f t="shared" si="15"/>
        <v>0</v>
      </c>
      <c r="H199" s="88"/>
      <c r="I199" s="15">
        <v>30</v>
      </c>
      <c r="J199" s="82">
        <f t="shared" si="16"/>
        <v>0</v>
      </c>
      <c r="K199" s="17" t="s">
        <v>16</v>
      </c>
      <c r="L199" s="18">
        <v>0</v>
      </c>
      <c r="M199" s="23">
        <f t="shared" ref="M199:M254" si="18">SUM(J199-L199)</f>
        <v>0</v>
      </c>
    </row>
    <row r="200" spans="1:13" ht="25.5" x14ac:dyDescent="0.55000000000000004">
      <c r="A200" s="10">
        <v>196</v>
      </c>
      <c r="B200" s="19" t="s">
        <v>258</v>
      </c>
      <c r="C200" s="79">
        <f>+'27'!G200</f>
        <v>0</v>
      </c>
      <c r="D200" s="87">
        <v>0</v>
      </c>
      <c r="E200" s="47">
        <f t="shared" si="17"/>
        <v>0</v>
      </c>
      <c r="F200" s="87">
        <v>0</v>
      </c>
      <c r="G200" s="47">
        <f t="shared" si="15"/>
        <v>0</v>
      </c>
      <c r="H200" s="88"/>
      <c r="I200" s="15">
        <v>30</v>
      </c>
      <c r="J200" s="82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259</v>
      </c>
      <c r="C201" s="79">
        <f>+'27'!G201</f>
        <v>0</v>
      </c>
      <c r="D201" s="87">
        <v>0</v>
      </c>
      <c r="E201" s="47">
        <f t="shared" si="17"/>
        <v>0</v>
      </c>
      <c r="F201" s="87">
        <v>0</v>
      </c>
      <c r="G201" s="47">
        <f t="shared" si="15"/>
        <v>0</v>
      </c>
      <c r="H201" s="88"/>
      <c r="I201" s="15">
        <v>30</v>
      </c>
      <c r="J201" s="82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260</v>
      </c>
      <c r="C202" s="79">
        <f>+'27'!G202</f>
        <v>0</v>
      </c>
      <c r="D202" s="87">
        <v>0</v>
      </c>
      <c r="E202" s="47">
        <f t="shared" si="17"/>
        <v>0</v>
      </c>
      <c r="F202" s="87">
        <v>0</v>
      </c>
      <c r="G202" s="47">
        <f t="shared" si="15"/>
        <v>0</v>
      </c>
      <c r="H202" s="88"/>
      <c r="I202" s="15">
        <v>30</v>
      </c>
      <c r="J202" s="82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1" t="s">
        <v>261</v>
      </c>
      <c r="C203" s="79">
        <f>+'27'!G203</f>
        <v>0</v>
      </c>
      <c r="D203" s="87">
        <v>0</v>
      </c>
      <c r="E203" s="47">
        <f t="shared" si="17"/>
        <v>0</v>
      </c>
      <c r="F203" s="87">
        <v>0</v>
      </c>
      <c r="G203" s="47">
        <f t="shared" si="15"/>
        <v>0</v>
      </c>
      <c r="H203" s="88"/>
      <c r="I203" s="20">
        <v>30</v>
      </c>
      <c r="J203" s="82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1" t="s">
        <v>262</v>
      </c>
      <c r="C204" s="79">
        <f>+'27'!G204</f>
        <v>0</v>
      </c>
      <c r="D204" s="87">
        <v>0</v>
      </c>
      <c r="E204" s="47">
        <f t="shared" si="17"/>
        <v>0</v>
      </c>
      <c r="F204" s="87">
        <v>0</v>
      </c>
      <c r="G204" s="47">
        <f t="shared" si="15"/>
        <v>0</v>
      </c>
      <c r="H204" s="88"/>
      <c r="I204" s="20">
        <v>30</v>
      </c>
      <c r="J204" s="82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1" t="s">
        <v>263</v>
      </c>
      <c r="C205" s="79">
        <f>+'27'!G205</f>
        <v>0</v>
      </c>
      <c r="D205" s="87">
        <v>0</v>
      </c>
      <c r="E205" s="47">
        <f t="shared" si="17"/>
        <v>0</v>
      </c>
      <c r="F205" s="87">
        <v>0</v>
      </c>
      <c r="G205" s="47">
        <f t="shared" si="15"/>
        <v>0</v>
      </c>
      <c r="H205" s="88"/>
      <c r="I205" s="20">
        <v>50</v>
      </c>
      <c r="J205" s="82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1" t="s">
        <v>264</v>
      </c>
      <c r="C206" s="79">
        <f>+'27'!G206</f>
        <v>0</v>
      </c>
      <c r="D206" s="87">
        <v>0</v>
      </c>
      <c r="E206" s="47">
        <f t="shared" si="17"/>
        <v>0</v>
      </c>
      <c r="F206" s="87">
        <v>0</v>
      </c>
      <c r="G206" s="47">
        <f t="shared" si="15"/>
        <v>0</v>
      </c>
      <c r="H206" s="88"/>
      <c r="I206" s="20">
        <v>100</v>
      </c>
      <c r="J206" s="82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1" t="s">
        <v>265</v>
      </c>
      <c r="C207" s="79">
        <f>+'27'!G207</f>
        <v>0</v>
      </c>
      <c r="D207" s="87">
        <v>0</v>
      </c>
      <c r="E207" s="47">
        <f t="shared" si="17"/>
        <v>0</v>
      </c>
      <c r="F207" s="87">
        <v>0</v>
      </c>
      <c r="G207" s="47">
        <f t="shared" si="15"/>
        <v>0</v>
      </c>
      <c r="H207" s="88"/>
      <c r="I207" s="20">
        <v>100</v>
      </c>
      <c r="J207" s="82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1" t="s">
        <v>266</v>
      </c>
      <c r="C208" s="79">
        <f>+'27'!G208</f>
        <v>0</v>
      </c>
      <c r="D208" s="87">
        <v>0</v>
      </c>
      <c r="E208" s="47">
        <f t="shared" si="17"/>
        <v>0</v>
      </c>
      <c r="F208" s="87">
        <v>0</v>
      </c>
      <c r="G208" s="47">
        <f t="shared" si="15"/>
        <v>0</v>
      </c>
      <c r="H208" s="88"/>
      <c r="I208" s="20">
        <v>100</v>
      </c>
      <c r="J208" s="82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1" t="s">
        <v>267</v>
      </c>
      <c r="C209" s="79">
        <f>+'27'!G209</f>
        <v>0</v>
      </c>
      <c r="D209" s="87">
        <v>0</v>
      </c>
      <c r="E209" s="47">
        <f t="shared" si="17"/>
        <v>0</v>
      </c>
      <c r="F209" s="87">
        <v>0</v>
      </c>
      <c r="G209" s="47">
        <f t="shared" si="15"/>
        <v>0</v>
      </c>
      <c r="H209" s="88"/>
      <c r="I209" s="20">
        <v>100</v>
      </c>
      <c r="J209" s="82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1" t="s">
        <v>268</v>
      </c>
      <c r="C210" s="79">
        <f>+'27'!G210</f>
        <v>0</v>
      </c>
      <c r="D210" s="87">
        <v>0</v>
      </c>
      <c r="E210" s="47">
        <f t="shared" si="17"/>
        <v>0</v>
      </c>
      <c r="F210" s="87">
        <v>0</v>
      </c>
      <c r="G210" s="47">
        <f t="shared" si="15"/>
        <v>0</v>
      </c>
      <c r="H210" s="88"/>
      <c r="I210" s="20">
        <v>250</v>
      </c>
      <c r="J210" s="82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1" t="s">
        <v>269</v>
      </c>
      <c r="C211" s="79">
        <f>+'27'!G211</f>
        <v>0</v>
      </c>
      <c r="D211" s="87">
        <v>0</v>
      </c>
      <c r="E211" s="47">
        <f t="shared" si="17"/>
        <v>0</v>
      </c>
      <c r="F211" s="87">
        <v>0</v>
      </c>
      <c r="G211" s="47">
        <f t="shared" si="15"/>
        <v>0</v>
      </c>
      <c r="H211" s="88"/>
      <c r="I211" s="20">
        <v>250</v>
      </c>
      <c r="J211" s="82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1" t="s">
        <v>270</v>
      </c>
      <c r="C212" s="79">
        <f>+'27'!G212</f>
        <v>0</v>
      </c>
      <c r="D212" s="87">
        <v>0</v>
      </c>
      <c r="E212" s="47">
        <f t="shared" si="17"/>
        <v>0</v>
      </c>
      <c r="F212" s="87">
        <v>0</v>
      </c>
      <c r="G212" s="47">
        <f t="shared" si="15"/>
        <v>0</v>
      </c>
      <c r="H212" s="88"/>
      <c r="I212" s="20">
        <v>250</v>
      </c>
      <c r="J212" s="82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1" t="s">
        <v>271</v>
      </c>
      <c r="C213" s="79">
        <f>+'27'!G213</f>
        <v>0</v>
      </c>
      <c r="D213" s="87">
        <v>0</v>
      </c>
      <c r="E213" s="47">
        <f t="shared" si="17"/>
        <v>0</v>
      </c>
      <c r="F213" s="87">
        <v>0</v>
      </c>
      <c r="G213" s="47">
        <f t="shared" si="15"/>
        <v>0</v>
      </c>
      <c r="H213" s="88"/>
      <c r="I213" s="20">
        <v>50</v>
      </c>
      <c r="J213" s="82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1" t="s">
        <v>273</v>
      </c>
      <c r="C214" s="79">
        <f>+'27'!G214</f>
        <v>0</v>
      </c>
      <c r="D214" s="87">
        <v>0</v>
      </c>
      <c r="E214" s="47">
        <f t="shared" si="17"/>
        <v>0</v>
      </c>
      <c r="F214" s="87">
        <v>0</v>
      </c>
      <c r="G214" s="47">
        <f t="shared" si="15"/>
        <v>0</v>
      </c>
      <c r="H214" s="88"/>
      <c r="I214" s="20">
        <v>50</v>
      </c>
      <c r="J214" s="82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1" t="s">
        <v>274</v>
      </c>
      <c r="C215" s="79">
        <f>+'27'!G215</f>
        <v>0</v>
      </c>
      <c r="D215" s="87">
        <v>0</v>
      </c>
      <c r="E215" s="47">
        <f t="shared" si="17"/>
        <v>0</v>
      </c>
      <c r="F215" s="87">
        <v>0</v>
      </c>
      <c r="G215" s="47">
        <f t="shared" si="15"/>
        <v>0</v>
      </c>
      <c r="H215" s="88"/>
      <c r="I215" s="20">
        <v>50</v>
      </c>
      <c r="J215" s="82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1" t="s">
        <v>242</v>
      </c>
      <c r="C216" s="79">
        <f>+'27'!G216</f>
        <v>0</v>
      </c>
      <c r="D216" s="87">
        <v>0</v>
      </c>
      <c r="E216" s="47">
        <f t="shared" si="17"/>
        <v>0</v>
      </c>
      <c r="F216" s="87">
        <v>0</v>
      </c>
      <c r="G216" s="47">
        <f t="shared" si="15"/>
        <v>0</v>
      </c>
      <c r="H216" s="88"/>
      <c r="I216" s="20">
        <v>35</v>
      </c>
      <c r="J216" s="82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1" t="s">
        <v>275</v>
      </c>
      <c r="C217" s="79">
        <f>+'27'!G217</f>
        <v>0</v>
      </c>
      <c r="D217" s="87">
        <v>0</v>
      </c>
      <c r="E217" s="47">
        <f t="shared" si="17"/>
        <v>0</v>
      </c>
      <c r="F217" s="87">
        <v>0</v>
      </c>
      <c r="G217" s="47">
        <f t="shared" si="15"/>
        <v>0</v>
      </c>
      <c r="H217" s="88"/>
      <c r="I217" s="20">
        <v>199</v>
      </c>
      <c r="J217" s="82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1" t="s">
        <v>283</v>
      </c>
      <c r="C218" s="79"/>
      <c r="D218" s="87">
        <v>0</v>
      </c>
      <c r="E218" s="47">
        <f t="shared" si="17"/>
        <v>0</v>
      </c>
      <c r="F218" s="87">
        <v>0</v>
      </c>
      <c r="G218" s="47">
        <f t="shared" si="15"/>
        <v>0</v>
      </c>
      <c r="H218" s="88"/>
      <c r="I218" s="20">
        <v>25</v>
      </c>
      <c r="J218" s="82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1" t="s">
        <v>284</v>
      </c>
      <c r="C219" s="79"/>
      <c r="D219" s="87">
        <v>0</v>
      </c>
      <c r="E219" s="47">
        <f t="shared" si="17"/>
        <v>0</v>
      </c>
      <c r="F219" s="87">
        <v>0</v>
      </c>
      <c r="G219" s="47">
        <f t="shared" si="15"/>
        <v>0</v>
      </c>
      <c r="H219" s="88"/>
      <c r="I219" s="20">
        <v>25</v>
      </c>
      <c r="J219" s="82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1" t="s">
        <v>314</v>
      </c>
      <c r="C220" s="79">
        <f>+'27'!G220</f>
        <v>0</v>
      </c>
      <c r="D220" s="87">
        <v>0</v>
      </c>
      <c r="E220" s="47">
        <f t="shared" si="17"/>
        <v>0</v>
      </c>
      <c r="F220" s="87">
        <v>0</v>
      </c>
      <c r="G220" s="47">
        <f t="shared" si="15"/>
        <v>0</v>
      </c>
      <c r="H220" s="88"/>
      <c r="I220" s="20">
        <v>35</v>
      </c>
      <c r="J220" s="82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1" t="s">
        <v>326</v>
      </c>
      <c r="C221" s="79">
        <f>+'27'!G221</f>
        <v>1</v>
      </c>
      <c r="D221" s="87">
        <v>0</v>
      </c>
      <c r="E221" s="47">
        <f t="shared" si="17"/>
        <v>1</v>
      </c>
      <c r="F221" s="87">
        <v>0</v>
      </c>
      <c r="G221" s="47">
        <f t="shared" si="15"/>
        <v>1</v>
      </c>
      <c r="H221" s="88"/>
      <c r="I221" s="20">
        <v>55</v>
      </c>
      <c r="J221" s="82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1" t="s">
        <v>327</v>
      </c>
      <c r="C222" s="79">
        <f>+'27'!G222</f>
        <v>6</v>
      </c>
      <c r="D222" s="87">
        <v>0</v>
      </c>
      <c r="E222" s="47">
        <f t="shared" si="17"/>
        <v>6</v>
      </c>
      <c r="F222" s="87">
        <v>0</v>
      </c>
      <c r="G222" s="47">
        <f t="shared" si="15"/>
        <v>6</v>
      </c>
      <c r="H222" s="88"/>
      <c r="I222" s="20">
        <v>40</v>
      </c>
      <c r="J222" s="82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1"/>
      <c r="C223" s="79">
        <f>+'27'!G223</f>
        <v>0</v>
      </c>
      <c r="D223" s="87">
        <v>0</v>
      </c>
      <c r="E223" s="47">
        <f t="shared" si="17"/>
        <v>0</v>
      </c>
      <c r="F223" s="87">
        <v>0</v>
      </c>
      <c r="G223" s="47">
        <f t="shared" si="15"/>
        <v>0</v>
      </c>
      <c r="H223" s="88"/>
      <c r="I223" s="20"/>
      <c r="J223" s="82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1"/>
      <c r="C224" s="79">
        <f>+'27'!G224</f>
        <v>0</v>
      </c>
      <c r="D224" s="87">
        <v>0</v>
      </c>
      <c r="E224" s="47">
        <f t="shared" si="17"/>
        <v>0</v>
      </c>
      <c r="F224" s="87">
        <v>0</v>
      </c>
      <c r="G224" s="47">
        <f t="shared" si="15"/>
        <v>0</v>
      </c>
      <c r="H224" s="88"/>
      <c r="I224" s="20"/>
      <c r="J224" s="82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1"/>
      <c r="C225" s="79">
        <f>+'27'!G225</f>
        <v>0</v>
      </c>
      <c r="D225" s="87">
        <v>0</v>
      </c>
      <c r="E225" s="47">
        <f t="shared" si="17"/>
        <v>0</v>
      </c>
      <c r="F225" s="87">
        <v>0</v>
      </c>
      <c r="G225" s="47">
        <f t="shared" si="15"/>
        <v>0</v>
      </c>
      <c r="H225" s="88"/>
      <c r="I225" s="20"/>
      <c r="J225" s="82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1"/>
      <c r="C226" s="79">
        <f>+'27'!G226</f>
        <v>0</v>
      </c>
      <c r="D226" s="87">
        <v>0</v>
      </c>
      <c r="E226" s="47">
        <f t="shared" si="17"/>
        <v>0</v>
      </c>
      <c r="F226" s="87">
        <v>0</v>
      </c>
      <c r="G226" s="47">
        <f t="shared" si="15"/>
        <v>0</v>
      </c>
      <c r="H226" s="88"/>
      <c r="I226" s="20"/>
      <c r="J226" s="82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1"/>
      <c r="C227" s="79">
        <f>+'27'!G227</f>
        <v>0</v>
      </c>
      <c r="D227" s="87">
        <v>0</v>
      </c>
      <c r="E227" s="47">
        <f t="shared" si="17"/>
        <v>0</v>
      </c>
      <c r="F227" s="87">
        <v>0</v>
      </c>
      <c r="G227" s="47">
        <f t="shared" si="15"/>
        <v>0</v>
      </c>
      <c r="H227" s="88"/>
      <c r="I227" s="20"/>
      <c r="J227" s="82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1"/>
      <c r="C228" s="79">
        <f>+'27'!G228</f>
        <v>0</v>
      </c>
      <c r="D228" s="87">
        <v>0</v>
      </c>
      <c r="E228" s="47">
        <f t="shared" si="17"/>
        <v>0</v>
      </c>
      <c r="F228" s="87">
        <v>0</v>
      </c>
      <c r="G228" s="47">
        <f t="shared" ref="G228:G254" si="19">+E228-F228-H228</f>
        <v>0</v>
      </c>
      <c r="H228" s="88"/>
      <c r="I228" s="20"/>
      <c r="J228" s="82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1"/>
      <c r="C229" s="79">
        <f>+'27'!G229</f>
        <v>0</v>
      </c>
      <c r="D229" s="87">
        <v>0</v>
      </c>
      <c r="E229" s="47">
        <f t="shared" si="17"/>
        <v>0</v>
      </c>
      <c r="F229" s="87">
        <v>0</v>
      </c>
      <c r="G229" s="47">
        <f t="shared" si="19"/>
        <v>0</v>
      </c>
      <c r="H229" s="88"/>
      <c r="I229" s="20"/>
      <c r="J229" s="82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1"/>
      <c r="C230" s="79">
        <f>+'27'!G230</f>
        <v>0</v>
      </c>
      <c r="D230" s="87">
        <v>0</v>
      </c>
      <c r="E230" s="47">
        <f t="shared" si="17"/>
        <v>0</v>
      </c>
      <c r="F230" s="87">
        <v>0</v>
      </c>
      <c r="G230" s="47">
        <f t="shared" si="19"/>
        <v>0</v>
      </c>
      <c r="H230" s="88"/>
      <c r="I230" s="20"/>
      <c r="J230" s="82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1"/>
      <c r="C231" s="79">
        <f>+'27'!G231</f>
        <v>0</v>
      </c>
      <c r="D231" s="87">
        <v>0</v>
      </c>
      <c r="E231" s="47">
        <f t="shared" si="17"/>
        <v>0</v>
      </c>
      <c r="F231" s="87">
        <v>0</v>
      </c>
      <c r="G231" s="47">
        <f t="shared" si="19"/>
        <v>0</v>
      </c>
      <c r="H231" s="88"/>
      <c r="I231" s="20"/>
      <c r="J231" s="82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1"/>
      <c r="C232" s="79">
        <f>+'27'!G232</f>
        <v>0</v>
      </c>
      <c r="D232" s="87">
        <v>0</v>
      </c>
      <c r="E232" s="47">
        <f t="shared" si="17"/>
        <v>0</v>
      </c>
      <c r="F232" s="87">
        <v>0</v>
      </c>
      <c r="G232" s="47">
        <f t="shared" si="19"/>
        <v>0</v>
      </c>
      <c r="H232" s="88"/>
      <c r="I232" s="20"/>
      <c r="J232" s="82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1"/>
      <c r="C233" s="79">
        <f>+'27'!G233</f>
        <v>0</v>
      </c>
      <c r="D233" s="87">
        <v>0</v>
      </c>
      <c r="E233" s="47">
        <f t="shared" si="17"/>
        <v>0</v>
      </c>
      <c r="F233" s="87">
        <v>0</v>
      </c>
      <c r="G233" s="47">
        <f t="shared" si="19"/>
        <v>0</v>
      </c>
      <c r="H233" s="88"/>
      <c r="I233" s="20"/>
      <c r="J233" s="82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1"/>
      <c r="C234" s="79">
        <f>+'27'!G234</f>
        <v>0</v>
      </c>
      <c r="D234" s="87">
        <v>0</v>
      </c>
      <c r="E234" s="47">
        <f t="shared" si="17"/>
        <v>0</v>
      </c>
      <c r="F234" s="87">
        <v>0</v>
      </c>
      <c r="G234" s="47">
        <f t="shared" si="19"/>
        <v>0</v>
      </c>
      <c r="H234" s="88"/>
      <c r="I234" s="20"/>
      <c r="J234" s="82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1"/>
      <c r="C235" s="79">
        <f>+'27'!G235</f>
        <v>0</v>
      </c>
      <c r="D235" s="87">
        <v>0</v>
      </c>
      <c r="E235" s="47">
        <f t="shared" si="17"/>
        <v>0</v>
      </c>
      <c r="F235" s="87">
        <v>0</v>
      </c>
      <c r="G235" s="47">
        <f t="shared" si="19"/>
        <v>0</v>
      </c>
      <c r="H235" s="88"/>
      <c r="I235" s="20"/>
      <c r="J235" s="82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1"/>
      <c r="C236" s="79">
        <f>+'27'!G236</f>
        <v>0</v>
      </c>
      <c r="D236" s="87">
        <v>0</v>
      </c>
      <c r="E236" s="47">
        <f t="shared" si="17"/>
        <v>0</v>
      </c>
      <c r="F236" s="87">
        <v>0</v>
      </c>
      <c r="G236" s="47">
        <f t="shared" si="19"/>
        <v>0</v>
      </c>
      <c r="H236" s="88"/>
      <c r="I236" s="20"/>
      <c r="J236" s="82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1"/>
      <c r="C237" s="79">
        <f>+'27'!G237</f>
        <v>0</v>
      </c>
      <c r="D237" s="87">
        <v>0</v>
      </c>
      <c r="E237" s="47">
        <f t="shared" si="17"/>
        <v>0</v>
      </c>
      <c r="F237" s="87">
        <v>0</v>
      </c>
      <c r="G237" s="47">
        <f t="shared" si="19"/>
        <v>0</v>
      </c>
      <c r="H237" s="88"/>
      <c r="I237" s="20"/>
      <c r="J237" s="82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1"/>
      <c r="C238" s="79">
        <f>+'27'!G238</f>
        <v>0</v>
      </c>
      <c r="D238" s="87">
        <v>0</v>
      </c>
      <c r="E238" s="47">
        <f t="shared" si="17"/>
        <v>0</v>
      </c>
      <c r="F238" s="87">
        <v>0</v>
      </c>
      <c r="G238" s="47">
        <f t="shared" si="19"/>
        <v>0</v>
      </c>
      <c r="H238" s="88"/>
      <c r="I238" s="20"/>
      <c r="J238" s="82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1"/>
      <c r="C239" s="79">
        <f>+'27'!G239</f>
        <v>0</v>
      </c>
      <c r="D239" s="87">
        <v>0</v>
      </c>
      <c r="E239" s="47">
        <f t="shared" si="17"/>
        <v>0</v>
      </c>
      <c r="F239" s="87">
        <v>0</v>
      </c>
      <c r="G239" s="47">
        <f t="shared" si="19"/>
        <v>0</v>
      </c>
      <c r="H239" s="88"/>
      <c r="I239" s="20"/>
      <c r="J239" s="82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1"/>
      <c r="C240" s="79">
        <f>+'27'!G240</f>
        <v>0</v>
      </c>
      <c r="D240" s="87">
        <v>0</v>
      </c>
      <c r="E240" s="47">
        <f t="shared" si="17"/>
        <v>0</v>
      </c>
      <c r="F240" s="87">
        <v>0</v>
      </c>
      <c r="G240" s="47">
        <f t="shared" si="19"/>
        <v>0</v>
      </c>
      <c r="H240" s="88"/>
      <c r="I240" s="20"/>
      <c r="J240" s="82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1"/>
      <c r="C241" s="79">
        <f>+'27'!G241</f>
        <v>0</v>
      </c>
      <c r="D241" s="87">
        <v>0</v>
      </c>
      <c r="E241" s="47">
        <f t="shared" si="17"/>
        <v>0</v>
      </c>
      <c r="F241" s="87">
        <v>0</v>
      </c>
      <c r="G241" s="47">
        <f t="shared" si="19"/>
        <v>0</v>
      </c>
      <c r="H241" s="88"/>
      <c r="I241" s="20"/>
      <c r="J241" s="82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1"/>
      <c r="C242" s="79">
        <f>+'27'!G242</f>
        <v>0</v>
      </c>
      <c r="D242" s="87">
        <v>0</v>
      </c>
      <c r="E242" s="47">
        <f t="shared" si="17"/>
        <v>0</v>
      </c>
      <c r="F242" s="87">
        <v>0</v>
      </c>
      <c r="G242" s="47">
        <f t="shared" si="19"/>
        <v>0</v>
      </c>
      <c r="H242" s="88"/>
      <c r="I242" s="20"/>
      <c r="J242" s="82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1"/>
      <c r="C243" s="79">
        <f>+'27'!G243</f>
        <v>0</v>
      </c>
      <c r="D243" s="87">
        <v>0</v>
      </c>
      <c r="E243" s="47">
        <f t="shared" si="17"/>
        <v>0</v>
      </c>
      <c r="F243" s="87">
        <v>0</v>
      </c>
      <c r="G243" s="47">
        <f t="shared" si="19"/>
        <v>0</v>
      </c>
      <c r="H243" s="88"/>
      <c r="I243" s="20"/>
      <c r="J243" s="82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1"/>
      <c r="C244" s="79">
        <f>+'27'!G244</f>
        <v>0</v>
      </c>
      <c r="D244" s="87">
        <v>0</v>
      </c>
      <c r="E244" s="47">
        <f t="shared" si="17"/>
        <v>0</v>
      </c>
      <c r="F244" s="87">
        <v>0</v>
      </c>
      <c r="G244" s="47">
        <f t="shared" si="19"/>
        <v>0</v>
      </c>
      <c r="H244" s="88"/>
      <c r="I244" s="20"/>
      <c r="J244" s="82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1"/>
      <c r="C245" s="79">
        <f>+'27'!G245</f>
        <v>0</v>
      </c>
      <c r="D245" s="87">
        <v>0</v>
      </c>
      <c r="E245" s="47">
        <f t="shared" si="17"/>
        <v>0</v>
      </c>
      <c r="F245" s="87">
        <v>0</v>
      </c>
      <c r="G245" s="47">
        <f t="shared" si="19"/>
        <v>0</v>
      </c>
      <c r="H245" s="88"/>
      <c r="I245" s="20"/>
      <c r="J245" s="82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1"/>
      <c r="C246" s="79">
        <f>+'27'!G246</f>
        <v>0</v>
      </c>
      <c r="D246" s="87">
        <v>0</v>
      </c>
      <c r="E246" s="47">
        <f t="shared" si="17"/>
        <v>0</v>
      </c>
      <c r="F246" s="87">
        <v>0</v>
      </c>
      <c r="G246" s="47">
        <f t="shared" si="19"/>
        <v>0</v>
      </c>
      <c r="H246" s="88"/>
      <c r="I246" s="20"/>
      <c r="J246" s="82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1"/>
      <c r="C247" s="79">
        <f>+'27'!G247</f>
        <v>0</v>
      </c>
      <c r="D247" s="87">
        <v>0</v>
      </c>
      <c r="E247" s="47">
        <f t="shared" si="17"/>
        <v>0</v>
      </c>
      <c r="F247" s="87">
        <v>0</v>
      </c>
      <c r="G247" s="47">
        <f t="shared" si="19"/>
        <v>0</v>
      </c>
      <c r="H247" s="88"/>
      <c r="I247" s="20"/>
      <c r="J247" s="82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1"/>
      <c r="C248" s="79">
        <f>+'27'!G248</f>
        <v>0</v>
      </c>
      <c r="D248" s="87">
        <v>0</v>
      </c>
      <c r="E248" s="47">
        <f t="shared" si="17"/>
        <v>0</v>
      </c>
      <c r="F248" s="87">
        <v>0</v>
      </c>
      <c r="G248" s="47">
        <f t="shared" si="19"/>
        <v>0</v>
      </c>
      <c r="H248" s="88"/>
      <c r="I248" s="20"/>
      <c r="J248" s="82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1"/>
      <c r="C249" s="79">
        <f>+'27'!G249</f>
        <v>0</v>
      </c>
      <c r="D249" s="87">
        <v>0</v>
      </c>
      <c r="E249" s="47">
        <f t="shared" si="17"/>
        <v>0</v>
      </c>
      <c r="F249" s="87">
        <v>0</v>
      </c>
      <c r="G249" s="47">
        <f t="shared" si="19"/>
        <v>0</v>
      </c>
      <c r="H249" s="88"/>
      <c r="I249" s="20"/>
      <c r="J249" s="82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1"/>
      <c r="C250" s="79">
        <f>+'27'!G250</f>
        <v>0</v>
      </c>
      <c r="D250" s="87">
        <v>0</v>
      </c>
      <c r="E250" s="47">
        <f t="shared" si="17"/>
        <v>0</v>
      </c>
      <c r="F250" s="87">
        <v>0</v>
      </c>
      <c r="G250" s="47">
        <f t="shared" si="19"/>
        <v>0</v>
      </c>
      <c r="H250" s="88"/>
      <c r="I250" s="20"/>
      <c r="J250" s="82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1"/>
      <c r="C251" s="79">
        <f>+'27'!G251</f>
        <v>0</v>
      </c>
      <c r="D251" s="87">
        <v>0</v>
      </c>
      <c r="E251" s="47">
        <f t="shared" si="17"/>
        <v>0</v>
      </c>
      <c r="F251" s="87">
        <v>0</v>
      </c>
      <c r="G251" s="47">
        <f t="shared" si="19"/>
        <v>0</v>
      </c>
      <c r="H251" s="88"/>
      <c r="I251" s="20"/>
      <c r="J251" s="82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1"/>
      <c r="C252" s="79">
        <f>+'27'!G252</f>
        <v>0</v>
      </c>
      <c r="D252" s="87">
        <v>0</v>
      </c>
      <c r="E252" s="47">
        <f t="shared" si="17"/>
        <v>0</v>
      </c>
      <c r="F252" s="87">
        <v>0</v>
      </c>
      <c r="G252" s="47">
        <f t="shared" si="19"/>
        <v>0</v>
      </c>
      <c r="H252" s="88"/>
      <c r="I252" s="20"/>
      <c r="J252" s="82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1"/>
      <c r="C253" s="79">
        <f>+'27'!G253</f>
        <v>0</v>
      </c>
      <c r="D253" s="87">
        <v>0</v>
      </c>
      <c r="E253" s="47">
        <f t="shared" ref="E253:E254" si="21">C253+D253</f>
        <v>0</v>
      </c>
      <c r="F253" s="87">
        <v>0</v>
      </c>
      <c r="G253" s="47">
        <f t="shared" si="19"/>
        <v>0</v>
      </c>
      <c r="H253" s="88"/>
      <c r="I253" s="20"/>
      <c r="J253" s="82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1"/>
      <c r="C254" s="79">
        <f>+'27'!G254</f>
        <v>0</v>
      </c>
      <c r="D254" s="87">
        <v>0</v>
      </c>
      <c r="E254" s="47">
        <f t="shared" si="21"/>
        <v>0</v>
      </c>
      <c r="F254" s="87">
        <v>0</v>
      </c>
      <c r="G254" s="47">
        <f t="shared" si="19"/>
        <v>0</v>
      </c>
      <c r="H254" s="88"/>
      <c r="I254" s="20"/>
      <c r="J254" s="82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5045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3" t="s">
        <v>213</v>
      </c>
      <c r="N255" s="143"/>
    </row>
    <row r="256" spans="1:14" ht="25.5" customHeight="1" x14ac:dyDescent="0.5">
      <c r="A256" s="1"/>
      <c r="E256" s="24"/>
      <c r="F256" s="25"/>
      <c r="G256" s="24"/>
      <c r="H256" s="148" t="s">
        <v>212</v>
      </c>
      <c r="I256" s="149"/>
      <c r="J256" s="30">
        <f>+X138</f>
        <v>0</v>
      </c>
      <c r="K256" s="27"/>
      <c r="L256" s="29"/>
    </row>
    <row r="257" spans="1:25" ht="25.5" x14ac:dyDescent="0.55000000000000004">
      <c r="A257" s="1"/>
      <c r="E257" s="31"/>
      <c r="G257" s="31"/>
      <c r="H257" s="32"/>
      <c r="I257" s="150" t="s">
        <v>202</v>
      </c>
      <c r="J257" s="150"/>
      <c r="K257" s="33">
        <f>SUM(J5:J256)</f>
        <v>5365</v>
      </c>
    </row>
    <row r="258" spans="1:25" ht="25.5" x14ac:dyDescent="0.55000000000000004">
      <c r="A258" s="1"/>
      <c r="E258" s="31"/>
      <c r="G258" s="31"/>
      <c r="I258" s="140" t="s">
        <v>203</v>
      </c>
      <c r="J258" s="141"/>
      <c r="K258" s="36">
        <v>15</v>
      </c>
    </row>
    <row r="259" spans="1:25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1590</v>
      </c>
      <c r="L259" s="2">
        <v>300</v>
      </c>
      <c r="M259" s="2">
        <v>100</v>
      </c>
      <c r="N259" s="2">
        <v>100</v>
      </c>
      <c r="O259" s="2">
        <v>150</v>
      </c>
      <c r="P259" s="2">
        <v>50</v>
      </c>
      <c r="Q259" s="2">
        <v>50</v>
      </c>
      <c r="R259" s="2">
        <v>105</v>
      </c>
      <c r="S259" s="2">
        <v>50</v>
      </c>
      <c r="T259" s="2">
        <v>110</v>
      </c>
      <c r="U259" s="2">
        <v>55</v>
      </c>
      <c r="V259" s="2">
        <v>170</v>
      </c>
      <c r="W259" s="2">
        <v>150</v>
      </c>
      <c r="X259" s="2">
        <v>100</v>
      </c>
      <c r="Y259" s="2">
        <v>100</v>
      </c>
    </row>
    <row r="260" spans="1:25" ht="25.5" x14ac:dyDescent="0.55000000000000004">
      <c r="A260" s="1"/>
      <c r="E260" s="31"/>
      <c r="G260" s="31"/>
      <c r="I260" s="140" t="s">
        <v>205</v>
      </c>
      <c r="J260" s="141"/>
      <c r="K260" s="36">
        <v>0</v>
      </c>
    </row>
    <row r="261" spans="1:25" ht="25.5" x14ac:dyDescent="0.55000000000000004">
      <c r="A261" s="1"/>
      <c r="E261" s="31"/>
      <c r="G261" s="31"/>
      <c r="I261" s="140" t="s">
        <v>206</v>
      </c>
      <c r="J261" s="141"/>
      <c r="K261" s="36">
        <v>0</v>
      </c>
    </row>
    <row r="262" spans="1:25" ht="25.5" x14ac:dyDescent="0.55000000000000004">
      <c r="A262" s="1"/>
      <c r="E262" s="31"/>
      <c r="G262" s="31"/>
      <c r="I262" s="140" t="s">
        <v>207</v>
      </c>
      <c r="J262" s="141"/>
      <c r="K262" s="37">
        <f>SUM(L5:L255)</f>
        <v>320</v>
      </c>
    </row>
    <row r="263" spans="1:25" ht="25.5" x14ac:dyDescent="0.55000000000000004">
      <c r="A263" s="1"/>
      <c r="E263" s="31"/>
      <c r="G263" s="31"/>
      <c r="I263" s="140" t="s">
        <v>208</v>
      </c>
      <c r="J263" s="141"/>
      <c r="K263" s="33">
        <f>K257-K258-K259-K261-K262</f>
        <v>3440</v>
      </c>
    </row>
    <row r="264" spans="1:25" ht="25.5" x14ac:dyDescent="0.55000000000000004">
      <c r="A264" s="1"/>
      <c r="E264" s="31"/>
      <c r="G264" s="31"/>
      <c r="I264" s="140" t="s">
        <v>209</v>
      </c>
      <c r="J264" s="141"/>
      <c r="K264" s="37">
        <v>3440</v>
      </c>
    </row>
    <row r="265" spans="1:25" ht="25.5" x14ac:dyDescent="0.55000000000000004">
      <c r="A265" s="1"/>
      <c r="E265" s="31"/>
      <c r="G265" s="31"/>
      <c r="I265" s="140" t="s">
        <v>210</v>
      </c>
      <c r="J265" s="141"/>
      <c r="K265" s="33">
        <f>+K264-K263</f>
        <v>0</v>
      </c>
    </row>
    <row r="266" spans="1:25" ht="25.5" x14ac:dyDescent="0.55000000000000004">
      <c r="G266" s="2"/>
      <c r="I266" s="140" t="s">
        <v>211</v>
      </c>
      <c r="J266" s="141"/>
      <c r="K266" s="33">
        <f>+K264-K263</f>
        <v>0</v>
      </c>
    </row>
    <row r="267" spans="1:25" x14ac:dyDescent="0.5">
      <c r="G267" s="2"/>
      <c r="I267" s="2"/>
    </row>
    <row r="268" spans="1:25" ht="25.5" x14ac:dyDescent="0.55000000000000004">
      <c r="G268" s="2"/>
      <c r="I268" s="105" t="s">
        <v>312</v>
      </c>
    </row>
    <row r="269" spans="1:25" x14ac:dyDescent="0.5">
      <c r="G269" s="2"/>
      <c r="I269" s="2"/>
    </row>
    <row r="270" spans="1:25" x14ac:dyDescent="0.5">
      <c r="G270" s="2"/>
      <c r="I270" s="2"/>
    </row>
    <row r="271" spans="1:25" x14ac:dyDescent="0.5">
      <c r="G271" s="2"/>
      <c r="I271" s="2"/>
    </row>
    <row r="272" spans="1:25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D44BA-DB47-41B0-B7A9-2E2B0E3E68F6}">
  <sheetPr>
    <tabColor theme="7" tint="-0.249977111117893"/>
  </sheetPr>
  <dimension ref="A1:AG341"/>
  <sheetViews>
    <sheetView zoomScaleNormal="100" workbookViewId="0">
      <pane xSplit="7" ySplit="4" topLeftCell="H217" activePane="bottomRight" state="frozen"/>
      <selection activeCell="I224" sqref="I224"/>
      <selection pane="topRight" activeCell="I224" sqref="I224"/>
      <selection pane="bottomLeft" activeCell="I224" sqref="I224"/>
      <selection pane="bottomRight" activeCell="I255" sqref="I255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8" x14ac:dyDescent="0.5">
      <c r="A1" s="1"/>
      <c r="G1" s="2"/>
      <c r="I1" s="2"/>
    </row>
    <row r="2" spans="1:28" s="3" customFormat="1" ht="29.25" x14ac:dyDescent="0.6">
      <c r="A2" s="137" t="s">
        <v>247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8" s="5" customFormat="1" ht="26.25" x14ac:dyDescent="0.55000000000000004">
      <c r="A3" s="139" t="s">
        <v>1</v>
      </c>
      <c r="B3" s="151" t="s">
        <v>2</v>
      </c>
      <c r="C3" s="139" t="s">
        <v>3</v>
      </c>
      <c r="D3" s="139" t="s">
        <v>4</v>
      </c>
      <c r="E3" s="139" t="s">
        <v>5</v>
      </c>
      <c r="F3" s="85" t="s">
        <v>6</v>
      </c>
      <c r="G3" s="139" t="s">
        <v>7</v>
      </c>
      <c r="H3" s="142" t="s">
        <v>8</v>
      </c>
      <c r="I3" s="142"/>
      <c r="J3" s="142"/>
      <c r="K3" s="139" t="s">
        <v>9</v>
      </c>
      <c r="L3" s="144" t="s">
        <v>10</v>
      </c>
      <c r="O3" s="139" t="s">
        <v>1</v>
      </c>
      <c r="P3" s="139" t="s">
        <v>2</v>
      </c>
      <c r="Q3" s="139" t="s">
        <v>3</v>
      </c>
      <c r="R3" s="139" t="s">
        <v>4</v>
      </c>
      <c r="S3" s="139" t="s">
        <v>5</v>
      </c>
      <c r="T3" s="85" t="s">
        <v>6</v>
      </c>
      <c r="U3" s="139" t="s">
        <v>7</v>
      </c>
      <c r="V3" s="142" t="s">
        <v>8</v>
      </c>
      <c r="W3" s="142"/>
      <c r="X3" s="142"/>
      <c r="Y3" s="139" t="s">
        <v>9</v>
      </c>
      <c r="Z3" s="144" t="s">
        <v>10</v>
      </c>
    </row>
    <row r="4" spans="1:28" s="5" customFormat="1" ht="26.25" x14ac:dyDescent="0.55000000000000004">
      <c r="A4" s="139"/>
      <c r="B4" s="151"/>
      <c r="C4" s="139"/>
      <c r="D4" s="139"/>
      <c r="E4" s="139"/>
      <c r="F4" s="85" t="s">
        <v>11</v>
      </c>
      <c r="G4" s="139"/>
      <c r="H4" s="85" t="s">
        <v>12</v>
      </c>
      <c r="I4" s="86" t="s">
        <v>13</v>
      </c>
      <c r="J4" s="85" t="s">
        <v>14</v>
      </c>
      <c r="K4" s="139"/>
      <c r="L4" s="144"/>
      <c r="O4" s="139"/>
      <c r="P4" s="139"/>
      <c r="Q4" s="139"/>
      <c r="R4" s="139"/>
      <c r="S4" s="139"/>
      <c r="T4" s="85" t="s">
        <v>11</v>
      </c>
      <c r="U4" s="139"/>
      <c r="V4" s="85" t="s">
        <v>12</v>
      </c>
      <c r="W4" s="86" t="s">
        <v>13</v>
      </c>
      <c r="X4" s="85" t="s">
        <v>14</v>
      </c>
      <c r="Y4" s="139"/>
      <c r="Z4" s="144"/>
      <c r="AB4" s="5" t="s">
        <v>2</v>
      </c>
    </row>
    <row r="5" spans="1:28" ht="25.5" x14ac:dyDescent="0.55000000000000004">
      <c r="A5" s="10">
        <v>1</v>
      </c>
      <c r="B5" s="19" t="s">
        <v>15</v>
      </c>
      <c r="C5" s="79">
        <f>+'28'!G5</f>
        <v>6</v>
      </c>
      <c r="D5" s="87">
        <v>10</v>
      </c>
      <c r="E5" s="47">
        <f t="shared" ref="E5:E125" si="0">C5+D5</f>
        <v>16</v>
      </c>
      <c r="F5" s="87">
        <v>0</v>
      </c>
      <c r="G5" s="47">
        <f>+E5-F5-H5</f>
        <v>9</v>
      </c>
      <c r="H5" s="88">
        <v>7</v>
      </c>
      <c r="I5" s="15">
        <v>50</v>
      </c>
      <c r="J5" s="82">
        <f>+I5*H5</f>
        <v>350</v>
      </c>
      <c r="K5" s="17" t="s">
        <v>16</v>
      </c>
      <c r="L5" s="18">
        <v>0</v>
      </c>
      <c r="M5" s="23">
        <f>SUM(J5-L5)</f>
        <v>350</v>
      </c>
      <c r="O5" s="10">
        <v>1</v>
      </c>
      <c r="P5" s="19"/>
      <c r="Q5" s="47">
        <v>0</v>
      </c>
      <c r="R5" s="87">
        <v>0</v>
      </c>
      <c r="S5" s="47">
        <f t="shared" ref="S5:S14" si="1">Q5+R5</f>
        <v>0</v>
      </c>
      <c r="T5" s="87">
        <v>0</v>
      </c>
      <c r="U5" s="47">
        <f t="shared" ref="U5:U14" si="2">S5-T5-V5</f>
        <v>0</v>
      </c>
      <c r="V5" s="88">
        <v>0</v>
      </c>
      <c r="W5" s="22"/>
      <c r="X5" s="44">
        <f t="shared" ref="X5:X14" si="3">V5*W5</f>
        <v>0</v>
      </c>
      <c r="Y5" s="17" t="s">
        <v>16</v>
      </c>
      <c r="Z5" s="18">
        <v>0</v>
      </c>
      <c r="AB5" s="2" t="s">
        <v>317</v>
      </c>
    </row>
    <row r="6" spans="1:28" ht="25.5" x14ac:dyDescent="0.55000000000000004">
      <c r="A6" s="10">
        <v>2</v>
      </c>
      <c r="B6" s="19" t="s">
        <v>17</v>
      </c>
      <c r="C6" s="79">
        <f>+'28'!G6</f>
        <v>3</v>
      </c>
      <c r="D6" s="87">
        <v>20</v>
      </c>
      <c r="E6" s="47">
        <f t="shared" si="0"/>
        <v>23</v>
      </c>
      <c r="F6" s="87">
        <v>0</v>
      </c>
      <c r="G6" s="47">
        <f t="shared" ref="G6:G100" si="4">+E6-F6-H6</f>
        <v>13</v>
      </c>
      <c r="H6" s="88">
        <v>10</v>
      </c>
      <c r="I6" s="15">
        <v>100</v>
      </c>
      <c r="J6" s="82">
        <f t="shared" ref="J6:J100" si="5">+I6*H6</f>
        <v>1000</v>
      </c>
      <c r="K6" s="17" t="s">
        <v>16</v>
      </c>
      <c r="L6" s="18">
        <v>0</v>
      </c>
      <c r="M6" s="23">
        <f t="shared" ref="M6:M69" si="6">SUM(J6-L6)</f>
        <v>1000</v>
      </c>
      <c r="O6" s="10">
        <v>2</v>
      </c>
      <c r="P6" s="19"/>
      <c r="Q6" s="47">
        <v>0</v>
      </c>
      <c r="R6" s="87">
        <v>0</v>
      </c>
      <c r="S6" s="47">
        <f t="shared" si="1"/>
        <v>0</v>
      </c>
      <c r="T6" s="87">
        <v>0</v>
      </c>
      <c r="U6" s="47">
        <f t="shared" si="2"/>
        <v>0</v>
      </c>
      <c r="V6" s="88">
        <v>0</v>
      </c>
      <c r="W6" s="22"/>
      <c r="X6" s="44">
        <f t="shared" si="3"/>
        <v>0</v>
      </c>
      <c r="Y6" s="17" t="s">
        <v>16</v>
      </c>
      <c r="Z6" s="18">
        <v>0</v>
      </c>
      <c r="AB6" s="2" t="s">
        <v>318</v>
      </c>
    </row>
    <row r="7" spans="1:28" ht="25.5" x14ac:dyDescent="0.55000000000000004">
      <c r="A7" s="10">
        <v>3</v>
      </c>
      <c r="B7" s="19" t="s">
        <v>18</v>
      </c>
      <c r="C7" s="79">
        <f>+'28'!G7</f>
        <v>0</v>
      </c>
      <c r="D7" s="87">
        <v>0</v>
      </c>
      <c r="E7" s="47">
        <f>C7+D7</f>
        <v>0</v>
      </c>
      <c r="F7" s="87">
        <v>0</v>
      </c>
      <c r="G7" s="47">
        <f t="shared" si="4"/>
        <v>0</v>
      </c>
      <c r="H7" s="88"/>
      <c r="I7" s="15">
        <v>50</v>
      </c>
      <c r="J7" s="8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7">
        <v>0</v>
      </c>
      <c r="S7" s="47">
        <f t="shared" si="1"/>
        <v>0</v>
      </c>
      <c r="T7" s="87">
        <v>0</v>
      </c>
      <c r="U7" s="47">
        <f t="shared" si="2"/>
        <v>0</v>
      </c>
      <c r="V7" s="88">
        <v>0</v>
      </c>
      <c r="W7" s="22"/>
      <c r="X7" s="44">
        <f t="shared" si="3"/>
        <v>0</v>
      </c>
      <c r="Y7" s="17" t="s">
        <v>16</v>
      </c>
      <c r="Z7" s="18">
        <v>0</v>
      </c>
      <c r="AB7" s="2" t="s">
        <v>319</v>
      </c>
    </row>
    <row r="8" spans="1:28" ht="25.5" x14ac:dyDescent="0.55000000000000004">
      <c r="A8" s="10">
        <v>4</v>
      </c>
      <c r="B8" s="19" t="s">
        <v>19</v>
      </c>
      <c r="C8" s="79">
        <f>+'28'!G8</f>
        <v>0</v>
      </c>
      <c r="D8" s="87">
        <v>0</v>
      </c>
      <c r="E8" s="47">
        <f>C8+D8</f>
        <v>0</v>
      </c>
      <c r="F8" s="87">
        <v>0</v>
      </c>
      <c r="G8" s="47">
        <f t="shared" si="4"/>
        <v>0</v>
      </c>
      <c r="H8" s="88"/>
      <c r="I8" s="15">
        <v>100</v>
      </c>
      <c r="J8" s="8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7">
        <v>0</v>
      </c>
      <c r="S8" s="47">
        <f t="shared" si="1"/>
        <v>0</v>
      </c>
      <c r="T8" s="87">
        <v>0</v>
      </c>
      <c r="U8" s="47">
        <f t="shared" si="2"/>
        <v>0</v>
      </c>
      <c r="V8" s="88">
        <v>0</v>
      </c>
      <c r="W8" s="22"/>
      <c r="X8" s="44">
        <f t="shared" si="3"/>
        <v>0</v>
      </c>
      <c r="Y8" s="17" t="s">
        <v>16</v>
      </c>
      <c r="Z8" s="18">
        <v>0</v>
      </c>
      <c r="AB8" s="2" t="s">
        <v>320</v>
      </c>
    </row>
    <row r="9" spans="1:28" ht="25.5" x14ac:dyDescent="0.55000000000000004">
      <c r="A9" s="10">
        <v>5</v>
      </c>
      <c r="B9" s="19" t="s">
        <v>20</v>
      </c>
      <c r="C9" s="79">
        <f>+'28'!G9</f>
        <v>0</v>
      </c>
      <c r="D9" s="87">
        <v>0</v>
      </c>
      <c r="E9" s="47">
        <f>C9+D9</f>
        <v>0</v>
      </c>
      <c r="F9" s="87">
        <v>0</v>
      </c>
      <c r="G9" s="47">
        <f t="shared" si="4"/>
        <v>0</v>
      </c>
      <c r="H9" s="88"/>
      <c r="I9" s="15">
        <v>12</v>
      </c>
      <c r="J9" s="8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7">
        <v>0</v>
      </c>
      <c r="S9" s="47">
        <f t="shared" si="1"/>
        <v>0</v>
      </c>
      <c r="T9" s="87">
        <v>0</v>
      </c>
      <c r="U9" s="47">
        <f t="shared" si="2"/>
        <v>0</v>
      </c>
      <c r="V9" s="88">
        <v>0</v>
      </c>
      <c r="W9" s="22"/>
      <c r="X9" s="44">
        <f t="shared" si="3"/>
        <v>0</v>
      </c>
      <c r="Y9" s="17" t="s">
        <v>16</v>
      </c>
      <c r="Z9" s="18">
        <v>0</v>
      </c>
      <c r="AB9" s="2" t="s">
        <v>307</v>
      </c>
    </row>
    <row r="10" spans="1:28" ht="25.5" x14ac:dyDescent="0.55000000000000004">
      <c r="A10" s="10">
        <v>6</v>
      </c>
      <c r="B10" s="19" t="s">
        <v>21</v>
      </c>
      <c r="C10" s="79">
        <f>+'28'!G10</f>
        <v>0</v>
      </c>
      <c r="D10" s="87">
        <v>0</v>
      </c>
      <c r="E10" s="47">
        <f>C10+D10</f>
        <v>0</v>
      </c>
      <c r="F10" s="87">
        <v>0</v>
      </c>
      <c r="G10" s="47">
        <f t="shared" si="4"/>
        <v>0</v>
      </c>
      <c r="H10" s="88"/>
      <c r="I10" s="15">
        <v>15</v>
      </c>
      <c r="J10" s="8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7">
        <v>0</v>
      </c>
      <c r="S10" s="47">
        <f t="shared" si="1"/>
        <v>0</v>
      </c>
      <c r="T10" s="87">
        <v>0</v>
      </c>
      <c r="U10" s="47">
        <f t="shared" si="2"/>
        <v>0</v>
      </c>
      <c r="V10" s="88">
        <v>0</v>
      </c>
      <c r="W10" s="22"/>
      <c r="X10" s="44">
        <f t="shared" si="3"/>
        <v>0</v>
      </c>
      <c r="Y10" s="17" t="s">
        <v>16</v>
      </c>
      <c r="Z10" s="18">
        <v>0</v>
      </c>
      <c r="AB10" s="2" t="s">
        <v>311</v>
      </c>
    </row>
    <row r="11" spans="1:28" ht="25.5" x14ac:dyDescent="0.55000000000000004">
      <c r="A11" s="10">
        <v>7</v>
      </c>
      <c r="B11" s="19" t="s">
        <v>22</v>
      </c>
      <c r="C11" s="79">
        <f>+'28'!G11</f>
        <v>0</v>
      </c>
      <c r="D11" s="87">
        <v>0</v>
      </c>
      <c r="E11" s="47">
        <f t="shared" si="0"/>
        <v>0</v>
      </c>
      <c r="F11" s="87">
        <v>0</v>
      </c>
      <c r="G11" s="47">
        <f t="shared" si="4"/>
        <v>0</v>
      </c>
      <c r="H11" s="88"/>
      <c r="I11" s="15">
        <v>40</v>
      </c>
      <c r="J11" s="8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7">
        <v>0</v>
      </c>
      <c r="S11" s="47">
        <f t="shared" si="1"/>
        <v>0</v>
      </c>
      <c r="T11" s="87">
        <v>0</v>
      </c>
      <c r="U11" s="47">
        <f t="shared" si="2"/>
        <v>0</v>
      </c>
      <c r="V11" s="88">
        <v>0</v>
      </c>
      <c r="W11" s="22"/>
      <c r="X11" s="44">
        <f t="shared" si="3"/>
        <v>0</v>
      </c>
      <c r="Y11" s="17" t="s">
        <v>16</v>
      </c>
      <c r="Z11" s="18">
        <v>0</v>
      </c>
      <c r="AB11" s="2" t="s">
        <v>321</v>
      </c>
    </row>
    <row r="12" spans="1:28" ht="25.5" x14ac:dyDescent="0.55000000000000004">
      <c r="A12" s="10">
        <v>8</v>
      </c>
      <c r="B12" s="19" t="s">
        <v>23</v>
      </c>
      <c r="C12" s="79">
        <f>+'28'!G12</f>
        <v>1</v>
      </c>
      <c r="D12" s="87">
        <v>5</v>
      </c>
      <c r="E12" s="47">
        <f t="shared" si="0"/>
        <v>6</v>
      </c>
      <c r="F12" s="87">
        <v>0</v>
      </c>
      <c r="G12" s="47">
        <f t="shared" si="4"/>
        <v>5</v>
      </c>
      <c r="H12" s="88">
        <v>1</v>
      </c>
      <c r="I12" s="20">
        <v>50</v>
      </c>
      <c r="J12" s="82">
        <f t="shared" si="5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9"/>
      <c r="Q12" s="47">
        <v>0</v>
      </c>
      <c r="R12" s="87">
        <v>0</v>
      </c>
      <c r="S12" s="47">
        <f t="shared" si="1"/>
        <v>0</v>
      </c>
      <c r="T12" s="87">
        <v>0</v>
      </c>
      <c r="U12" s="47">
        <f t="shared" si="2"/>
        <v>0</v>
      </c>
      <c r="V12" s="88">
        <v>0</v>
      </c>
      <c r="W12" s="22"/>
      <c r="X12" s="44">
        <f t="shared" si="3"/>
        <v>0</v>
      </c>
      <c r="Y12" s="17" t="s">
        <v>16</v>
      </c>
      <c r="Z12" s="18">
        <v>0</v>
      </c>
      <c r="AB12" s="2" t="s">
        <v>289</v>
      </c>
    </row>
    <row r="13" spans="1:28" ht="25.5" x14ac:dyDescent="0.55000000000000004">
      <c r="A13" s="10">
        <v>9</v>
      </c>
      <c r="B13" s="19" t="s">
        <v>24</v>
      </c>
      <c r="C13" s="79">
        <f>+'28'!G13</f>
        <v>0</v>
      </c>
      <c r="D13" s="87">
        <v>0</v>
      </c>
      <c r="E13" s="47">
        <f>C13+D13</f>
        <v>0</v>
      </c>
      <c r="F13" s="87">
        <v>0</v>
      </c>
      <c r="G13" s="47">
        <f t="shared" si="4"/>
        <v>0</v>
      </c>
      <c r="H13" s="88"/>
      <c r="I13" s="20">
        <v>55</v>
      </c>
      <c r="J13" s="8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7">
        <v>0</v>
      </c>
      <c r="S13" s="47">
        <f t="shared" si="1"/>
        <v>0</v>
      </c>
      <c r="T13" s="87">
        <v>0</v>
      </c>
      <c r="U13" s="47">
        <f t="shared" si="2"/>
        <v>0</v>
      </c>
      <c r="V13" s="88">
        <v>0</v>
      </c>
      <c r="W13" s="22"/>
      <c r="X13" s="44">
        <f t="shared" si="3"/>
        <v>0</v>
      </c>
      <c r="Y13" s="17" t="s">
        <v>16</v>
      </c>
      <c r="Z13" s="18">
        <v>0</v>
      </c>
      <c r="AB13" s="2" t="s">
        <v>322</v>
      </c>
    </row>
    <row r="14" spans="1:28" ht="25.5" x14ac:dyDescent="0.55000000000000004">
      <c r="A14" s="10">
        <v>10</v>
      </c>
      <c r="B14" s="19" t="s">
        <v>25</v>
      </c>
      <c r="C14" s="79">
        <f>+'28'!G14</f>
        <v>1</v>
      </c>
      <c r="D14" s="87">
        <v>5</v>
      </c>
      <c r="E14" s="47">
        <f t="shared" si="0"/>
        <v>6</v>
      </c>
      <c r="F14" s="87">
        <v>0</v>
      </c>
      <c r="G14" s="47">
        <f t="shared" si="4"/>
        <v>4</v>
      </c>
      <c r="H14" s="88">
        <v>2</v>
      </c>
      <c r="I14" s="20">
        <v>65</v>
      </c>
      <c r="J14" s="82">
        <f t="shared" si="5"/>
        <v>130</v>
      </c>
      <c r="K14" s="17" t="s">
        <v>16</v>
      </c>
      <c r="L14" s="18">
        <v>0</v>
      </c>
      <c r="M14" s="23">
        <f t="shared" si="6"/>
        <v>130</v>
      </c>
      <c r="O14" s="10">
        <v>10</v>
      </c>
      <c r="P14" s="19"/>
      <c r="Q14" s="47">
        <v>0</v>
      </c>
      <c r="R14" s="87">
        <v>0</v>
      </c>
      <c r="S14" s="47">
        <f t="shared" si="1"/>
        <v>0</v>
      </c>
      <c r="T14" s="87">
        <v>0</v>
      </c>
      <c r="U14" s="47">
        <f t="shared" si="2"/>
        <v>0</v>
      </c>
      <c r="V14" s="88">
        <v>0</v>
      </c>
      <c r="W14" s="22"/>
      <c r="X14" s="44">
        <f t="shared" si="3"/>
        <v>0</v>
      </c>
      <c r="Y14" s="17" t="s">
        <v>16</v>
      </c>
      <c r="Z14" s="18">
        <v>0</v>
      </c>
      <c r="AB14" s="2" t="s">
        <v>306</v>
      </c>
    </row>
    <row r="15" spans="1:28" ht="25.5" x14ac:dyDescent="0.55000000000000004">
      <c r="A15" s="10">
        <v>11</v>
      </c>
      <c r="B15" s="19" t="s">
        <v>26</v>
      </c>
      <c r="C15" s="79">
        <f>+'28'!G15</f>
        <v>0</v>
      </c>
      <c r="D15" s="87">
        <v>0</v>
      </c>
      <c r="E15" s="47">
        <f t="shared" si="0"/>
        <v>0</v>
      </c>
      <c r="F15" s="87">
        <v>0</v>
      </c>
      <c r="G15" s="47">
        <f t="shared" si="4"/>
        <v>0</v>
      </c>
      <c r="H15" s="88"/>
      <c r="I15" s="20">
        <v>50</v>
      </c>
      <c r="J15" s="8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7">
        <v>0</v>
      </c>
      <c r="S15" s="47">
        <f t="shared" ref="S15:S29" si="7">Q15+R15</f>
        <v>0</v>
      </c>
      <c r="T15" s="87">
        <v>0</v>
      </c>
      <c r="U15" s="47">
        <f t="shared" ref="U15:U29" si="8">S15-T15-V15</f>
        <v>0</v>
      </c>
      <c r="V15" s="88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8" ht="25.5" x14ac:dyDescent="0.55000000000000004">
      <c r="A16" s="10">
        <v>12</v>
      </c>
      <c r="B16" s="19" t="s">
        <v>27</v>
      </c>
      <c r="C16" s="79">
        <f>+'28'!G16</f>
        <v>0</v>
      </c>
      <c r="D16" s="87">
        <v>0</v>
      </c>
      <c r="E16" s="47">
        <f t="shared" si="0"/>
        <v>0</v>
      </c>
      <c r="F16" s="87">
        <v>0</v>
      </c>
      <c r="G16" s="47">
        <f t="shared" si="4"/>
        <v>0</v>
      </c>
      <c r="H16" s="88"/>
      <c r="I16" s="15">
        <v>50</v>
      </c>
      <c r="J16" s="8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7">
        <v>0</v>
      </c>
      <c r="S16" s="47">
        <f t="shared" si="7"/>
        <v>0</v>
      </c>
      <c r="T16" s="87">
        <v>0</v>
      </c>
      <c r="U16" s="47">
        <f t="shared" si="8"/>
        <v>0</v>
      </c>
      <c r="V16" s="88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+'28'!G17</f>
        <v>0</v>
      </c>
      <c r="D17" s="87">
        <v>5</v>
      </c>
      <c r="E17" s="47">
        <f t="shared" si="0"/>
        <v>5</v>
      </c>
      <c r="F17" s="87">
        <v>0</v>
      </c>
      <c r="G17" s="47">
        <f t="shared" si="4"/>
        <v>5</v>
      </c>
      <c r="H17" s="88"/>
      <c r="I17" s="15">
        <v>50</v>
      </c>
      <c r="J17" s="8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7">
        <v>0</v>
      </c>
      <c r="S17" s="47">
        <f t="shared" si="7"/>
        <v>0</v>
      </c>
      <c r="T17" s="87">
        <v>0</v>
      </c>
      <c r="U17" s="47">
        <f t="shared" si="8"/>
        <v>0</v>
      </c>
      <c r="V17" s="88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+'28'!G18</f>
        <v>0</v>
      </c>
      <c r="D18" s="87">
        <v>0</v>
      </c>
      <c r="E18" s="47">
        <f t="shared" si="0"/>
        <v>0</v>
      </c>
      <c r="F18" s="87">
        <v>0</v>
      </c>
      <c r="G18" s="47">
        <f t="shared" si="4"/>
        <v>0</v>
      </c>
      <c r="H18" s="88"/>
      <c r="I18" s="20">
        <v>50</v>
      </c>
      <c r="J18" s="8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7">
        <v>0</v>
      </c>
      <c r="S18" s="47">
        <f t="shared" si="7"/>
        <v>0</v>
      </c>
      <c r="T18" s="87">
        <v>0</v>
      </c>
      <c r="U18" s="47">
        <f t="shared" si="8"/>
        <v>0</v>
      </c>
      <c r="V18" s="88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329</v>
      </c>
      <c r="C19" s="79">
        <f>+'28'!G19</f>
        <v>5</v>
      </c>
      <c r="D19" s="87">
        <v>5</v>
      </c>
      <c r="E19" s="47">
        <f t="shared" si="0"/>
        <v>10</v>
      </c>
      <c r="F19" s="87">
        <v>0</v>
      </c>
      <c r="G19" s="47">
        <f t="shared" si="4"/>
        <v>7</v>
      </c>
      <c r="H19" s="88">
        <v>3</v>
      </c>
      <c r="I19" s="15">
        <v>50</v>
      </c>
      <c r="J19" s="82">
        <f t="shared" si="5"/>
        <v>150</v>
      </c>
      <c r="K19" s="17" t="s">
        <v>16</v>
      </c>
      <c r="L19" s="18">
        <v>0</v>
      </c>
      <c r="M19" s="23">
        <f t="shared" si="6"/>
        <v>150</v>
      </c>
      <c r="O19" s="10">
        <v>15</v>
      </c>
      <c r="P19" s="19"/>
      <c r="Q19" s="47">
        <v>0</v>
      </c>
      <c r="R19" s="87">
        <v>0</v>
      </c>
      <c r="S19" s="47">
        <f t="shared" si="7"/>
        <v>0</v>
      </c>
      <c r="T19" s="87">
        <v>0</v>
      </c>
      <c r="U19" s="47">
        <f t="shared" si="8"/>
        <v>0</v>
      </c>
      <c r="V19" s="88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+'28'!G20</f>
        <v>0</v>
      </c>
      <c r="D20" s="87">
        <v>0</v>
      </c>
      <c r="E20" s="47">
        <f t="shared" si="0"/>
        <v>0</v>
      </c>
      <c r="F20" s="87">
        <v>0</v>
      </c>
      <c r="G20" s="47">
        <f t="shared" si="4"/>
        <v>0</v>
      </c>
      <c r="H20" s="88"/>
      <c r="I20" s="15">
        <v>50</v>
      </c>
      <c r="J20" s="8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7">
        <v>0</v>
      </c>
      <c r="S20" s="47">
        <f t="shared" si="7"/>
        <v>0</v>
      </c>
      <c r="T20" s="87">
        <v>0</v>
      </c>
      <c r="U20" s="47">
        <f t="shared" si="8"/>
        <v>0</v>
      </c>
      <c r="V20" s="88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+'28'!G21</f>
        <v>0</v>
      </c>
      <c r="D21" s="87">
        <v>0</v>
      </c>
      <c r="E21" s="47">
        <f t="shared" si="0"/>
        <v>0</v>
      </c>
      <c r="F21" s="87">
        <v>0</v>
      </c>
      <c r="G21" s="47">
        <f t="shared" si="4"/>
        <v>0</v>
      </c>
      <c r="H21" s="88"/>
      <c r="I21" s="15">
        <v>50</v>
      </c>
      <c r="J21" s="8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7">
        <v>0</v>
      </c>
      <c r="S21" s="47">
        <f t="shared" si="7"/>
        <v>0</v>
      </c>
      <c r="T21" s="87">
        <v>0</v>
      </c>
      <c r="U21" s="47">
        <f t="shared" si="8"/>
        <v>0</v>
      </c>
      <c r="V21" s="88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+'28'!G22</f>
        <v>2</v>
      </c>
      <c r="D22" s="87">
        <v>5</v>
      </c>
      <c r="E22" s="47">
        <f t="shared" si="0"/>
        <v>7</v>
      </c>
      <c r="F22" s="87">
        <v>0</v>
      </c>
      <c r="G22" s="47">
        <f t="shared" si="4"/>
        <v>5</v>
      </c>
      <c r="H22" s="88">
        <v>2</v>
      </c>
      <c r="I22" s="15">
        <v>85</v>
      </c>
      <c r="J22" s="82">
        <f t="shared" si="5"/>
        <v>170</v>
      </c>
      <c r="K22" s="17" t="s">
        <v>16</v>
      </c>
      <c r="L22" s="18">
        <v>0</v>
      </c>
      <c r="M22" s="23">
        <f t="shared" si="6"/>
        <v>170</v>
      </c>
      <c r="O22" s="10">
        <v>18</v>
      </c>
      <c r="P22" s="19"/>
      <c r="Q22" s="47">
        <v>0</v>
      </c>
      <c r="R22" s="87">
        <v>0</v>
      </c>
      <c r="S22" s="47">
        <f t="shared" si="7"/>
        <v>0</v>
      </c>
      <c r="T22" s="87">
        <v>0</v>
      </c>
      <c r="U22" s="47">
        <f t="shared" si="8"/>
        <v>0</v>
      </c>
      <c r="V22" s="88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+'28'!G23</f>
        <v>18</v>
      </c>
      <c r="D23" s="87">
        <v>10</v>
      </c>
      <c r="E23" s="47">
        <f t="shared" si="0"/>
        <v>28</v>
      </c>
      <c r="F23" s="87">
        <v>0</v>
      </c>
      <c r="G23" s="47">
        <f t="shared" si="4"/>
        <v>23</v>
      </c>
      <c r="H23" s="88">
        <v>5</v>
      </c>
      <c r="I23" s="15">
        <v>100</v>
      </c>
      <c r="J23" s="82">
        <f t="shared" si="5"/>
        <v>500</v>
      </c>
      <c r="K23" s="17" t="s">
        <v>16</v>
      </c>
      <c r="L23" s="18">
        <v>0</v>
      </c>
      <c r="M23" s="23">
        <f t="shared" si="6"/>
        <v>500</v>
      </c>
      <c r="O23" s="10">
        <v>19</v>
      </c>
      <c r="P23" s="19"/>
      <c r="Q23" s="47">
        <v>0</v>
      </c>
      <c r="R23" s="87">
        <v>0</v>
      </c>
      <c r="S23" s="47">
        <f t="shared" si="7"/>
        <v>0</v>
      </c>
      <c r="T23" s="87">
        <v>0</v>
      </c>
      <c r="U23" s="47">
        <f t="shared" si="8"/>
        <v>0</v>
      </c>
      <c r="V23" s="88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+'28'!G24</f>
        <v>1</v>
      </c>
      <c r="D24" s="87">
        <v>5</v>
      </c>
      <c r="E24" s="47">
        <f t="shared" si="0"/>
        <v>6</v>
      </c>
      <c r="F24" s="87">
        <v>0</v>
      </c>
      <c r="G24" s="47">
        <f t="shared" si="4"/>
        <v>5</v>
      </c>
      <c r="H24" s="88">
        <v>1</v>
      </c>
      <c r="I24" s="21">
        <v>100</v>
      </c>
      <c r="J24" s="82">
        <f t="shared" si="5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9"/>
      <c r="Q24" s="47">
        <v>0</v>
      </c>
      <c r="R24" s="87">
        <v>0</v>
      </c>
      <c r="S24" s="47">
        <f t="shared" si="7"/>
        <v>0</v>
      </c>
      <c r="T24" s="87">
        <v>0</v>
      </c>
      <c r="U24" s="47">
        <f t="shared" si="8"/>
        <v>0</v>
      </c>
      <c r="V24" s="88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+'28'!G25</f>
        <v>0</v>
      </c>
      <c r="D25" s="87">
        <v>0</v>
      </c>
      <c r="E25" s="47">
        <f t="shared" si="0"/>
        <v>0</v>
      </c>
      <c r="F25" s="87">
        <v>0</v>
      </c>
      <c r="G25" s="47">
        <f t="shared" si="4"/>
        <v>0</v>
      </c>
      <c r="H25" s="88"/>
      <c r="I25" s="21">
        <v>100</v>
      </c>
      <c r="J25" s="8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7">
        <v>0</v>
      </c>
      <c r="S25" s="47">
        <f t="shared" si="7"/>
        <v>0</v>
      </c>
      <c r="T25" s="87">
        <v>0</v>
      </c>
      <c r="U25" s="47">
        <f t="shared" si="8"/>
        <v>0</v>
      </c>
      <c r="V25" s="88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+'28'!G26</f>
        <v>4</v>
      </c>
      <c r="D26" s="87">
        <v>2</v>
      </c>
      <c r="E26" s="47">
        <f t="shared" si="0"/>
        <v>6</v>
      </c>
      <c r="F26" s="87">
        <v>0</v>
      </c>
      <c r="G26" s="47">
        <f t="shared" si="4"/>
        <v>5</v>
      </c>
      <c r="H26" s="88">
        <v>1</v>
      </c>
      <c r="I26" s="21">
        <v>100</v>
      </c>
      <c r="J26" s="82">
        <f t="shared" si="5"/>
        <v>100</v>
      </c>
      <c r="K26" s="17" t="s">
        <v>16</v>
      </c>
      <c r="L26" s="18">
        <v>0</v>
      </c>
      <c r="M26" s="23">
        <f t="shared" si="6"/>
        <v>100</v>
      </c>
      <c r="O26" s="10">
        <v>22</v>
      </c>
      <c r="P26" s="19"/>
      <c r="Q26" s="47">
        <v>0</v>
      </c>
      <c r="R26" s="87">
        <v>0</v>
      </c>
      <c r="S26" s="47">
        <f t="shared" si="7"/>
        <v>0</v>
      </c>
      <c r="T26" s="87">
        <v>0</v>
      </c>
      <c r="U26" s="47">
        <f t="shared" si="8"/>
        <v>0</v>
      </c>
      <c r="V26" s="88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+'28'!G27</f>
        <v>0</v>
      </c>
      <c r="D27" s="87">
        <v>0</v>
      </c>
      <c r="E27" s="47">
        <f t="shared" si="0"/>
        <v>0</v>
      </c>
      <c r="F27" s="87">
        <v>0</v>
      </c>
      <c r="G27" s="47">
        <f t="shared" si="4"/>
        <v>0</v>
      </c>
      <c r="H27" s="88"/>
      <c r="I27" s="20">
        <v>100</v>
      </c>
      <c r="J27" s="8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7">
        <v>0</v>
      </c>
      <c r="S27" s="47">
        <f t="shared" si="7"/>
        <v>0</v>
      </c>
      <c r="T27" s="87">
        <v>0</v>
      </c>
      <c r="U27" s="47">
        <f t="shared" si="8"/>
        <v>0</v>
      </c>
      <c r="V27" s="88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+'28'!G28</f>
        <v>0</v>
      </c>
      <c r="D28" s="87">
        <v>0</v>
      </c>
      <c r="E28" s="47">
        <f t="shared" si="0"/>
        <v>0</v>
      </c>
      <c r="F28" s="87">
        <v>0</v>
      </c>
      <c r="G28" s="47">
        <f t="shared" si="4"/>
        <v>0</v>
      </c>
      <c r="H28" s="88"/>
      <c r="I28" s="20">
        <v>100</v>
      </c>
      <c r="J28" s="8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7">
        <v>0</v>
      </c>
      <c r="S28" s="47">
        <f t="shared" si="7"/>
        <v>0</v>
      </c>
      <c r="T28" s="87">
        <v>0</v>
      </c>
      <c r="U28" s="47">
        <f t="shared" si="8"/>
        <v>0</v>
      </c>
      <c r="V28" s="88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+'28'!G29</f>
        <v>3</v>
      </c>
      <c r="D29" s="87">
        <v>5</v>
      </c>
      <c r="E29" s="47">
        <f t="shared" si="0"/>
        <v>8</v>
      </c>
      <c r="F29" s="87">
        <v>0</v>
      </c>
      <c r="G29" s="47">
        <f t="shared" si="4"/>
        <v>5</v>
      </c>
      <c r="H29" s="88">
        <v>3</v>
      </c>
      <c r="I29" s="15">
        <v>100</v>
      </c>
      <c r="J29" s="82">
        <f t="shared" si="5"/>
        <v>300</v>
      </c>
      <c r="K29" s="17" t="s">
        <v>16</v>
      </c>
      <c r="L29" s="18">
        <v>0</v>
      </c>
      <c r="M29" s="23">
        <f t="shared" si="6"/>
        <v>300</v>
      </c>
      <c r="O29" s="10">
        <v>25</v>
      </c>
      <c r="P29" s="19"/>
      <c r="Q29" s="47">
        <v>0</v>
      </c>
      <c r="R29" s="87">
        <v>0</v>
      </c>
      <c r="S29" s="47">
        <f t="shared" si="7"/>
        <v>0</v>
      </c>
      <c r="T29" s="87">
        <v>0</v>
      </c>
      <c r="U29" s="47">
        <f t="shared" si="8"/>
        <v>0</v>
      </c>
      <c r="V29" s="88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+'28'!G30</f>
        <v>0</v>
      </c>
      <c r="D30" s="87">
        <v>0</v>
      </c>
      <c r="E30" s="47">
        <f t="shared" si="0"/>
        <v>0</v>
      </c>
      <c r="F30" s="87">
        <v>0</v>
      </c>
      <c r="G30" s="47">
        <f t="shared" si="4"/>
        <v>0</v>
      </c>
      <c r="H30" s="88"/>
      <c r="I30" s="15">
        <v>100</v>
      </c>
      <c r="J30" s="8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+'28'!G31</f>
        <v>4</v>
      </c>
      <c r="D31" s="87">
        <v>2</v>
      </c>
      <c r="E31" s="47">
        <f t="shared" si="0"/>
        <v>6</v>
      </c>
      <c r="F31" s="87">
        <v>0</v>
      </c>
      <c r="G31" s="47">
        <f t="shared" si="4"/>
        <v>5</v>
      </c>
      <c r="H31" s="88">
        <v>1</v>
      </c>
      <c r="I31" s="15">
        <v>100</v>
      </c>
      <c r="J31" s="82">
        <f t="shared" si="5"/>
        <v>100</v>
      </c>
      <c r="K31" s="17" t="s">
        <v>16</v>
      </c>
      <c r="L31" s="18">
        <v>0</v>
      </c>
      <c r="M31" s="23">
        <f t="shared" si="6"/>
        <v>100</v>
      </c>
    </row>
    <row r="32" spans="1:26" ht="25.5" x14ac:dyDescent="0.55000000000000004">
      <c r="A32" s="10">
        <v>28</v>
      </c>
      <c r="B32" s="19" t="s">
        <v>43</v>
      </c>
      <c r="C32" s="79">
        <f>+'28'!G32</f>
        <v>0</v>
      </c>
      <c r="D32" s="87">
        <v>0</v>
      </c>
      <c r="E32" s="47">
        <f t="shared" si="0"/>
        <v>0</v>
      </c>
      <c r="F32" s="87">
        <v>0</v>
      </c>
      <c r="G32" s="47">
        <f t="shared" si="4"/>
        <v>0</v>
      </c>
      <c r="H32" s="88"/>
      <c r="I32" s="15">
        <v>130</v>
      </c>
      <c r="J32" s="82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5" t="s">
        <v>119</v>
      </c>
      <c r="Q32" s="146"/>
      <c r="R32" s="146"/>
      <c r="S32" s="146"/>
      <c r="T32" s="146"/>
      <c r="U32" s="146"/>
      <c r="V32" s="146"/>
      <c r="W32" s="147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+'28'!G33</f>
        <v>3</v>
      </c>
      <c r="D33" s="87">
        <v>0</v>
      </c>
      <c r="E33" s="47">
        <f t="shared" si="0"/>
        <v>3</v>
      </c>
      <c r="F33" s="87">
        <v>0</v>
      </c>
      <c r="G33" s="47">
        <f t="shared" si="4"/>
        <v>2</v>
      </c>
      <c r="H33" s="88">
        <v>1</v>
      </c>
      <c r="I33" s="15">
        <v>130</v>
      </c>
      <c r="J33" s="82">
        <f t="shared" si="5"/>
        <v>130</v>
      </c>
      <c r="K33" s="17" t="s">
        <v>16</v>
      </c>
      <c r="L33" s="18">
        <v>0</v>
      </c>
      <c r="M33" s="23">
        <f t="shared" si="6"/>
        <v>130</v>
      </c>
    </row>
    <row r="34" spans="1:13" ht="25.5" x14ac:dyDescent="0.55000000000000004">
      <c r="A34" s="10">
        <v>30</v>
      </c>
      <c r="B34" s="19" t="s">
        <v>45</v>
      </c>
      <c r="C34" s="79">
        <f>+'28'!G34</f>
        <v>2</v>
      </c>
      <c r="D34" s="87">
        <v>0</v>
      </c>
      <c r="E34" s="47">
        <f t="shared" si="0"/>
        <v>2</v>
      </c>
      <c r="F34" s="87">
        <v>0</v>
      </c>
      <c r="G34" s="47">
        <f t="shared" si="4"/>
        <v>2</v>
      </c>
      <c r="H34" s="88"/>
      <c r="I34" s="15">
        <v>130</v>
      </c>
      <c r="J34" s="82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+'28'!G35</f>
        <v>0</v>
      </c>
      <c r="D35" s="87">
        <v>0</v>
      </c>
      <c r="E35" s="47">
        <f t="shared" si="0"/>
        <v>0</v>
      </c>
      <c r="F35" s="87">
        <v>0</v>
      </c>
      <c r="G35" s="47">
        <f t="shared" si="4"/>
        <v>0</v>
      </c>
      <c r="H35" s="88"/>
      <c r="I35" s="15">
        <v>130</v>
      </c>
      <c r="J35" s="82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+'28'!G36</f>
        <v>0</v>
      </c>
      <c r="D36" s="87">
        <v>0</v>
      </c>
      <c r="E36" s="47">
        <f t="shared" si="0"/>
        <v>0</v>
      </c>
      <c r="F36" s="87">
        <v>0</v>
      </c>
      <c r="G36" s="47">
        <f t="shared" si="4"/>
        <v>0</v>
      </c>
      <c r="H36" s="88"/>
      <c r="I36" s="15">
        <v>100</v>
      </c>
      <c r="J36" s="82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+'28'!G37</f>
        <v>4</v>
      </c>
      <c r="D37" s="87">
        <v>10</v>
      </c>
      <c r="E37" s="47">
        <f t="shared" si="0"/>
        <v>14</v>
      </c>
      <c r="F37" s="87">
        <v>0</v>
      </c>
      <c r="G37" s="47">
        <f t="shared" si="4"/>
        <v>12</v>
      </c>
      <c r="H37" s="88">
        <v>2</v>
      </c>
      <c r="I37" s="15">
        <v>100</v>
      </c>
      <c r="J37" s="82">
        <f t="shared" si="5"/>
        <v>200</v>
      </c>
      <c r="K37" s="17" t="s">
        <v>16</v>
      </c>
      <c r="L37" s="18">
        <v>100</v>
      </c>
      <c r="M37" s="23">
        <f t="shared" si="6"/>
        <v>100</v>
      </c>
    </row>
    <row r="38" spans="1:13" ht="25.5" x14ac:dyDescent="0.55000000000000004">
      <c r="A38" s="10">
        <v>34</v>
      </c>
      <c r="B38" s="19" t="s">
        <v>49</v>
      </c>
      <c r="C38" s="79">
        <f>+'28'!G38</f>
        <v>2</v>
      </c>
      <c r="D38" s="87">
        <v>3</v>
      </c>
      <c r="E38" s="47">
        <f t="shared" si="0"/>
        <v>5</v>
      </c>
      <c r="F38" s="87">
        <v>0</v>
      </c>
      <c r="G38" s="47">
        <f t="shared" si="4"/>
        <v>3</v>
      </c>
      <c r="H38" s="88">
        <v>2</v>
      </c>
      <c r="I38" s="15">
        <v>50</v>
      </c>
      <c r="J38" s="82">
        <f t="shared" si="5"/>
        <v>100</v>
      </c>
      <c r="K38" s="17" t="s">
        <v>16</v>
      </c>
      <c r="L38" s="18">
        <v>0</v>
      </c>
      <c r="M38" s="23">
        <f t="shared" si="6"/>
        <v>100</v>
      </c>
    </row>
    <row r="39" spans="1:13" ht="25.5" x14ac:dyDescent="0.55000000000000004">
      <c r="A39" s="10">
        <v>35</v>
      </c>
      <c r="B39" s="19" t="s">
        <v>50</v>
      </c>
      <c r="C39" s="79">
        <f>+'28'!G39</f>
        <v>13</v>
      </c>
      <c r="D39" s="87">
        <v>3</v>
      </c>
      <c r="E39" s="47">
        <f t="shared" si="0"/>
        <v>16</v>
      </c>
      <c r="F39" s="87">
        <v>0</v>
      </c>
      <c r="G39" s="47">
        <f t="shared" si="4"/>
        <v>9</v>
      </c>
      <c r="H39" s="88">
        <v>7</v>
      </c>
      <c r="I39" s="15">
        <v>50</v>
      </c>
      <c r="J39" s="82">
        <f t="shared" si="5"/>
        <v>350</v>
      </c>
      <c r="K39" s="17" t="s">
        <v>16</v>
      </c>
      <c r="L39" s="18">
        <v>50</v>
      </c>
      <c r="M39" s="23">
        <f t="shared" si="6"/>
        <v>300</v>
      </c>
    </row>
    <row r="40" spans="1:13" ht="25.5" x14ac:dyDescent="0.55000000000000004">
      <c r="A40" s="10">
        <v>36</v>
      </c>
      <c r="B40" s="19" t="s">
        <v>51</v>
      </c>
      <c r="C40" s="79">
        <f>+'28'!G40</f>
        <v>7</v>
      </c>
      <c r="D40" s="87">
        <v>3</v>
      </c>
      <c r="E40" s="47">
        <f t="shared" si="0"/>
        <v>10</v>
      </c>
      <c r="F40" s="87">
        <v>0</v>
      </c>
      <c r="G40" s="47">
        <f t="shared" si="4"/>
        <v>7</v>
      </c>
      <c r="H40" s="88">
        <v>3</v>
      </c>
      <c r="I40" s="15">
        <v>50</v>
      </c>
      <c r="J40" s="82">
        <f t="shared" si="5"/>
        <v>150</v>
      </c>
      <c r="K40" s="17" t="s">
        <v>16</v>
      </c>
      <c r="L40" s="18">
        <v>50</v>
      </c>
      <c r="M40" s="23">
        <f t="shared" si="6"/>
        <v>100</v>
      </c>
    </row>
    <row r="41" spans="1:13" ht="25.5" x14ac:dyDescent="0.55000000000000004">
      <c r="A41" s="10">
        <v>37</v>
      </c>
      <c r="B41" s="19" t="s">
        <v>52</v>
      </c>
      <c r="C41" s="79">
        <f>+'28'!G41</f>
        <v>0</v>
      </c>
      <c r="D41" s="87">
        <v>0</v>
      </c>
      <c r="E41" s="47">
        <f t="shared" si="0"/>
        <v>0</v>
      </c>
      <c r="F41" s="87">
        <v>0</v>
      </c>
      <c r="G41" s="47">
        <f t="shared" si="4"/>
        <v>0</v>
      </c>
      <c r="H41" s="88"/>
      <c r="I41" s="15">
        <v>50</v>
      </c>
      <c r="J41" s="82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285</v>
      </c>
      <c r="C42" s="79">
        <f>+'28'!G42</f>
        <v>2</v>
      </c>
      <c r="D42" s="87">
        <v>0</v>
      </c>
      <c r="E42" s="47">
        <f t="shared" si="0"/>
        <v>2</v>
      </c>
      <c r="F42" s="87">
        <v>0</v>
      </c>
      <c r="G42" s="47">
        <f t="shared" si="4"/>
        <v>0</v>
      </c>
      <c r="H42" s="88">
        <v>2</v>
      </c>
      <c r="I42" s="15">
        <v>50</v>
      </c>
      <c r="J42" s="82">
        <f t="shared" si="5"/>
        <v>100</v>
      </c>
      <c r="K42" s="17" t="s">
        <v>16</v>
      </c>
      <c r="L42" s="18">
        <v>0</v>
      </c>
      <c r="M42" s="23">
        <f t="shared" si="6"/>
        <v>100</v>
      </c>
    </row>
    <row r="43" spans="1:13" ht="25.5" x14ac:dyDescent="0.55000000000000004">
      <c r="A43" s="10">
        <v>39</v>
      </c>
      <c r="B43" s="19" t="s">
        <v>54</v>
      </c>
      <c r="C43" s="79">
        <f>+'28'!G43</f>
        <v>1</v>
      </c>
      <c r="D43" s="87">
        <v>0</v>
      </c>
      <c r="E43" s="47">
        <f t="shared" si="0"/>
        <v>1</v>
      </c>
      <c r="F43" s="87">
        <v>0</v>
      </c>
      <c r="G43" s="47">
        <f t="shared" si="4"/>
        <v>0</v>
      </c>
      <c r="H43" s="88">
        <v>1</v>
      </c>
      <c r="I43" s="15">
        <v>50</v>
      </c>
      <c r="J43" s="82">
        <f t="shared" si="5"/>
        <v>50</v>
      </c>
      <c r="K43" s="17" t="s">
        <v>16</v>
      </c>
      <c r="L43" s="18">
        <v>0</v>
      </c>
      <c r="M43" s="23">
        <f t="shared" si="6"/>
        <v>50</v>
      </c>
    </row>
    <row r="44" spans="1:13" ht="25.5" x14ac:dyDescent="0.55000000000000004">
      <c r="A44" s="10">
        <v>40</v>
      </c>
      <c r="B44" s="19" t="s">
        <v>55</v>
      </c>
      <c r="C44" s="79">
        <f>+'28'!G44</f>
        <v>2</v>
      </c>
      <c r="D44" s="87">
        <v>0</v>
      </c>
      <c r="E44" s="47">
        <f t="shared" si="0"/>
        <v>2</v>
      </c>
      <c r="F44" s="87">
        <v>0</v>
      </c>
      <c r="G44" s="47">
        <f t="shared" si="4"/>
        <v>0</v>
      </c>
      <c r="H44" s="88">
        <v>2</v>
      </c>
      <c r="I44" s="15">
        <v>50</v>
      </c>
      <c r="J44" s="82">
        <f t="shared" si="5"/>
        <v>100</v>
      </c>
      <c r="K44" s="17" t="s">
        <v>16</v>
      </c>
      <c r="L44" s="18">
        <v>0</v>
      </c>
      <c r="M44" s="23">
        <f t="shared" si="6"/>
        <v>100</v>
      </c>
    </row>
    <row r="45" spans="1:13" ht="25.5" x14ac:dyDescent="0.55000000000000004">
      <c r="A45" s="10">
        <v>41</v>
      </c>
      <c r="B45" s="19" t="s">
        <v>56</v>
      </c>
      <c r="C45" s="79">
        <f>+'28'!G45</f>
        <v>0</v>
      </c>
      <c r="D45" s="87">
        <v>0</v>
      </c>
      <c r="E45" s="47">
        <f t="shared" si="0"/>
        <v>0</v>
      </c>
      <c r="F45" s="87">
        <v>0</v>
      </c>
      <c r="G45" s="47">
        <f t="shared" si="4"/>
        <v>0</v>
      </c>
      <c r="H45" s="88"/>
      <c r="I45" s="15">
        <v>50</v>
      </c>
      <c r="J45" s="82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286</v>
      </c>
      <c r="C46" s="79">
        <f>+'28'!G46</f>
        <v>2</v>
      </c>
      <c r="D46" s="87">
        <v>0</v>
      </c>
      <c r="E46" s="47">
        <f t="shared" si="0"/>
        <v>2</v>
      </c>
      <c r="F46" s="87">
        <v>0</v>
      </c>
      <c r="G46" s="47">
        <f t="shared" si="4"/>
        <v>0</v>
      </c>
      <c r="H46" s="88">
        <v>2</v>
      </c>
      <c r="I46" s="15">
        <v>50</v>
      </c>
      <c r="J46" s="82">
        <f t="shared" si="5"/>
        <v>100</v>
      </c>
      <c r="K46" s="17" t="s">
        <v>16</v>
      </c>
      <c r="L46" s="18">
        <v>0</v>
      </c>
      <c r="M46" s="23">
        <f t="shared" si="6"/>
        <v>100</v>
      </c>
    </row>
    <row r="47" spans="1:13" ht="25.5" x14ac:dyDescent="0.55000000000000004">
      <c r="A47" s="10">
        <v>43</v>
      </c>
      <c r="B47" s="19" t="s">
        <v>58</v>
      </c>
      <c r="C47" s="79">
        <f>+'28'!G47</f>
        <v>1</v>
      </c>
      <c r="D47" s="87">
        <v>0</v>
      </c>
      <c r="E47" s="47">
        <f t="shared" si="0"/>
        <v>1</v>
      </c>
      <c r="F47" s="87">
        <v>0</v>
      </c>
      <c r="G47" s="47">
        <f t="shared" si="4"/>
        <v>1</v>
      </c>
      <c r="H47" s="88"/>
      <c r="I47" s="15">
        <v>50</v>
      </c>
      <c r="J47" s="82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+'28'!G48</f>
        <v>2</v>
      </c>
      <c r="D48" s="87">
        <v>0</v>
      </c>
      <c r="E48" s="47">
        <f t="shared" si="0"/>
        <v>2</v>
      </c>
      <c r="F48" s="87">
        <v>0</v>
      </c>
      <c r="G48" s="47">
        <f t="shared" si="4"/>
        <v>1</v>
      </c>
      <c r="H48" s="88">
        <v>1</v>
      </c>
      <c r="I48" s="15">
        <v>50</v>
      </c>
      <c r="J48" s="82">
        <f t="shared" si="5"/>
        <v>50</v>
      </c>
      <c r="K48" s="17" t="s">
        <v>16</v>
      </c>
      <c r="L48" s="18">
        <v>0</v>
      </c>
      <c r="M48" s="23">
        <f t="shared" si="6"/>
        <v>50</v>
      </c>
    </row>
    <row r="49" spans="1:13" ht="25.5" x14ac:dyDescent="0.55000000000000004">
      <c r="A49" s="10">
        <v>45</v>
      </c>
      <c r="B49" s="19" t="s">
        <v>60</v>
      </c>
      <c r="C49" s="79">
        <f>+'28'!G49</f>
        <v>2</v>
      </c>
      <c r="D49" s="87">
        <v>0</v>
      </c>
      <c r="E49" s="47">
        <f t="shared" si="0"/>
        <v>2</v>
      </c>
      <c r="F49" s="87">
        <v>0</v>
      </c>
      <c r="G49" s="47">
        <f t="shared" si="4"/>
        <v>2</v>
      </c>
      <c r="H49" s="88"/>
      <c r="I49" s="15">
        <v>50</v>
      </c>
      <c r="J49" s="82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+'28'!G50</f>
        <v>0</v>
      </c>
      <c r="D50" s="87">
        <v>0</v>
      </c>
      <c r="E50" s="47">
        <f t="shared" si="0"/>
        <v>0</v>
      </c>
      <c r="F50" s="87">
        <v>0</v>
      </c>
      <c r="G50" s="47">
        <f t="shared" si="4"/>
        <v>0</v>
      </c>
      <c r="H50" s="88"/>
      <c r="I50" s="15">
        <v>120</v>
      </c>
      <c r="J50" s="82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+'28'!G51</f>
        <v>2</v>
      </c>
      <c r="D51" s="87">
        <v>0</v>
      </c>
      <c r="E51" s="47">
        <f t="shared" si="0"/>
        <v>2</v>
      </c>
      <c r="F51" s="87">
        <v>0</v>
      </c>
      <c r="G51" s="47">
        <f t="shared" si="4"/>
        <v>2</v>
      </c>
      <c r="H51" s="88"/>
      <c r="I51" s="15">
        <v>120</v>
      </c>
      <c r="J51" s="82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+'28'!G52</f>
        <v>0</v>
      </c>
      <c r="D52" s="87">
        <v>0</v>
      </c>
      <c r="E52" s="47">
        <f t="shared" si="0"/>
        <v>0</v>
      </c>
      <c r="F52" s="87">
        <v>0</v>
      </c>
      <c r="G52" s="47">
        <f t="shared" si="4"/>
        <v>0</v>
      </c>
      <c r="H52" s="88"/>
      <c r="I52" s="21">
        <v>120</v>
      </c>
      <c r="J52" s="82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+'28'!G53</f>
        <v>0</v>
      </c>
      <c r="D53" s="87">
        <v>0</v>
      </c>
      <c r="E53" s="47">
        <f t="shared" si="0"/>
        <v>0</v>
      </c>
      <c r="F53" s="87">
        <v>0</v>
      </c>
      <c r="G53" s="47">
        <f t="shared" si="4"/>
        <v>0</v>
      </c>
      <c r="H53" s="88"/>
      <c r="I53" s="15">
        <v>120</v>
      </c>
      <c r="J53" s="82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+'28'!G54</f>
        <v>0</v>
      </c>
      <c r="D54" s="87">
        <v>0</v>
      </c>
      <c r="E54" s="47">
        <f t="shared" si="0"/>
        <v>0</v>
      </c>
      <c r="F54" s="87">
        <v>0</v>
      </c>
      <c r="G54" s="47">
        <f t="shared" si="4"/>
        <v>0</v>
      </c>
      <c r="H54" s="88"/>
      <c r="I54" s="15">
        <v>120</v>
      </c>
      <c r="J54" s="82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+'28'!G55</f>
        <v>1</v>
      </c>
      <c r="D55" s="87">
        <v>0</v>
      </c>
      <c r="E55" s="47">
        <f t="shared" si="0"/>
        <v>1</v>
      </c>
      <c r="F55" s="87">
        <v>0</v>
      </c>
      <c r="G55" s="47">
        <f t="shared" si="4"/>
        <v>1</v>
      </c>
      <c r="H55" s="88"/>
      <c r="I55" s="21">
        <v>120</v>
      </c>
      <c r="J55" s="82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+'28'!G56</f>
        <v>0</v>
      </c>
      <c r="D56" s="87">
        <v>0</v>
      </c>
      <c r="E56" s="47">
        <f t="shared" si="0"/>
        <v>0</v>
      </c>
      <c r="F56" s="87">
        <v>0</v>
      </c>
      <c r="G56" s="47">
        <f t="shared" si="4"/>
        <v>0</v>
      </c>
      <c r="H56" s="88"/>
      <c r="I56" s="21">
        <v>120</v>
      </c>
      <c r="J56" s="82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+'28'!G57</f>
        <v>0</v>
      </c>
      <c r="D57" s="87">
        <v>0</v>
      </c>
      <c r="E57" s="47">
        <f t="shared" si="0"/>
        <v>0</v>
      </c>
      <c r="F57" s="87">
        <v>0</v>
      </c>
      <c r="G57" s="47">
        <f t="shared" si="4"/>
        <v>0</v>
      </c>
      <c r="H57" s="88"/>
      <c r="I57" s="21">
        <v>120</v>
      </c>
      <c r="J57" s="82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+'28'!G58</f>
        <v>0</v>
      </c>
      <c r="D58" s="87">
        <v>0</v>
      </c>
      <c r="E58" s="47">
        <f t="shared" si="0"/>
        <v>0</v>
      </c>
      <c r="F58" s="87">
        <v>0</v>
      </c>
      <c r="G58" s="47">
        <f t="shared" si="4"/>
        <v>0</v>
      </c>
      <c r="H58" s="88"/>
      <c r="I58" s="21">
        <v>120</v>
      </c>
      <c r="J58" s="82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+'28'!G59</f>
        <v>0</v>
      </c>
      <c r="D59" s="87">
        <v>0</v>
      </c>
      <c r="E59" s="47">
        <f t="shared" si="0"/>
        <v>0</v>
      </c>
      <c r="F59" s="87">
        <v>0</v>
      </c>
      <c r="G59" s="47">
        <f t="shared" si="4"/>
        <v>0</v>
      </c>
      <c r="H59" s="88"/>
      <c r="I59" s="15">
        <v>70</v>
      </c>
      <c r="J59" s="82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+'28'!G60</f>
        <v>0</v>
      </c>
      <c r="D60" s="87">
        <v>0</v>
      </c>
      <c r="E60" s="47">
        <f t="shared" si="0"/>
        <v>0</v>
      </c>
      <c r="F60" s="87">
        <v>0</v>
      </c>
      <c r="G60" s="47">
        <f t="shared" si="4"/>
        <v>0</v>
      </c>
      <c r="H60" s="88"/>
      <c r="I60" s="21">
        <v>80</v>
      </c>
      <c r="J60" s="82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+'28'!G61</f>
        <v>0</v>
      </c>
      <c r="D61" s="87">
        <v>2</v>
      </c>
      <c r="E61" s="47">
        <f t="shared" si="0"/>
        <v>2</v>
      </c>
      <c r="F61" s="87">
        <v>0</v>
      </c>
      <c r="G61" s="47">
        <f t="shared" si="4"/>
        <v>1</v>
      </c>
      <c r="H61" s="88">
        <v>1</v>
      </c>
      <c r="I61" s="15">
        <v>50</v>
      </c>
      <c r="J61" s="82">
        <f t="shared" si="5"/>
        <v>50</v>
      </c>
      <c r="K61" s="17" t="s">
        <v>16</v>
      </c>
      <c r="L61" s="18">
        <v>0</v>
      </c>
      <c r="M61" s="23">
        <f t="shared" si="6"/>
        <v>50</v>
      </c>
    </row>
    <row r="62" spans="1:13" ht="25.5" x14ac:dyDescent="0.55000000000000004">
      <c r="A62" s="10">
        <v>58</v>
      </c>
      <c r="B62" s="19" t="s">
        <v>73</v>
      </c>
      <c r="C62" s="79">
        <f>+'28'!G62</f>
        <v>0</v>
      </c>
      <c r="D62" s="87">
        <v>0</v>
      </c>
      <c r="E62" s="47">
        <f t="shared" si="0"/>
        <v>0</v>
      </c>
      <c r="F62" s="87">
        <v>0</v>
      </c>
      <c r="G62" s="47">
        <f t="shared" si="4"/>
        <v>0</v>
      </c>
      <c r="H62" s="88"/>
      <c r="I62" s="20">
        <v>50</v>
      </c>
      <c r="J62" s="82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+'28'!G63</f>
        <v>0</v>
      </c>
      <c r="D63" s="87">
        <v>0</v>
      </c>
      <c r="E63" s="47">
        <f t="shared" si="0"/>
        <v>0</v>
      </c>
      <c r="F63" s="87">
        <v>0</v>
      </c>
      <c r="G63" s="47">
        <f t="shared" si="4"/>
        <v>0</v>
      </c>
      <c r="H63" s="88"/>
      <c r="I63" s="20">
        <v>50</v>
      </c>
      <c r="J63" s="82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+'28'!G64</f>
        <v>0</v>
      </c>
      <c r="D64" s="87">
        <v>0</v>
      </c>
      <c r="E64" s="47">
        <f t="shared" si="0"/>
        <v>0</v>
      </c>
      <c r="F64" s="87">
        <v>0</v>
      </c>
      <c r="G64" s="47">
        <f t="shared" si="4"/>
        <v>0</v>
      </c>
      <c r="H64" s="88"/>
      <c r="I64" s="21">
        <v>30</v>
      </c>
      <c r="J64" s="82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+'28'!G65</f>
        <v>0</v>
      </c>
      <c r="D65" s="87">
        <v>0</v>
      </c>
      <c r="E65" s="47">
        <f t="shared" si="0"/>
        <v>0</v>
      </c>
      <c r="F65" s="87">
        <v>0</v>
      </c>
      <c r="G65" s="47">
        <f t="shared" si="4"/>
        <v>0</v>
      </c>
      <c r="H65" s="88"/>
      <c r="I65" s="21">
        <v>30</v>
      </c>
      <c r="J65" s="82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+'28'!G66</f>
        <v>12</v>
      </c>
      <c r="D66" s="87">
        <v>0</v>
      </c>
      <c r="E66" s="47">
        <f t="shared" si="0"/>
        <v>12</v>
      </c>
      <c r="F66" s="87">
        <v>0</v>
      </c>
      <c r="G66" s="47">
        <f t="shared" si="4"/>
        <v>9</v>
      </c>
      <c r="H66" s="88">
        <v>3</v>
      </c>
      <c r="I66" s="15">
        <v>50</v>
      </c>
      <c r="J66" s="82">
        <f t="shared" si="5"/>
        <v>150</v>
      </c>
      <c r="K66" s="17" t="s">
        <v>16</v>
      </c>
      <c r="L66" s="18">
        <v>0</v>
      </c>
      <c r="M66" s="23">
        <f t="shared" si="6"/>
        <v>150</v>
      </c>
    </row>
    <row r="67" spans="1:13" ht="25.5" x14ac:dyDescent="0.55000000000000004">
      <c r="A67" s="10">
        <v>63</v>
      </c>
      <c r="B67" s="19" t="s">
        <v>78</v>
      </c>
      <c r="C67" s="79">
        <f>+'28'!G67</f>
        <v>5</v>
      </c>
      <c r="D67" s="87">
        <v>5</v>
      </c>
      <c r="E67" s="47">
        <f t="shared" si="0"/>
        <v>10</v>
      </c>
      <c r="F67" s="87">
        <v>0</v>
      </c>
      <c r="G67" s="47">
        <f t="shared" si="4"/>
        <v>9</v>
      </c>
      <c r="H67" s="88">
        <v>1</v>
      </c>
      <c r="I67" s="15">
        <v>50</v>
      </c>
      <c r="J67" s="82">
        <f t="shared" si="5"/>
        <v>50</v>
      </c>
      <c r="K67" s="17" t="s">
        <v>16</v>
      </c>
      <c r="L67" s="18">
        <v>0</v>
      </c>
      <c r="M67" s="23">
        <f t="shared" si="6"/>
        <v>50</v>
      </c>
    </row>
    <row r="68" spans="1:13" ht="25.5" x14ac:dyDescent="0.55000000000000004">
      <c r="A68" s="10">
        <v>64</v>
      </c>
      <c r="B68" s="19" t="s">
        <v>79</v>
      </c>
      <c r="C68" s="79">
        <f>+'28'!G68</f>
        <v>0</v>
      </c>
      <c r="D68" s="87">
        <v>0</v>
      </c>
      <c r="E68" s="47">
        <f t="shared" si="0"/>
        <v>0</v>
      </c>
      <c r="F68" s="87">
        <v>0</v>
      </c>
      <c r="G68" s="47">
        <f t="shared" si="4"/>
        <v>0</v>
      </c>
      <c r="H68" s="88"/>
      <c r="I68" s="20">
        <v>35</v>
      </c>
      <c r="J68" s="82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+'28'!G69</f>
        <v>0</v>
      </c>
      <c r="D69" s="87">
        <v>0</v>
      </c>
      <c r="E69" s="47">
        <f t="shared" si="0"/>
        <v>0</v>
      </c>
      <c r="F69" s="87">
        <v>0</v>
      </c>
      <c r="G69" s="47">
        <f t="shared" si="4"/>
        <v>0</v>
      </c>
      <c r="H69" s="88"/>
      <c r="I69" s="20">
        <v>25</v>
      </c>
      <c r="J69" s="82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+'28'!G70</f>
        <v>6</v>
      </c>
      <c r="D70" s="87">
        <v>5</v>
      </c>
      <c r="E70" s="47">
        <f t="shared" si="0"/>
        <v>11</v>
      </c>
      <c r="F70" s="87">
        <v>0</v>
      </c>
      <c r="G70" s="47">
        <f t="shared" si="4"/>
        <v>10</v>
      </c>
      <c r="H70" s="88">
        <v>1</v>
      </c>
      <c r="I70" s="20">
        <v>50</v>
      </c>
      <c r="J70" s="82">
        <f t="shared" si="5"/>
        <v>50</v>
      </c>
      <c r="K70" s="17" t="s">
        <v>16</v>
      </c>
      <c r="L70" s="18">
        <v>0</v>
      </c>
      <c r="M70" s="23">
        <f t="shared" ref="M70:M134" si="10">SUM(J70-L70)</f>
        <v>50</v>
      </c>
    </row>
    <row r="71" spans="1:13" ht="25.5" x14ac:dyDescent="0.55000000000000004">
      <c r="A71" s="10">
        <v>67</v>
      </c>
      <c r="B71" s="19" t="s">
        <v>82</v>
      </c>
      <c r="C71" s="79">
        <f>+'28'!G71</f>
        <v>0</v>
      </c>
      <c r="D71" s="87">
        <v>5</v>
      </c>
      <c r="E71" s="47">
        <f t="shared" si="0"/>
        <v>5</v>
      </c>
      <c r="F71" s="87">
        <v>0</v>
      </c>
      <c r="G71" s="47">
        <f t="shared" si="4"/>
        <v>4</v>
      </c>
      <c r="H71" s="88">
        <v>1</v>
      </c>
      <c r="I71" s="20">
        <v>60</v>
      </c>
      <c r="J71" s="82">
        <f t="shared" si="5"/>
        <v>60</v>
      </c>
      <c r="K71" s="17" t="s">
        <v>16</v>
      </c>
      <c r="L71" s="18">
        <v>0</v>
      </c>
      <c r="M71" s="23">
        <f t="shared" si="10"/>
        <v>60</v>
      </c>
    </row>
    <row r="72" spans="1:13" ht="25.5" x14ac:dyDescent="0.55000000000000004">
      <c r="A72" s="10">
        <v>68</v>
      </c>
      <c r="B72" s="19" t="s">
        <v>83</v>
      </c>
      <c r="C72" s="79">
        <f>+'28'!G72</f>
        <v>0</v>
      </c>
      <c r="D72" s="87">
        <v>0</v>
      </c>
      <c r="E72" s="47">
        <f t="shared" si="0"/>
        <v>0</v>
      </c>
      <c r="F72" s="87">
        <v>0</v>
      </c>
      <c r="G72" s="47">
        <f t="shared" si="4"/>
        <v>0</v>
      </c>
      <c r="H72" s="88"/>
      <c r="I72" s="22">
        <v>50</v>
      </c>
      <c r="J72" s="82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+'28'!G73</f>
        <v>0</v>
      </c>
      <c r="D73" s="87">
        <v>0</v>
      </c>
      <c r="E73" s="47">
        <f t="shared" si="0"/>
        <v>0</v>
      </c>
      <c r="F73" s="87">
        <v>0</v>
      </c>
      <c r="G73" s="47">
        <f t="shared" si="4"/>
        <v>0</v>
      </c>
      <c r="H73" s="88"/>
      <c r="I73" s="20">
        <v>60</v>
      </c>
      <c r="J73" s="82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+'28'!G74</f>
        <v>4</v>
      </c>
      <c r="D74" s="87">
        <v>0</v>
      </c>
      <c r="E74" s="47">
        <f t="shared" si="0"/>
        <v>4</v>
      </c>
      <c r="F74" s="87">
        <v>0</v>
      </c>
      <c r="G74" s="47">
        <f t="shared" si="4"/>
        <v>2</v>
      </c>
      <c r="H74" s="88">
        <v>2</v>
      </c>
      <c r="I74" s="22">
        <v>120</v>
      </c>
      <c r="J74" s="82">
        <f t="shared" si="5"/>
        <v>240</v>
      </c>
      <c r="K74" s="17" t="s">
        <v>16</v>
      </c>
      <c r="L74" s="18">
        <v>0</v>
      </c>
      <c r="M74" s="23">
        <f t="shared" si="10"/>
        <v>240</v>
      </c>
    </row>
    <row r="75" spans="1:13" ht="25.5" x14ac:dyDescent="0.55000000000000004">
      <c r="A75" s="10">
        <v>71</v>
      </c>
      <c r="B75" s="19" t="s">
        <v>86</v>
      </c>
      <c r="C75" s="79">
        <f>+'28'!G75</f>
        <v>0</v>
      </c>
      <c r="D75" s="87">
        <v>0</v>
      </c>
      <c r="E75" s="47">
        <f t="shared" si="0"/>
        <v>0</v>
      </c>
      <c r="F75" s="87">
        <v>0</v>
      </c>
      <c r="G75" s="47">
        <f t="shared" si="4"/>
        <v>0</v>
      </c>
      <c r="H75" s="88"/>
      <c r="I75" s="22">
        <v>60</v>
      </c>
      <c r="J75" s="82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+'28'!G76</f>
        <v>0</v>
      </c>
      <c r="D76" s="87">
        <v>0</v>
      </c>
      <c r="E76" s="47">
        <f t="shared" si="0"/>
        <v>0</v>
      </c>
      <c r="F76" s="87">
        <v>0</v>
      </c>
      <c r="G76" s="47">
        <f t="shared" si="4"/>
        <v>0</v>
      </c>
      <c r="H76" s="88"/>
      <c r="I76" s="22">
        <v>120</v>
      </c>
      <c r="J76" s="82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1" t="s">
        <v>272</v>
      </c>
      <c r="C77" s="79">
        <f>+'28'!G77</f>
        <v>0</v>
      </c>
      <c r="D77" s="87">
        <v>2</v>
      </c>
      <c r="E77" s="47">
        <f>C77+D77</f>
        <v>2</v>
      </c>
      <c r="F77" s="87">
        <v>0</v>
      </c>
      <c r="G77" s="47">
        <f>+E77-F77-H77</f>
        <v>1</v>
      </c>
      <c r="H77" s="88">
        <v>1</v>
      </c>
      <c r="I77" s="20">
        <v>50</v>
      </c>
      <c r="J77" s="82">
        <f>+I77*H77</f>
        <v>50</v>
      </c>
      <c r="K77" s="17" t="s">
        <v>16</v>
      </c>
      <c r="L77" s="18">
        <v>0</v>
      </c>
      <c r="M77" s="23">
        <f>SUM(J77-L77)</f>
        <v>50</v>
      </c>
    </row>
    <row r="78" spans="1:13" ht="25.5" x14ac:dyDescent="0.55000000000000004">
      <c r="A78" s="10">
        <v>74</v>
      </c>
      <c r="B78" s="19" t="s">
        <v>277</v>
      </c>
      <c r="C78" s="79">
        <f>+'28'!G78</f>
        <v>0</v>
      </c>
      <c r="D78" s="87">
        <v>2</v>
      </c>
      <c r="E78" s="47">
        <f t="shared" si="0"/>
        <v>2</v>
      </c>
      <c r="F78" s="87">
        <v>0</v>
      </c>
      <c r="G78" s="47">
        <f t="shared" si="4"/>
        <v>2</v>
      </c>
      <c r="H78" s="88"/>
      <c r="I78" s="20">
        <v>50</v>
      </c>
      <c r="J78" s="82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278</v>
      </c>
      <c r="C79" s="79">
        <f>+'28'!G79</f>
        <v>0</v>
      </c>
      <c r="D79" s="87">
        <v>0</v>
      </c>
      <c r="E79" s="47">
        <f t="shared" si="0"/>
        <v>0</v>
      </c>
      <c r="F79" s="87">
        <v>0</v>
      </c>
      <c r="G79" s="47">
        <f t="shared" si="4"/>
        <v>0</v>
      </c>
      <c r="H79" s="88"/>
      <c r="I79" s="22">
        <v>120</v>
      </c>
      <c r="J79" s="82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90</v>
      </c>
      <c r="C80" s="79">
        <f>+'28'!G80</f>
        <v>0</v>
      </c>
      <c r="D80" s="87">
        <v>5</v>
      </c>
      <c r="E80" s="47">
        <f t="shared" si="0"/>
        <v>5</v>
      </c>
      <c r="F80" s="87">
        <v>0</v>
      </c>
      <c r="G80" s="47">
        <f t="shared" si="4"/>
        <v>3</v>
      </c>
      <c r="H80" s="88">
        <v>2</v>
      </c>
      <c r="I80" s="22">
        <v>50</v>
      </c>
      <c r="J80" s="82">
        <f t="shared" si="5"/>
        <v>100</v>
      </c>
      <c r="K80" s="17" t="s">
        <v>16</v>
      </c>
      <c r="L80" s="18">
        <v>0</v>
      </c>
      <c r="M80" s="23">
        <f t="shared" si="10"/>
        <v>100</v>
      </c>
    </row>
    <row r="81" spans="1:13" ht="25.5" x14ac:dyDescent="0.55000000000000004">
      <c r="A81" s="10">
        <v>77</v>
      </c>
      <c r="B81" s="19" t="s">
        <v>91</v>
      </c>
      <c r="C81" s="79">
        <f>+'28'!G81</f>
        <v>0</v>
      </c>
      <c r="D81" s="87">
        <v>0</v>
      </c>
      <c r="E81" s="47">
        <f t="shared" si="0"/>
        <v>0</v>
      </c>
      <c r="F81" s="87">
        <v>0</v>
      </c>
      <c r="G81" s="47">
        <f t="shared" si="4"/>
        <v>0</v>
      </c>
      <c r="H81" s="88"/>
      <c r="I81" s="22">
        <v>50</v>
      </c>
      <c r="J81" s="82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92</v>
      </c>
      <c r="C82" s="79">
        <f>+'28'!G82</f>
        <v>4</v>
      </c>
      <c r="D82" s="87">
        <v>2</v>
      </c>
      <c r="E82" s="47">
        <f t="shared" si="0"/>
        <v>6</v>
      </c>
      <c r="F82" s="87">
        <v>0</v>
      </c>
      <c r="G82" s="47">
        <f t="shared" si="4"/>
        <v>2</v>
      </c>
      <c r="H82" s="88">
        <v>4</v>
      </c>
      <c r="I82" s="20">
        <v>55</v>
      </c>
      <c r="J82" s="82">
        <f t="shared" si="5"/>
        <v>220</v>
      </c>
      <c r="K82" s="17" t="s">
        <v>16</v>
      </c>
      <c r="L82" s="18">
        <v>0</v>
      </c>
      <c r="M82" s="23">
        <f t="shared" si="10"/>
        <v>220</v>
      </c>
    </row>
    <row r="83" spans="1:13" ht="25.5" x14ac:dyDescent="0.55000000000000004">
      <c r="A83" s="10">
        <v>79</v>
      </c>
      <c r="B83" s="19" t="s">
        <v>93</v>
      </c>
      <c r="C83" s="79">
        <f>+'28'!G83</f>
        <v>2</v>
      </c>
      <c r="D83" s="87">
        <v>2</v>
      </c>
      <c r="E83" s="47">
        <f t="shared" si="0"/>
        <v>4</v>
      </c>
      <c r="F83" s="87">
        <v>0</v>
      </c>
      <c r="G83" s="47">
        <f t="shared" si="4"/>
        <v>1</v>
      </c>
      <c r="H83" s="88">
        <v>3</v>
      </c>
      <c r="I83" s="22">
        <v>55</v>
      </c>
      <c r="J83" s="82">
        <f t="shared" si="5"/>
        <v>165</v>
      </c>
      <c r="K83" s="17" t="s">
        <v>16</v>
      </c>
      <c r="L83" s="18">
        <v>0</v>
      </c>
      <c r="M83" s="23">
        <f t="shared" si="10"/>
        <v>165</v>
      </c>
    </row>
    <row r="84" spans="1:13" ht="25.5" x14ac:dyDescent="0.55000000000000004">
      <c r="A84" s="10">
        <v>80</v>
      </c>
      <c r="B84" s="19" t="s">
        <v>94</v>
      </c>
      <c r="C84" s="79">
        <f>+'28'!G84</f>
        <v>0</v>
      </c>
      <c r="D84" s="87">
        <v>0</v>
      </c>
      <c r="E84" s="47">
        <f t="shared" si="0"/>
        <v>0</v>
      </c>
      <c r="F84" s="87">
        <v>0</v>
      </c>
      <c r="G84" s="47">
        <f t="shared" si="4"/>
        <v>0</v>
      </c>
      <c r="H84" s="88"/>
      <c r="I84" s="22">
        <v>55</v>
      </c>
      <c r="J84" s="82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95</v>
      </c>
      <c r="C85" s="79">
        <f>+'28'!G85</f>
        <v>0</v>
      </c>
      <c r="D85" s="87">
        <v>0</v>
      </c>
      <c r="E85" s="47">
        <f t="shared" si="0"/>
        <v>0</v>
      </c>
      <c r="F85" s="87">
        <v>0</v>
      </c>
      <c r="G85" s="47">
        <f t="shared" si="4"/>
        <v>0</v>
      </c>
      <c r="H85" s="88"/>
      <c r="I85" s="22">
        <v>55</v>
      </c>
      <c r="J85" s="82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96</v>
      </c>
      <c r="C86" s="79">
        <f>+'28'!G86</f>
        <v>2</v>
      </c>
      <c r="D86" s="87">
        <v>0</v>
      </c>
      <c r="E86" s="47">
        <f t="shared" si="0"/>
        <v>2</v>
      </c>
      <c r="F86" s="87">
        <v>0</v>
      </c>
      <c r="G86" s="47">
        <f t="shared" si="4"/>
        <v>2</v>
      </c>
      <c r="H86" s="88"/>
      <c r="I86" s="22">
        <v>100</v>
      </c>
      <c r="J86" s="82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97</v>
      </c>
      <c r="C87" s="79">
        <f>+'28'!G87</f>
        <v>10</v>
      </c>
      <c r="D87" s="87">
        <v>0</v>
      </c>
      <c r="E87" s="47">
        <f t="shared" si="0"/>
        <v>10</v>
      </c>
      <c r="F87" s="87">
        <v>0</v>
      </c>
      <c r="G87" s="47">
        <f t="shared" si="4"/>
        <v>5</v>
      </c>
      <c r="H87" s="88">
        <v>5</v>
      </c>
      <c r="I87" s="20">
        <v>55</v>
      </c>
      <c r="J87" s="82">
        <f t="shared" si="5"/>
        <v>275</v>
      </c>
      <c r="K87" s="17" t="s">
        <v>16</v>
      </c>
      <c r="L87" s="18">
        <v>0</v>
      </c>
      <c r="M87" s="23">
        <f t="shared" si="10"/>
        <v>275</v>
      </c>
    </row>
    <row r="88" spans="1:13" ht="25.5" x14ac:dyDescent="0.55000000000000004">
      <c r="A88" s="10">
        <v>84</v>
      </c>
      <c r="B88" s="19" t="s">
        <v>98</v>
      </c>
      <c r="C88" s="79">
        <f>+'28'!G88</f>
        <v>5</v>
      </c>
      <c r="D88" s="87">
        <v>0</v>
      </c>
      <c r="E88" s="47">
        <f t="shared" si="0"/>
        <v>5</v>
      </c>
      <c r="F88" s="87">
        <v>0</v>
      </c>
      <c r="G88" s="47">
        <f t="shared" si="4"/>
        <v>4</v>
      </c>
      <c r="H88" s="88">
        <v>1</v>
      </c>
      <c r="I88" s="20">
        <v>60</v>
      </c>
      <c r="J88" s="82">
        <f t="shared" si="5"/>
        <v>60</v>
      </c>
      <c r="K88" s="17" t="s">
        <v>16</v>
      </c>
      <c r="L88" s="18">
        <v>0</v>
      </c>
      <c r="M88" s="23">
        <f t="shared" si="10"/>
        <v>60</v>
      </c>
    </row>
    <row r="89" spans="1:13" ht="25.5" x14ac:dyDescent="0.55000000000000004">
      <c r="A89" s="10">
        <v>85</v>
      </c>
      <c r="B89" s="19" t="s">
        <v>99</v>
      </c>
      <c r="C89" s="79">
        <f>+'28'!G89</f>
        <v>4</v>
      </c>
      <c r="D89" s="87">
        <v>0</v>
      </c>
      <c r="E89" s="47">
        <f t="shared" si="0"/>
        <v>4</v>
      </c>
      <c r="F89" s="87">
        <v>0</v>
      </c>
      <c r="G89" s="47">
        <f t="shared" si="4"/>
        <v>1</v>
      </c>
      <c r="H89" s="88">
        <v>3</v>
      </c>
      <c r="I89" s="20">
        <v>100</v>
      </c>
      <c r="J89" s="82">
        <f t="shared" si="5"/>
        <v>300</v>
      </c>
      <c r="K89" s="17" t="s">
        <v>16</v>
      </c>
      <c r="L89" s="18">
        <v>0</v>
      </c>
      <c r="M89" s="23">
        <f t="shared" si="10"/>
        <v>300</v>
      </c>
    </row>
    <row r="90" spans="1:13" ht="25.5" x14ac:dyDescent="0.55000000000000004">
      <c r="A90" s="10">
        <v>86</v>
      </c>
      <c r="B90" s="19" t="s">
        <v>100</v>
      </c>
      <c r="C90" s="79">
        <f>+'28'!G90</f>
        <v>3</v>
      </c>
      <c r="D90" s="87">
        <v>0</v>
      </c>
      <c r="E90" s="47">
        <f t="shared" si="0"/>
        <v>3</v>
      </c>
      <c r="F90" s="87">
        <v>0</v>
      </c>
      <c r="G90" s="47">
        <f t="shared" si="4"/>
        <v>3</v>
      </c>
      <c r="H90" s="88"/>
      <c r="I90" s="20">
        <v>55</v>
      </c>
      <c r="J90" s="82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101</v>
      </c>
      <c r="C91" s="79">
        <f>+'28'!G91</f>
        <v>0</v>
      </c>
      <c r="D91" s="87">
        <v>0</v>
      </c>
      <c r="E91" s="47">
        <f t="shared" si="0"/>
        <v>0</v>
      </c>
      <c r="F91" s="87">
        <v>0</v>
      </c>
      <c r="G91" s="47">
        <f t="shared" si="4"/>
        <v>0</v>
      </c>
      <c r="H91" s="88"/>
      <c r="I91" s="20">
        <v>50</v>
      </c>
      <c r="J91" s="82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102</v>
      </c>
      <c r="C92" s="79">
        <f>+'28'!G92</f>
        <v>0</v>
      </c>
      <c r="D92" s="87">
        <v>0</v>
      </c>
      <c r="E92" s="47">
        <f t="shared" si="0"/>
        <v>0</v>
      </c>
      <c r="F92" s="87">
        <v>0</v>
      </c>
      <c r="G92" s="47">
        <f t="shared" si="4"/>
        <v>0</v>
      </c>
      <c r="H92" s="88"/>
      <c r="I92" s="22">
        <v>50</v>
      </c>
      <c r="J92" s="82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248</v>
      </c>
      <c r="C93" s="79">
        <f>+'28'!G93</f>
        <v>0</v>
      </c>
      <c r="D93" s="87">
        <v>0</v>
      </c>
      <c r="E93" s="47">
        <f t="shared" si="0"/>
        <v>0</v>
      </c>
      <c r="F93" s="87">
        <v>0</v>
      </c>
      <c r="G93" s="47">
        <f t="shared" si="4"/>
        <v>0</v>
      </c>
      <c r="H93" s="88"/>
      <c r="I93" s="22">
        <v>120</v>
      </c>
      <c r="J93" s="82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104</v>
      </c>
      <c r="C94" s="79">
        <f>+'28'!G94</f>
        <v>0</v>
      </c>
      <c r="D94" s="87">
        <v>0</v>
      </c>
      <c r="E94" s="47">
        <f t="shared" si="0"/>
        <v>0</v>
      </c>
      <c r="F94" s="87">
        <v>0</v>
      </c>
      <c r="G94" s="47">
        <f t="shared" si="4"/>
        <v>0</v>
      </c>
      <c r="H94" s="88"/>
      <c r="I94" s="20">
        <v>250</v>
      </c>
      <c r="J94" s="82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105</v>
      </c>
      <c r="C95" s="79">
        <f>+'28'!G95</f>
        <v>0</v>
      </c>
      <c r="D95" s="87">
        <v>0</v>
      </c>
      <c r="E95" s="47">
        <f t="shared" si="0"/>
        <v>0</v>
      </c>
      <c r="F95" s="87">
        <v>0</v>
      </c>
      <c r="G95" s="47">
        <f t="shared" si="4"/>
        <v>0</v>
      </c>
      <c r="H95" s="88"/>
      <c r="I95" s="20">
        <v>120</v>
      </c>
      <c r="J95" s="82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106</v>
      </c>
      <c r="C96" s="79">
        <f>+'28'!G96</f>
        <v>0</v>
      </c>
      <c r="D96" s="87">
        <v>0</v>
      </c>
      <c r="E96" s="47">
        <f t="shared" si="0"/>
        <v>0</v>
      </c>
      <c r="F96" s="87">
        <v>0</v>
      </c>
      <c r="G96" s="47">
        <f t="shared" si="4"/>
        <v>0</v>
      </c>
      <c r="H96" s="88"/>
      <c r="I96" s="20">
        <v>120</v>
      </c>
      <c r="J96" s="82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107</v>
      </c>
      <c r="C97" s="79">
        <f>+'28'!G97</f>
        <v>0</v>
      </c>
      <c r="D97" s="87">
        <v>0</v>
      </c>
      <c r="E97" s="47">
        <f t="shared" si="0"/>
        <v>0</v>
      </c>
      <c r="F97" s="87">
        <v>0</v>
      </c>
      <c r="G97" s="47">
        <f t="shared" si="4"/>
        <v>0</v>
      </c>
      <c r="H97" s="88"/>
      <c r="I97" s="20">
        <v>120</v>
      </c>
      <c r="J97" s="82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103</v>
      </c>
      <c r="C98" s="79">
        <f>+'28'!G98</f>
        <v>0</v>
      </c>
      <c r="D98" s="87">
        <v>0</v>
      </c>
      <c r="E98" s="47">
        <f t="shared" si="0"/>
        <v>0</v>
      </c>
      <c r="F98" s="87">
        <v>0</v>
      </c>
      <c r="G98" s="47">
        <f t="shared" si="4"/>
        <v>0</v>
      </c>
      <c r="H98" s="88"/>
      <c r="I98" s="20">
        <v>120</v>
      </c>
      <c r="J98" s="82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109</v>
      </c>
      <c r="C99" s="79">
        <f>+'28'!G99</f>
        <v>0</v>
      </c>
      <c r="D99" s="87">
        <v>0</v>
      </c>
      <c r="E99" s="47">
        <f t="shared" si="0"/>
        <v>0</v>
      </c>
      <c r="F99" s="87">
        <v>0</v>
      </c>
      <c r="G99" s="47">
        <f t="shared" si="4"/>
        <v>0</v>
      </c>
      <c r="H99" s="88"/>
      <c r="I99" s="20">
        <v>50</v>
      </c>
      <c r="J99" s="82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110</v>
      </c>
      <c r="C100" s="79">
        <f>+'28'!G100</f>
        <v>0</v>
      </c>
      <c r="D100" s="87">
        <v>0</v>
      </c>
      <c r="E100" s="47">
        <f t="shared" si="0"/>
        <v>0</v>
      </c>
      <c r="F100" s="87">
        <v>0</v>
      </c>
      <c r="G100" s="47">
        <f t="shared" si="4"/>
        <v>0</v>
      </c>
      <c r="H100" s="88"/>
      <c r="I100" s="20">
        <v>50</v>
      </c>
      <c r="J100" s="82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111</v>
      </c>
      <c r="C101" s="79">
        <f>+'28'!G101</f>
        <v>0</v>
      </c>
      <c r="D101" s="87">
        <v>0</v>
      </c>
      <c r="E101" s="47">
        <f t="shared" si="0"/>
        <v>0</v>
      </c>
      <c r="F101" s="87">
        <v>0</v>
      </c>
      <c r="G101" s="47">
        <f t="shared" ref="G101:G164" si="11">+E101-F101-H101</f>
        <v>0</v>
      </c>
      <c r="H101" s="88"/>
      <c r="I101" s="20">
        <v>60</v>
      </c>
      <c r="J101" s="82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112</v>
      </c>
      <c r="C102" s="79">
        <f>+'28'!G102</f>
        <v>0</v>
      </c>
      <c r="D102" s="87">
        <v>0</v>
      </c>
      <c r="E102" s="47">
        <f t="shared" si="0"/>
        <v>0</v>
      </c>
      <c r="F102" s="87">
        <v>0</v>
      </c>
      <c r="G102" s="47">
        <f t="shared" si="11"/>
        <v>0</v>
      </c>
      <c r="H102" s="88"/>
      <c r="I102" s="20">
        <v>55</v>
      </c>
      <c r="J102" s="82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113</v>
      </c>
      <c r="C103" s="79">
        <f>+'28'!G103</f>
        <v>0</v>
      </c>
      <c r="D103" s="87">
        <v>0</v>
      </c>
      <c r="E103" s="47">
        <f t="shared" si="0"/>
        <v>0</v>
      </c>
      <c r="F103" s="87">
        <v>0</v>
      </c>
      <c r="G103" s="47">
        <f t="shared" si="11"/>
        <v>0</v>
      </c>
      <c r="H103" s="88"/>
      <c r="I103" s="20">
        <v>50</v>
      </c>
      <c r="J103" s="82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114</v>
      </c>
      <c r="C104" s="79">
        <f>+'28'!G104</f>
        <v>0</v>
      </c>
      <c r="D104" s="87">
        <v>0</v>
      </c>
      <c r="E104" s="47">
        <f t="shared" si="0"/>
        <v>0</v>
      </c>
      <c r="F104" s="87">
        <v>0</v>
      </c>
      <c r="G104" s="47">
        <f t="shared" si="11"/>
        <v>0</v>
      </c>
      <c r="H104" s="88"/>
      <c r="I104" s="20">
        <v>100</v>
      </c>
      <c r="J104" s="82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115</v>
      </c>
      <c r="C105" s="79">
        <f>+'28'!G105</f>
        <v>0</v>
      </c>
      <c r="D105" s="87">
        <v>0</v>
      </c>
      <c r="E105" s="47">
        <f t="shared" si="0"/>
        <v>0</v>
      </c>
      <c r="F105" s="87">
        <v>0</v>
      </c>
      <c r="G105" s="47">
        <f t="shared" si="11"/>
        <v>0</v>
      </c>
      <c r="H105" s="88"/>
      <c r="I105" s="20">
        <v>100</v>
      </c>
      <c r="J105" s="82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116</v>
      </c>
      <c r="C106" s="79">
        <f>+'28'!G106</f>
        <v>0</v>
      </c>
      <c r="D106" s="87">
        <v>0</v>
      </c>
      <c r="E106" s="47">
        <f t="shared" si="0"/>
        <v>0</v>
      </c>
      <c r="F106" s="87">
        <v>0</v>
      </c>
      <c r="G106" s="47">
        <f t="shared" si="11"/>
        <v>0</v>
      </c>
      <c r="H106" s="88"/>
      <c r="I106" s="22">
        <v>30</v>
      </c>
      <c r="J106" s="82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117</v>
      </c>
      <c r="C107" s="79">
        <f>+'28'!G107</f>
        <v>0</v>
      </c>
      <c r="D107" s="87">
        <v>0</v>
      </c>
      <c r="E107" s="47">
        <f t="shared" si="0"/>
        <v>0</v>
      </c>
      <c r="F107" s="87">
        <v>0</v>
      </c>
      <c r="G107" s="47">
        <f t="shared" si="11"/>
        <v>0</v>
      </c>
      <c r="H107" s="88"/>
      <c r="I107" s="22">
        <v>20</v>
      </c>
      <c r="J107" s="82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118</v>
      </c>
      <c r="C108" s="79">
        <f>+'28'!G108</f>
        <v>0</v>
      </c>
      <c r="D108" s="87">
        <v>0</v>
      </c>
      <c r="E108" s="47">
        <f t="shared" si="0"/>
        <v>0</v>
      </c>
      <c r="F108" s="87">
        <v>0</v>
      </c>
      <c r="G108" s="47">
        <f t="shared" si="11"/>
        <v>0</v>
      </c>
      <c r="H108" s="88"/>
      <c r="I108" s="20">
        <v>100</v>
      </c>
      <c r="J108" s="82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120</v>
      </c>
      <c r="C109" s="79">
        <f>+'28'!G109</f>
        <v>0</v>
      </c>
      <c r="D109" s="87">
        <v>0</v>
      </c>
      <c r="E109" s="47">
        <f t="shared" si="0"/>
        <v>0</v>
      </c>
      <c r="F109" s="87">
        <v>0</v>
      </c>
      <c r="G109" s="47">
        <f t="shared" si="11"/>
        <v>0</v>
      </c>
      <c r="H109" s="88"/>
      <c r="I109" s="20">
        <v>80</v>
      </c>
      <c r="J109" s="82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121</v>
      </c>
      <c r="C110" s="79">
        <f>+'28'!G110</f>
        <v>0</v>
      </c>
      <c r="D110" s="87">
        <v>0</v>
      </c>
      <c r="E110" s="47">
        <f t="shared" si="0"/>
        <v>0</v>
      </c>
      <c r="F110" s="87">
        <v>0</v>
      </c>
      <c r="G110" s="47">
        <f t="shared" si="11"/>
        <v>0</v>
      </c>
      <c r="H110" s="88"/>
      <c r="I110" s="20">
        <v>60</v>
      </c>
      <c r="J110" s="82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122</v>
      </c>
      <c r="C111" s="79">
        <f>+'28'!G111</f>
        <v>0</v>
      </c>
      <c r="D111" s="87">
        <v>0</v>
      </c>
      <c r="E111" s="47">
        <f t="shared" si="0"/>
        <v>0</v>
      </c>
      <c r="F111" s="87">
        <v>0</v>
      </c>
      <c r="G111" s="47">
        <f t="shared" si="11"/>
        <v>0</v>
      </c>
      <c r="H111" s="88"/>
      <c r="I111" s="20">
        <v>35</v>
      </c>
      <c r="J111" s="82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123</v>
      </c>
      <c r="C112" s="79">
        <f>+'28'!G112</f>
        <v>0</v>
      </c>
      <c r="D112" s="87">
        <v>0</v>
      </c>
      <c r="E112" s="47">
        <f t="shared" si="0"/>
        <v>0</v>
      </c>
      <c r="F112" s="87">
        <v>0</v>
      </c>
      <c r="G112" s="47">
        <f t="shared" si="11"/>
        <v>0</v>
      </c>
      <c r="H112" s="88"/>
      <c r="I112" s="20">
        <v>35</v>
      </c>
      <c r="J112" s="82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124</v>
      </c>
      <c r="C113" s="79">
        <f>+'28'!G113</f>
        <v>0</v>
      </c>
      <c r="D113" s="87">
        <v>0</v>
      </c>
      <c r="E113" s="47">
        <f t="shared" si="0"/>
        <v>0</v>
      </c>
      <c r="F113" s="87">
        <v>0</v>
      </c>
      <c r="G113" s="47">
        <f t="shared" si="11"/>
        <v>0</v>
      </c>
      <c r="H113" s="88"/>
      <c r="I113" s="20">
        <v>35</v>
      </c>
      <c r="J113" s="82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125</v>
      </c>
      <c r="C114" s="79">
        <f>+'28'!G114</f>
        <v>0</v>
      </c>
      <c r="D114" s="87">
        <v>0</v>
      </c>
      <c r="E114" s="47">
        <f t="shared" si="0"/>
        <v>0</v>
      </c>
      <c r="F114" s="87">
        <v>0</v>
      </c>
      <c r="G114" s="47">
        <f t="shared" si="11"/>
        <v>0</v>
      </c>
      <c r="H114" s="88"/>
      <c r="I114" s="20">
        <v>35</v>
      </c>
      <c r="J114" s="82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126</v>
      </c>
      <c r="C115" s="79">
        <f>+'28'!G115</f>
        <v>0</v>
      </c>
      <c r="D115" s="87">
        <v>0</v>
      </c>
      <c r="E115" s="47">
        <f t="shared" si="0"/>
        <v>0</v>
      </c>
      <c r="F115" s="87">
        <v>0</v>
      </c>
      <c r="G115" s="47">
        <f t="shared" si="11"/>
        <v>0</v>
      </c>
      <c r="H115" s="88"/>
      <c r="I115" s="20">
        <v>35</v>
      </c>
      <c r="J115" s="82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127</v>
      </c>
      <c r="C116" s="79">
        <f>+'28'!G116</f>
        <v>0</v>
      </c>
      <c r="D116" s="87">
        <v>0</v>
      </c>
      <c r="E116" s="47">
        <f t="shared" si="0"/>
        <v>0</v>
      </c>
      <c r="F116" s="87">
        <v>0</v>
      </c>
      <c r="G116" s="47">
        <f t="shared" si="11"/>
        <v>0</v>
      </c>
      <c r="H116" s="88"/>
      <c r="I116" s="20">
        <v>30</v>
      </c>
      <c r="J116" s="82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128</v>
      </c>
      <c r="C117" s="79">
        <f>+'28'!G117</f>
        <v>0</v>
      </c>
      <c r="D117" s="87">
        <v>0</v>
      </c>
      <c r="E117" s="47">
        <f t="shared" si="0"/>
        <v>0</v>
      </c>
      <c r="F117" s="87">
        <v>0</v>
      </c>
      <c r="G117" s="47">
        <f t="shared" si="11"/>
        <v>0</v>
      </c>
      <c r="H117" s="88"/>
      <c r="I117" s="20">
        <v>30</v>
      </c>
      <c r="J117" s="82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129</v>
      </c>
      <c r="C118" s="79">
        <f>+'28'!G118</f>
        <v>0</v>
      </c>
      <c r="D118" s="87">
        <v>0</v>
      </c>
      <c r="E118" s="47">
        <f t="shared" si="0"/>
        <v>0</v>
      </c>
      <c r="F118" s="87">
        <v>0</v>
      </c>
      <c r="G118" s="47">
        <f t="shared" si="11"/>
        <v>0</v>
      </c>
      <c r="H118" s="88"/>
      <c r="I118" s="20">
        <v>30</v>
      </c>
      <c r="J118" s="82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130</v>
      </c>
      <c r="C119" s="79">
        <f>+'28'!G119</f>
        <v>0</v>
      </c>
      <c r="D119" s="87">
        <v>0</v>
      </c>
      <c r="E119" s="47">
        <f t="shared" si="0"/>
        <v>0</v>
      </c>
      <c r="F119" s="87">
        <v>0</v>
      </c>
      <c r="G119" s="47">
        <f t="shared" si="11"/>
        <v>0</v>
      </c>
      <c r="H119" s="88"/>
      <c r="I119" s="20">
        <v>30</v>
      </c>
      <c r="J119" s="82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131</v>
      </c>
      <c r="C120" s="79">
        <f>+'28'!G120</f>
        <v>0</v>
      </c>
      <c r="D120" s="87">
        <v>0</v>
      </c>
      <c r="E120" s="47">
        <f t="shared" si="0"/>
        <v>0</v>
      </c>
      <c r="F120" s="87">
        <v>0</v>
      </c>
      <c r="G120" s="47">
        <f t="shared" si="11"/>
        <v>0</v>
      </c>
      <c r="H120" s="88"/>
      <c r="I120" s="20">
        <v>30</v>
      </c>
      <c r="J120" s="82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132</v>
      </c>
      <c r="C121" s="79">
        <f>+'28'!G121</f>
        <v>0</v>
      </c>
      <c r="D121" s="87">
        <v>0</v>
      </c>
      <c r="E121" s="47">
        <f t="shared" si="0"/>
        <v>0</v>
      </c>
      <c r="F121" s="87">
        <v>0</v>
      </c>
      <c r="G121" s="47">
        <f t="shared" si="11"/>
        <v>0</v>
      </c>
      <c r="H121" s="88"/>
      <c r="I121" s="20">
        <v>30</v>
      </c>
      <c r="J121" s="82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133</v>
      </c>
      <c r="C122" s="79">
        <f>+'28'!G122</f>
        <v>0</v>
      </c>
      <c r="D122" s="87">
        <v>0</v>
      </c>
      <c r="E122" s="47">
        <f t="shared" si="0"/>
        <v>0</v>
      </c>
      <c r="F122" s="87">
        <v>0</v>
      </c>
      <c r="G122" s="47">
        <f t="shared" si="11"/>
        <v>0</v>
      </c>
      <c r="H122" s="88"/>
      <c r="I122" s="20">
        <v>40</v>
      </c>
      <c r="J122" s="82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134</v>
      </c>
      <c r="C123" s="79">
        <f>+'28'!G123</f>
        <v>0</v>
      </c>
      <c r="D123" s="87">
        <v>0</v>
      </c>
      <c r="E123" s="47">
        <f t="shared" si="0"/>
        <v>0</v>
      </c>
      <c r="F123" s="87">
        <v>0</v>
      </c>
      <c r="G123" s="47">
        <f t="shared" si="11"/>
        <v>0</v>
      </c>
      <c r="H123" s="88"/>
      <c r="I123" s="20">
        <v>35</v>
      </c>
      <c r="J123" s="82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135</v>
      </c>
      <c r="C124" s="79">
        <f>+'28'!G124</f>
        <v>0</v>
      </c>
      <c r="D124" s="87">
        <v>0</v>
      </c>
      <c r="E124" s="47">
        <f t="shared" si="0"/>
        <v>0</v>
      </c>
      <c r="F124" s="87">
        <v>0</v>
      </c>
      <c r="G124" s="47">
        <f t="shared" si="11"/>
        <v>0</v>
      </c>
      <c r="H124" s="88"/>
      <c r="I124" s="20">
        <v>40</v>
      </c>
      <c r="J124" s="82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136</v>
      </c>
      <c r="C125" s="79">
        <f>+'28'!G125</f>
        <v>0</v>
      </c>
      <c r="D125" s="87">
        <v>0</v>
      </c>
      <c r="E125" s="47">
        <f t="shared" si="0"/>
        <v>0</v>
      </c>
      <c r="F125" s="87">
        <v>0</v>
      </c>
      <c r="G125" s="47">
        <f t="shared" si="11"/>
        <v>0</v>
      </c>
      <c r="H125" s="88"/>
      <c r="I125" s="20">
        <v>40</v>
      </c>
      <c r="J125" s="82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137</v>
      </c>
      <c r="C126" s="79">
        <f>+'28'!G126</f>
        <v>0</v>
      </c>
      <c r="D126" s="87">
        <v>0</v>
      </c>
      <c r="E126" s="47">
        <f t="shared" ref="E126:E189" si="13">C126+D126</f>
        <v>0</v>
      </c>
      <c r="F126" s="87">
        <v>0</v>
      </c>
      <c r="G126" s="47">
        <f t="shared" si="11"/>
        <v>0</v>
      </c>
      <c r="H126" s="88"/>
      <c r="I126" s="20">
        <v>30</v>
      </c>
      <c r="J126" s="82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138</v>
      </c>
      <c r="C127" s="79">
        <f>+'28'!G127</f>
        <v>0</v>
      </c>
      <c r="D127" s="87">
        <v>0</v>
      </c>
      <c r="E127" s="47">
        <f t="shared" si="13"/>
        <v>0</v>
      </c>
      <c r="F127" s="87">
        <v>0</v>
      </c>
      <c r="G127" s="47">
        <f t="shared" si="11"/>
        <v>0</v>
      </c>
      <c r="H127" s="88"/>
      <c r="I127" s="20">
        <v>40</v>
      </c>
      <c r="J127" s="82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139</v>
      </c>
      <c r="C128" s="79">
        <f>+'28'!G128</f>
        <v>74</v>
      </c>
      <c r="D128" s="87">
        <v>0</v>
      </c>
      <c r="E128" s="47">
        <f t="shared" si="13"/>
        <v>74</v>
      </c>
      <c r="F128" s="87">
        <v>0</v>
      </c>
      <c r="G128" s="47">
        <f t="shared" si="11"/>
        <v>74</v>
      </c>
      <c r="H128" s="88"/>
      <c r="I128" s="20">
        <v>10</v>
      </c>
      <c r="J128" s="82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140</v>
      </c>
      <c r="C129" s="79">
        <f>+'28'!G129</f>
        <v>0</v>
      </c>
      <c r="D129" s="87">
        <v>0</v>
      </c>
      <c r="E129" s="47">
        <f t="shared" si="13"/>
        <v>0</v>
      </c>
      <c r="F129" s="87">
        <v>0</v>
      </c>
      <c r="G129" s="47">
        <f t="shared" si="11"/>
        <v>0</v>
      </c>
      <c r="H129" s="88"/>
      <c r="I129" s="20">
        <v>35</v>
      </c>
      <c r="J129" s="82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141</v>
      </c>
      <c r="C130" s="79">
        <f>+'28'!G130</f>
        <v>0</v>
      </c>
      <c r="D130" s="87">
        <v>0</v>
      </c>
      <c r="E130" s="47">
        <f t="shared" si="13"/>
        <v>0</v>
      </c>
      <c r="F130" s="87">
        <v>0</v>
      </c>
      <c r="G130" s="47">
        <f t="shared" si="11"/>
        <v>0</v>
      </c>
      <c r="H130" s="88"/>
      <c r="I130" s="20">
        <v>40</v>
      </c>
      <c r="J130" s="82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142</v>
      </c>
      <c r="C131" s="79">
        <f>+'28'!G131</f>
        <v>0</v>
      </c>
      <c r="D131" s="87">
        <v>0</v>
      </c>
      <c r="E131" s="47">
        <f t="shared" si="13"/>
        <v>0</v>
      </c>
      <c r="F131" s="87">
        <v>0</v>
      </c>
      <c r="G131" s="47">
        <f t="shared" si="11"/>
        <v>0</v>
      </c>
      <c r="H131" s="88"/>
      <c r="I131" s="20">
        <v>50</v>
      </c>
      <c r="J131" s="82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143</v>
      </c>
      <c r="C132" s="79">
        <f>+'28'!G132</f>
        <v>0</v>
      </c>
      <c r="D132" s="87">
        <v>0</v>
      </c>
      <c r="E132" s="47">
        <f t="shared" si="13"/>
        <v>0</v>
      </c>
      <c r="F132" s="87">
        <v>0</v>
      </c>
      <c r="G132" s="47">
        <f t="shared" si="11"/>
        <v>0</v>
      </c>
      <c r="H132" s="88"/>
      <c r="I132" s="20">
        <v>55</v>
      </c>
      <c r="J132" s="82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144</v>
      </c>
      <c r="C133" s="79">
        <f>+'28'!G133</f>
        <v>0</v>
      </c>
      <c r="D133" s="87">
        <v>0</v>
      </c>
      <c r="E133" s="47">
        <f t="shared" si="13"/>
        <v>0</v>
      </c>
      <c r="F133" s="87">
        <v>0</v>
      </c>
      <c r="G133" s="47">
        <f t="shared" si="11"/>
        <v>0</v>
      </c>
      <c r="H133" s="88"/>
      <c r="I133" s="20">
        <v>55</v>
      </c>
      <c r="J133" s="82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145</v>
      </c>
      <c r="C134" s="79">
        <f>+'28'!G134</f>
        <v>0</v>
      </c>
      <c r="D134" s="87">
        <v>0</v>
      </c>
      <c r="E134" s="47">
        <f t="shared" si="13"/>
        <v>0</v>
      </c>
      <c r="F134" s="87">
        <v>0</v>
      </c>
      <c r="G134" s="47">
        <f t="shared" si="11"/>
        <v>0</v>
      </c>
      <c r="H134" s="88"/>
      <c r="I134" s="20">
        <v>45</v>
      </c>
      <c r="J134" s="82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5.5" x14ac:dyDescent="0.55000000000000004">
      <c r="A135" s="10">
        <v>131</v>
      </c>
      <c r="B135" s="19" t="s">
        <v>146</v>
      </c>
      <c r="C135" s="79">
        <f>+'28'!G135</f>
        <v>0</v>
      </c>
      <c r="D135" s="87">
        <v>0</v>
      </c>
      <c r="E135" s="47">
        <f t="shared" si="13"/>
        <v>0</v>
      </c>
      <c r="F135" s="87">
        <v>0</v>
      </c>
      <c r="G135" s="47">
        <f t="shared" si="11"/>
        <v>0</v>
      </c>
      <c r="H135" s="88"/>
      <c r="I135" s="20">
        <v>45</v>
      </c>
      <c r="J135" s="82">
        <f t="shared" si="12"/>
        <v>0</v>
      </c>
      <c r="K135" s="17" t="s">
        <v>16</v>
      </c>
      <c r="L135" s="18">
        <v>0</v>
      </c>
      <c r="M135" s="23">
        <f t="shared" ref="M135:M198" si="14">SUM(J135-L135)</f>
        <v>0</v>
      </c>
    </row>
    <row r="136" spans="1:13" ht="25.5" x14ac:dyDescent="0.55000000000000004">
      <c r="A136" s="10">
        <v>132</v>
      </c>
      <c r="B136" s="19" t="s">
        <v>147</v>
      </c>
      <c r="C136" s="79">
        <f>+'28'!G136</f>
        <v>0</v>
      </c>
      <c r="D136" s="87">
        <v>0</v>
      </c>
      <c r="E136" s="47">
        <f t="shared" si="13"/>
        <v>0</v>
      </c>
      <c r="F136" s="87">
        <v>0</v>
      </c>
      <c r="G136" s="47">
        <f t="shared" si="11"/>
        <v>0</v>
      </c>
      <c r="H136" s="88"/>
      <c r="I136" s="20">
        <v>55</v>
      </c>
      <c r="J136" s="82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148</v>
      </c>
      <c r="C137" s="79">
        <f>+'28'!G137</f>
        <v>0</v>
      </c>
      <c r="D137" s="87">
        <v>0</v>
      </c>
      <c r="E137" s="47">
        <f t="shared" si="13"/>
        <v>0</v>
      </c>
      <c r="F137" s="87">
        <v>0</v>
      </c>
      <c r="G137" s="47">
        <f t="shared" si="11"/>
        <v>0</v>
      </c>
      <c r="H137" s="88"/>
      <c r="I137" s="20">
        <v>45</v>
      </c>
      <c r="J137" s="82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149</v>
      </c>
      <c r="C138" s="79">
        <f>+'28'!G138</f>
        <v>0</v>
      </c>
      <c r="D138" s="87">
        <v>0</v>
      </c>
      <c r="E138" s="47">
        <f t="shared" si="13"/>
        <v>0</v>
      </c>
      <c r="F138" s="87">
        <v>0</v>
      </c>
      <c r="G138" s="47">
        <f t="shared" si="11"/>
        <v>0</v>
      </c>
      <c r="H138" s="88"/>
      <c r="I138" s="20">
        <v>45</v>
      </c>
      <c r="J138" s="82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150</v>
      </c>
      <c r="C139" s="79">
        <f>+'28'!G139</f>
        <v>0</v>
      </c>
      <c r="D139" s="87">
        <v>0</v>
      </c>
      <c r="E139" s="47">
        <f t="shared" si="13"/>
        <v>0</v>
      </c>
      <c r="F139" s="87">
        <v>0</v>
      </c>
      <c r="G139" s="47">
        <f t="shared" si="11"/>
        <v>0</v>
      </c>
      <c r="H139" s="88"/>
      <c r="I139" s="20">
        <v>45</v>
      </c>
      <c r="J139" s="82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151</v>
      </c>
      <c r="C140" s="79">
        <f>+'28'!G140</f>
        <v>0</v>
      </c>
      <c r="D140" s="87">
        <v>0</v>
      </c>
      <c r="E140" s="47">
        <f t="shared" si="13"/>
        <v>0</v>
      </c>
      <c r="F140" s="87">
        <v>0</v>
      </c>
      <c r="G140" s="47">
        <f t="shared" si="11"/>
        <v>0</v>
      </c>
      <c r="H140" s="88"/>
      <c r="I140" s="20">
        <v>45</v>
      </c>
      <c r="J140" s="82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152</v>
      </c>
      <c r="C141" s="79">
        <f>+'28'!G141</f>
        <v>0</v>
      </c>
      <c r="D141" s="87">
        <v>0</v>
      </c>
      <c r="E141" s="47">
        <f t="shared" si="13"/>
        <v>0</v>
      </c>
      <c r="F141" s="87">
        <v>0</v>
      </c>
      <c r="G141" s="47">
        <f t="shared" si="11"/>
        <v>0</v>
      </c>
      <c r="H141" s="88"/>
      <c r="I141" s="20">
        <v>45</v>
      </c>
      <c r="J141" s="82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153</v>
      </c>
      <c r="C142" s="79">
        <f>+'28'!G142</f>
        <v>0</v>
      </c>
      <c r="D142" s="87">
        <v>0</v>
      </c>
      <c r="E142" s="47">
        <f t="shared" si="13"/>
        <v>0</v>
      </c>
      <c r="F142" s="87">
        <v>0</v>
      </c>
      <c r="G142" s="47">
        <f t="shared" si="11"/>
        <v>0</v>
      </c>
      <c r="H142" s="88"/>
      <c r="I142" s="20">
        <v>45</v>
      </c>
      <c r="J142" s="82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154</v>
      </c>
      <c r="C143" s="79">
        <f>+'28'!G143</f>
        <v>0</v>
      </c>
      <c r="D143" s="87">
        <v>0</v>
      </c>
      <c r="E143" s="47">
        <f t="shared" si="13"/>
        <v>0</v>
      </c>
      <c r="F143" s="87">
        <v>0</v>
      </c>
      <c r="G143" s="47">
        <f t="shared" si="11"/>
        <v>0</v>
      </c>
      <c r="H143" s="88"/>
      <c r="I143" s="20">
        <v>120</v>
      </c>
      <c r="J143" s="82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155</v>
      </c>
      <c r="C144" s="79">
        <f>+'28'!G144</f>
        <v>0</v>
      </c>
      <c r="D144" s="87">
        <v>0</v>
      </c>
      <c r="E144" s="47">
        <f t="shared" si="13"/>
        <v>0</v>
      </c>
      <c r="F144" s="87">
        <v>0</v>
      </c>
      <c r="G144" s="47">
        <f t="shared" si="11"/>
        <v>0</v>
      </c>
      <c r="H144" s="88"/>
      <c r="I144" s="20">
        <v>120</v>
      </c>
      <c r="J144" s="82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156</v>
      </c>
      <c r="C145" s="79">
        <f>+'28'!G145</f>
        <v>0</v>
      </c>
      <c r="D145" s="87">
        <v>0</v>
      </c>
      <c r="E145" s="47">
        <f t="shared" si="13"/>
        <v>0</v>
      </c>
      <c r="F145" s="87">
        <v>0</v>
      </c>
      <c r="G145" s="47">
        <f t="shared" si="11"/>
        <v>0</v>
      </c>
      <c r="H145" s="88"/>
      <c r="I145" s="20">
        <v>120</v>
      </c>
      <c r="J145" s="82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157</v>
      </c>
      <c r="C146" s="79">
        <f>+'28'!G146</f>
        <v>0</v>
      </c>
      <c r="D146" s="87">
        <v>0</v>
      </c>
      <c r="E146" s="47">
        <f t="shared" si="13"/>
        <v>0</v>
      </c>
      <c r="F146" s="87">
        <v>0</v>
      </c>
      <c r="G146" s="47">
        <f t="shared" si="11"/>
        <v>0</v>
      </c>
      <c r="H146" s="88"/>
      <c r="I146" s="20">
        <v>120</v>
      </c>
      <c r="J146" s="82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158</v>
      </c>
      <c r="C147" s="79">
        <f>+'28'!G147</f>
        <v>0</v>
      </c>
      <c r="D147" s="87">
        <v>0</v>
      </c>
      <c r="E147" s="47">
        <f t="shared" si="13"/>
        <v>0</v>
      </c>
      <c r="F147" s="87">
        <v>0</v>
      </c>
      <c r="G147" s="47">
        <f t="shared" si="11"/>
        <v>0</v>
      </c>
      <c r="H147" s="88"/>
      <c r="I147" s="20">
        <v>185</v>
      </c>
      <c r="J147" s="82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159</v>
      </c>
      <c r="C148" s="79">
        <f>+'28'!G148</f>
        <v>0</v>
      </c>
      <c r="D148" s="87">
        <v>0</v>
      </c>
      <c r="E148" s="47">
        <f t="shared" si="13"/>
        <v>0</v>
      </c>
      <c r="F148" s="87">
        <v>0</v>
      </c>
      <c r="G148" s="47">
        <f t="shared" si="11"/>
        <v>0</v>
      </c>
      <c r="H148" s="88"/>
      <c r="I148" s="20">
        <v>185</v>
      </c>
      <c r="J148" s="82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160</v>
      </c>
      <c r="C149" s="79">
        <f>+'28'!G149</f>
        <v>0</v>
      </c>
      <c r="D149" s="87">
        <v>0</v>
      </c>
      <c r="E149" s="47">
        <f t="shared" si="13"/>
        <v>0</v>
      </c>
      <c r="F149" s="87">
        <v>0</v>
      </c>
      <c r="G149" s="47">
        <f t="shared" si="11"/>
        <v>0</v>
      </c>
      <c r="H149" s="88"/>
      <c r="I149" s="20">
        <v>185</v>
      </c>
      <c r="J149" s="82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161</v>
      </c>
      <c r="C150" s="79">
        <f>+'28'!G150</f>
        <v>0</v>
      </c>
      <c r="D150" s="87">
        <v>0</v>
      </c>
      <c r="E150" s="47">
        <f t="shared" si="13"/>
        <v>0</v>
      </c>
      <c r="F150" s="87">
        <v>0</v>
      </c>
      <c r="G150" s="47">
        <f t="shared" si="11"/>
        <v>0</v>
      </c>
      <c r="H150" s="88"/>
      <c r="I150" s="20">
        <v>185</v>
      </c>
      <c r="J150" s="82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5.5" x14ac:dyDescent="0.55000000000000004">
      <c r="A151" s="10">
        <v>147</v>
      </c>
      <c r="B151" s="19" t="s">
        <v>279</v>
      </c>
      <c r="C151" s="79">
        <f>+'28'!G151</f>
        <v>0</v>
      </c>
      <c r="D151" s="87">
        <v>0</v>
      </c>
      <c r="E151" s="47">
        <f t="shared" si="13"/>
        <v>0</v>
      </c>
      <c r="F151" s="87">
        <v>0</v>
      </c>
      <c r="G151" s="47">
        <f t="shared" si="11"/>
        <v>0</v>
      </c>
      <c r="H151" s="88"/>
      <c r="I151" s="20">
        <v>150</v>
      </c>
      <c r="J151" s="82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280</v>
      </c>
      <c r="C152" s="79">
        <f>+'28'!G152</f>
        <v>1</v>
      </c>
      <c r="D152" s="87">
        <v>0</v>
      </c>
      <c r="E152" s="47">
        <f t="shared" si="13"/>
        <v>1</v>
      </c>
      <c r="F152" s="87">
        <v>0</v>
      </c>
      <c r="G152" s="47">
        <f t="shared" si="11"/>
        <v>1</v>
      </c>
      <c r="H152" s="88"/>
      <c r="I152" s="20">
        <v>150</v>
      </c>
      <c r="J152" s="82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5.5" x14ac:dyDescent="0.55000000000000004">
      <c r="A153" s="10">
        <v>149</v>
      </c>
      <c r="B153" s="19" t="s">
        <v>281</v>
      </c>
      <c r="C153" s="79">
        <f>+'28'!G153</f>
        <v>0</v>
      </c>
      <c r="D153" s="87">
        <v>0</v>
      </c>
      <c r="E153" s="47">
        <f t="shared" si="13"/>
        <v>0</v>
      </c>
      <c r="F153" s="87">
        <v>0</v>
      </c>
      <c r="G153" s="47">
        <f t="shared" si="11"/>
        <v>0</v>
      </c>
      <c r="H153" s="88"/>
      <c r="I153" s="20">
        <v>150</v>
      </c>
      <c r="J153" s="82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282</v>
      </c>
      <c r="C154" s="79">
        <f>+'28'!G154</f>
        <v>0</v>
      </c>
      <c r="D154" s="87">
        <v>0</v>
      </c>
      <c r="E154" s="47">
        <f t="shared" si="13"/>
        <v>0</v>
      </c>
      <c r="F154" s="87">
        <v>0</v>
      </c>
      <c r="G154" s="47">
        <f t="shared" si="11"/>
        <v>0</v>
      </c>
      <c r="H154" s="88"/>
      <c r="I154" s="20">
        <v>150</v>
      </c>
      <c r="J154" s="82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166</v>
      </c>
      <c r="C155" s="79">
        <f>+'28'!G155</f>
        <v>0</v>
      </c>
      <c r="D155" s="87">
        <v>0</v>
      </c>
      <c r="E155" s="47">
        <f t="shared" si="13"/>
        <v>0</v>
      </c>
      <c r="F155" s="87">
        <v>0</v>
      </c>
      <c r="G155" s="47">
        <f t="shared" si="11"/>
        <v>0</v>
      </c>
      <c r="H155" s="88"/>
      <c r="I155" s="20">
        <v>185</v>
      </c>
      <c r="J155" s="82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167</v>
      </c>
      <c r="C156" s="79">
        <f>+'28'!G156</f>
        <v>0</v>
      </c>
      <c r="D156" s="87">
        <v>0</v>
      </c>
      <c r="E156" s="47">
        <f t="shared" si="13"/>
        <v>0</v>
      </c>
      <c r="F156" s="87">
        <v>0</v>
      </c>
      <c r="G156" s="47">
        <f t="shared" si="11"/>
        <v>0</v>
      </c>
      <c r="H156" s="88"/>
      <c r="I156" s="20">
        <v>185</v>
      </c>
      <c r="J156" s="82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168</v>
      </c>
      <c r="C157" s="79">
        <f>+'28'!G157</f>
        <v>0</v>
      </c>
      <c r="D157" s="87">
        <v>0</v>
      </c>
      <c r="E157" s="47">
        <f t="shared" si="13"/>
        <v>0</v>
      </c>
      <c r="F157" s="87">
        <v>0</v>
      </c>
      <c r="G157" s="47">
        <f t="shared" si="11"/>
        <v>0</v>
      </c>
      <c r="H157" s="88"/>
      <c r="I157" s="20">
        <v>185</v>
      </c>
      <c r="J157" s="82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169</v>
      </c>
      <c r="C158" s="79">
        <f>+'28'!G158</f>
        <v>0</v>
      </c>
      <c r="D158" s="87">
        <v>0</v>
      </c>
      <c r="E158" s="47">
        <f t="shared" si="13"/>
        <v>0</v>
      </c>
      <c r="F158" s="87">
        <v>0</v>
      </c>
      <c r="G158" s="47">
        <f t="shared" si="11"/>
        <v>0</v>
      </c>
      <c r="H158" s="88"/>
      <c r="I158" s="20">
        <v>185</v>
      </c>
      <c r="J158" s="82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170</v>
      </c>
      <c r="C159" s="79">
        <f>+'28'!G159</f>
        <v>0</v>
      </c>
      <c r="D159" s="87">
        <v>0</v>
      </c>
      <c r="E159" s="47">
        <f t="shared" si="13"/>
        <v>0</v>
      </c>
      <c r="F159" s="87">
        <v>0</v>
      </c>
      <c r="G159" s="47">
        <f t="shared" si="11"/>
        <v>0</v>
      </c>
      <c r="H159" s="88"/>
      <c r="I159" s="20">
        <v>135</v>
      </c>
      <c r="J159" s="82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171</v>
      </c>
      <c r="C160" s="79">
        <f>+'28'!G160</f>
        <v>0</v>
      </c>
      <c r="D160" s="87">
        <v>0</v>
      </c>
      <c r="E160" s="47">
        <f t="shared" si="13"/>
        <v>0</v>
      </c>
      <c r="F160" s="87">
        <v>0</v>
      </c>
      <c r="G160" s="47">
        <f t="shared" si="11"/>
        <v>0</v>
      </c>
      <c r="H160" s="88"/>
      <c r="I160" s="20">
        <v>90</v>
      </c>
      <c r="J160" s="82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172</v>
      </c>
      <c r="C161" s="79">
        <f>+'28'!G161</f>
        <v>0</v>
      </c>
      <c r="D161" s="87">
        <v>0</v>
      </c>
      <c r="E161" s="47">
        <f t="shared" si="13"/>
        <v>0</v>
      </c>
      <c r="F161" s="87">
        <v>0</v>
      </c>
      <c r="G161" s="47">
        <f t="shared" si="11"/>
        <v>0</v>
      </c>
      <c r="H161" s="88"/>
      <c r="I161" s="20">
        <v>90</v>
      </c>
      <c r="J161" s="82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173</v>
      </c>
      <c r="C162" s="79">
        <f>+'28'!G162</f>
        <v>0</v>
      </c>
      <c r="D162" s="87">
        <v>0</v>
      </c>
      <c r="E162" s="47">
        <f t="shared" si="13"/>
        <v>0</v>
      </c>
      <c r="F162" s="87">
        <v>0</v>
      </c>
      <c r="G162" s="47">
        <f t="shared" si="11"/>
        <v>0</v>
      </c>
      <c r="H162" s="88"/>
      <c r="I162" s="20">
        <v>90</v>
      </c>
      <c r="J162" s="82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174</v>
      </c>
      <c r="C163" s="79">
        <f>+'28'!G163</f>
        <v>0</v>
      </c>
      <c r="D163" s="87">
        <v>0</v>
      </c>
      <c r="E163" s="47">
        <f t="shared" si="13"/>
        <v>0</v>
      </c>
      <c r="F163" s="87">
        <v>0</v>
      </c>
      <c r="G163" s="47">
        <f t="shared" si="11"/>
        <v>0</v>
      </c>
      <c r="H163" s="88"/>
      <c r="I163" s="20">
        <v>90</v>
      </c>
      <c r="J163" s="82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175</v>
      </c>
      <c r="C164" s="79">
        <f>+'28'!G164</f>
        <v>0</v>
      </c>
      <c r="D164" s="87">
        <v>0</v>
      </c>
      <c r="E164" s="47">
        <f t="shared" si="13"/>
        <v>0</v>
      </c>
      <c r="F164" s="87">
        <v>0</v>
      </c>
      <c r="G164" s="47">
        <f t="shared" si="11"/>
        <v>0</v>
      </c>
      <c r="H164" s="88"/>
      <c r="I164" s="20">
        <v>25</v>
      </c>
      <c r="J164" s="82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176</v>
      </c>
      <c r="C165" s="79">
        <f>+'28'!G165</f>
        <v>0</v>
      </c>
      <c r="D165" s="87">
        <v>0</v>
      </c>
      <c r="E165" s="47">
        <f t="shared" si="13"/>
        <v>0</v>
      </c>
      <c r="F165" s="87">
        <v>0</v>
      </c>
      <c r="G165" s="47">
        <f t="shared" ref="G165:G227" si="15">+E165-F165-H165</f>
        <v>0</v>
      </c>
      <c r="H165" s="88"/>
      <c r="I165" s="20">
        <v>50</v>
      </c>
      <c r="J165" s="82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177</v>
      </c>
      <c r="C166" s="79">
        <f>+'28'!G166</f>
        <v>0</v>
      </c>
      <c r="D166" s="87">
        <v>0</v>
      </c>
      <c r="E166" s="47">
        <f t="shared" si="13"/>
        <v>0</v>
      </c>
      <c r="F166" s="87">
        <v>0</v>
      </c>
      <c r="G166" s="47">
        <f t="shared" si="15"/>
        <v>0</v>
      </c>
      <c r="H166" s="88"/>
      <c r="I166" s="20">
        <v>50</v>
      </c>
      <c r="J166" s="82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178</v>
      </c>
      <c r="C167" s="79">
        <f>+'28'!G167</f>
        <v>0</v>
      </c>
      <c r="D167" s="87">
        <v>0</v>
      </c>
      <c r="E167" s="47">
        <f t="shared" si="13"/>
        <v>0</v>
      </c>
      <c r="F167" s="87">
        <v>0</v>
      </c>
      <c r="G167" s="47">
        <f t="shared" si="15"/>
        <v>0</v>
      </c>
      <c r="H167" s="88"/>
      <c r="I167" s="20">
        <v>50</v>
      </c>
      <c r="J167" s="82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179</v>
      </c>
      <c r="C168" s="79">
        <f>+'28'!G168</f>
        <v>0</v>
      </c>
      <c r="D168" s="87">
        <v>0</v>
      </c>
      <c r="E168" s="47">
        <f t="shared" si="13"/>
        <v>0</v>
      </c>
      <c r="F168" s="87">
        <v>0</v>
      </c>
      <c r="G168" s="47">
        <f t="shared" si="15"/>
        <v>0</v>
      </c>
      <c r="H168" s="88"/>
      <c r="I168" s="20">
        <v>50</v>
      </c>
      <c r="J168" s="82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180</v>
      </c>
      <c r="C169" s="79">
        <f>+'28'!G169</f>
        <v>38</v>
      </c>
      <c r="D169" s="87">
        <v>0</v>
      </c>
      <c r="E169" s="47">
        <f t="shared" si="13"/>
        <v>38</v>
      </c>
      <c r="F169" s="87">
        <v>0</v>
      </c>
      <c r="G169" s="47">
        <f t="shared" si="15"/>
        <v>35</v>
      </c>
      <c r="H169" s="88">
        <v>3</v>
      </c>
      <c r="I169" s="20">
        <v>55</v>
      </c>
      <c r="J169" s="82">
        <f t="shared" si="16"/>
        <v>165</v>
      </c>
      <c r="K169" s="17" t="s">
        <v>16</v>
      </c>
      <c r="L169" s="18">
        <v>0</v>
      </c>
      <c r="M169" s="23">
        <f t="shared" si="14"/>
        <v>165</v>
      </c>
    </row>
    <row r="170" spans="1:13" ht="25.5" x14ac:dyDescent="0.55000000000000004">
      <c r="A170" s="10">
        <v>166</v>
      </c>
      <c r="B170" s="19" t="s">
        <v>181</v>
      </c>
      <c r="C170" s="79">
        <f>+'28'!G170</f>
        <v>0</v>
      </c>
      <c r="D170" s="87">
        <v>0</v>
      </c>
      <c r="E170" s="47">
        <f t="shared" si="13"/>
        <v>0</v>
      </c>
      <c r="F170" s="87">
        <v>0</v>
      </c>
      <c r="G170" s="47">
        <f t="shared" si="15"/>
        <v>0</v>
      </c>
      <c r="H170" s="88"/>
      <c r="I170" s="20">
        <v>85</v>
      </c>
      <c r="J170" s="82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182</v>
      </c>
      <c r="C171" s="79">
        <f>+'28'!G171</f>
        <v>1</v>
      </c>
      <c r="D171" s="87">
        <v>0</v>
      </c>
      <c r="E171" s="47">
        <f t="shared" si="13"/>
        <v>1</v>
      </c>
      <c r="F171" s="87">
        <v>0</v>
      </c>
      <c r="G171" s="47">
        <f t="shared" si="15"/>
        <v>1</v>
      </c>
      <c r="H171" s="88"/>
      <c r="I171" s="20">
        <v>80</v>
      </c>
      <c r="J171" s="82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183</v>
      </c>
      <c r="C172" s="79">
        <f>+'28'!G172</f>
        <v>0</v>
      </c>
      <c r="D172" s="87">
        <v>0</v>
      </c>
      <c r="E172" s="47">
        <f t="shared" si="13"/>
        <v>0</v>
      </c>
      <c r="F172" s="87">
        <v>0</v>
      </c>
      <c r="G172" s="47">
        <f t="shared" si="15"/>
        <v>0</v>
      </c>
      <c r="H172" s="88"/>
      <c r="I172" s="20">
        <v>40</v>
      </c>
      <c r="J172" s="82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184</v>
      </c>
      <c r="C173" s="79">
        <f>+'28'!G173</f>
        <v>0</v>
      </c>
      <c r="D173" s="87">
        <v>0</v>
      </c>
      <c r="E173" s="47">
        <f t="shared" si="13"/>
        <v>0</v>
      </c>
      <c r="F173" s="87">
        <v>0</v>
      </c>
      <c r="G173" s="47">
        <f t="shared" si="15"/>
        <v>0</v>
      </c>
      <c r="H173" s="88"/>
      <c r="I173" s="20">
        <v>120</v>
      </c>
      <c r="J173" s="82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185</v>
      </c>
      <c r="C174" s="79">
        <f>+'28'!G174</f>
        <v>0</v>
      </c>
      <c r="D174" s="87">
        <v>0</v>
      </c>
      <c r="E174" s="47">
        <f t="shared" si="13"/>
        <v>0</v>
      </c>
      <c r="F174" s="87">
        <v>0</v>
      </c>
      <c r="G174" s="47">
        <f t="shared" si="15"/>
        <v>0</v>
      </c>
      <c r="H174" s="88"/>
      <c r="I174" s="20">
        <v>120</v>
      </c>
      <c r="J174" s="82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186</v>
      </c>
      <c r="C175" s="79">
        <f>+'28'!G175</f>
        <v>0</v>
      </c>
      <c r="D175" s="87">
        <v>0</v>
      </c>
      <c r="E175" s="47">
        <f t="shared" si="13"/>
        <v>0</v>
      </c>
      <c r="F175" s="87">
        <v>0</v>
      </c>
      <c r="G175" s="47">
        <f t="shared" si="15"/>
        <v>0</v>
      </c>
      <c r="H175" s="88"/>
      <c r="I175" s="20">
        <v>55</v>
      </c>
      <c r="J175" s="82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187</v>
      </c>
      <c r="C176" s="79">
        <f>+'28'!G176</f>
        <v>0</v>
      </c>
      <c r="D176" s="87">
        <v>0</v>
      </c>
      <c r="E176" s="47">
        <f t="shared" si="13"/>
        <v>0</v>
      </c>
      <c r="F176" s="87">
        <v>0</v>
      </c>
      <c r="G176" s="47">
        <f t="shared" si="15"/>
        <v>0</v>
      </c>
      <c r="H176" s="88"/>
      <c r="I176" s="20">
        <v>50</v>
      </c>
      <c r="J176" s="82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188</v>
      </c>
      <c r="C177" s="79">
        <f>+'28'!G177</f>
        <v>2</v>
      </c>
      <c r="D177" s="87">
        <v>0</v>
      </c>
      <c r="E177" s="47">
        <f t="shared" si="13"/>
        <v>2</v>
      </c>
      <c r="F177" s="87">
        <v>0</v>
      </c>
      <c r="G177" s="47">
        <f t="shared" si="15"/>
        <v>2</v>
      </c>
      <c r="H177" s="88"/>
      <c r="I177" s="20">
        <v>50</v>
      </c>
      <c r="J177" s="82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189</v>
      </c>
      <c r="C178" s="79">
        <f>+'28'!G178</f>
        <v>0</v>
      </c>
      <c r="D178" s="87">
        <v>0</v>
      </c>
      <c r="E178" s="47">
        <f t="shared" si="13"/>
        <v>0</v>
      </c>
      <c r="F178" s="87">
        <v>0</v>
      </c>
      <c r="G178" s="47">
        <f t="shared" si="15"/>
        <v>0</v>
      </c>
      <c r="H178" s="88"/>
      <c r="I178" s="20">
        <v>120</v>
      </c>
      <c r="J178" s="82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190</v>
      </c>
      <c r="C179" s="79">
        <f>+'28'!G179</f>
        <v>2</v>
      </c>
      <c r="D179" s="87">
        <v>0</v>
      </c>
      <c r="E179" s="47">
        <f t="shared" si="13"/>
        <v>2</v>
      </c>
      <c r="F179" s="87">
        <v>0</v>
      </c>
      <c r="G179" s="47">
        <f t="shared" si="15"/>
        <v>1</v>
      </c>
      <c r="H179" s="88">
        <v>1</v>
      </c>
      <c r="I179" s="20">
        <v>120</v>
      </c>
      <c r="J179" s="82">
        <f t="shared" si="16"/>
        <v>120</v>
      </c>
      <c r="K179" s="17" t="s">
        <v>16</v>
      </c>
      <c r="L179" s="18">
        <v>0</v>
      </c>
      <c r="M179" s="23">
        <f t="shared" si="14"/>
        <v>120</v>
      </c>
    </row>
    <row r="180" spans="1:13" ht="25.5" x14ac:dyDescent="0.55000000000000004">
      <c r="A180" s="10">
        <v>176</v>
      </c>
      <c r="B180" s="19" t="s">
        <v>191</v>
      </c>
      <c r="C180" s="79">
        <f>+'28'!G180</f>
        <v>0</v>
      </c>
      <c r="D180" s="87">
        <v>0</v>
      </c>
      <c r="E180" s="47">
        <f t="shared" si="13"/>
        <v>0</v>
      </c>
      <c r="F180" s="87">
        <v>0</v>
      </c>
      <c r="G180" s="47">
        <f t="shared" si="15"/>
        <v>0</v>
      </c>
      <c r="H180" s="88"/>
      <c r="I180" s="20">
        <v>10</v>
      </c>
      <c r="J180" s="82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192</v>
      </c>
      <c r="C181" s="79">
        <f>+'28'!G181</f>
        <v>0</v>
      </c>
      <c r="D181" s="87">
        <v>0</v>
      </c>
      <c r="E181" s="47">
        <f t="shared" si="13"/>
        <v>0</v>
      </c>
      <c r="F181" s="87">
        <v>0</v>
      </c>
      <c r="G181" s="47">
        <f t="shared" si="15"/>
        <v>0</v>
      </c>
      <c r="H181" s="88"/>
      <c r="I181" s="20">
        <v>35</v>
      </c>
      <c r="J181" s="82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193</v>
      </c>
      <c r="C182" s="79">
        <f>+'28'!G182</f>
        <v>0</v>
      </c>
      <c r="D182" s="87">
        <v>0</v>
      </c>
      <c r="E182" s="47">
        <f t="shared" si="13"/>
        <v>0</v>
      </c>
      <c r="F182" s="87">
        <v>0</v>
      </c>
      <c r="G182" s="47">
        <f t="shared" si="15"/>
        <v>0</v>
      </c>
      <c r="H182" s="88"/>
      <c r="I182" s="20">
        <v>10</v>
      </c>
      <c r="J182" s="82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194</v>
      </c>
      <c r="C183" s="79">
        <f>+'28'!G183</f>
        <v>0</v>
      </c>
      <c r="D183" s="87">
        <v>0</v>
      </c>
      <c r="E183" s="47">
        <f t="shared" si="13"/>
        <v>0</v>
      </c>
      <c r="F183" s="87">
        <v>0</v>
      </c>
      <c r="G183" s="47">
        <f t="shared" si="15"/>
        <v>0</v>
      </c>
      <c r="H183" s="88"/>
      <c r="I183" s="20">
        <v>10</v>
      </c>
      <c r="J183" s="82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195</v>
      </c>
      <c r="C184" s="79">
        <f>+'28'!G184</f>
        <v>0</v>
      </c>
      <c r="D184" s="87">
        <v>0</v>
      </c>
      <c r="E184" s="47">
        <f t="shared" si="13"/>
        <v>0</v>
      </c>
      <c r="F184" s="87">
        <v>0</v>
      </c>
      <c r="G184" s="47">
        <f t="shared" si="15"/>
        <v>0</v>
      </c>
      <c r="H184" s="88"/>
      <c r="I184" s="20">
        <v>10</v>
      </c>
      <c r="J184" s="82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196</v>
      </c>
      <c r="C185" s="79">
        <f>+'28'!G185</f>
        <v>0</v>
      </c>
      <c r="D185" s="87">
        <v>0</v>
      </c>
      <c r="E185" s="47">
        <f t="shared" si="13"/>
        <v>0</v>
      </c>
      <c r="F185" s="87">
        <v>0</v>
      </c>
      <c r="G185" s="47">
        <f t="shared" si="15"/>
        <v>0</v>
      </c>
      <c r="H185" s="88"/>
      <c r="I185" s="20">
        <v>10</v>
      </c>
      <c r="J185" s="82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197</v>
      </c>
      <c r="C186" s="79">
        <f>+'28'!G186</f>
        <v>0</v>
      </c>
      <c r="D186" s="87">
        <v>0</v>
      </c>
      <c r="E186" s="47">
        <f t="shared" si="13"/>
        <v>0</v>
      </c>
      <c r="F186" s="87">
        <v>0</v>
      </c>
      <c r="G186" s="47">
        <f t="shared" si="15"/>
        <v>0</v>
      </c>
      <c r="H186" s="88"/>
      <c r="I186" s="20">
        <v>10</v>
      </c>
      <c r="J186" s="82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198</v>
      </c>
      <c r="C187" s="79">
        <f>+'28'!G187</f>
        <v>0</v>
      </c>
      <c r="D187" s="87">
        <v>0</v>
      </c>
      <c r="E187" s="47">
        <f t="shared" si="13"/>
        <v>0</v>
      </c>
      <c r="F187" s="87">
        <v>0</v>
      </c>
      <c r="G187" s="47">
        <f t="shared" si="15"/>
        <v>0</v>
      </c>
      <c r="H187" s="88"/>
      <c r="I187" s="20">
        <v>25</v>
      </c>
      <c r="J187" s="82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249</v>
      </c>
      <c r="C188" s="79">
        <f>+'28'!G188</f>
        <v>0</v>
      </c>
      <c r="D188" s="87">
        <v>0</v>
      </c>
      <c r="E188" s="47">
        <f t="shared" si="13"/>
        <v>0</v>
      </c>
      <c r="F188" s="87">
        <v>0</v>
      </c>
      <c r="G188" s="47">
        <f t="shared" si="15"/>
        <v>0</v>
      </c>
      <c r="H188" s="88"/>
      <c r="I188" s="15">
        <v>50</v>
      </c>
      <c r="J188" s="82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250</v>
      </c>
      <c r="C189" s="79">
        <f>+'28'!G189</f>
        <v>0</v>
      </c>
      <c r="D189" s="87">
        <v>0</v>
      </c>
      <c r="E189" s="47">
        <f t="shared" si="13"/>
        <v>0</v>
      </c>
      <c r="F189" s="87">
        <v>0</v>
      </c>
      <c r="G189" s="47">
        <f t="shared" si="15"/>
        <v>0</v>
      </c>
      <c r="H189" s="88"/>
      <c r="I189" s="15">
        <v>10</v>
      </c>
      <c r="J189" s="82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251</v>
      </c>
      <c r="C190" s="79">
        <f>+'28'!G190</f>
        <v>0</v>
      </c>
      <c r="D190" s="87">
        <v>0</v>
      </c>
      <c r="E190" s="47">
        <f t="shared" ref="E190:E252" si="17">C190+D190</f>
        <v>0</v>
      </c>
      <c r="F190" s="87">
        <v>0</v>
      </c>
      <c r="G190" s="47">
        <f t="shared" si="15"/>
        <v>0</v>
      </c>
      <c r="H190" s="88"/>
      <c r="I190" s="15">
        <v>15</v>
      </c>
      <c r="J190" s="82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252</v>
      </c>
      <c r="C191" s="79">
        <f>+'28'!G191</f>
        <v>0</v>
      </c>
      <c r="D191" s="87">
        <v>0</v>
      </c>
      <c r="E191" s="47">
        <f t="shared" si="17"/>
        <v>0</v>
      </c>
      <c r="F191" s="87">
        <v>0</v>
      </c>
      <c r="G191" s="47">
        <f t="shared" si="15"/>
        <v>0</v>
      </c>
      <c r="H191" s="88"/>
      <c r="I191" s="15">
        <v>25</v>
      </c>
      <c r="J191" s="82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253</v>
      </c>
      <c r="C192" s="79">
        <f>+'28'!G192</f>
        <v>0</v>
      </c>
      <c r="D192" s="87">
        <v>0</v>
      </c>
      <c r="E192" s="47">
        <f t="shared" si="17"/>
        <v>0</v>
      </c>
      <c r="F192" s="87">
        <v>0</v>
      </c>
      <c r="G192" s="47">
        <f t="shared" si="15"/>
        <v>0</v>
      </c>
      <c r="H192" s="88"/>
      <c r="I192" s="15">
        <v>50</v>
      </c>
      <c r="J192" s="82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254</v>
      </c>
      <c r="C193" s="79">
        <f>+'28'!G193</f>
        <v>0</v>
      </c>
      <c r="D193" s="87">
        <v>0</v>
      </c>
      <c r="E193" s="47">
        <f t="shared" si="17"/>
        <v>0</v>
      </c>
      <c r="F193" s="87">
        <v>0</v>
      </c>
      <c r="G193" s="47">
        <f t="shared" si="15"/>
        <v>0</v>
      </c>
      <c r="H193" s="88"/>
      <c r="I193" s="15">
        <v>45</v>
      </c>
      <c r="J193" s="82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255</v>
      </c>
      <c r="C194" s="79">
        <f>+'28'!G194</f>
        <v>0</v>
      </c>
      <c r="D194" s="87">
        <v>0</v>
      </c>
      <c r="E194" s="47">
        <f t="shared" si="17"/>
        <v>0</v>
      </c>
      <c r="F194" s="87">
        <v>0</v>
      </c>
      <c r="G194" s="47">
        <f t="shared" si="15"/>
        <v>0</v>
      </c>
      <c r="H194" s="88"/>
      <c r="I194" s="15">
        <v>50</v>
      </c>
      <c r="J194" s="82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199</v>
      </c>
      <c r="C195" s="79">
        <f>+'28'!G195</f>
        <v>0</v>
      </c>
      <c r="D195" s="87">
        <v>0</v>
      </c>
      <c r="E195" s="47">
        <f t="shared" si="17"/>
        <v>0</v>
      </c>
      <c r="F195" s="87">
        <v>0</v>
      </c>
      <c r="G195" s="47">
        <f t="shared" si="15"/>
        <v>0</v>
      </c>
      <c r="H195" s="88"/>
      <c r="I195" s="15">
        <v>150</v>
      </c>
      <c r="J195" s="82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200</v>
      </c>
      <c r="C196" s="79">
        <f>+'28'!G196</f>
        <v>0</v>
      </c>
      <c r="D196" s="87">
        <v>0</v>
      </c>
      <c r="E196" s="47">
        <f t="shared" si="17"/>
        <v>0</v>
      </c>
      <c r="F196" s="87">
        <v>0</v>
      </c>
      <c r="G196" s="47">
        <f t="shared" si="15"/>
        <v>0</v>
      </c>
      <c r="H196" s="88"/>
      <c r="I196" s="15">
        <v>150</v>
      </c>
      <c r="J196" s="82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201</v>
      </c>
      <c r="C197" s="79">
        <f>+'28'!G197</f>
        <v>0</v>
      </c>
      <c r="D197" s="87">
        <v>0</v>
      </c>
      <c r="E197" s="47">
        <f t="shared" si="17"/>
        <v>0</v>
      </c>
      <c r="F197" s="87">
        <v>0</v>
      </c>
      <c r="G197" s="47">
        <f t="shared" si="15"/>
        <v>0</v>
      </c>
      <c r="H197" s="88"/>
      <c r="I197" s="15">
        <v>150</v>
      </c>
      <c r="J197" s="82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256</v>
      </c>
      <c r="C198" s="79">
        <f>+'28'!G198</f>
        <v>0</v>
      </c>
      <c r="D198" s="87">
        <v>0</v>
      </c>
      <c r="E198" s="47">
        <f t="shared" si="17"/>
        <v>0</v>
      </c>
      <c r="F198" s="87">
        <v>0</v>
      </c>
      <c r="G198" s="47">
        <f t="shared" si="15"/>
        <v>0</v>
      </c>
      <c r="H198" s="88"/>
      <c r="I198" s="15">
        <v>55</v>
      </c>
      <c r="J198" s="82">
        <f t="shared" si="16"/>
        <v>0</v>
      </c>
      <c r="K198" s="17" t="s">
        <v>16</v>
      </c>
      <c r="L198" s="18">
        <v>0</v>
      </c>
      <c r="M198" s="23">
        <f t="shared" si="14"/>
        <v>0</v>
      </c>
    </row>
    <row r="199" spans="1:13" ht="25.5" x14ac:dyDescent="0.55000000000000004">
      <c r="A199" s="10">
        <v>195</v>
      </c>
      <c r="B199" s="19" t="s">
        <v>257</v>
      </c>
      <c r="C199" s="79">
        <f>+'28'!G199</f>
        <v>0</v>
      </c>
      <c r="D199" s="87">
        <v>0</v>
      </c>
      <c r="E199" s="47">
        <f t="shared" si="17"/>
        <v>0</v>
      </c>
      <c r="F199" s="87">
        <v>0</v>
      </c>
      <c r="G199" s="47">
        <f t="shared" si="15"/>
        <v>0</v>
      </c>
      <c r="H199" s="88"/>
      <c r="I199" s="15">
        <v>30</v>
      </c>
      <c r="J199" s="82">
        <f t="shared" si="16"/>
        <v>0</v>
      </c>
      <c r="K199" s="17" t="s">
        <v>16</v>
      </c>
      <c r="L199" s="18">
        <v>0</v>
      </c>
      <c r="M199" s="23">
        <f t="shared" ref="M199:M254" si="18">SUM(J199-L199)</f>
        <v>0</v>
      </c>
    </row>
    <row r="200" spans="1:13" ht="25.5" x14ac:dyDescent="0.55000000000000004">
      <c r="A200" s="10">
        <v>196</v>
      </c>
      <c r="B200" s="19" t="s">
        <v>258</v>
      </c>
      <c r="C200" s="79">
        <f>+'28'!G200</f>
        <v>0</v>
      </c>
      <c r="D200" s="87">
        <v>0</v>
      </c>
      <c r="E200" s="47">
        <f t="shared" si="17"/>
        <v>0</v>
      </c>
      <c r="F200" s="87">
        <v>0</v>
      </c>
      <c r="G200" s="47">
        <f t="shared" si="15"/>
        <v>0</v>
      </c>
      <c r="H200" s="88"/>
      <c r="I200" s="15">
        <v>30</v>
      </c>
      <c r="J200" s="82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259</v>
      </c>
      <c r="C201" s="79">
        <f>+'28'!G201</f>
        <v>0</v>
      </c>
      <c r="D201" s="87">
        <v>0</v>
      </c>
      <c r="E201" s="47">
        <f t="shared" si="17"/>
        <v>0</v>
      </c>
      <c r="F201" s="87">
        <v>0</v>
      </c>
      <c r="G201" s="47">
        <f t="shared" si="15"/>
        <v>0</v>
      </c>
      <c r="H201" s="88"/>
      <c r="I201" s="15">
        <v>30</v>
      </c>
      <c r="J201" s="82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260</v>
      </c>
      <c r="C202" s="79">
        <f>+'28'!G202</f>
        <v>0</v>
      </c>
      <c r="D202" s="87">
        <v>0</v>
      </c>
      <c r="E202" s="47">
        <f t="shared" si="17"/>
        <v>0</v>
      </c>
      <c r="F202" s="87">
        <v>0</v>
      </c>
      <c r="G202" s="47">
        <f t="shared" si="15"/>
        <v>0</v>
      </c>
      <c r="H202" s="88"/>
      <c r="I202" s="15">
        <v>30</v>
      </c>
      <c r="J202" s="82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1" t="s">
        <v>261</v>
      </c>
      <c r="C203" s="79">
        <f>+'28'!G203</f>
        <v>0</v>
      </c>
      <c r="D203" s="87">
        <v>0</v>
      </c>
      <c r="E203" s="47">
        <f t="shared" si="17"/>
        <v>0</v>
      </c>
      <c r="F203" s="87">
        <v>0</v>
      </c>
      <c r="G203" s="47">
        <f t="shared" si="15"/>
        <v>0</v>
      </c>
      <c r="H203" s="88"/>
      <c r="I203" s="20">
        <v>30</v>
      </c>
      <c r="J203" s="82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1" t="s">
        <v>262</v>
      </c>
      <c r="C204" s="79">
        <f>+'28'!G204</f>
        <v>0</v>
      </c>
      <c r="D204" s="87">
        <v>0</v>
      </c>
      <c r="E204" s="47">
        <f t="shared" si="17"/>
        <v>0</v>
      </c>
      <c r="F204" s="87">
        <v>0</v>
      </c>
      <c r="G204" s="47">
        <f t="shared" si="15"/>
        <v>0</v>
      </c>
      <c r="H204" s="88"/>
      <c r="I204" s="20">
        <v>30</v>
      </c>
      <c r="J204" s="82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1" t="s">
        <v>263</v>
      </c>
      <c r="C205" s="79">
        <f>+'28'!G205</f>
        <v>0</v>
      </c>
      <c r="D205" s="87">
        <v>0</v>
      </c>
      <c r="E205" s="47">
        <f t="shared" si="17"/>
        <v>0</v>
      </c>
      <c r="F205" s="87">
        <v>0</v>
      </c>
      <c r="G205" s="47">
        <f t="shared" si="15"/>
        <v>0</v>
      </c>
      <c r="H205" s="88"/>
      <c r="I205" s="20">
        <v>50</v>
      </c>
      <c r="J205" s="82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1" t="s">
        <v>264</v>
      </c>
      <c r="C206" s="79">
        <f>+'28'!G206</f>
        <v>0</v>
      </c>
      <c r="D206" s="87">
        <v>0</v>
      </c>
      <c r="E206" s="47">
        <f t="shared" si="17"/>
        <v>0</v>
      </c>
      <c r="F206" s="87">
        <v>0</v>
      </c>
      <c r="G206" s="47">
        <f t="shared" si="15"/>
        <v>0</v>
      </c>
      <c r="H206" s="88"/>
      <c r="I206" s="20">
        <v>100</v>
      </c>
      <c r="J206" s="82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1" t="s">
        <v>265</v>
      </c>
      <c r="C207" s="79">
        <f>+'28'!G207</f>
        <v>0</v>
      </c>
      <c r="D207" s="87">
        <v>0</v>
      </c>
      <c r="E207" s="47">
        <f t="shared" si="17"/>
        <v>0</v>
      </c>
      <c r="F207" s="87">
        <v>0</v>
      </c>
      <c r="G207" s="47">
        <f t="shared" si="15"/>
        <v>0</v>
      </c>
      <c r="H207" s="88"/>
      <c r="I207" s="20">
        <v>100</v>
      </c>
      <c r="J207" s="82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1" t="s">
        <v>266</v>
      </c>
      <c r="C208" s="79">
        <f>+'28'!G208</f>
        <v>0</v>
      </c>
      <c r="D208" s="87">
        <v>0</v>
      </c>
      <c r="E208" s="47">
        <f t="shared" si="17"/>
        <v>0</v>
      </c>
      <c r="F208" s="87">
        <v>0</v>
      </c>
      <c r="G208" s="47">
        <f t="shared" si="15"/>
        <v>0</v>
      </c>
      <c r="H208" s="88"/>
      <c r="I208" s="20">
        <v>100</v>
      </c>
      <c r="J208" s="82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1" t="s">
        <v>267</v>
      </c>
      <c r="C209" s="79">
        <f>+'28'!G209</f>
        <v>0</v>
      </c>
      <c r="D209" s="87">
        <v>0</v>
      </c>
      <c r="E209" s="47">
        <f t="shared" si="17"/>
        <v>0</v>
      </c>
      <c r="F209" s="87">
        <v>0</v>
      </c>
      <c r="G209" s="47">
        <f t="shared" si="15"/>
        <v>0</v>
      </c>
      <c r="H209" s="88"/>
      <c r="I209" s="20">
        <v>100</v>
      </c>
      <c r="J209" s="82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1" t="s">
        <v>268</v>
      </c>
      <c r="C210" s="79">
        <f>+'28'!G210</f>
        <v>0</v>
      </c>
      <c r="D210" s="87">
        <v>0</v>
      </c>
      <c r="E210" s="47">
        <f t="shared" si="17"/>
        <v>0</v>
      </c>
      <c r="F210" s="87">
        <v>0</v>
      </c>
      <c r="G210" s="47">
        <f t="shared" si="15"/>
        <v>0</v>
      </c>
      <c r="H210" s="88"/>
      <c r="I210" s="20">
        <v>250</v>
      </c>
      <c r="J210" s="82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1" t="s">
        <v>269</v>
      </c>
      <c r="C211" s="79">
        <f>+'28'!G211</f>
        <v>0</v>
      </c>
      <c r="D211" s="87">
        <v>0</v>
      </c>
      <c r="E211" s="47">
        <f t="shared" si="17"/>
        <v>0</v>
      </c>
      <c r="F211" s="87">
        <v>0</v>
      </c>
      <c r="G211" s="47">
        <f t="shared" si="15"/>
        <v>0</v>
      </c>
      <c r="H211" s="88"/>
      <c r="I211" s="20">
        <v>250</v>
      </c>
      <c r="J211" s="82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1" t="s">
        <v>270</v>
      </c>
      <c r="C212" s="79">
        <f>+'28'!G212</f>
        <v>0</v>
      </c>
      <c r="D212" s="87">
        <v>0</v>
      </c>
      <c r="E212" s="47">
        <f t="shared" si="17"/>
        <v>0</v>
      </c>
      <c r="F212" s="87">
        <v>0</v>
      </c>
      <c r="G212" s="47">
        <f t="shared" si="15"/>
        <v>0</v>
      </c>
      <c r="H212" s="88"/>
      <c r="I212" s="20">
        <v>250</v>
      </c>
      <c r="J212" s="82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1" t="s">
        <v>271</v>
      </c>
      <c r="C213" s="79">
        <f>+'28'!G213</f>
        <v>0</v>
      </c>
      <c r="D213" s="87">
        <v>0</v>
      </c>
      <c r="E213" s="47">
        <f t="shared" si="17"/>
        <v>0</v>
      </c>
      <c r="F213" s="87">
        <v>0</v>
      </c>
      <c r="G213" s="47">
        <f t="shared" si="15"/>
        <v>0</v>
      </c>
      <c r="H213" s="88"/>
      <c r="I213" s="20">
        <v>50</v>
      </c>
      <c r="J213" s="82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1" t="s">
        <v>273</v>
      </c>
      <c r="C214" s="79">
        <f>+'28'!G214</f>
        <v>0</v>
      </c>
      <c r="D214" s="87">
        <v>0</v>
      </c>
      <c r="E214" s="47">
        <f t="shared" si="17"/>
        <v>0</v>
      </c>
      <c r="F214" s="87">
        <v>0</v>
      </c>
      <c r="G214" s="47">
        <f t="shared" si="15"/>
        <v>0</v>
      </c>
      <c r="H214" s="88"/>
      <c r="I214" s="20">
        <v>50</v>
      </c>
      <c r="J214" s="82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1" t="s">
        <v>274</v>
      </c>
      <c r="C215" s="79">
        <f>+'28'!G215</f>
        <v>0</v>
      </c>
      <c r="D215" s="87">
        <v>0</v>
      </c>
      <c r="E215" s="47">
        <f t="shared" si="17"/>
        <v>0</v>
      </c>
      <c r="F215" s="87">
        <v>0</v>
      </c>
      <c r="G215" s="47">
        <f t="shared" si="15"/>
        <v>0</v>
      </c>
      <c r="H215" s="88"/>
      <c r="I215" s="20">
        <v>50</v>
      </c>
      <c r="J215" s="82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1" t="s">
        <v>242</v>
      </c>
      <c r="C216" s="79">
        <f>+'28'!G216</f>
        <v>0</v>
      </c>
      <c r="D216" s="87">
        <v>0</v>
      </c>
      <c r="E216" s="47">
        <f t="shared" si="17"/>
        <v>0</v>
      </c>
      <c r="F216" s="87">
        <v>0</v>
      </c>
      <c r="G216" s="47">
        <f t="shared" si="15"/>
        <v>0</v>
      </c>
      <c r="H216" s="88"/>
      <c r="I216" s="20">
        <v>35</v>
      </c>
      <c r="J216" s="82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1" t="s">
        <v>275</v>
      </c>
      <c r="C217" s="79">
        <f>+'28'!G217</f>
        <v>0</v>
      </c>
      <c r="D217" s="87">
        <v>0</v>
      </c>
      <c r="E217" s="47">
        <f t="shared" si="17"/>
        <v>0</v>
      </c>
      <c r="F217" s="87">
        <v>0</v>
      </c>
      <c r="G217" s="47">
        <f t="shared" si="15"/>
        <v>0</v>
      </c>
      <c r="H217" s="88"/>
      <c r="I217" s="20">
        <v>199</v>
      </c>
      <c r="J217" s="82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1" t="s">
        <v>283</v>
      </c>
      <c r="C218" s="79"/>
      <c r="D218" s="87">
        <v>0</v>
      </c>
      <c r="E218" s="47">
        <f t="shared" si="17"/>
        <v>0</v>
      </c>
      <c r="F218" s="87">
        <v>0</v>
      </c>
      <c r="G218" s="47">
        <f t="shared" si="15"/>
        <v>0</v>
      </c>
      <c r="H218" s="88"/>
      <c r="I218" s="20">
        <v>25</v>
      </c>
      <c r="J218" s="82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1" t="s">
        <v>284</v>
      </c>
      <c r="C219" s="79"/>
      <c r="D219" s="87">
        <v>0</v>
      </c>
      <c r="E219" s="47">
        <f t="shared" si="17"/>
        <v>0</v>
      </c>
      <c r="F219" s="87">
        <v>0</v>
      </c>
      <c r="G219" s="47">
        <f t="shared" si="15"/>
        <v>0</v>
      </c>
      <c r="H219" s="88"/>
      <c r="I219" s="20">
        <v>25</v>
      </c>
      <c r="J219" s="82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1" t="s">
        <v>314</v>
      </c>
      <c r="C220" s="79">
        <f>+'28'!G220</f>
        <v>0</v>
      </c>
      <c r="D220" s="87">
        <v>0</v>
      </c>
      <c r="E220" s="47">
        <f t="shared" si="17"/>
        <v>0</v>
      </c>
      <c r="F220" s="87">
        <v>0</v>
      </c>
      <c r="G220" s="47">
        <f t="shared" si="15"/>
        <v>0</v>
      </c>
      <c r="H220" s="88"/>
      <c r="I220" s="20">
        <v>35</v>
      </c>
      <c r="J220" s="82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1" t="s">
        <v>326</v>
      </c>
      <c r="C221" s="79">
        <f>+'28'!G221</f>
        <v>1</v>
      </c>
      <c r="D221" s="87">
        <v>0</v>
      </c>
      <c r="E221" s="47">
        <f t="shared" si="17"/>
        <v>1</v>
      </c>
      <c r="F221" s="87">
        <v>0</v>
      </c>
      <c r="G221" s="47">
        <f t="shared" si="15"/>
        <v>1</v>
      </c>
      <c r="H221" s="88"/>
      <c r="I221" s="20">
        <v>55</v>
      </c>
      <c r="J221" s="82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1" t="s">
        <v>327</v>
      </c>
      <c r="C222" s="79">
        <f>+'28'!G222</f>
        <v>6</v>
      </c>
      <c r="D222" s="87">
        <v>0</v>
      </c>
      <c r="E222" s="47">
        <f t="shared" si="17"/>
        <v>6</v>
      </c>
      <c r="F222" s="87">
        <v>0</v>
      </c>
      <c r="G222" s="47">
        <f t="shared" si="15"/>
        <v>4</v>
      </c>
      <c r="H222" s="88">
        <v>2</v>
      </c>
      <c r="I222" s="20">
        <v>40</v>
      </c>
      <c r="J222" s="82">
        <f t="shared" si="16"/>
        <v>80</v>
      </c>
      <c r="K222" s="17" t="s">
        <v>16</v>
      </c>
      <c r="L222" s="18">
        <v>0</v>
      </c>
      <c r="M222" s="23">
        <f t="shared" si="18"/>
        <v>80</v>
      </c>
    </row>
    <row r="223" spans="1:13" ht="25.5" x14ac:dyDescent="0.55000000000000004">
      <c r="A223" s="10">
        <v>219</v>
      </c>
      <c r="B223" s="11"/>
      <c r="C223" s="79">
        <f>+'28'!G223</f>
        <v>0</v>
      </c>
      <c r="D223" s="87">
        <v>0</v>
      </c>
      <c r="E223" s="47">
        <f t="shared" si="17"/>
        <v>0</v>
      </c>
      <c r="F223" s="87">
        <v>0</v>
      </c>
      <c r="G223" s="47">
        <f t="shared" si="15"/>
        <v>0</v>
      </c>
      <c r="H223" s="88"/>
      <c r="I223" s="20"/>
      <c r="J223" s="82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1"/>
      <c r="C224" s="79">
        <f>+'28'!G224</f>
        <v>0</v>
      </c>
      <c r="D224" s="87">
        <v>0</v>
      </c>
      <c r="E224" s="47">
        <f t="shared" si="17"/>
        <v>0</v>
      </c>
      <c r="F224" s="87">
        <v>0</v>
      </c>
      <c r="G224" s="47">
        <f t="shared" si="15"/>
        <v>0</v>
      </c>
      <c r="H224" s="88"/>
      <c r="I224" s="20"/>
      <c r="J224" s="82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1"/>
      <c r="C225" s="79">
        <f>+'28'!G225</f>
        <v>0</v>
      </c>
      <c r="D225" s="87">
        <v>0</v>
      </c>
      <c r="E225" s="47">
        <f t="shared" si="17"/>
        <v>0</v>
      </c>
      <c r="F225" s="87">
        <v>0</v>
      </c>
      <c r="G225" s="47">
        <f t="shared" si="15"/>
        <v>0</v>
      </c>
      <c r="H225" s="88"/>
      <c r="I225" s="20"/>
      <c r="J225" s="82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1"/>
      <c r="C226" s="79">
        <f>+'28'!G226</f>
        <v>0</v>
      </c>
      <c r="D226" s="87">
        <v>0</v>
      </c>
      <c r="E226" s="47">
        <f t="shared" si="17"/>
        <v>0</v>
      </c>
      <c r="F226" s="87">
        <v>0</v>
      </c>
      <c r="G226" s="47">
        <f t="shared" si="15"/>
        <v>0</v>
      </c>
      <c r="H226" s="88"/>
      <c r="I226" s="20"/>
      <c r="J226" s="82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1"/>
      <c r="C227" s="79">
        <f>+'28'!G227</f>
        <v>0</v>
      </c>
      <c r="D227" s="87">
        <v>0</v>
      </c>
      <c r="E227" s="47">
        <f t="shared" si="17"/>
        <v>0</v>
      </c>
      <c r="F227" s="87">
        <v>0</v>
      </c>
      <c r="G227" s="47">
        <f t="shared" si="15"/>
        <v>0</v>
      </c>
      <c r="H227" s="88"/>
      <c r="I227" s="20"/>
      <c r="J227" s="82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1"/>
      <c r="C228" s="79">
        <f>+'28'!G228</f>
        <v>0</v>
      </c>
      <c r="D228" s="87">
        <v>0</v>
      </c>
      <c r="E228" s="47">
        <f t="shared" si="17"/>
        <v>0</v>
      </c>
      <c r="F228" s="87">
        <v>0</v>
      </c>
      <c r="G228" s="47">
        <f t="shared" ref="G228:G254" si="19">+E228-F228-H228</f>
        <v>0</v>
      </c>
      <c r="H228" s="88"/>
      <c r="I228" s="20"/>
      <c r="J228" s="82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1"/>
      <c r="C229" s="79">
        <f>+'28'!G229</f>
        <v>0</v>
      </c>
      <c r="D229" s="87">
        <v>0</v>
      </c>
      <c r="E229" s="47">
        <f t="shared" si="17"/>
        <v>0</v>
      </c>
      <c r="F229" s="87">
        <v>0</v>
      </c>
      <c r="G229" s="47">
        <f t="shared" si="19"/>
        <v>0</v>
      </c>
      <c r="H229" s="88"/>
      <c r="I229" s="20"/>
      <c r="J229" s="82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1"/>
      <c r="C230" s="79">
        <f>+'28'!G230</f>
        <v>0</v>
      </c>
      <c r="D230" s="87">
        <v>0</v>
      </c>
      <c r="E230" s="47">
        <f t="shared" si="17"/>
        <v>0</v>
      </c>
      <c r="F230" s="87">
        <v>0</v>
      </c>
      <c r="G230" s="47">
        <f t="shared" si="19"/>
        <v>0</v>
      </c>
      <c r="H230" s="88"/>
      <c r="I230" s="20"/>
      <c r="J230" s="82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1"/>
      <c r="C231" s="79">
        <f>+'28'!G231</f>
        <v>0</v>
      </c>
      <c r="D231" s="87">
        <v>0</v>
      </c>
      <c r="E231" s="47">
        <f t="shared" si="17"/>
        <v>0</v>
      </c>
      <c r="F231" s="87">
        <v>0</v>
      </c>
      <c r="G231" s="47">
        <f t="shared" si="19"/>
        <v>0</v>
      </c>
      <c r="H231" s="88"/>
      <c r="I231" s="20"/>
      <c r="J231" s="82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1"/>
      <c r="C232" s="79">
        <f>+'28'!G232</f>
        <v>0</v>
      </c>
      <c r="D232" s="87">
        <v>0</v>
      </c>
      <c r="E232" s="47">
        <f t="shared" si="17"/>
        <v>0</v>
      </c>
      <c r="F232" s="87">
        <v>0</v>
      </c>
      <c r="G232" s="47">
        <f t="shared" si="19"/>
        <v>0</v>
      </c>
      <c r="H232" s="88"/>
      <c r="I232" s="20"/>
      <c r="J232" s="82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1"/>
      <c r="C233" s="79">
        <f>+'28'!G233</f>
        <v>0</v>
      </c>
      <c r="D233" s="87">
        <v>0</v>
      </c>
      <c r="E233" s="47">
        <f t="shared" si="17"/>
        <v>0</v>
      </c>
      <c r="F233" s="87">
        <v>0</v>
      </c>
      <c r="G233" s="47">
        <f t="shared" si="19"/>
        <v>0</v>
      </c>
      <c r="H233" s="88"/>
      <c r="I233" s="20"/>
      <c r="J233" s="82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1"/>
      <c r="C234" s="79">
        <f>+'28'!G234</f>
        <v>0</v>
      </c>
      <c r="D234" s="87">
        <v>0</v>
      </c>
      <c r="E234" s="47">
        <f t="shared" si="17"/>
        <v>0</v>
      </c>
      <c r="F234" s="87">
        <v>0</v>
      </c>
      <c r="G234" s="47">
        <f t="shared" si="19"/>
        <v>0</v>
      </c>
      <c r="H234" s="88"/>
      <c r="I234" s="20"/>
      <c r="J234" s="82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1"/>
      <c r="C235" s="79">
        <f>+'28'!G235</f>
        <v>0</v>
      </c>
      <c r="D235" s="87">
        <v>0</v>
      </c>
      <c r="E235" s="47">
        <f t="shared" si="17"/>
        <v>0</v>
      </c>
      <c r="F235" s="87">
        <v>0</v>
      </c>
      <c r="G235" s="47">
        <f t="shared" si="19"/>
        <v>0</v>
      </c>
      <c r="H235" s="88"/>
      <c r="I235" s="20"/>
      <c r="J235" s="82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1"/>
      <c r="C236" s="79">
        <f>+'28'!G236</f>
        <v>0</v>
      </c>
      <c r="D236" s="87">
        <v>0</v>
      </c>
      <c r="E236" s="47">
        <f t="shared" si="17"/>
        <v>0</v>
      </c>
      <c r="F236" s="87">
        <v>0</v>
      </c>
      <c r="G236" s="47">
        <f t="shared" si="19"/>
        <v>0</v>
      </c>
      <c r="H236" s="88"/>
      <c r="I236" s="20"/>
      <c r="J236" s="82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1"/>
      <c r="C237" s="79">
        <f>+'28'!G237</f>
        <v>0</v>
      </c>
      <c r="D237" s="87">
        <v>0</v>
      </c>
      <c r="E237" s="47">
        <f t="shared" si="17"/>
        <v>0</v>
      </c>
      <c r="F237" s="87">
        <v>0</v>
      </c>
      <c r="G237" s="47">
        <f t="shared" si="19"/>
        <v>0</v>
      </c>
      <c r="H237" s="88"/>
      <c r="I237" s="20"/>
      <c r="J237" s="82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1"/>
      <c r="C238" s="79">
        <f>+'28'!G238</f>
        <v>0</v>
      </c>
      <c r="D238" s="87">
        <v>0</v>
      </c>
      <c r="E238" s="47">
        <f t="shared" si="17"/>
        <v>0</v>
      </c>
      <c r="F238" s="87">
        <v>0</v>
      </c>
      <c r="G238" s="47">
        <f t="shared" si="19"/>
        <v>0</v>
      </c>
      <c r="H238" s="88"/>
      <c r="I238" s="20"/>
      <c r="J238" s="82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1"/>
      <c r="C239" s="79">
        <f>+'28'!G239</f>
        <v>0</v>
      </c>
      <c r="D239" s="87">
        <v>0</v>
      </c>
      <c r="E239" s="47">
        <f t="shared" si="17"/>
        <v>0</v>
      </c>
      <c r="F239" s="87">
        <v>0</v>
      </c>
      <c r="G239" s="47">
        <f t="shared" si="19"/>
        <v>0</v>
      </c>
      <c r="H239" s="88"/>
      <c r="I239" s="20"/>
      <c r="J239" s="82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1"/>
      <c r="C240" s="79">
        <f>+'28'!G240</f>
        <v>0</v>
      </c>
      <c r="D240" s="87">
        <v>0</v>
      </c>
      <c r="E240" s="47">
        <f t="shared" si="17"/>
        <v>0</v>
      </c>
      <c r="F240" s="87">
        <v>0</v>
      </c>
      <c r="G240" s="47">
        <f t="shared" si="19"/>
        <v>0</v>
      </c>
      <c r="H240" s="88"/>
      <c r="I240" s="20"/>
      <c r="J240" s="82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1"/>
      <c r="C241" s="79">
        <f>+'28'!G241</f>
        <v>0</v>
      </c>
      <c r="D241" s="87">
        <v>0</v>
      </c>
      <c r="E241" s="47">
        <f t="shared" si="17"/>
        <v>0</v>
      </c>
      <c r="F241" s="87">
        <v>0</v>
      </c>
      <c r="G241" s="47">
        <f t="shared" si="19"/>
        <v>0</v>
      </c>
      <c r="H241" s="88"/>
      <c r="I241" s="20"/>
      <c r="J241" s="82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1"/>
      <c r="C242" s="79">
        <f>+'28'!G242</f>
        <v>0</v>
      </c>
      <c r="D242" s="87">
        <v>0</v>
      </c>
      <c r="E242" s="47">
        <f t="shared" si="17"/>
        <v>0</v>
      </c>
      <c r="F242" s="87">
        <v>0</v>
      </c>
      <c r="G242" s="47">
        <f t="shared" si="19"/>
        <v>0</v>
      </c>
      <c r="H242" s="88"/>
      <c r="I242" s="20"/>
      <c r="J242" s="82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1"/>
      <c r="C243" s="79">
        <f>+'28'!G243</f>
        <v>0</v>
      </c>
      <c r="D243" s="87">
        <v>0</v>
      </c>
      <c r="E243" s="47">
        <f t="shared" si="17"/>
        <v>0</v>
      </c>
      <c r="F243" s="87">
        <v>0</v>
      </c>
      <c r="G243" s="47">
        <f t="shared" si="19"/>
        <v>0</v>
      </c>
      <c r="H243" s="88"/>
      <c r="I243" s="20"/>
      <c r="J243" s="82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1"/>
      <c r="C244" s="79">
        <f>+'28'!G244</f>
        <v>0</v>
      </c>
      <c r="D244" s="87">
        <v>0</v>
      </c>
      <c r="E244" s="47">
        <f t="shared" si="17"/>
        <v>0</v>
      </c>
      <c r="F244" s="87">
        <v>0</v>
      </c>
      <c r="G244" s="47">
        <f t="shared" si="19"/>
        <v>0</v>
      </c>
      <c r="H244" s="88"/>
      <c r="I244" s="20"/>
      <c r="J244" s="82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1"/>
      <c r="C245" s="79">
        <f>+'28'!G245</f>
        <v>0</v>
      </c>
      <c r="D245" s="87">
        <v>0</v>
      </c>
      <c r="E245" s="47">
        <f t="shared" si="17"/>
        <v>0</v>
      </c>
      <c r="F245" s="87">
        <v>0</v>
      </c>
      <c r="G245" s="47">
        <f t="shared" si="19"/>
        <v>0</v>
      </c>
      <c r="H245" s="88"/>
      <c r="I245" s="20"/>
      <c r="J245" s="82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1"/>
      <c r="C246" s="79">
        <f>+'28'!G246</f>
        <v>0</v>
      </c>
      <c r="D246" s="87">
        <v>0</v>
      </c>
      <c r="E246" s="47">
        <f t="shared" si="17"/>
        <v>0</v>
      </c>
      <c r="F246" s="87">
        <v>0</v>
      </c>
      <c r="G246" s="47">
        <f t="shared" si="19"/>
        <v>0</v>
      </c>
      <c r="H246" s="88"/>
      <c r="I246" s="20"/>
      <c r="J246" s="82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1"/>
      <c r="C247" s="79">
        <f>+'28'!G247</f>
        <v>0</v>
      </c>
      <c r="D247" s="87">
        <v>0</v>
      </c>
      <c r="E247" s="47">
        <f t="shared" si="17"/>
        <v>0</v>
      </c>
      <c r="F247" s="87">
        <v>0</v>
      </c>
      <c r="G247" s="47">
        <f t="shared" si="19"/>
        <v>0</v>
      </c>
      <c r="H247" s="88"/>
      <c r="I247" s="20"/>
      <c r="J247" s="82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1"/>
      <c r="C248" s="79">
        <f>+'28'!G248</f>
        <v>0</v>
      </c>
      <c r="D248" s="87">
        <v>0</v>
      </c>
      <c r="E248" s="47">
        <f t="shared" si="17"/>
        <v>0</v>
      </c>
      <c r="F248" s="87">
        <v>0</v>
      </c>
      <c r="G248" s="47">
        <f t="shared" si="19"/>
        <v>0</v>
      </c>
      <c r="H248" s="88"/>
      <c r="I248" s="20"/>
      <c r="J248" s="82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1"/>
      <c r="C249" s="79">
        <f>+'28'!G249</f>
        <v>0</v>
      </c>
      <c r="D249" s="87">
        <v>0</v>
      </c>
      <c r="E249" s="47">
        <f t="shared" si="17"/>
        <v>0</v>
      </c>
      <c r="F249" s="87">
        <v>0</v>
      </c>
      <c r="G249" s="47">
        <f t="shared" si="19"/>
        <v>0</v>
      </c>
      <c r="H249" s="88"/>
      <c r="I249" s="20"/>
      <c r="J249" s="82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1"/>
      <c r="C250" s="79">
        <f>+'28'!G250</f>
        <v>0</v>
      </c>
      <c r="D250" s="87">
        <v>0</v>
      </c>
      <c r="E250" s="47">
        <f t="shared" si="17"/>
        <v>0</v>
      </c>
      <c r="F250" s="87">
        <v>0</v>
      </c>
      <c r="G250" s="47">
        <f t="shared" si="19"/>
        <v>0</v>
      </c>
      <c r="H250" s="88"/>
      <c r="I250" s="20"/>
      <c r="J250" s="82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1"/>
      <c r="C251" s="79">
        <f>+'28'!G251</f>
        <v>0</v>
      </c>
      <c r="D251" s="87">
        <v>0</v>
      </c>
      <c r="E251" s="47">
        <f t="shared" si="17"/>
        <v>0</v>
      </c>
      <c r="F251" s="87">
        <v>0</v>
      </c>
      <c r="G251" s="47">
        <f t="shared" si="19"/>
        <v>0</v>
      </c>
      <c r="H251" s="88"/>
      <c r="I251" s="20"/>
      <c r="J251" s="82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1"/>
      <c r="C252" s="79">
        <f>+'28'!G252</f>
        <v>0</v>
      </c>
      <c r="D252" s="87">
        <v>0</v>
      </c>
      <c r="E252" s="47">
        <f t="shared" si="17"/>
        <v>0</v>
      </c>
      <c r="F252" s="87">
        <v>0</v>
      </c>
      <c r="G252" s="47">
        <f t="shared" si="19"/>
        <v>0</v>
      </c>
      <c r="H252" s="88"/>
      <c r="I252" s="20"/>
      <c r="J252" s="82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1"/>
      <c r="C253" s="79">
        <f>+'28'!G253</f>
        <v>0</v>
      </c>
      <c r="D253" s="87">
        <v>0</v>
      </c>
      <c r="E253" s="47">
        <f t="shared" ref="E253:E254" si="21">C253+D253</f>
        <v>0</v>
      </c>
      <c r="F253" s="87">
        <v>0</v>
      </c>
      <c r="G253" s="47">
        <f t="shared" si="19"/>
        <v>0</v>
      </c>
      <c r="H253" s="88"/>
      <c r="I253" s="20"/>
      <c r="J253" s="82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1"/>
      <c r="C254" s="79">
        <f>+'28'!G254</f>
        <v>0</v>
      </c>
      <c r="D254" s="87">
        <v>0</v>
      </c>
      <c r="E254" s="47">
        <f t="shared" si="21"/>
        <v>0</v>
      </c>
      <c r="F254" s="87">
        <v>0</v>
      </c>
      <c r="G254" s="47">
        <f t="shared" si="19"/>
        <v>0</v>
      </c>
      <c r="H254" s="88"/>
      <c r="I254" s="20"/>
      <c r="J254" s="82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6215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3" t="s">
        <v>213</v>
      </c>
      <c r="N255" s="143"/>
    </row>
    <row r="256" spans="1:14" ht="25.5" customHeight="1" x14ac:dyDescent="0.5">
      <c r="A256" s="1"/>
      <c r="E256" s="24"/>
      <c r="F256" s="25"/>
      <c r="G256" s="24"/>
      <c r="H256" s="148" t="s">
        <v>212</v>
      </c>
      <c r="I256" s="149"/>
      <c r="J256" s="30">
        <f>+X138</f>
        <v>0</v>
      </c>
      <c r="K256" s="27"/>
      <c r="L256" s="29"/>
    </row>
    <row r="257" spans="1:33" ht="25.5" x14ac:dyDescent="0.55000000000000004">
      <c r="A257" s="1"/>
      <c r="E257" s="31"/>
      <c r="G257" s="31"/>
      <c r="H257" s="32"/>
      <c r="I257" s="150" t="s">
        <v>202</v>
      </c>
      <c r="J257" s="150"/>
      <c r="K257" s="33">
        <f>SUM(J5:J256)</f>
        <v>6415</v>
      </c>
    </row>
    <row r="258" spans="1:33" ht="25.5" x14ac:dyDescent="0.55000000000000004">
      <c r="A258" s="1"/>
      <c r="E258" s="31"/>
      <c r="G258" s="31"/>
      <c r="I258" s="140" t="s">
        <v>203</v>
      </c>
      <c r="J258" s="141"/>
      <c r="K258" s="36">
        <v>15</v>
      </c>
    </row>
    <row r="259" spans="1:33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2500</v>
      </c>
      <c r="L259" s="2">
        <v>325</v>
      </c>
      <c r="M259" s="2">
        <v>100</v>
      </c>
      <c r="N259" s="2">
        <v>50</v>
      </c>
      <c r="O259" s="2">
        <v>50</v>
      </c>
      <c r="P259" s="2">
        <v>50</v>
      </c>
      <c r="Q259" s="2">
        <v>50</v>
      </c>
      <c r="R259" s="2">
        <v>150</v>
      </c>
      <c r="S259" s="2">
        <v>175</v>
      </c>
      <c r="T259" s="2">
        <v>100</v>
      </c>
      <c r="U259" s="2">
        <v>50</v>
      </c>
      <c r="V259" s="2">
        <v>105</v>
      </c>
      <c r="W259" s="2">
        <v>100</v>
      </c>
      <c r="X259" s="2">
        <v>50</v>
      </c>
      <c r="Y259" s="2">
        <v>100</v>
      </c>
      <c r="Z259" s="2">
        <v>100</v>
      </c>
      <c r="AA259" s="2">
        <v>50</v>
      </c>
      <c r="AB259" s="2">
        <v>210</v>
      </c>
      <c r="AC259" s="2">
        <v>50</v>
      </c>
      <c r="AD259" s="2">
        <v>100</v>
      </c>
      <c r="AE259" s="2">
        <v>280</v>
      </c>
      <c r="AF259" s="2">
        <v>200</v>
      </c>
      <c r="AG259" s="2">
        <v>55</v>
      </c>
    </row>
    <row r="260" spans="1:33" ht="25.5" x14ac:dyDescent="0.55000000000000004">
      <c r="A260" s="1"/>
      <c r="E260" s="31"/>
      <c r="G260" s="31"/>
      <c r="I260" s="140" t="s">
        <v>205</v>
      </c>
      <c r="J260" s="141"/>
      <c r="K260" s="36">
        <v>0</v>
      </c>
    </row>
    <row r="261" spans="1:33" ht="25.5" x14ac:dyDescent="0.55000000000000004">
      <c r="A261" s="1"/>
      <c r="E261" s="31"/>
      <c r="G261" s="31"/>
      <c r="I261" s="140" t="s">
        <v>206</v>
      </c>
      <c r="J261" s="141"/>
      <c r="K261" s="36">
        <v>0</v>
      </c>
    </row>
    <row r="262" spans="1:33" ht="25.5" x14ac:dyDescent="0.55000000000000004">
      <c r="A262" s="1"/>
      <c r="E262" s="31"/>
      <c r="G262" s="31"/>
      <c r="I262" s="140" t="s">
        <v>207</v>
      </c>
      <c r="J262" s="141"/>
      <c r="K262" s="37">
        <f>SUM(L5:L255)</f>
        <v>200</v>
      </c>
    </row>
    <row r="263" spans="1:33" ht="25.5" x14ac:dyDescent="0.55000000000000004">
      <c r="A263" s="1"/>
      <c r="E263" s="31"/>
      <c r="G263" s="31"/>
      <c r="I263" s="140" t="s">
        <v>208</v>
      </c>
      <c r="J263" s="141"/>
      <c r="K263" s="33">
        <f>K257-K258-K259-K261-K262</f>
        <v>3700</v>
      </c>
    </row>
    <row r="264" spans="1:33" ht="25.5" x14ac:dyDescent="0.55000000000000004">
      <c r="A264" s="1"/>
      <c r="E264" s="31"/>
      <c r="G264" s="31"/>
      <c r="I264" s="140" t="s">
        <v>209</v>
      </c>
      <c r="J264" s="141"/>
      <c r="K264" s="37">
        <v>3700</v>
      </c>
    </row>
    <row r="265" spans="1:33" ht="25.5" x14ac:dyDescent="0.55000000000000004">
      <c r="A265" s="1"/>
      <c r="E265" s="31"/>
      <c r="G265" s="31"/>
      <c r="I265" s="140" t="s">
        <v>210</v>
      </c>
      <c r="J265" s="141"/>
      <c r="K265" s="33">
        <f>+K264-K263</f>
        <v>0</v>
      </c>
    </row>
    <row r="266" spans="1:33" ht="25.5" x14ac:dyDescent="0.55000000000000004">
      <c r="G266" s="2"/>
      <c r="I266" s="140" t="s">
        <v>211</v>
      </c>
      <c r="J266" s="141"/>
      <c r="K266" s="33">
        <f>+K264-K263</f>
        <v>0</v>
      </c>
    </row>
    <row r="267" spans="1:33" x14ac:dyDescent="0.5">
      <c r="G267" s="2"/>
      <c r="I267" s="2"/>
    </row>
    <row r="268" spans="1:33" ht="25.5" x14ac:dyDescent="0.55000000000000004">
      <c r="G268" s="2"/>
      <c r="I268" s="105" t="s">
        <v>312</v>
      </c>
    </row>
    <row r="269" spans="1:33" x14ac:dyDescent="0.5">
      <c r="G269" s="2"/>
      <c r="I269" s="2"/>
    </row>
    <row r="270" spans="1:33" x14ac:dyDescent="0.5">
      <c r="G270" s="2"/>
      <c r="I270" s="2"/>
    </row>
    <row r="271" spans="1:33" x14ac:dyDescent="0.5">
      <c r="G271" s="2"/>
      <c r="I271" s="2"/>
    </row>
    <row r="272" spans="1:33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72FF-EED6-4E48-878E-D09AD6FF6A71}">
  <sheetPr>
    <tabColor theme="7" tint="-0.249977111117893"/>
  </sheetPr>
  <dimension ref="A1:AB341"/>
  <sheetViews>
    <sheetView zoomScaleNormal="100" workbookViewId="0">
      <pane xSplit="7" ySplit="4" topLeftCell="I251" activePane="bottomRight" state="frozen"/>
      <selection activeCell="B20" sqref="B20"/>
      <selection pane="topRight" activeCell="B20" sqref="B20"/>
      <selection pane="bottomLeft" activeCell="B20" sqref="B20"/>
      <selection pane="bottomRight" activeCell="K265" sqref="K265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8" x14ac:dyDescent="0.5">
      <c r="A1" s="1"/>
      <c r="G1" s="2"/>
      <c r="I1" s="2"/>
    </row>
    <row r="2" spans="1:28" s="3" customFormat="1" ht="29.25" x14ac:dyDescent="0.6">
      <c r="A2" s="137" t="s">
        <v>247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8" s="5" customFormat="1" ht="26.25" x14ac:dyDescent="0.55000000000000004">
      <c r="A3" s="139" t="s">
        <v>1</v>
      </c>
      <c r="B3" s="151" t="s">
        <v>2</v>
      </c>
      <c r="C3" s="139" t="s">
        <v>3</v>
      </c>
      <c r="D3" s="139" t="s">
        <v>4</v>
      </c>
      <c r="E3" s="139" t="s">
        <v>5</v>
      </c>
      <c r="F3" s="85" t="s">
        <v>6</v>
      </c>
      <c r="G3" s="139" t="s">
        <v>7</v>
      </c>
      <c r="H3" s="142" t="s">
        <v>8</v>
      </c>
      <c r="I3" s="142"/>
      <c r="J3" s="142"/>
      <c r="K3" s="139" t="s">
        <v>9</v>
      </c>
      <c r="L3" s="144" t="s">
        <v>10</v>
      </c>
      <c r="O3" s="139" t="s">
        <v>1</v>
      </c>
      <c r="P3" s="139" t="s">
        <v>2</v>
      </c>
      <c r="Q3" s="139" t="s">
        <v>3</v>
      </c>
      <c r="R3" s="139" t="s">
        <v>4</v>
      </c>
      <c r="S3" s="139" t="s">
        <v>5</v>
      </c>
      <c r="T3" s="85" t="s">
        <v>6</v>
      </c>
      <c r="U3" s="139" t="s">
        <v>7</v>
      </c>
      <c r="V3" s="142" t="s">
        <v>8</v>
      </c>
      <c r="W3" s="142"/>
      <c r="X3" s="142"/>
      <c r="Y3" s="139" t="s">
        <v>9</v>
      </c>
      <c r="Z3" s="144" t="s">
        <v>10</v>
      </c>
    </row>
    <row r="4" spans="1:28" s="5" customFormat="1" ht="26.25" x14ac:dyDescent="0.55000000000000004">
      <c r="A4" s="139"/>
      <c r="B4" s="151"/>
      <c r="C4" s="139"/>
      <c r="D4" s="139"/>
      <c r="E4" s="139"/>
      <c r="F4" s="85" t="s">
        <v>11</v>
      </c>
      <c r="G4" s="139"/>
      <c r="H4" s="85" t="s">
        <v>12</v>
      </c>
      <c r="I4" s="86" t="s">
        <v>13</v>
      </c>
      <c r="J4" s="85" t="s">
        <v>14</v>
      </c>
      <c r="K4" s="139"/>
      <c r="L4" s="144"/>
      <c r="O4" s="139"/>
      <c r="P4" s="139"/>
      <c r="Q4" s="139"/>
      <c r="R4" s="139"/>
      <c r="S4" s="139"/>
      <c r="T4" s="85" t="s">
        <v>11</v>
      </c>
      <c r="U4" s="139"/>
      <c r="V4" s="85" t="s">
        <v>12</v>
      </c>
      <c r="W4" s="86" t="s">
        <v>13</v>
      </c>
      <c r="X4" s="85" t="s">
        <v>14</v>
      </c>
      <c r="Y4" s="139"/>
      <c r="Z4" s="144"/>
      <c r="AB4" s="5" t="s">
        <v>2</v>
      </c>
    </row>
    <row r="5" spans="1:28" ht="25.5" x14ac:dyDescent="0.55000000000000004">
      <c r="A5" s="10">
        <v>1</v>
      </c>
      <c r="B5" s="19" t="s">
        <v>15</v>
      </c>
      <c r="C5" s="79">
        <f>+'29'!G5</f>
        <v>9</v>
      </c>
      <c r="D5" s="87">
        <v>0</v>
      </c>
      <c r="E5" s="47">
        <f t="shared" ref="E5:E125" si="0">C5+D5</f>
        <v>9</v>
      </c>
      <c r="F5" s="87">
        <v>0</v>
      </c>
      <c r="G5" s="47">
        <f>+E5-F5-H5</f>
        <v>7</v>
      </c>
      <c r="H5" s="88">
        <v>2</v>
      </c>
      <c r="I5" s="15">
        <v>50</v>
      </c>
      <c r="J5" s="82">
        <f>+I5*H5</f>
        <v>100</v>
      </c>
      <c r="K5" s="17" t="s">
        <v>16</v>
      </c>
      <c r="L5" s="18">
        <v>50</v>
      </c>
      <c r="M5" s="23">
        <f>SUM(J5-L5)</f>
        <v>50</v>
      </c>
      <c r="O5" s="10">
        <v>1</v>
      </c>
      <c r="P5" s="19"/>
      <c r="Q5" s="47">
        <v>0</v>
      </c>
      <c r="R5" s="87">
        <v>0</v>
      </c>
      <c r="S5" s="47">
        <f t="shared" ref="S5:S14" si="1">Q5+R5</f>
        <v>0</v>
      </c>
      <c r="T5" s="87">
        <v>0</v>
      </c>
      <c r="U5" s="47">
        <f t="shared" ref="U5:U14" si="2">S5-T5-V5</f>
        <v>0</v>
      </c>
      <c r="V5" s="88">
        <v>0</v>
      </c>
      <c r="W5" s="22"/>
      <c r="X5" s="44">
        <f t="shared" ref="X5:X14" si="3">V5*W5</f>
        <v>0</v>
      </c>
      <c r="Y5" s="17" t="s">
        <v>16</v>
      </c>
      <c r="Z5" s="18">
        <v>0</v>
      </c>
      <c r="AB5" s="2" t="s">
        <v>317</v>
      </c>
    </row>
    <row r="6" spans="1:28" ht="25.5" x14ac:dyDescent="0.55000000000000004">
      <c r="A6" s="10">
        <v>2</v>
      </c>
      <c r="B6" s="19" t="s">
        <v>17</v>
      </c>
      <c r="C6" s="79">
        <f>+'29'!G6</f>
        <v>13</v>
      </c>
      <c r="D6" s="87">
        <v>0</v>
      </c>
      <c r="E6" s="47">
        <f t="shared" si="0"/>
        <v>13</v>
      </c>
      <c r="F6" s="87">
        <v>0</v>
      </c>
      <c r="G6" s="47">
        <f t="shared" ref="G6:G100" si="4">+E6-F6-H6</f>
        <v>8</v>
      </c>
      <c r="H6" s="88">
        <v>5</v>
      </c>
      <c r="I6" s="15">
        <v>100</v>
      </c>
      <c r="J6" s="82">
        <f t="shared" ref="J6:J100" si="5">+I6*H6</f>
        <v>500</v>
      </c>
      <c r="K6" s="17" t="s">
        <v>16</v>
      </c>
      <c r="L6" s="18">
        <v>0</v>
      </c>
      <c r="M6" s="23">
        <f t="shared" ref="M6:M69" si="6">SUM(J6-L6)</f>
        <v>500</v>
      </c>
      <c r="O6" s="10">
        <v>2</v>
      </c>
      <c r="P6" s="19"/>
      <c r="Q6" s="47">
        <v>0</v>
      </c>
      <c r="R6" s="87">
        <v>0</v>
      </c>
      <c r="S6" s="47">
        <f t="shared" si="1"/>
        <v>0</v>
      </c>
      <c r="T6" s="87">
        <v>0</v>
      </c>
      <c r="U6" s="47">
        <f t="shared" si="2"/>
        <v>0</v>
      </c>
      <c r="V6" s="88">
        <v>0</v>
      </c>
      <c r="W6" s="22"/>
      <c r="X6" s="44">
        <f t="shared" si="3"/>
        <v>0</v>
      </c>
      <c r="Y6" s="17" t="s">
        <v>16</v>
      </c>
      <c r="Z6" s="18">
        <v>0</v>
      </c>
      <c r="AB6" s="2" t="s">
        <v>318</v>
      </c>
    </row>
    <row r="7" spans="1:28" ht="25.5" x14ac:dyDescent="0.55000000000000004">
      <c r="A7" s="10">
        <v>3</v>
      </c>
      <c r="B7" s="19" t="s">
        <v>18</v>
      </c>
      <c r="C7" s="79">
        <f>+'29'!G7</f>
        <v>0</v>
      </c>
      <c r="D7" s="87">
        <v>0</v>
      </c>
      <c r="E7" s="47">
        <f>C7+D7</f>
        <v>0</v>
      </c>
      <c r="F7" s="87">
        <v>0</v>
      </c>
      <c r="G7" s="47">
        <f t="shared" si="4"/>
        <v>0</v>
      </c>
      <c r="H7" s="88"/>
      <c r="I7" s="15">
        <v>50</v>
      </c>
      <c r="J7" s="8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7">
        <v>0</v>
      </c>
      <c r="S7" s="47">
        <f t="shared" si="1"/>
        <v>0</v>
      </c>
      <c r="T7" s="87">
        <v>0</v>
      </c>
      <c r="U7" s="47">
        <f t="shared" si="2"/>
        <v>0</v>
      </c>
      <c r="V7" s="88">
        <v>0</v>
      </c>
      <c r="W7" s="22"/>
      <c r="X7" s="44">
        <f t="shared" si="3"/>
        <v>0</v>
      </c>
      <c r="Y7" s="17" t="s">
        <v>16</v>
      </c>
      <c r="Z7" s="18">
        <v>0</v>
      </c>
      <c r="AB7" s="2" t="s">
        <v>319</v>
      </c>
    </row>
    <row r="8" spans="1:28" ht="25.5" x14ac:dyDescent="0.55000000000000004">
      <c r="A8" s="10">
        <v>4</v>
      </c>
      <c r="B8" s="19" t="s">
        <v>19</v>
      </c>
      <c r="C8" s="79">
        <f>+'29'!G8</f>
        <v>0</v>
      </c>
      <c r="D8" s="87">
        <v>0</v>
      </c>
      <c r="E8" s="47">
        <f>C8+D8</f>
        <v>0</v>
      </c>
      <c r="F8" s="87">
        <v>0</v>
      </c>
      <c r="G8" s="47">
        <f t="shared" si="4"/>
        <v>0</v>
      </c>
      <c r="H8" s="88"/>
      <c r="I8" s="15">
        <v>100</v>
      </c>
      <c r="J8" s="8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7">
        <v>0</v>
      </c>
      <c r="S8" s="47">
        <f t="shared" si="1"/>
        <v>0</v>
      </c>
      <c r="T8" s="87">
        <v>0</v>
      </c>
      <c r="U8" s="47">
        <f t="shared" si="2"/>
        <v>0</v>
      </c>
      <c r="V8" s="88">
        <v>0</v>
      </c>
      <c r="W8" s="22"/>
      <c r="X8" s="44">
        <f t="shared" si="3"/>
        <v>0</v>
      </c>
      <c r="Y8" s="17" t="s">
        <v>16</v>
      </c>
      <c r="Z8" s="18">
        <v>0</v>
      </c>
      <c r="AB8" s="2" t="s">
        <v>320</v>
      </c>
    </row>
    <row r="9" spans="1:28" ht="25.5" x14ac:dyDescent="0.55000000000000004">
      <c r="A9" s="10">
        <v>5</v>
      </c>
      <c r="B9" s="19" t="s">
        <v>20</v>
      </c>
      <c r="C9" s="79">
        <f>+'29'!G9</f>
        <v>0</v>
      </c>
      <c r="D9" s="87">
        <v>0</v>
      </c>
      <c r="E9" s="47">
        <f>C9+D9</f>
        <v>0</v>
      </c>
      <c r="F9" s="87">
        <v>0</v>
      </c>
      <c r="G9" s="47">
        <f t="shared" si="4"/>
        <v>0</v>
      </c>
      <c r="H9" s="88"/>
      <c r="I9" s="15">
        <v>12</v>
      </c>
      <c r="J9" s="8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7">
        <v>0</v>
      </c>
      <c r="S9" s="47">
        <f t="shared" si="1"/>
        <v>0</v>
      </c>
      <c r="T9" s="87">
        <v>0</v>
      </c>
      <c r="U9" s="47">
        <f t="shared" si="2"/>
        <v>0</v>
      </c>
      <c r="V9" s="88">
        <v>0</v>
      </c>
      <c r="W9" s="22"/>
      <c r="X9" s="44">
        <f t="shared" si="3"/>
        <v>0</v>
      </c>
      <c r="Y9" s="17" t="s">
        <v>16</v>
      </c>
      <c r="Z9" s="18">
        <v>0</v>
      </c>
      <c r="AB9" s="2" t="s">
        <v>307</v>
      </c>
    </row>
    <row r="10" spans="1:28" ht="25.5" x14ac:dyDescent="0.55000000000000004">
      <c r="A10" s="10">
        <v>6</v>
      </c>
      <c r="B10" s="19" t="s">
        <v>21</v>
      </c>
      <c r="C10" s="79">
        <f>+'29'!G10</f>
        <v>0</v>
      </c>
      <c r="D10" s="87">
        <v>0</v>
      </c>
      <c r="E10" s="47">
        <f>C10+D10</f>
        <v>0</v>
      </c>
      <c r="F10" s="87">
        <v>0</v>
      </c>
      <c r="G10" s="47">
        <f t="shared" si="4"/>
        <v>0</v>
      </c>
      <c r="H10" s="88"/>
      <c r="I10" s="15">
        <v>15</v>
      </c>
      <c r="J10" s="8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7">
        <v>0</v>
      </c>
      <c r="S10" s="47">
        <f t="shared" si="1"/>
        <v>0</v>
      </c>
      <c r="T10" s="87">
        <v>0</v>
      </c>
      <c r="U10" s="47">
        <f t="shared" si="2"/>
        <v>0</v>
      </c>
      <c r="V10" s="88">
        <v>0</v>
      </c>
      <c r="W10" s="22"/>
      <c r="X10" s="44">
        <f t="shared" si="3"/>
        <v>0</v>
      </c>
      <c r="Y10" s="17" t="s">
        <v>16</v>
      </c>
      <c r="Z10" s="18">
        <v>0</v>
      </c>
      <c r="AB10" s="2" t="s">
        <v>311</v>
      </c>
    </row>
    <row r="11" spans="1:28" ht="25.5" x14ac:dyDescent="0.55000000000000004">
      <c r="A11" s="10">
        <v>7</v>
      </c>
      <c r="B11" s="19" t="s">
        <v>22</v>
      </c>
      <c r="C11" s="79">
        <f>+'29'!G11</f>
        <v>0</v>
      </c>
      <c r="D11" s="87">
        <v>0</v>
      </c>
      <c r="E11" s="47">
        <f t="shared" si="0"/>
        <v>0</v>
      </c>
      <c r="F11" s="87">
        <v>0</v>
      </c>
      <c r="G11" s="47">
        <f t="shared" si="4"/>
        <v>0</v>
      </c>
      <c r="H11" s="88"/>
      <c r="I11" s="15">
        <v>40</v>
      </c>
      <c r="J11" s="8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7">
        <v>0</v>
      </c>
      <c r="S11" s="47">
        <f t="shared" si="1"/>
        <v>0</v>
      </c>
      <c r="T11" s="87">
        <v>0</v>
      </c>
      <c r="U11" s="47">
        <f t="shared" si="2"/>
        <v>0</v>
      </c>
      <c r="V11" s="88">
        <v>0</v>
      </c>
      <c r="W11" s="22"/>
      <c r="X11" s="44">
        <f t="shared" si="3"/>
        <v>0</v>
      </c>
      <c r="Y11" s="17" t="s">
        <v>16</v>
      </c>
      <c r="Z11" s="18">
        <v>0</v>
      </c>
      <c r="AB11" s="2" t="s">
        <v>321</v>
      </c>
    </row>
    <row r="12" spans="1:28" ht="25.5" x14ac:dyDescent="0.55000000000000004">
      <c r="A12" s="10">
        <v>8</v>
      </c>
      <c r="B12" s="19" t="s">
        <v>23</v>
      </c>
      <c r="C12" s="79">
        <f>+'29'!G12</f>
        <v>5</v>
      </c>
      <c r="D12" s="87">
        <v>0</v>
      </c>
      <c r="E12" s="47">
        <f t="shared" si="0"/>
        <v>5</v>
      </c>
      <c r="F12" s="87">
        <v>0</v>
      </c>
      <c r="G12" s="47">
        <f t="shared" si="4"/>
        <v>5</v>
      </c>
      <c r="H12" s="88"/>
      <c r="I12" s="20">
        <v>50</v>
      </c>
      <c r="J12" s="8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7">
        <v>0</v>
      </c>
      <c r="S12" s="47">
        <f t="shared" si="1"/>
        <v>0</v>
      </c>
      <c r="T12" s="87">
        <v>0</v>
      </c>
      <c r="U12" s="47">
        <f t="shared" si="2"/>
        <v>0</v>
      </c>
      <c r="V12" s="88">
        <v>0</v>
      </c>
      <c r="W12" s="22"/>
      <c r="X12" s="44">
        <f t="shared" si="3"/>
        <v>0</v>
      </c>
      <c r="Y12" s="17" t="s">
        <v>16</v>
      </c>
      <c r="Z12" s="18">
        <v>0</v>
      </c>
      <c r="AB12" s="2" t="s">
        <v>289</v>
      </c>
    </row>
    <row r="13" spans="1:28" ht="25.5" x14ac:dyDescent="0.55000000000000004">
      <c r="A13" s="10">
        <v>9</v>
      </c>
      <c r="B13" s="19" t="s">
        <v>24</v>
      </c>
      <c r="C13" s="79">
        <f>+'29'!G13</f>
        <v>0</v>
      </c>
      <c r="D13" s="87">
        <v>0</v>
      </c>
      <c r="E13" s="47">
        <f>C13+D13</f>
        <v>0</v>
      </c>
      <c r="F13" s="87">
        <v>0</v>
      </c>
      <c r="G13" s="47">
        <f t="shared" si="4"/>
        <v>0</v>
      </c>
      <c r="H13" s="88"/>
      <c r="I13" s="20">
        <v>55</v>
      </c>
      <c r="J13" s="8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7">
        <v>0</v>
      </c>
      <c r="S13" s="47">
        <f t="shared" si="1"/>
        <v>0</v>
      </c>
      <c r="T13" s="87">
        <v>0</v>
      </c>
      <c r="U13" s="47">
        <f t="shared" si="2"/>
        <v>0</v>
      </c>
      <c r="V13" s="88">
        <v>0</v>
      </c>
      <c r="W13" s="22"/>
      <c r="X13" s="44">
        <f t="shared" si="3"/>
        <v>0</v>
      </c>
      <c r="Y13" s="17" t="s">
        <v>16</v>
      </c>
      <c r="Z13" s="18">
        <v>0</v>
      </c>
      <c r="AB13" s="2" t="s">
        <v>322</v>
      </c>
    </row>
    <row r="14" spans="1:28" ht="25.5" x14ac:dyDescent="0.55000000000000004">
      <c r="A14" s="10">
        <v>10</v>
      </c>
      <c r="B14" s="19" t="s">
        <v>25</v>
      </c>
      <c r="C14" s="79">
        <f>+'29'!G14</f>
        <v>4</v>
      </c>
      <c r="D14" s="87">
        <v>0</v>
      </c>
      <c r="E14" s="47">
        <f t="shared" si="0"/>
        <v>4</v>
      </c>
      <c r="F14" s="87">
        <v>0</v>
      </c>
      <c r="G14" s="47">
        <f t="shared" si="4"/>
        <v>3</v>
      </c>
      <c r="H14" s="88">
        <v>1</v>
      </c>
      <c r="I14" s="20">
        <v>65</v>
      </c>
      <c r="J14" s="82">
        <f t="shared" si="5"/>
        <v>65</v>
      </c>
      <c r="K14" s="17" t="s">
        <v>16</v>
      </c>
      <c r="L14" s="18">
        <v>0</v>
      </c>
      <c r="M14" s="23">
        <f t="shared" si="6"/>
        <v>65</v>
      </c>
      <c r="O14" s="10">
        <v>10</v>
      </c>
      <c r="P14" s="19"/>
      <c r="Q14" s="47">
        <v>0</v>
      </c>
      <c r="R14" s="87">
        <v>0</v>
      </c>
      <c r="S14" s="47">
        <f t="shared" si="1"/>
        <v>0</v>
      </c>
      <c r="T14" s="87">
        <v>0</v>
      </c>
      <c r="U14" s="47">
        <f t="shared" si="2"/>
        <v>0</v>
      </c>
      <c r="V14" s="88">
        <v>0</v>
      </c>
      <c r="W14" s="22"/>
      <c r="X14" s="44">
        <f t="shared" si="3"/>
        <v>0</v>
      </c>
      <c r="Y14" s="17" t="s">
        <v>16</v>
      </c>
      <c r="Z14" s="18">
        <v>0</v>
      </c>
      <c r="AB14" s="2" t="s">
        <v>306</v>
      </c>
    </row>
    <row r="15" spans="1:28" ht="25.5" x14ac:dyDescent="0.55000000000000004">
      <c r="A15" s="10">
        <v>11</v>
      </c>
      <c r="B15" s="19" t="s">
        <v>26</v>
      </c>
      <c r="C15" s="79">
        <f>+'29'!G15</f>
        <v>0</v>
      </c>
      <c r="D15" s="87">
        <v>0</v>
      </c>
      <c r="E15" s="47">
        <f t="shared" si="0"/>
        <v>0</v>
      </c>
      <c r="F15" s="87">
        <v>0</v>
      </c>
      <c r="G15" s="47">
        <f t="shared" si="4"/>
        <v>0</v>
      </c>
      <c r="H15" s="88"/>
      <c r="I15" s="20">
        <v>50</v>
      </c>
      <c r="J15" s="8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7">
        <v>0</v>
      </c>
      <c r="S15" s="47">
        <f t="shared" ref="S15:S29" si="7">Q15+R15</f>
        <v>0</v>
      </c>
      <c r="T15" s="87">
        <v>0</v>
      </c>
      <c r="U15" s="47">
        <f t="shared" ref="U15:U29" si="8">S15-T15-V15</f>
        <v>0</v>
      </c>
      <c r="V15" s="88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8" ht="25.5" x14ac:dyDescent="0.55000000000000004">
      <c r="A16" s="10">
        <v>12</v>
      </c>
      <c r="B16" s="19" t="s">
        <v>27</v>
      </c>
      <c r="C16" s="79">
        <f>+'29'!G16</f>
        <v>0</v>
      </c>
      <c r="D16" s="87">
        <v>0</v>
      </c>
      <c r="E16" s="47">
        <f t="shared" si="0"/>
        <v>0</v>
      </c>
      <c r="F16" s="87">
        <v>0</v>
      </c>
      <c r="G16" s="47">
        <f t="shared" si="4"/>
        <v>0</v>
      </c>
      <c r="H16" s="88"/>
      <c r="I16" s="15">
        <v>50</v>
      </c>
      <c r="J16" s="8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7">
        <v>0</v>
      </c>
      <c r="S16" s="47">
        <f t="shared" si="7"/>
        <v>0</v>
      </c>
      <c r="T16" s="87">
        <v>0</v>
      </c>
      <c r="U16" s="47">
        <f t="shared" si="8"/>
        <v>0</v>
      </c>
      <c r="V16" s="88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+'29'!G17</f>
        <v>5</v>
      </c>
      <c r="D17" s="87">
        <v>0</v>
      </c>
      <c r="E17" s="47">
        <f t="shared" si="0"/>
        <v>5</v>
      </c>
      <c r="F17" s="87">
        <v>0</v>
      </c>
      <c r="G17" s="47">
        <f t="shared" si="4"/>
        <v>2</v>
      </c>
      <c r="H17" s="88">
        <v>3</v>
      </c>
      <c r="I17" s="15">
        <v>50</v>
      </c>
      <c r="J17" s="82">
        <f t="shared" si="5"/>
        <v>150</v>
      </c>
      <c r="K17" s="17" t="s">
        <v>16</v>
      </c>
      <c r="L17" s="18">
        <v>50</v>
      </c>
      <c r="M17" s="23">
        <f t="shared" si="6"/>
        <v>100</v>
      </c>
      <c r="O17" s="10">
        <v>13</v>
      </c>
      <c r="P17" s="19"/>
      <c r="Q17" s="47">
        <v>0</v>
      </c>
      <c r="R17" s="87">
        <v>0</v>
      </c>
      <c r="S17" s="47">
        <f t="shared" si="7"/>
        <v>0</v>
      </c>
      <c r="T17" s="87">
        <v>0</v>
      </c>
      <c r="U17" s="47">
        <f t="shared" si="8"/>
        <v>0</v>
      </c>
      <c r="V17" s="88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+'29'!G18</f>
        <v>0</v>
      </c>
      <c r="D18" s="87">
        <v>0</v>
      </c>
      <c r="E18" s="47">
        <f t="shared" si="0"/>
        <v>0</v>
      </c>
      <c r="F18" s="87">
        <v>0</v>
      </c>
      <c r="G18" s="47">
        <f t="shared" si="4"/>
        <v>0</v>
      </c>
      <c r="H18" s="88"/>
      <c r="I18" s="20">
        <v>50</v>
      </c>
      <c r="J18" s="8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7">
        <v>0</v>
      </c>
      <c r="S18" s="47">
        <f t="shared" si="7"/>
        <v>0</v>
      </c>
      <c r="T18" s="87">
        <v>0</v>
      </c>
      <c r="U18" s="47">
        <f t="shared" si="8"/>
        <v>0</v>
      </c>
      <c r="V18" s="88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329</v>
      </c>
      <c r="C19" s="79">
        <f>+'29'!G19</f>
        <v>7</v>
      </c>
      <c r="D19" s="87">
        <v>0</v>
      </c>
      <c r="E19" s="47">
        <f t="shared" si="0"/>
        <v>7</v>
      </c>
      <c r="F19" s="87">
        <v>0</v>
      </c>
      <c r="G19" s="47">
        <f t="shared" si="4"/>
        <v>7</v>
      </c>
      <c r="H19" s="88"/>
      <c r="I19" s="15">
        <v>50</v>
      </c>
      <c r="J19" s="8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7">
        <v>0</v>
      </c>
      <c r="S19" s="47">
        <f t="shared" si="7"/>
        <v>0</v>
      </c>
      <c r="T19" s="87">
        <v>0</v>
      </c>
      <c r="U19" s="47">
        <f t="shared" si="8"/>
        <v>0</v>
      </c>
      <c r="V19" s="88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+'29'!G20</f>
        <v>0</v>
      </c>
      <c r="D20" s="87">
        <v>0</v>
      </c>
      <c r="E20" s="47">
        <f t="shared" si="0"/>
        <v>0</v>
      </c>
      <c r="F20" s="87">
        <v>0</v>
      </c>
      <c r="G20" s="47">
        <f t="shared" si="4"/>
        <v>0</v>
      </c>
      <c r="H20" s="88"/>
      <c r="I20" s="15">
        <v>50</v>
      </c>
      <c r="J20" s="8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7">
        <v>0</v>
      </c>
      <c r="S20" s="47">
        <f t="shared" si="7"/>
        <v>0</v>
      </c>
      <c r="T20" s="87">
        <v>0</v>
      </c>
      <c r="U20" s="47">
        <f t="shared" si="8"/>
        <v>0</v>
      </c>
      <c r="V20" s="88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+'29'!G21</f>
        <v>0</v>
      </c>
      <c r="D21" s="87">
        <v>0</v>
      </c>
      <c r="E21" s="47">
        <f t="shared" si="0"/>
        <v>0</v>
      </c>
      <c r="F21" s="87">
        <v>0</v>
      </c>
      <c r="G21" s="47">
        <f t="shared" si="4"/>
        <v>0</v>
      </c>
      <c r="H21" s="88"/>
      <c r="I21" s="15">
        <v>50</v>
      </c>
      <c r="J21" s="8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7">
        <v>0</v>
      </c>
      <c r="S21" s="47">
        <f t="shared" si="7"/>
        <v>0</v>
      </c>
      <c r="T21" s="87">
        <v>0</v>
      </c>
      <c r="U21" s="47">
        <f t="shared" si="8"/>
        <v>0</v>
      </c>
      <c r="V21" s="88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+'29'!G22</f>
        <v>5</v>
      </c>
      <c r="D22" s="87">
        <v>0</v>
      </c>
      <c r="E22" s="47">
        <f t="shared" si="0"/>
        <v>5</v>
      </c>
      <c r="F22" s="87">
        <v>0</v>
      </c>
      <c r="G22" s="47">
        <f t="shared" si="4"/>
        <v>4</v>
      </c>
      <c r="H22" s="88">
        <v>1</v>
      </c>
      <c r="I22" s="15">
        <v>85</v>
      </c>
      <c r="J22" s="82">
        <f t="shared" si="5"/>
        <v>85</v>
      </c>
      <c r="K22" s="17" t="s">
        <v>16</v>
      </c>
      <c r="L22" s="18">
        <v>0</v>
      </c>
      <c r="M22" s="23">
        <f t="shared" si="6"/>
        <v>85</v>
      </c>
      <c r="O22" s="10">
        <v>18</v>
      </c>
      <c r="P22" s="19"/>
      <c r="Q22" s="47">
        <v>0</v>
      </c>
      <c r="R22" s="87">
        <v>0</v>
      </c>
      <c r="S22" s="47">
        <f t="shared" si="7"/>
        <v>0</v>
      </c>
      <c r="T22" s="87">
        <v>0</v>
      </c>
      <c r="U22" s="47">
        <f t="shared" si="8"/>
        <v>0</v>
      </c>
      <c r="V22" s="88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+'29'!G23</f>
        <v>23</v>
      </c>
      <c r="D23" s="87">
        <v>0</v>
      </c>
      <c r="E23" s="47">
        <f t="shared" si="0"/>
        <v>23</v>
      </c>
      <c r="F23" s="87">
        <v>0</v>
      </c>
      <c r="G23" s="47">
        <f t="shared" si="4"/>
        <v>19</v>
      </c>
      <c r="H23" s="88">
        <v>4</v>
      </c>
      <c r="I23" s="15">
        <v>100</v>
      </c>
      <c r="J23" s="82">
        <f t="shared" si="5"/>
        <v>400</v>
      </c>
      <c r="K23" s="17" t="s">
        <v>16</v>
      </c>
      <c r="L23" s="18">
        <v>0</v>
      </c>
      <c r="M23" s="23">
        <f t="shared" si="6"/>
        <v>400</v>
      </c>
      <c r="O23" s="10">
        <v>19</v>
      </c>
      <c r="P23" s="19"/>
      <c r="Q23" s="47">
        <v>0</v>
      </c>
      <c r="R23" s="87">
        <v>0</v>
      </c>
      <c r="S23" s="47">
        <f t="shared" si="7"/>
        <v>0</v>
      </c>
      <c r="T23" s="87">
        <v>0</v>
      </c>
      <c r="U23" s="47">
        <f t="shared" si="8"/>
        <v>0</v>
      </c>
      <c r="V23" s="88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+'29'!G24</f>
        <v>5</v>
      </c>
      <c r="D24" s="87">
        <v>0</v>
      </c>
      <c r="E24" s="47">
        <f t="shared" si="0"/>
        <v>5</v>
      </c>
      <c r="F24" s="87">
        <v>0</v>
      </c>
      <c r="G24" s="47">
        <f t="shared" si="4"/>
        <v>2</v>
      </c>
      <c r="H24" s="88">
        <v>3</v>
      </c>
      <c r="I24" s="21">
        <v>100</v>
      </c>
      <c r="J24" s="82">
        <f t="shared" si="5"/>
        <v>300</v>
      </c>
      <c r="K24" s="17" t="s">
        <v>16</v>
      </c>
      <c r="L24" s="18">
        <v>0</v>
      </c>
      <c r="M24" s="23">
        <f t="shared" si="6"/>
        <v>300</v>
      </c>
      <c r="O24" s="10">
        <v>20</v>
      </c>
      <c r="P24" s="19"/>
      <c r="Q24" s="47">
        <v>0</v>
      </c>
      <c r="R24" s="87">
        <v>0</v>
      </c>
      <c r="S24" s="47">
        <f t="shared" si="7"/>
        <v>0</v>
      </c>
      <c r="T24" s="87">
        <v>0</v>
      </c>
      <c r="U24" s="47">
        <f t="shared" si="8"/>
        <v>0</v>
      </c>
      <c r="V24" s="88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+'29'!G25</f>
        <v>0</v>
      </c>
      <c r="D25" s="87">
        <v>0</v>
      </c>
      <c r="E25" s="47">
        <f t="shared" si="0"/>
        <v>0</v>
      </c>
      <c r="F25" s="87">
        <v>0</v>
      </c>
      <c r="G25" s="47">
        <f t="shared" si="4"/>
        <v>0</v>
      </c>
      <c r="H25" s="88"/>
      <c r="I25" s="21">
        <v>100</v>
      </c>
      <c r="J25" s="8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7">
        <v>0</v>
      </c>
      <c r="S25" s="47">
        <f t="shared" si="7"/>
        <v>0</v>
      </c>
      <c r="T25" s="87">
        <v>0</v>
      </c>
      <c r="U25" s="47">
        <f t="shared" si="8"/>
        <v>0</v>
      </c>
      <c r="V25" s="88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+'29'!G26</f>
        <v>5</v>
      </c>
      <c r="D26" s="87">
        <v>0</v>
      </c>
      <c r="E26" s="47">
        <f t="shared" si="0"/>
        <v>5</v>
      </c>
      <c r="F26" s="87">
        <v>0</v>
      </c>
      <c r="G26" s="47">
        <f t="shared" si="4"/>
        <v>2</v>
      </c>
      <c r="H26" s="88">
        <v>3</v>
      </c>
      <c r="I26" s="21">
        <v>100</v>
      </c>
      <c r="J26" s="82">
        <f t="shared" si="5"/>
        <v>300</v>
      </c>
      <c r="K26" s="17" t="s">
        <v>16</v>
      </c>
      <c r="L26" s="18">
        <v>0</v>
      </c>
      <c r="M26" s="23">
        <f t="shared" si="6"/>
        <v>300</v>
      </c>
      <c r="O26" s="10">
        <v>22</v>
      </c>
      <c r="P26" s="19"/>
      <c r="Q26" s="47">
        <v>0</v>
      </c>
      <c r="R26" s="87">
        <v>0</v>
      </c>
      <c r="S26" s="47">
        <f t="shared" si="7"/>
        <v>0</v>
      </c>
      <c r="T26" s="87">
        <v>0</v>
      </c>
      <c r="U26" s="47">
        <f t="shared" si="8"/>
        <v>0</v>
      </c>
      <c r="V26" s="88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+'29'!G27</f>
        <v>0</v>
      </c>
      <c r="D27" s="87">
        <v>0</v>
      </c>
      <c r="E27" s="47">
        <f t="shared" si="0"/>
        <v>0</v>
      </c>
      <c r="F27" s="87">
        <v>0</v>
      </c>
      <c r="G27" s="47">
        <f t="shared" si="4"/>
        <v>0</v>
      </c>
      <c r="H27" s="88"/>
      <c r="I27" s="20">
        <v>100</v>
      </c>
      <c r="J27" s="8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7">
        <v>0</v>
      </c>
      <c r="S27" s="47">
        <f t="shared" si="7"/>
        <v>0</v>
      </c>
      <c r="T27" s="87">
        <v>0</v>
      </c>
      <c r="U27" s="47">
        <f t="shared" si="8"/>
        <v>0</v>
      </c>
      <c r="V27" s="88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+'29'!G28</f>
        <v>0</v>
      </c>
      <c r="D28" s="87">
        <v>0</v>
      </c>
      <c r="E28" s="47">
        <f t="shared" si="0"/>
        <v>0</v>
      </c>
      <c r="F28" s="87">
        <v>0</v>
      </c>
      <c r="G28" s="47">
        <f t="shared" si="4"/>
        <v>0</v>
      </c>
      <c r="H28" s="88"/>
      <c r="I28" s="20">
        <v>100</v>
      </c>
      <c r="J28" s="8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7">
        <v>0</v>
      </c>
      <c r="S28" s="47">
        <f t="shared" si="7"/>
        <v>0</v>
      </c>
      <c r="T28" s="87">
        <v>0</v>
      </c>
      <c r="U28" s="47">
        <f t="shared" si="8"/>
        <v>0</v>
      </c>
      <c r="V28" s="88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+'29'!G29</f>
        <v>5</v>
      </c>
      <c r="D29" s="87">
        <v>0</v>
      </c>
      <c r="E29" s="47">
        <f t="shared" si="0"/>
        <v>5</v>
      </c>
      <c r="F29" s="87">
        <v>0</v>
      </c>
      <c r="G29" s="47">
        <f t="shared" si="4"/>
        <v>4</v>
      </c>
      <c r="H29" s="88">
        <v>1</v>
      </c>
      <c r="I29" s="15">
        <v>100</v>
      </c>
      <c r="J29" s="82">
        <f t="shared" si="5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47">
        <v>0</v>
      </c>
      <c r="R29" s="87">
        <v>0</v>
      </c>
      <c r="S29" s="47">
        <f t="shared" si="7"/>
        <v>0</v>
      </c>
      <c r="T29" s="87">
        <v>0</v>
      </c>
      <c r="U29" s="47">
        <f t="shared" si="8"/>
        <v>0</v>
      </c>
      <c r="V29" s="88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+'29'!G30</f>
        <v>0</v>
      </c>
      <c r="D30" s="87">
        <v>0</v>
      </c>
      <c r="E30" s="47">
        <f t="shared" si="0"/>
        <v>0</v>
      </c>
      <c r="F30" s="87">
        <v>0</v>
      </c>
      <c r="G30" s="47">
        <f t="shared" si="4"/>
        <v>0</v>
      </c>
      <c r="H30" s="88"/>
      <c r="I30" s="15">
        <v>100</v>
      </c>
      <c r="J30" s="8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+'29'!G31</f>
        <v>5</v>
      </c>
      <c r="D31" s="87">
        <v>0</v>
      </c>
      <c r="E31" s="47">
        <f t="shared" si="0"/>
        <v>5</v>
      </c>
      <c r="F31" s="87">
        <v>0</v>
      </c>
      <c r="G31" s="47">
        <f t="shared" si="4"/>
        <v>5</v>
      </c>
      <c r="H31" s="88"/>
      <c r="I31" s="15">
        <v>100</v>
      </c>
      <c r="J31" s="82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+'29'!G32</f>
        <v>0</v>
      </c>
      <c r="D32" s="87">
        <v>0</v>
      </c>
      <c r="E32" s="47">
        <f t="shared" si="0"/>
        <v>0</v>
      </c>
      <c r="F32" s="87">
        <v>0</v>
      </c>
      <c r="G32" s="47">
        <f t="shared" si="4"/>
        <v>0</v>
      </c>
      <c r="H32" s="88"/>
      <c r="I32" s="15">
        <v>130</v>
      </c>
      <c r="J32" s="82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5" t="s">
        <v>119</v>
      </c>
      <c r="Q32" s="146"/>
      <c r="R32" s="146"/>
      <c r="S32" s="146"/>
      <c r="T32" s="146"/>
      <c r="U32" s="146"/>
      <c r="V32" s="146"/>
      <c r="W32" s="147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+'29'!G33</f>
        <v>2</v>
      </c>
      <c r="D33" s="87">
        <v>0</v>
      </c>
      <c r="E33" s="47">
        <f t="shared" si="0"/>
        <v>2</v>
      </c>
      <c r="F33" s="87">
        <v>0</v>
      </c>
      <c r="G33" s="47">
        <f t="shared" si="4"/>
        <v>2</v>
      </c>
      <c r="H33" s="88"/>
      <c r="I33" s="15">
        <v>130</v>
      </c>
      <c r="J33" s="82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+'29'!G34</f>
        <v>2</v>
      </c>
      <c r="D34" s="87">
        <v>0</v>
      </c>
      <c r="E34" s="47">
        <f t="shared" si="0"/>
        <v>2</v>
      </c>
      <c r="F34" s="87">
        <v>0</v>
      </c>
      <c r="G34" s="47">
        <f t="shared" si="4"/>
        <v>2</v>
      </c>
      <c r="H34" s="88"/>
      <c r="I34" s="15">
        <v>130</v>
      </c>
      <c r="J34" s="82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+'29'!G35</f>
        <v>0</v>
      </c>
      <c r="D35" s="87">
        <v>0</v>
      </c>
      <c r="E35" s="47">
        <f t="shared" si="0"/>
        <v>0</v>
      </c>
      <c r="F35" s="87">
        <v>0</v>
      </c>
      <c r="G35" s="47">
        <f t="shared" si="4"/>
        <v>0</v>
      </c>
      <c r="H35" s="88"/>
      <c r="I35" s="15">
        <v>130</v>
      </c>
      <c r="J35" s="82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+'29'!G36</f>
        <v>0</v>
      </c>
      <c r="D36" s="87">
        <v>0</v>
      </c>
      <c r="E36" s="47">
        <f t="shared" si="0"/>
        <v>0</v>
      </c>
      <c r="F36" s="87">
        <v>0</v>
      </c>
      <c r="G36" s="47">
        <f t="shared" si="4"/>
        <v>0</v>
      </c>
      <c r="H36" s="88"/>
      <c r="I36" s="15">
        <v>100</v>
      </c>
      <c r="J36" s="82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+'29'!G37</f>
        <v>12</v>
      </c>
      <c r="D37" s="87">
        <v>0</v>
      </c>
      <c r="E37" s="47">
        <f t="shared" si="0"/>
        <v>12</v>
      </c>
      <c r="F37" s="87">
        <v>0</v>
      </c>
      <c r="G37" s="47">
        <f t="shared" si="4"/>
        <v>10</v>
      </c>
      <c r="H37" s="88">
        <v>2</v>
      </c>
      <c r="I37" s="15">
        <v>100</v>
      </c>
      <c r="J37" s="82">
        <f t="shared" si="5"/>
        <v>200</v>
      </c>
      <c r="K37" s="17" t="s">
        <v>16</v>
      </c>
      <c r="L37" s="18">
        <v>0</v>
      </c>
      <c r="M37" s="23">
        <f t="shared" si="6"/>
        <v>200</v>
      </c>
    </row>
    <row r="38" spans="1:13" ht="25.5" x14ac:dyDescent="0.55000000000000004">
      <c r="A38" s="10">
        <v>34</v>
      </c>
      <c r="B38" s="19" t="s">
        <v>49</v>
      </c>
      <c r="C38" s="79">
        <f>+'29'!G38</f>
        <v>3</v>
      </c>
      <c r="D38" s="87">
        <v>0</v>
      </c>
      <c r="E38" s="47">
        <f t="shared" si="0"/>
        <v>3</v>
      </c>
      <c r="F38" s="87">
        <v>0</v>
      </c>
      <c r="G38" s="47">
        <f t="shared" si="4"/>
        <v>3</v>
      </c>
      <c r="H38" s="88"/>
      <c r="I38" s="15">
        <v>50</v>
      </c>
      <c r="J38" s="82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+'29'!G39</f>
        <v>9</v>
      </c>
      <c r="D39" s="87">
        <v>0</v>
      </c>
      <c r="E39" s="47">
        <f t="shared" si="0"/>
        <v>9</v>
      </c>
      <c r="F39" s="87">
        <v>0</v>
      </c>
      <c r="G39" s="47">
        <f t="shared" si="4"/>
        <v>8</v>
      </c>
      <c r="H39" s="88">
        <v>1</v>
      </c>
      <c r="I39" s="15">
        <v>50</v>
      </c>
      <c r="J39" s="82">
        <f t="shared" si="5"/>
        <v>50</v>
      </c>
      <c r="K39" s="17" t="s">
        <v>16</v>
      </c>
      <c r="L39" s="18">
        <v>0</v>
      </c>
      <c r="M39" s="23">
        <f t="shared" si="6"/>
        <v>50</v>
      </c>
    </row>
    <row r="40" spans="1:13" ht="25.5" x14ac:dyDescent="0.55000000000000004">
      <c r="A40" s="10">
        <v>36</v>
      </c>
      <c r="B40" s="19" t="s">
        <v>51</v>
      </c>
      <c r="C40" s="79">
        <f>+'29'!G40</f>
        <v>7</v>
      </c>
      <c r="D40" s="87">
        <v>0</v>
      </c>
      <c r="E40" s="47">
        <f t="shared" si="0"/>
        <v>7</v>
      </c>
      <c r="F40" s="87">
        <v>0</v>
      </c>
      <c r="G40" s="47">
        <f t="shared" si="4"/>
        <v>7</v>
      </c>
      <c r="H40" s="88"/>
      <c r="I40" s="15">
        <v>50</v>
      </c>
      <c r="J40" s="82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+'29'!G41</f>
        <v>0</v>
      </c>
      <c r="D41" s="87">
        <v>0</v>
      </c>
      <c r="E41" s="47">
        <f t="shared" si="0"/>
        <v>0</v>
      </c>
      <c r="F41" s="87">
        <v>0</v>
      </c>
      <c r="G41" s="47">
        <f t="shared" si="4"/>
        <v>0</v>
      </c>
      <c r="H41" s="88"/>
      <c r="I41" s="15">
        <v>50</v>
      </c>
      <c r="J41" s="82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285</v>
      </c>
      <c r="C42" s="79">
        <f>+'29'!G42</f>
        <v>0</v>
      </c>
      <c r="D42" s="87">
        <v>0</v>
      </c>
      <c r="E42" s="47">
        <f t="shared" si="0"/>
        <v>0</v>
      </c>
      <c r="F42" s="87">
        <v>0</v>
      </c>
      <c r="G42" s="47">
        <f t="shared" si="4"/>
        <v>0</v>
      </c>
      <c r="H42" s="88"/>
      <c r="I42" s="15">
        <v>50</v>
      </c>
      <c r="J42" s="82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+'29'!G43</f>
        <v>0</v>
      </c>
      <c r="D43" s="87">
        <v>0</v>
      </c>
      <c r="E43" s="47">
        <f t="shared" si="0"/>
        <v>0</v>
      </c>
      <c r="F43" s="87">
        <v>0</v>
      </c>
      <c r="G43" s="47">
        <f t="shared" si="4"/>
        <v>0</v>
      </c>
      <c r="H43" s="88"/>
      <c r="I43" s="15">
        <v>50</v>
      </c>
      <c r="J43" s="82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+'29'!G44</f>
        <v>0</v>
      </c>
      <c r="D44" s="87">
        <v>0</v>
      </c>
      <c r="E44" s="47">
        <f t="shared" si="0"/>
        <v>0</v>
      </c>
      <c r="F44" s="87">
        <v>0</v>
      </c>
      <c r="G44" s="47">
        <f t="shared" si="4"/>
        <v>0</v>
      </c>
      <c r="H44" s="88"/>
      <c r="I44" s="15">
        <v>50</v>
      </c>
      <c r="J44" s="82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+'29'!G45</f>
        <v>0</v>
      </c>
      <c r="D45" s="87">
        <v>0</v>
      </c>
      <c r="E45" s="47">
        <f t="shared" si="0"/>
        <v>0</v>
      </c>
      <c r="F45" s="87">
        <v>0</v>
      </c>
      <c r="G45" s="47">
        <f t="shared" si="4"/>
        <v>0</v>
      </c>
      <c r="H45" s="88"/>
      <c r="I45" s="15">
        <v>50</v>
      </c>
      <c r="J45" s="82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286</v>
      </c>
      <c r="C46" s="79">
        <f>+'29'!G46</f>
        <v>0</v>
      </c>
      <c r="D46" s="87">
        <v>0</v>
      </c>
      <c r="E46" s="47">
        <f t="shared" si="0"/>
        <v>0</v>
      </c>
      <c r="F46" s="87">
        <v>0</v>
      </c>
      <c r="G46" s="47">
        <f t="shared" si="4"/>
        <v>0</v>
      </c>
      <c r="H46" s="88"/>
      <c r="I46" s="15">
        <v>50</v>
      </c>
      <c r="J46" s="82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+'29'!G47</f>
        <v>1</v>
      </c>
      <c r="D47" s="87">
        <v>0</v>
      </c>
      <c r="E47" s="47">
        <f t="shared" si="0"/>
        <v>1</v>
      </c>
      <c r="F47" s="87">
        <v>0</v>
      </c>
      <c r="G47" s="47">
        <f t="shared" si="4"/>
        <v>1</v>
      </c>
      <c r="H47" s="88"/>
      <c r="I47" s="15">
        <v>50</v>
      </c>
      <c r="J47" s="82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+'29'!G48</f>
        <v>1</v>
      </c>
      <c r="D48" s="87">
        <v>0</v>
      </c>
      <c r="E48" s="47">
        <f t="shared" si="0"/>
        <v>1</v>
      </c>
      <c r="F48" s="87">
        <v>0</v>
      </c>
      <c r="G48" s="47">
        <f t="shared" si="4"/>
        <v>1</v>
      </c>
      <c r="H48" s="88"/>
      <c r="I48" s="15">
        <v>50</v>
      </c>
      <c r="J48" s="82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+'29'!G49</f>
        <v>2</v>
      </c>
      <c r="D49" s="87">
        <v>0</v>
      </c>
      <c r="E49" s="47">
        <f t="shared" si="0"/>
        <v>2</v>
      </c>
      <c r="F49" s="87">
        <v>0</v>
      </c>
      <c r="G49" s="47">
        <f t="shared" si="4"/>
        <v>2</v>
      </c>
      <c r="H49" s="88"/>
      <c r="I49" s="15">
        <v>50</v>
      </c>
      <c r="J49" s="82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+'29'!G50</f>
        <v>0</v>
      </c>
      <c r="D50" s="87">
        <v>0</v>
      </c>
      <c r="E50" s="47">
        <f t="shared" si="0"/>
        <v>0</v>
      </c>
      <c r="F50" s="87">
        <v>0</v>
      </c>
      <c r="G50" s="47">
        <f t="shared" si="4"/>
        <v>0</v>
      </c>
      <c r="H50" s="88"/>
      <c r="I50" s="15">
        <v>120</v>
      </c>
      <c r="J50" s="82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+'29'!G51</f>
        <v>2</v>
      </c>
      <c r="D51" s="87">
        <v>0</v>
      </c>
      <c r="E51" s="47">
        <f t="shared" si="0"/>
        <v>2</v>
      </c>
      <c r="F51" s="87">
        <v>0</v>
      </c>
      <c r="G51" s="47">
        <f t="shared" si="4"/>
        <v>2</v>
      </c>
      <c r="H51" s="88"/>
      <c r="I51" s="15">
        <v>120</v>
      </c>
      <c r="J51" s="82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+'29'!G52</f>
        <v>0</v>
      </c>
      <c r="D52" s="87">
        <v>0</v>
      </c>
      <c r="E52" s="47">
        <f t="shared" si="0"/>
        <v>0</v>
      </c>
      <c r="F52" s="87">
        <v>0</v>
      </c>
      <c r="G52" s="47">
        <f t="shared" si="4"/>
        <v>0</v>
      </c>
      <c r="H52" s="88"/>
      <c r="I52" s="21">
        <v>120</v>
      </c>
      <c r="J52" s="82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+'29'!G53</f>
        <v>0</v>
      </c>
      <c r="D53" s="87">
        <v>0</v>
      </c>
      <c r="E53" s="47">
        <f t="shared" si="0"/>
        <v>0</v>
      </c>
      <c r="F53" s="87">
        <v>0</v>
      </c>
      <c r="G53" s="47">
        <f t="shared" si="4"/>
        <v>0</v>
      </c>
      <c r="H53" s="88"/>
      <c r="I53" s="15">
        <v>120</v>
      </c>
      <c r="J53" s="82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+'29'!G54</f>
        <v>0</v>
      </c>
      <c r="D54" s="87">
        <v>0</v>
      </c>
      <c r="E54" s="47">
        <f t="shared" si="0"/>
        <v>0</v>
      </c>
      <c r="F54" s="87">
        <v>0</v>
      </c>
      <c r="G54" s="47">
        <f t="shared" si="4"/>
        <v>0</v>
      </c>
      <c r="H54" s="88"/>
      <c r="I54" s="15">
        <v>120</v>
      </c>
      <c r="J54" s="82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+'29'!G55</f>
        <v>1</v>
      </c>
      <c r="D55" s="87">
        <v>0</v>
      </c>
      <c r="E55" s="47">
        <f t="shared" si="0"/>
        <v>1</v>
      </c>
      <c r="F55" s="87">
        <v>0</v>
      </c>
      <c r="G55" s="47">
        <f t="shared" si="4"/>
        <v>1</v>
      </c>
      <c r="H55" s="88"/>
      <c r="I55" s="21">
        <v>120</v>
      </c>
      <c r="J55" s="82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+'29'!G56</f>
        <v>0</v>
      </c>
      <c r="D56" s="87">
        <v>0</v>
      </c>
      <c r="E56" s="47">
        <f t="shared" si="0"/>
        <v>0</v>
      </c>
      <c r="F56" s="87">
        <v>0</v>
      </c>
      <c r="G56" s="47">
        <f t="shared" si="4"/>
        <v>0</v>
      </c>
      <c r="H56" s="88"/>
      <c r="I56" s="21">
        <v>120</v>
      </c>
      <c r="J56" s="82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+'29'!G57</f>
        <v>0</v>
      </c>
      <c r="D57" s="87">
        <v>0</v>
      </c>
      <c r="E57" s="47">
        <f t="shared" si="0"/>
        <v>0</v>
      </c>
      <c r="F57" s="87">
        <v>0</v>
      </c>
      <c r="G57" s="47">
        <f t="shared" si="4"/>
        <v>0</v>
      </c>
      <c r="H57" s="88"/>
      <c r="I57" s="21">
        <v>120</v>
      </c>
      <c r="J57" s="82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+'29'!G58</f>
        <v>0</v>
      </c>
      <c r="D58" s="87">
        <v>0</v>
      </c>
      <c r="E58" s="47">
        <f t="shared" si="0"/>
        <v>0</v>
      </c>
      <c r="F58" s="87">
        <v>0</v>
      </c>
      <c r="G58" s="47">
        <f t="shared" si="4"/>
        <v>0</v>
      </c>
      <c r="H58" s="88"/>
      <c r="I58" s="21">
        <v>120</v>
      </c>
      <c r="J58" s="82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+'29'!G59</f>
        <v>0</v>
      </c>
      <c r="D59" s="87">
        <v>0</v>
      </c>
      <c r="E59" s="47">
        <f t="shared" si="0"/>
        <v>0</v>
      </c>
      <c r="F59" s="87">
        <v>0</v>
      </c>
      <c r="G59" s="47">
        <f t="shared" si="4"/>
        <v>0</v>
      </c>
      <c r="H59" s="88"/>
      <c r="I59" s="15">
        <v>70</v>
      </c>
      <c r="J59" s="82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+'29'!G60</f>
        <v>0</v>
      </c>
      <c r="D60" s="87">
        <v>0</v>
      </c>
      <c r="E60" s="47">
        <f t="shared" si="0"/>
        <v>0</v>
      </c>
      <c r="F60" s="87">
        <v>0</v>
      </c>
      <c r="G60" s="47">
        <f t="shared" si="4"/>
        <v>0</v>
      </c>
      <c r="H60" s="88"/>
      <c r="I60" s="21">
        <v>80</v>
      </c>
      <c r="J60" s="82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+'29'!G61</f>
        <v>1</v>
      </c>
      <c r="D61" s="87">
        <v>0</v>
      </c>
      <c r="E61" s="47">
        <f t="shared" si="0"/>
        <v>1</v>
      </c>
      <c r="F61" s="87">
        <v>0</v>
      </c>
      <c r="G61" s="47">
        <f t="shared" si="4"/>
        <v>1</v>
      </c>
      <c r="H61" s="88"/>
      <c r="I61" s="15">
        <v>50</v>
      </c>
      <c r="J61" s="82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+'29'!G62</f>
        <v>0</v>
      </c>
      <c r="D62" s="87">
        <v>0</v>
      </c>
      <c r="E62" s="47">
        <f t="shared" si="0"/>
        <v>0</v>
      </c>
      <c r="F62" s="87">
        <v>0</v>
      </c>
      <c r="G62" s="47">
        <f t="shared" si="4"/>
        <v>0</v>
      </c>
      <c r="H62" s="88"/>
      <c r="I62" s="20">
        <v>50</v>
      </c>
      <c r="J62" s="82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+'29'!G63</f>
        <v>0</v>
      </c>
      <c r="D63" s="87">
        <v>0</v>
      </c>
      <c r="E63" s="47">
        <f t="shared" si="0"/>
        <v>0</v>
      </c>
      <c r="F63" s="87">
        <v>0</v>
      </c>
      <c r="G63" s="47">
        <f t="shared" si="4"/>
        <v>0</v>
      </c>
      <c r="H63" s="88"/>
      <c r="I63" s="20">
        <v>50</v>
      </c>
      <c r="J63" s="82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+'29'!G64</f>
        <v>0</v>
      </c>
      <c r="D64" s="87">
        <v>0</v>
      </c>
      <c r="E64" s="47">
        <f t="shared" si="0"/>
        <v>0</v>
      </c>
      <c r="F64" s="87">
        <v>0</v>
      </c>
      <c r="G64" s="47">
        <f t="shared" si="4"/>
        <v>0</v>
      </c>
      <c r="H64" s="88"/>
      <c r="I64" s="21">
        <v>30</v>
      </c>
      <c r="J64" s="82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+'29'!G65</f>
        <v>0</v>
      </c>
      <c r="D65" s="87">
        <v>0</v>
      </c>
      <c r="E65" s="47">
        <f t="shared" si="0"/>
        <v>0</v>
      </c>
      <c r="F65" s="87">
        <v>0</v>
      </c>
      <c r="G65" s="47">
        <f t="shared" si="4"/>
        <v>0</v>
      </c>
      <c r="H65" s="88"/>
      <c r="I65" s="21">
        <v>30</v>
      </c>
      <c r="J65" s="82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+'29'!G66</f>
        <v>9</v>
      </c>
      <c r="D66" s="87">
        <v>0</v>
      </c>
      <c r="E66" s="47">
        <f t="shared" si="0"/>
        <v>9</v>
      </c>
      <c r="F66" s="87">
        <v>0</v>
      </c>
      <c r="G66" s="47">
        <f t="shared" si="4"/>
        <v>8</v>
      </c>
      <c r="H66" s="88">
        <v>1</v>
      </c>
      <c r="I66" s="15">
        <v>50</v>
      </c>
      <c r="J66" s="82">
        <f t="shared" si="5"/>
        <v>50</v>
      </c>
      <c r="K66" s="17" t="s">
        <v>16</v>
      </c>
      <c r="L66" s="18">
        <v>50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+'29'!G67</f>
        <v>9</v>
      </c>
      <c r="D67" s="87">
        <v>0</v>
      </c>
      <c r="E67" s="47">
        <f t="shared" si="0"/>
        <v>9</v>
      </c>
      <c r="F67" s="87">
        <v>0</v>
      </c>
      <c r="G67" s="47">
        <f t="shared" si="4"/>
        <v>7</v>
      </c>
      <c r="H67" s="88">
        <v>2</v>
      </c>
      <c r="I67" s="15">
        <v>50</v>
      </c>
      <c r="J67" s="82">
        <f t="shared" si="5"/>
        <v>100</v>
      </c>
      <c r="K67" s="17" t="s">
        <v>16</v>
      </c>
      <c r="L67" s="18">
        <v>0</v>
      </c>
      <c r="M67" s="23">
        <f t="shared" si="6"/>
        <v>100</v>
      </c>
    </row>
    <row r="68" spans="1:13" ht="25.5" x14ac:dyDescent="0.55000000000000004">
      <c r="A68" s="10">
        <v>64</v>
      </c>
      <c r="B68" s="19" t="s">
        <v>79</v>
      </c>
      <c r="C68" s="79">
        <f>+'29'!G68</f>
        <v>0</v>
      </c>
      <c r="D68" s="87">
        <v>0</v>
      </c>
      <c r="E68" s="47">
        <f t="shared" si="0"/>
        <v>0</v>
      </c>
      <c r="F68" s="87">
        <v>0</v>
      </c>
      <c r="G68" s="47">
        <f t="shared" si="4"/>
        <v>0</v>
      </c>
      <c r="H68" s="88"/>
      <c r="I68" s="20">
        <v>35</v>
      </c>
      <c r="J68" s="82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+'29'!G69</f>
        <v>0</v>
      </c>
      <c r="D69" s="87">
        <v>0</v>
      </c>
      <c r="E69" s="47">
        <f t="shared" si="0"/>
        <v>0</v>
      </c>
      <c r="F69" s="87">
        <v>0</v>
      </c>
      <c r="G69" s="47">
        <f t="shared" si="4"/>
        <v>0</v>
      </c>
      <c r="H69" s="88"/>
      <c r="I69" s="20">
        <v>25</v>
      </c>
      <c r="J69" s="82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+'29'!G70</f>
        <v>10</v>
      </c>
      <c r="D70" s="87">
        <v>0</v>
      </c>
      <c r="E70" s="47">
        <f t="shared" si="0"/>
        <v>10</v>
      </c>
      <c r="F70" s="87">
        <v>0</v>
      </c>
      <c r="G70" s="47">
        <f t="shared" si="4"/>
        <v>10</v>
      </c>
      <c r="H70" s="88"/>
      <c r="I70" s="20">
        <v>50</v>
      </c>
      <c r="J70" s="82">
        <f t="shared" si="5"/>
        <v>0</v>
      </c>
      <c r="K70" s="17" t="s">
        <v>16</v>
      </c>
      <c r="L70" s="18">
        <v>0</v>
      </c>
      <c r="M70" s="23">
        <f t="shared" ref="M70:M134" si="10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+'29'!G71</f>
        <v>4</v>
      </c>
      <c r="D71" s="87">
        <v>0</v>
      </c>
      <c r="E71" s="47">
        <f t="shared" si="0"/>
        <v>4</v>
      </c>
      <c r="F71" s="87">
        <v>0</v>
      </c>
      <c r="G71" s="47">
        <f t="shared" si="4"/>
        <v>2</v>
      </c>
      <c r="H71" s="88">
        <v>2</v>
      </c>
      <c r="I71" s="20">
        <v>60</v>
      </c>
      <c r="J71" s="82">
        <f t="shared" si="5"/>
        <v>120</v>
      </c>
      <c r="K71" s="17" t="s">
        <v>16</v>
      </c>
      <c r="L71" s="18">
        <v>0</v>
      </c>
      <c r="M71" s="23">
        <f t="shared" si="10"/>
        <v>120</v>
      </c>
    </row>
    <row r="72" spans="1:13" ht="25.5" x14ac:dyDescent="0.55000000000000004">
      <c r="A72" s="10">
        <v>68</v>
      </c>
      <c r="B72" s="19" t="s">
        <v>83</v>
      </c>
      <c r="C72" s="79">
        <f>+'29'!G72</f>
        <v>0</v>
      </c>
      <c r="D72" s="87">
        <v>0</v>
      </c>
      <c r="E72" s="47">
        <f t="shared" si="0"/>
        <v>0</v>
      </c>
      <c r="F72" s="87">
        <v>0</v>
      </c>
      <c r="G72" s="47">
        <f t="shared" si="4"/>
        <v>0</v>
      </c>
      <c r="H72" s="88"/>
      <c r="I72" s="22">
        <v>50</v>
      </c>
      <c r="J72" s="82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+'29'!G73</f>
        <v>0</v>
      </c>
      <c r="D73" s="87">
        <v>0</v>
      </c>
      <c r="E73" s="47">
        <f t="shared" si="0"/>
        <v>0</v>
      </c>
      <c r="F73" s="87">
        <v>0</v>
      </c>
      <c r="G73" s="47">
        <f t="shared" si="4"/>
        <v>0</v>
      </c>
      <c r="H73" s="88"/>
      <c r="I73" s="20">
        <v>60</v>
      </c>
      <c r="J73" s="82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+'29'!G74</f>
        <v>2</v>
      </c>
      <c r="D74" s="87">
        <v>0</v>
      </c>
      <c r="E74" s="47">
        <f t="shared" si="0"/>
        <v>2</v>
      </c>
      <c r="F74" s="87">
        <v>0</v>
      </c>
      <c r="G74" s="47">
        <f t="shared" si="4"/>
        <v>2</v>
      </c>
      <c r="H74" s="88"/>
      <c r="I74" s="22">
        <v>120</v>
      </c>
      <c r="J74" s="82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+'29'!G75</f>
        <v>0</v>
      </c>
      <c r="D75" s="87">
        <v>0</v>
      </c>
      <c r="E75" s="47">
        <f t="shared" si="0"/>
        <v>0</v>
      </c>
      <c r="F75" s="87">
        <v>0</v>
      </c>
      <c r="G75" s="47">
        <f t="shared" si="4"/>
        <v>0</v>
      </c>
      <c r="H75" s="88"/>
      <c r="I75" s="22">
        <v>60</v>
      </c>
      <c r="J75" s="82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+'29'!G76</f>
        <v>0</v>
      </c>
      <c r="D76" s="87">
        <v>0</v>
      </c>
      <c r="E76" s="47">
        <f t="shared" si="0"/>
        <v>0</v>
      </c>
      <c r="F76" s="87">
        <v>0</v>
      </c>
      <c r="G76" s="47">
        <f t="shared" si="4"/>
        <v>0</v>
      </c>
      <c r="H76" s="88"/>
      <c r="I76" s="22">
        <v>120</v>
      </c>
      <c r="J76" s="82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1" t="s">
        <v>272</v>
      </c>
      <c r="C77" s="79">
        <f>+'29'!G77</f>
        <v>1</v>
      </c>
      <c r="D77" s="87">
        <v>0</v>
      </c>
      <c r="E77" s="47">
        <f>C77+D77</f>
        <v>1</v>
      </c>
      <c r="F77" s="87">
        <v>0</v>
      </c>
      <c r="G77" s="47">
        <f>+E77-F77-H77</f>
        <v>1</v>
      </c>
      <c r="H77" s="88"/>
      <c r="I77" s="20">
        <v>50</v>
      </c>
      <c r="J77" s="82">
        <f>+I77*H77</f>
        <v>0</v>
      </c>
      <c r="K77" s="17" t="s">
        <v>16</v>
      </c>
      <c r="L77" s="18">
        <v>0</v>
      </c>
      <c r="M77" s="23">
        <f>SUM(J77-L77)</f>
        <v>0</v>
      </c>
    </row>
    <row r="78" spans="1:13" ht="25.5" x14ac:dyDescent="0.55000000000000004">
      <c r="A78" s="10">
        <v>74</v>
      </c>
      <c r="B78" s="19" t="s">
        <v>277</v>
      </c>
      <c r="C78" s="79">
        <f>+'29'!G78</f>
        <v>2</v>
      </c>
      <c r="D78" s="87">
        <v>0</v>
      </c>
      <c r="E78" s="47">
        <f t="shared" si="0"/>
        <v>2</v>
      </c>
      <c r="F78" s="87">
        <v>0</v>
      </c>
      <c r="G78" s="47">
        <f t="shared" si="4"/>
        <v>0</v>
      </c>
      <c r="H78" s="88">
        <v>2</v>
      </c>
      <c r="I78" s="20">
        <v>50</v>
      </c>
      <c r="J78" s="82">
        <f t="shared" si="5"/>
        <v>100</v>
      </c>
      <c r="K78" s="17" t="s">
        <v>16</v>
      </c>
      <c r="L78" s="18">
        <v>0</v>
      </c>
      <c r="M78" s="23">
        <f t="shared" si="10"/>
        <v>100</v>
      </c>
    </row>
    <row r="79" spans="1:13" ht="25.5" x14ac:dyDescent="0.55000000000000004">
      <c r="A79" s="10">
        <v>75</v>
      </c>
      <c r="B79" s="19" t="s">
        <v>278</v>
      </c>
      <c r="C79" s="79">
        <f>+'29'!G79</f>
        <v>0</v>
      </c>
      <c r="D79" s="87">
        <v>0</v>
      </c>
      <c r="E79" s="47">
        <f t="shared" si="0"/>
        <v>0</v>
      </c>
      <c r="F79" s="87">
        <v>0</v>
      </c>
      <c r="G79" s="47">
        <f t="shared" si="4"/>
        <v>0</v>
      </c>
      <c r="H79" s="88"/>
      <c r="I79" s="22">
        <v>120</v>
      </c>
      <c r="J79" s="82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90</v>
      </c>
      <c r="C80" s="79">
        <f>+'29'!G80</f>
        <v>3</v>
      </c>
      <c r="D80" s="87">
        <v>0</v>
      </c>
      <c r="E80" s="47">
        <f t="shared" si="0"/>
        <v>3</v>
      </c>
      <c r="F80" s="87">
        <v>0</v>
      </c>
      <c r="G80" s="47">
        <f t="shared" si="4"/>
        <v>1</v>
      </c>
      <c r="H80" s="88">
        <v>2</v>
      </c>
      <c r="I80" s="22">
        <v>50</v>
      </c>
      <c r="J80" s="82">
        <f t="shared" si="5"/>
        <v>100</v>
      </c>
      <c r="K80" s="17" t="s">
        <v>16</v>
      </c>
      <c r="L80" s="18">
        <v>0</v>
      </c>
      <c r="M80" s="23">
        <f t="shared" si="10"/>
        <v>100</v>
      </c>
    </row>
    <row r="81" spans="1:13" ht="25.5" x14ac:dyDescent="0.55000000000000004">
      <c r="A81" s="10">
        <v>77</v>
      </c>
      <c r="B81" s="19" t="s">
        <v>91</v>
      </c>
      <c r="C81" s="79">
        <f>+'29'!G81</f>
        <v>0</v>
      </c>
      <c r="D81" s="87">
        <v>0</v>
      </c>
      <c r="E81" s="47">
        <f t="shared" si="0"/>
        <v>0</v>
      </c>
      <c r="F81" s="87">
        <v>0</v>
      </c>
      <c r="G81" s="47">
        <f t="shared" si="4"/>
        <v>0</v>
      </c>
      <c r="H81" s="88"/>
      <c r="I81" s="22">
        <v>50</v>
      </c>
      <c r="J81" s="82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92</v>
      </c>
      <c r="C82" s="79">
        <f>+'29'!G82</f>
        <v>2</v>
      </c>
      <c r="D82" s="87">
        <v>0</v>
      </c>
      <c r="E82" s="47">
        <f t="shared" si="0"/>
        <v>2</v>
      </c>
      <c r="F82" s="87">
        <v>0</v>
      </c>
      <c r="G82" s="47">
        <f t="shared" si="4"/>
        <v>2</v>
      </c>
      <c r="H82" s="88"/>
      <c r="I82" s="20">
        <v>55</v>
      </c>
      <c r="J82" s="82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93</v>
      </c>
      <c r="C83" s="79">
        <f>+'29'!G83</f>
        <v>1</v>
      </c>
      <c r="D83" s="87">
        <v>0</v>
      </c>
      <c r="E83" s="47">
        <f t="shared" si="0"/>
        <v>1</v>
      </c>
      <c r="F83" s="87">
        <v>0</v>
      </c>
      <c r="G83" s="47">
        <f t="shared" si="4"/>
        <v>1</v>
      </c>
      <c r="H83" s="88"/>
      <c r="I83" s="22">
        <v>55</v>
      </c>
      <c r="J83" s="82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94</v>
      </c>
      <c r="C84" s="79">
        <f>+'29'!G84</f>
        <v>0</v>
      </c>
      <c r="D84" s="87">
        <v>0</v>
      </c>
      <c r="E84" s="47">
        <f t="shared" si="0"/>
        <v>0</v>
      </c>
      <c r="F84" s="87">
        <v>0</v>
      </c>
      <c r="G84" s="47">
        <f t="shared" si="4"/>
        <v>0</v>
      </c>
      <c r="H84" s="88"/>
      <c r="I84" s="22">
        <v>55</v>
      </c>
      <c r="J84" s="82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95</v>
      </c>
      <c r="C85" s="79">
        <f>+'29'!G85</f>
        <v>0</v>
      </c>
      <c r="D85" s="87">
        <v>0</v>
      </c>
      <c r="E85" s="47">
        <f t="shared" si="0"/>
        <v>0</v>
      </c>
      <c r="F85" s="87">
        <v>0</v>
      </c>
      <c r="G85" s="47">
        <f t="shared" si="4"/>
        <v>0</v>
      </c>
      <c r="H85" s="88"/>
      <c r="I85" s="22">
        <v>55</v>
      </c>
      <c r="J85" s="82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96</v>
      </c>
      <c r="C86" s="79">
        <f>+'29'!G86</f>
        <v>2</v>
      </c>
      <c r="D86" s="87">
        <v>0</v>
      </c>
      <c r="E86" s="47">
        <f t="shared" si="0"/>
        <v>2</v>
      </c>
      <c r="F86" s="87">
        <v>0</v>
      </c>
      <c r="G86" s="47">
        <f t="shared" si="4"/>
        <v>2</v>
      </c>
      <c r="H86" s="88"/>
      <c r="I86" s="22">
        <v>100</v>
      </c>
      <c r="J86" s="82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97</v>
      </c>
      <c r="C87" s="79">
        <f>+'29'!G87</f>
        <v>5</v>
      </c>
      <c r="D87" s="87">
        <v>0</v>
      </c>
      <c r="E87" s="47">
        <f t="shared" si="0"/>
        <v>5</v>
      </c>
      <c r="F87" s="87">
        <v>0</v>
      </c>
      <c r="G87" s="47">
        <f t="shared" si="4"/>
        <v>3</v>
      </c>
      <c r="H87" s="88">
        <v>2</v>
      </c>
      <c r="I87" s="20">
        <v>55</v>
      </c>
      <c r="J87" s="82">
        <f t="shared" si="5"/>
        <v>110</v>
      </c>
      <c r="K87" s="17" t="s">
        <v>16</v>
      </c>
      <c r="L87" s="18">
        <v>0</v>
      </c>
      <c r="M87" s="23">
        <f t="shared" si="10"/>
        <v>110</v>
      </c>
    </row>
    <row r="88" spans="1:13" ht="25.5" x14ac:dyDescent="0.55000000000000004">
      <c r="A88" s="10">
        <v>84</v>
      </c>
      <c r="B88" s="19" t="s">
        <v>98</v>
      </c>
      <c r="C88" s="79">
        <f>+'29'!G88</f>
        <v>4</v>
      </c>
      <c r="D88" s="87">
        <v>0</v>
      </c>
      <c r="E88" s="47">
        <f t="shared" si="0"/>
        <v>4</v>
      </c>
      <c r="F88" s="87">
        <v>0</v>
      </c>
      <c r="G88" s="47">
        <f t="shared" si="4"/>
        <v>4</v>
      </c>
      <c r="H88" s="88"/>
      <c r="I88" s="20">
        <v>60</v>
      </c>
      <c r="J88" s="82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99</v>
      </c>
      <c r="C89" s="79">
        <f>+'29'!G89</f>
        <v>1</v>
      </c>
      <c r="D89" s="87">
        <v>0</v>
      </c>
      <c r="E89" s="47">
        <f t="shared" si="0"/>
        <v>1</v>
      </c>
      <c r="F89" s="87">
        <v>0</v>
      </c>
      <c r="G89" s="47">
        <f t="shared" si="4"/>
        <v>0</v>
      </c>
      <c r="H89" s="88">
        <v>1</v>
      </c>
      <c r="I89" s="20">
        <v>100</v>
      </c>
      <c r="J89" s="82">
        <f t="shared" si="5"/>
        <v>100</v>
      </c>
      <c r="K89" s="17" t="s">
        <v>16</v>
      </c>
      <c r="L89" s="18">
        <v>0</v>
      </c>
      <c r="M89" s="23">
        <f t="shared" si="10"/>
        <v>100</v>
      </c>
    </row>
    <row r="90" spans="1:13" ht="25.5" x14ac:dyDescent="0.55000000000000004">
      <c r="A90" s="10">
        <v>86</v>
      </c>
      <c r="B90" s="19" t="s">
        <v>100</v>
      </c>
      <c r="C90" s="79">
        <f>+'29'!G90</f>
        <v>3</v>
      </c>
      <c r="D90" s="87">
        <v>0</v>
      </c>
      <c r="E90" s="47">
        <f t="shared" si="0"/>
        <v>3</v>
      </c>
      <c r="F90" s="87">
        <v>0</v>
      </c>
      <c r="G90" s="47">
        <f t="shared" si="4"/>
        <v>3</v>
      </c>
      <c r="H90" s="88"/>
      <c r="I90" s="20">
        <v>55</v>
      </c>
      <c r="J90" s="82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101</v>
      </c>
      <c r="C91" s="79">
        <f>+'29'!G91</f>
        <v>0</v>
      </c>
      <c r="D91" s="87">
        <v>0</v>
      </c>
      <c r="E91" s="47">
        <f t="shared" si="0"/>
        <v>0</v>
      </c>
      <c r="F91" s="87">
        <v>0</v>
      </c>
      <c r="G91" s="47">
        <f t="shared" si="4"/>
        <v>0</v>
      </c>
      <c r="H91" s="88"/>
      <c r="I91" s="20">
        <v>50</v>
      </c>
      <c r="J91" s="82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102</v>
      </c>
      <c r="C92" s="79">
        <f>+'29'!G92</f>
        <v>0</v>
      </c>
      <c r="D92" s="87">
        <v>0</v>
      </c>
      <c r="E92" s="47">
        <f t="shared" si="0"/>
        <v>0</v>
      </c>
      <c r="F92" s="87">
        <v>0</v>
      </c>
      <c r="G92" s="47">
        <f t="shared" si="4"/>
        <v>0</v>
      </c>
      <c r="H92" s="88"/>
      <c r="I92" s="22">
        <v>50</v>
      </c>
      <c r="J92" s="82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248</v>
      </c>
      <c r="C93" s="79">
        <f>+'29'!G93</f>
        <v>0</v>
      </c>
      <c r="D93" s="87">
        <v>0</v>
      </c>
      <c r="E93" s="47">
        <f t="shared" si="0"/>
        <v>0</v>
      </c>
      <c r="F93" s="87">
        <v>0</v>
      </c>
      <c r="G93" s="47">
        <f t="shared" si="4"/>
        <v>0</v>
      </c>
      <c r="H93" s="88"/>
      <c r="I93" s="22">
        <v>120</v>
      </c>
      <c r="J93" s="82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104</v>
      </c>
      <c r="C94" s="79">
        <f>+'29'!G94</f>
        <v>0</v>
      </c>
      <c r="D94" s="87">
        <v>0</v>
      </c>
      <c r="E94" s="47">
        <f t="shared" si="0"/>
        <v>0</v>
      </c>
      <c r="F94" s="87">
        <v>0</v>
      </c>
      <c r="G94" s="47">
        <f t="shared" si="4"/>
        <v>0</v>
      </c>
      <c r="H94" s="88"/>
      <c r="I94" s="20">
        <v>250</v>
      </c>
      <c r="J94" s="82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105</v>
      </c>
      <c r="C95" s="79">
        <f>+'29'!G95</f>
        <v>0</v>
      </c>
      <c r="D95" s="87">
        <v>0</v>
      </c>
      <c r="E95" s="47">
        <f t="shared" si="0"/>
        <v>0</v>
      </c>
      <c r="F95" s="87">
        <v>0</v>
      </c>
      <c r="G95" s="47">
        <f t="shared" si="4"/>
        <v>0</v>
      </c>
      <c r="H95" s="88"/>
      <c r="I95" s="20">
        <v>120</v>
      </c>
      <c r="J95" s="82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106</v>
      </c>
      <c r="C96" s="79">
        <f>+'29'!G96</f>
        <v>0</v>
      </c>
      <c r="D96" s="87">
        <v>0</v>
      </c>
      <c r="E96" s="47">
        <f t="shared" si="0"/>
        <v>0</v>
      </c>
      <c r="F96" s="87">
        <v>0</v>
      </c>
      <c r="G96" s="47">
        <f t="shared" si="4"/>
        <v>0</v>
      </c>
      <c r="H96" s="88"/>
      <c r="I96" s="20">
        <v>120</v>
      </c>
      <c r="J96" s="82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107</v>
      </c>
      <c r="C97" s="79">
        <f>+'29'!G97</f>
        <v>0</v>
      </c>
      <c r="D97" s="87">
        <v>0</v>
      </c>
      <c r="E97" s="47">
        <f t="shared" si="0"/>
        <v>0</v>
      </c>
      <c r="F97" s="87">
        <v>0</v>
      </c>
      <c r="G97" s="47">
        <f t="shared" si="4"/>
        <v>0</v>
      </c>
      <c r="H97" s="88"/>
      <c r="I97" s="20">
        <v>120</v>
      </c>
      <c r="J97" s="82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103</v>
      </c>
      <c r="C98" s="79">
        <f>+'29'!G98</f>
        <v>0</v>
      </c>
      <c r="D98" s="87">
        <v>0</v>
      </c>
      <c r="E98" s="47">
        <f t="shared" si="0"/>
        <v>0</v>
      </c>
      <c r="F98" s="87">
        <v>0</v>
      </c>
      <c r="G98" s="47">
        <f t="shared" si="4"/>
        <v>0</v>
      </c>
      <c r="H98" s="88"/>
      <c r="I98" s="20">
        <v>120</v>
      </c>
      <c r="J98" s="82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109</v>
      </c>
      <c r="C99" s="79">
        <f>+'29'!G99</f>
        <v>0</v>
      </c>
      <c r="D99" s="87">
        <v>0</v>
      </c>
      <c r="E99" s="47">
        <f t="shared" si="0"/>
        <v>0</v>
      </c>
      <c r="F99" s="87">
        <v>0</v>
      </c>
      <c r="G99" s="47">
        <f t="shared" si="4"/>
        <v>0</v>
      </c>
      <c r="H99" s="88"/>
      <c r="I99" s="20">
        <v>50</v>
      </c>
      <c r="J99" s="82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110</v>
      </c>
      <c r="C100" s="79">
        <f>+'29'!G100</f>
        <v>0</v>
      </c>
      <c r="D100" s="87">
        <v>0</v>
      </c>
      <c r="E100" s="47">
        <f t="shared" si="0"/>
        <v>0</v>
      </c>
      <c r="F100" s="87">
        <v>0</v>
      </c>
      <c r="G100" s="47">
        <f t="shared" si="4"/>
        <v>0</v>
      </c>
      <c r="H100" s="88"/>
      <c r="I100" s="20">
        <v>50</v>
      </c>
      <c r="J100" s="82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111</v>
      </c>
      <c r="C101" s="79">
        <f>+'29'!G101</f>
        <v>0</v>
      </c>
      <c r="D101" s="87">
        <v>0</v>
      </c>
      <c r="E101" s="47">
        <f t="shared" si="0"/>
        <v>0</v>
      </c>
      <c r="F101" s="87">
        <v>0</v>
      </c>
      <c r="G101" s="47">
        <f t="shared" ref="G101:G164" si="11">+E101-F101-H101</f>
        <v>0</v>
      </c>
      <c r="H101" s="88"/>
      <c r="I101" s="20">
        <v>60</v>
      </c>
      <c r="J101" s="82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112</v>
      </c>
      <c r="C102" s="79">
        <f>+'29'!G102</f>
        <v>0</v>
      </c>
      <c r="D102" s="87">
        <v>0</v>
      </c>
      <c r="E102" s="47">
        <f t="shared" si="0"/>
        <v>0</v>
      </c>
      <c r="F102" s="87">
        <v>0</v>
      </c>
      <c r="G102" s="47">
        <f t="shared" si="11"/>
        <v>0</v>
      </c>
      <c r="H102" s="88"/>
      <c r="I102" s="20">
        <v>55</v>
      </c>
      <c r="J102" s="82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113</v>
      </c>
      <c r="C103" s="79">
        <f>+'29'!G103</f>
        <v>0</v>
      </c>
      <c r="D103" s="87">
        <v>0</v>
      </c>
      <c r="E103" s="47">
        <f t="shared" si="0"/>
        <v>0</v>
      </c>
      <c r="F103" s="87">
        <v>0</v>
      </c>
      <c r="G103" s="47">
        <f t="shared" si="11"/>
        <v>0</v>
      </c>
      <c r="H103" s="88"/>
      <c r="I103" s="20">
        <v>50</v>
      </c>
      <c r="J103" s="82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114</v>
      </c>
      <c r="C104" s="79">
        <f>+'29'!G104</f>
        <v>0</v>
      </c>
      <c r="D104" s="87">
        <v>0</v>
      </c>
      <c r="E104" s="47">
        <f t="shared" si="0"/>
        <v>0</v>
      </c>
      <c r="F104" s="87">
        <v>0</v>
      </c>
      <c r="G104" s="47">
        <f t="shared" si="11"/>
        <v>0</v>
      </c>
      <c r="H104" s="88"/>
      <c r="I104" s="20">
        <v>100</v>
      </c>
      <c r="J104" s="82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115</v>
      </c>
      <c r="C105" s="79">
        <f>+'29'!G105</f>
        <v>0</v>
      </c>
      <c r="D105" s="87">
        <v>0</v>
      </c>
      <c r="E105" s="47">
        <f t="shared" si="0"/>
        <v>0</v>
      </c>
      <c r="F105" s="87">
        <v>0</v>
      </c>
      <c r="G105" s="47">
        <f t="shared" si="11"/>
        <v>0</v>
      </c>
      <c r="H105" s="88"/>
      <c r="I105" s="20">
        <v>100</v>
      </c>
      <c r="J105" s="82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116</v>
      </c>
      <c r="C106" s="79">
        <f>+'29'!G106</f>
        <v>0</v>
      </c>
      <c r="D106" s="87">
        <v>0</v>
      </c>
      <c r="E106" s="47">
        <f t="shared" si="0"/>
        <v>0</v>
      </c>
      <c r="F106" s="87">
        <v>0</v>
      </c>
      <c r="G106" s="47">
        <f t="shared" si="11"/>
        <v>0</v>
      </c>
      <c r="H106" s="88"/>
      <c r="I106" s="22">
        <v>30</v>
      </c>
      <c r="J106" s="82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117</v>
      </c>
      <c r="C107" s="79">
        <f>+'29'!G107</f>
        <v>0</v>
      </c>
      <c r="D107" s="87">
        <v>0</v>
      </c>
      <c r="E107" s="47">
        <f t="shared" si="0"/>
        <v>0</v>
      </c>
      <c r="F107" s="87">
        <v>0</v>
      </c>
      <c r="G107" s="47">
        <f t="shared" si="11"/>
        <v>0</v>
      </c>
      <c r="H107" s="88"/>
      <c r="I107" s="22">
        <v>20</v>
      </c>
      <c r="J107" s="82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118</v>
      </c>
      <c r="C108" s="79">
        <f>+'29'!G108</f>
        <v>0</v>
      </c>
      <c r="D108" s="87">
        <v>0</v>
      </c>
      <c r="E108" s="47">
        <f t="shared" si="0"/>
        <v>0</v>
      </c>
      <c r="F108" s="87">
        <v>0</v>
      </c>
      <c r="G108" s="47">
        <f t="shared" si="11"/>
        <v>0</v>
      </c>
      <c r="H108" s="88"/>
      <c r="I108" s="20">
        <v>100</v>
      </c>
      <c r="J108" s="82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120</v>
      </c>
      <c r="C109" s="79">
        <f>+'29'!G109</f>
        <v>0</v>
      </c>
      <c r="D109" s="87">
        <v>0</v>
      </c>
      <c r="E109" s="47">
        <f t="shared" si="0"/>
        <v>0</v>
      </c>
      <c r="F109" s="87">
        <v>0</v>
      </c>
      <c r="G109" s="47">
        <f t="shared" si="11"/>
        <v>0</v>
      </c>
      <c r="H109" s="88"/>
      <c r="I109" s="20">
        <v>80</v>
      </c>
      <c r="J109" s="82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121</v>
      </c>
      <c r="C110" s="79">
        <f>+'29'!G110</f>
        <v>0</v>
      </c>
      <c r="D110" s="87">
        <v>0</v>
      </c>
      <c r="E110" s="47">
        <f t="shared" si="0"/>
        <v>0</v>
      </c>
      <c r="F110" s="87">
        <v>0</v>
      </c>
      <c r="G110" s="47">
        <f t="shared" si="11"/>
        <v>0</v>
      </c>
      <c r="H110" s="88"/>
      <c r="I110" s="20">
        <v>60</v>
      </c>
      <c r="J110" s="82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122</v>
      </c>
      <c r="C111" s="79">
        <f>+'29'!G111</f>
        <v>0</v>
      </c>
      <c r="D111" s="87">
        <v>0</v>
      </c>
      <c r="E111" s="47">
        <f t="shared" si="0"/>
        <v>0</v>
      </c>
      <c r="F111" s="87">
        <v>0</v>
      </c>
      <c r="G111" s="47">
        <f t="shared" si="11"/>
        <v>0</v>
      </c>
      <c r="H111" s="88"/>
      <c r="I111" s="20">
        <v>35</v>
      </c>
      <c r="J111" s="82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123</v>
      </c>
      <c r="C112" s="79">
        <f>+'29'!G112</f>
        <v>0</v>
      </c>
      <c r="D112" s="87">
        <v>0</v>
      </c>
      <c r="E112" s="47">
        <f t="shared" si="0"/>
        <v>0</v>
      </c>
      <c r="F112" s="87">
        <v>0</v>
      </c>
      <c r="G112" s="47">
        <f t="shared" si="11"/>
        <v>0</v>
      </c>
      <c r="H112" s="88"/>
      <c r="I112" s="20">
        <v>35</v>
      </c>
      <c r="J112" s="82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124</v>
      </c>
      <c r="C113" s="79">
        <f>+'29'!G113</f>
        <v>0</v>
      </c>
      <c r="D113" s="87">
        <v>0</v>
      </c>
      <c r="E113" s="47">
        <f t="shared" si="0"/>
        <v>0</v>
      </c>
      <c r="F113" s="87">
        <v>0</v>
      </c>
      <c r="G113" s="47">
        <f t="shared" si="11"/>
        <v>0</v>
      </c>
      <c r="H113" s="88"/>
      <c r="I113" s="20">
        <v>35</v>
      </c>
      <c r="J113" s="82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125</v>
      </c>
      <c r="C114" s="79">
        <f>+'29'!G114</f>
        <v>0</v>
      </c>
      <c r="D114" s="87">
        <v>0</v>
      </c>
      <c r="E114" s="47">
        <f t="shared" si="0"/>
        <v>0</v>
      </c>
      <c r="F114" s="87">
        <v>0</v>
      </c>
      <c r="G114" s="47">
        <f t="shared" si="11"/>
        <v>0</v>
      </c>
      <c r="H114" s="88"/>
      <c r="I114" s="20">
        <v>35</v>
      </c>
      <c r="J114" s="82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126</v>
      </c>
      <c r="C115" s="79">
        <f>+'29'!G115</f>
        <v>0</v>
      </c>
      <c r="D115" s="87">
        <v>0</v>
      </c>
      <c r="E115" s="47">
        <f t="shared" si="0"/>
        <v>0</v>
      </c>
      <c r="F115" s="87">
        <v>0</v>
      </c>
      <c r="G115" s="47">
        <f t="shared" si="11"/>
        <v>0</v>
      </c>
      <c r="H115" s="88"/>
      <c r="I115" s="20">
        <v>35</v>
      </c>
      <c r="J115" s="82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127</v>
      </c>
      <c r="C116" s="79">
        <f>+'29'!G116</f>
        <v>0</v>
      </c>
      <c r="D116" s="87">
        <v>0</v>
      </c>
      <c r="E116" s="47">
        <f t="shared" si="0"/>
        <v>0</v>
      </c>
      <c r="F116" s="87">
        <v>0</v>
      </c>
      <c r="G116" s="47">
        <f t="shared" si="11"/>
        <v>0</v>
      </c>
      <c r="H116" s="88"/>
      <c r="I116" s="20">
        <v>30</v>
      </c>
      <c r="J116" s="82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128</v>
      </c>
      <c r="C117" s="79">
        <f>+'29'!G117</f>
        <v>0</v>
      </c>
      <c r="D117" s="87">
        <v>0</v>
      </c>
      <c r="E117" s="47">
        <f t="shared" si="0"/>
        <v>0</v>
      </c>
      <c r="F117" s="87">
        <v>0</v>
      </c>
      <c r="G117" s="47">
        <f t="shared" si="11"/>
        <v>0</v>
      </c>
      <c r="H117" s="88"/>
      <c r="I117" s="20">
        <v>30</v>
      </c>
      <c r="J117" s="82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129</v>
      </c>
      <c r="C118" s="79">
        <f>+'29'!G118</f>
        <v>0</v>
      </c>
      <c r="D118" s="87">
        <v>0</v>
      </c>
      <c r="E118" s="47">
        <f t="shared" si="0"/>
        <v>0</v>
      </c>
      <c r="F118" s="87">
        <v>0</v>
      </c>
      <c r="G118" s="47">
        <f t="shared" si="11"/>
        <v>0</v>
      </c>
      <c r="H118" s="88"/>
      <c r="I118" s="20">
        <v>30</v>
      </c>
      <c r="J118" s="82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130</v>
      </c>
      <c r="C119" s="79">
        <f>+'29'!G119</f>
        <v>0</v>
      </c>
      <c r="D119" s="87">
        <v>0</v>
      </c>
      <c r="E119" s="47">
        <f t="shared" si="0"/>
        <v>0</v>
      </c>
      <c r="F119" s="87">
        <v>0</v>
      </c>
      <c r="G119" s="47">
        <f t="shared" si="11"/>
        <v>0</v>
      </c>
      <c r="H119" s="88"/>
      <c r="I119" s="20">
        <v>30</v>
      </c>
      <c r="J119" s="82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131</v>
      </c>
      <c r="C120" s="79">
        <f>+'29'!G120</f>
        <v>0</v>
      </c>
      <c r="D120" s="87">
        <v>0</v>
      </c>
      <c r="E120" s="47">
        <f t="shared" si="0"/>
        <v>0</v>
      </c>
      <c r="F120" s="87">
        <v>0</v>
      </c>
      <c r="G120" s="47">
        <f t="shared" si="11"/>
        <v>0</v>
      </c>
      <c r="H120" s="88"/>
      <c r="I120" s="20">
        <v>30</v>
      </c>
      <c r="J120" s="82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132</v>
      </c>
      <c r="C121" s="79">
        <f>+'29'!G121</f>
        <v>0</v>
      </c>
      <c r="D121" s="87">
        <v>0</v>
      </c>
      <c r="E121" s="47">
        <f t="shared" si="0"/>
        <v>0</v>
      </c>
      <c r="F121" s="87">
        <v>0</v>
      </c>
      <c r="G121" s="47">
        <f t="shared" si="11"/>
        <v>0</v>
      </c>
      <c r="H121" s="88"/>
      <c r="I121" s="20">
        <v>30</v>
      </c>
      <c r="J121" s="82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133</v>
      </c>
      <c r="C122" s="79">
        <f>+'29'!G122</f>
        <v>0</v>
      </c>
      <c r="D122" s="87">
        <v>0</v>
      </c>
      <c r="E122" s="47">
        <f t="shared" si="0"/>
        <v>0</v>
      </c>
      <c r="F122" s="87">
        <v>0</v>
      </c>
      <c r="G122" s="47">
        <f t="shared" si="11"/>
        <v>0</v>
      </c>
      <c r="H122" s="88"/>
      <c r="I122" s="20">
        <v>40</v>
      </c>
      <c r="J122" s="82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134</v>
      </c>
      <c r="C123" s="79">
        <f>+'29'!G123</f>
        <v>0</v>
      </c>
      <c r="D123" s="87">
        <v>0</v>
      </c>
      <c r="E123" s="47">
        <f t="shared" si="0"/>
        <v>0</v>
      </c>
      <c r="F123" s="87">
        <v>0</v>
      </c>
      <c r="G123" s="47">
        <f t="shared" si="11"/>
        <v>0</v>
      </c>
      <c r="H123" s="88"/>
      <c r="I123" s="20">
        <v>35</v>
      </c>
      <c r="J123" s="82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135</v>
      </c>
      <c r="C124" s="79">
        <f>+'29'!G124</f>
        <v>0</v>
      </c>
      <c r="D124" s="87">
        <v>0</v>
      </c>
      <c r="E124" s="47">
        <f t="shared" si="0"/>
        <v>0</v>
      </c>
      <c r="F124" s="87">
        <v>0</v>
      </c>
      <c r="G124" s="47">
        <f t="shared" si="11"/>
        <v>0</v>
      </c>
      <c r="H124" s="88"/>
      <c r="I124" s="20">
        <v>40</v>
      </c>
      <c r="J124" s="82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136</v>
      </c>
      <c r="C125" s="79">
        <f>+'29'!G125</f>
        <v>0</v>
      </c>
      <c r="D125" s="87">
        <v>0</v>
      </c>
      <c r="E125" s="47">
        <f t="shared" si="0"/>
        <v>0</v>
      </c>
      <c r="F125" s="87">
        <v>0</v>
      </c>
      <c r="G125" s="47">
        <f t="shared" si="11"/>
        <v>0</v>
      </c>
      <c r="H125" s="88"/>
      <c r="I125" s="20">
        <v>40</v>
      </c>
      <c r="J125" s="82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137</v>
      </c>
      <c r="C126" s="79">
        <f>+'29'!G126</f>
        <v>0</v>
      </c>
      <c r="D126" s="87">
        <v>0</v>
      </c>
      <c r="E126" s="47">
        <f t="shared" ref="E126:E189" si="13">C126+D126</f>
        <v>0</v>
      </c>
      <c r="F126" s="87">
        <v>0</v>
      </c>
      <c r="G126" s="47">
        <f t="shared" si="11"/>
        <v>0</v>
      </c>
      <c r="H126" s="88"/>
      <c r="I126" s="20">
        <v>30</v>
      </c>
      <c r="J126" s="82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138</v>
      </c>
      <c r="C127" s="79">
        <f>+'29'!G127</f>
        <v>0</v>
      </c>
      <c r="D127" s="87">
        <v>0</v>
      </c>
      <c r="E127" s="47">
        <f t="shared" si="13"/>
        <v>0</v>
      </c>
      <c r="F127" s="87">
        <v>0</v>
      </c>
      <c r="G127" s="47">
        <f t="shared" si="11"/>
        <v>0</v>
      </c>
      <c r="H127" s="88"/>
      <c r="I127" s="20">
        <v>40</v>
      </c>
      <c r="J127" s="82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139</v>
      </c>
      <c r="C128" s="79">
        <f>+'29'!G128</f>
        <v>74</v>
      </c>
      <c r="D128" s="87">
        <v>0</v>
      </c>
      <c r="E128" s="47">
        <f t="shared" si="13"/>
        <v>74</v>
      </c>
      <c r="F128" s="87">
        <v>0</v>
      </c>
      <c r="G128" s="47">
        <f t="shared" si="11"/>
        <v>74</v>
      </c>
      <c r="H128" s="88"/>
      <c r="I128" s="20">
        <v>10</v>
      </c>
      <c r="J128" s="82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140</v>
      </c>
      <c r="C129" s="79">
        <f>+'29'!G129</f>
        <v>0</v>
      </c>
      <c r="D129" s="87">
        <v>0</v>
      </c>
      <c r="E129" s="47">
        <f t="shared" si="13"/>
        <v>0</v>
      </c>
      <c r="F129" s="87">
        <v>0</v>
      </c>
      <c r="G129" s="47">
        <f t="shared" si="11"/>
        <v>0</v>
      </c>
      <c r="H129" s="88"/>
      <c r="I129" s="20">
        <v>35</v>
      </c>
      <c r="J129" s="82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141</v>
      </c>
      <c r="C130" s="79">
        <f>+'29'!G130</f>
        <v>0</v>
      </c>
      <c r="D130" s="87">
        <v>0</v>
      </c>
      <c r="E130" s="47">
        <f t="shared" si="13"/>
        <v>0</v>
      </c>
      <c r="F130" s="87">
        <v>0</v>
      </c>
      <c r="G130" s="47">
        <f t="shared" si="11"/>
        <v>0</v>
      </c>
      <c r="H130" s="88"/>
      <c r="I130" s="20">
        <v>40</v>
      </c>
      <c r="J130" s="82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142</v>
      </c>
      <c r="C131" s="79">
        <f>+'29'!G131</f>
        <v>0</v>
      </c>
      <c r="D131" s="87">
        <v>0</v>
      </c>
      <c r="E131" s="47">
        <f t="shared" si="13"/>
        <v>0</v>
      </c>
      <c r="F131" s="87">
        <v>0</v>
      </c>
      <c r="G131" s="47">
        <f t="shared" si="11"/>
        <v>0</v>
      </c>
      <c r="H131" s="88"/>
      <c r="I131" s="20">
        <v>50</v>
      </c>
      <c r="J131" s="82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143</v>
      </c>
      <c r="C132" s="79">
        <f>+'29'!G132</f>
        <v>0</v>
      </c>
      <c r="D132" s="87">
        <v>0</v>
      </c>
      <c r="E132" s="47">
        <f t="shared" si="13"/>
        <v>0</v>
      </c>
      <c r="F132" s="87">
        <v>0</v>
      </c>
      <c r="G132" s="47">
        <f t="shared" si="11"/>
        <v>0</v>
      </c>
      <c r="H132" s="88"/>
      <c r="I132" s="20">
        <v>55</v>
      </c>
      <c r="J132" s="82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144</v>
      </c>
      <c r="C133" s="79">
        <f>+'29'!G133</f>
        <v>0</v>
      </c>
      <c r="D133" s="87">
        <v>0</v>
      </c>
      <c r="E133" s="47">
        <f t="shared" si="13"/>
        <v>0</v>
      </c>
      <c r="F133" s="87">
        <v>0</v>
      </c>
      <c r="G133" s="47">
        <f t="shared" si="11"/>
        <v>0</v>
      </c>
      <c r="H133" s="88"/>
      <c r="I133" s="20">
        <v>55</v>
      </c>
      <c r="J133" s="82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145</v>
      </c>
      <c r="C134" s="79">
        <f>+'29'!G134</f>
        <v>0</v>
      </c>
      <c r="D134" s="87">
        <v>0</v>
      </c>
      <c r="E134" s="47">
        <f t="shared" si="13"/>
        <v>0</v>
      </c>
      <c r="F134" s="87">
        <v>0</v>
      </c>
      <c r="G134" s="47">
        <f t="shared" si="11"/>
        <v>0</v>
      </c>
      <c r="H134" s="88"/>
      <c r="I134" s="20">
        <v>45</v>
      </c>
      <c r="J134" s="82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5.5" x14ac:dyDescent="0.55000000000000004">
      <c r="A135" s="10">
        <v>131</v>
      </c>
      <c r="B135" s="19" t="s">
        <v>146</v>
      </c>
      <c r="C135" s="79">
        <f>+'29'!G135</f>
        <v>0</v>
      </c>
      <c r="D135" s="87">
        <v>0</v>
      </c>
      <c r="E135" s="47">
        <f t="shared" si="13"/>
        <v>0</v>
      </c>
      <c r="F135" s="87">
        <v>0</v>
      </c>
      <c r="G135" s="47">
        <f t="shared" si="11"/>
        <v>0</v>
      </c>
      <c r="H135" s="88"/>
      <c r="I135" s="20">
        <v>45</v>
      </c>
      <c r="J135" s="82">
        <f t="shared" si="12"/>
        <v>0</v>
      </c>
      <c r="K135" s="17" t="s">
        <v>16</v>
      </c>
      <c r="L135" s="18">
        <v>0</v>
      </c>
      <c r="M135" s="23">
        <f t="shared" ref="M135:M198" si="14">SUM(J135-L135)</f>
        <v>0</v>
      </c>
    </row>
    <row r="136" spans="1:13" ht="25.5" x14ac:dyDescent="0.55000000000000004">
      <c r="A136" s="10">
        <v>132</v>
      </c>
      <c r="B136" s="19" t="s">
        <v>147</v>
      </c>
      <c r="C136" s="79">
        <f>+'29'!G136</f>
        <v>0</v>
      </c>
      <c r="D136" s="87">
        <v>0</v>
      </c>
      <c r="E136" s="47">
        <f t="shared" si="13"/>
        <v>0</v>
      </c>
      <c r="F136" s="87">
        <v>0</v>
      </c>
      <c r="G136" s="47">
        <f t="shared" si="11"/>
        <v>0</v>
      </c>
      <c r="H136" s="88"/>
      <c r="I136" s="20">
        <v>55</v>
      </c>
      <c r="J136" s="82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148</v>
      </c>
      <c r="C137" s="79">
        <f>+'29'!G137</f>
        <v>0</v>
      </c>
      <c r="D137" s="87">
        <v>0</v>
      </c>
      <c r="E137" s="47">
        <f t="shared" si="13"/>
        <v>0</v>
      </c>
      <c r="F137" s="87">
        <v>0</v>
      </c>
      <c r="G137" s="47">
        <f t="shared" si="11"/>
        <v>0</v>
      </c>
      <c r="H137" s="88"/>
      <c r="I137" s="20">
        <v>45</v>
      </c>
      <c r="J137" s="82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149</v>
      </c>
      <c r="C138" s="79">
        <f>+'29'!G138</f>
        <v>0</v>
      </c>
      <c r="D138" s="87">
        <v>0</v>
      </c>
      <c r="E138" s="47">
        <f t="shared" si="13"/>
        <v>0</v>
      </c>
      <c r="F138" s="87">
        <v>0</v>
      </c>
      <c r="G138" s="47">
        <f t="shared" si="11"/>
        <v>0</v>
      </c>
      <c r="H138" s="88"/>
      <c r="I138" s="20">
        <v>45</v>
      </c>
      <c r="J138" s="82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150</v>
      </c>
      <c r="C139" s="79">
        <f>+'29'!G139</f>
        <v>0</v>
      </c>
      <c r="D139" s="87">
        <v>0</v>
      </c>
      <c r="E139" s="47">
        <f t="shared" si="13"/>
        <v>0</v>
      </c>
      <c r="F139" s="87">
        <v>0</v>
      </c>
      <c r="G139" s="47">
        <f t="shared" si="11"/>
        <v>0</v>
      </c>
      <c r="H139" s="88"/>
      <c r="I139" s="20">
        <v>45</v>
      </c>
      <c r="J139" s="82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151</v>
      </c>
      <c r="C140" s="79">
        <f>+'29'!G140</f>
        <v>0</v>
      </c>
      <c r="D140" s="87">
        <v>0</v>
      </c>
      <c r="E140" s="47">
        <f t="shared" si="13"/>
        <v>0</v>
      </c>
      <c r="F140" s="87">
        <v>0</v>
      </c>
      <c r="G140" s="47">
        <f t="shared" si="11"/>
        <v>0</v>
      </c>
      <c r="H140" s="88"/>
      <c r="I140" s="20">
        <v>45</v>
      </c>
      <c r="J140" s="82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152</v>
      </c>
      <c r="C141" s="79">
        <f>+'29'!G141</f>
        <v>0</v>
      </c>
      <c r="D141" s="87">
        <v>0</v>
      </c>
      <c r="E141" s="47">
        <f t="shared" si="13"/>
        <v>0</v>
      </c>
      <c r="F141" s="87">
        <v>0</v>
      </c>
      <c r="G141" s="47">
        <f t="shared" si="11"/>
        <v>0</v>
      </c>
      <c r="H141" s="88"/>
      <c r="I141" s="20">
        <v>45</v>
      </c>
      <c r="J141" s="82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153</v>
      </c>
      <c r="C142" s="79">
        <f>+'29'!G142</f>
        <v>0</v>
      </c>
      <c r="D142" s="87">
        <v>0</v>
      </c>
      <c r="E142" s="47">
        <f t="shared" si="13"/>
        <v>0</v>
      </c>
      <c r="F142" s="87">
        <v>0</v>
      </c>
      <c r="G142" s="47">
        <f t="shared" si="11"/>
        <v>0</v>
      </c>
      <c r="H142" s="88"/>
      <c r="I142" s="20">
        <v>45</v>
      </c>
      <c r="J142" s="82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154</v>
      </c>
      <c r="C143" s="79">
        <f>+'29'!G143</f>
        <v>0</v>
      </c>
      <c r="D143" s="87">
        <v>0</v>
      </c>
      <c r="E143" s="47">
        <f t="shared" si="13"/>
        <v>0</v>
      </c>
      <c r="F143" s="87">
        <v>0</v>
      </c>
      <c r="G143" s="47">
        <f t="shared" si="11"/>
        <v>0</v>
      </c>
      <c r="H143" s="88"/>
      <c r="I143" s="20">
        <v>120</v>
      </c>
      <c r="J143" s="82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155</v>
      </c>
      <c r="C144" s="79">
        <f>+'29'!G144</f>
        <v>0</v>
      </c>
      <c r="D144" s="87">
        <v>0</v>
      </c>
      <c r="E144" s="47">
        <f t="shared" si="13"/>
        <v>0</v>
      </c>
      <c r="F144" s="87">
        <v>0</v>
      </c>
      <c r="G144" s="47">
        <f t="shared" si="11"/>
        <v>0</v>
      </c>
      <c r="H144" s="88"/>
      <c r="I144" s="20">
        <v>120</v>
      </c>
      <c r="J144" s="82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156</v>
      </c>
      <c r="C145" s="79">
        <f>+'29'!G145</f>
        <v>0</v>
      </c>
      <c r="D145" s="87">
        <v>0</v>
      </c>
      <c r="E145" s="47">
        <f t="shared" si="13"/>
        <v>0</v>
      </c>
      <c r="F145" s="87">
        <v>0</v>
      </c>
      <c r="G145" s="47">
        <f t="shared" si="11"/>
        <v>0</v>
      </c>
      <c r="H145" s="88"/>
      <c r="I145" s="20">
        <v>120</v>
      </c>
      <c r="J145" s="82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157</v>
      </c>
      <c r="C146" s="79">
        <f>+'29'!G146</f>
        <v>0</v>
      </c>
      <c r="D146" s="87">
        <v>0</v>
      </c>
      <c r="E146" s="47">
        <f t="shared" si="13"/>
        <v>0</v>
      </c>
      <c r="F146" s="87">
        <v>0</v>
      </c>
      <c r="G146" s="47">
        <f t="shared" si="11"/>
        <v>0</v>
      </c>
      <c r="H146" s="88"/>
      <c r="I146" s="20">
        <v>120</v>
      </c>
      <c r="J146" s="82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158</v>
      </c>
      <c r="C147" s="79">
        <f>+'29'!G147</f>
        <v>0</v>
      </c>
      <c r="D147" s="87">
        <v>0</v>
      </c>
      <c r="E147" s="47">
        <f t="shared" si="13"/>
        <v>0</v>
      </c>
      <c r="F147" s="87">
        <v>0</v>
      </c>
      <c r="G147" s="47">
        <f t="shared" si="11"/>
        <v>0</v>
      </c>
      <c r="H147" s="88"/>
      <c r="I147" s="20">
        <v>185</v>
      </c>
      <c r="J147" s="82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159</v>
      </c>
      <c r="C148" s="79">
        <f>+'29'!G148</f>
        <v>0</v>
      </c>
      <c r="D148" s="87">
        <v>0</v>
      </c>
      <c r="E148" s="47">
        <f t="shared" si="13"/>
        <v>0</v>
      </c>
      <c r="F148" s="87">
        <v>0</v>
      </c>
      <c r="G148" s="47">
        <f t="shared" si="11"/>
        <v>0</v>
      </c>
      <c r="H148" s="88"/>
      <c r="I148" s="20">
        <v>185</v>
      </c>
      <c r="J148" s="82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160</v>
      </c>
      <c r="C149" s="79">
        <f>+'29'!G149</f>
        <v>0</v>
      </c>
      <c r="D149" s="87">
        <v>0</v>
      </c>
      <c r="E149" s="47">
        <f t="shared" si="13"/>
        <v>0</v>
      </c>
      <c r="F149" s="87">
        <v>0</v>
      </c>
      <c r="G149" s="47">
        <f t="shared" si="11"/>
        <v>0</v>
      </c>
      <c r="H149" s="88"/>
      <c r="I149" s="20">
        <v>185</v>
      </c>
      <c r="J149" s="82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161</v>
      </c>
      <c r="C150" s="79">
        <f>+'29'!G150</f>
        <v>0</v>
      </c>
      <c r="D150" s="87">
        <v>0</v>
      </c>
      <c r="E150" s="47">
        <f t="shared" si="13"/>
        <v>0</v>
      </c>
      <c r="F150" s="87">
        <v>0</v>
      </c>
      <c r="G150" s="47">
        <f t="shared" si="11"/>
        <v>0</v>
      </c>
      <c r="H150" s="88"/>
      <c r="I150" s="20">
        <v>185</v>
      </c>
      <c r="J150" s="82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5.5" x14ac:dyDescent="0.55000000000000004">
      <c r="A151" s="10">
        <v>147</v>
      </c>
      <c r="B151" s="19" t="s">
        <v>279</v>
      </c>
      <c r="C151" s="79">
        <f>+'29'!G151</f>
        <v>0</v>
      </c>
      <c r="D151" s="87">
        <v>0</v>
      </c>
      <c r="E151" s="47">
        <f t="shared" si="13"/>
        <v>0</v>
      </c>
      <c r="F151" s="87">
        <v>0</v>
      </c>
      <c r="G151" s="47">
        <f t="shared" si="11"/>
        <v>0</v>
      </c>
      <c r="H151" s="88"/>
      <c r="I151" s="20">
        <v>150</v>
      </c>
      <c r="J151" s="82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280</v>
      </c>
      <c r="C152" s="79">
        <f>+'29'!G152</f>
        <v>1</v>
      </c>
      <c r="D152" s="87">
        <v>0</v>
      </c>
      <c r="E152" s="47">
        <f t="shared" si="13"/>
        <v>1</v>
      </c>
      <c r="F152" s="87">
        <v>0</v>
      </c>
      <c r="G152" s="47">
        <f t="shared" si="11"/>
        <v>1</v>
      </c>
      <c r="H152" s="88"/>
      <c r="I152" s="20">
        <v>150</v>
      </c>
      <c r="J152" s="82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5.5" x14ac:dyDescent="0.55000000000000004">
      <c r="A153" s="10">
        <v>149</v>
      </c>
      <c r="B153" s="19" t="s">
        <v>281</v>
      </c>
      <c r="C153" s="79">
        <f>+'29'!G153</f>
        <v>0</v>
      </c>
      <c r="D153" s="87">
        <v>0</v>
      </c>
      <c r="E153" s="47">
        <f t="shared" si="13"/>
        <v>0</v>
      </c>
      <c r="F153" s="87">
        <v>0</v>
      </c>
      <c r="G153" s="47">
        <f t="shared" si="11"/>
        <v>0</v>
      </c>
      <c r="H153" s="88"/>
      <c r="I153" s="20">
        <v>150</v>
      </c>
      <c r="J153" s="82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282</v>
      </c>
      <c r="C154" s="79">
        <f>+'29'!G154</f>
        <v>0</v>
      </c>
      <c r="D154" s="87">
        <v>0</v>
      </c>
      <c r="E154" s="47">
        <f t="shared" si="13"/>
        <v>0</v>
      </c>
      <c r="F154" s="87">
        <v>0</v>
      </c>
      <c r="G154" s="47">
        <f t="shared" si="11"/>
        <v>0</v>
      </c>
      <c r="H154" s="88"/>
      <c r="I154" s="20">
        <v>150</v>
      </c>
      <c r="J154" s="82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166</v>
      </c>
      <c r="C155" s="79">
        <f>+'29'!G155</f>
        <v>0</v>
      </c>
      <c r="D155" s="87">
        <v>0</v>
      </c>
      <c r="E155" s="47">
        <f t="shared" si="13"/>
        <v>0</v>
      </c>
      <c r="F155" s="87">
        <v>0</v>
      </c>
      <c r="G155" s="47">
        <f t="shared" si="11"/>
        <v>0</v>
      </c>
      <c r="H155" s="88"/>
      <c r="I155" s="20">
        <v>185</v>
      </c>
      <c r="J155" s="82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167</v>
      </c>
      <c r="C156" s="79">
        <f>+'29'!G156</f>
        <v>0</v>
      </c>
      <c r="D156" s="87">
        <v>0</v>
      </c>
      <c r="E156" s="47">
        <f t="shared" si="13"/>
        <v>0</v>
      </c>
      <c r="F156" s="87">
        <v>0</v>
      </c>
      <c r="G156" s="47">
        <f t="shared" si="11"/>
        <v>0</v>
      </c>
      <c r="H156" s="88"/>
      <c r="I156" s="20">
        <v>185</v>
      </c>
      <c r="J156" s="82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168</v>
      </c>
      <c r="C157" s="79">
        <f>+'29'!G157</f>
        <v>0</v>
      </c>
      <c r="D157" s="87">
        <v>0</v>
      </c>
      <c r="E157" s="47">
        <f t="shared" si="13"/>
        <v>0</v>
      </c>
      <c r="F157" s="87">
        <v>0</v>
      </c>
      <c r="G157" s="47">
        <f t="shared" si="11"/>
        <v>0</v>
      </c>
      <c r="H157" s="88"/>
      <c r="I157" s="20">
        <v>185</v>
      </c>
      <c r="J157" s="82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169</v>
      </c>
      <c r="C158" s="79">
        <f>+'29'!G158</f>
        <v>0</v>
      </c>
      <c r="D158" s="87">
        <v>0</v>
      </c>
      <c r="E158" s="47">
        <f t="shared" si="13"/>
        <v>0</v>
      </c>
      <c r="F158" s="87">
        <v>0</v>
      </c>
      <c r="G158" s="47">
        <f t="shared" si="11"/>
        <v>0</v>
      </c>
      <c r="H158" s="88"/>
      <c r="I158" s="20">
        <v>185</v>
      </c>
      <c r="J158" s="82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170</v>
      </c>
      <c r="C159" s="79">
        <f>+'29'!G159</f>
        <v>0</v>
      </c>
      <c r="D159" s="87">
        <v>0</v>
      </c>
      <c r="E159" s="47">
        <f t="shared" si="13"/>
        <v>0</v>
      </c>
      <c r="F159" s="87">
        <v>0</v>
      </c>
      <c r="G159" s="47">
        <f t="shared" si="11"/>
        <v>0</v>
      </c>
      <c r="H159" s="88"/>
      <c r="I159" s="20">
        <v>135</v>
      </c>
      <c r="J159" s="82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171</v>
      </c>
      <c r="C160" s="79">
        <f>+'29'!G160</f>
        <v>0</v>
      </c>
      <c r="D160" s="87">
        <v>0</v>
      </c>
      <c r="E160" s="47">
        <f t="shared" si="13"/>
        <v>0</v>
      </c>
      <c r="F160" s="87">
        <v>0</v>
      </c>
      <c r="G160" s="47">
        <f t="shared" si="11"/>
        <v>0</v>
      </c>
      <c r="H160" s="88"/>
      <c r="I160" s="20">
        <v>90</v>
      </c>
      <c r="J160" s="82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172</v>
      </c>
      <c r="C161" s="79">
        <f>+'29'!G161</f>
        <v>0</v>
      </c>
      <c r="D161" s="87">
        <v>0</v>
      </c>
      <c r="E161" s="47">
        <f t="shared" si="13"/>
        <v>0</v>
      </c>
      <c r="F161" s="87">
        <v>0</v>
      </c>
      <c r="G161" s="47">
        <f t="shared" si="11"/>
        <v>0</v>
      </c>
      <c r="H161" s="88"/>
      <c r="I161" s="20">
        <v>90</v>
      </c>
      <c r="J161" s="82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173</v>
      </c>
      <c r="C162" s="79">
        <f>+'29'!G162</f>
        <v>0</v>
      </c>
      <c r="D162" s="87">
        <v>0</v>
      </c>
      <c r="E162" s="47">
        <f t="shared" si="13"/>
        <v>0</v>
      </c>
      <c r="F162" s="87">
        <v>0</v>
      </c>
      <c r="G162" s="47">
        <f t="shared" si="11"/>
        <v>0</v>
      </c>
      <c r="H162" s="88"/>
      <c r="I162" s="20">
        <v>90</v>
      </c>
      <c r="J162" s="82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174</v>
      </c>
      <c r="C163" s="79">
        <f>+'29'!G163</f>
        <v>0</v>
      </c>
      <c r="D163" s="87">
        <v>0</v>
      </c>
      <c r="E163" s="47">
        <f t="shared" si="13"/>
        <v>0</v>
      </c>
      <c r="F163" s="87">
        <v>0</v>
      </c>
      <c r="G163" s="47">
        <f t="shared" si="11"/>
        <v>0</v>
      </c>
      <c r="H163" s="88"/>
      <c r="I163" s="20">
        <v>90</v>
      </c>
      <c r="J163" s="82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175</v>
      </c>
      <c r="C164" s="79">
        <f>+'29'!G164</f>
        <v>0</v>
      </c>
      <c r="D164" s="87">
        <v>0</v>
      </c>
      <c r="E164" s="47">
        <f t="shared" si="13"/>
        <v>0</v>
      </c>
      <c r="F164" s="87">
        <v>0</v>
      </c>
      <c r="G164" s="47">
        <f t="shared" si="11"/>
        <v>0</v>
      </c>
      <c r="H164" s="88"/>
      <c r="I164" s="20">
        <v>25</v>
      </c>
      <c r="J164" s="82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176</v>
      </c>
      <c r="C165" s="79">
        <f>+'29'!G165</f>
        <v>0</v>
      </c>
      <c r="D165" s="87">
        <v>0</v>
      </c>
      <c r="E165" s="47">
        <f t="shared" si="13"/>
        <v>0</v>
      </c>
      <c r="F165" s="87">
        <v>0</v>
      </c>
      <c r="G165" s="47">
        <f t="shared" ref="G165:G227" si="15">+E165-F165-H165</f>
        <v>0</v>
      </c>
      <c r="H165" s="88"/>
      <c r="I165" s="20">
        <v>50</v>
      </c>
      <c r="J165" s="82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177</v>
      </c>
      <c r="C166" s="79">
        <f>+'29'!G166</f>
        <v>0</v>
      </c>
      <c r="D166" s="87">
        <v>0</v>
      </c>
      <c r="E166" s="47">
        <f t="shared" si="13"/>
        <v>0</v>
      </c>
      <c r="F166" s="87">
        <v>0</v>
      </c>
      <c r="G166" s="47">
        <f t="shared" si="15"/>
        <v>0</v>
      </c>
      <c r="H166" s="88"/>
      <c r="I166" s="20">
        <v>50</v>
      </c>
      <c r="J166" s="82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178</v>
      </c>
      <c r="C167" s="79">
        <f>+'29'!G167</f>
        <v>0</v>
      </c>
      <c r="D167" s="87">
        <v>0</v>
      </c>
      <c r="E167" s="47">
        <f t="shared" si="13"/>
        <v>0</v>
      </c>
      <c r="F167" s="87">
        <v>0</v>
      </c>
      <c r="G167" s="47">
        <f t="shared" si="15"/>
        <v>0</v>
      </c>
      <c r="H167" s="88"/>
      <c r="I167" s="20">
        <v>50</v>
      </c>
      <c r="J167" s="82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179</v>
      </c>
      <c r="C168" s="79">
        <f>+'29'!G168</f>
        <v>0</v>
      </c>
      <c r="D168" s="87">
        <v>0</v>
      </c>
      <c r="E168" s="47">
        <f t="shared" si="13"/>
        <v>0</v>
      </c>
      <c r="F168" s="87">
        <v>0</v>
      </c>
      <c r="G168" s="47">
        <f t="shared" si="15"/>
        <v>0</v>
      </c>
      <c r="H168" s="88"/>
      <c r="I168" s="20">
        <v>50</v>
      </c>
      <c r="J168" s="82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180</v>
      </c>
      <c r="C169" s="79">
        <f>+'29'!G169</f>
        <v>35</v>
      </c>
      <c r="D169" s="87">
        <v>0</v>
      </c>
      <c r="E169" s="47">
        <f t="shared" si="13"/>
        <v>35</v>
      </c>
      <c r="F169" s="87">
        <v>0</v>
      </c>
      <c r="G169" s="47">
        <f t="shared" si="15"/>
        <v>35</v>
      </c>
      <c r="H169" s="88"/>
      <c r="I169" s="20">
        <v>55</v>
      </c>
      <c r="J169" s="82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181</v>
      </c>
      <c r="C170" s="79">
        <f>+'29'!G170</f>
        <v>0</v>
      </c>
      <c r="D170" s="87">
        <v>0</v>
      </c>
      <c r="E170" s="47">
        <f t="shared" si="13"/>
        <v>0</v>
      </c>
      <c r="F170" s="87">
        <v>0</v>
      </c>
      <c r="G170" s="47">
        <f t="shared" si="15"/>
        <v>0</v>
      </c>
      <c r="H170" s="88"/>
      <c r="I170" s="20">
        <v>85</v>
      </c>
      <c r="J170" s="82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182</v>
      </c>
      <c r="C171" s="79">
        <f>+'29'!G171</f>
        <v>1</v>
      </c>
      <c r="D171" s="87">
        <v>0</v>
      </c>
      <c r="E171" s="47">
        <f t="shared" si="13"/>
        <v>1</v>
      </c>
      <c r="F171" s="87">
        <v>0</v>
      </c>
      <c r="G171" s="47">
        <f t="shared" si="15"/>
        <v>1</v>
      </c>
      <c r="H171" s="88"/>
      <c r="I171" s="20">
        <v>80</v>
      </c>
      <c r="J171" s="82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183</v>
      </c>
      <c r="C172" s="79">
        <f>+'29'!G172</f>
        <v>0</v>
      </c>
      <c r="D172" s="87">
        <v>0</v>
      </c>
      <c r="E172" s="47">
        <f t="shared" si="13"/>
        <v>0</v>
      </c>
      <c r="F172" s="87">
        <v>0</v>
      </c>
      <c r="G172" s="47">
        <f t="shared" si="15"/>
        <v>0</v>
      </c>
      <c r="H172" s="88"/>
      <c r="I172" s="20">
        <v>40</v>
      </c>
      <c r="J172" s="82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184</v>
      </c>
      <c r="C173" s="79">
        <f>+'29'!G173</f>
        <v>0</v>
      </c>
      <c r="D173" s="87">
        <v>0</v>
      </c>
      <c r="E173" s="47">
        <f t="shared" si="13"/>
        <v>0</v>
      </c>
      <c r="F173" s="87">
        <v>0</v>
      </c>
      <c r="G173" s="47">
        <f t="shared" si="15"/>
        <v>0</v>
      </c>
      <c r="H173" s="88"/>
      <c r="I173" s="20">
        <v>120</v>
      </c>
      <c r="J173" s="82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185</v>
      </c>
      <c r="C174" s="79">
        <f>+'29'!G174</f>
        <v>0</v>
      </c>
      <c r="D174" s="87">
        <v>0</v>
      </c>
      <c r="E174" s="47">
        <f t="shared" si="13"/>
        <v>0</v>
      </c>
      <c r="F174" s="87">
        <v>0</v>
      </c>
      <c r="G174" s="47">
        <f t="shared" si="15"/>
        <v>0</v>
      </c>
      <c r="H174" s="88"/>
      <c r="I174" s="20">
        <v>120</v>
      </c>
      <c r="J174" s="82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186</v>
      </c>
      <c r="C175" s="79">
        <f>+'29'!G175</f>
        <v>0</v>
      </c>
      <c r="D175" s="87">
        <v>0</v>
      </c>
      <c r="E175" s="47">
        <f t="shared" si="13"/>
        <v>0</v>
      </c>
      <c r="F175" s="87">
        <v>0</v>
      </c>
      <c r="G175" s="47">
        <f t="shared" si="15"/>
        <v>0</v>
      </c>
      <c r="H175" s="88"/>
      <c r="I175" s="20">
        <v>55</v>
      </c>
      <c r="J175" s="82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187</v>
      </c>
      <c r="C176" s="79">
        <f>+'29'!G176</f>
        <v>0</v>
      </c>
      <c r="D176" s="87">
        <v>0</v>
      </c>
      <c r="E176" s="47">
        <f t="shared" si="13"/>
        <v>0</v>
      </c>
      <c r="F176" s="87">
        <v>0</v>
      </c>
      <c r="G176" s="47">
        <f t="shared" si="15"/>
        <v>0</v>
      </c>
      <c r="H176" s="88"/>
      <c r="I176" s="20">
        <v>50</v>
      </c>
      <c r="J176" s="82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188</v>
      </c>
      <c r="C177" s="79">
        <f>+'29'!G177</f>
        <v>2</v>
      </c>
      <c r="D177" s="87">
        <v>0</v>
      </c>
      <c r="E177" s="47">
        <f t="shared" si="13"/>
        <v>2</v>
      </c>
      <c r="F177" s="87">
        <v>0</v>
      </c>
      <c r="G177" s="47">
        <f t="shared" si="15"/>
        <v>2</v>
      </c>
      <c r="H177" s="88"/>
      <c r="I177" s="20">
        <v>50</v>
      </c>
      <c r="J177" s="82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189</v>
      </c>
      <c r="C178" s="79">
        <f>+'29'!G178</f>
        <v>0</v>
      </c>
      <c r="D178" s="87">
        <v>0</v>
      </c>
      <c r="E178" s="47">
        <f t="shared" si="13"/>
        <v>0</v>
      </c>
      <c r="F178" s="87">
        <v>0</v>
      </c>
      <c r="G178" s="47">
        <f t="shared" si="15"/>
        <v>0</v>
      </c>
      <c r="H178" s="88"/>
      <c r="I178" s="20">
        <v>120</v>
      </c>
      <c r="J178" s="82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190</v>
      </c>
      <c r="C179" s="79">
        <f>+'29'!G179</f>
        <v>1</v>
      </c>
      <c r="D179" s="87">
        <v>0</v>
      </c>
      <c r="E179" s="47">
        <f t="shared" si="13"/>
        <v>1</v>
      </c>
      <c r="F179" s="87">
        <v>0</v>
      </c>
      <c r="G179" s="47">
        <f t="shared" si="15"/>
        <v>1</v>
      </c>
      <c r="H179" s="88"/>
      <c r="I179" s="20">
        <v>120</v>
      </c>
      <c r="J179" s="82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191</v>
      </c>
      <c r="C180" s="79">
        <f>+'29'!G180</f>
        <v>0</v>
      </c>
      <c r="D180" s="87">
        <v>0</v>
      </c>
      <c r="E180" s="47">
        <f t="shared" si="13"/>
        <v>0</v>
      </c>
      <c r="F180" s="87">
        <v>0</v>
      </c>
      <c r="G180" s="47">
        <f t="shared" si="15"/>
        <v>0</v>
      </c>
      <c r="H180" s="88"/>
      <c r="I180" s="20">
        <v>10</v>
      </c>
      <c r="J180" s="82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192</v>
      </c>
      <c r="C181" s="79">
        <f>+'29'!G181</f>
        <v>0</v>
      </c>
      <c r="D181" s="87">
        <v>0</v>
      </c>
      <c r="E181" s="47">
        <f t="shared" si="13"/>
        <v>0</v>
      </c>
      <c r="F181" s="87">
        <v>0</v>
      </c>
      <c r="G181" s="47">
        <f t="shared" si="15"/>
        <v>0</v>
      </c>
      <c r="H181" s="88"/>
      <c r="I181" s="20">
        <v>35</v>
      </c>
      <c r="J181" s="82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193</v>
      </c>
      <c r="C182" s="79">
        <f>+'29'!G182</f>
        <v>0</v>
      </c>
      <c r="D182" s="87">
        <v>0</v>
      </c>
      <c r="E182" s="47">
        <f t="shared" si="13"/>
        <v>0</v>
      </c>
      <c r="F182" s="87">
        <v>0</v>
      </c>
      <c r="G182" s="47">
        <f t="shared" si="15"/>
        <v>0</v>
      </c>
      <c r="H182" s="88"/>
      <c r="I182" s="20">
        <v>10</v>
      </c>
      <c r="J182" s="82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194</v>
      </c>
      <c r="C183" s="79">
        <f>+'29'!G183</f>
        <v>0</v>
      </c>
      <c r="D183" s="87">
        <v>0</v>
      </c>
      <c r="E183" s="47">
        <f t="shared" si="13"/>
        <v>0</v>
      </c>
      <c r="F183" s="87">
        <v>0</v>
      </c>
      <c r="G183" s="47">
        <f t="shared" si="15"/>
        <v>0</v>
      </c>
      <c r="H183" s="88"/>
      <c r="I183" s="20">
        <v>10</v>
      </c>
      <c r="J183" s="82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195</v>
      </c>
      <c r="C184" s="79">
        <f>+'29'!G184</f>
        <v>0</v>
      </c>
      <c r="D184" s="87">
        <v>0</v>
      </c>
      <c r="E184" s="47">
        <f t="shared" si="13"/>
        <v>0</v>
      </c>
      <c r="F184" s="87">
        <v>0</v>
      </c>
      <c r="G184" s="47">
        <f t="shared" si="15"/>
        <v>0</v>
      </c>
      <c r="H184" s="88"/>
      <c r="I184" s="20">
        <v>10</v>
      </c>
      <c r="J184" s="82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196</v>
      </c>
      <c r="C185" s="79">
        <f>+'29'!G185</f>
        <v>0</v>
      </c>
      <c r="D185" s="87">
        <v>0</v>
      </c>
      <c r="E185" s="47">
        <f t="shared" si="13"/>
        <v>0</v>
      </c>
      <c r="F185" s="87">
        <v>0</v>
      </c>
      <c r="G185" s="47">
        <f t="shared" si="15"/>
        <v>0</v>
      </c>
      <c r="H185" s="88"/>
      <c r="I185" s="20">
        <v>10</v>
      </c>
      <c r="J185" s="82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197</v>
      </c>
      <c r="C186" s="79">
        <f>+'29'!G186</f>
        <v>0</v>
      </c>
      <c r="D186" s="87">
        <v>0</v>
      </c>
      <c r="E186" s="47">
        <f t="shared" si="13"/>
        <v>0</v>
      </c>
      <c r="F186" s="87">
        <v>0</v>
      </c>
      <c r="G186" s="47">
        <f t="shared" si="15"/>
        <v>0</v>
      </c>
      <c r="H186" s="88"/>
      <c r="I186" s="20">
        <v>10</v>
      </c>
      <c r="J186" s="82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198</v>
      </c>
      <c r="C187" s="79">
        <f>+'29'!G187</f>
        <v>0</v>
      </c>
      <c r="D187" s="87">
        <v>0</v>
      </c>
      <c r="E187" s="47">
        <f t="shared" si="13"/>
        <v>0</v>
      </c>
      <c r="F187" s="87">
        <v>0</v>
      </c>
      <c r="G187" s="47">
        <f t="shared" si="15"/>
        <v>0</v>
      </c>
      <c r="H187" s="88"/>
      <c r="I187" s="20">
        <v>25</v>
      </c>
      <c r="J187" s="82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249</v>
      </c>
      <c r="C188" s="79">
        <f>+'29'!G188</f>
        <v>0</v>
      </c>
      <c r="D188" s="87">
        <v>0</v>
      </c>
      <c r="E188" s="47">
        <f t="shared" si="13"/>
        <v>0</v>
      </c>
      <c r="F188" s="87">
        <v>0</v>
      </c>
      <c r="G188" s="47">
        <f t="shared" si="15"/>
        <v>0</v>
      </c>
      <c r="H188" s="88"/>
      <c r="I188" s="15">
        <v>50</v>
      </c>
      <c r="J188" s="82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250</v>
      </c>
      <c r="C189" s="79">
        <f>+'29'!G189</f>
        <v>0</v>
      </c>
      <c r="D189" s="87">
        <v>0</v>
      </c>
      <c r="E189" s="47">
        <f t="shared" si="13"/>
        <v>0</v>
      </c>
      <c r="F189" s="87">
        <v>0</v>
      </c>
      <c r="G189" s="47">
        <f t="shared" si="15"/>
        <v>0</v>
      </c>
      <c r="H189" s="88"/>
      <c r="I189" s="15">
        <v>10</v>
      </c>
      <c r="J189" s="82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251</v>
      </c>
      <c r="C190" s="79">
        <f>+'29'!G190</f>
        <v>0</v>
      </c>
      <c r="D190" s="87">
        <v>0</v>
      </c>
      <c r="E190" s="47">
        <f t="shared" ref="E190:E252" si="17">C190+D190</f>
        <v>0</v>
      </c>
      <c r="F190" s="87">
        <v>0</v>
      </c>
      <c r="G190" s="47">
        <f t="shared" si="15"/>
        <v>0</v>
      </c>
      <c r="H190" s="88"/>
      <c r="I190" s="15">
        <v>15</v>
      </c>
      <c r="J190" s="82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252</v>
      </c>
      <c r="C191" s="79">
        <f>+'29'!G191</f>
        <v>0</v>
      </c>
      <c r="D191" s="87">
        <v>0</v>
      </c>
      <c r="E191" s="47">
        <f t="shared" si="17"/>
        <v>0</v>
      </c>
      <c r="F191" s="87">
        <v>0</v>
      </c>
      <c r="G191" s="47">
        <f t="shared" si="15"/>
        <v>0</v>
      </c>
      <c r="H191" s="88"/>
      <c r="I191" s="15">
        <v>25</v>
      </c>
      <c r="J191" s="82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253</v>
      </c>
      <c r="C192" s="79">
        <f>+'29'!G192</f>
        <v>0</v>
      </c>
      <c r="D192" s="87">
        <v>0</v>
      </c>
      <c r="E192" s="47">
        <f t="shared" si="17"/>
        <v>0</v>
      </c>
      <c r="F192" s="87">
        <v>0</v>
      </c>
      <c r="G192" s="47">
        <f t="shared" si="15"/>
        <v>0</v>
      </c>
      <c r="H192" s="88"/>
      <c r="I192" s="15">
        <v>50</v>
      </c>
      <c r="J192" s="82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254</v>
      </c>
      <c r="C193" s="79">
        <f>+'29'!G193</f>
        <v>0</v>
      </c>
      <c r="D193" s="87">
        <v>0</v>
      </c>
      <c r="E193" s="47">
        <f t="shared" si="17"/>
        <v>0</v>
      </c>
      <c r="F193" s="87">
        <v>0</v>
      </c>
      <c r="G193" s="47">
        <f t="shared" si="15"/>
        <v>0</v>
      </c>
      <c r="H193" s="88"/>
      <c r="I193" s="15">
        <v>45</v>
      </c>
      <c r="J193" s="82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255</v>
      </c>
      <c r="C194" s="79">
        <f>+'29'!G194</f>
        <v>0</v>
      </c>
      <c r="D194" s="87">
        <v>0</v>
      </c>
      <c r="E194" s="47">
        <f t="shared" si="17"/>
        <v>0</v>
      </c>
      <c r="F194" s="87">
        <v>0</v>
      </c>
      <c r="G194" s="47">
        <f t="shared" si="15"/>
        <v>0</v>
      </c>
      <c r="H194" s="88"/>
      <c r="I194" s="15">
        <v>50</v>
      </c>
      <c r="J194" s="82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199</v>
      </c>
      <c r="C195" s="79">
        <f>+'29'!G195</f>
        <v>0</v>
      </c>
      <c r="D195" s="87">
        <v>0</v>
      </c>
      <c r="E195" s="47">
        <f t="shared" si="17"/>
        <v>0</v>
      </c>
      <c r="F195" s="87">
        <v>0</v>
      </c>
      <c r="G195" s="47">
        <f t="shared" si="15"/>
        <v>0</v>
      </c>
      <c r="H195" s="88"/>
      <c r="I195" s="15">
        <v>150</v>
      </c>
      <c r="J195" s="82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200</v>
      </c>
      <c r="C196" s="79">
        <f>+'29'!G196</f>
        <v>0</v>
      </c>
      <c r="D196" s="87">
        <v>0</v>
      </c>
      <c r="E196" s="47">
        <f t="shared" si="17"/>
        <v>0</v>
      </c>
      <c r="F196" s="87">
        <v>0</v>
      </c>
      <c r="G196" s="47">
        <f t="shared" si="15"/>
        <v>0</v>
      </c>
      <c r="H196" s="88"/>
      <c r="I196" s="15">
        <v>150</v>
      </c>
      <c r="J196" s="82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201</v>
      </c>
      <c r="C197" s="79">
        <f>+'29'!G197</f>
        <v>0</v>
      </c>
      <c r="D197" s="87">
        <v>0</v>
      </c>
      <c r="E197" s="47">
        <f t="shared" si="17"/>
        <v>0</v>
      </c>
      <c r="F197" s="87">
        <v>0</v>
      </c>
      <c r="G197" s="47">
        <f t="shared" si="15"/>
        <v>0</v>
      </c>
      <c r="H197" s="88"/>
      <c r="I197" s="15">
        <v>150</v>
      </c>
      <c r="J197" s="82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256</v>
      </c>
      <c r="C198" s="79">
        <f>+'29'!G198</f>
        <v>0</v>
      </c>
      <c r="D198" s="87">
        <v>0</v>
      </c>
      <c r="E198" s="47">
        <f t="shared" si="17"/>
        <v>0</v>
      </c>
      <c r="F198" s="87">
        <v>0</v>
      </c>
      <c r="G198" s="47">
        <f t="shared" si="15"/>
        <v>0</v>
      </c>
      <c r="H198" s="88"/>
      <c r="I198" s="15">
        <v>55</v>
      </c>
      <c r="J198" s="82">
        <f t="shared" si="16"/>
        <v>0</v>
      </c>
      <c r="K198" s="17" t="s">
        <v>16</v>
      </c>
      <c r="L198" s="18">
        <v>0</v>
      </c>
      <c r="M198" s="23">
        <f t="shared" si="14"/>
        <v>0</v>
      </c>
    </row>
    <row r="199" spans="1:13" ht="25.5" x14ac:dyDescent="0.55000000000000004">
      <c r="A199" s="10">
        <v>195</v>
      </c>
      <c r="B199" s="19" t="s">
        <v>257</v>
      </c>
      <c r="C199" s="79">
        <f>+'29'!G199</f>
        <v>0</v>
      </c>
      <c r="D199" s="87">
        <v>0</v>
      </c>
      <c r="E199" s="47">
        <f t="shared" si="17"/>
        <v>0</v>
      </c>
      <c r="F199" s="87">
        <v>0</v>
      </c>
      <c r="G199" s="47">
        <f t="shared" si="15"/>
        <v>0</v>
      </c>
      <c r="H199" s="88"/>
      <c r="I199" s="15">
        <v>30</v>
      </c>
      <c r="J199" s="82">
        <f t="shared" si="16"/>
        <v>0</v>
      </c>
      <c r="K199" s="17" t="s">
        <v>16</v>
      </c>
      <c r="L199" s="18">
        <v>0</v>
      </c>
      <c r="M199" s="23">
        <f t="shared" ref="M199:M254" si="18">SUM(J199-L199)</f>
        <v>0</v>
      </c>
    </row>
    <row r="200" spans="1:13" ht="25.5" x14ac:dyDescent="0.55000000000000004">
      <c r="A200" s="10">
        <v>196</v>
      </c>
      <c r="B200" s="19" t="s">
        <v>258</v>
      </c>
      <c r="C200" s="79">
        <f>+'29'!G200</f>
        <v>0</v>
      </c>
      <c r="D200" s="87">
        <v>0</v>
      </c>
      <c r="E200" s="47">
        <f t="shared" si="17"/>
        <v>0</v>
      </c>
      <c r="F200" s="87">
        <v>0</v>
      </c>
      <c r="G200" s="47">
        <f t="shared" si="15"/>
        <v>0</v>
      </c>
      <c r="H200" s="88"/>
      <c r="I200" s="15">
        <v>30</v>
      </c>
      <c r="J200" s="82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259</v>
      </c>
      <c r="C201" s="79">
        <f>+'29'!G201</f>
        <v>0</v>
      </c>
      <c r="D201" s="87">
        <v>0</v>
      </c>
      <c r="E201" s="47">
        <f t="shared" si="17"/>
        <v>0</v>
      </c>
      <c r="F201" s="87">
        <v>0</v>
      </c>
      <c r="G201" s="47">
        <f t="shared" si="15"/>
        <v>0</v>
      </c>
      <c r="H201" s="88"/>
      <c r="I201" s="15">
        <v>30</v>
      </c>
      <c r="J201" s="82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260</v>
      </c>
      <c r="C202" s="79">
        <f>+'29'!G202</f>
        <v>0</v>
      </c>
      <c r="D202" s="87">
        <v>0</v>
      </c>
      <c r="E202" s="47">
        <f t="shared" si="17"/>
        <v>0</v>
      </c>
      <c r="F202" s="87">
        <v>0</v>
      </c>
      <c r="G202" s="47">
        <f t="shared" si="15"/>
        <v>0</v>
      </c>
      <c r="H202" s="88"/>
      <c r="I202" s="15">
        <v>30</v>
      </c>
      <c r="J202" s="82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1" t="s">
        <v>261</v>
      </c>
      <c r="C203" s="79">
        <f>+'29'!G203</f>
        <v>0</v>
      </c>
      <c r="D203" s="87">
        <v>0</v>
      </c>
      <c r="E203" s="47">
        <f t="shared" si="17"/>
        <v>0</v>
      </c>
      <c r="F203" s="87">
        <v>0</v>
      </c>
      <c r="G203" s="47">
        <f t="shared" si="15"/>
        <v>0</v>
      </c>
      <c r="H203" s="88"/>
      <c r="I203" s="20">
        <v>30</v>
      </c>
      <c r="J203" s="82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1" t="s">
        <v>262</v>
      </c>
      <c r="C204" s="79">
        <f>+'29'!G204</f>
        <v>0</v>
      </c>
      <c r="D204" s="87">
        <v>0</v>
      </c>
      <c r="E204" s="47">
        <f t="shared" si="17"/>
        <v>0</v>
      </c>
      <c r="F204" s="87">
        <v>0</v>
      </c>
      <c r="G204" s="47">
        <f t="shared" si="15"/>
        <v>0</v>
      </c>
      <c r="H204" s="88"/>
      <c r="I204" s="20">
        <v>30</v>
      </c>
      <c r="J204" s="82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1" t="s">
        <v>263</v>
      </c>
      <c r="C205" s="79">
        <f>+'29'!G205</f>
        <v>0</v>
      </c>
      <c r="D205" s="87">
        <v>0</v>
      </c>
      <c r="E205" s="47">
        <f t="shared" si="17"/>
        <v>0</v>
      </c>
      <c r="F205" s="87">
        <v>0</v>
      </c>
      <c r="G205" s="47">
        <f t="shared" si="15"/>
        <v>0</v>
      </c>
      <c r="H205" s="88"/>
      <c r="I205" s="20">
        <v>50</v>
      </c>
      <c r="J205" s="82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1" t="s">
        <v>264</v>
      </c>
      <c r="C206" s="79">
        <f>+'29'!G206</f>
        <v>0</v>
      </c>
      <c r="D206" s="87">
        <v>0</v>
      </c>
      <c r="E206" s="47">
        <f t="shared" si="17"/>
        <v>0</v>
      </c>
      <c r="F206" s="87">
        <v>0</v>
      </c>
      <c r="G206" s="47">
        <f t="shared" si="15"/>
        <v>0</v>
      </c>
      <c r="H206" s="88"/>
      <c r="I206" s="20">
        <v>100</v>
      </c>
      <c r="J206" s="82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1" t="s">
        <v>265</v>
      </c>
      <c r="C207" s="79">
        <f>+'29'!G207</f>
        <v>0</v>
      </c>
      <c r="D207" s="87">
        <v>0</v>
      </c>
      <c r="E207" s="47">
        <f t="shared" si="17"/>
        <v>0</v>
      </c>
      <c r="F207" s="87">
        <v>0</v>
      </c>
      <c r="G207" s="47">
        <f t="shared" si="15"/>
        <v>0</v>
      </c>
      <c r="H207" s="88"/>
      <c r="I207" s="20">
        <v>100</v>
      </c>
      <c r="J207" s="82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1" t="s">
        <v>266</v>
      </c>
      <c r="C208" s="79">
        <f>+'29'!G208</f>
        <v>0</v>
      </c>
      <c r="D208" s="87">
        <v>0</v>
      </c>
      <c r="E208" s="47">
        <f t="shared" si="17"/>
        <v>0</v>
      </c>
      <c r="F208" s="87">
        <v>0</v>
      </c>
      <c r="G208" s="47">
        <f t="shared" si="15"/>
        <v>0</v>
      </c>
      <c r="H208" s="88"/>
      <c r="I208" s="20">
        <v>100</v>
      </c>
      <c r="J208" s="82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1" t="s">
        <v>267</v>
      </c>
      <c r="C209" s="79">
        <f>+'29'!G209</f>
        <v>0</v>
      </c>
      <c r="D209" s="87">
        <v>0</v>
      </c>
      <c r="E209" s="47">
        <f t="shared" si="17"/>
        <v>0</v>
      </c>
      <c r="F209" s="87">
        <v>0</v>
      </c>
      <c r="G209" s="47">
        <f t="shared" si="15"/>
        <v>0</v>
      </c>
      <c r="H209" s="88"/>
      <c r="I209" s="20">
        <v>100</v>
      </c>
      <c r="J209" s="82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1" t="s">
        <v>268</v>
      </c>
      <c r="C210" s="79">
        <f>+'29'!G210</f>
        <v>0</v>
      </c>
      <c r="D210" s="87">
        <v>0</v>
      </c>
      <c r="E210" s="47">
        <f t="shared" si="17"/>
        <v>0</v>
      </c>
      <c r="F210" s="87">
        <v>0</v>
      </c>
      <c r="G210" s="47">
        <f t="shared" si="15"/>
        <v>0</v>
      </c>
      <c r="H210" s="88"/>
      <c r="I210" s="20">
        <v>250</v>
      </c>
      <c r="J210" s="82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1" t="s">
        <v>269</v>
      </c>
      <c r="C211" s="79">
        <f>+'29'!G211</f>
        <v>0</v>
      </c>
      <c r="D211" s="87">
        <v>0</v>
      </c>
      <c r="E211" s="47">
        <f t="shared" si="17"/>
        <v>0</v>
      </c>
      <c r="F211" s="87">
        <v>0</v>
      </c>
      <c r="G211" s="47">
        <f t="shared" si="15"/>
        <v>0</v>
      </c>
      <c r="H211" s="88"/>
      <c r="I211" s="20">
        <v>250</v>
      </c>
      <c r="J211" s="82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1" t="s">
        <v>270</v>
      </c>
      <c r="C212" s="79">
        <f>+'29'!G212</f>
        <v>0</v>
      </c>
      <c r="D212" s="87">
        <v>0</v>
      </c>
      <c r="E212" s="47">
        <f t="shared" si="17"/>
        <v>0</v>
      </c>
      <c r="F212" s="87">
        <v>0</v>
      </c>
      <c r="G212" s="47">
        <f t="shared" si="15"/>
        <v>0</v>
      </c>
      <c r="H212" s="88"/>
      <c r="I212" s="20">
        <v>250</v>
      </c>
      <c r="J212" s="82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1" t="s">
        <v>271</v>
      </c>
      <c r="C213" s="79">
        <f>+'29'!G213</f>
        <v>0</v>
      </c>
      <c r="D213" s="87">
        <v>0</v>
      </c>
      <c r="E213" s="47">
        <f t="shared" si="17"/>
        <v>0</v>
      </c>
      <c r="F213" s="87">
        <v>0</v>
      </c>
      <c r="G213" s="47">
        <f t="shared" si="15"/>
        <v>0</v>
      </c>
      <c r="H213" s="88"/>
      <c r="I213" s="20">
        <v>50</v>
      </c>
      <c r="J213" s="82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1" t="s">
        <v>273</v>
      </c>
      <c r="C214" s="79">
        <f>+'29'!G214</f>
        <v>0</v>
      </c>
      <c r="D214" s="87">
        <v>0</v>
      </c>
      <c r="E214" s="47">
        <f t="shared" si="17"/>
        <v>0</v>
      </c>
      <c r="F214" s="87">
        <v>0</v>
      </c>
      <c r="G214" s="47">
        <f t="shared" si="15"/>
        <v>0</v>
      </c>
      <c r="H214" s="88"/>
      <c r="I214" s="20">
        <v>50</v>
      </c>
      <c r="J214" s="82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1" t="s">
        <v>274</v>
      </c>
      <c r="C215" s="79">
        <f>+'29'!G215</f>
        <v>0</v>
      </c>
      <c r="D215" s="87">
        <v>0</v>
      </c>
      <c r="E215" s="47">
        <f t="shared" si="17"/>
        <v>0</v>
      </c>
      <c r="F215" s="87">
        <v>0</v>
      </c>
      <c r="G215" s="47">
        <f t="shared" si="15"/>
        <v>0</v>
      </c>
      <c r="H215" s="88"/>
      <c r="I215" s="20">
        <v>50</v>
      </c>
      <c r="J215" s="82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1" t="s">
        <v>242</v>
      </c>
      <c r="C216" s="79">
        <f>+'29'!G216</f>
        <v>0</v>
      </c>
      <c r="D216" s="87">
        <v>0</v>
      </c>
      <c r="E216" s="47">
        <f t="shared" si="17"/>
        <v>0</v>
      </c>
      <c r="F216" s="87">
        <v>0</v>
      </c>
      <c r="G216" s="47">
        <f t="shared" si="15"/>
        <v>0</v>
      </c>
      <c r="H216" s="88"/>
      <c r="I216" s="20">
        <v>35</v>
      </c>
      <c r="J216" s="82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1" t="s">
        <v>275</v>
      </c>
      <c r="C217" s="79">
        <f>+'29'!G217</f>
        <v>0</v>
      </c>
      <c r="D217" s="87">
        <v>0</v>
      </c>
      <c r="E217" s="47">
        <f t="shared" si="17"/>
        <v>0</v>
      </c>
      <c r="F217" s="87">
        <v>0</v>
      </c>
      <c r="G217" s="47">
        <f t="shared" si="15"/>
        <v>0</v>
      </c>
      <c r="H217" s="88"/>
      <c r="I217" s="20">
        <v>199</v>
      </c>
      <c r="J217" s="82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1" t="s">
        <v>283</v>
      </c>
      <c r="C218" s="79"/>
      <c r="D218" s="87">
        <v>0</v>
      </c>
      <c r="E218" s="47">
        <f t="shared" si="17"/>
        <v>0</v>
      </c>
      <c r="F218" s="87">
        <v>0</v>
      </c>
      <c r="G218" s="47">
        <f t="shared" si="15"/>
        <v>0</v>
      </c>
      <c r="H218" s="88"/>
      <c r="I218" s="20">
        <v>25</v>
      </c>
      <c r="J218" s="82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1" t="s">
        <v>284</v>
      </c>
      <c r="C219" s="79"/>
      <c r="D219" s="87">
        <v>0</v>
      </c>
      <c r="E219" s="47">
        <f t="shared" si="17"/>
        <v>0</v>
      </c>
      <c r="F219" s="87">
        <v>0</v>
      </c>
      <c r="G219" s="47">
        <f t="shared" si="15"/>
        <v>0</v>
      </c>
      <c r="H219" s="88"/>
      <c r="I219" s="20">
        <v>25</v>
      </c>
      <c r="J219" s="82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1" t="s">
        <v>314</v>
      </c>
      <c r="C220" s="79">
        <f>+'29'!G220</f>
        <v>0</v>
      </c>
      <c r="D220" s="87">
        <v>0</v>
      </c>
      <c r="E220" s="47">
        <f t="shared" si="17"/>
        <v>0</v>
      </c>
      <c r="F220" s="87">
        <v>0</v>
      </c>
      <c r="G220" s="47">
        <f t="shared" si="15"/>
        <v>0</v>
      </c>
      <c r="H220" s="88"/>
      <c r="I220" s="20">
        <v>35</v>
      </c>
      <c r="J220" s="82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1" t="s">
        <v>326</v>
      </c>
      <c r="C221" s="79">
        <f>+'29'!G221</f>
        <v>1</v>
      </c>
      <c r="D221" s="87">
        <v>0</v>
      </c>
      <c r="E221" s="47">
        <f t="shared" si="17"/>
        <v>1</v>
      </c>
      <c r="F221" s="87">
        <v>0</v>
      </c>
      <c r="G221" s="47">
        <f t="shared" si="15"/>
        <v>1</v>
      </c>
      <c r="H221" s="88"/>
      <c r="I221" s="20">
        <v>55</v>
      </c>
      <c r="J221" s="82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1" t="s">
        <v>327</v>
      </c>
      <c r="C222" s="79">
        <f>+'29'!G222</f>
        <v>4</v>
      </c>
      <c r="D222" s="87">
        <v>0</v>
      </c>
      <c r="E222" s="47">
        <f t="shared" si="17"/>
        <v>4</v>
      </c>
      <c r="F222" s="87">
        <v>0</v>
      </c>
      <c r="G222" s="47">
        <f t="shared" si="15"/>
        <v>0</v>
      </c>
      <c r="H222" s="88">
        <v>4</v>
      </c>
      <c r="I222" s="20">
        <v>40</v>
      </c>
      <c r="J222" s="82">
        <f t="shared" si="16"/>
        <v>160</v>
      </c>
      <c r="K222" s="17" t="s">
        <v>16</v>
      </c>
      <c r="L222" s="18">
        <v>0</v>
      </c>
      <c r="M222" s="23">
        <f t="shared" si="18"/>
        <v>160</v>
      </c>
    </row>
    <row r="223" spans="1:13" ht="25.5" x14ac:dyDescent="0.55000000000000004">
      <c r="A223" s="10">
        <v>219</v>
      </c>
      <c r="B223" s="11"/>
      <c r="C223" s="79">
        <f>+'29'!G223</f>
        <v>0</v>
      </c>
      <c r="D223" s="87">
        <v>0</v>
      </c>
      <c r="E223" s="47">
        <f t="shared" si="17"/>
        <v>0</v>
      </c>
      <c r="F223" s="87">
        <v>0</v>
      </c>
      <c r="G223" s="47">
        <f t="shared" si="15"/>
        <v>0</v>
      </c>
      <c r="H223" s="88"/>
      <c r="I223" s="20"/>
      <c r="J223" s="82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1"/>
      <c r="C224" s="79">
        <f>+'29'!G224</f>
        <v>0</v>
      </c>
      <c r="D224" s="87">
        <v>0</v>
      </c>
      <c r="E224" s="47">
        <f t="shared" si="17"/>
        <v>0</v>
      </c>
      <c r="F224" s="87">
        <v>0</v>
      </c>
      <c r="G224" s="47">
        <f t="shared" si="15"/>
        <v>0</v>
      </c>
      <c r="H224" s="88"/>
      <c r="I224" s="20"/>
      <c r="J224" s="82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1"/>
      <c r="C225" s="79">
        <f>+'29'!G225</f>
        <v>0</v>
      </c>
      <c r="D225" s="87">
        <v>0</v>
      </c>
      <c r="E225" s="47">
        <f t="shared" si="17"/>
        <v>0</v>
      </c>
      <c r="F225" s="87">
        <v>0</v>
      </c>
      <c r="G225" s="47">
        <f t="shared" si="15"/>
        <v>0</v>
      </c>
      <c r="H225" s="88"/>
      <c r="I225" s="20"/>
      <c r="J225" s="82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1"/>
      <c r="C226" s="79">
        <f>+'29'!G226</f>
        <v>0</v>
      </c>
      <c r="D226" s="87">
        <v>0</v>
      </c>
      <c r="E226" s="47">
        <f t="shared" si="17"/>
        <v>0</v>
      </c>
      <c r="F226" s="87">
        <v>0</v>
      </c>
      <c r="G226" s="47">
        <f t="shared" si="15"/>
        <v>0</v>
      </c>
      <c r="H226" s="88"/>
      <c r="I226" s="20"/>
      <c r="J226" s="82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1"/>
      <c r="C227" s="79">
        <f>+'29'!G227</f>
        <v>0</v>
      </c>
      <c r="D227" s="87">
        <v>0</v>
      </c>
      <c r="E227" s="47">
        <f t="shared" si="17"/>
        <v>0</v>
      </c>
      <c r="F227" s="87">
        <v>0</v>
      </c>
      <c r="G227" s="47">
        <f t="shared" si="15"/>
        <v>0</v>
      </c>
      <c r="H227" s="88"/>
      <c r="I227" s="20"/>
      <c r="J227" s="82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1"/>
      <c r="C228" s="79">
        <f>+'29'!G228</f>
        <v>0</v>
      </c>
      <c r="D228" s="87">
        <v>0</v>
      </c>
      <c r="E228" s="47">
        <f t="shared" si="17"/>
        <v>0</v>
      </c>
      <c r="F228" s="87">
        <v>0</v>
      </c>
      <c r="G228" s="47">
        <f t="shared" ref="G228:G254" si="19">+E228-F228-H228</f>
        <v>0</v>
      </c>
      <c r="H228" s="88"/>
      <c r="I228" s="20"/>
      <c r="J228" s="82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1"/>
      <c r="C229" s="79">
        <f>+'29'!G229</f>
        <v>0</v>
      </c>
      <c r="D229" s="87">
        <v>0</v>
      </c>
      <c r="E229" s="47">
        <f t="shared" si="17"/>
        <v>0</v>
      </c>
      <c r="F229" s="87">
        <v>0</v>
      </c>
      <c r="G229" s="47">
        <f t="shared" si="19"/>
        <v>0</v>
      </c>
      <c r="H229" s="88"/>
      <c r="I229" s="20"/>
      <c r="J229" s="82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1"/>
      <c r="C230" s="79">
        <f>+'29'!G230</f>
        <v>0</v>
      </c>
      <c r="D230" s="87">
        <v>0</v>
      </c>
      <c r="E230" s="47">
        <f t="shared" si="17"/>
        <v>0</v>
      </c>
      <c r="F230" s="87">
        <v>0</v>
      </c>
      <c r="G230" s="47">
        <f t="shared" si="19"/>
        <v>0</v>
      </c>
      <c r="H230" s="88"/>
      <c r="I230" s="20"/>
      <c r="J230" s="82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1"/>
      <c r="C231" s="79">
        <f>+'29'!G231</f>
        <v>0</v>
      </c>
      <c r="D231" s="87">
        <v>0</v>
      </c>
      <c r="E231" s="47">
        <f t="shared" si="17"/>
        <v>0</v>
      </c>
      <c r="F231" s="87">
        <v>0</v>
      </c>
      <c r="G231" s="47">
        <f t="shared" si="19"/>
        <v>0</v>
      </c>
      <c r="H231" s="88"/>
      <c r="I231" s="20"/>
      <c r="J231" s="82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1"/>
      <c r="C232" s="79">
        <f>+'29'!G232</f>
        <v>0</v>
      </c>
      <c r="D232" s="87">
        <v>0</v>
      </c>
      <c r="E232" s="47">
        <f t="shared" si="17"/>
        <v>0</v>
      </c>
      <c r="F232" s="87">
        <v>0</v>
      </c>
      <c r="G232" s="47">
        <f t="shared" si="19"/>
        <v>0</v>
      </c>
      <c r="H232" s="88"/>
      <c r="I232" s="20"/>
      <c r="J232" s="82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1"/>
      <c r="C233" s="79">
        <f>+'29'!G233</f>
        <v>0</v>
      </c>
      <c r="D233" s="87">
        <v>0</v>
      </c>
      <c r="E233" s="47">
        <f t="shared" si="17"/>
        <v>0</v>
      </c>
      <c r="F233" s="87">
        <v>0</v>
      </c>
      <c r="G233" s="47">
        <f t="shared" si="19"/>
        <v>0</v>
      </c>
      <c r="H233" s="88"/>
      <c r="I233" s="20"/>
      <c r="J233" s="82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1"/>
      <c r="C234" s="79">
        <f>+'29'!G234</f>
        <v>0</v>
      </c>
      <c r="D234" s="87">
        <v>0</v>
      </c>
      <c r="E234" s="47">
        <f t="shared" si="17"/>
        <v>0</v>
      </c>
      <c r="F234" s="87">
        <v>0</v>
      </c>
      <c r="G234" s="47">
        <f t="shared" si="19"/>
        <v>0</v>
      </c>
      <c r="H234" s="88"/>
      <c r="I234" s="20"/>
      <c r="J234" s="82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1"/>
      <c r="C235" s="79">
        <f>+'29'!G235</f>
        <v>0</v>
      </c>
      <c r="D235" s="87">
        <v>0</v>
      </c>
      <c r="E235" s="47">
        <f t="shared" si="17"/>
        <v>0</v>
      </c>
      <c r="F235" s="87">
        <v>0</v>
      </c>
      <c r="G235" s="47">
        <f t="shared" si="19"/>
        <v>0</v>
      </c>
      <c r="H235" s="88"/>
      <c r="I235" s="20"/>
      <c r="J235" s="82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1"/>
      <c r="C236" s="79">
        <f>+'29'!G236</f>
        <v>0</v>
      </c>
      <c r="D236" s="87">
        <v>0</v>
      </c>
      <c r="E236" s="47">
        <f t="shared" si="17"/>
        <v>0</v>
      </c>
      <c r="F236" s="87">
        <v>0</v>
      </c>
      <c r="G236" s="47">
        <f t="shared" si="19"/>
        <v>0</v>
      </c>
      <c r="H236" s="88"/>
      <c r="I236" s="20"/>
      <c r="J236" s="82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1"/>
      <c r="C237" s="79">
        <f>+'29'!G237</f>
        <v>0</v>
      </c>
      <c r="D237" s="87">
        <v>0</v>
      </c>
      <c r="E237" s="47">
        <f t="shared" si="17"/>
        <v>0</v>
      </c>
      <c r="F237" s="87">
        <v>0</v>
      </c>
      <c r="G237" s="47">
        <f t="shared" si="19"/>
        <v>0</v>
      </c>
      <c r="H237" s="88"/>
      <c r="I237" s="20"/>
      <c r="J237" s="82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1"/>
      <c r="C238" s="79">
        <f>+'29'!G238</f>
        <v>0</v>
      </c>
      <c r="D238" s="87">
        <v>0</v>
      </c>
      <c r="E238" s="47">
        <f t="shared" si="17"/>
        <v>0</v>
      </c>
      <c r="F238" s="87">
        <v>0</v>
      </c>
      <c r="G238" s="47">
        <f t="shared" si="19"/>
        <v>0</v>
      </c>
      <c r="H238" s="88"/>
      <c r="I238" s="20"/>
      <c r="J238" s="82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1"/>
      <c r="C239" s="79">
        <f>+'29'!G239</f>
        <v>0</v>
      </c>
      <c r="D239" s="87">
        <v>0</v>
      </c>
      <c r="E239" s="47">
        <f t="shared" si="17"/>
        <v>0</v>
      </c>
      <c r="F239" s="87">
        <v>0</v>
      </c>
      <c r="G239" s="47">
        <f t="shared" si="19"/>
        <v>0</v>
      </c>
      <c r="H239" s="88"/>
      <c r="I239" s="20"/>
      <c r="J239" s="82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1"/>
      <c r="C240" s="79">
        <f>+'29'!G240</f>
        <v>0</v>
      </c>
      <c r="D240" s="87">
        <v>0</v>
      </c>
      <c r="E240" s="47">
        <f t="shared" si="17"/>
        <v>0</v>
      </c>
      <c r="F240" s="87">
        <v>0</v>
      </c>
      <c r="G240" s="47">
        <f t="shared" si="19"/>
        <v>0</v>
      </c>
      <c r="H240" s="88"/>
      <c r="I240" s="20"/>
      <c r="J240" s="82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1"/>
      <c r="C241" s="79">
        <f>+'29'!G241</f>
        <v>0</v>
      </c>
      <c r="D241" s="87">
        <v>0</v>
      </c>
      <c r="E241" s="47">
        <f t="shared" si="17"/>
        <v>0</v>
      </c>
      <c r="F241" s="87">
        <v>0</v>
      </c>
      <c r="G241" s="47">
        <f t="shared" si="19"/>
        <v>0</v>
      </c>
      <c r="H241" s="88"/>
      <c r="I241" s="20"/>
      <c r="J241" s="82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1"/>
      <c r="C242" s="79">
        <f>+'29'!G242</f>
        <v>0</v>
      </c>
      <c r="D242" s="87">
        <v>0</v>
      </c>
      <c r="E242" s="47">
        <f t="shared" si="17"/>
        <v>0</v>
      </c>
      <c r="F242" s="87">
        <v>0</v>
      </c>
      <c r="G242" s="47">
        <f t="shared" si="19"/>
        <v>0</v>
      </c>
      <c r="H242" s="88"/>
      <c r="I242" s="20"/>
      <c r="J242" s="82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1"/>
      <c r="C243" s="79">
        <f>+'29'!G243</f>
        <v>0</v>
      </c>
      <c r="D243" s="87">
        <v>0</v>
      </c>
      <c r="E243" s="47">
        <f t="shared" si="17"/>
        <v>0</v>
      </c>
      <c r="F243" s="87">
        <v>0</v>
      </c>
      <c r="G243" s="47">
        <f t="shared" si="19"/>
        <v>0</v>
      </c>
      <c r="H243" s="88"/>
      <c r="I243" s="20"/>
      <c r="J243" s="82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1"/>
      <c r="C244" s="79">
        <f>+'29'!G244</f>
        <v>0</v>
      </c>
      <c r="D244" s="87">
        <v>0</v>
      </c>
      <c r="E244" s="47">
        <f t="shared" si="17"/>
        <v>0</v>
      </c>
      <c r="F244" s="87">
        <v>0</v>
      </c>
      <c r="G244" s="47">
        <f t="shared" si="19"/>
        <v>0</v>
      </c>
      <c r="H244" s="88"/>
      <c r="I244" s="20"/>
      <c r="J244" s="82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1"/>
      <c r="C245" s="79">
        <f>+'29'!G245</f>
        <v>0</v>
      </c>
      <c r="D245" s="87">
        <v>0</v>
      </c>
      <c r="E245" s="47">
        <f t="shared" si="17"/>
        <v>0</v>
      </c>
      <c r="F245" s="87">
        <v>0</v>
      </c>
      <c r="G245" s="47">
        <f t="shared" si="19"/>
        <v>0</v>
      </c>
      <c r="H245" s="88"/>
      <c r="I245" s="20"/>
      <c r="J245" s="82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1"/>
      <c r="C246" s="79">
        <f>+'29'!G246</f>
        <v>0</v>
      </c>
      <c r="D246" s="87">
        <v>0</v>
      </c>
      <c r="E246" s="47">
        <f t="shared" si="17"/>
        <v>0</v>
      </c>
      <c r="F246" s="87">
        <v>0</v>
      </c>
      <c r="G246" s="47">
        <f t="shared" si="19"/>
        <v>0</v>
      </c>
      <c r="H246" s="88"/>
      <c r="I246" s="20"/>
      <c r="J246" s="82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1"/>
      <c r="C247" s="79">
        <f>+'29'!G247</f>
        <v>0</v>
      </c>
      <c r="D247" s="87">
        <v>0</v>
      </c>
      <c r="E247" s="47">
        <f t="shared" si="17"/>
        <v>0</v>
      </c>
      <c r="F247" s="87">
        <v>0</v>
      </c>
      <c r="G247" s="47">
        <f t="shared" si="19"/>
        <v>0</v>
      </c>
      <c r="H247" s="88"/>
      <c r="I247" s="20"/>
      <c r="J247" s="82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1"/>
      <c r="C248" s="79">
        <f>+'29'!G248</f>
        <v>0</v>
      </c>
      <c r="D248" s="87">
        <v>0</v>
      </c>
      <c r="E248" s="47">
        <f t="shared" si="17"/>
        <v>0</v>
      </c>
      <c r="F248" s="87">
        <v>0</v>
      </c>
      <c r="G248" s="47">
        <f t="shared" si="19"/>
        <v>0</v>
      </c>
      <c r="H248" s="88"/>
      <c r="I248" s="20"/>
      <c r="J248" s="82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1"/>
      <c r="C249" s="79">
        <f>+'29'!G249</f>
        <v>0</v>
      </c>
      <c r="D249" s="87">
        <v>0</v>
      </c>
      <c r="E249" s="47">
        <f t="shared" si="17"/>
        <v>0</v>
      </c>
      <c r="F249" s="87">
        <v>0</v>
      </c>
      <c r="G249" s="47">
        <f t="shared" si="19"/>
        <v>0</v>
      </c>
      <c r="H249" s="88"/>
      <c r="I249" s="20"/>
      <c r="J249" s="82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1"/>
      <c r="C250" s="79">
        <f>+'29'!G250</f>
        <v>0</v>
      </c>
      <c r="D250" s="87">
        <v>0</v>
      </c>
      <c r="E250" s="47">
        <f t="shared" si="17"/>
        <v>0</v>
      </c>
      <c r="F250" s="87">
        <v>0</v>
      </c>
      <c r="G250" s="47">
        <f t="shared" si="19"/>
        <v>0</v>
      </c>
      <c r="H250" s="88"/>
      <c r="I250" s="20"/>
      <c r="J250" s="82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1"/>
      <c r="C251" s="79">
        <f>+'29'!G251</f>
        <v>0</v>
      </c>
      <c r="D251" s="87">
        <v>0</v>
      </c>
      <c r="E251" s="47">
        <f t="shared" si="17"/>
        <v>0</v>
      </c>
      <c r="F251" s="87">
        <v>0</v>
      </c>
      <c r="G251" s="47">
        <f t="shared" si="19"/>
        <v>0</v>
      </c>
      <c r="H251" s="88"/>
      <c r="I251" s="20"/>
      <c r="J251" s="82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1"/>
      <c r="C252" s="79">
        <f>+'29'!G252</f>
        <v>0</v>
      </c>
      <c r="D252" s="87">
        <v>0</v>
      </c>
      <c r="E252" s="47">
        <f t="shared" si="17"/>
        <v>0</v>
      </c>
      <c r="F252" s="87">
        <v>0</v>
      </c>
      <c r="G252" s="47">
        <f t="shared" si="19"/>
        <v>0</v>
      </c>
      <c r="H252" s="88"/>
      <c r="I252" s="20"/>
      <c r="J252" s="82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1"/>
      <c r="C253" s="79">
        <f>+'29'!G253</f>
        <v>0</v>
      </c>
      <c r="D253" s="87">
        <v>0</v>
      </c>
      <c r="E253" s="47">
        <f t="shared" ref="E253:E254" si="21">C253+D253</f>
        <v>0</v>
      </c>
      <c r="F253" s="87">
        <v>0</v>
      </c>
      <c r="G253" s="47">
        <f t="shared" si="19"/>
        <v>0</v>
      </c>
      <c r="H253" s="88"/>
      <c r="I253" s="20"/>
      <c r="J253" s="82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1"/>
      <c r="C254" s="79">
        <f>+'29'!G254</f>
        <v>0</v>
      </c>
      <c r="D254" s="87">
        <v>0</v>
      </c>
      <c r="E254" s="47">
        <f t="shared" si="21"/>
        <v>0</v>
      </c>
      <c r="F254" s="87">
        <v>0</v>
      </c>
      <c r="G254" s="47">
        <f t="shared" si="19"/>
        <v>0</v>
      </c>
      <c r="H254" s="88"/>
      <c r="I254" s="20"/>
      <c r="J254" s="82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2940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3" t="s">
        <v>213</v>
      </c>
      <c r="N255" s="143"/>
    </row>
    <row r="256" spans="1:14" ht="25.5" customHeight="1" x14ac:dyDescent="0.5">
      <c r="A256" s="1"/>
      <c r="E256" s="24"/>
      <c r="F256" s="25"/>
      <c r="G256" s="24"/>
      <c r="H256" s="148" t="s">
        <v>212</v>
      </c>
      <c r="I256" s="149"/>
      <c r="J256" s="30">
        <f>+X138</f>
        <v>0</v>
      </c>
      <c r="K256" s="27"/>
      <c r="L256" s="29"/>
    </row>
    <row r="257" spans="1:21" ht="25.5" x14ac:dyDescent="0.55000000000000004">
      <c r="A257" s="1"/>
      <c r="E257" s="31"/>
      <c r="G257" s="31"/>
      <c r="H257" s="32"/>
      <c r="I257" s="150" t="s">
        <v>202</v>
      </c>
      <c r="J257" s="150"/>
      <c r="K257" s="33">
        <f>SUM(J5:J256)</f>
        <v>3090</v>
      </c>
    </row>
    <row r="258" spans="1:21" ht="25.5" x14ac:dyDescent="0.55000000000000004">
      <c r="A258" s="1"/>
      <c r="E258" s="31"/>
      <c r="G258" s="31"/>
      <c r="I258" s="140" t="s">
        <v>203</v>
      </c>
      <c r="J258" s="141"/>
      <c r="K258" s="36">
        <v>15</v>
      </c>
    </row>
    <row r="259" spans="1:21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2255</v>
      </c>
      <c r="L259" s="2">
        <v>500</v>
      </c>
      <c r="M259" s="2">
        <v>100</v>
      </c>
      <c r="N259" s="2">
        <v>150</v>
      </c>
      <c r="O259" s="2">
        <v>125</v>
      </c>
      <c r="P259" s="2">
        <v>100</v>
      </c>
      <c r="Q259" s="2">
        <v>100</v>
      </c>
      <c r="R259" s="2">
        <v>570</v>
      </c>
      <c r="S259" s="2">
        <v>300</v>
      </c>
      <c r="T259" s="2">
        <v>250</v>
      </c>
      <c r="U259" s="2">
        <v>60</v>
      </c>
    </row>
    <row r="260" spans="1:21" ht="25.5" x14ac:dyDescent="0.55000000000000004">
      <c r="A260" s="1"/>
      <c r="E260" s="31"/>
      <c r="G260" s="31"/>
      <c r="I260" s="140" t="s">
        <v>205</v>
      </c>
      <c r="J260" s="141"/>
      <c r="K260" s="36">
        <v>0</v>
      </c>
    </row>
    <row r="261" spans="1:21" ht="25.5" x14ac:dyDescent="0.55000000000000004">
      <c r="A261" s="1"/>
      <c r="E261" s="31"/>
      <c r="G261" s="31"/>
      <c r="I261" s="140" t="s">
        <v>206</v>
      </c>
      <c r="J261" s="141"/>
      <c r="K261" s="36">
        <v>0</v>
      </c>
    </row>
    <row r="262" spans="1:21" ht="25.5" x14ac:dyDescent="0.55000000000000004">
      <c r="A262" s="1"/>
      <c r="E262" s="31"/>
      <c r="G262" s="31"/>
      <c r="I262" s="140" t="s">
        <v>207</v>
      </c>
      <c r="J262" s="141"/>
      <c r="K262" s="37">
        <f>SUM(L5:L255)</f>
        <v>150</v>
      </c>
    </row>
    <row r="263" spans="1:21" ht="25.5" x14ac:dyDescent="0.55000000000000004">
      <c r="A263" s="1"/>
      <c r="E263" s="31"/>
      <c r="G263" s="31"/>
      <c r="I263" s="140" t="s">
        <v>208</v>
      </c>
      <c r="J263" s="141"/>
      <c r="K263" s="33">
        <f>K257-K258-K259-K261-K262</f>
        <v>670</v>
      </c>
    </row>
    <row r="264" spans="1:21" ht="25.5" x14ac:dyDescent="0.55000000000000004">
      <c r="A264" s="1"/>
      <c r="E264" s="31"/>
      <c r="G264" s="31"/>
      <c r="I264" s="140" t="s">
        <v>209</v>
      </c>
      <c r="J264" s="141"/>
      <c r="K264" s="37">
        <v>670</v>
      </c>
    </row>
    <row r="265" spans="1:21" ht="25.5" x14ac:dyDescent="0.55000000000000004">
      <c r="A265" s="1"/>
      <c r="E265" s="31"/>
      <c r="G265" s="31"/>
      <c r="I265" s="140" t="s">
        <v>210</v>
      </c>
      <c r="J265" s="141"/>
      <c r="K265" s="33">
        <f>+K264-K263</f>
        <v>0</v>
      </c>
    </row>
    <row r="266" spans="1:21" ht="25.5" x14ac:dyDescent="0.55000000000000004">
      <c r="G266" s="2"/>
      <c r="I266" s="140" t="s">
        <v>211</v>
      </c>
      <c r="J266" s="141"/>
      <c r="K266" s="33">
        <f>+K264-K263</f>
        <v>0</v>
      </c>
    </row>
    <row r="267" spans="1:21" x14ac:dyDescent="0.5">
      <c r="G267" s="2"/>
      <c r="I267" s="2"/>
    </row>
    <row r="268" spans="1:21" ht="25.5" x14ac:dyDescent="0.55000000000000004">
      <c r="G268" s="2"/>
      <c r="I268" s="105" t="s">
        <v>312</v>
      </c>
    </row>
    <row r="269" spans="1:21" x14ac:dyDescent="0.5">
      <c r="G269" s="2"/>
      <c r="I269" s="2"/>
    </row>
    <row r="270" spans="1:21" x14ac:dyDescent="0.5">
      <c r="G270" s="2"/>
      <c r="I270" s="2"/>
    </row>
    <row r="271" spans="1:21" x14ac:dyDescent="0.5">
      <c r="G271" s="2"/>
      <c r="I271" s="2"/>
    </row>
    <row r="272" spans="1:2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C910F-87CE-45EE-B562-AEDDEDAF3787}">
  <sheetPr>
    <tabColor theme="7" tint="-0.249977111117893"/>
  </sheetPr>
  <dimension ref="A1:AB341"/>
  <sheetViews>
    <sheetView zoomScaleNormal="100" workbookViewId="0">
      <pane xSplit="7" ySplit="4" topLeftCell="H255" activePane="bottomRight" state="frozen"/>
      <selection activeCell="B20" sqref="B20"/>
      <selection pane="topRight" activeCell="B20" sqref="B20"/>
      <selection pane="bottomLeft" activeCell="B20" sqref="B20"/>
      <selection pane="bottomRight" activeCell="K265" sqref="K265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8" x14ac:dyDescent="0.5">
      <c r="A1" s="1"/>
      <c r="G1" s="2"/>
      <c r="I1" s="2"/>
    </row>
    <row r="2" spans="1:28" s="3" customFormat="1" ht="29.25" x14ac:dyDescent="0.6">
      <c r="A2" s="137" t="s">
        <v>247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8" s="5" customFormat="1" ht="26.25" x14ac:dyDescent="0.55000000000000004">
      <c r="A3" s="139" t="s">
        <v>1</v>
      </c>
      <c r="B3" s="151" t="s">
        <v>2</v>
      </c>
      <c r="C3" s="139" t="s">
        <v>3</v>
      </c>
      <c r="D3" s="139" t="s">
        <v>4</v>
      </c>
      <c r="E3" s="139" t="s">
        <v>5</v>
      </c>
      <c r="F3" s="85" t="s">
        <v>6</v>
      </c>
      <c r="G3" s="139" t="s">
        <v>7</v>
      </c>
      <c r="H3" s="142" t="s">
        <v>8</v>
      </c>
      <c r="I3" s="142"/>
      <c r="J3" s="142"/>
      <c r="K3" s="139" t="s">
        <v>9</v>
      </c>
      <c r="L3" s="144" t="s">
        <v>10</v>
      </c>
      <c r="O3" s="139" t="s">
        <v>1</v>
      </c>
      <c r="P3" s="139" t="s">
        <v>2</v>
      </c>
      <c r="Q3" s="139" t="s">
        <v>3</v>
      </c>
      <c r="R3" s="139" t="s">
        <v>4</v>
      </c>
      <c r="S3" s="139" t="s">
        <v>5</v>
      </c>
      <c r="T3" s="85" t="s">
        <v>6</v>
      </c>
      <c r="U3" s="139" t="s">
        <v>7</v>
      </c>
      <c r="V3" s="142" t="s">
        <v>8</v>
      </c>
      <c r="W3" s="142"/>
      <c r="X3" s="142"/>
      <c r="Y3" s="139" t="s">
        <v>9</v>
      </c>
      <c r="Z3" s="144" t="s">
        <v>10</v>
      </c>
    </row>
    <row r="4" spans="1:28" s="5" customFormat="1" ht="26.25" x14ac:dyDescent="0.55000000000000004">
      <c r="A4" s="139"/>
      <c r="B4" s="151"/>
      <c r="C4" s="139"/>
      <c r="D4" s="139"/>
      <c r="E4" s="139"/>
      <c r="F4" s="85" t="s">
        <v>11</v>
      </c>
      <c r="G4" s="139"/>
      <c r="H4" s="85" t="s">
        <v>12</v>
      </c>
      <c r="I4" s="86" t="s">
        <v>13</v>
      </c>
      <c r="J4" s="85" t="s">
        <v>14</v>
      </c>
      <c r="K4" s="139"/>
      <c r="L4" s="144"/>
      <c r="O4" s="139"/>
      <c r="P4" s="139"/>
      <c r="Q4" s="139"/>
      <c r="R4" s="139"/>
      <c r="S4" s="139"/>
      <c r="T4" s="85" t="s">
        <v>11</v>
      </c>
      <c r="U4" s="139"/>
      <c r="V4" s="85" t="s">
        <v>12</v>
      </c>
      <c r="W4" s="86" t="s">
        <v>13</v>
      </c>
      <c r="X4" s="85" t="s">
        <v>14</v>
      </c>
      <c r="Y4" s="139"/>
      <c r="Z4" s="144"/>
      <c r="AB4" s="5" t="s">
        <v>2</v>
      </c>
    </row>
    <row r="5" spans="1:28" ht="25.5" x14ac:dyDescent="0.55000000000000004">
      <c r="A5" s="10">
        <v>1</v>
      </c>
      <c r="B5" s="19" t="s">
        <v>15</v>
      </c>
      <c r="C5" s="79">
        <f>+'30'!G5</f>
        <v>7</v>
      </c>
      <c r="D5" s="87">
        <v>0</v>
      </c>
      <c r="E5" s="47">
        <f t="shared" ref="E5:E125" si="0">C5+D5</f>
        <v>7</v>
      </c>
      <c r="F5" s="87">
        <v>0</v>
      </c>
      <c r="G5" s="47">
        <f>+E5-F5-H5</f>
        <v>7</v>
      </c>
      <c r="H5" s="88"/>
      <c r="I5" s="15">
        <v>50</v>
      </c>
      <c r="J5" s="8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7">
        <v>0</v>
      </c>
      <c r="S5" s="47">
        <f t="shared" ref="S5:S14" si="1">Q5+R5</f>
        <v>0</v>
      </c>
      <c r="T5" s="87">
        <v>0</v>
      </c>
      <c r="U5" s="47">
        <f t="shared" ref="U5:U14" si="2">S5-T5-V5</f>
        <v>0</v>
      </c>
      <c r="V5" s="88">
        <v>0</v>
      </c>
      <c r="W5" s="22"/>
      <c r="X5" s="44">
        <f t="shared" ref="X5:X14" si="3">V5*W5</f>
        <v>0</v>
      </c>
      <c r="Y5" s="17" t="s">
        <v>16</v>
      </c>
      <c r="Z5" s="18">
        <v>0</v>
      </c>
      <c r="AB5" s="2" t="s">
        <v>317</v>
      </c>
    </row>
    <row r="6" spans="1:28" ht="25.5" x14ac:dyDescent="0.55000000000000004">
      <c r="A6" s="10">
        <v>2</v>
      </c>
      <c r="B6" s="19" t="s">
        <v>17</v>
      </c>
      <c r="C6" s="79">
        <f>+'30'!G6</f>
        <v>8</v>
      </c>
      <c r="D6" s="87">
        <v>0</v>
      </c>
      <c r="E6" s="47">
        <f t="shared" si="0"/>
        <v>8</v>
      </c>
      <c r="F6" s="87">
        <v>0</v>
      </c>
      <c r="G6" s="47">
        <f t="shared" ref="G6:G100" si="4">+E6-F6-H6</f>
        <v>7</v>
      </c>
      <c r="H6" s="88">
        <v>1</v>
      </c>
      <c r="I6" s="15">
        <v>100</v>
      </c>
      <c r="J6" s="82">
        <f t="shared" ref="J6:J100" si="5">+I6*H6</f>
        <v>100</v>
      </c>
      <c r="K6" s="17" t="s">
        <v>16</v>
      </c>
      <c r="L6" s="18">
        <v>0</v>
      </c>
      <c r="M6" s="23">
        <f t="shared" ref="M6:M69" si="6">SUM(J6-L6)</f>
        <v>100</v>
      </c>
      <c r="O6" s="10">
        <v>2</v>
      </c>
      <c r="P6" s="19"/>
      <c r="Q6" s="47">
        <v>0</v>
      </c>
      <c r="R6" s="87">
        <v>0</v>
      </c>
      <c r="S6" s="47">
        <f t="shared" si="1"/>
        <v>0</v>
      </c>
      <c r="T6" s="87">
        <v>0</v>
      </c>
      <c r="U6" s="47">
        <f t="shared" si="2"/>
        <v>0</v>
      </c>
      <c r="V6" s="88">
        <v>0</v>
      </c>
      <c r="W6" s="22"/>
      <c r="X6" s="44">
        <f t="shared" si="3"/>
        <v>0</v>
      </c>
      <c r="Y6" s="17" t="s">
        <v>16</v>
      </c>
      <c r="Z6" s="18">
        <v>0</v>
      </c>
      <c r="AB6" s="2" t="s">
        <v>318</v>
      </c>
    </row>
    <row r="7" spans="1:28" ht="25.5" x14ac:dyDescent="0.55000000000000004">
      <c r="A7" s="10">
        <v>3</v>
      </c>
      <c r="B7" s="19" t="s">
        <v>18</v>
      </c>
      <c r="C7" s="79">
        <f>+'30'!G7</f>
        <v>0</v>
      </c>
      <c r="D7" s="87">
        <v>0</v>
      </c>
      <c r="E7" s="47">
        <f>C7+D7</f>
        <v>0</v>
      </c>
      <c r="F7" s="87">
        <v>0</v>
      </c>
      <c r="G7" s="47">
        <f t="shared" si="4"/>
        <v>0</v>
      </c>
      <c r="H7" s="88"/>
      <c r="I7" s="15">
        <v>50</v>
      </c>
      <c r="J7" s="8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7">
        <v>0</v>
      </c>
      <c r="S7" s="47">
        <f t="shared" si="1"/>
        <v>0</v>
      </c>
      <c r="T7" s="87">
        <v>0</v>
      </c>
      <c r="U7" s="47">
        <f t="shared" si="2"/>
        <v>0</v>
      </c>
      <c r="V7" s="88">
        <v>0</v>
      </c>
      <c r="W7" s="22"/>
      <c r="X7" s="44">
        <f t="shared" si="3"/>
        <v>0</v>
      </c>
      <c r="Y7" s="17" t="s">
        <v>16</v>
      </c>
      <c r="Z7" s="18">
        <v>0</v>
      </c>
      <c r="AB7" s="2" t="s">
        <v>319</v>
      </c>
    </row>
    <row r="8" spans="1:28" ht="25.5" x14ac:dyDescent="0.55000000000000004">
      <c r="A8" s="10">
        <v>4</v>
      </c>
      <c r="B8" s="19" t="s">
        <v>19</v>
      </c>
      <c r="C8" s="79">
        <f>+'30'!G8</f>
        <v>0</v>
      </c>
      <c r="D8" s="87">
        <v>0</v>
      </c>
      <c r="E8" s="47">
        <f>C8+D8</f>
        <v>0</v>
      </c>
      <c r="F8" s="87">
        <v>0</v>
      </c>
      <c r="G8" s="47">
        <f t="shared" si="4"/>
        <v>0</v>
      </c>
      <c r="H8" s="88"/>
      <c r="I8" s="15">
        <v>100</v>
      </c>
      <c r="J8" s="8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7">
        <v>0</v>
      </c>
      <c r="S8" s="47">
        <f t="shared" si="1"/>
        <v>0</v>
      </c>
      <c r="T8" s="87">
        <v>0</v>
      </c>
      <c r="U8" s="47">
        <f t="shared" si="2"/>
        <v>0</v>
      </c>
      <c r="V8" s="88">
        <v>0</v>
      </c>
      <c r="W8" s="22"/>
      <c r="X8" s="44">
        <f t="shared" si="3"/>
        <v>0</v>
      </c>
      <c r="Y8" s="17" t="s">
        <v>16</v>
      </c>
      <c r="Z8" s="18">
        <v>0</v>
      </c>
      <c r="AB8" s="2" t="s">
        <v>320</v>
      </c>
    </row>
    <row r="9" spans="1:28" ht="25.5" x14ac:dyDescent="0.55000000000000004">
      <c r="A9" s="10">
        <v>5</v>
      </c>
      <c r="B9" s="19" t="s">
        <v>20</v>
      </c>
      <c r="C9" s="79">
        <f>+'30'!G9</f>
        <v>0</v>
      </c>
      <c r="D9" s="87">
        <v>0</v>
      </c>
      <c r="E9" s="47">
        <f>C9+D9</f>
        <v>0</v>
      </c>
      <c r="F9" s="87">
        <v>0</v>
      </c>
      <c r="G9" s="47">
        <f t="shared" si="4"/>
        <v>0</v>
      </c>
      <c r="H9" s="88"/>
      <c r="I9" s="15">
        <v>12</v>
      </c>
      <c r="J9" s="8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7">
        <v>0</v>
      </c>
      <c r="S9" s="47">
        <f t="shared" si="1"/>
        <v>0</v>
      </c>
      <c r="T9" s="87">
        <v>0</v>
      </c>
      <c r="U9" s="47">
        <f t="shared" si="2"/>
        <v>0</v>
      </c>
      <c r="V9" s="88">
        <v>0</v>
      </c>
      <c r="W9" s="22"/>
      <c r="X9" s="44">
        <f t="shared" si="3"/>
        <v>0</v>
      </c>
      <c r="Y9" s="17" t="s">
        <v>16</v>
      </c>
      <c r="Z9" s="18">
        <v>0</v>
      </c>
      <c r="AB9" s="2" t="s">
        <v>307</v>
      </c>
    </row>
    <row r="10" spans="1:28" ht="25.5" x14ac:dyDescent="0.55000000000000004">
      <c r="A10" s="10">
        <v>6</v>
      </c>
      <c r="B10" s="19" t="s">
        <v>21</v>
      </c>
      <c r="C10" s="79">
        <f>+'30'!G10</f>
        <v>0</v>
      </c>
      <c r="D10" s="87">
        <v>0</v>
      </c>
      <c r="E10" s="47">
        <f>C10+D10</f>
        <v>0</v>
      </c>
      <c r="F10" s="87">
        <v>0</v>
      </c>
      <c r="G10" s="47">
        <f t="shared" si="4"/>
        <v>0</v>
      </c>
      <c r="H10" s="88"/>
      <c r="I10" s="15">
        <v>15</v>
      </c>
      <c r="J10" s="8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7">
        <v>0</v>
      </c>
      <c r="S10" s="47">
        <f t="shared" si="1"/>
        <v>0</v>
      </c>
      <c r="T10" s="87">
        <v>0</v>
      </c>
      <c r="U10" s="47">
        <f t="shared" si="2"/>
        <v>0</v>
      </c>
      <c r="V10" s="88">
        <v>0</v>
      </c>
      <c r="W10" s="22"/>
      <c r="X10" s="44">
        <f t="shared" si="3"/>
        <v>0</v>
      </c>
      <c r="Y10" s="17" t="s">
        <v>16</v>
      </c>
      <c r="Z10" s="18">
        <v>0</v>
      </c>
      <c r="AB10" s="2" t="s">
        <v>311</v>
      </c>
    </row>
    <row r="11" spans="1:28" ht="25.5" x14ac:dyDescent="0.55000000000000004">
      <c r="A11" s="10">
        <v>7</v>
      </c>
      <c r="B11" s="19" t="s">
        <v>22</v>
      </c>
      <c r="C11" s="79">
        <f>+'30'!G11</f>
        <v>0</v>
      </c>
      <c r="D11" s="87">
        <v>0</v>
      </c>
      <c r="E11" s="47">
        <f t="shared" si="0"/>
        <v>0</v>
      </c>
      <c r="F11" s="87">
        <v>0</v>
      </c>
      <c r="G11" s="47">
        <f t="shared" si="4"/>
        <v>0</v>
      </c>
      <c r="H11" s="88"/>
      <c r="I11" s="15">
        <v>40</v>
      </c>
      <c r="J11" s="8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7">
        <v>0</v>
      </c>
      <c r="S11" s="47">
        <f t="shared" si="1"/>
        <v>0</v>
      </c>
      <c r="T11" s="87">
        <v>0</v>
      </c>
      <c r="U11" s="47">
        <f t="shared" si="2"/>
        <v>0</v>
      </c>
      <c r="V11" s="88">
        <v>0</v>
      </c>
      <c r="W11" s="22"/>
      <c r="X11" s="44">
        <f t="shared" si="3"/>
        <v>0</v>
      </c>
      <c r="Y11" s="17" t="s">
        <v>16</v>
      </c>
      <c r="Z11" s="18">
        <v>0</v>
      </c>
      <c r="AB11" s="2" t="s">
        <v>321</v>
      </c>
    </row>
    <row r="12" spans="1:28" ht="25.5" x14ac:dyDescent="0.55000000000000004">
      <c r="A12" s="10">
        <v>8</v>
      </c>
      <c r="B12" s="19" t="s">
        <v>23</v>
      </c>
      <c r="C12" s="79">
        <f>+'30'!G12</f>
        <v>5</v>
      </c>
      <c r="D12" s="87">
        <v>0</v>
      </c>
      <c r="E12" s="47">
        <f t="shared" si="0"/>
        <v>5</v>
      </c>
      <c r="F12" s="87">
        <v>0</v>
      </c>
      <c r="G12" s="47">
        <f t="shared" si="4"/>
        <v>3</v>
      </c>
      <c r="H12" s="88">
        <v>2</v>
      </c>
      <c r="I12" s="20">
        <v>50</v>
      </c>
      <c r="J12" s="82">
        <f t="shared" si="5"/>
        <v>100</v>
      </c>
      <c r="K12" s="17" t="s">
        <v>16</v>
      </c>
      <c r="L12" s="18">
        <v>50</v>
      </c>
      <c r="M12" s="23">
        <f t="shared" si="6"/>
        <v>50</v>
      </c>
      <c r="O12" s="10">
        <v>8</v>
      </c>
      <c r="P12" s="19"/>
      <c r="Q12" s="47">
        <v>0</v>
      </c>
      <c r="R12" s="87">
        <v>0</v>
      </c>
      <c r="S12" s="47">
        <f t="shared" si="1"/>
        <v>0</v>
      </c>
      <c r="T12" s="87">
        <v>0</v>
      </c>
      <c r="U12" s="47">
        <f t="shared" si="2"/>
        <v>0</v>
      </c>
      <c r="V12" s="88">
        <v>0</v>
      </c>
      <c r="W12" s="22"/>
      <c r="X12" s="44">
        <f t="shared" si="3"/>
        <v>0</v>
      </c>
      <c r="Y12" s="17" t="s">
        <v>16</v>
      </c>
      <c r="Z12" s="18">
        <v>0</v>
      </c>
      <c r="AB12" s="2" t="s">
        <v>289</v>
      </c>
    </row>
    <row r="13" spans="1:28" ht="25.5" x14ac:dyDescent="0.55000000000000004">
      <c r="A13" s="10">
        <v>9</v>
      </c>
      <c r="B13" s="19" t="s">
        <v>24</v>
      </c>
      <c r="C13" s="79">
        <f>+'30'!G13</f>
        <v>0</v>
      </c>
      <c r="D13" s="87">
        <v>0</v>
      </c>
      <c r="E13" s="47">
        <f>C13+D13</f>
        <v>0</v>
      </c>
      <c r="F13" s="87">
        <v>0</v>
      </c>
      <c r="G13" s="47">
        <f t="shared" si="4"/>
        <v>0</v>
      </c>
      <c r="H13" s="88"/>
      <c r="I13" s="20">
        <v>55</v>
      </c>
      <c r="J13" s="8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7">
        <v>0</v>
      </c>
      <c r="S13" s="47">
        <f t="shared" si="1"/>
        <v>0</v>
      </c>
      <c r="T13" s="87">
        <v>0</v>
      </c>
      <c r="U13" s="47">
        <f t="shared" si="2"/>
        <v>0</v>
      </c>
      <c r="V13" s="88">
        <v>0</v>
      </c>
      <c r="W13" s="22"/>
      <c r="X13" s="44">
        <f t="shared" si="3"/>
        <v>0</v>
      </c>
      <c r="Y13" s="17" t="s">
        <v>16</v>
      </c>
      <c r="Z13" s="18">
        <v>0</v>
      </c>
      <c r="AB13" s="2" t="s">
        <v>322</v>
      </c>
    </row>
    <row r="14" spans="1:28" ht="25.5" x14ac:dyDescent="0.55000000000000004">
      <c r="A14" s="10">
        <v>10</v>
      </c>
      <c r="B14" s="19" t="s">
        <v>25</v>
      </c>
      <c r="C14" s="79">
        <f>+'30'!G14</f>
        <v>3</v>
      </c>
      <c r="D14" s="87">
        <v>0</v>
      </c>
      <c r="E14" s="47">
        <f t="shared" si="0"/>
        <v>3</v>
      </c>
      <c r="F14" s="87">
        <v>0</v>
      </c>
      <c r="G14" s="47">
        <f t="shared" si="4"/>
        <v>1</v>
      </c>
      <c r="H14" s="88">
        <v>2</v>
      </c>
      <c r="I14" s="20">
        <v>65</v>
      </c>
      <c r="J14" s="82">
        <f t="shared" si="5"/>
        <v>130</v>
      </c>
      <c r="K14" s="17" t="s">
        <v>16</v>
      </c>
      <c r="L14" s="18">
        <v>0</v>
      </c>
      <c r="M14" s="23">
        <f t="shared" si="6"/>
        <v>130</v>
      </c>
      <c r="O14" s="10">
        <v>10</v>
      </c>
      <c r="P14" s="19"/>
      <c r="Q14" s="47">
        <v>0</v>
      </c>
      <c r="R14" s="87">
        <v>0</v>
      </c>
      <c r="S14" s="47">
        <f t="shared" si="1"/>
        <v>0</v>
      </c>
      <c r="T14" s="87">
        <v>0</v>
      </c>
      <c r="U14" s="47">
        <f t="shared" si="2"/>
        <v>0</v>
      </c>
      <c r="V14" s="88">
        <v>0</v>
      </c>
      <c r="W14" s="22"/>
      <c r="X14" s="44">
        <f t="shared" si="3"/>
        <v>0</v>
      </c>
      <c r="Y14" s="17" t="s">
        <v>16</v>
      </c>
      <c r="Z14" s="18">
        <v>0</v>
      </c>
      <c r="AB14" s="2" t="s">
        <v>306</v>
      </c>
    </row>
    <row r="15" spans="1:28" ht="25.5" x14ac:dyDescent="0.55000000000000004">
      <c r="A15" s="10">
        <v>11</v>
      </c>
      <c r="B15" s="19" t="s">
        <v>26</v>
      </c>
      <c r="C15" s="79">
        <f>+'30'!G15</f>
        <v>0</v>
      </c>
      <c r="D15" s="87">
        <v>0</v>
      </c>
      <c r="E15" s="47">
        <f t="shared" si="0"/>
        <v>0</v>
      </c>
      <c r="F15" s="87">
        <v>0</v>
      </c>
      <c r="G15" s="47">
        <f t="shared" si="4"/>
        <v>0</v>
      </c>
      <c r="H15" s="88"/>
      <c r="I15" s="20">
        <v>50</v>
      </c>
      <c r="J15" s="8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7">
        <v>0</v>
      </c>
      <c r="S15" s="47">
        <f t="shared" ref="S15:S29" si="7">Q15+R15</f>
        <v>0</v>
      </c>
      <c r="T15" s="87">
        <v>0</v>
      </c>
      <c r="U15" s="47">
        <f t="shared" ref="U15:U29" si="8">S15-T15-V15</f>
        <v>0</v>
      </c>
      <c r="V15" s="88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8" ht="25.5" x14ac:dyDescent="0.55000000000000004">
      <c r="A16" s="10">
        <v>12</v>
      </c>
      <c r="B16" s="19" t="s">
        <v>27</v>
      </c>
      <c r="C16" s="79">
        <f>+'30'!G16</f>
        <v>0</v>
      </c>
      <c r="D16" s="87">
        <v>0</v>
      </c>
      <c r="E16" s="47">
        <f t="shared" si="0"/>
        <v>0</v>
      </c>
      <c r="F16" s="87">
        <v>0</v>
      </c>
      <c r="G16" s="47">
        <f t="shared" si="4"/>
        <v>0</v>
      </c>
      <c r="H16" s="88"/>
      <c r="I16" s="15">
        <v>50</v>
      </c>
      <c r="J16" s="8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7">
        <v>0</v>
      </c>
      <c r="S16" s="47">
        <f t="shared" si="7"/>
        <v>0</v>
      </c>
      <c r="T16" s="87">
        <v>0</v>
      </c>
      <c r="U16" s="47">
        <f t="shared" si="8"/>
        <v>0</v>
      </c>
      <c r="V16" s="88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+'30'!G17</f>
        <v>2</v>
      </c>
      <c r="D17" s="87">
        <v>0</v>
      </c>
      <c r="E17" s="47">
        <f t="shared" si="0"/>
        <v>2</v>
      </c>
      <c r="F17" s="87">
        <v>0</v>
      </c>
      <c r="G17" s="47">
        <f t="shared" si="4"/>
        <v>1</v>
      </c>
      <c r="H17" s="88">
        <v>1</v>
      </c>
      <c r="I17" s="15">
        <v>50</v>
      </c>
      <c r="J17" s="82">
        <f t="shared" si="5"/>
        <v>50</v>
      </c>
      <c r="K17" s="17" t="s">
        <v>16</v>
      </c>
      <c r="L17" s="18">
        <v>50</v>
      </c>
      <c r="M17" s="23">
        <f t="shared" si="6"/>
        <v>0</v>
      </c>
      <c r="O17" s="10">
        <v>13</v>
      </c>
      <c r="P17" s="19"/>
      <c r="Q17" s="47">
        <v>0</v>
      </c>
      <c r="R17" s="87">
        <v>0</v>
      </c>
      <c r="S17" s="47">
        <f t="shared" si="7"/>
        <v>0</v>
      </c>
      <c r="T17" s="87">
        <v>0</v>
      </c>
      <c r="U17" s="47">
        <f t="shared" si="8"/>
        <v>0</v>
      </c>
      <c r="V17" s="88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+'30'!G18</f>
        <v>0</v>
      </c>
      <c r="D18" s="87">
        <v>0</v>
      </c>
      <c r="E18" s="47">
        <f t="shared" si="0"/>
        <v>0</v>
      </c>
      <c r="F18" s="87">
        <v>0</v>
      </c>
      <c r="G18" s="47">
        <f t="shared" si="4"/>
        <v>0</v>
      </c>
      <c r="H18" s="88"/>
      <c r="I18" s="20">
        <v>50</v>
      </c>
      <c r="J18" s="8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7">
        <v>0</v>
      </c>
      <c r="S18" s="47">
        <f t="shared" si="7"/>
        <v>0</v>
      </c>
      <c r="T18" s="87">
        <v>0</v>
      </c>
      <c r="U18" s="47">
        <f t="shared" si="8"/>
        <v>0</v>
      </c>
      <c r="V18" s="88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329</v>
      </c>
      <c r="C19" s="79">
        <f>+'30'!G19</f>
        <v>7</v>
      </c>
      <c r="D19" s="87">
        <v>0</v>
      </c>
      <c r="E19" s="47">
        <f t="shared" si="0"/>
        <v>7</v>
      </c>
      <c r="F19" s="87">
        <v>0</v>
      </c>
      <c r="G19" s="47">
        <f t="shared" si="4"/>
        <v>7</v>
      </c>
      <c r="H19" s="88"/>
      <c r="I19" s="15">
        <v>50</v>
      </c>
      <c r="J19" s="8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7">
        <v>0</v>
      </c>
      <c r="S19" s="47">
        <f t="shared" si="7"/>
        <v>0</v>
      </c>
      <c r="T19" s="87">
        <v>0</v>
      </c>
      <c r="U19" s="47">
        <f t="shared" si="8"/>
        <v>0</v>
      </c>
      <c r="V19" s="88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+'30'!G20</f>
        <v>0</v>
      </c>
      <c r="D20" s="87">
        <v>0</v>
      </c>
      <c r="E20" s="47">
        <f t="shared" si="0"/>
        <v>0</v>
      </c>
      <c r="F20" s="87">
        <v>0</v>
      </c>
      <c r="G20" s="47">
        <f t="shared" si="4"/>
        <v>0</v>
      </c>
      <c r="H20" s="88"/>
      <c r="I20" s="15">
        <v>50</v>
      </c>
      <c r="J20" s="8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7">
        <v>0</v>
      </c>
      <c r="S20" s="47">
        <f t="shared" si="7"/>
        <v>0</v>
      </c>
      <c r="T20" s="87">
        <v>0</v>
      </c>
      <c r="U20" s="47">
        <f t="shared" si="8"/>
        <v>0</v>
      </c>
      <c r="V20" s="88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+'30'!G21</f>
        <v>0</v>
      </c>
      <c r="D21" s="87">
        <v>0</v>
      </c>
      <c r="E21" s="47">
        <f t="shared" si="0"/>
        <v>0</v>
      </c>
      <c r="F21" s="87">
        <v>0</v>
      </c>
      <c r="G21" s="47">
        <f t="shared" si="4"/>
        <v>0</v>
      </c>
      <c r="H21" s="88"/>
      <c r="I21" s="15">
        <v>50</v>
      </c>
      <c r="J21" s="8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7">
        <v>0</v>
      </c>
      <c r="S21" s="47">
        <f t="shared" si="7"/>
        <v>0</v>
      </c>
      <c r="T21" s="87">
        <v>0</v>
      </c>
      <c r="U21" s="47">
        <f t="shared" si="8"/>
        <v>0</v>
      </c>
      <c r="V21" s="88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+'30'!G22</f>
        <v>4</v>
      </c>
      <c r="D22" s="87">
        <v>0</v>
      </c>
      <c r="E22" s="47">
        <f t="shared" si="0"/>
        <v>4</v>
      </c>
      <c r="F22" s="87">
        <v>0</v>
      </c>
      <c r="G22" s="47">
        <f t="shared" si="4"/>
        <v>4</v>
      </c>
      <c r="H22" s="88"/>
      <c r="I22" s="15">
        <v>85</v>
      </c>
      <c r="J22" s="8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7">
        <v>0</v>
      </c>
      <c r="S22" s="47">
        <f t="shared" si="7"/>
        <v>0</v>
      </c>
      <c r="T22" s="87">
        <v>0</v>
      </c>
      <c r="U22" s="47">
        <f t="shared" si="8"/>
        <v>0</v>
      </c>
      <c r="V22" s="88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+'30'!G23</f>
        <v>19</v>
      </c>
      <c r="D23" s="87">
        <v>0</v>
      </c>
      <c r="E23" s="47">
        <f t="shared" si="0"/>
        <v>19</v>
      </c>
      <c r="F23" s="87">
        <v>0</v>
      </c>
      <c r="G23" s="47">
        <f t="shared" si="4"/>
        <v>14</v>
      </c>
      <c r="H23" s="88">
        <v>5</v>
      </c>
      <c r="I23" s="15">
        <v>100</v>
      </c>
      <c r="J23" s="82">
        <f t="shared" si="5"/>
        <v>500</v>
      </c>
      <c r="K23" s="17" t="s">
        <v>16</v>
      </c>
      <c r="L23" s="18">
        <v>0</v>
      </c>
      <c r="M23" s="23">
        <f t="shared" si="6"/>
        <v>500</v>
      </c>
      <c r="O23" s="10">
        <v>19</v>
      </c>
      <c r="P23" s="19"/>
      <c r="Q23" s="47">
        <v>0</v>
      </c>
      <c r="R23" s="87">
        <v>0</v>
      </c>
      <c r="S23" s="47">
        <f t="shared" si="7"/>
        <v>0</v>
      </c>
      <c r="T23" s="87">
        <v>0</v>
      </c>
      <c r="U23" s="47">
        <f t="shared" si="8"/>
        <v>0</v>
      </c>
      <c r="V23" s="88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+'30'!G24</f>
        <v>2</v>
      </c>
      <c r="D24" s="87">
        <v>0</v>
      </c>
      <c r="E24" s="47">
        <f t="shared" si="0"/>
        <v>2</v>
      </c>
      <c r="F24" s="87">
        <v>0</v>
      </c>
      <c r="G24" s="47">
        <f t="shared" si="4"/>
        <v>2</v>
      </c>
      <c r="H24" s="88"/>
      <c r="I24" s="21">
        <v>100</v>
      </c>
      <c r="J24" s="8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7">
        <v>0</v>
      </c>
      <c r="S24" s="47">
        <f t="shared" si="7"/>
        <v>0</v>
      </c>
      <c r="T24" s="87">
        <v>0</v>
      </c>
      <c r="U24" s="47">
        <f t="shared" si="8"/>
        <v>0</v>
      </c>
      <c r="V24" s="88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+'30'!G25</f>
        <v>0</v>
      </c>
      <c r="D25" s="87">
        <v>0</v>
      </c>
      <c r="E25" s="47">
        <f t="shared" si="0"/>
        <v>0</v>
      </c>
      <c r="F25" s="87">
        <v>0</v>
      </c>
      <c r="G25" s="47">
        <f t="shared" si="4"/>
        <v>0</v>
      </c>
      <c r="H25" s="88"/>
      <c r="I25" s="21">
        <v>100</v>
      </c>
      <c r="J25" s="8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7">
        <v>0</v>
      </c>
      <c r="S25" s="47">
        <f t="shared" si="7"/>
        <v>0</v>
      </c>
      <c r="T25" s="87">
        <v>0</v>
      </c>
      <c r="U25" s="47">
        <f t="shared" si="8"/>
        <v>0</v>
      </c>
      <c r="V25" s="88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+'30'!G26</f>
        <v>2</v>
      </c>
      <c r="D26" s="87">
        <v>0</v>
      </c>
      <c r="E26" s="47">
        <f t="shared" si="0"/>
        <v>2</v>
      </c>
      <c r="F26" s="87">
        <v>0</v>
      </c>
      <c r="G26" s="47">
        <f t="shared" si="4"/>
        <v>2</v>
      </c>
      <c r="H26" s="88"/>
      <c r="I26" s="21">
        <v>100</v>
      </c>
      <c r="J26" s="8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7">
        <v>0</v>
      </c>
      <c r="S26" s="47">
        <f t="shared" si="7"/>
        <v>0</v>
      </c>
      <c r="T26" s="87">
        <v>0</v>
      </c>
      <c r="U26" s="47">
        <f t="shared" si="8"/>
        <v>0</v>
      </c>
      <c r="V26" s="88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+'30'!G27</f>
        <v>0</v>
      </c>
      <c r="D27" s="87">
        <v>0</v>
      </c>
      <c r="E27" s="47">
        <f t="shared" si="0"/>
        <v>0</v>
      </c>
      <c r="F27" s="87">
        <v>0</v>
      </c>
      <c r="G27" s="47">
        <f t="shared" si="4"/>
        <v>0</v>
      </c>
      <c r="H27" s="88"/>
      <c r="I27" s="20">
        <v>100</v>
      </c>
      <c r="J27" s="8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7">
        <v>0</v>
      </c>
      <c r="S27" s="47">
        <f t="shared" si="7"/>
        <v>0</v>
      </c>
      <c r="T27" s="87">
        <v>0</v>
      </c>
      <c r="U27" s="47">
        <f t="shared" si="8"/>
        <v>0</v>
      </c>
      <c r="V27" s="88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+'30'!G28</f>
        <v>0</v>
      </c>
      <c r="D28" s="87">
        <v>0</v>
      </c>
      <c r="E28" s="47">
        <f t="shared" si="0"/>
        <v>0</v>
      </c>
      <c r="F28" s="87">
        <v>0</v>
      </c>
      <c r="G28" s="47">
        <f t="shared" si="4"/>
        <v>0</v>
      </c>
      <c r="H28" s="88"/>
      <c r="I28" s="20">
        <v>100</v>
      </c>
      <c r="J28" s="8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7">
        <v>0</v>
      </c>
      <c r="S28" s="47">
        <f t="shared" si="7"/>
        <v>0</v>
      </c>
      <c r="T28" s="87">
        <v>0</v>
      </c>
      <c r="U28" s="47">
        <f t="shared" si="8"/>
        <v>0</v>
      </c>
      <c r="V28" s="88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+'30'!G29</f>
        <v>4</v>
      </c>
      <c r="D29" s="87">
        <v>0</v>
      </c>
      <c r="E29" s="47">
        <f t="shared" si="0"/>
        <v>4</v>
      </c>
      <c r="F29" s="87">
        <v>0</v>
      </c>
      <c r="G29" s="47">
        <f t="shared" si="4"/>
        <v>3</v>
      </c>
      <c r="H29" s="88">
        <v>1</v>
      </c>
      <c r="I29" s="15">
        <v>100</v>
      </c>
      <c r="J29" s="82">
        <f t="shared" si="5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47">
        <v>0</v>
      </c>
      <c r="R29" s="87">
        <v>0</v>
      </c>
      <c r="S29" s="47">
        <f t="shared" si="7"/>
        <v>0</v>
      </c>
      <c r="T29" s="87">
        <v>0</v>
      </c>
      <c r="U29" s="47">
        <f t="shared" si="8"/>
        <v>0</v>
      </c>
      <c r="V29" s="88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+'30'!G30</f>
        <v>0</v>
      </c>
      <c r="D30" s="87">
        <v>0</v>
      </c>
      <c r="E30" s="47">
        <f t="shared" si="0"/>
        <v>0</v>
      </c>
      <c r="F30" s="87">
        <v>0</v>
      </c>
      <c r="G30" s="47">
        <f t="shared" si="4"/>
        <v>0</v>
      </c>
      <c r="H30" s="88"/>
      <c r="I30" s="15">
        <v>100</v>
      </c>
      <c r="J30" s="8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+'30'!G31</f>
        <v>5</v>
      </c>
      <c r="D31" s="87">
        <v>0</v>
      </c>
      <c r="E31" s="47">
        <f t="shared" si="0"/>
        <v>5</v>
      </c>
      <c r="F31" s="87">
        <v>0</v>
      </c>
      <c r="G31" s="47">
        <f t="shared" si="4"/>
        <v>5</v>
      </c>
      <c r="H31" s="88"/>
      <c r="I31" s="15">
        <v>100</v>
      </c>
      <c r="J31" s="82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+'30'!G32</f>
        <v>0</v>
      </c>
      <c r="D32" s="87">
        <v>0</v>
      </c>
      <c r="E32" s="47">
        <f t="shared" si="0"/>
        <v>0</v>
      </c>
      <c r="F32" s="87">
        <v>0</v>
      </c>
      <c r="G32" s="47">
        <f t="shared" si="4"/>
        <v>0</v>
      </c>
      <c r="H32" s="88"/>
      <c r="I32" s="15">
        <v>130</v>
      </c>
      <c r="J32" s="82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5" t="s">
        <v>119</v>
      </c>
      <c r="Q32" s="146"/>
      <c r="R32" s="146"/>
      <c r="S32" s="146"/>
      <c r="T32" s="146"/>
      <c r="U32" s="146"/>
      <c r="V32" s="146"/>
      <c r="W32" s="147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+'30'!G33</f>
        <v>2</v>
      </c>
      <c r="D33" s="87">
        <v>0</v>
      </c>
      <c r="E33" s="47">
        <f t="shared" si="0"/>
        <v>2</v>
      </c>
      <c r="F33" s="87">
        <v>0</v>
      </c>
      <c r="G33" s="47">
        <f t="shared" si="4"/>
        <v>1</v>
      </c>
      <c r="H33" s="88">
        <v>1</v>
      </c>
      <c r="I33" s="15">
        <v>130</v>
      </c>
      <c r="J33" s="82">
        <f t="shared" si="5"/>
        <v>130</v>
      </c>
      <c r="K33" s="17" t="s">
        <v>16</v>
      </c>
      <c r="L33" s="18">
        <v>0</v>
      </c>
      <c r="M33" s="23">
        <f t="shared" si="6"/>
        <v>130</v>
      </c>
    </row>
    <row r="34" spans="1:13" ht="25.5" x14ac:dyDescent="0.55000000000000004">
      <c r="A34" s="10">
        <v>30</v>
      </c>
      <c r="B34" s="19" t="s">
        <v>45</v>
      </c>
      <c r="C34" s="79">
        <f>+'30'!G34</f>
        <v>2</v>
      </c>
      <c r="D34" s="87">
        <v>0</v>
      </c>
      <c r="E34" s="47">
        <f t="shared" si="0"/>
        <v>2</v>
      </c>
      <c r="F34" s="87">
        <v>0</v>
      </c>
      <c r="G34" s="47">
        <f t="shared" si="4"/>
        <v>2</v>
      </c>
      <c r="H34" s="88"/>
      <c r="I34" s="15">
        <v>130</v>
      </c>
      <c r="J34" s="82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+'30'!G35</f>
        <v>0</v>
      </c>
      <c r="D35" s="87">
        <v>0</v>
      </c>
      <c r="E35" s="47">
        <f t="shared" si="0"/>
        <v>0</v>
      </c>
      <c r="F35" s="87">
        <v>0</v>
      </c>
      <c r="G35" s="47">
        <f t="shared" si="4"/>
        <v>0</v>
      </c>
      <c r="H35" s="88"/>
      <c r="I35" s="15">
        <v>130</v>
      </c>
      <c r="J35" s="82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+'30'!G36</f>
        <v>0</v>
      </c>
      <c r="D36" s="87">
        <v>0</v>
      </c>
      <c r="E36" s="47">
        <f t="shared" si="0"/>
        <v>0</v>
      </c>
      <c r="F36" s="87">
        <v>0</v>
      </c>
      <c r="G36" s="47">
        <f t="shared" si="4"/>
        <v>0</v>
      </c>
      <c r="H36" s="88"/>
      <c r="I36" s="15">
        <v>100</v>
      </c>
      <c r="J36" s="82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+'30'!G37</f>
        <v>10</v>
      </c>
      <c r="D37" s="87">
        <v>0</v>
      </c>
      <c r="E37" s="47">
        <f t="shared" si="0"/>
        <v>10</v>
      </c>
      <c r="F37" s="87">
        <v>0</v>
      </c>
      <c r="G37" s="47">
        <f t="shared" si="4"/>
        <v>10</v>
      </c>
      <c r="H37" s="88"/>
      <c r="I37" s="15">
        <v>100</v>
      </c>
      <c r="J37" s="82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 t="s">
        <v>49</v>
      </c>
      <c r="C38" s="79">
        <f>+'30'!G38</f>
        <v>3</v>
      </c>
      <c r="D38" s="87">
        <v>0</v>
      </c>
      <c r="E38" s="47">
        <f t="shared" si="0"/>
        <v>3</v>
      </c>
      <c r="F38" s="87">
        <v>0</v>
      </c>
      <c r="G38" s="47">
        <f t="shared" si="4"/>
        <v>0</v>
      </c>
      <c r="H38" s="88">
        <v>3</v>
      </c>
      <c r="I38" s="15">
        <v>50</v>
      </c>
      <c r="J38" s="82">
        <f t="shared" si="5"/>
        <v>150</v>
      </c>
      <c r="K38" s="17" t="s">
        <v>16</v>
      </c>
      <c r="L38" s="18">
        <v>75</v>
      </c>
      <c r="M38" s="23">
        <f t="shared" si="6"/>
        <v>75</v>
      </c>
    </row>
    <row r="39" spans="1:13" ht="25.5" x14ac:dyDescent="0.55000000000000004">
      <c r="A39" s="10">
        <v>35</v>
      </c>
      <c r="B39" s="19" t="s">
        <v>50</v>
      </c>
      <c r="C39" s="79">
        <f>+'30'!G39</f>
        <v>8</v>
      </c>
      <c r="D39" s="87">
        <v>0</v>
      </c>
      <c r="E39" s="47">
        <f t="shared" si="0"/>
        <v>8</v>
      </c>
      <c r="F39" s="87">
        <v>0</v>
      </c>
      <c r="G39" s="47">
        <f t="shared" si="4"/>
        <v>5</v>
      </c>
      <c r="H39" s="88">
        <v>3</v>
      </c>
      <c r="I39" s="15">
        <v>50</v>
      </c>
      <c r="J39" s="82">
        <f t="shared" si="5"/>
        <v>150</v>
      </c>
      <c r="K39" s="17" t="s">
        <v>16</v>
      </c>
      <c r="L39" s="18">
        <v>75</v>
      </c>
      <c r="M39" s="23">
        <f t="shared" si="6"/>
        <v>75</v>
      </c>
    </row>
    <row r="40" spans="1:13" ht="25.5" x14ac:dyDescent="0.55000000000000004">
      <c r="A40" s="10">
        <v>36</v>
      </c>
      <c r="B40" s="19" t="s">
        <v>51</v>
      </c>
      <c r="C40" s="79">
        <f>+'30'!G40</f>
        <v>7</v>
      </c>
      <c r="D40" s="87">
        <v>0</v>
      </c>
      <c r="E40" s="47">
        <f t="shared" si="0"/>
        <v>7</v>
      </c>
      <c r="F40" s="87">
        <v>0</v>
      </c>
      <c r="G40" s="47">
        <f t="shared" si="4"/>
        <v>6</v>
      </c>
      <c r="H40" s="88">
        <v>1</v>
      </c>
      <c r="I40" s="15">
        <v>50</v>
      </c>
      <c r="J40" s="82">
        <f t="shared" si="5"/>
        <v>50</v>
      </c>
      <c r="K40" s="17" t="s">
        <v>16</v>
      </c>
      <c r="L40" s="18">
        <v>25</v>
      </c>
      <c r="M40" s="23">
        <f t="shared" si="6"/>
        <v>25</v>
      </c>
    </row>
    <row r="41" spans="1:13" ht="25.5" x14ac:dyDescent="0.55000000000000004">
      <c r="A41" s="10">
        <v>37</v>
      </c>
      <c r="B41" s="19" t="s">
        <v>52</v>
      </c>
      <c r="C41" s="79">
        <f>+'30'!G41</f>
        <v>0</v>
      </c>
      <c r="D41" s="87">
        <v>0</v>
      </c>
      <c r="E41" s="47">
        <f t="shared" si="0"/>
        <v>0</v>
      </c>
      <c r="F41" s="87">
        <v>0</v>
      </c>
      <c r="G41" s="47">
        <f t="shared" si="4"/>
        <v>0</v>
      </c>
      <c r="H41" s="88"/>
      <c r="I41" s="15">
        <v>50</v>
      </c>
      <c r="J41" s="82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285</v>
      </c>
      <c r="C42" s="79">
        <f>+'30'!G42</f>
        <v>0</v>
      </c>
      <c r="D42" s="87">
        <v>0</v>
      </c>
      <c r="E42" s="47">
        <f t="shared" si="0"/>
        <v>0</v>
      </c>
      <c r="F42" s="87">
        <v>0</v>
      </c>
      <c r="G42" s="47">
        <f t="shared" si="4"/>
        <v>0</v>
      </c>
      <c r="H42" s="88"/>
      <c r="I42" s="15">
        <v>50</v>
      </c>
      <c r="J42" s="82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+'30'!G43</f>
        <v>0</v>
      </c>
      <c r="D43" s="87">
        <v>0</v>
      </c>
      <c r="E43" s="47">
        <f t="shared" si="0"/>
        <v>0</v>
      </c>
      <c r="F43" s="87">
        <v>0</v>
      </c>
      <c r="G43" s="47">
        <f t="shared" si="4"/>
        <v>0</v>
      </c>
      <c r="H43" s="88"/>
      <c r="I43" s="15">
        <v>50</v>
      </c>
      <c r="J43" s="82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+'30'!G44</f>
        <v>0</v>
      </c>
      <c r="D44" s="87">
        <v>0</v>
      </c>
      <c r="E44" s="47">
        <f t="shared" si="0"/>
        <v>0</v>
      </c>
      <c r="F44" s="87">
        <v>0</v>
      </c>
      <c r="G44" s="47">
        <f t="shared" si="4"/>
        <v>0</v>
      </c>
      <c r="H44" s="88"/>
      <c r="I44" s="15">
        <v>50</v>
      </c>
      <c r="J44" s="82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+'30'!G45</f>
        <v>0</v>
      </c>
      <c r="D45" s="87">
        <v>0</v>
      </c>
      <c r="E45" s="47">
        <f t="shared" si="0"/>
        <v>0</v>
      </c>
      <c r="F45" s="87">
        <v>0</v>
      </c>
      <c r="G45" s="47">
        <f t="shared" si="4"/>
        <v>0</v>
      </c>
      <c r="H45" s="88"/>
      <c r="I45" s="15">
        <v>50</v>
      </c>
      <c r="J45" s="82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286</v>
      </c>
      <c r="C46" s="79">
        <f>+'30'!G46</f>
        <v>0</v>
      </c>
      <c r="D46" s="87">
        <v>0</v>
      </c>
      <c r="E46" s="47">
        <f t="shared" si="0"/>
        <v>0</v>
      </c>
      <c r="F46" s="87">
        <v>0</v>
      </c>
      <c r="G46" s="47">
        <f t="shared" si="4"/>
        <v>0</v>
      </c>
      <c r="H46" s="88"/>
      <c r="I46" s="15">
        <v>50</v>
      </c>
      <c r="J46" s="82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+'30'!G47</f>
        <v>1</v>
      </c>
      <c r="D47" s="87">
        <v>0</v>
      </c>
      <c r="E47" s="47">
        <f t="shared" si="0"/>
        <v>1</v>
      </c>
      <c r="F47" s="87">
        <v>0</v>
      </c>
      <c r="G47" s="47">
        <f t="shared" si="4"/>
        <v>0</v>
      </c>
      <c r="H47" s="88">
        <v>1</v>
      </c>
      <c r="I47" s="15">
        <v>50</v>
      </c>
      <c r="J47" s="82">
        <f t="shared" si="5"/>
        <v>50</v>
      </c>
      <c r="K47" s="17" t="s">
        <v>16</v>
      </c>
      <c r="L47" s="18">
        <v>0</v>
      </c>
      <c r="M47" s="23">
        <f t="shared" si="6"/>
        <v>50</v>
      </c>
    </row>
    <row r="48" spans="1:13" ht="25.5" x14ac:dyDescent="0.55000000000000004">
      <c r="A48" s="10">
        <v>44</v>
      </c>
      <c r="B48" s="19" t="s">
        <v>59</v>
      </c>
      <c r="C48" s="79">
        <f>+'30'!G48</f>
        <v>1</v>
      </c>
      <c r="D48" s="87">
        <v>0</v>
      </c>
      <c r="E48" s="47">
        <f t="shared" si="0"/>
        <v>1</v>
      </c>
      <c r="F48" s="87">
        <v>0</v>
      </c>
      <c r="G48" s="47">
        <f t="shared" si="4"/>
        <v>1</v>
      </c>
      <c r="H48" s="88"/>
      <c r="I48" s="15">
        <v>50</v>
      </c>
      <c r="J48" s="82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+'30'!G49</f>
        <v>2</v>
      </c>
      <c r="D49" s="87">
        <v>0</v>
      </c>
      <c r="E49" s="47">
        <f t="shared" si="0"/>
        <v>2</v>
      </c>
      <c r="F49" s="87">
        <v>0</v>
      </c>
      <c r="G49" s="47">
        <f t="shared" si="4"/>
        <v>2</v>
      </c>
      <c r="H49" s="88"/>
      <c r="I49" s="15">
        <v>50</v>
      </c>
      <c r="J49" s="82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+'30'!G50</f>
        <v>0</v>
      </c>
      <c r="D50" s="87">
        <v>0</v>
      </c>
      <c r="E50" s="47">
        <f t="shared" si="0"/>
        <v>0</v>
      </c>
      <c r="F50" s="87">
        <v>0</v>
      </c>
      <c r="G50" s="47">
        <f t="shared" si="4"/>
        <v>0</v>
      </c>
      <c r="H50" s="88"/>
      <c r="I50" s="15">
        <v>120</v>
      </c>
      <c r="J50" s="82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+'30'!G51</f>
        <v>2</v>
      </c>
      <c r="D51" s="87">
        <v>0</v>
      </c>
      <c r="E51" s="47">
        <f t="shared" si="0"/>
        <v>2</v>
      </c>
      <c r="F51" s="87">
        <v>0</v>
      </c>
      <c r="G51" s="47">
        <f t="shared" si="4"/>
        <v>2</v>
      </c>
      <c r="H51" s="88"/>
      <c r="I51" s="15">
        <v>120</v>
      </c>
      <c r="J51" s="82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+'30'!G52</f>
        <v>0</v>
      </c>
      <c r="D52" s="87">
        <v>0</v>
      </c>
      <c r="E52" s="47">
        <f t="shared" si="0"/>
        <v>0</v>
      </c>
      <c r="F52" s="87">
        <v>0</v>
      </c>
      <c r="G52" s="47">
        <f t="shared" si="4"/>
        <v>0</v>
      </c>
      <c r="H52" s="88"/>
      <c r="I52" s="21">
        <v>120</v>
      </c>
      <c r="J52" s="82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+'30'!G53</f>
        <v>0</v>
      </c>
      <c r="D53" s="87">
        <v>0</v>
      </c>
      <c r="E53" s="47">
        <f t="shared" si="0"/>
        <v>0</v>
      </c>
      <c r="F53" s="87">
        <v>0</v>
      </c>
      <c r="G53" s="47">
        <f t="shared" si="4"/>
        <v>0</v>
      </c>
      <c r="H53" s="88"/>
      <c r="I53" s="15">
        <v>120</v>
      </c>
      <c r="J53" s="82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+'30'!G54</f>
        <v>0</v>
      </c>
      <c r="D54" s="87">
        <v>0</v>
      </c>
      <c r="E54" s="47">
        <f t="shared" si="0"/>
        <v>0</v>
      </c>
      <c r="F54" s="87">
        <v>0</v>
      </c>
      <c r="G54" s="47">
        <f t="shared" si="4"/>
        <v>0</v>
      </c>
      <c r="H54" s="88"/>
      <c r="I54" s="15">
        <v>120</v>
      </c>
      <c r="J54" s="82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+'30'!G55</f>
        <v>1</v>
      </c>
      <c r="D55" s="87">
        <v>0</v>
      </c>
      <c r="E55" s="47">
        <f t="shared" si="0"/>
        <v>1</v>
      </c>
      <c r="F55" s="87">
        <v>0</v>
      </c>
      <c r="G55" s="47">
        <f t="shared" si="4"/>
        <v>1</v>
      </c>
      <c r="H55" s="88"/>
      <c r="I55" s="21">
        <v>120</v>
      </c>
      <c r="J55" s="82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+'30'!G56</f>
        <v>0</v>
      </c>
      <c r="D56" s="87">
        <v>0</v>
      </c>
      <c r="E56" s="47">
        <f t="shared" si="0"/>
        <v>0</v>
      </c>
      <c r="F56" s="87">
        <v>0</v>
      </c>
      <c r="G56" s="47">
        <f t="shared" si="4"/>
        <v>0</v>
      </c>
      <c r="H56" s="88"/>
      <c r="I56" s="21">
        <v>120</v>
      </c>
      <c r="J56" s="82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+'30'!G57</f>
        <v>0</v>
      </c>
      <c r="D57" s="87">
        <v>0</v>
      </c>
      <c r="E57" s="47">
        <f t="shared" si="0"/>
        <v>0</v>
      </c>
      <c r="F57" s="87">
        <v>0</v>
      </c>
      <c r="G57" s="47">
        <f t="shared" si="4"/>
        <v>0</v>
      </c>
      <c r="H57" s="88"/>
      <c r="I57" s="21">
        <v>120</v>
      </c>
      <c r="J57" s="82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+'30'!G58</f>
        <v>0</v>
      </c>
      <c r="D58" s="87">
        <v>0</v>
      </c>
      <c r="E58" s="47">
        <f t="shared" si="0"/>
        <v>0</v>
      </c>
      <c r="F58" s="87">
        <v>0</v>
      </c>
      <c r="G58" s="47">
        <f t="shared" si="4"/>
        <v>0</v>
      </c>
      <c r="H58" s="88"/>
      <c r="I58" s="21">
        <v>120</v>
      </c>
      <c r="J58" s="82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+'30'!G59</f>
        <v>0</v>
      </c>
      <c r="D59" s="87">
        <v>0</v>
      </c>
      <c r="E59" s="47">
        <f t="shared" si="0"/>
        <v>0</v>
      </c>
      <c r="F59" s="87">
        <v>0</v>
      </c>
      <c r="G59" s="47">
        <f t="shared" si="4"/>
        <v>0</v>
      </c>
      <c r="H59" s="88"/>
      <c r="I59" s="15">
        <v>70</v>
      </c>
      <c r="J59" s="82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+'30'!G60</f>
        <v>0</v>
      </c>
      <c r="D60" s="87">
        <v>0</v>
      </c>
      <c r="E60" s="47">
        <f t="shared" si="0"/>
        <v>0</v>
      </c>
      <c r="F60" s="87">
        <v>0</v>
      </c>
      <c r="G60" s="47">
        <f t="shared" si="4"/>
        <v>0</v>
      </c>
      <c r="H60" s="88"/>
      <c r="I60" s="21">
        <v>80</v>
      </c>
      <c r="J60" s="82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+'30'!G61</f>
        <v>1</v>
      </c>
      <c r="D61" s="87">
        <v>0</v>
      </c>
      <c r="E61" s="47">
        <f t="shared" si="0"/>
        <v>1</v>
      </c>
      <c r="F61" s="87">
        <v>0</v>
      </c>
      <c r="G61" s="47">
        <f t="shared" si="4"/>
        <v>1</v>
      </c>
      <c r="H61" s="88"/>
      <c r="I61" s="15">
        <v>50</v>
      </c>
      <c r="J61" s="82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+'30'!G62</f>
        <v>0</v>
      </c>
      <c r="D62" s="87">
        <v>0</v>
      </c>
      <c r="E62" s="47">
        <f t="shared" si="0"/>
        <v>0</v>
      </c>
      <c r="F62" s="87">
        <v>0</v>
      </c>
      <c r="G62" s="47">
        <f t="shared" si="4"/>
        <v>0</v>
      </c>
      <c r="H62" s="88"/>
      <c r="I62" s="20">
        <v>50</v>
      </c>
      <c r="J62" s="82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+'30'!G63</f>
        <v>0</v>
      </c>
      <c r="D63" s="87">
        <v>0</v>
      </c>
      <c r="E63" s="47">
        <f t="shared" si="0"/>
        <v>0</v>
      </c>
      <c r="F63" s="87">
        <v>0</v>
      </c>
      <c r="G63" s="47">
        <f t="shared" si="4"/>
        <v>0</v>
      </c>
      <c r="H63" s="88"/>
      <c r="I63" s="20">
        <v>50</v>
      </c>
      <c r="J63" s="82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+'30'!G64</f>
        <v>0</v>
      </c>
      <c r="D64" s="87">
        <v>0</v>
      </c>
      <c r="E64" s="47">
        <f t="shared" si="0"/>
        <v>0</v>
      </c>
      <c r="F64" s="87">
        <v>0</v>
      </c>
      <c r="G64" s="47">
        <f t="shared" si="4"/>
        <v>0</v>
      </c>
      <c r="H64" s="88"/>
      <c r="I64" s="21">
        <v>30</v>
      </c>
      <c r="J64" s="82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+'30'!G65</f>
        <v>0</v>
      </c>
      <c r="D65" s="87">
        <v>0</v>
      </c>
      <c r="E65" s="47">
        <f t="shared" si="0"/>
        <v>0</v>
      </c>
      <c r="F65" s="87">
        <v>0</v>
      </c>
      <c r="G65" s="47">
        <f t="shared" si="4"/>
        <v>0</v>
      </c>
      <c r="H65" s="88"/>
      <c r="I65" s="21">
        <v>30</v>
      </c>
      <c r="J65" s="82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+'30'!G66</f>
        <v>8</v>
      </c>
      <c r="D66" s="87">
        <v>0</v>
      </c>
      <c r="E66" s="47">
        <f t="shared" si="0"/>
        <v>8</v>
      </c>
      <c r="F66" s="87">
        <v>0</v>
      </c>
      <c r="G66" s="47">
        <f t="shared" si="4"/>
        <v>5</v>
      </c>
      <c r="H66" s="88">
        <v>3</v>
      </c>
      <c r="I66" s="15">
        <v>50</v>
      </c>
      <c r="J66" s="82">
        <f t="shared" si="5"/>
        <v>150</v>
      </c>
      <c r="K66" s="17" t="s">
        <v>16</v>
      </c>
      <c r="L66" s="18">
        <v>0</v>
      </c>
      <c r="M66" s="23">
        <f t="shared" si="6"/>
        <v>150</v>
      </c>
    </row>
    <row r="67" spans="1:13" ht="25.5" x14ac:dyDescent="0.55000000000000004">
      <c r="A67" s="10">
        <v>63</v>
      </c>
      <c r="B67" s="19" t="s">
        <v>78</v>
      </c>
      <c r="C67" s="79">
        <f>+'30'!G67</f>
        <v>7</v>
      </c>
      <c r="D67" s="87">
        <v>0</v>
      </c>
      <c r="E67" s="47">
        <f t="shared" si="0"/>
        <v>7</v>
      </c>
      <c r="F67" s="87">
        <v>0</v>
      </c>
      <c r="G67" s="47">
        <f t="shared" si="4"/>
        <v>7</v>
      </c>
      <c r="H67" s="88"/>
      <c r="I67" s="15">
        <v>50</v>
      </c>
      <c r="J67" s="82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+'30'!G68</f>
        <v>0</v>
      </c>
      <c r="D68" s="87">
        <v>0</v>
      </c>
      <c r="E68" s="47">
        <f t="shared" si="0"/>
        <v>0</v>
      </c>
      <c r="F68" s="87">
        <v>0</v>
      </c>
      <c r="G68" s="47">
        <f t="shared" si="4"/>
        <v>0</v>
      </c>
      <c r="H68" s="88"/>
      <c r="I68" s="20">
        <v>35</v>
      </c>
      <c r="J68" s="82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+'30'!G69</f>
        <v>0</v>
      </c>
      <c r="D69" s="87">
        <v>0</v>
      </c>
      <c r="E69" s="47">
        <f t="shared" si="0"/>
        <v>0</v>
      </c>
      <c r="F69" s="87">
        <v>0</v>
      </c>
      <c r="G69" s="47">
        <f t="shared" si="4"/>
        <v>0</v>
      </c>
      <c r="H69" s="88"/>
      <c r="I69" s="20">
        <v>25</v>
      </c>
      <c r="J69" s="82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+'30'!G70</f>
        <v>10</v>
      </c>
      <c r="D70" s="87">
        <v>0</v>
      </c>
      <c r="E70" s="47">
        <f t="shared" si="0"/>
        <v>10</v>
      </c>
      <c r="F70" s="87">
        <v>0</v>
      </c>
      <c r="G70" s="47">
        <f t="shared" si="4"/>
        <v>6</v>
      </c>
      <c r="H70" s="88">
        <v>4</v>
      </c>
      <c r="I70" s="20">
        <v>50</v>
      </c>
      <c r="J70" s="82">
        <f t="shared" si="5"/>
        <v>200</v>
      </c>
      <c r="K70" s="17" t="s">
        <v>16</v>
      </c>
      <c r="L70" s="18">
        <v>0</v>
      </c>
      <c r="M70" s="23">
        <f t="shared" ref="M70:M134" si="10">SUM(J70-L70)</f>
        <v>200</v>
      </c>
    </row>
    <row r="71" spans="1:13" ht="25.5" x14ac:dyDescent="0.55000000000000004">
      <c r="A71" s="10">
        <v>67</v>
      </c>
      <c r="B71" s="19" t="s">
        <v>82</v>
      </c>
      <c r="C71" s="79">
        <f>+'30'!G71</f>
        <v>2</v>
      </c>
      <c r="D71" s="87">
        <v>0</v>
      </c>
      <c r="E71" s="47">
        <f t="shared" si="0"/>
        <v>2</v>
      </c>
      <c r="F71" s="87">
        <v>0</v>
      </c>
      <c r="G71" s="47">
        <f t="shared" si="4"/>
        <v>2</v>
      </c>
      <c r="H71" s="88"/>
      <c r="I71" s="20">
        <v>60</v>
      </c>
      <c r="J71" s="82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+'30'!G72</f>
        <v>0</v>
      </c>
      <c r="D72" s="87">
        <v>0</v>
      </c>
      <c r="E72" s="47">
        <f t="shared" si="0"/>
        <v>0</v>
      </c>
      <c r="F72" s="87">
        <v>0</v>
      </c>
      <c r="G72" s="47">
        <f t="shared" si="4"/>
        <v>0</v>
      </c>
      <c r="H72" s="88"/>
      <c r="I72" s="22">
        <v>50</v>
      </c>
      <c r="J72" s="82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+'30'!G73</f>
        <v>0</v>
      </c>
      <c r="D73" s="87">
        <v>0</v>
      </c>
      <c r="E73" s="47">
        <f t="shared" si="0"/>
        <v>0</v>
      </c>
      <c r="F73" s="87">
        <v>0</v>
      </c>
      <c r="G73" s="47">
        <f t="shared" si="4"/>
        <v>0</v>
      </c>
      <c r="H73" s="88"/>
      <c r="I73" s="20">
        <v>60</v>
      </c>
      <c r="J73" s="82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+'30'!G74</f>
        <v>2</v>
      </c>
      <c r="D74" s="87">
        <v>0</v>
      </c>
      <c r="E74" s="47">
        <f t="shared" si="0"/>
        <v>2</v>
      </c>
      <c r="F74" s="87">
        <v>0</v>
      </c>
      <c r="G74" s="47">
        <f t="shared" si="4"/>
        <v>1</v>
      </c>
      <c r="H74" s="88">
        <v>1</v>
      </c>
      <c r="I74" s="22">
        <v>120</v>
      </c>
      <c r="J74" s="82">
        <f t="shared" si="5"/>
        <v>120</v>
      </c>
      <c r="K74" s="17" t="s">
        <v>16</v>
      </c>
      <c r="L74" s="18">
        <v>0</v>
      </c>
      <c r="M74" s="23">
        <f t="shared" si="10"/>
        <v>120</v>
      </c>
    </row>
    <row r="75" spans="1:13" ht="25.5" x14ac:dyDescent="0.55000000000000004">
      <c r="A75" s="10">
        <v>71</v>
      </c>
      <c r="B75" s="19" t="s">
        <v>86</v>
      </c>
      <c r="C75" s="79">
        <f>+'30'!G75</f>
        <v>0</v>
      </c>
      <c r="D75" s="87">
        <v>0</v>
      </c>
      <c r="E75" s="47">
        <f t="shared" si="0"/>
        <v>0</v>
      </c>
      <c r="F75" s="87">
        <v>0</v>
      </c>
      <c r="G75" s="47">
        <f t="shared" si="4"/>
        <v>0</v>
      </c>
      <c r="H75" s="88"/>
      <c r="I75" s="22">
        <v>60</v>
      </c>
      <c r="J75" s="82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+'30'!G76</f>
        <v>0</v>
      </c>
      <c r="D76" s="87">
        <v>0</v>
      </c>
      <c r="E76" s="47">
        <f t="shared" si="0"/>
        <v>0</v>
      </c>
      <c r="F76" s="87">
        <v>0</v>
      </c>
      <c r="G76" s="47">
        <f t="shared" si="4"/>
        <v>0</v>
      </c>
      <c r="H76" s="88"/>
      <c r="I76" s="22">
        <v>120</v>
      </c>
      <c r="J76" s="82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1" t="s">
        <v>272</v>
      </c>
      <c r="C77" s="79">
        <f>+'30'!G77</f>
        <v>1</v>
      </c>
      <c r="D77" s="87">
        <v>0</v>
      </c>
      <c r="E77" s="47">
        <f>C77+D77</f>
        <v>1</v>
      </c>
      <c r="F77" s="87">
        <v>0</v>
      </c>
      <c r="G77" s="47">
        <f>+E77-F77-H77</f>
        <v>0</v>
      </c>
      <c r="H77" s="88">
        <v>1</v>
      </c>
      <c r="I77" s="20">
        <v>50</v>
      </c>
      <c r="J77" s="82">
        <f>+I77*H77</f>
        <v>50</v>
      </c>
      <c r="K77" s="17" t="s">
        <v>16</v>
      </c>
      <c r="L77" s="18">
        <v>0</v>
      </c>
      <c r="M77" s="23">
        <f>SUM(J77-L77)</f>
        <v>50</v>
      </c>
    </row>
    <row r="78" spans="1:13" ht="25.5" x14ac:dyDescent="0.55000000000000004">
      <c r="A78" s="10">
        <v>74</v>
      </c>
      <c r="B78" s="19" t="s">
        <v>277</v>
      </c>
      <c r="C78" s="79">
        <f>+'30'!G78</f>
        <v>0</v>
      </c>
      <c r="D78" s="87">
        <v>0</v>
      </c>
      <c r="E78" s="47">
        <f t="shared" si="0"/>
        <v>0</v>
      </c>
      <c r="F78" s="87">
        <v>0</v>
      </c>
      <c r="G78" s="47">
        <f t="shared" si="4"/>
        <v>0</v>
      </c>
      <c r="H78" s="88"/>
      <c r="I78" s="20">
        <v>50</v>
      </c>
      <c r="J78" s="82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278</v>
      </c>
      <c r="C79" s="79">
        <f>+'30'!G79</f>
        <v>0</v>
      </c>
      <c r="D79" s="87">
        <v>0</v>
      </c>
      <c r="E79" s="47">
        <f t="shared" si="0"/>
        <v>0</v>
      </c>
      <c r="F79" s="87">
        <v>0</v>
      </c>
      <c r="G79" s="47">
        <f t="shared" si="4"/>
        <v>0</v>
      </c>
      <c r="H79" s="88"/>
      <c r="I79" s="22">
        <v>120</v>
      </c>
      <c r="J79" s="82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90</v>
      </c>
      <c r="C80" s="79">
        <f>+'30'!G80</f>
        <v>1</v>
      </c>
      <c r="D80" s="87">
        <v>0</v>
      </c>
      <c r="E80" s="47">
        <f t="shared" si="0"/>
        <v>1</v>
      </c>
      <c r="F80" s="87">
        <v>0</v>
      </c>
      <c r="G80" s="47">
        <f t="shared" si="4"/>
        <v>1</v>
      </c>
      <c r="H80" s="88"/>
      <c r="I80" s="22">
        <v>50</v>
      </c>
      <c r="J80" s="82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91</v>
      </c>
      <c r="C81" s="79">
        <f>+'30'!G81</f>
        <v>0</v>
      </c>
      <c r="D81" s="87">
        <v>0</v>
      </c>
      <c r="E81" s="47">
        <f t="shared" si="0"/>
        <v>0</v>
      </c>
      <c r="F81" s="87">
        <v>0</v>
      </c>
      <c r="G81" s="47">
        <f t="shared" si="4"/>
        <v>0</v>
      </c>
      <c r="H81" s="88"/>
      <c r="I81" s="22">
        <v>50</v>
      </c>
      <c r="J81" s="82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92</v>
      </c>
      <c r="C82" s="79">
        <f>+'30'!G82</f>
        <v>2</v>
      </c>
      <c r="D82" s="87">
        <v>0</v>
      </c>
      <c r="E82" s="47">
        <f t="shared" si="0"/>
        <v>2</v>
      </c>
      <c r="F82" s="87">
        <v>0</v>
      </c>
      <c r="G82" s="47">
        <f t="shared" si="4"/>
        <v>2</v>
      </c>
      <c r="H82" s="88"/>
      <c r="I82" s="20">
        <v>55</v>
      </c>
      <c r="J82" s="82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93</v>
      </c>
      <c r="C83" s="79">
        <f>+'30'!G83</f>
        <v>1</v>
      </c>
      <c r="D83" s="87">
        <v>0</v>
      </c>
      <c r="E83" s="47">
        <f t="shared" si="0"/>
        <v>1</v>
      </c>
      <c r="F83" s="87">
        <v>0</v>
      </c>
      <c r="G83" s="47">
        <f t="shared" si="4"/>
        <v>1</v>
      </c>
      <c r="H83" s="88"/>
      <c r="I83" s="22">
        <v>55</v>
      </c>
      <c r="J83" s="82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94</v>
      </c>
      <c r="C84" s="79">
        <f>+'30'!G84</f>
        <v>0</v>
      </c>
      <c r="D84" s="87">
        <v>0</v>
      </c>
      <c r="E84" s="47">
        <f t="shared" si="0"/>
        <v>0</v>
      </c>
      <c r="F84" s="87">
        <v>0</v>
      </c>
      <c r="G84" s="47">
        <f t="shared" si="4"/>
        <v>0</v>
      </c>
      <c r="H84" s="88"/>
      <c r="I84" s="22">
        <v>55</v>
      </c>
      <c r="J84" s="82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95</v>
      </c>
      <c r="C85" s="79">
        <f>+'30'!G85</f>
        <v>0</v>
      </c>
      <c r="D85" s="87">
        <v>0</v>
      </c>
      <c r="E85" s="47">
        <f t="shared" si="0"/>
        <v>0</v>
      </c>
      <c r="F85" s="87">
        <v>0</v>
      </c>
      <c r="G85" s="47">
        <f t="shared" si="4"/>
        <v>0</v>
      </c>
      <c r="H85" s="88"/>
      <c r="I85" s="22">
        <v>55</v>
      </c>
      <c r="J85" s="82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96</v>
      </c>
      <c r="C86" s="79">
        <f>+'30'!G86</f>
        <v>2</v>
      </c>
      <c r="D86" s="87">
        <v>0</v>
      </c>
      <c r="E86" s="47">
        <f t="shared" si="0"/>
        <v>2</v>
      </c>
      <c r="F86" s="87">
        <v>0</v>
      </c>
      <c r="G86" s="47">
        <f t="shared" si="4"/>
        <v>2</v>
      </c>
      <c r="H86" s="88"/>
      <c r="I86" s="22">
        <v>100</v>
      </c>
      <c r="J86" s="82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97</v>
      </c>
      <c r="C87" s="79">
        <f>+'30'!G87</f>
        <v>3</v>
      </c>
      <c r="D87" s="87">
        <v>0</v>
      </c>
      <c r="E87" s="47">
        <f t="shared" si="0"/>
        <v>3</v>
      </c>
      <c r="F87" s="87">
        <v>0</v>
      </c>
      <c r="G87" s="47">
        <f t="shared" si="4"/>
        <v>1</v>
      </c>
      <c r="H87" s="88">
        <v>2</v>
      </c>
      <c r="I87" s="20">
        <v>55</v>
      </c>
      <c r="J87" s="82">
        <f t="shared" si="5"/>
        <v>110</v>
      </c>
      <c r="K87" s="17" t="s">
        <v>16</v>
      </c>
      <c r="L87" s="18">
        <v>0</v>
      </c>
      <c r="M87" s="23">
        <f t="shared" si="10"/>
        <v>110</v>
      </c>
    </row>
    <row r="88" spans="1:13" ht="25.5" x14ac:dyDescent="0.55000000000000004">
      <c r="A88" s="10">
        <v>84</v>
      </c>
      <c r="B88" s="19" t="s">
        <v>98</v>
      </c>
      <c r="C88" s="79">
        <f>+'30'!G88</f>
        <v>4</v>
      </c>
      <c r="D88" s="87">
        <v>0</v>
      </c>
      <c r="E88" s="47">
        <f t="shared" si="0"/>
        <v>4</v>
      </c>
      <c r="F88" s="87">
        <v>0</v>
      </c>
      <c r="G88" s="47">
        <f t="shared" si="4"/>
        <v>4</v>
      </c>
      <c r="H88" s="88"/>
      <c r="I88" s="20">
        <v>60</v>
      </c>
      <c r="J88" s="82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99</v>
      </c>
      <c r="C89" s="79">
        <f>+'30'!G89</f>
        <v>0</v>
      </c>
      <c r="D89" s="87">
        <v>0</v>
      </c>
      <c r="E89" s="47">
        <f t="shared" si="0"/>
        <v>0</v>
      </c>
      <c r="F89" s="87">
        <v>0</v>
      </c>
      <c r="G89" s="47">
        <f t="shared" si="4"/>
        <v>0</v>
      </c>
      <c r="H89" s="88"/>
      <c r="I89" s="20">
        <v>100</v>
      </c>
      <c r="J89" s="82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100</v>
      </c>
      <c r="C90" s="79">
        <f>+'30'!G90</f>
        <v>3</v>
      </c>
      <c r="D90" s="87">
        <v>0</v>
      </c>
      <c r="E90" s="47">
        <f t="shared" si="0"/>
        <v>3</v>
      </c>
      <c r="F90" s="87">
        <v>0</v>
      </c>
      <c r="G90" s="47">
        <f t="shared" si="4"/>
        <v>3</v>
      </c>
      <c r="H90" s="88"/>
      <c r="I90" s="20">
        <v>55</v>
      </c>
      <c r="J90" s="82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101</v>
      </c>
      <c r="C91" s="79">
        <f>+'30'!G91</f>
        <v>0</v>
      </c>
      <c r="D91" s="87">
        <v>0</v>
      </c>
      <c r="E91" s="47">
        <f t="shared" si="0"/>
        <v>0</v>
      </c>
      <c r="F91" s="87">
        <v>0</v>
      </c>
      <c r="G91" s="47">
        <f t="shared" si="4"/>
        <v>0</v>
      </c>
      <c r="H91" s="88"/>
      <c r="I91" s="20">
        <v>50</v>
      </c>
      <c r="J91" s="82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102</v>
      </c>
      <c r="C92" s="79">
        <f>+'30'!G92</f>
        <v>0</v>
      </c>
      <c r="D92" s="87">
        <v>0</v>
      </c>
      <c r="E92" s="47">
        <f t="shared" si="0"/>
        <v>0</v>
      </c>
      <c r="F92" s="87">
        <v>0</v>
      </c>
      <c r="G92" s="47">
        <f t="shared" si="4"/>
        <v>0</v>
      </c>
      <c r="H92" s="88"/>
      <c r="I92" s="22">
        <v>50</v>
      </c>
      <c r="J92" s="82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248</v>
      </c>
      <c r="C93" s="79">
        <f>+'30'!G93</f>
        <v>0</v>
      </c>
      <c r="D93" s="87">
        <v>0</v>
      </c>
      <c r="E93" s="47">
        <f t="shared" si="0"/>
        <v>0</v>
      </c>
      <c r="F93" s="87">
        <v>0</v>
      </c>
      <c r="G93" s="47">
        <f t="shared" si="4"/>
        <v>0</v>
      </c>
      <c r="H93" s="88"/>
      <c r="I93" s="22">
        <v>120</v>
      </c>
      <c r="J93" s="82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104</v>
      </c>
      <c r="C94" s="79">
        <f>+'30'!G94</f>
        <v>0</v>
      </c>
      <c r="D94" s="87">
        <v>0</v>
      </c>
      <c r="E94" s="47">
        <f t="shared" si="0"/>
        <v>0</v>
      </c>
      <c r="F94" s="87">
        <v>0</v>
      </c>
      <c r="G94" s="47">
        <f t="shared" si="4"/>
        <v>0</v>
      </c>
      <c r="H94" s="88"/>
      <c r="I94" s="20">
        <v>250</v>
      </c>
      <c r="J94" s="82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105</v>
      </c>
      <c r="C95" s="79">
        <f>+'30'!G95</f>
        <v>0</v>
      </c>
      <c r="D95" s="87">
        <v>0</v>
      </c>
      <c r="E95" s="47">
        <f t="shared" si="0"/>
        <v>0</v>
      </c>
      <c r="F95" s="87">
        <v>0</v>
      </c>
      <c r="G95" s="47">
        <f t="shared" si="4"/>
        <v>0</v>
      </c>
      <c r="H95" s="88"/>
      <c r="I95" s="20">
        <v>120</v>
      </c>
      <c r="J95" s="82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106</v>
      </c>
      <c r="C96" s="79">
        <f>+'30'!G96</f>
        <v>0</v>
      </c>
      <c r="D96" s="87">
        <v>0</v>
      </c>
      <c r="E96" s="47">
        <f t="shared" si="0"/>
        <v>0</v>
      </c>
      <c r="F96" s="87">
        <v>0</v>
      </c>
      <c r="G96" s="47">
        <f t="shared" si="4"/>
        <v>0</v>
      </c>
      <c r="H96" s="88"/>
      <c r="I96" s="20">
        <v>120</v>
      </c>
      <c r="J96" s="82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107</v>
      </c>
      <c r="C97" s="79">
        <f>+'30'!G97</f>
        <v>0</v>
      </c>
      <c r="D97" s="87">
        <v>0</v>
      </c>
      <c r="E97" s="47">
        <f t="shared" si="0"/>
        <v>0</v>
      </c>
      <c r="F97" s="87">
        <v>0</v>
      </c>
      <c r="G97" s="47">
        <f t="shared" si="4"/>
        <v>0</v>
      </c>
      <c r="H97" s="88"/>
      <c r="I97" s="20">
        <v>120</v>
      </c>
      <c r="J97" s="82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103</v>
      </c>
      <c r="C98" s="79">
        <f>+'30'!G98</f>
        <v>0</v>
      </c>
      <c r="D98" s="87">
        <v>0</v>
      </c>
      <c r="E98" s="47">
        <f t="shared" si="0"/>
        <v>0</v>
      </c>
      <c r="F98" s="87">
        <v>0</v>
      </c>
      <c r="G98" s="47">
        <f t="shared" si="4"/>
        <v>0</v>
      </c>
      <c r="H98" s="88"/>
      <c r="I98" s="20">
        <v>120</v>
      </c>
      <c r="J98" s="82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109</v>
      </c>
      <c r="C99" s="79">
        <f>+'30'!G99</f>
        <v>0</v>
      </c>
      <c r="D99" s="87">
        <v>0</v>
      </c>
      <c r="E99" s="47">
        <f t="shared" si="0"/>
        <v>0</v>
      </c>
      <c r="F99" s="87">
        <v>0</v>
      </c>
      <c r="G99" s="47">
        <f t="shared" si="4"/>
        <v>0</v>
      </c>
      <c r="H99" s="88"/>
      <c r="I99" s="20">
        <v>50</v>
      </c>
      <c r="J99" s="82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110</v>
      </c>
      <c r="C100" s="79">
        <f>+'30'!G100</f>
        <v>0</v>
      </c>
      <c r="D100" s="87">
        <v>0</v>
      </c>
      <c r="E100" s="47">
        <f t="shared" si="0"/>
        <v>0</v>
      </c>
      <c r="F100" s="87">
        <v>0</v>
      </c>
      <c r="G100" s="47">
        <f t="shared" si="4"/>
        <v>0</v>
      </c>
      <c r="H100" s="88"/>
      <c r="I100" s="20">
        <v>50</v>
      </c>
      <c r="J100" s="82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111</v>
      </c>
      <c r="C101" s="79">
        <f>+'30'!G101</f>
        <v>0</v>
      </c>
      <c r="D101" s="87">
        <v>0</v>
      </c>
      <c r="E101" s="47">
        <f t="shared" si="0"/>
        <v>0</v>
      </c>
      <c r="F101" s="87">
        <v>0</v>
      </c>
      <c r="G101" s="47">
        <f t="shared" ref="G101:G164" si="11">+E101-F101-H101</f>
        <v>0</v>
      </c>
      <c r="H101" s="88"/>
      <c r="I101" s="20">
        <v>60</v>
      </c>
      <c r="J101" s="82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112</v>
      </c>
      <c r="C102" s="79">
        <f>+'30'!G102</f>
        <v>0</v>
      </c>
      <c r="D102" s="87">
        <v>0</v>
      </c>
      <c r="E102" s="47">
        <f t="shared" si="0"/>
        <v>0</v>
      </c>
      <c r="F102" s="87">
        <v>0</v>
      </c>
      <c r="G102" s="47">
        <f t="shared" si="11"/>
        <v>0</v>
      </c>
      <c r="H102" s="88"/>
      <c r="I102" s="20">
        <v>55</v>
      </c>
      <c r="J102" s="82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113</v>
      </c>
      <c r="C103" s="79">
        <f>+'30'!G103</f>
        <v>0</v>
      </c>
      <c r="D103" s="87">
        <v>0</v>
      </c>
      <c r="E103" s="47">
        <f t="shared" si="0"/>
        <v>0</v>
      </c>
      <c r="F103" s="87">
        <v>0</v>
      </c>
      <c r="G103" s="47">
        <f t="shared" si="11"/>
        <v>0</v>
      </c>
      <c r="H103" s="88"/>
      <c r="I103" s="20">
        <v>50</v>
      </c>
      <c r="J103" s="82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114</v>
      </c>
      <c r="C104" s="79">
        <f>+'30'!G104</f>
        <v>0</v>
      </c>
      <c r="D104" s="87">
        <v>0</v>
      </c>
      <c r="E104" s="47">
        <f t="shared" si="0"/>
        <v>0</v>
      </c>
      <c r="F104" s="87">
        <v>0</v>
      </c>
      <c r="G104" s="47">
        <f t="shared" si="11"/>
        <v>0</v>
      </c>
      <c r="H104" s="88"/>
      <c r="I104" s="20">
        <v>100</v>
      </c>
      <c r="J104" s="82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115</v>
      </c>
      <c r="C105" s="79">
        <f>+'30'!G105</f>
        <v>0</v>
      </c>
      <c r="D105" s="87">
        <v>0</v>
      </c>
      <c r="E105" s="47">
        <f t="shared" si="0"/>
        <v>0</v>
      </c>
      <c r="F105" s="87">
        <v>0</v>
      </c>
      <c r="G105" s="47">
        <f t="shared" si="11"/>
        <v>0</v>
      </c>
      <c r="H105" s="88"/>
      <c r="I105" s="20">
        <v>100</v>
      </c>
      <c r="J105" s="82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116</v>
      </c>
      <c r="C106" s="79">
        <f>+'30'!G106</f>
        <v>0</v>
      </c>
      <c r="D106" s="87">
        <v>0</v>
      </c>
      <c r="E106" s="47">
        <f t="shared" si="0"/>
        <v>0</v>
      </c>
      <c r="F106" s="87">
        <v>0</v>
      </c>
      <c r="G106" s="47">
        <f t="shared" si="11"/>
        <v>0</v>
      </c>
      <c r="H106" s="88"/>
      <c r="I106" s="22">
        <v>30</v>
      </c>
      <c r="J106" s="82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117</v>
      </c>
      <c r="C107" s="79">
        <f>+'30'!G107</f>
        <v>0</v>
      </c>
      <c r="D107" s="87">
        <v>0</v>
      </c>
      <c r="E107" s="47">
        <f t="shared" si="0"/>
        <v>0</v>
      </c>
      <c r="F107" s="87">
        <v>0</v>
      </c>
      <c r="G107" s="47">
        <f t="shared" si="11"/>
        <v>0</v>
      </c>
      <c r="H107" s="88"/>
      <c r="I107" s="22">
        <v>20</v>
      </c>
      <c r="J107" s="82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118</v>
      </c>
      <c r="C108" s="79">
        <f>+'30'!G108</f>
        <v>0</v>
      </c>
      <c r="D108" s="87">
        <v>0</v>
      </c>
      <c r="E108" s="47">
        <f t="shared" si="0"/>
        <v>0</v>
      </c>
      <c r="F108" s="87">
        <v>0</v>
      </c>
      <c r="G108" s="47">
        <f t="shared" si="11"/>
        <v>0</v>
      </c>
      <c r="H108" s="88"/>
      <c r="I108" s="20">
        <v>100</v>
      </c>
      <c r="J108" s="82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120</v>
      </c>
      <c r="C109" s="79">
        <f>+'30'!G109</f>
        <v>0</v>
      </c>
      <c r="D109" s="87">
        <v>0</v>
      </c>
      <c r="E109" s="47">
        <f t="shared" si="0"/>
        <v>0</v>
      </c>
      <c r="F109" s="87">
        <v>0</v>
      </c>
      <c r="G109" s="47">
        <f t="shared" si="11"/>
        <v>0</v>
      </c>
      <c r="H109" s="88"/>
      <c r="I109" s="20">
        <v>80</v>
      </c>
      <c r="J109" s="82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121</v>
      </c>
      <c r="C110" s="79">
        <f>+'30'!G110</f>
        <v>0</v>
      </c>
      <c r="D110" s="87">
        <v>0</v>
      </c>
      <c r="E110" s="47">
        <f t="shared" si="0"/>
        <v>0</v>
      </c>
      <c r="F110" s="87">
        <v>0</v>
      </c>
      <c r="G110" s="47">
        <f t="shared" si="11"/>
        <v>0</v>
      </c>
      <c r="H110" s="88"/>
      <c r="I110" s="20">
        <v>60</v>
      </c>
      <c r="J110" s="82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122</v>
      </c>
      <c r="C111" s="79">
        <f>+'30'!G111</f>
        <v>0</v>
      </c>
      <c r="D111" s="87">
        <v>0</v>
      </c>
      <c r="E111" s="47">
        <f t="shared" si="0"/>
        <v>0</v>
      </c>
      <c r="F111" s="87">
        <v>0</v>
      </c>
      <c r="G111" s="47">
        <f t="shared" si="11"/>
        <v>0</v>
      </c>
      <c r="H111" s="88"/>
      <c r="I111" s="20">
        <v>35</v>
      </c>
      <c r="J111" s="82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123</v>
      </c>
      <c r="C112" s="79">
        <f>+'30'!G112</f>
        <v>0</v>
      </c>
      <c r="D112" s="87">
        <v>0</v>
      </c>
      <c r="E112" s="47">
        <f t="shared" si="0"/>
        <v>0</v>
      </c>
      <c r="F112" s="87">
        <v>0</v>
      </c>
      <c r="G112" s="47">
        <f t="shared" si="11"/>
        <v>0</v>
      </c>
      <c r="H112" s="88"/>
      <c r="I112" s="20">
        <v>35</v>
      </c>
      <c r="J112" s="82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124</v>
      </c>
      <c r="C113" s="79">
        <f>+'30'!G113</f>
        <v>0</v>
      </c>
      <c r="D113" s="87">
        <v>0</v>
      </c>
      <c r="E113" s="47">
        <f t="shared" si="0"/>
        <v>0</v>
      </c>
      <c r="F113" s="87">
        <v>0</v>
      </c>
      <c r="G113" s="47">
        <f t="shared" si="11"/>
        <v>0</v>
      </c>
      <c r="H113" s="88"/>
      <c r="I113" s="20">
        <v>35</v>
      </c>
      <c r="J113" s="82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125</v>
      </c>
      <c r="C114" s="79">
        <f>+'30'!G114</f>
        <v>0</v>
      </c>
      <c r="D114" s="87">
        <v>0</v>
      </c>
      <c r="E114" s="47">
        <f t="shared" si="0"/>
        <v>0</v>
      </c>
      <c r="F114" s="87">
        <v>0</v>
      </c>
      <c r="G114" s="47">
        <f t="shared" si="11"/>
        <v>0</v>
      </c>
      <c r="H114" s="88"/>
      <c r="I114" s="20">
        <v>35</v>
      </c>
      <c r="J114" s="82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126</v>
      </c>
      <c r="C115" s="79">
        <f>+'30'!G115</f>
        <v>0</v>
      </c>
      <c r="D115" s="87">
        <v>0</v>
      </c>
      <c r="E115" s="47">
        <f t="shared" si="0"/>
        <v>0</v>
      </c>
      <c r="F115" s="87">
        <v>0</v>
      </c>
      <c r="G115" s="47">
        <f t="shared" si="11"/>
        <v>0</v>
      </c>
      <c r="H115" s="88"/>
      <c r="I115" s="20">
        <v>35</v>
      </c>
      <c r="J115" s="82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127</v>
      </c>
      <c r="C116" s="79">
        <f>+'30'!G116</f>
        <v>0</v>
      </c>
      <c r="D116" s="87">
        <v>0</v>
      </c>
      <c r="E116" s="47">
        <f t="shared" si="0"/>
        <v>0</v>
      </c>
      <c r="F116" s="87">
        <v>0</v>
      </c>
      <c r="G116" s="47">
        <f t="shared" si="11"/>
        <v>0</v>
      </c>
      <c r="H116" s="88"/>
      <c r="I116" s="20">
        <v>30</v>
      </c>
      <c r="J116" s="82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128</v>
      </c>
      <c r="C117" s="79">
        <f>+'30'!G117</f>
        <v>0</v>
      </c>
      <c r="D117" s="87">
        <v>0</v>
      </c>
      <c r="E117" s="47">
        <f t="shared" si="0"/>
        <v>0</v>
      </c>
      <c r="F117" s="87">
        <v>0</v>
      </c>
      <c r="G117" s="47">
        <f t="shared" si="11"/>
        <v>0</v>
      </c>
      <c r="H117" s="88"/>
      <c r="I117" s="20">
        <v>30</v>
      </c>
      <c r="J117" s="82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129</v>
      </c>
      <c r="C118" s="79">
        <f>+'30'!G118</f>
        <v>0</v>
      </c>
      <c r="D118" s="87">
        <v>0</v>
      </c>
      <c r="E118" s="47">
        <f t="shared" si="0"/>
        <v>0</v>
      </c>
      <c r="F118" s="87">
        <v>0</v>
      </c>
      <c r="G118" s="47">
        <f t="shared" si="11"/>
        <v>0</v>
      </c>
      <c r="H118" s="88"/>
      <c r="I118" s="20">
        <v>30</v>
      </c>
      <c r="J118" s="82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130</v>
      </c>
      <c r="C119" s="79">
        <f>+'30'!G119</f>
        <v>0</v>
      </c>
      <c r="D119" s="87">
        <v>0</v>
      </c>
      <c r="E119" s="47">
        <f t="shared" si="0"/>
        <v>0</v>
      </c>
      <c r="F119" s="87">
        <v>0</v>
      </c>
      <c r="G119" s="47">
        <f t="shared" si="11"/>
        <v>0</v>
      </c>
      <c r="H119" s="88"/>
      <c r="I119" s="20">
        <v>30</v>
      </c>
      <c r="J119" s="82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131</v>
      </c>
      <c r="C120" s="79">
        <f>+'30'!G120</f>
        <v>0</v>
      </c>
      <c r="D120" s="87">
        <v>0</v>
      </c>
      <c r="E120" s="47">
        <f t="shared" si="0"/>
        <v>0</v>
      </c>
      <c r="F120" s="87">
        <v>0</v>
      </c>
      <c r="G120" s="47">
        <f t="shared" si="11"/>
        <v>0</v>
      </c>
      <c r="H120" s="88"/>
      <c r="I120" s="20">
        <v>30</v>
      </c>
      <c r="J120" s="82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132</v>
      </c>
      <c r="C121" s="79">
        <f>+'30'!G121</f>
        <v>0</v>
      </c>
      <c r="D121" s="87">
        <v>0</v>
      </c>
      <c r="E121" s="47">
        <f t="shared" si="0"/>
        <v>0</v>
      </c>
      <c r="F121" s="87">
        <v>0</v>
      </c>
      <c r="G121" s="47">
        <f t="shared" si="11"/>
        <v>0</v>
      </c>
      <c r="H121" s="88"/>
      <c r="I121" s="20">
        <v>30</v>
      </c>
      <c r="J121" s="82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133</v>
      </c>
      <c r="C122" s="79">
        <f>+'30'!G122</f>
        <v>0</v>
      </c>
      <c r="D122" s="87">
        <v>0</v>
      </c>
      <c r="E122" s="47">
        <f t="shared" si="0"/>
        <v>0</v>
      </c>
      <c r="F122" s="87">
        <v>0</v>
      </c>
      <c r="G122" s="47">
        <f t="shared" si="11"/>
        <v>0</v>
      </c>
      <c r="H122" s="88"/>
      <c r="I122" s="20">
        <v>40</v>
      </c>
      <c r="J122" s="82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134</v>
      </c>
      <c r="C123" s="79">
        <f>+'30'!G123</f>
        <v>0</v>
      </c>
      <c r="D123" s="87">
        <v>0</v>
      </c>
      <c r="E123" s="47">
        <f t="shared" si="0"/>
        <v>0</v>
      </c>
      <c r="F123" s="87">
        <v>0</v>
      </c>
      <c r="G123" s="47">
        <f t="shared" si="11"/>
        <v>0</v>
      </c>
      <c r="H123" s="88"/>
      <c r="I123" s="20">
        <v>35</v>
      </c>
      <c r="J123" s="82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135</v>
      </c>
      <c r="C124" s="79">
        <f>+'30'!G124</f>
        <v>0</v>
      </c>
      <c r="D124" s="87">
        <v>0</v>
      </c>
      <c r="E124" s="47">
        <f t="shared" si="0"/>
        <v>0</v>
      </c>
      <c r="F124" s="87">
        <v>0</v>
      </c>
      <c r="G124" s="47">
        <f t="shared" si="11"/>
        <v>0</v>
      </c>
      <c r="H124" s="88"/>
      <c r="I124" s="20">
        <v>40</v>
      </c>
      <c r="J124" s="82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136</v>
      </c>
      <c r="C125" s="79">
        <f>+'30'!G125</f>
        <v>0</v>
      </c>
      <c r="D125" s="87">
        <v>0</v>
      </c>
      <c r="E125" s="47">
        <f t="shared" si="0"/>
        <v>0</v>
      </c>
      <c r="F125" s="87">
        <v>0</v>
      </c>
      <c r="G125" s="47">
        <f t="shared" si="11"/>
        <v>0</v>
      </c>
      <c r="H125" s="88"/>
      <c r="I125" s="20">
        <v>40</v>
      </c>
      <c r="J125" s="82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137</v>
      </c>
      <c r="C126" s="79">
        <f>+'30'!G126</f>
        <v>0</v>
      </c>
      <c r="D126" s="87">
        <v>0</v>
      </c>
      <c r="E126" s="47">
        <f t="shared" ref="E126:E189" si="13">C126+D126</f>
        <v>0</v>
      </c>
      <c r="F126" s="87">
        <v>0</v>
      </c>
      <c r="G126" s="47">
        <f t="shared" si="11"/>
        <v>0</v>
      </c>
      <c r="H126" s="88"/>
      <c r="I126" s="20">
        <v>30</v>
      </c>
      <c r="J126" s="82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138</v>
      </c>
      <c r="C127" s="79">
        <f>+'30'!G127</f>
        <v>0</v>
      </c>
      <c r="D127" s="87">
        <v>0</v>
      </c>
      <c r="E127" s="47">
        <f t="shared" si="13"/>
        <v>0</v>
      </c>
      <c r="F127" s="87">
        <v>0</v>
      </c>
      <c r="G127" s="47">
        <f t="shared" si="11"/>
        <v>0</v>
      </c>
      <c r="H127" s="88"/>
      <c r="I127" s="20">
        <v>40</v>
      </c>
      <c r="J127" s="82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139</v>
      </c>
      <c r="C128" s="79">
        <f>+'30'!G128</f>
        <v>74</v>
      </c>
      <c r="D128" s="87">
        <v>0</v>
      </c>
      <c r="E128" s="47">
        <f t="shared" si="13"/>
        <v>74</v>
      </c>
      <c r="F128" s="87">
        <v>0</v>
      </c>
      <c r="G128" s="47">
        <f t="shared" si="11"/>
        <v>74</v>
      </c>
      <c r="H128" s="88"/>
      <c r="I128" s="20">
        <v>10</v>
      </c>
      <c r="J128" s="82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140</v>
      </c>
      <c r="C129" s="79">
        <f>+'30'!G129</f>
        <v>0</v>
      </c>
      <c r="D129" s="87">
        <v>0</v>
      </c>
      <c r="E129" s="47">
        <f t="shared" si="13"/>
        <v>0</v>
      </c>
      <c r="F129" s="87">
        <v>0</v>
      </c>
      <c r="G129" s="47">
        <f t="shared" si="11"/>
        <v>0</v>
      </c>
      <c r="H129" s="88"/>
      <c r="I129" s="20">
        <v>35</v>
      </c>
      <c r="J129" s="82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141</v>
      </c>
      <c r="C130" s="79">
        <f>+'30'!G130</f>
        <v>0</v>
      </c>
      <c r="D130" s="87">
        <v>0</v>
      </c>
      <c r="E130" s="47">
        <f t="shared" si="13"/>
        <v>0</v>
      </c>
      <c r="F130" s="87">
        <v>0</v>
      </c>
      <c r="G130" s="47">
        <f t="shared" si="11"/>
        <v>0</v>
      </c>
      <c r="H130" s="88"/>
      <c r="I130" s="20">
        <v>40</v>
      </c>
      <c r="J130" s="82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142</v>
      </c>
      <c r="C131" s="79">
        <f>+'30'!G131</f>
        <v>0</v>
      </c>
      <c r="D131" s="87">
        <v>0</v>
      </c>
      <c r="E131" s="47">
        <f t="shared" si="13"/>
        <v>0</v>
      </c>
      <c r="F131" s="87">
        <v>0</v>
      </c>
      <c r="G131" s="47">
        <f t="shared" si="11"/>
        <v>0</v>
      </c>
      <c r="H131" s="88"/>
      <c r="I131" s="20">
        <v>50</v>
      </c>
      <c r="J131" s="82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143</v>
      </c>
      <c r="C132" s="79">
        <f>+'30'!G132</f>
        <v>0</v>
      </c>
      <c r="D132" s="87">
        <v>0</v>
      </c>
      <c r="E132" s="47">
        <f t="shared" si="13"/>
        <v>0</v>
      </c>
      <c r="F132" s="87">
        <v>0</v>
      </c>
      <c r="G132" s="47">
        <f t="shared" si="11"/>
        <v>0</v>
      </c>
      <c r="H132" s="88"/>
      <c r="I132" s="20">
        <v>55</v>
      </c>
      <c r="J132" s="82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144</v>
      </c>
      <c r="C133" s="79">
        <f>+'30'!G133</f>
        <v>0</v>
      </c>
      <c r="D133" s="87">
        <v>0</v>
      </c>
      <c r="E133" s="47">
        <f t="shared" si="13"/>
        <v>0</v>
      </c>
      <c r="F133" s="87">
        <v>0</v>
      </c>
      <c r="G133" s="47">
        <f t="shared" si="11"/>
        <v>0</v>
      </c>
      <c r="H133" s="88"/>
      <c r="I133" s="20">
        <v>55</v>
      </c>
      <c r="J133" s="82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145</v>
      </c>
      <c r="C134" s="79">
        <f>+'30'!G134</f>
        <v>0</v>
      </c>
      <c r="D134" s="87">
        <v>0</v>
      </c>
      <c r="E134" s="47">
        <f t="shared" si="13"/>
        <v>0</v>
      </c>
      <c r="F134" s="87">
        <v>0</v>
      </c>
      <c r="G134" s="47">
        <f t="shared" si="11"/>
        <v>0</v>
      </c>
      <c r="H134" s="88"/>
      <c r="I134" s="20">
        <v>45</v>
      </c>
      <c r="J134" s="82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5.5" x14ac:dyDescent="0.55000000000000004">
      <c r="A135" s="10">
        <v>131</v>
      </c>
      <c r="B135" s="19" t="s">
        <v>146</v>
      </c>
      <c r="C135" s="79">
        <f>+'30'!G135</f>
        <v>0</v>
      </c>
      <c r="D135" s="87">
        <v>0</v>
      </c>
      <c r="E135" s="47">
        <f t="shared" si="13"/>
        <v>0</v>
      </c>
      <c r="F135" s="87">
        <v>0</v>
      </c>
      <c r="G135" s="47">
        <f t="shared" si="11"/>
        <v>0</v>
      </c>
      <c r="H135" s="88"/>
      <c r="I135" s="20">
        <v>45</v>
      </c>
      <c r="J135" s="82">
        <f t="shared" si="12"/>
        <v>0</v>
      </c>
      <c r="K135" s="17" t="s">
        <v>16</v>
      </c>
      <c r="L135" s="18">
        <v>0</v>
      </c>
      <c r="M135" s="23">
        <f t="shared" ref="M135:M198" si="14">SUM(J135-L135)</f>
        <v>0</v>
      </c>
    </row>
    <row r="136" spans="1:13" ht="25.5" x14ac:dyDescent="0.55000000000000004">
      <c r="A136" s="10">
        <v>132</v>
      </c>
      <c r="B136" s="19" t="s">
        <v>147</v>
      </c>
      <c r="C136" s="79">
        <f>+'30'!G136</f>
        <v>0</v>
      </c>
      <c r="D136" s="87">
        <v>0</v>
      </c>
      <c r="E136" s="47">
        <f t="shared" si="13"/>
        <v>0</v>
      </c>
      <c r="F136" s="87">
        <v>0</v>
      </c>
      <c r="G136" s="47">
        <f t="shared" si="11"/>
        <v>0</v>
      </c>
      <c r="H136" s="88"/>
      <c r="I136" s="20">
        <v>55</v>
      </c>
      <c r="J136" s="82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148</v>
      </c>
      <c r="C137" s="79">
        <f>+'30'!G137</f>
        <v>0</v>
      </c>
      <c r="D137" s="87">
        <v>0</v>
      </c>
      <c r="E137" s="47">
        <f t="shared" si="13"/>
        <v>0</v>
      </c>
      <c r="F137" s="87">
        <v>0</v>
      </c>
      <c r="G137" s="47">
        <f t="shared" si="11"/>
        <v>0</v>
      </c>
      <c r="H137" s="88"/>
      <c r="I137" s="20">
        <v>45</v>
      </c>
      <c r="J137" s="82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149</v>
      </c>
      <c r="C138" s="79">
        <f>+'30'!G138</f>
        <v>0</v>
      </c>
      <c r="D138" s="87">
        <v>0</v>
      </c>
      <c r="E138" s="47">
        <f t="shared" si="13"/>
        <v>0</v>
      </c>
      <c r="F138" s="87">
        <v>0</v>
      </c>
      <c r="G138" s="47">
        <f t="shared" si="11"/>
        <v>0</v>
      </c>
      <c r="H138" s="88"/>
      <c r="I138" s="20">
        <v>45</v>
      </c>
      <c r="J138" s="82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150</v>
      </c>
      <c r="C139" s="79">
        <f>+'30'!G139</f>
        <v>0</v>
      </c>
      <c r="D139" s="87">
        <v>0</v>
      </c>
      <c r="E139" s="47">
        <f t="shared" si="13"/>
        <v>0</v>
      </c>
      <c r="F139" s="87">
        <v>0</v>
      </c>
      <c r="G139" s="47">
        <f t="shared" si="11"/>
        <v>0</v>
      </c>
      <c r="H139" s="88"/>
      <c r="I139" s="20">
        <v>45</v>
      </c>
      <c r="J139" s="82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151</v>
      </c>
      <c r="C140" s="79">
        <f>+'30'!G140</f>
        <v>0</v>
      </c>
      <c r="D140" s="87">
        <v>0</v>
      </c>
      <c r="E140" s="47">
        <f t="shared" si="13"/>
        <v>0</v>
      </c>
      <c r="F140" s="87">
        <v>0</v>
      </c>
      <c r="G140" s="47">
        <f t="shared" si="11"/>
        <v>0</v>
      </c>
      <c r="H140" s="88"/>
      <c r="I140" s="20">
        <v>45</v>
      </c>
      <c r="J140" s="82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152</v>
      </c>
      <c r="C141" s="79">
        <f>+'30'!G141</f>
        <v>0</v>
      </c>
      <c r="D141" s="87">
        <v>0</v>
      </c>
      <c r="E141" s="47">
        <f t="shared" si="13"/>
        <v>0</v>
      </c>
      <c r="F141" s="87">
        <v>0</v>
      </c>
      <c r="G141" s="47">
        <f t="shared" si="11"/>
        <v>0</v>
      </c>
      <c r="H141" s="88"/>
      <c r="I141" s="20">
        <v>45</v>
      </c>
      <c r="J141" s="82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153</v>
      </c>
      <c r="C142" s="79">
        <f>+'30'!G142</f>
        <v>0</v>
      </c>
      <c r="D142" s="87">
        <v>0</v>
      </c>
      <c r="E142" s="47">
        <f t="shared" si="13"/>
        <v>0</v>
      </c>
      <c r="F142" s="87">
        <v>0</v>
      </c>
      <c r="G142" s="47">
        <f t="shared" si="11"/>
        <v>0</v>
      </c>
      <c r="H142" s="88"/>
      <c r="I142" s="20">
        <v>45</v>
      </c>
      <c r="J142" s="82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154</v>
      </c>
      <c r="C143" s="79">
        <f>+'30'!G143</f>
        <v>0</v>
      </c>
      <c r="D143" s="87">
        <v>0</v>
      </c>
      <c r="E143" s="47">
        <f t="shared" si="13"/>
        <v>0</v>
      </c>
      <c r="F143" s="87">
        <v>0</v>
      </c>
      <c r="G143" s="47">
        <f t="shared" si="11"/>
        <v>0</v>
      </c>
      <c r="H143" s="88"/>
      <c r="I143" s="20">
        <v>120</v>
      </c>
      <c r="J143" s="82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155</v>
      </c>
      <c r="C144" s="79">
        <f>+'30'!G144</f>
        <v>0</v>
      </c>
      <c r="D144" s="87">
        <v>0</v>
      </c>
      <c r="E144" s="47">
        <f t="shared" si="13"/>
        <v>0</v>
      </c>
      <c r="F144" s="87">
        <v>0</v>
      </c>
      <c r="G144" s="47">
        <f t="shared" si="11"/>
        <v>0</v>
      </c>
      <c r="H144" s="88"/>
      <c r="I144" s="20">
        <v>120</v>
      </c>
      <c r="J144" s="82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156</v>
      </c>
      <c r="C145" s="79">
        <f>+'30'!G145</f>
        <v>0</v>
      </c>
      <c r="D145" s="87">
        <v>0</v>
      </c>
      <c r="E145" s="47">
        <f t="shared" si="13"/>
        <v>0</v>
      </c>
      <c r="F145" s="87">
        <v>0</v>
      </c>
      <c r="G145" s="47">
        <f t="shared" si="11"/>
        <v>0</v>
      </c>
      <c r="H145" s="88"/>
      <c r="I145" s="20">
        <v>120</v>
      </c>
      <c r="J145" s="82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157</v>
      </c>
      <c r="C146" s="79">
        <f>+'30'!G146</f>
        <v>0</v>
      </c>
      <c r="D146" s="87">
        <v>0</v>
      </c>
      <c r="E146" s="47">
        <f t="shared" si="13"/>
        <v>0</v>
      </c>
      <c r="F146" s="87">
        <v>0</v>
      </c>
      <c r="G146" s="47">
        <f t="shared" si="11"/>
        <v>0</v>
      </c>
      <c r="H146" s="88"/>
      <c r="I146" s="20">
        <v>120</v>
      </c>
      <c r="J146" s="82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158</v>
      </c>
      <c r="C147" s="79">
        <f>+'30'!G147</f>
        <v>0</v>
      </c>
      <c r="D147" s="87">
        <v>0</v>
      </c>
      <c r="E147" s="47">
        <f t="shared" si="13"/>
        <v>0</v>
      </c>
      <c r="F147" s="87">
        <v>0</v>
      </c>
      <c r="G147" s="47">
        <f t="shared" si="11"/>
        <v>0</v>
      </c>
      <c r="H147" s="88"/>
      <c r="I147" s="20">
        <v>185</v>
      </c>
      <c r="J147" s="82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159</v>
      </c>
      <c r="C148" s="79">
        <f>+'30'!G148</f>
        <v>0</v>
      </c>
      <c r="D148" s="87">
        <v>0</v>
      </c>
      <c r="E148" s="47">
        <f t="shared" si="13"/>
        <v>0</v>
      </c>
      <c r="F148" s="87">
        <v>0</v>
      </c>
      <c r="G148" s="47">
        <f t="shared" si="11"/>
        <v>0</v>
      </c>
      <c r="H148" s="88"/>
      <c r="I148" s="20">
        <v>185</v>
      </c>
      <c r="J148" s="82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160</v>
      </c>
      <c r="C149" s="79">
        <f>+'30'!G149</f>
        <v>0</v>
      </c>
      <c r="D149" s="87">
        <v>0</v>
      </c>
      <c r="E149" s="47">
        <f t="shared" si="13"/>
        <v>0</v>
      </c>
      <c r="F149" s="87">
        <v>0</v>
      </c>
      <c r="G149" s="47">
        <f t="shared" si="11"/>
        <v>0</v>
      </c>
      <c r="H149" s="88"/>
      <c r="I149" s="20">
        <v>185</v>
      </c>
      <c r="J149" s="82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161</v>
      </c>
      <c r="C150" s="79">
        <f>+'30'!G150</f>
        <v>0</v>
      </c>
      <c r="D150" s="87">
        <v>0</v>
      </c>
      <c r="E150" s="47">
        <f t="shared" si="13"/>
        <v>0</v>
      </c>
      <c r="F150" s="87">
        <v>0</v>
      </c>
      <c r="G150" s="47">
        <f t="shared" si="11"/>
        <v>0</v>
      </c>
      <c r="H150" s="88"/>
      <c r="I150" s="20">
        <v>185</v>
      </c>
      <c r="J150" s="82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5.5" x14ac:dyDescent="0.55000000000000004">
      <c r="A151" s="10">
        <v>147</v>
      </c>
      <c r="B151" s="19" t="s">
        <v>279</v>
      </c>
      <c r="C151" s="79">
        <f>+'30'!G151</f>
        <v>0</v>
      </c>
      <c r="D151" s="87">
        <v>0</v>
      </c>
      <c r="E151" s="47">
        <f t="shared" si="13"/>
        <v>0</v>
      </c>
      <c r="F151" s="87">
        <v>0</v>
      </c>
      <c r="G151" s="47">
        <f t="shared" si="11"/>
        <v>0</v>
      </c>
      <c r="H151" s="88"/>
      <c r="I151" s="20">
        <v>150</v>
      </c>
      <c r="J151" s="82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280</v>
      </c>
      <c r="C152" s="79">
        <f>+'30'!G152</f>
        <v>1</v>
      </c>
      <c r="D152" s="87">
        <v>0</v>
      </c>
      <c r="E152" s="47">
        <f t="shared" si="13"/>
        <v>1</v>
      </c>
      <c r="F152" s="87">
        <v>0</v>
      </c>
      <c r="G152" s="47">
        <f t="shared" si="11"/>
        <v>1</v>
      </c>
      <c r="H152" s="88"/>
      <c r="I152" s="20">
        <v>150</v>
      </c>
      <c r="J152" s="82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5.5" x14ac:dyDescent="0.55000000000000004">
      <c r="A153" s="10">
        <v>149</v>
      </c>
      <c r="B153" s="19" t="s">
        <v>281</v>
      </c>
      <c r="C153" s="79">
        <f>+'30'!G153</f>
        <v>0</v>
      </c>
      <c r="D153" s="87">
        <v>0</v>
      </c>
      <c r="E153" s="47">
        <f t="shared" si="13"/>
        <v>0</v>
      </c>
      <c r="F153" s="87">
        <v>0</v>
      </c>
      <c r="G153" s="47">
        <f t="shared" si="11"/>
        <v>0</v>
      </c>
      <c r="H153" s="88"/>
      <c r="I153" s="20">
        <v>150</v>
      </c>
      <c r="J153" s="82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282</v>
      </c>
      <c r="C154" s="79">
        <f>+'30'!G154</f>
        <v>0</v>
      </c>
      <c r="D154" s="87">
        <v>0</v>
      </c>
      <c r="E154" s="47">
        <f t="shared" si="13"/>
        <v>0</v>
      </c>
      <c r="F154" s="87">
        <v>0</v>
      </c>
      <c r="G154" s="47">
        <f t="shared" si="11"/>
        <v>0</v>
      </c>
      <c r="H154" s="88"/>
      <c r="I154" s="20">
        <v>150</v>
      </c>
      <c r="J154" s="82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166</v>
      </c>
      <c r="C155" s="79">
        <f>+'30'!G155</f>
        <v>0</v>
      </c>
      <c r="D155" s="87">
        <v>0</v>
      </c>
      <c r="E155" s="47">
        <f t="shared" si="13"/>
        <v>0</v>
      </c>
      <c r="F155" s="87">
        <v>0</v>
      </c>
      <c r="G155" s="47">
        <f t="shared" si="11"/>
        <v>0</v>
      </c>
      <c r="H155" s="88"/>
      <c r="I155" s="20">
        <v>185</v>
      </c>
      <c r="J155" s="82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167</v>
      </c>
      <c r="C156" s="79">
        <f>+'30'!G156</f>
        <v>0</v>
      </c>
      <c r="D156" s="87">
        <v>0</v>
      </c>
      <c r="E156" s="47">
        <f t="shared" si="13"/>
        <v>0</v>
      </c>
      <c r="F156" s="87">
        <v>0</v>
      </c>
      <c r="G156" s="47">
        <f t="shared" si="11"/>
        <v>0</v>
      </c>
      <c r="H156" s="88"/>
      <c r="I156" s="20">
        <v>185</v>
      </c>
      <c r="J156" s="82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168</v>
      </c>
      <c r="C157" s="79">
        <f>+'30'!G157</f>
        <v>0</v>
      </c>
      <c r="D157" s="87">
        <v>0</v>
      </c>
      <c r="E157" s="47">
        <f t="shared" si="13"/>
        <v>0</v>
      </c>
      <c r="F157" s="87">
        <v>0</v>
      </c>
      <c r="G157" s="47">
        <f t="shared" si="11"/>
        <v>0</v>
      </c>
      <c r="H157" s="88"/>
      <c r="I157" s="20">
        <v>185</v>
      </c>
      <c r="J157" s="82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169</v>
      </c>
      <c r="C158" s="79">
        <f>+'30'!G158</f>
        <v>0</v>
      </c>
      <c r="D158" s="87">
        <v>0</v>
      </c>
      <c r="E158" s="47">
        <f t="shared" si="13"/>
        <v>0</v>
      </c>
      <c r="F158" s="87">
        <v>0</v>
      </c>
      <c r="G158" s="47">
        <f t="shared" si="11"/>
        <v>0</v>
      </c>
      <c r="H158" s="88"/>
      <c r="I158" s="20">
        <v>185</v>
      </c>
      <c r="J158" s="82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170</v>
      </c>
      <c r="C159" s="79">
        <f>+'30'!G159</f>
        <v>0</v>
      </c>
      <c r="D159" s="87">
        <v>0</v>
      </c>
      <c r="E159" s="47">
        <f t="shared" si="13"/>
        <v>0</v>
      </c>
      <c r="F159" s="87">
        <v>0</v>
      </c>
      <c r="G159" s="47">
        <f t="shared" si="11"/>
        <v>0</v>
      </c>
      <c r="H159" s="88"/>
      <c r="I159" s="20">
        <v>135</v>
      </c>
      <c r="J159" s="82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171</v>
      </c>
      <c r="C160" s="79">
        <f>+'30'!G160</f>
        <v>0</v>
      </c>
      <c r="D160" s="87">
        <v>0</v>
      </c>
      <c r="E160" s="47">
        <f t="shared" si="13"/>
        <v>0</v>
      </c>
      <c r="F160" s="87">
        <v>0</v>
      </c>
      <c r="G160" s="47">
        <f t="shared" si="11"/>
        <v>0</v>
      </c>
      <c r="H160" s="88"/>
      <c r="I160" s="20">
        <v>90</v>
      </c>
      <c r="J160" s="82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172</v>
      </c>
      <c r="C161" s="79">
        <f>+'30'!G161</f>
        <v>0</v>
      </c>
      <c r="D161" s="87">
        <v>0</v>
      </c>
      <c r="E161" s="47">
        <f t="shared" si="13"/>
        <v>0</v>
      </c>
      <c r="F161" s="87">
        <v>0</v>
      </c>
      <c r="G161" s="47">
        <f t="shared" si="11"/>
        <v>0</v>
      </c>
      <c r="H161" s="88"/>
      <c r="I161" s="20">
        <v>90</v>
      </c>
      <c r="J161" s="82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173</v>
      </c>
      <c r="C162" s="79">
        <f>+'30'!G162</f>
        <v>0</v>
      </c>
      <c r="D162" s="87">
        <v>0</v>
      </c>
      <c r="E162" s="47">
        <f t="shared" si="13"/>
        <v>0</v>
      </c>
      <c r="F162" s="87">
        <v>0</v>
      </c>
      <c r="G162" s="47">
        <f t="shared" si="11"/>
        <v>0</v>
      </c>
      <c r="H162" s="88"/>
      <c r="I162" s="20">
        <v>90</v>
      </c>
      <c r="J162" s="82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174</v>
      </c>
      <c r="C163" s="79">
        <f>+'30'!G163</f>
        <v>0</v>
      </c>
      <c r="D163" s="87">
        <v>0</v>
      </c>
      <c r="E163" s="47">
        <f t="shared" si="13"/>
        <v>0</v>
      </c>
      <c r="F163" s="87">
        <v>0</v>
      </c>
      <c r="G163" s="47">
        <f t="shared" si="11"/>
        <v>0</v>
      </c>
      <c r="H163" s="88"/>
      <c r="I163" s="20">
        <v>90</v>
      </c>
      <c r="J163" s="82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175</v>
      </c>
      <c r="C164" s="79">
        <f>+'30'!G164</f>
        <v>0</v>
      </c>
      <c r="D164" s="87">
        <v>0</v>
      </c>
      <c r="E164" s="47">
        <f t="shared" si="13"/>
        <v>0</v>
      </c>
      <c r="F164" s="87">
        <v>0</v>
      </c>
      <c r="G164" s="47">
        <f t="shared" si="11"/>
        <v>0</v>
      </c>
      <c r="H164" s="88"/>
      <c r="I164" s="20">
        <v>25</v>
      </c>
      <c r="J164" s="82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176</v>
      </c>
      <c r="C165" s="79">
        <f>+'30'!G165</f>
        <v>0</v>
      </c>
      <c r="D165" s="87">
        <v>0</v>
      </c>
      <c r="E165" s="47">
        <f t="shared" si="13"/>
        <v>0</v>
      </c>
      <c r="F165" s="87">
        <v>0</v>
      </c>
      <c r="G165" s="47">
        <f t="shared" ref="G165:G227" si="15">+E165-F165-H165</f>
        <v>0</v>
      </c>
      <c r="H165" s="88"/>
      <c r="I165" s="20">
        <v>50</v>
      </c>
      <c r="J165" s="82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177</v>
      </c>
      <c r="C166" s="79">
        <f>+'30'!G166</f>
        <v>0</v>
      </c>
      <c r="D166" s="87">
        <v>0</v>
      </c>
      <c r="E166" s="47">
        <f t="shared" si="13"/>
        <v>0</v>
      </c>
      <c r="F166" s="87">
        <v>0</v>
      </c>
      <c r="G166" s="47">
        <f t="shared" si="15"/>
        <v>0</v>
      </c>
      <c r="H166" s="88"/>
      <c r="I166" s="20">
        <v>50</v>
      </c>
      <c r="J166" s="82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178</v>
      </c>
      <c r="C167" s="79">
        <f>+'30'!G167</f>
        <v>0</v>
      </c>
      <c r="D167" s="87">
        <v>0</v>
      </c>
      <c r="E167" s="47">
        <f t="shared" si="13"/>
        <v>0</v>
      </c>
      <c r="F167" s="87">
        <v>0</v>
      </c>
      <c r="G167" s="47">
        <f t="shared" si="15"/>
        <v>0</v>
      </c>
      <c r="H167" s="88"/>
      <c r="I167" s="20">
        <v>50</v>
      </c>
      <c r="J167" s="82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179</v>
      </c>
      <c r="C168" s="79">
        <f>+'30'!G168</f>
        <v>0</v>
      </c>
      <c r="D168" s="87">
        <v>0</v>
      </c>
      <c r="E168" s="47">
        <f t="shared" si="13"/>
        <v>0</v>
      </c>
      <c r="F168" s="87">
        <v>0</v>
      </c>
      <c r="G168" s="47">
        <f t="shared" si="15"/>
        <v>0</v>
      </c>
      <c r="H168" s="88"/>
      <c r="I168" s="20">
        <v>50</v>
      </c>
      <c r="J168" s="82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180</v>
      </c>
      <c r="C169" s="79">
        <f>+'30'!G169</f>
        <v>35</v>
      </c>
      <c r="D169" s="87">
        <v>0</v>
      </c>
      <c r="E169" s="47">
        <f t="shared" si="13"/>
        <v>35</v>
      </c>
      <c r="F169" s="87">
        <v>0</v>
      </c>
      <c r="G169" s="47">
        <f t="shared" si="15"/>
        <v>35</v>
      </c>
      <c r="H169" s="88"/>
      <c r="I169" s="20">
        <v>55</v>
      </c>
      <c r="J169" s="82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181</v>
      </c>
      <c r="C170" s="79">
        <f>+'30'!G170</f>
        <v>0</v>
      </c>
      <c r="D170" s="87">
        <v>0</v>
      </c>
      <c r="E170" s="47">
        <f t="shared" si="13"/>
        <v>0</v>
      </c>
      <c r="F170" s="87">
        <v>0</v>
      </c>
      <c r="G170" s="47">
        <f t="shared" si="15"/>
        <v>0</v>
      </c>
      <c r="H170" s="88"/>
      <c r="I170" s="20">
        <v>85</v>
      </c>
      <c r="J170" s="82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182</v>
      </c>
      <c r="C171" s="79">
        <f>+'30'!G171</f>
        <v>1</v>
      </c>
      <c r="D171" s="87">
        <v>0</v>
      </c>
      <c r="E171" s="47">
        <f t="shared" si="13"/>
        <v>1</v>
      </c>
      <c r="F171" s="87">
        <v>0</v>
      </c>
      <c r="G171" s="47">
        <f t="shared" si="15"/>
        <v>1</v>
      </c>
      <c r="H171" s="88"/>
      <c r="I171" s="20">
        <v>80</v>
      </c>
      <c r="J171" s="82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183</v>
      </c>
      <c r="C172" s="79">
        <f>+'30'!G172</f>
        <v>0</v>
      </c>
      <c r="D172" s="87">
        <v>0</v>
      </c>
      <c r="E172" s="47">
        <f t="shared" si="13"/>
        <v>0</v>
      </c>
      <c r="F172" s="87">
        <v>0</v>
      </c>
      <c r="G172" s="47">
        <f t="shared" si="15"/>
        <v>0</v>
      </c>
      <c r="H172" s="88"/>
      <c r="I172" s="20">
        <v>40</v>
      </c>
      <c r="J172" s="82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184</v>
      </c>
      <c r="C173" s="79">
        <f>+'30'!G173</f>
        <v>0</v>
      </c>
      <c r="D173" s="87">
        <v>0</v>
      </c>
      <c r="E173" s="47">
        <f t="shared" si="13"/>
        <v>0</v>
      </c>
      <c r="F173" s="87">
        <v>0</v>
      </c>
      <c r="G173" s="47">
        <f t="shared" si="15"/>
        <v>0</v>
      </c>
      <c r="H173" s="88"/>
      <c r="I173" s="20">
        <v>120</v>
      </c>
      <c r="J173" s="82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185</v>
      </c>
      <c r="C174" s="79">
        <f>+'30'!G174</f>
        <v>0</v>
      </c>
      <c r="D174" s="87">
        <v>0</v>
      </c>
      <c r="E174" s="47">
        <f t="shared" si="13"/>
        <v>0</v>
      </c>
      <c r="F174" s="87">
        <v>0</v>
      </c>
      <c r="G174" s="47">
        <f t="shared" si="15"/>
        <v>0</v>
      </c>
      <c r="H174" s="88"/>
      <c r="I174" s="20">
        <v>120</v>
      </c>
      <c r="J174" s="82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186</v>
      </c>
      <c r="C175" s="79">
        <f>+'30'!G175</f>
        <v>0</v>
      </c>
      <c r="D175" s="87">
        <v>0</v>
      </c>
      <c r="E175" s="47">
        <f t="shared" si="13"/>
        <v>0</v>
      </c>
      <c r="F175" s="87">
        <v>0</v>
      </c>
      <c r="G175" s="47">
        <f t="shared" si="15"/>
        <v>0</v>
      </c>
      <c r="H175" s="88"/>
      <c r="I175" s="20">
        <v>55</v>
      </c>
      <c r="J175" s="82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187</v>
      </c>
      <c r="C176" s="79">
        <f>+'30'!G176</f>
        <v>0</v>
      </c>
      <c r="D176" s="87">
        <v>0</v>
      </c>
      <c r="E176" s="47">
        <f t="shared" si="13"/>
        <v>0</v>
      </c>
      <c r="F176" s="87">
        <v>0</v>
      </c>
      <c r="G176" s="47">
        <f t="shared" si="15"/>
        <v>0</v>
      </c>
      <c r="H176" s="88"/>
      <c r="I176" s="20">
        <v>50</v>
      </c>
      <c r="J176" s="82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188</v>
      </c>
      <c r="C177" s="79">
        <f>+'30'!G177</f>
        <v>2</v>
      </c>
      <c r="D177" s="87">
        <v>0</v>
      </c>
      <c r="E177" s="47">
        <f t="shared" si="13"/>
        <v>2</v>
      </c>
      <c r="F177" s="87">
        <v>0</v>
      </c>
      <c r="G177" s="47">
        <f t="shared" si="15"/>
        <v>2</v>
      </c>
      <c r="H177" s="88"/>
      <c r="I177" s="20">
        <v>50</v>
      </c>
      <c r="J177" s="82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189</v>
      </c>
      <c r="C178" s="79">
        <f>+'30'!G178</f>
        <v>0</v>
      </c>
      <c r="D178" s="87">
        <v>0</v>
      </c>
      <c r="E178" s="47">
        <f t="shared" si="13"/>
        <v>0</v>
      </c>
      <c r="F178" s="87">
        <v>0</v>
      </c>
      <c r="G178" s="47">
        <f t="shared" si="15"/>
        <v>0</v>
      </c>
      <c r="H178" s="88"/>
      <c r="I178" s="20">
        <v>120</v>
      </c>
      <c r="J178" s="82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190</v>
      </c>
      <c r="C179" s="79">
        <f>+'30'!G179</f>
        <v>1</v>
      </c>
      <c r="D179" s="87">
        <v>0</v>
      </c>
      <c r="E179" s="47">
        <f t="shared" si="13"/>
        <v>1</v>
      </c>
      <c r="F179" s="87">
        <v>0</v>
      </c>
      <c r="G179" s="47">
        <f t="shared" si="15"/>
        <v>0</v>
      </c>
      <c r="H179" s="88">
        <v>1</v>
      </c>
      <c r="I179" s="20">
        <v>120</v>
      </c>
      <c r="J179" s="82">
        <f t="shared" si="16"/>
        <v>120</v>
      </c>
      <c r="K179" s="17" t="s">
        <v>16</v>
      </c>
      <c r="L179" s="18">
        <v>0</v>
      </c>
      <c r="M179" s="23">
        <f t="shared" si="14"/>
        <v>120</v>
      </c>
    </row>
    <row r="180" spans="1:13" ht="25.5" x14ac:dyDescent="0.55000000000000004">
      <c r="A180" s="10">
        <v>176</v>
      </c>
      <c r="B180" s="19" t="s">
        <v>191</v>
      </c>
      <c r="C180" s="79">
        <f>+'30'!G180</f>
        <v>0</v>
      </c>
      <c r="D180" s="87">
        <v>0</v>
      </c>
      <c r="E180" s="47">
        <f t="shared" si="13"/>
        <v>0</v>
      </c>
      <c r="F180" s="87">
        <v>0</v>
      </c>
      <c r="G180" s="47">
        <f t="shared" si="15"/>
        <v>0</v>
      </c>
      <c r="H180" s="88"/>
      <c r="I180" s="20">
        <v>10</v>
      </c>
      <c r="J180" s="82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192</v>
      </c>
      <c r="C181" s="79">
        <f>+'30'!G181</f>
        <v>0</v>
      </c>
      <c r="D181" s="87">
        <v>0</v>
      </c>
      <c r="E181" s="47">
        <f t="shared" si="13"/>
        <v>0</v>
      </c>
      <c r="F181" s="87">
        <v>0</v>
      </c>
      <c r="G181" s="47">
        <f t="shared" si="15"/>
        <v>0</v>
      </c>
      <c r="H181" s="88"/>
      <c r="I181" s="20">
        <v>35</v>
      </c>
      <c r="J181" s="82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193</v>
      </c>
      <c r="C182" s="79">
        <f>+'30'!G182</f>
        <v>0</v>
      </c>
      <c r="D182" s="87">
        <v>0</v>
      </c>
      <c r="E182" s="47">
        <f t="shared" si="13"/>
        <v>0</v>
      </c>
      <c r="F182" s="87">
        <v>0</v>
      </c>
      <c r="G182" s="47">
        <f t="shared" si="15"/>
        <v>0</v>
      </c>
      <c r="H182" s="88"/>
      <c r="I182" s="20">
        <v>10</v>
      </c>
      <c r="J182" s="82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194</v>
      </c>
      <c r="C183" s="79">
        <f>+'30'!G183</f>
        <v>0</v>
      </c>
      <c r="D183" s="87">
        <v>0</v>
      </c>
      <c r="E183" s="47">
        <f t="shared" si="13"/>
        <v>0</v>
      </c>
      <c r="F183" s="87">
        <v>0</v>
      </c>
      <c r="G183" s="47">
        <f t="shared" si="15"/>
        <v>0</v>
      </c>
      <c r="H183" s="88"/>
      <c r="I183" s="20">
        <v>10</v>
      </c>
      <c r="J183" s="82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195</v>
      </c>
      <c r="C184" s="79">
        <f>+'30'!G184</f>
        <v>0</v>
      </c>
      <c r="D184" s="87">
        <v>0</v>
      </c>
      <c r="E184" s="47">
        <f t="shared" si="13"/>
        <v>0</v>
      </c>
      <c r="F184" s="87">
        <v>0</v>
      </c>
      <c r="G184" s="47">
        <f t="shared" si="15"/>
        <v>0</v>
      </c>
      <c r="H184" s="88"/>
      <c r="I184" s="20">
        <v>10</v>
      </c>
      <c r="J184" s="82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196</v>
      </c>
      <c r="C185" s="79">
        <f>+'30'!G185</f>
        <v>0</v>
      </c>
      <c r="D185" s="87">
        <v>0</v>
      </c>
      <c r="E185" s="47">
        <f t="shared" si="13"/>
        <v>0</v>
      </c>
      <c r="F185" s="87">
        <v>0</v>
      </c>
      <c r="G185" s="47">
        <f t="shared" si="15"/>
        <v>0</v>
      </c>
      <c r="H185" s="88"/>
      <c r="I185" s="20">
        <v>10</v>
      </c>
      <c r="J185" s="82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197</v>
      </c>
      <c r="C186" s="79">
        <f>+'30'!G186</f>
        <v>0</v>
      </c>
      <c r="D186" s="87">
        <v>0</v>
      </c>
      <c r="E186" s="47">
        <f t="shared" si="13"/>
        <v>0</v>
      </c>
      <c r="F186" s="87">
        <v>0</v>
      </c>
      <c r="G186" s="47">
        <f t="shared" si="15"/>
        <v>0</v>
      </c>
      <c r="H186" s="88"/>
      <c r="I186" s="20">
        <v>10</v>
      </c>
      <c r="J186" s="82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198</v>
      </c>
      <c r="C187" s="79">
        <f>+'30'!G187</f>
        <v>0</v>
      </c>
      <c r="D187" s="87">
        <v>0</v>
      </c>
      <c r="E187" s="47">
        <f t="shared" si="13"/>
        <v>0</v>
      </c>
      <c r="F187" s="87">
        <v>0</v>
      </c>
      <c r="G187" s="47">
        <f t="shared" si="15"/>
        <v>0</v>
      </c>
      <c r="H187" s="88"/>
      <c r="I187" s="20">
        <v>25</v>
      </c>
      <c r="J187" s="82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249</v>
      </c>
      <c r="C188" s="79">
        <f>+'30'!G188</f>
        <v>0</v>
      </c>
      <c r="D188" s="87">
        <v>0</v>
      </c>
      <c r="E188" s="47">
        <f t="shared" si="13"/>
        <v>0</v>
      </c>
      <c r="F188" s="87">
        <v>0</v>
      </c>
      <c r="G188" s="47">
        <f t="shared" si="15"/>
        <v>0</v>
      </c>
      <c r="H188" s="88"/>
      <c r="I188" s="15">
        <v>50</v>
      </c>
      <c r="J188" s="82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250</v>
      </c>
      <c r="C189" s="79">
        <f>+'30'!G189</f>
        <v>0</v>
      </c>
      <c r="D189" s="87">
        <v>0</v>
      </c>
      <c r="E189" s="47">
        <f t="shared" si="13"/>
        <v>0</v>
      </c>
      <c r="F189" s="87">
        <v>0</v>
      </c>
      <c r="G189" s="47">
        <f t="shared" si="15"/>
        <v>0</v>
      </c>
      <c r="H189" s="88"/>
      <c r="I189" s="15">
        <v>10</v>
      </c>
      <c r="J189" s="82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251</v>
      </c>
      <c r="C190" s="79">
        <f>+'30'!G190</f>
        <v>0</v>
      </c>
      <c r="D190" s="87">
        <v>0</v>
      </c>
      <c r="E190" s="47">
        <f t="shared" ref="E190:E252" si="17">C190+D190</f>
        <v>0</v>
      </c>
      <c r="F190" s="87">
        <v>0</v>
      </c>
      <c r="G190" s="47">
        <f t="shared" si="15"/>
        <v>0</v>
      </c>
      <c r="H190" s="88"/>
      <c r="I190" s="15">
        <v>15</v>
      </c>
      <c r="J190" s="82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252</v>
      </c>
      <c r="C191" s="79">
        <f>+'30'!G191</f>
        <v>0</v>
      </c>
      <c r="D191" s="87">
        <v>0</v>
      </c>
      <c r="E191" s="47">
        <f t="shared" si="17"/>
        <v>0</v>
      </c>
      <c r="F191" s="87">
        <v>0</v>
      </c>
      <c r="G191" s="47">
        <f t="shared" si="15"/>
        <v>0</v>
      </c>
      <c r="H191" s="88"/>
      <c r="I191" s="15">
        <v>25</v>
      </c>
      <c r="J191" s="82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253</v>
      </c>
      <c r="C192" s="79">
        <f>+'30'!G192</f>
        <v>0</v>
      </c>
      <c r="D192" s="87">
        <v>0</v>
      </c>
      <c r="E192" s="47">
        <f t="shared" si="17"/>
        <v>0</v>
      </c>
      <c r="F192" s="87">
        <v>0</v>
      </c>
      <c r="G192" s="47">
        <f t="shared" si="15"/>
        <v>0</v>
      </c>
      <c r="H192" s="88"/>
      <c r="I192" s="15">
        <v>50</v>
      </c>
      <c r="J192" s="82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254</v>
      </c>
      <c r="C193" s="79">
        <f>+'30'!G193</f>
        <v>0</v>
      </c>
      <c r="D193" s="87">
        <v>0</v>
      </c>
      <c r="E193" s="47">
        <f t="shared" si="17"/>
        <v>0</v>
      </c>
      <c r="F193" s="87">
        <v>0</v>
      </c>
      <c r="G193" s="47">
        <f t="shared" si="15"/>
        <v>0</v>
      </c>
      <c r="H193" s="88"/>
      <c r="I193" s="15">
        <v>45</v>
      </c>
      <c r="J193" s="82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255</v>
      </c>
      <c r="C194" s="79">
        <f>+'30'!G194</f>
        <v>0</v>
      </c>
      <c r="D194" s="87">
        <v>0</v>
      </c>
      <c r="E194" s="47">
        <f t="shared" si="17"/>
        <v>0</v>
      </c>
      <c r="F194" s="87">
        <v>0</v>
      </c>
      <c r="G194" s="47">
        <f t="shared" si="15"/>
        <v>0</v>
      </c>
      <c r="H194" s="88"/>
      <c r="I194" s="15">
        <v>50</v>
      </c>
      <c r="J194" s="82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199</v>
      </c>
      <c r="C195" s="79">
        <f>+'30'!G195</f>
        <v>0</v>
      </c>
      <c r="D195" s="87">
        <v>0</v>
      </c>
      <c r="E195" s="47">
        <f t="shared" si="17"/>
        <v>0</v>
      </c>
      <c r="F195" s="87">
        <v>0</v>
      </c>
      <c r="G195" s="47">
        <f t="shared" si="15"/>
        <v>0</v>
      </c>
      <c r="H195" s="88"/>
      <c r="I195" s="15">
        <v>150</v>
      </c>
      <c r="J195" s="82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200</v>
      </c>
      <c r="C196" s="79">
        <f>+'30'!G196</f>
        <v>0</v>
      </c>
      <c r="D196" s="87">
        <v>0</v>
      </c>
      <c r="E196" s="47">
        <f t="shared" si="17"/>
        <v>0</v>
      </c>
      <c r="F196" s="87">
        <v>0</v>
      </c>
      <c r="G196" s="47">
        <f t="shared" si="15"/>
        <v>0</v>
      </c>
      <c r="H196" s="88"/>
      <c r="I196" s="15">
        <v>150</v>
      </c>
      <c r="J196" s="82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201</v>
      </c>
      <c r="C197" s="79">
        <f>+'30'!G197</f>
        <v>0</v>
      </c>
      <c r="D197" s="87">
        <v>0</v>
      </c>
      <c r="E197" s="47">
        <f t="shared" si="17"/>
        <v>0</v>
      </c>
      <c r="F197" s="87">
        <v>0</v>
      </c>
      <c r="G197" s="47">
        <f t="shared" si="15"/>
        <v>0</v>
      </c>
      <c r="H197" s="88"/>
      <c r="I197" s="15">
        <v>150</v>
      </c>
      <c r="J197" s="82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256</v>
      </c>
      <c r="C198" s="79">
        <f>+'30'!G198</f>
        <v>0</v>
      </c>
      <c r="D198" s="87">
        <v>0</v>
      </c>
      <c r="E198" s="47">
        <f t="shared" si="17"/>
        <v>0</v>
      </c>
      <c r="F198" s="87">
        <v>0</v>
      </c>
      <c r="G198" s="47">
        <f t="shared" si="15"/>
        <v>0</v>
      </c>
      <c r="H198" s="88"/>
      <c r="I198" s="15">
        <v>55</v>
      </c>
      <c r="J198" s="82">
        <f t="shared" si="16"/>
        <v>0</v>
      </c>
      <c r="K198" s="17" t="s">
        <v>16</v>
      </c>
      <c r="L198" s="18">
        <v>0</v>
      </c>
      <c r="M198" s="23">
        <f t="shared" si="14"/>
        <v>0</v>
      </c>
    </row>
    <row r="199" spans="1:13" ht="25.5" x14ac:dyDescent="0.55000000000000004">
      <c r="A199" s="10">
        <v>195</v>
      </c>
      <c r="B199" s="19" t="s">
        <v>257</v>
      </c>
      <c r="C199" s="79">
        <f>+'30'!G199</f>
        <v>0</v>
      </c>
      <c r="D199" s="87">
        <v>0</v>
      </c>
      <c r="E199" s="47">
        <f t="shared" si="17"/>
        <v>0</v>
      </c>
      <c r="F199" s="87">
        <v>0</v>
      </c>
      <c r="G199" s="47">
        <f t="shared" si="15"/>
        <v>0</v>
      </c>
      <c r="H199" s="88"/>
      <c r="I199" s="15">
        <v>30</v>
      </c>
      <c r="J199" s="82">
        <f t="shared" si="16"/>
        <v>0</v>
      </c>
      <c r="K199" s="17" t="s">
        <v>16</v>
      </c>
      <c r="L199" s="18">
        <v>0</v>
      </c>
      <c r="M199" s="23">
        <f t="shared" ref="M199:M254" si="18">SUM(J199-L199)</f>
        <v>0</v>
      </c>
    </row>
    <row r="200" spans="1:13" ht="25.5" x14ac:dyDescent="0.55000000000000004">
      <c r="A200" s="10">
        <v>196</v>
      </c>
      <c r="B200" s="19" t="s">
        <v>258</v>
      </c>
      <c r="C200" s="79">
        <f>+'30'!G200</f>
        <v>0</v>
      </c>
      <c r="D200" s="87">
        <v>0</v>
      </c>
      <c r="E200" s="47">
        <f t="shared" si="17"/>
        <v>0</v>
      </c>
      <c r="F200" s="87">
        <v>0</v>
      </c>
      <c r="G200" s="47">
        <f t="shared" si="15"/>
        <v>0</v>
      </c>
      <c r="H200" s="88"/>
      <c r="I200" s="15">
        <v>30</v>
      </c>
      <c r="J200" s="82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259</v>
      </c>
      <c r="C201" s="79">
        <f>+'30'!G201</f>
        <v>0</v>
      </c>
      <c r="D201" s="87">
        <v>0</v>
      </c>
      <c r="E201" s="47">
        <f t="shared" si="17"/>
        <v>0</v>
      </c>
      <c r="F201" s="87">
        <v>0</v>
      </c>
      <c r="G201" s="47">
        <f t="shared" si="15"/>
        <v>0</v>
      </c>
      <c r="H201" s="88"/>
      <c r="I201" s="15">
        <v>30</v>
      </c>
      <c r="J201" s="82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260</v>
      </c>
      <c r="C202" s="79">
        <f>+'30'!G202</f>
        <v>0</v>
      </c>
      <c r="D202" s="87">
        <v>0</v>
      </c>
      <c r="E202" s="47">
        <f t="shared" si="17"/>
        <v>0</v>
      </c>
      <c r="F202" s="87">
        <v>0</v>
      </c>
      <c r="G202" s="47">
        <f t="shared" si="15"/>
        <v>0</v>
      </c>
      <c r="H202" s="88"/>
      <c r="I202" s="15">
        <v>30</v>
      </c>
      <c r="J202" s="82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1" t="s">
        <v>261</v>
      </c>
      <c r="C203" s="79">
        <f>+'30'!G203</f>
        <v>0</v>
      </c>
      <c r="D203" s="87">
        <v>0</v>
      </c>
      <c r="E203" s="47">
        <f t="shared" si="17"/>
        <v>0</v>
      </c>
      <c r="F203" s="87">
        <v>0</v>
      </c>
      <c r="G203" s="47">
        <f t="shared" si="15"/>
        <v>0</v>
      </c>
      <c r="H203" s="88"/>
      <c r="I203" s="20">
        <v>30</v>
      </c>
      <c r="J203" s="82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1" t="s">
        <v>262</v>
      </c>
      <c r="C204" s="79">
        <f>+'30'!G204</f>
        <v>0</v>
      </c>
      <c r="D204" s="87">
        <v>0</v>
      </c>
      <c r="E204" s="47">
        <f t="shared" si="17"/>
        <v>0</v>
      </c>
      <c r="F204" s="87">
        <v>0</v>
      </c>
      <c r="G204" s="47">
        <f t="shared" si="15"/>
        <v>0</v>
      </c>
      <c r="H204" s="88"/>
      <c r="I204" s="20">
        <v>30</v>
      </c>
      <c r="J204" s="82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1" t="s">
        <v>263</v>
      </c>
      <c r="C205" s="79">
        <f>+'30'!G205</f>
        <v>0</v>
      </c>
      <c r="D205" s="87">
        <v>0</v>
      </c>
      <c r="E205" s="47">
        <f t="shared" si="17"/>
        <v>0</v>
      </c>
      <c r="F205" s="87">
        <v>0</v>
      </c>
      <c r="G205" s="47">
        <f t="shared" si="15"/>
        <v>0</v>
      </c>
      <c r="H205" s="88"/>
      <c r="I205" s="20">
        <v>50</v>
      </c>
      <c r="J205" s="82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1" t="s">
        <v>264</v>
      </c>
      <c r="C206" s="79">
        <f>+'30'!G206</f>
        <v>0</v>
      </c>
      <c r="D206" s="87">
        <v>0</v>
      </c>
      <c r="E206" s="47">
        <f t="shared" si="17"/>
        <v>0</v>
      </c>
      <c r="F206" s="87">
        <v>0</v>
      </c>
      <c r="G206" s="47">
        <f t="shared" si="15"/>
        <v>0</v>
      </c>
      <c r="H206" s="88"/>
      <c r="I206" s="20">
        <v>100</v>
      </c>
      <c r="J206" s="82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1" t="s">
        <v>265</v>
      </c>
      <c r="C207" s="79">
        <f>+'30'!G207</f>
        <v>0</v>
      </c>
      <c r="D207" s="87">
        <v>0</v>
      </c>
      <c r="E207" s="47">
        <f t="shared" si="17"/>
        <v>0</v>
      </c>
      <c r="F207" s="87">
        <v>0</v>
      </c>
      <c r="G207" s="47">
        <f t="shared" si="15"/>
        <v>0</v>
      </c>
      <c r="H207" s="88"/>
      <c r="I207" s="20">
        <v>100</v>
      </c>
      <c r="J207" s="82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1" t="s">
        <v>266</v>
      </c>
      <c r="C208" s="79">
        <f>+'30'!G208</f>
        <v>0</v>
      </c>
      <c r="D208" s="87">
        <v>0</v>
      </c>
      <c r="E208" s="47">
        <f t="shared" si="17"/>
        <v>0</v>
      </c>
      <c r="F208" s="87">
        <v>0</v>
      </c>
      <c r="G208" s="47">
        <f t="shared" si="15"/>
        <v>0</v>
      </c>
      <c r="H208" s="88"/>
      <c r="I208" s="20">
        <v>100</v>
      </c>
      <c r="J208" s="82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1" t="s">
        <v>267</v>
      </c>
      <c r="C209" s="79">
        <f>+'30'!G209</f>
        <v>0</v>
      </c>
      <c r="D209" s="87">
        <v>0</v>
      </c>
      <c r="E209" s="47">
        <f t="shared" si="17"/>
        <v>0</v>
      </c>
      <c r="F209" s="87">
        <v>0</v>
      </c>
      <c r="G209" s="47">
        <f t="shared" si="15"/>
        <v>0</v>
      </c>
      <c r="H209" s="88"/>
      <c r="I209" s="20">
        <v>100</v>
      </c>
      <c r="J209" s="82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1" t="s">
        <v>268</v>
      </c>
      <c r="C210" s="79">
        <f>+'30'!G210</f>
        <v>0</v>
      </c>
      <c r="D210" s="87">
        <v>0</v>
      </c>
      <c r="E210" s="47">
        <f t="shared" si="17"/>
        <v>0</v>
      </c>
      <c r="F210" s="87">
        <v>0</v>
      </c>
      <c r="G210" s="47">
        <f t="shared" si="15"/>
        <v>0</v>
      </c>
      <c r="H210" s="88"/>
      <c r="I210" s="20">
        <v>250</v>
      </c>
      <c r="J210" s="82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1" t="s">
        <v>269</v>
      </c>
      <c r="C211" s="79">
        <f>+'30'!G211</f>
        <v>0</v>
      </c>
      <c r="D211" s="87">
        <v>0</v>
      </c>
      <c r="E211" s="47">
        <f t="shared" si="17"/>
        <v>0</v>
      </c>
      <c r="F211" s="87">
        <v>0</v>
      </c>
      <c r="G211" s="47">
        <f t="shared" si="15"/>
        <v>0</v>
      </c>
      <c r="H211" s="88"/>
      <c r="I211" s="20">
        <v>250</v>
      </c>
      <c r="J211" s="82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1" t="s">
        <v>270</v>
      </c>
      <c r="C212" s="79">
        <f>+'30'!G212</f>
        <v>0</v>
      </c>
      <c r="D212" s="87">
        <v>0</v>
      </c>
      <c r="E212" s="47">
        <f t="shared" si="17"/>
        <v>0</v>
      </c>
      <c r="F212" s="87">
        <v>0</v>
      </c>
      <c r="G212" s="47">
        <f t="shared" si="15"/>
        <v>0</v>
      </c>
      <c r="H212" s="88"/>
      <c r="I212" s="20">
        <v>250</v>
      </c>
      <c r="J212" s="82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1" t="s">
        <v>271</v>
      </c>
      <c r="C213" s="79">
        <f>+'30'!G213</f>
        <v>0</v>
      </c>
      <c r="D213" s="87">
        <v>0</v>
      </c>
      <c r="E213" s="47">
        <f t="shared" si="17"/>
        <v>0</v>
      </c>
      <c r="F213" s="87">
        <v>0</v>
      </c>
      <c r="G213" s="47">
        <f t="shared" si="15"/>
        <v>0</v>
      </c>
      <c r="H213" s="88"/>
      <c r="I213" s="20">
        <v>50</v>
      </c>
      <c r="J213" s="82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1" t="s">
        <v>273</v>
      </c>
      <c r="C214" s="79">
        <f>+'30'!G214</f>
        <v>0</v>
      </c>
      <c r="D214" s="87">
        <v>0</v>
      </c>
      <c r="E214" s="47">
        <f t="shared" si="17"/>
        <v>0</v>
      </c>
      <c r="F214" s="87">
        <v>0</v>
      </c>
      <c r="G214" s="47">
        <f t="shared" si="15"/>
        <v>0</v>
      </c>
      <c r="H214" s="88"/>
      <c r="I214" s="20">
        <v>50</v>
      </c>
      <c r="J214" s="82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1" t="s">
        <v>274</v>
      </c>
      <c r="C215" s="79">
        <f>+'30'!G215</f>
        <v>0</v>
      </c>
      <c r="D215" s="87">
        <v>0</v>
      </c>
      <c r="E215" s="47">
        <f t="shared" si="17"/>
        <v>0</v>
      </c>
      <c r="F215" s="87">
        <v>0</v>
      </c>
      <c r="G215" s="47">
        <f t="shared" si="15"/>
        <v>0</v>
      </c>
      <c r="H215" s="88"/>
      <c r="I215" s="20">
        <v>50</v>
      </c>
      <c r="J215" s="82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1" t="s">
        <v>242</v>
      </c>
      <c r="C216" s="79">
        <f>+'30'!G216</f>
        <v>0</v>
      </c>
      <c r="D216" s="87">
        <v>0</v>
      </c>
      <c r="E216" s="47">
        <f t="shared" si="17"/>
        <v>0</v>
      </c>
      <c r="F216" s="87">
        <v>0</v>
      </c>
      <c r="G216" s="47">
        <f t="shared" si="15"/>
        <v>0</v>
      </c>
      <c r="H216" s="88"/>
      <c r="I216" s="20">
        <v>35</v>
      </c>
      <c r="J216" s="82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1" t="s">
        <v>275</v>
      </c>
      <c r="C217" s="79">
        <f>+'30'!G217</f>
        <v>0</v>
      </c>
      <c r="D217" s="87">
        <v>0</v>
      </c>
      <c r="E217" s="47">
        <f t="shared" si="17"/>
        <v>0</v>
      </c>
      <c r="F217" s="87">
        <v>0</v>
      </c>
      <c r="G217" s="47">
        <f t="shared" si="15"/>
        <v>0</v>
      </c>
      <c r="H217" s="88"/>
      <c r="I217" s="20">
        <v>199</v>
      </c>
      <c r="J217" s="82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1" t="s">
        <v>283</v>
      </c>
      <c r="C218" s="79"/>
      <c r="D218" s="87">
        <v>0</v>
      </c>
      <c r="E218" s="47">
        <f t="shared" si="17"/>
        <v>0</v>
      </c>
      <c r="F218" s="87">
        <v>0</v>
      </c>
      <c r="G218" s="47">
        <f t="shared" si="15"/>
        <v>0</v>
      </c>
      <c r="H218" s="88"/>
      <c r="I218" s="20">
        <v>25</v>
      </c>
      <c r="J218" s="82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1" t="s">
        <v>284</v>
      </c>
      <c r="C219" s="79"/>
      <c r="D219" s="87">
        <v>0</v>
      </c>
      <c r="E219" s="47">
        <f t="shared" si="17"/>
        <v>0</v>
      </c>
      <c r="F219" s="87">
        <v>0</v>
      </c>
      <c r="G219" s="47">
        <f t="shared" si="15"/>
        <v>0</v>
      </c>
      <c r="H219" s="88"/>
      <c r="I219" s="20">
        <v>25</v>
      </c>
      <c r="J219" s="82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1" t="s">
        <v>314</v>
      </c>
      <c r="C220" s="79">
        <f>+'30'!G220</f>
        <v>0</v>
      </c>
      <c r="D220" s="87">
        <v>0</v>
      </c>
      <c r="E220" s="47">
        <f t="shared" si="17"/>
        <v>0</v>
      </c>
      <c r="F220" s="87">
        <v>0</v>
      </c>
      <c r="G220" s="47">
        <f t="shared" si="15"/>
        <v>0</v>
      </c>
      <c r="H220" s="88"/>
      <c r="I220" s="20">
        <v>35</v>
      </c>
      <c r="J220" s="82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1" t="s">
        <v>326</v>
      </c>
      <c r="C221" s="79">
        <f>+'30'!G221</f>
        <v>1</v>
      </c>
      <c r="D221" s="87">
        <v>0</v>
      </c>
      <c r="E221" s="47">
        <f t="shared" si="17"/>
        <v>1</v>
      </c>
      <c r="F221" s="87">
        <v>0</v>
      </c>
      <c r="G221" s="47">
        <f t="shared" si="15"/>
        <v>1</v>
      </c>
      <c r="H221" s="88"/>
      <c r="I221" s="20">
        <v>55</v>
      </c>
      <c r="J221" s="82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1" t="s">
        <v>327</v>
      </c>
      <c r="C222" s="79">
        <f>+'30'!G222</f>
        <v>0</v>
      </c>
      <c r="D222" s="87">
        <v>0</v>
      </c>
      <c r="E222" s="47">
        <f t="shared" si="17"/>
        <v>0</v>
      </c>
      <c r="F222" s="87">
        <v>0</v>
      </c>
      <c r="G222" s="47">
        <f t="shared" si="15"/>
        <v>0</v>
      </c>
      <c r="H222" s="88"/>
      <c r="I222" s="20">
        <v>40</v>
      </c>
      <c r="J222" s="82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1"/>
      <c r="C223" s="79">
        <f>+'30'!G223</f>
        <v>0</v>
      </c>
      <c r="D223" s="87">
        <v>0</v>
      </c>
      <c r="E223" s="47">
        <f t="shared" si="17"/>
        <v>0</v>
      </c>
      <c r="F223" s="87">
        <v>0</v>
      </c>
      <c r="G223" s="47">
        <f t="shared" si="15"/>
        <v>0</v>
      </c>
      <c r="H223" s="88"/>
      <c r="I223" s="20"/>
      <c r="J223" s="82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1"/>
      <c r="C224" s="79">
        <f>+'30'!G224</f>
        <v>0</v>
      </c>
      <c r="D224" s="87">
        <v>0</v>
      </c>
      <c r="E224" s="47">
        <f t="shared" si="17"/>
        <v>0</v>
      </c>
      <c r="F224" s="87">
        <v>0</v>
      </c>
      <c r="G224" s="47">
        <f t="shared" si="15"/>
        <v>0</v>
      </c>
      <c r="H224" s="88"/>
      <c r="I224" s="20"/>
      <c r="J224" s="82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1"/>
      <c r="C225" s="79">
        <f>+'30'!G225</f>
        <v>0</v>
      </c>
      <c r="D225" s="87">
        <v>0</v>
      </c>
      <c r="E225" s="47">
        <f t="shared" si="17"/>
        <v>0</v>
      </c>
      <c r="F225" s="87">
        <v>0</v>
      </c>
      <c r="G225" s="47">
        <f t="shared" si="15"/>
        <v>0</v>
      </c>
      <c r="H225" s="88"/>
      <c r="I225" s="20"/>
      <c r="J225" s="82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1"/>
      <c r="C226" s="79">
        <f>+'30'!G226</f>
        <v>0</v>
      </c>
      <c r="D226" s="87">
        <v>0</v>
      </c>
      <c r="E226" s="47">
        <f t="shared" si="17"/>
        <v>0</v>
      </c>
      <c r="F226" s="87">
        <v>0</v>
      </c>
      <c r="G226" s="47">
        <f t="shared" si="15"/>
        <v>0</v>
      </c>
      <c r="H226" s="88"/>
      <c r="I226" s="20"/>
      <c r="J226" s="82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1"/>
      <c r="C227" s="79">
        <f>+'30'!G227</f>
        <v>0</v>
      </c>
      <c r="D227" s="87">
        <v>0</v>
      </c>
      <c r="E227" s="47">
        <f t="shared" si="17"/>
        <v>0</v>
      </c>
      <c r="F227" s="87">
        <v>0</v>
      </c>
      <c r="G227" s="47">
        <f t="shared" si="15"/>
        <v>0</v>
      </c>
      <c r="H227" s="88"/>
      <c r="I227" s="20"/>
      <c r="J227" s="82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1"/>
      <c r="C228" s="79">
        <f>+'30'!G228</f>
        <v>0</v>
      </c>
      <c r="D228" s="87">
        <v>0</v>
      </c>
      <c r="E228" s="47">
        <f t="shared" si="17"/>
        <v>0</v>
      </c>
      <c r="F228" s="87">
        <v>0</v>
      </c>
      <c r="G228" s="47">
        <f t="shared" ref="G228:G254" si="19">+E228-F228-H228</f>
        <v>0</v>
      </c>
      <c r="H228" s="88"/>
      <c r="I228" s="20"/>
      <c r="J228" s="82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1"/>
      <c r="C229" s="79">
        <f>+'30'!G229</f>
        <v>0</v>
      </c>
      <c r="D229" s="87">
        <v>0</v>
      </c>
      <c r="E229" s="47">
        <f t="shared" si="17"/>
        <v>0</v>
      </c>
      <c r="F229" s="87">
        <v>0</v>
      </c>
      <c r="G229" s="47">
        <f t="shared" si="19"/>
        <v>0</v>
      </c>
      <c r="H229" s="88"/>
      <c r="I229" s="20"/>
      <c r="J229" s="82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1"/>
      <c r="C230" s="79">
        <f>+'30'!G230</f>
        <v>0</v>
      </c>
      <c r="D230" s="87">
        <v>0</v>
      </c>
      <c r="E230" s="47">
        <f t="shared" si="17"/>
        <v>0</v>
      </c>
      <c r="F230" s="87">
        <v>0</v>
      </c>
      <c r="G230" s="47">
        <f t="shared" si="19"/>
        <v>0</v>
      </c>
      <c r="H230" s="88"/>
      <c r="I230" s="20"/>
      <c r="J230" s="82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1"/>
      <c r="C231" s="79">
        <f>+'30'!G231</f>
        <v>0</v>
      </c>
      <c r="D231" s="87">
        <v>0</v>
      </c>
      <c r="E231" s="47">
        <f t="shared" si="17"/>
        <v>0</v>
      </c>
      <c r="F231" s="87">
        <v>0</v>
      </c>
      <c r="G231" s="47">
        <f t="shared" si="19"/>
        <v>0</v>
      </c>
      <c r="H231" s="88"/>
      <c r="I231" s="20"/>
      <c r="J231" s="82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1"/>
      <c r="C232" s="79">
        <f>+'30'!G232</f>
        <v>0</v>
      </c>
      <c r="D232" s="87">
        <v>0</v>
      </c>
      <c r="E232" s="47">
        <f t="shared" si="17"/>
        <v>0</v>
      </c>
      <c r="F232" s="87">
        <v>0</v>
      </c>
      <c r="G232" s="47">
        <f t="shared" si="19"/>
        <v>0</v>
      </c>
      <c r="H232" s="88"/>
      <c r="I232" s="20"/>
      <c r="J232" s="82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1"/>
      <c r="C233" s="79">
        <f>+'30'!G233</f>
        <v>0</v>
      </c>
      <c r="D233" s="87">
        <v>0</v>
      </c>
      <c r="E233" s="47">
        <f t="shared" si="17"/>
        <v>0</v>
      </c>
      <c r="F233" s="87">
        <v>0</v>
      </c>
      <c r="G233" s="47">
        <f t="shared" si="19"/>
        <v>0</v>
      </c>
      <c r="H233" s="88"/>
      <c r="I233" s="20"/>
      <c r="J233" s="82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1"/>
      <c r="C234" s="79">
        <f>+'30'!G234</f>
        <v>0</v>
      </c>
      <c r="D234" s="87">
        <v>0</v>
      </c>
      <c r="E234" s="47">
        <f t="shared" si="17"/>
        <v>0</v>
      </c>
      <c r="F234" s="87">
        <v>0</v>
      </c>
      <c r="G234" s="47">
        <f t="shared" si="19"/>
        <v>0</v>
      </c>
      <c r="H234" s="88"/>
      <c r="I234" s="20"/>
      <c r="J234" s="82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1"/>
      <c r="C235" s="79">
        <f>+'30'!G235</f>
        <v>0</v>
      </c>
      <c r="D235" s="87">
        <v>0</v>
      </c>
      <c r="E235" s="47">
        <f t="shared" si="17"/>
        <v>0</v>
      </c>
      <c r="F235" s="87">
        <v>0</v>
      </c>
      <c r="G235" s="47">
        <f t="shared" si="19"/>
        <v>0</v>
      </c>
      <c r="H235" s="88"/>
      <c r="I235" s="20"/>
      <c r="J235" s="82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1"/>
      <c r="C236" s="79">
        <f>+'30'!G236</f>
        <v>0</v>
      </c>
      <c r="D236" s="87">
        <v>0</v>
      </c>
      <c r="E236" s="47">
        <f t="shared" si="17"/>
        <v>0</v>
      </c>
      <c r="F236" s="87">
        <v>0</v>
      </c>
      <c r="G236" s="47">
        <f t="shared" si="19"/>
        <v>0</v>
      </c>
      <c r="H236" s="88"/>
      <c r="I236" s="20"/>
      <c r="J236" s="82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1"/>
      <c r="C237" s="79">
        <f>+'30'!G237</f>
        <v>0</v>
      </c>
      <c r="D237" s="87">
        <v>0</v>
      </c>
      <c r="E237" s="47">
        <f t="shared" si="17"/>
        <v>0</v>
      </c>
      <c r="F237" s="87">
        <v>0</v>
      </c>
      <c r="G237" s="47">
        <f t="shared" si="19"/>
        <v>0</v>
      </c>
      <c r="H237" s="88"/>
      <c r="I237" s="20"/>
      <c r="J237" s="82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1"/>
      <c r="C238" s="79">
        <f>+'30'!G238</f>
        <v>0</v>
      </c>
      <c r="D238" s="87">
        <v>0</v>
      </c>
      <c r="E238" s="47">
        <f t="shared" si="17"/>
        <v>0</v>
      </c>
      <c r="F238" s="87">
        <v>0</v>
      </c>
      <c r="G238" s="47">
        <f t="shared" si="19"/>
        <v>0</v>
      </c>
      <c r="H238" s="88"/>
      <c r="I238" s="20"/>
      <c r="J238" s="82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1"/>
      <c r="C239" s="79">
        <f>+'30'!G239</f>
        <v>0</v>
      </c>
      <c r="D239" s="87">
        <v>0</v>
      </c>
      <c r="E239" s="47">
        <f t="shared" si="17"/>
        <v>0</v>
      </c>
      <c r="F239" s="87">
        <v>0</v>
      </c>
      <c r="G239" s="47">
        <f t="shared" si="19"/>
        <v>0</v>
      </c>
      <c r="H239" s="88"/>
      <c r="I239" s="20"/>
      <c r="J239" s="82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1"/>
      <c r="C240" s="79">
        <f>+'30'!G240</f>
        <v>0</v>
      </c>
      <c r="D240" s="87">
        <v>0</v>
      </c>
      <c r="E240" s="47">
        <f t="shared" si="17"/>
        <v>0</v>
      </c>
      <c r="F240" s="87">
        <v>0</v>
      </c>
      <c r="G240" s="47">
        <f t="shared" si="19"/>
        <v>0</v>
      </c>
      <c r="H240" s="88"/>
      <c r="I240" s="20"/>
      <c r="J240" s="82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1"/>
      <c r="C241" s="79">
        <f>+'30'!G241</f>
        <v>0</v>
      </c>
      <c r="D241" s="87">
        <v>0</v>
      </c>
      <c r="E241" s="47">
        <f t="shared" si="17"/>
        <v>0</v>
      </c>
      <c r="F241" s="87">
        <v>0</v>
      </c>
      <c r="G241" s="47">
        <f t="shared" si="19"/>
        <v>0</v>
      </c>
      <c r="H241" s="88"/>
      <c r="I241" s="20"/>
      <c r="J241" s="82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1"/>
      <c r="C242" s="79">
        <f>+'30'!G242</f>
        <v>0</v>
      </c>
      <c r="D242" s="87">
        <v>0</v>
      </c>
      <c r="E242" s="47">
        <f t="shared" si="17"/>
        <v>0</v>
      </c>
      <c r="F242" s="87">
        <v>0</v>
      </c>
      <c r="G242" s="47">
        <f t="shared" si="19"/>
        <v>0</v>
      </c>
      <c r="H242" s="88"/>
      <c r="I242" s="20"/>
      <c r="J242" s="82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1"/>
      <c r="C243" s="79">
        <f>+'30'!G243</f>
        <v>0</v>
      </c>
      <c r="D243" s="87">
        <v>0</v>
      </c>
      <c r="E243" s="47">
        <f t="shared" si="17"/>
        <v>0</v>
      </c>
      <c r="F243" s="87">
        <v>0</v>
      </c>
      <c r="G243" s="47">
        <f t="shared" si="19"/>
        <v>0</v>
      </c>
      <c r="H243" s="88"/>
      <c r="I243" s="20"/>
      <c r="J243" s="82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1"/>
      <c r="C244" s="79">
        <f>+'30'!G244</f>
        <v>0</v>
      </c>
      <c r="D244" s="87">
        <v>0</v>
      </c>
      <c r="E244" s="47">
        <f t="shared" si="17"/>
        <v>0</v>
      </c>
      <c r="F244" s="87">
        <v>0</v>
      </c>
      <c r="G244" s="47">
        <f t="shared" si="19"/>
        <v>0</v>
      </c>
      <c r="H244" s="88"/>
      <c r="I244" s="20"/>
      <c r="J244" s="82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1"/>
      <c r="C245" s="79">
        <f>+'30'!G245</f>
        <v>0</v>
      </c>
      <c r="D245" s="87">
        <v>0</v>
      </c>
      <c r="E245" s="47">
        <f t="shared" si="17"/>
        <v>0</v>
      </c>
      <c r="F245" s="87">
        <v>0</v>
      </c>
      <c r="G245" s="47">
        <f t="shared" si="19"/>
        <v>0</v>
      </c>
      <c r="H245" s="88"/>
      <c r="I245" s="20"/>
      <c r="J245" s="82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1"/>
      <c r="C246" s="79">
        <f>+'30'!G246</f>
        <v>0</v>
      </c>
      <c r="D246" s="87">
        <v>0</v>
      </c>
      <c r="E246" s="47">
        <f t="shared" si="17"/>
        <v>0</v>
      </c>
      <c r="F246" s="87">
        <v>0</v>
      </c>
      <c r="G246" s="47">
        <f t="shared" si="19"/>
        <v>0</v>
      </c>
      <c r="H246" s="88"/>
      <c r="I246" s="20"/>
      <c r="J246" s="82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1"/>
      <c r="C247" s="79">
        <f>+'30'!G247</f>
        <v>0</v>
      </c>
      <c r="D247" s="87">
        <v>0</v>
      </c>
      <c r="E247" s="47">
        <f t="shared" si="17"/>
        <v>0</v>
      </c>
      <c r="F247" s="87">
        <v>0</v>
      </c>
      <c r="G247" s="47">
        <f t="shared" si="19"/>
        <v>0</v>
      </c>
      <c r="H247" s="88"/>
      <c r="I247" s="20"/>
      <c r="J247" s="82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1"/>
      <c r="C248" s="79">
        <f>+'30'!G248</f>
        <v>0</v>
      </c>
      <c r="D248" s="87">
        <v>0</v>
      </c>
      <c r="E248" s="47">
        <f t="shared" si="17"/>
        <v>0</v>
      </c>
      <c r="F248" s="87">
        <v>0</v>
      </c>
      <c r="G248" s="47">
        <f t="shared" si="19"/>
        <v>0</v>
      </c>
      <c r="H248" s="88"/>
      <c r="I248" s="20"/>
      <c r="J248" s="82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1"/>
      <c r="C249" s="79">
        <f>+'30'!G249</f>
        <v>0</v>
      </c>
      <c r="D249" s="87">
        <v>0</v>
      </c>
      <c r="E249" s="47">
        <f t="shared" si="17"/>
        <v>0</v>
      </c>
      <c r="F249" s="87">
        <v>0</v>
      </c>
      <c r="G249" s="47">
        <f t="shared" si="19"/>
        <v>0</v>
      </c>
      <c r="H249" s="88"/>
      <c r="I249" s="20"/>
      <c r="J249" s="82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1"/>
      <c r="C250" s="79">
        <f>+'30'!G250</f>
        <v>0</v>
      </c>
      <c r="D250" s="87">
        <v>0</v>
      </c>
      <c r="E250" s="47">
        <f t="shared" si="17"/>
        <v>0</v>
      </c>
      <c r="F250" s="87">
        <v>0</v>
      </c>
      <c r="G250" s="47">
        <f t="shared" si="19"/>
        <v>0</v>
      </c>
      <c r="H250" s="88"/>
      <c r="I250" s="20"/>
      <c r="J250" s="82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1"/>
      <c r="C251" s="79">
        <f>+'30'!G251</f>
        <v>0</v>
      </c>
      <c r="D251" s="87">
        <v>0</v>
      </c>
      <c r="E251" s="47">
        <f t="shared" si="17"/>
        <v>0</v>
      </c>
      <c r="F251" s="87">
        <v>0</v>
      </c>
      <c r="G251" s="47">
        <f t="shared" si="19"/>
        <v>0</v>
      </c>
      <c r="H251" s="88"/>
      <c r="I251" s="20"/>
      <c r="J251" s="82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1"/>
      <c r="C252" s="79">
        <f>+'30'!G252</f>
        <v>0</v>
      </c>
      <c r="D252" s="87">
        <v>0</v>
      </c>
      <c r="E252" s="47">
        <f t="shared" si="17"/>
        <v>0</v>
      </c>
      <c r="F252" s="87">
        <v>0</v>
      </c>
      <c r="G252" s="47">
        <f t="shared" si="19"/>
        <v>0</v>
      </c>
      <c r="H252" s="88"/>
      <c r="I252" s="20"/>
      <c r="J252" s="82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1"/>
      <c r="C253" s="79">
        <f>+'30'!G253</f>
        <v>0</v>
      </c>
      <c r="D253" s="87">
        <v>0</v>
      </c>
      <c r="E253" s="47">
        <f t="shared" ref="E253:E254" si="21">C253+D253</f>
        <v>0</v>
      </c>
      <c r="F253" s="87">
        <v>0</v>
      </c>
      <c r="G253" s="47">
        <f t="shared" si="19"/>
        <v>0</v>
      </c>
      <c r="H253" s="88"/>
      <c r="I253" s="20"/>
      <c r="J253" s="82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1"/>
      <c r="C254" s="79">
        <f>+'30'!G254</f>
        <v>0</v>
      </c>
      <c r="D254" s="87">
        <v>0</v>
      </c>
      <c r="E254" s="47">
        <f t="shared" si="21"/>
        <v>0</v>
      </c>
      <c r="F254" s="87">
        <v>0</v>
      </c>
      <c r="G254" s="47">
        <f t="shared" si="19"/>
        <v>0</v>
      </c>
      <c r="H254" s="88"/>
      <c r="I254" s="20"/>
      <c r="J254" s="82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1985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3" t="s">
        <v>213</v>
      </c>
      <c r="N255" s="143"/>
    </row>
    <row r="256" spans="1:14" ht="25.5" customHeight="1" x14ac:dyDescent="0.5">
      <c r="A256" s="1"/>
      <c r="E256" s="24"/>
      <c r="F256" s="25"/>
      <c r="G256" s="24"/>
      <c r="H256" s="148" t="s">
        <v>212</v>
      </c>
      <c r="I256" s="149"/>
      <c r="J256" s="30">
        <f>+X138</f>
        <v>0</v>
      </c>
      <c r="K256" s="27"/>
      <c r="L256" s="29"/>
    </row>
    <row r="257" spans="1:13" ht="25.5" x14ac:dyDescent="0.55000000000000004">
      <c r="A257" s="1"/>
      <c r="E257" s="31"/>
      <c r="G257" s="31"/>
      <c r="H257" s="32"/>
      <c r="I257" s="150" t="s">
        <v>202</v>
      </c>
      <c r="J257" s="150"/>
      <c r="K257" s="33">
        <f>SUM(J5:J256)</f>
        <v>2260</v>
      </c>
    </row>
    <row r="258" spans="1:13" ht="25.5" x14ac:dyDescent="0.55000000000000004">
      <c r="A258" s="1"/>
      <c r="E258" s="31"/>
      <c r="G258" s="31"/>
      <c r="I258" s="140" t="s">
        <v>203</v>
      </c>
      <c r="J258" s="141"/>
      <c r="K258" s="36">
        <v>15</v>
      </c>
    </row>
    <row r="259" spans="1:13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300</v>
      </c>
      <c r="L259" s="2">
        <v>200</v>
      </c>
      <c r="M259" s="2">
        <v>100</v>
      </c>
    </row>
    <row r="260" spans="1:13" ht="25.5" x14ac:dyDescent="0.55000000000000004">
      <c r="A260" s="1"/>
      <c r="E260" s="31"/>
      <c r="G260" s="31"/>
      <c r="I260" s="140" t="s">
        <v>205</v>
      </c>
      <c r="J260" s="141"/>
      <c r="K260" s="36">
        <v>0</v>
      </c>
    </row>
    <row r="261" spans="1:13" ht="25.5" x14ac:dyDescent="0.55000000000000004">
      <c r="A261" s="1"/>
      <c r="E261" s="31"/>
      <c r="G261" s="31"/>
      <c r="I261" s="140" t="s">
        <v>206</v>
      </c>
      <c r="J261" s="141"/>
      <c r="K261" s="36">
        <v>0</v>
      </c>
    </row>
    <row r="262" spans="1:13" ht="25.5" x14ac:dyDescent="0.55000000000000004">
      <c r="A262" s="1"/>
      <c r="E262" s="31"/>
      <c r="G262" s="31"/>
      <c r="I262" s="140" t="s">
        <v>207</v>
      </c>
      <c r="J262" s="141"/>
      <c r="K262" s="37">
        <f>SUM(L5:L255)</f>
        <v>275</v>
      </c>
    </row>
    <row r="263" spans="1:13" ht="25.5" x14ac:dyDescent="0.55000000000000004">
      <c r="A263" s="1"/>
      <c r="E263" s="31"/>
      <c r="G263" s="31"/>
      <c r="I263" s="140" t="s">
        <v>208</v>
      </c>
      <c r="J263" s="141"/>
      <c r="K263" s="33">
        <f>K257-K258-K259-K261-K262</f>
        <v>1670</v>
      </c>
    </row>
    <row r="264" spans="1:13" ht="25.5" x14ac:dyDescent="0.55000000000000004">
      <c r="A264" s="1"/>
      <c r="E264" s="31"/>
      <c r="G264" s="31"/>
      <c r="I264" s="140" t="s">
        <v>209</v>
      </c>
      <c r="J264" s="141"/>
      <c r="K264" s="37">
        <v>1670</v>
      </c>
    </row>
    <row r="265" spans="1:13" ht="25.5" x14ac:dyDescent="0.55000000000000004">
      <c r="A265" s="1"/>
      <c r="E265" s="31"/>
      <c r="G265" s="31"/>
      <c r="I265" s="140" t="s">
        <v>210</v>
      </c>
      <c r="J265" s="141"/>
      <c r="K265" s="33">
        <f>+K264-K263</f>
        <v>0</v>
      </c>
    </row>
    <row r="266" spans="1:13" ht="25.5" x14ac:dyDescent="0.55000000000000004">
      <c r="G266" s="2"/>
      <c r="I266" s="140" t="s">
        <v>211</v>
      </c>
      <c r="J266" s="141"/>
      <c r="K266" s="33">
        <f>+K264-K263</f>
        <v>0</v>
      </c>
    </row>
    <row r="267" spans="1:13" x14ac:dyDescent="0.5">
      <c r="G267" s="2"/>
      <c r="I267" s="2"/>
    </row>
    <row r="268" spans="1:13" ht="25.5" x14ac:dyDescent="0.55000000000000004">
      <c r="G268" s="2"/>
      <c r="I268" s="105" t="s">
        <v>312</v>
      </c>
    </row>
    <row r="269" spans="1:13" x14ac:dyDescent="0.5">
      <c r="G269" s="2"/>
      <c r="I269" s="2"/>
    </row>
    <row r="270" spans="1:13" x14ac:dyDescent="0.5">
      <c r="G270" s="2"/>
      <c r="I270" s="2"/>
    </row>
    <row r="271" spans="1:13" x14ac:dyDescent="0.5">
      <c r="G271" s="2"/>
      <c r="I271" s="2"/>
    </row>
    <row r="272" spans="1:13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7" t="s">
        <v>243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5" customFormat="1" ht="26.25" x14ac:dyDescent="0.55000000000000004">
      <c r="A3" s="152" t="s">
        <v>1</v>
      </c>
      <c r="B3" s="152" t="s">
        <v>2</v>
      </c>
      <c r="C3" s="153" t="s">
        <v>3</v>
      </c>
      <c r="D3" s="153" t="s">
        <v>4</v>
      </c>
      <c r="E3" s="153" t="s">
        <v>5</v>
      </c>
      <c r="F3" s="4" t="s">
        <v>6</v>
      </c>
      <c r="G3" s="155" t="s">
        <v>7</v>
      </c>
      <c r="H3" s="157" t="s">
        <v>8</v>
      </c>
      <c r="I3" s="158"/>
      <c r="J3" s="159"/>
      <c r="K3" s="160" t="s">
        <v>9</v>
      </c>
      <c r="L3" s="144" t="s">
        <v>10</v>
      </c>
      <c r="O3" s="152" t="s">
        <v>1</v>
      </c>
      <c r="P3" s="152" t="s">
        <v>2</v>
      </c>
      <c r="Q3" s="153" t="s">
        <v>3</v>
      </c>
      <c r="R3" s="153" t="s">
        <v>4</v>
      </c>
      <c r="S3" s="153" t="s">
        <v>5</v>
      </c>
      <c r="T3" s="4" t="s">
        <v>6</v>
      </c>
      <c r="U3" s="155" t="s">
        <v>7</v>
      </c>
      <c r="V3" s="157" t="s">
        <v>8</v>
      </c>
      <c r="W3" s="158"/>
      <c r="X3" s="159"/>
      <c r="Y3" s="160" t="s">
        <v>9</v>
      </c>
      <c r="Z3" s="144" t="s">
        <v>10</v>
      </c>
    </row>
    <row r="4" spans="1:26" s="5" customFormat="1" ht="27" thickBot="1" x14ac:dyDescent="0.6">
      <c r="A4" s="152"/>
      <c r="B4" s="152"/>
      <c r="C4" s="154"/>
      <c r="D4" s="154"/>
      <c r="E4" s="154"/>
      <c r="F4" s="6" t="s">
        <v>11</v>
      </c>
      <c r="G4" s="156"/>
      <c r="H4" s="7" t="s">
        <v>12</v>
      </c>
      <c r="I4" s="8" t="s">
        <v>13</v>
      </c>
      <c r="J4" s="9" t="s">
        <v>14</v>
      </c>
      <c r="K4" s="161"/>
      <c r="L4" s="144"/>
      <c r="O4" s="152"/>
      <c r="P4" s="152"/>
      <c r="Q4" s="154"/>
      <c r="R4" s="154"/>
      <c r="S4" s="154"/>
      <c r="T4" s="6" t="s">
        <v>11</v>
      </c>
      <c r="U4" s="156"/>
      <c r="V4" s="7" t="s">
        <v>12</v>
      </c>
      <c r="W4" s="8" t="s">
        <v>13</v>
      </c>
      <c r="X4" s="9" t="s">
        <v>14</v>
      </c>
      <c r="Y4" s="161"/>
      <c r="Z4" s="144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77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77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77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77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77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77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77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77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77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77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77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77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77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77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77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77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77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77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77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77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77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77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77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77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77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77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77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77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77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77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77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77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77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77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77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77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77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77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77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77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77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77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77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77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77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77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77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77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77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77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77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77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77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77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77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77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77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77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77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77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77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77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77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77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77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77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77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77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77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77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77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77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77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77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77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77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77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77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77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77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77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77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77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77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77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77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77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77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77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77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77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77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77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77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77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77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77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77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77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77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77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77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77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5" t="s">
        <v>119</v>
      </c>
      <c r="Q107" s="146"/>
      <c r="R107" s="146"/>
      <c r="S107" s="146"/>
      <c r="T107" s="146"/>
      <c r="U107" s="146"/>
      <c r="V107" s="146"/>
      <c r="W107" s="147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77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77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77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77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77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77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77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77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77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77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77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77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77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77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77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77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77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77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77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77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77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77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77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77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77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77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77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77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77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77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77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77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77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77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77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77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77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77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77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77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77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77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77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77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77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77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77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77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77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77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77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77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77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77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77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77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77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77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77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77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77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77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77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77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77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77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77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77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77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77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77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77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77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77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77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77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77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77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77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77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77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77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77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77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242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77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244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77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245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77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246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77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77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77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77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77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77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77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77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77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77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43" t="s">
        <v>213</v>
      </c>
      <c r="N205" s="143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48" t="s">
        <v>212</v>
      </c>
      <c r="I206" s="149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50" t="s">
        <v>202</v>
      </c>
      <c r="J207" s="150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40" t="s">
        <v>203</v>
      </c>
      <c r="J208" s="141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40" t="s">
        <v>205</v>
      </c>
      <c r="J210" s="141"/>
      <c r="K210" s="36">
        <v>0</v>
      </c>
    </row>
    <row r="211" spans="1:11" ht="25.5" x14ac:dyDescent="0.55000000000000004">
      <c r="A211" s="1"/>
      <c r="C211" s="31"/>
      <c r="E211" s="31"/>
      <c r="G211" s="31"/>
      <c r="I211" s="140" t="s">
        <v>206</v>
      </c>
      <c r="J211" s="141"/>
      <c r="K211" s="36">
        <v>0</v>
      </c>
    </row>
    <row r="212" spans="1:11" ht="25.5" x14ac:dyDescent="0.55000000000000004">
      <c r="A212" s="1"/>
      <c r="C212" s="31"/>
      <c r="E212" s="31"/>
      <c r="G212" s="31"/>
      <c r="I212" s="140" t="s">
        <v>207</v>
      </c>
      <c r="J212" s="141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40" t="s">
        <v>208</v>
      </c>
      <c r="J213" s="141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40" t="s">
        <v>209</v>
      </c>
      <c r="J214" s="141"/>
      <c r="K214" s="37">
        <v>0</v>
      </c>
    </row>
    <row r="215" spans="1:11" ht="25.5" x14ac:dyDescent="0.55000000000000004">
      <c r="A215" s="1"/>
      <c r="C215" s="31"/>
      <c r="E215" s="31"/>
      <c r="G215" s="31"/>
      <c r="I215" s="140" t="s">
        <v>210</v>
      </c>
      <c r="J215" s="141"/>
      <c r="K215" s="33">
        <f>+K214-K213</f>
        <v>0</v>
      </c>
    </row>
    <row r="216" spans="1:11" ht="25.5" x14ac:dyDescent="0.55000000000000004">
      <c r="G216" s="2"/>
      <c r="I216" s="140" t="s">
        <v>211</v>
      </c>
      <c r="J216" s="141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37</vt:i4>
      </vt:variant>
    </vt:vector>
  </HeadingPairs>
  <TitlesOfParts>
    <vt:vector size="37" baseType="lpstr">
      <vt:lpstr>ค่าใช้จ่าย</vt:lpstr>
      <vt:lpstr>รายการส่วนลด</vt:lpstr>
      <vt:lpstr>รายการคืนสินค้า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Kanokon plam</cp:lastModifiedBy>
  <cp:lastPrinted>2024-08-01T04:05:43Z</cp:lastPrinted>
  <dcterms:created xsi:type="dcterms:W3CDTF">2023-12-01T06:41:03Z</dcterms:created>
  <dcterms:modified xsi:type="dcterms:W3CDTF">2024-08-01T04:06:43Z</dcterms:modified>
</cp:coreProperties>
</file>