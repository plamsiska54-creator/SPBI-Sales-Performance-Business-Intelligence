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8.ส.ค\"/>
    </mc:Choice>
  </mc:AlternateContent>
  <xr:revisionPtr revIDLastSave="0" documentId="13_ncr:1_{E8989A41-9124-4B11-8688-1E9D9C54DC12}" xr6:coauthVersionLast="47" xr6:coauthVersionMax="47" xr10:uidLastSave="{00000000-0000-0000-0000-000000000000}"/>
  <bookViews>
    <workbookView xWindow="-108" yWindow="-108" windowWidth="23256" windowHeight="12456" tabRatio="979" xr2:uid="{DFAF8F83-514B-4FC5-A4C3-F2BAA0624829}"/>
  </bookViews>
  <sheets>
    <sheet name="สรุป" sheetId="8" r:id="rId1"/>
    <sheet name="31" sheetId="64" state="hidden" r:id="rId2"/>
  </sheets>
  <definedNames>
    <definedName name="_xlnm._FilterDatabase" localSheetId="1" hidden="1">'31'!$A$1:$Y$216</definedName>
    <definedName name="_xlnm._FilterDatabase" localSheetId="0" hidden="1">สรุป!$A$4:$L$55</definedName>
    <definedName name="_xlnm.Print_Titles" localSheetId="0">สรุป!$1:$4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8" l="1"/>
  <c r="E19" i="8"/>
  <c r="I19" i="8"/>
  <c r="L47" i="8" l="1"/>
  <c r="D7" i="8"/>
  <c r="I7" i="8" s="1"/>
  <c r="K7" i="8" s="1"/>
  <c r="I6" i="8"/>
  <c r="K6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I17" i="8"/>
  <c r="K17" i="8" s="1"/>
  <c r="I18" i="8"/>
  <c r="K18" i="8" s="1"/>
  <c r="K19" i="8"/>
  <c r="I20" i="8"/>
  <c r="K20" i="8" s="1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K44" i="8"/>
  <c r="I5" i="8"/>
  <c r="K5" i="8" s="1"/>
  <c r="K46" i="8" l="1"/>
  <c r="E10" i="8"/>
  <c r="E35" i="8"/>
  <c r="E12" i="8"/>
  <c r="E26" i="8"/>
  <c r="E36" i="8"/>
  <c r="E14" i="8"/>
  <c r="E17" i="8"/>
  <c r="E13" i="8"/>
  <c r="E24" i="8"/>
  <c r="E20" i="8"/>
  <c r="E16" i="8"/>
  <c r="E18" i="8"/>
  <c r="E42" i="8"/>
  <c r="E22" i="8"/>
  <c r="E38" i="8"/>
  <c r="E33" i="8"/>
  <c r="E41" i="8"/>
  <c r="E40" i="8"/>
  <c r="E25" i="8"/>
  <c r="E15" i="8"/>
  <c r="E23" i="8"/>
  <c r="E34" i="8"/>
  <c r="E9" i="8"/>
  <c r="E32" i="8"/>
  <c r="E30" i="8"/>
  <c r="E28" i="8"/>
  <c r="E27" i="8"/>
  <c r="E39" i="8"/>
  <c r="E31" i="8"/>
  <c r="E21" i="8"/>
  <c r="E37" i="8"/>
  <c r="E29" i="8"/>
  <c r="E11" i="8"/>
  <c r="E8" i="8" l="1"/>
  <c r="E7" i="8"/>
  <c r="E6" i="8"/>
  <c r="E5" i="8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N204" i="64" l="1"/>
  <c r="X107" i="64"/>
  <c r="J206" i="64" s="1"/>
  <c r="K207" i="64" s="1"/>
  <c r="K213" i="64" l="1"/>
  <c r="K215" i="64" s="1"/>
  <c r="K216" i="64" l="1"/>
  <c r="D48" i="8" l="1"/>
  <c r="B49" i="8" s="1"/>
  <c r="F50" i="8"/>
  <c r="K50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43" i="8" l="1"/>
  <c r="E44" i="8"/>
  <c r="D47" i="8" l="1"/>
  <c r="D50" i="8" s="1"/>
  <c r="D52" i="8" s="1"/>
  <c r="K49" i="8" l="1"/>
  <c r="K51" i="8" s="1"/>
  <c r="K54" i="8" l="1"/>
  <c r="B47" i="8"/>
  <c r="B50" i="8" s="1"/>
</calcChain>
</file>

<file path=xl/sharedStrings.xml><?xml version="1.0" encoding="utf-8"?>
<sst xmlns="http://schemas.openxmlformats.org/spreadsheetml/2006/main" count="618" uniqueCount="267">
  <si>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</si>
  <si>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</si>
  <si>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</si>
  <si>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</si>
  <si>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</si>
  <si>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</si>
  <si>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</si>
  <si>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</si>
  <si>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</si>
  <si>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</si>
  <si>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</si>
  <si>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</si>
  <si>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</si>
  <si>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</si>
  <si>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</si>
  <si>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</si>
  <si>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</si>
  <si>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</si>
  <si>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</si>
  <si>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</si>
  <si>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</si>
  <si>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</si>
  <si>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</si>
  <si>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</si>
  <si>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</si>
  <si>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</si>
  <si>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</si>
  <si>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</si>
  <si>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</si>
  <si>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</si>
  <si>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</si>
  <si>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</si>
  <si>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</si>
  <si>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</si>
  <si>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</si>
  <si>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</si>
  <si>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</si>
  <si>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</si>
  <si>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</si>
  <si>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</si>
  <si>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</si>
  <si>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</si>
  <si>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</si>
  <si>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</si>
  <si>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</si>
  <si>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</si>
  <si>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</si>
  <si>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</si>
  <si>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</si>
  <si>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</si>
  <si>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</si>
  <si>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</si>
  <si>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</si>
  <si>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</si>
  <si>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</si>
  <si>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</si>
  <si>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</si>
  <si>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</si>
  <si>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</si>
  <si>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</si>
  <si>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</si>
  <si>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</si>
  <si>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</si>
  <si>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</si>
  <si>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</si>
  <si>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</si>
  <si>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</si>
  <si>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</si>
  <si>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</si>
  <si>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</si>
  <si>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</si>
  <si>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</si>
  <si>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</si>
  <si>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</si>
  <si>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</si>
  <si>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</si>
  <si>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</si>
  <si>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</si>
  <si>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</si>
  <si>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</si>
  <si>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</si>
  <si>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</si>
  <si>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</si>
  <si>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</si>
  <si>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</si>
  <si>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</si>
  <si>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</si>
  <si>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</si>
  <si>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</si>
  <si>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</si>
  <si>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</si>
  <si>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</si>
  <si>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</si>
  <si>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</si>
  <si>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</si>
  <si>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</si>
  <si>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</si>
  <si>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</si>
  <si>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</si>
  <si>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</si>
  <si>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</si>
  <si>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</si>
  <si>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</si>
  <si>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</si>
  <si>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</si>
  <si>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</si>
  <si>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</si>
  <si>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</si>
  <si>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</si>
  <si>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</si>
  <si>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</si>
  <si>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</si>
  <si>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</si>
  <si>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</si>
  <si>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</si>
  <si>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</si>
  <si>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</si>
  <si>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</si>
  <si>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</si>
  <si>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</si>
  <si>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</si>
  <si>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</si>
  <si>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</si>
  <si>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</si>
  <si>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</si>
  <si>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</si>
  <si>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</si>
  <si>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</si>
  <si>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</si>
  <si>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</si>
  <si>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</si>
  <si>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</si>
  <si>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</si>
  <si>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</si>
  <si>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</si>
  <si>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</si>
  <si>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</si>
  <si>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</si>
  <si>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</si>
  <si>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</si>
  <si>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</si>
  <si>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</si>
  <si>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</si>
  <si>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</si>
  <si>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</si>
  <si>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</si>
  <si>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</si>
  <si>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</si>
  <si>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</si>
  <si>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</si>
  <si>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</si>
  <si>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</si>
  <si>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</si>
  <si>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</si>
  <si>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</si>
  <si>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</si>
  <si>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</si>
  <si>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</si>
  <si>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</si>
  <si>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</si>
  <si>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</si>
  <si>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</si>
  <si>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</si>
  <si>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</si>
  <si>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</si>
  <si>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</si>
  <si>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</si>
  <si>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</si>
  <si>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</si>
  <si>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</si>
  <si>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</si>
  <si>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</si>
  <si>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</si>
  <si>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</si>
  <si>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</si>
  <si>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</si>
  <si>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</si>
  <si>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</si>
  <si>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</si>
  <si>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</si>
  <si>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</si>
  <si>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</si>
  <si>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</si>
  <si>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</si>
  <si>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</si>
  <si>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</si>
  <si>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</si>
  <si>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</si>
  <si>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</si>
  <si>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</si>
  <si>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</si>
  <si>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</si>
  <si>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</si>
  <si>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</si>
  <si>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</si>
  <si>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</si>
  <si>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</si>
  <si>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</si>
  <si>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</si>
  <si>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</si>
  <si>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</si>
  <si>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</si>
  <si>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</si>
  <si>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</si>
  <si>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</si>
  <si>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</si>
  <si>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</si>
  <si>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</si>
  <si>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</si>
  <si>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</si>
  <si>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</si>
  <si>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</si>
  <si>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</si>
  <si>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</si>
  <si>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ค่าโอนเงิน</t>
  </si>
  <si>
    <t>โอนหน้าร้าน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</si>
  <si>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</si>
  <si>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</si>
  <si>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</si>
  <si>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</si>
  <si>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</si>
  <si>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</si>
  <si>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</si>
  <si>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</si>
  <si>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</si>
  <si>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</si>
  <si>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</si>
  <si>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</si>
  <si>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</si>
  <si>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</si>
  <si>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</si>
  <si>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</si>
  <si>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</si>
  <si>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</si>
  <si>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</si>
  <si>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</si>
  <si>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</si>
  <si>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</si>
  <si>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</si>
  <si>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</si>
  <si>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โยก</t>
  </si>
  <si>
    <t>เบาหวิว (ญ) ใหม่ รสเผือกมะพร้าวเผา</t>
  </si>
  <si>
    <t>เค้กช็อคโกแลตหน้านิ่ม</t>
  </si>
  <si>
    <t>ท๊อฟฟี่ถั่ว (กระเช้า)</t>
  </si>
  <si>
    <t>ท๊อฟฟี่ถั่ว (กล่อง)</t>
  </si>
  <si>
    <t>คอนเฟลกคาราเมล</t>
  </si>
  <si>
    <t>ขนมปังเนยนิ่ม</t>
  </si>
  <si>
    <t>ขนมปังสังขยา 6 ลูก</t>
  </si>
  <si>
    <t>ขนมปังพิซซ่าโบโลน่า 80g.</t>
  </si>
  <si>
    <t>ขนมปังข้าวโพดแฮม 90g.</t>
  </si>
  <si>
    <t>ขนมปังแลบลิ้น</t>
  </si>
  <si>
    <t>เอแคลร์นมสด 8 ชิ้น</t>
  </si>
  <si>
    <t>ชิฟฟ่อนเค้กหน้าฝอยทอง สอดไส้แยมส้ม (6 ชิ้น)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</si>
  <si>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</si>
  <si>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</si>
  <si>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ชิฟฟ่อนเค้กสอดไส้ มะพร้าว (6 ชิ้น)</t>
  </si>
  <si>
    <t>ชิฟฟ่อนเค้กสอดไส้เนย รสมะพร้าว (3 ชิ้น)</t>
  </si>
  <si>
    <t>ชิฟฟ่อนเค้กหน้าฝอยทองทูโทน สอดไส้แยมส้ม (3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</si>
  <si>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</si>
  <si>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</si>
  <si>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ทูโทน (ล) (สีเขียว + สีเหลือง)</t>
  </si>
  <si>
    <t>ชิฟฟ่อน สอดไส้ (ล) 4 ชิ้น ครีมมะพร้าว + เตย</t>
  </si>
  <si>
    <t>บูธ อีเว้น พาราไดซ์ วันที่ 14-18 ส.ค. 67</t>
  </si>
  <si>
    <t>ส่วนลด โปร 3 ชิ้น 100 บาท = 5*33=165</t>
  </si>
  <si>
    <t>ค่าแรง PC</t>
  </si>
  <si>
    <t xml:space="preserve"> หัก ค่าใช้จ่ายอื่นๆ + ค่าแรง PC</t>
  </si>
  <si>
    <t>กานโอน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</si>
</sst>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43" fontId="2" fillId="0" borderId="1" xfId="1" applyFont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3" borderId="1" xfId="1" applyFont="1" applyFill="1" applyBorder="1"/>
    <xf numFmtId="0" fontId="5" fillId="13" borderId="1" xfId="0" applyFont="1" applyFill="1" applyBorder="1" applyAlignment="1">
      <alignment horizontal="center"/>
    </xf>
    <xf numFmtId="0" fontId="13" fillId="10" borderId="1" xfId="0" applyFont="1" applyFill="1" applyBorder="1"/>
    <xf numFmtId="0" fontId="13" fillId="11" borderId="1" xfId="0" applyFont="1" applyFill="1" applyBorder="1"/>
    <xf numFmtId="43" fontId="13" fillId="11" borderId="1" xfId="1" applyFont="1" applyFill="1" applyBorder="1"/>
    <xf numFmtId="0" fontId="6" fillId="12" borderId="19" xfId="0" applyFont="1" applyFill="1" applyBorder="1" applyAlignment="1">
      <alignment horizontal="left"/>
    </xf>
    <xf numFmtId="43" fontId="6" fillId="12" borderId="1" xfId="1" applyFont="1" applyFill="1" applyBorder="1" applyAlignment="1">
      <alignment horizontal="center"/>
    </xf>
    <xf numFmtId="0" fontId="6" fillId="13" borderId="1" xfId="0" applyFont="1" applyFill="1" applyBorder="1"/>
    <xf numFmtId="43" fontId="6" fillId="13" borderId="1" xfId="1" applyFont="1" applyFill="1" applyBorder="1"/>
    <xf numFmtId="43" fontId="6" fillId="12" borderId="1" xfId="1" applyFont="1" applyFill="1" applyBorder="1"/>
    <xf numFmtId="0" fontId="14" fillId="10" borderId="1" xfId="0" applyFont="1" applyFill="1" applyBorder="1"/>
    <xf numFmtId="43" fontId="6" fillId="13" borderId="1" xfId="0" applyNumberFormat="1" applyFont="1" applyFill="1" applyBorder="1"/>
    <xf numFmtId="0" fontId="15" fillId="10" borderId="23" xfId="0" applyFont="1" applyFill="1" applyBorder="1"/>
    <xf numFmtId="0" fontId="13" fillId="0" borderId="0" xfId="0" applyFont="1"/>
    <xf numFmtId="43" fontId="6" fillId="13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0" fontId="2" fillId="13" borderId="22" xfId="0" applyFont="1" applyFill="1" applyBorder="1"/>
    <xf numFmtId="0" fontId="5" fillId="12" borderId="1" xfId="0" applyFont="1" applyFill="1" applyBorder="1" applyAlignment="1">
      <alignment horizontal="center"/>
    </xf>
    <xf numFmtId="43" fontId="6" fillId="12" borderId="15" xfId="1" applyFont="1" applyFill="1" applyBorder="1"/>
    <xf numFmtId="2" fontId="13" fillId="10" borderId="1" xfId="1" applyNumberFormat="1" applyFont="1" applyFill="1" applyBorder="1" applyAlignment="1">
      <alignment horizontal="righ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  <xf numFmtId="0" fontId="12" fillId="10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5" fillId="12" borderId="19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/>
    <xf numFmtId="0" fontId="6" fillId="13" borderId="15" xfId="0" applyFont="1" applyFill="1" applyBorder="1"/>
    <xf numFmtId="0" fontId="6" fillId="13" borderId="18" xfId="0" applyFont="1" applyFill="1" applyBorder="1"/>
    <xf numFmtId="0" fontId="6" fillId="13" borderId="19" xfId="0" applyFont="1" applyFill="1" applyBorder="1"/>
    <xf numFmtId="0" fontId="6" fillId="13" borderId="22" xfId="0" applyFont="1" applyFill="1" applyBorder="1"/>
    <xf numFmtId="0" fontId="6" fillId="14" borderId="24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4" borderId="26" xfId="0" applyFont="1" applyFill="1" applyBorder="1" applyAlignment="1">
      <alignment horizontal="center"/>
    </xf>
    <xf numFmtId="0" fontId="6" fillId="13" borderId="1" xfId="0" applyFont="1" applyFill="1" applyBorder="1"/>
    <xf numFmtId="0" fontId="6" fillId="13" borderId="15" xfId="0" applyFont="1" applyFill="1" applyBorder="1" applyAlignment="1">
      <alignment horizontal="left"/>
    </xf>
    <xf numFmtId="0" fontId="6" fillId="13" borderId="18" xfId="0" applyFont="1" applyFill="1" applyBorder="1" applyAlignment="1">
      <alignment horizontal="left"/>
    </xf>
    <xf numFmtId="0" fontId="6" fillId="13" borderId="19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M56"/>
  <sheetViews>
    <sheetView tabSelected="1" zoomScaleNormal="100" workbookViewId="0">
      <pane xSplit="8" ySplit="4" topLeftCell="I44" activePane="bottomRight" state="frozen"/>
      <selection activeCell="D210" sqref="D210"/>
      <selection pane="topRight" activeCell="D210" sqref="D210"/>
      <selection pane="bottomLeft" activeCell="D210" sqref="D210"/>
      <selection pane="bottomRight" activeCell="L53" sqref="L53"/>
    </sheetView>
  </sheetViews>
  <sheetFormatPr defaultColWidth="9" defaultRowHeight="24.6" x14ac:dyDescent="0.65"/>
  <cols>
    <col min="1" max="1" width="13.8984375" style="2" bestFit="1" customWidth="1"/>
    <col min="2" max="2" width="43.796875" style="2" bestFit="1" customWidth="1"/>
    <col min="3" max="3" width="19" style="2" bestFit="1" customWidth="1"/>
    <col min="4" max="4" width="12.796875" style="2" customWidth="1"/>
    <col min="5" max="5" width="11.796875" style="2" customWidth="1"/>
    <col min="6" max="6" width="10.796875" style="2" bestFit="1" customWidth="1"/>
    <col min="7" max="7" width="8.796875" style="2" hidden="1" customWidth="1"/>
    <col min="8" max="8" width="8" style="2" customWidth="1"/>
    <col min="9" max="9" width="8.796875" style="2" customWidth="1"/>
    <col min="10" max="10" width="8.296875" style="5" customWidth="1"/>
    <col min="11" max="11" width="11.796875" style="2" customWidth="1"/>
    <col min="12" max="12" width="16.09765625" style="2" customWidth="1"/>
    <col min="13" max="16384" width="9" style="2"/>
  </cols>
  <sheetData>
    <row r="1" spans="1:12" x14ac:dyDescent="0.65">
      <c r="A1" s="1"/>
    </row>
    <row r="2" spans="1:12" s="3" customFormat="1" ht="28.8" x14ac:dyDescent="0.75">
      <c r="A2" s="92" t="s">
        <v>262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s="5" customFormat="1" x14ac:dyDescent="0.65">
      <c r="A3" s="91" t="s">
        <v>1</v>
      </c>
      <c r="B3" s="91" t="s">
        <v>2</v>
      </c>
      <c r="C3" s="91" t="s">
        <v>3</v>
      </c>
      <c r="D3" s="91" t="s">
        <v>4</v>
      </c>
      <c r="E3" s="91" t="s">
        <v>5</v>
      </c>
      <c r="F3" s="65" t="s">
        <v>6</v>
      </c>
      <c r="G3" s="93" t="s">
        <v>240</v>
      </c>
      <c r="H3" s="91" t="s">
        <v>7</v>
      </c>
      <c r="I3" s="95" t="s">
        <v>8</v>
      </c>
      <c r="J3" s="95"/>
      <c r="K3" s="95"/>
      <c r="L3" s="91" t="s">
        <v>9</v>
      </c>
    </row>
    <row r="4" spans="1:12" s="5" customFormat="1" x14ac:dyDescent="0.65">
      <c r="A4" s="91"/>
      <c r="B4" s="91"/>
      <c r="C4" s="91"/>
      <c r="D4" s="91"/>
      <c r="E4" s="91"/>
      <c r="F4" s="65" t="s">
        <v>11</v>
      </c>
      <c r="G4" s="94"/>
      <c r="H4" s="91"/>
      <c r="I4" s="65" t="s">
        <v>12</v>
      </c>
      <c r="J4" s="42" t="s">
        <v>13</v>
      </c>
      <c r="K4" s="65" t="s">
        <v>14</v>
      </c>
      <c r="L4" s="91"/>
    </row>
    <row r="5" spans="1:12" x14ac:dyDescent="0.65">
      <c r="A5" s="10">
        <v>1</v>
      </c>
      <c r="B5" s="19" t="s">
        <v>258</v>
      </c>
      <c r="C5" s="45">
        <v>0</v>
      </c>
      <c r="D5" s="44">
        <v>30</v>
      </c>
      <c r="E5" s="43">
        <f t="shared" ref="E5:E32" si="0">+C5+D5</f>
        <v>30</v>
      </c>
      <c r="F5" s="44"/>
      <c r="G5" s="44"/>
      <c r="H5" s="43">
        <v>21</v>
      </c>
      <c r="I5" s="44">
        <f>+D5-H5</f>
        <v>9</v>
      </c>
      <c r="J5" s="20">
        <v>50</v>
      </c>
      <c r="K5" s="44">
        <f>+I5*J5</f>
        <v>450</v>
      </c>
      <c r="L5" s="19"/>
    </row>
    <row r="6" spans="1:12" x14ac:dyDescent="0.65">
      <c r="A6" s="10">
        <v>2</v>
      </c>
      <c r="B6" s="19" t="s">
        <v>259</v>
      </c>
      <c r="C6" s="45">
        <v>0</v>
      </c>
      <c r="D6" s="44">
        <v>30</v>
      </c>
      <c r="E6" s="43">
        <f t="shared" si="0"/>
        <v>30</v>
      </c>
      <c r="F6" s="44"/>
      <c r="G6" s="44"/>
      <c r="H6" s="43">
        <v>24</v>
      </c>
      <c r="I6" s="44">
        <f t="shared" ref="I6:I30" si="1">+D6-H6</f>
        <v>6</v>
      </c>
      <c r="J6" s="20">
        <v>100</v>
      </c>
      <c r="K6" s="44">
        <f t="shared" ref="K6:K30" si="2">+I6*J6</f>
        <v>600</v>
      </c>
      <c r="L6" s="19"/>
    </row>
    <row r="7" spans="1:12" x14ac:dyDescent="0.65">
      <c r="A7" s="10">
        <v>3</v>
      </c>
      <c r="B7" s="19" t="s">
        <v>253</v>
      </c>
      <c r="C7" s="45">
        <v>0</v>
      </c>
      <c r="D7" s="44">
        <f>15+10</f>
        <v>25</v>
      </c>
      <c r="E7" s="43">
        <f t="shared" si="0"/>
        <v>25</v>
      </c>
      <c r="F7" s="44"/>
      <c r="G7" s="44"/>
      <c r="H7" s="43">
        <v>6</v>
      </c>
      <c r="I7" s="44">
        <f t="shared" si="1"/>
        <v>19</v>
      </c>
      <c r="J7" s="20">
        <v>50</v>
      </c>
      <c r="K7" s="44">
        <f t="shared" si="2"/>
        <v>950</v>
      </c>
      <c r="L7" s="19"/>
    </row>
    <row r="8" spans="1:12" x14ac:dyDescent="0.65">
      <c r="A8" s="10">
        <v>4</v>
      </c>
      <c r="B8" s="19" t="s">
        <v>257</v>
      </c>
      <c r="C8" s="45">
        <v>0</v>
      </c>
      <c r="D8" s="44">
        <v>10</v>
      </c>
      <c r="E8" s="43">
        <f t="shared" si="0"/>
        <v>10</v>
      </c>
      <c r="F8" s="44"/>
      <c r="G8" s="44"/>
      <c r="H8" s="43">
        <v>0</v>
      </c>
      <c r="I8" s="44">
        <f t="shared" si="1"/>
        <v>10</v>
      </c>
      <c r="J8" s="20">
        <v>50</v>
      </c>
      <c r="K8" s="44">
        <f t="shared" si="2"/>
        <v>500</v>
      </c>
      <c r="L8" s="19"/>
    </row>
    <row r="9" spans="1:12" x14ac:dyDescent="0.65">
      <c r="A9" s="10">
        <v>5</v>
      </c>
      <c r="B9" s="19" t="s">
        <v>256</v>
      </c>
      <c r="C9" s="45">
        <v>0</v>
      </c>
      <c r="D9" s="44">
        <v>10</v>
      </c>
      <c r="E9" s="43">
        <f t="shared" si="0"/>
        <v>10</v>
      </c>
      <c r="F9" s="44"/>
      <c r="G9" s="44"/>
      <c r="H9" s="43">
        <v>0</v>
      </c>
      <c r="I9" s="44">
        <f t="shared" si="1"/>
        <v>10</v>
      </c>
      <c r="J9" s="20">
        <v>50</v>
      </c>
      <c r="K9" s="44">
        <f t="shared" si="2"/>
        <v>500</v>
      </c>
      <c r="L9" s="19"/>
    </row>
    <row r="10" spans="1:12" x14ac:dyDescent="0.65">
      <c r="A10" s="10">
        <v>6</v>
      </c>
      <c r="B10" s="19" t="s">
        <v>261</v>
      </c>
      <c r="C10" s="45">
        <v>0</v>
      </c>
      <c r="D10" s="44">
        <v>5</v>
      </c>
      <c r="E10" s="43">
        <f t="shared" si="0"/>
        <v>5</v>
      </c>
      <c r="F10" s="44"/>
      <c r="G10" s="44"/>
      <c r="H10" s="43">
        <v>4</v>
      </c>
      <c r="I10" s="44">
        <f t="shared" si="1"/>
        <v>1</v>
      </c>
      <c r="J10" s="20">
        <v>65</v>
      </c>
      <c r="K10" s="44">
        <f t="shared" si="2"/>
        <v>65</v>
      </c>
      <c r="L10" s="19"/>
    </row>
    <row r="11" spans="1:12" x14ac:dyDescent="0.65">
      <c r="A11" s="10">
        <v>7</v>
      </c>
      <c r="B11" s="19" t="s">
        <v>254</v>
      </c>
      <c r="C11" s="45">
        <v>0</v>
      </c>
      <c r="D11" s="44">
        <v>25</v>
      </c>
      <c r="E11" s="43">
        <f t="shared" ref="E11:E12" si="3">+C11+D11</f>
        <v>25</v>
      </c>
      <c r="F11" s="44"/>
      <c r="G11" s="44"/>
      <c r="H11" s="43">
        <v>22</v>
      </c>
      <c r="I11" s="44">
        <f t="shared" si="1"/>
        <v>3</v>
      </c>
      <c r="J11" s="20">
        <v>100</v>
      </c>
      <c r="K11" s="44">
        <f t="shared" si="2"/>
        <v>300</v>
      </c>
      <c r="L11" s="19"/>
    </row>
    <row r="12" spans="1:12" x14ac:dyDescent="0.65">
      <c r="A12" s="10">
        <v>8</v>
      </c>
      <c r="B12" s="19" t="s">
        <v>252</v>
      </c>
      <c r="C12" s="45">
        <v>0</v>
      </c>
      <c r="D12" s="44">
        <v>10</v>
      </c>
      <c r="E12" s="43">
        <f t="shared" si="3"/>
        <v>10</v>
      </c>
      <c r="F12" s="44"/>
      <c r="G12" s="44"/>
      <c r="H12" s="43">
        <v>10</v>
      </c>
      <c r="I12" s="44">
        <f t="shared" si="1"/>
        <v>0</v>
      </c>
      <c r="J12" s="20">
        <v>100</v>
      </c>
      <c r="K12" s="44">
        <f t="shared" si="2"/>
        <v>0</v>
      </c>
      <c r="L12" s="19"/>
    </row>
    <row r="13" spans="1:12" x14ac:dyDescent="0.65">
      <c r="A13" s="10">
        <v>9</v>
      </c>
      <c r="B13" s="19" t="s">
        <v>255</v>
      </c>
      <c r="C13" s="45">
        <v>0</v>
      </c>
      <c r="D13" s="44">
        <v>10</v>
      </c>
      <c r="E13" s="43">
        <f t="shared" si="0"/>
        <v>10</v>
      </c>
      <c r="F13" s="44"/>
      <c r="G13" s="44"/>
      <c r="H13" s="43">
        <v>0</v>
      </c>
      <c r="I13" s="44">
        <f t="shared" si="1"/>
        <v>10</v>
      </c>
      <c r="J13" s="20">
        <v>100</v>
      </c>
      <c r="K13" s="44">
        <f t="shared" si="2"/>
        <v>1000</v>
      </c>
      <c r="L13" s="19"/>
    </row>
    <row r="14" spans="1:12" x14ac:dyDescent="0.65">
      <c r="A14" s="10">
        <v>10</v>
      </c>
      <c r="B14" s="19" t="s">
        <v>48</v>
      </c>
      <c r="C14" s="45">
        <v>0</v>
      </c>
      <c r="D14" s="44">
        <v>10</v>
      </c>
      <c r="E14" s="43">
        <f t="shared" si="0"/>
        <v>10</v>
      </c>
      <c r="F14" s="44"/>
      <c r="G14" s="44"/>
      <c r="H14" s="43">
        <v>5</v>
      </c>
      <c r="I14" s="44">
        <f t="shared" si="1"/>
        <v>5</v>
      </c>
      <c r="J14" s="20">
        <v>100</v>
      </c>
      <c r="K14" s="44">
        <f t="shared" si="2"/>
        <v>500</v>
      </c>
      <c r="L14" s="19"/>
    </row>
    <row r="15" spans="1:12" x14ac:dyDescent="0.65">
      <c r="A15" s="10">
        <v>11</v>
      </c>
      <c r="B15" s="19" t="s">
        <v>49</v>
      </c>
      <c r="C15" s="45">
        <v>0</v>
      </c>
      <c r="D15" s="44">
        <v>10</v>
      </c>
      <c r="E15" s="43">
        <f t="shared" si="0"/>
        <v>10</v>
      </c>
      <c r="F15" s="44"/>
      <c r="G15" s="44"/>
      <c r="H15" s="43">
        <v>0</v>
      </c>
      <c r="I15" s="44">
        <f t="shared" si="1"/>
        <v>10</v>
      </c>
      <c r="J15" s="20">
        <v>50</v>
      </c>
      <c r="K15" s="44">
        <f t="shared" si="2"/>
        <v>500</v>
      </c>
      <c r="L15" s="19"/>
    </row>
    <row r="16" spans="1:12" x14ac:dyDescent="0.65">
      <c r="A16" s="10">
        <v>12</v>
      </c>
      <c r="B16" s="19" t="s">
        <v>50</v>
      </c>
      <c r="C16" s="45">
        <v>0</v>
      </c>
      <c r="D16" s="44">
        <v>10</v>
      </c>
      <c r="E16" s="43">
        <f t="shared" si="0"/>
        <v>10</v>
      </c>
      <c r="F16" s="44"/>
      <c r="G16" s="44"/>
      <c r="H16" s="43">
        <v>5</v>
      </c>
      <c r="I16" s="44">
        <f t="shared" si="1"/>
        <v>5</v>
      </c>
      <c r="J16" s="20">
        <v>50</v>
      </c>
      <c r="K16" s="44">
        <f t="shared" si="2"/>
        <v>250</v>
      </c>
      <c r="L16" s="19"/>
    </row>
    <row r="17" spans="1:12" x14ac:dyDescent="0.65">
      <c r="A17" s="10">
        <v>13</v>
      </c>
      <c r="B17" s="19" t="s">
        <v>51</v>
      </c>
      <c r="C17" s="45">
        <v>0</v>
      </c>
      <c r="D17" s="44">
        <v>10</v>
      </c>
      <c r="E17" s="43">
        <f t="shared" si="0"/>
        <v>10</v>
      </c>
      <c r="F17" s="44"/>
      <c r="G17" s="44"/>
      <c r="H17" s="43">
        <v>6</v>
      </c>
      <c r="I17" s="44">
        <f t="shared" si="1"/>
        <v>4</v>
      </c>
      <c r="J17" s="20">
        <v>50</v>
      </c>
      <c r="K17" s="44">
        <f t="shared" si="2"/>
        <v>200</v>
      </c>
      <c r="L17" s="19"/>
    </row>
    <row r="18" spans="1:12" x14ac:dyDescent="0.65">
      <c r="A18" s="10">
        <v>14</v>
      </c>
      <c r="B18" s="19" t="s">
        <v>52</v>
      </c>
      <c r="C18" s="45">
        <v>0</v>
      </c>
      <c r="D18" s="44">
        <v>5</v>
      </c>
      <c r="E18" s="43">
        <f t="shared" si="0"/>
        <v>5</v>
      </c>
      <c r="F18" s="44"/>
      <c r="G18" s="44"/>
      <c r="H18" s="43">
        <v>0</v>
      </c>
      <c r="I18" s="44">
        <f t="shared" si="1"/>
        <v>5</v>
      </c>
      <c r="J18" s="20">
        <v>50</v>
      </c>
      <c r="K18" s="44">
        <f t="shared" si="2"/>
        <v>250</v>
      </c>
      <c r="L18" s="19"/>
    </row>
    <row r="19" spans="1:12" x14ac:dyDescent="0.65">
      <c r="A19" s="10">
        <v>15</v>
      </c>
      <c r="B19" s="19" t="s">
        <v>53</v>
      </c>
      <c r="C19" s="45">
        <v>0</v>
      </c>
      <c r="D19" s="44">
        <v>10</v>
      </c>
      <c r="E19" s="43">
        <f>+C19+D19</f>
        <v>10</v>
      </c>
      <c r="F19" s="44"/>
      <c r="G19" s="44"/>
      <c r="H19" s="43">
        <v>2</v>
      </c>
      <c r="I19" s="44">
        <f>+D19-H19</f>
        <v>8</v>
      </c>
      <c r="J19" s="20">
        <v>50</v>
      </c>
      <c r="K19" s="44">
        <f t="shared" si="2"/>
        <v>400</v>
      </c>
      <c r="L19" s="19"/>
    </row>
    <row r="20" spans="1:12" x14ac:dyDescent="0.65">
      <c r="A20" s="10">
        <v>16</v>
      </c>
      <c r="B20" s="19" t="s">
        <v>54</v>
      </c>
      <c r="C20" s="45">
        <v>0</v>
      </c>
      <c r="D20" s="44">
        <v>5</v>
      </c>
      <c r="E20" s="43">
        <f t="shared" si="0"/>
        <v>5</v>
      </c>
      <c r="F20" s="44"/>
      <c r="G20" s="44"/>
      <c r="H20" s="43">
        <v>0</v>
      </c>
      <c r="I20" s="44">
        <f t="shared" si="1"/>
        <v>5</v>
      </c>
      <c r="J20" s="20">
        <v>50</v>
      </c>
      <c r="K20" s="44">
        <f t="shared" si="2"/>
        <v>250</v>
      </c>
      <c r="L20" s="19"/>
    </row>
    <row r="21" spans="1:12" x14ac:dyDescent="0.65">
      <c r="A21" s="10">
        <v>17</v>
      </c>
      <c r="B21" s="19" t="s">
        <v>55</v>
      </c>
      <c r="C21" s="45">
        <v>0</v>
      </c>
      <c r="D21" s="44">
        <v>15</v>
      </c>
      <c r="E21" s="43">
        <f t="shared" si="0"/>
        <v>15</v>
      </c>
      <c r="F21" s="44"/>
      <c r="G21" s="44"/>
      <c r="H21" s="43">
        <v>6</v>
      </c>
      <c r="I21" s="44">
        <f t="shared" si="1"/>
        <v>9</v>
      </c>
      <c r="J21" s="20">
        <v>50</v>
      </c>
      <c r="K21" s="44">
        <f t="shared" si="2"/>
        <v>450</v>
      </c>
      <c r="L21" s="19"/>
    </row>
    <row r="22" spans="1:12" x14ac:dyDescent="0.65">
      <c r="A22" s="10">
        <v>18</v>
      </c>
      <c r="B22" s="19" t="s">
        <v>57</v>
      </c>
      <c r="C22" s="45">
        <v>0</v>
      </c>
      <c r="D22" s="44">
        <v>15</v>
      </c>
      <c r="E22" s="43">
        <f t="shared" si="0"/>
        <v>15</v>
      </c>
      <c r="F22" s="44"/>
      <c r="G22" s="44"/>
      <c r="H22" s="43">
        <v>0</v>
      </c>
      <c r="I22" s="44">
        <f t="shared" si="1"/>
        <v>15</v>
      </c>
      <c r="J22" s="20">
        <v>50</v>
      </c>
      <c r="K22" s="44">
        <f t="shared" si="2"/>
        <v>750</v>
      </c>
      <c r="L22" s="19"/>
    </row>
    <row r="23" spans="1:12" x14ac:dyDescent="0.65">
      <c r="A23" s="10">
        <v>19</v>
      </c>
      <c r="B23" s="19" t="s">
        <v>58</v>
      </c>
      <c r="C23" s="45">
        <v>0</v>
      </c>
      <c r="D23" s="44">
        <v>15</v>
      </c>
      <c r="E23" s="43">
        <f t="shared" si="0"/>
        <v>15</v>
      </c>
      <c r="F23" s="44"/>
      <c r="G23" s="44"/>
      <c r="H23" s="43">
        <v>2</v>
      </c>
      <c r="I23" s="44">
        <f t="shared" si="1"/>
        <v>13</v>
      </c>
      <c r="J23" s="20">
        <v>50</v>
      </c>
      <c r="K23" s="44">
        <f t="shared" si="2"/>
        <v>650</v>
      </c>
      <c r="L23" s="19"/>
    </row>
    <row r="24" spans="1:12" x14ac:dyDescent="0.65">
      <c r="A24" s="10">
        <v>20</v>
      </c>
      <c r="B24" s="19" t="s">
        <v>59</v>
      </c>
      <c r="C24" s="45">
        <v>0</v>
      </c>
      <c r="D24" s="44">
        <v>5</v>
      </c>
      <c r="E24" s="43">
        <f t="shared" si="0"/>
        <v>5</v>
      </c>
      <c r="F24" s="44"/>
      <c r="G24" s="44"/>
      <c r="H24" s="43">
        <v>2</v>
      </c>
      <c r="I24" s="44">
        <f t="shared" si="1"/>
        <v>3</v>
      </c>
      <c r="J24" s="20">
        <v>50</v>
      </c>
      <c r="K24" s="44">
        <f t="shared" si="2"/>
        <v>150</v>
      </c>
      <c r="L24" s="19"/>
    </row>
    <row r="25" spans="1:12" x14ac:dyDescent="0.65">
      <c r="A25" s="10">
        <v>21</v>
      </c>
      <c r="B25" s="19" t="s">
        <v>60</v>
      </c>
      <c r="C25" s="45">
        <v>0</v>
      </c>
      <c r="D25" s="44">
        <v>5</v>
      </c>
      <c r="E25" s="43">
        <f t="shared" si="0"/>
        <v>5</v>
      </c>
      <c r="F25" s="44"/>
      <c r="G25" s="44"/>
      <c r="H25" s="43">
        <v>0</v>
      </c>
      <c r="I25" s="44">
        <f t="shared" si="1"/>
        <v>5</v>
      </c>
      <c r="J25" s="20">
        <v>50</v>
      </c>
      <c r="K25" s="44">
        <f t="shared" si="2"/>
        <v>250</v>
      </c>
      <c r="L25" s="19"/>
    </row>
    <row r="26" spans="1:12" x14ac:dyDescent="0.65">
      <c r="A26" s="10">
        <v>22</v>
      </c>
      <c r="B26" s="19" t="s">
        <v>61</v>
      </c>
      <c r="C26" s="45">
        <v>0</v>
      </c>
      <c r="D26" s="44">
        <v>5</v>
      </c>
      <c r="E26" s="43">
        <f t="shared" si="0"/>
        <v>5</v>
      </c>
      <c r="F26" s="44"/>
      <c r="G26" s="44"/>
      <c r="H26" s="43">
        <v>0</v>
      </c>
      <c r="I26" s="44">
        <f t="shared" si="1"/>
        <v>5</v>
      </c>
      <c r="J26" s="20">
        <v>120</v>
      </c>
      <c r="K26" s="44">
        <f t="shared" si="2"/>
        <v>600</v>
      </c>
      <c r="L26" s="19"/>
    </row>
    <row r="27" spans="1:12" x14ac:dyDescent="0.65">
      <c r="A27" s="10">
        <v>23</v>
      </c>
      <c r="B27" s="19" t="s">
        <v>62</v>
      </c>
      <c r="C27" s="45">
        <v>0</v>
      </c>
      <c r="D27" s="44">
        <v>5</v>
      </c>
      <c r="E27" s="43">
        <f t="shared" si="0"/>
        <v>5</v>
      </c>
      <c r="F27" s="44"/>
      <c r="G27" s="44"/>
      <c r="H27" s="43">
        <v>1</v>
      </c>
      <c r="I27" s="44">
        <f t="shared" si="1"/>
        <v>4</v>
      </c>
      <c r="J27" s="20">
        <v>120</v>
      </c>
      <c r="K27" s="44">
        <f t="shared" si="2"/>
        <v>480</v>
      </c>
      <c r="L27" s="19"/>
    </row>
    <row r="28" spans="1:12" x14ac:dyDescent="0.65">
      <c r="A28" s="10">
        <v>24</v>
      </c>
      <c r="B28" s="19" t="s">
        <v>63</v>
      </c>
      <c r="C28" s="45">
        <v>0</v>
      </c>
      <c r="D28" s="44">
        <v>5</v>
      </c>
      <c r="E28" s="43">
        <f t="shared" si="0"/>
        <v>5</v>
      </c>
      <c r="F28" s="44"/>
      <c r="G28" s="44"/>
      <c r="H28" s="43">
        <v>5</v>
      </c>
      <c r="I28" s="44">
        <f t="shared" si="1"/>
        <v>0</v>
      </c>
      <c r="J28" s="20">
        <v>120</v>
      </c>
      <c r="K28" s="44">
        <f t="shared" si="2"/>
        <v>0</v>
      </c>
      <c r="L28" s="19"/>
    </row>
    <row r="29" spans="1:12" x14ac:dyDescent="0.65">
      <c r="A29" s="10">
        <v>25</v>
      </c>
      <c r="B29" s="19" t="s">
        <v>65</v>
      </c>
      <c r="C29" s="45">
        <v>0</v>
      </c>
      <c r="D29" s="44">
        <v>5</v>
      </c>
      <c r="E29" s="43">
        <f t="shared" si="0"/>
        <v>5</v>
      </c>
      <c r="F29" s="44"/>
      <c r="G29" s="44"/>
      <c r="H29" s="43">
        <v>0</v>
      </c>
      <c r="I29" s="44">
        <f t="shared" si="1"/>
        <v>5</v>
      </c>
      <c r="J29" s="20">
        <v>120</v>
      </c>
      <c r="K29" s="44">
        <f t="shared" si="2"/>
        <v>600</v>
      </c>
      <c r="L29" s="19"/>
    </row>
    <row r="30" spans="1:12" x14ac:dyDescent="0.65">
      <c r="A30" s="10">
        <v>26</v>
      </c>
      <c r="B30" s="19" t="s">
        <v>241</v>
      </c>
      <c r="C30" s="45">
        <v>0</v>
      </c>
      <c r="D30" s="44">
        <v>5</v>
      </c>
      <c r="E30" s="43">
        <f t="shared" si="0"/>
        <v>5</v>
      </c>
      <c r="F30" s="44"/>
      <c r="G30" s="44"/>
      <c r="H30" s="43">
        <v>1</v>
      </c>
      <c r="I30" s="44">
        <f t="shared" si="1"/>
        <v>4</v>
      </c>
      <c r="J30" s="20">
        <v>120</v>
      </c>
      <c r="K30" s="44">
        <f t="shared" si="2"/>
        <v>480</v>
      </c>
      <c r="L30" s="19"/>
    </row>
    <row r="31" spans="1:12" x14ac:dyDescent="0.65">
      <c r="A31" s="10">
        <v>27</v>
      </c>
      <c r="B31" s="19" t="s">
        <v>77</v>
      </c>
      <c r="C31" s="45">
        <v>0</v>
      </c>
      <c r="D31" s="44">
        <v>20</v>
      </c>
      <c r="E31" s="43">
        <f t="shared" si="0"/>
        <v>20</v>
      </c>
      <c r="F31" s="44"/>
      <c r="G31" s="44"/>
      <c r="H31" s="43">
        <v>1</v>
      </c>
      <c r="I31" s="44">
        <f t="shared" ref="I31:I41" si="4">+D31-H31</f>
        <v>19</v>
      </c>
      <c r="J31" s="20">
        <v>50</v>
      </c>
      <c r="K31" s="44">
        <f t="shared" ref="K31:K41" si="5">+I31*J31</f>
        <v>950</v>
      </c>
      <c r="L31" s="19"/>
    </row>
    <row r="32" spans="1:12" x14ac:dyDescent="0.65">
      <c r="A32" s="10">
        <v>28</v>
      </c>
      <c r="B32" s="19" t="s">
        <v>260</v>
      </c>
      <c r="C32" s="45">
        <v>0</v>
      </c>
      <c r="D32" s="44">
        <v>5</v>
      </c>
      <c r="E32" s="43">
        <f t="shared" si="0"/>
        <v>5</v>
      </c>
      <c r="F32" s="44"/>
      <c r="G32" s="44"/>
      <c r="H32" s="43">
        <v>0</v>
      </c>
      <c r="I32" s="44">
        <f t="shared" si="4"/>
        <v>5</v>
      </c>
      <c r="J32" s="20">
        <v>50</v>
      </c>
      <c r="K32" s="44">
        <f t="shared" si="5"/>
        <v>250</v>
      </c>
      <c r="L32" s="19"/>
    </row>
    <row r="33" spans="1:12" x14ac:dyDescent="0.65">
      <c r="A33" s="10">
        <v>29</v>
      </c>
      <c r="B33" s="19" t="s">
        <v>251</v>
      </c>
      <c r="C33" s="45">
        <v>0</v>
      </c>
      <c r="D33" s="44">
        <v>15</v>
      </c>
      <c r="E33" s="43">
        <f t="shared" ref="E33:E41" si="6">+C33+D33</f>
        <v>15</v>
      </c>
      <c r="F33" s="44"/>
      <c r="G33" s="44"/>
      <c r="H33" s="43">
        <v>0</v>
      </c>
      <c r="I33" s="44">
        <f t="shared" si="4"/>
        <v>15</v>
      </c>
      <c r="J33" s="20">
        <v>50</v>
      </c>
      <c r="K33" s="44">
        <f t="shared" si="5"/>
        <v>750</v>
      </c>
      <c r="L33" s="19"/>
    </row>
    <row r="34" spans="1:12" x14ac:dyDescent="0.65">
      <c r="A34" s="10">
        <v>30</v>
      </c>
      <c r="B34" s="19" t="s">
        <v>242</v>
      </c>
      <c r="C34" s="45">
        <v>0</v>
      </c>
      <c r="D34" s="44">
        <v>10</v>
      </c>
      <c r="E34" s="43">
        <f t="shared" si="6"/>
        <v>10</v>
      </c>
      <c r="F34" s="44"/>
      <c r="G34" s="44"/>
      <c r="H34" s="43">
        <v>6</v>
      </c>
      <c r="I34" s="44">
        <f t="shared" si="4"/>
        <v>4</v>
      </c>
      <c r="J34" s="20">
        <v>55</v>
      </c>
      <c r="K34" s="44">
        <f t="shared" si="5"/>
        <v>220</v>
      </c>
      <c r="L34" s="19"/>
    </row>
    <row r="35" spans="1:12" x14ac:dyDescent="0.65">
      <c r="A35" s="10">
        <v>31</v>
      </c>
      <c r="B35" s="19" t="s">
        <v>93</v>
      </c>
      <c r="C35" s="45">
        <v>0</v>
      </c>
      <c r="D35" s="44">
        <v>10</v>
      </c>
      <c r="E35" s="43">
        <f t="shared" si="6"/>
        <v>10</v>
      </c>
      <c r="F35" s="44"/>
      <c r="G35" s="44"/>
      <c r="H35" s="43">
        <v>0</v>
      </c>
      <c r="I35" s="44">
        <f t="shared" si="4"/>
        <v>10</v>
      </c>
      <c r="J35" s="20">
        <v>55</v>
      </c>
      <c r="K35" s="44">
        <f t="shared" si="5"/>
        <v>550</v>
      </c>
      <c r="L35" s="19"/>
    </row>
    <row r="36" spans="1:12" x14ac:dyDescent="0.65">
      <c r="A36" s="10">
        <v>32</v>
      </c>
      <c r="B36" s="19" t="s">
        <v>237</v>
      </c>
      <c r="C36" s="45">
        <v>0</v>
      </c>
      <c r="D36" s="44">
        <v>100</v>
      </c>
      <c r="E36" s="43">
        <f t="shared" si="6"/>
        <v>100</v>
      </c>
      <c r="F36" s="44"/>
      <c r="G36" s="44"/>
      <c r="H36" s="43">
        <v>0</v>
      </c>
      <c r="I36" s="44">
        <f t="shared" si="4"/>
        <v>100</v>
      </c>
      <c r="J36" s="20">
        <v>35</v>
      </c>
      <c r="K36" s="44">
        <f t="shared" si="5"/>
        <v>3500</v>
      </c>
      <c r="L36" s="19"/>
    </row>
    <row r="37" spans="1:12" x14ac:dyDescent="0.65">
      <c r="A37" s="10">
        <v>33</v>
      </c>
      <c r="B37" s="19" t="s">
        <v>243</v>
      </c>
      <c r="C37" s="45">
        <v>0</v>
      </c>
      <c r="D37" s="44">
        <v>10</v>
      </c>
      <c r="E37" s="43">
        <f t="shared" si="6"/>
        <v>10</v>
      </c>
      <c r="F37" s="44"/>
      <c r="G37" s="44"/>
      <c r="H37" s="43">
        <v>1</v>
      </c>
      <c r="I37" s="44">
        <f t="shared" si="4"/>
        <v>9</v>
      </c>
      <c r="J37" s="20">
        <v>100</v>
      </c>
      <c r="K37" s="44">
        <f t="shared" si="5"/>
        <v>900</v>
      </c>
      <c r="L37" s="19"/>
    </row>
    <row r="38" spans="1:12" x14ac:dyDescent="0.65">
      <c r="A38" s="10">
        <v>34</v>
      </c>
      <c r="B38" s="19" t="s">
        <v>244</v>
      </c>
      <c r="C38" s="45">
        <v>0</v>
      </c>
      <c r="D38" s="44">
        <v>20</v>
      </c>
      <c r="E38" s="43">
        <f t="shared" si="6"/>
        <v>20</v>
      </c>
      <c r="F38" s="44"/>
      <c r="G38" s="44"/>
      <c r="H38" s="43">
        <v>0</v>
      </c>
      <c r="I38" s="44">
        <f t="shared" si="4"/>
        <v>20</v>
      </c>
      <c r="J38" s="20">
        <v>55</v>
      </c>
      <c r="K38" s="44">
        <f t="shared" si="5"/>
        <v>1100</v>
      </c>
      <c r="L38" s="19"/>
    </row>
    <row r="39" spans="1:12" x14ac:dyDescent="0.65">
      <c r="A39" s="10">
        <v>35</v>
      </c>
      <c r="B39" s="19" t="s">
        <v>245</v>
      </c>
      <c r="C39" s="45">
        <v>0</v>
      </c>
      <c r="D39" s="44">
        <v>15</v>
      </c>
      <c r="E39" s="43">
        <f t="shared" si="6"/>
        <v>15</v>
      </c>
      <c r="F39" s="44"/>
      <c r="G39" s="44"/>
      <c r="H39" s="43">
        <v>1</v>
      </c>
      <c r="I39" s="44">
        <f t="shared" si="4"/>
        <v>14</v>
      </c>
      <c r="J39" s="20">
        <v>60</v>
      </c>
      <c r="K39" s="44">
        <f t="shared" si="5"/>
        <v>840</v>
      </c>
      <c r="L39" s="19"/>
    </row>
    <row r="40" spans="1:12" x14ac:dyDescent="0.65">
      <c r="A40" s="10">
        <v>36</v>
      </c>
      <c r="B40" s="19" t="s">
        <v>246</v>
      </c>
      <c r="C40" s="45">
        <v>0</v>
      </c>
      <c r="D40" s="44">
        <v>30</v>
      </c>
      <c r="E40" s="43">
        <f t="shared" si="6"/>
        <v>30</v>
      </c>
      <c r="F40" s="44"/>
      <c r="G40" s="44"/>
      <c r="H40" s="43">
        <v>4</v>
      </c>
      <c r="I40" s="44">
        <f t="shared" si="4"/>
        <v>26</v>
      </c>
      <c r="J40" s="20">
        <v>50</v>
      </c>
      <c r="K40" s="44">
        <f t="shared" si="5"/>
        <v>1300</v>
      </c>
      <c r="L40" s="19"/>
    </row>
    <row r="41" spans="1:12" x14ac:dyDescent="0.65">
      <c r="A41" s="10">
        <v>37</v>
      </c>
      <c r="B41" s="19" t="s">
        <v>247</v>
      </c>
      <c r="C41" s="45">
        <v>0</v>
      </c>
      <c r="D41" s="44">
        <v>5</v>
      </c>
      <c r="E41" s="43">
        <f t="shared" si="6"/>
        <v>5</v>
      </c>
      <c r="F41" s="44"/>
      <c r="G41" s="44"/>
      <c r="H41" s="43">
        <v>0</v>
      </c>
      <c r="I41" s="44">
        <f t="shared" si="4"/>
        <v>5</v>
      </c>
      <c r="J41" s="20">
        <v>50</v>
      </c>
      <c r="K41" s="44">
        <f t="shared" si="5"/>
        <v>250</v>
      </c>
      <c r="L41" s="19"/>
    </row>
    <row r="42" spans="1:12" x14ac:dyDescent="0.65">
      <c r="A42" s="10">
        <v>38</v>
      </c>
      <c r="B42" s="19" t="s">
        <v>248</v>
      </c>
      <c r="C42" s="45">
        <v>0</v>
      </c>
      <c r="D42" s="44">
        <v>10</v>
      </c>
      <c r="E42" s="43">
        <f t="shared" ref="E42:E44" si="7">+C42+D42</f>
        <v>10</v>
      </c>
      <c r="F42" s="44"/>
      <c r="G42" s="44"/>
      <c r="H42" s="43">
        <v>0</v>
      </c>
      <c r="I42" s="44">
        <f t="shared" ref="I42:I43" si="8">+D42-H42</f>
        <v>10</v>
      </c>
      <c r="J42" s="20">
        <v>25</v>
      </c>
      <c r="K42" s="44">
        <f t="shared" ref="K42:K44" si="9">+I42*J42</f>
        <v>250</v>
      </c>
      <c r="L42" s="19"/>
    </row>
    <row r="43" spans="1:12" x14ac:dyDescent="0.65">
      <c r="A43" s="10">
        <v>39</v>
      </c>
      <c r="B43" s="19" t="s">
        <v>249</v>
      </c>
      <c r="C43" s="45">
        <v>0</v>
      </c>
      <c r="D43" s="44">
        <v>10</v>
      </c>
      <c r="E43" s="43">
        <f t="shared" si="7"/>
        <v>10</v>
      </c>
      <c r="F43" s="44"/>
      <c r="G43" s="44"/>
      <c r="H43" s="43">
        <v>0</v>
      </c>
      <c r="I43" s="44">
        <f t="shared" si="8"/>
        <v>10</v>
      </c>
      <c r="J43" s="20">
        <v>25</v>
      </c>
      <c r="K43" s="44">
        <f t="shared" si="9"/>
        <v>250</v>
      </c>
      <c r="L43" s="19"/>
    </row>
    <row r="44" spans="1:12" x14ac:dyDescent="0.65">
      <c r="A44" s="10">
        <v>40</v>
      </c>
      <c r="B44" s="19" t="s">
        <v>250</v>
      </c>
      <c r="C44" s="45">
        <v>0</v>
      </c>
      <c r="D44" s="44">
        <v>30</v>
      </c>
      <c r="E44" s="43">
        <f t="shared" si="7"/>
        <v>30</v>
      </c>
      <c r="F44" s="44"/>
      <c r="G44" s="44"/>
      <c r="H44" s="43">
        <v>2</v>
      </c>
      <c r="I44" s="44">
        <f>+D44-H44</f>
        <v>28</v>
      </c>
      <c r="J44" s="20">
        <v>55</v>
      </c>
      <c r="K44" s="44">
        <f t="shared" si="9"/>
        <v>1540</v>
      </c>
      <c r="L44" s="19"/>
    </row>
    <row r="45" spans="1:12" s="46" customFormat="1" ht="27.75" customHeight="1" x14ac:dyDescent="0.75">
      <c r="A45" s="70" t="s">
        <v>216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2"/>
    </row>
    <row r="46" spans="1:12" s="47" customFormat="1" ht="25.5" customHeight="1" x14ac:dyDescent="0.7">
      <c r="A46" s="73" t="s">
        <v>217</v>
      </c>
      <c r="B46" s="74"/>
      <c r="C46" s="75" t="s">
        <v>233</v>
      </c>
      <c r="D46" s="76"/>
      <c r="E46" s="77" t="s">
        <v>218</v>
      </c>
      <c r="F46" s="78"/>
      <c r="G46" s="67"/>
      <c r="H46" s="79" t="s">
        <v>219</v>
      </c>
      <c r="I46" s="79"/>
      <c r="J46" s="79"/>
      <c r="K46" s="49">
        <f>SUM(K5:K44)</f>
        <v>23775</v>
      </c>
      <c r="L46" s="50" t="s">
        <v>215</v>
      </c>
    </row>
    <row r="47" spans="1:12" s="48" customFormat="1" ht="24.75" customHeight="1" x14ac:dyDescent="0.65">
      <c r="A47" s="51" t="s">
        <v>220</v>
      </c>
      <c r="B47" s="69">
        <f>+K49</f>
        <v>23775</v>
      </c>
      <c r="C47" s="52" t="s">
        <v>221</v>
      </c>
      <c r="D47" s="53">
        <f>+K46</f>
        <v>23775</v>
      </c>
      <c r="E47" s="54" t="s">
        <v>214</v>
      </c>
      <c r="F47" s="55">
        <v>0</v>
      </c>
      <c r="G47" s="55"/>
      <c r="H47" s="87"/>
      <c r="I47" s="87"/>
      <c r="J47" s="87"/>
      <c r="K47" s="57"/>
      <c r="L47" s="57">
        <f>35+155+50+500+200+50+50+185+50+50+135+110+50+160+50+200+125+150+150+35+50+275+60+100+215+500+65+185+195+185+85+100+105+105+200+240+380+155+100+35+125+100+105+110+300+100+200+100+100+310+205+55+55+50+560+200+2134.65</f>
        <v>10634.65</v>
      </c>
    </row>
    <row r="48" spans="1:12" s="48" customFormat="1" ht="24.75" customHeight="1" x14ac:dyDescent="0.65">
      <c r="A48" s="51"/>
      <c r="B48" s="69"/>
      <c r="C48" s="52" t="s">
        <v>222</v>
      </c>
      <c r="D48" s="53">
        <f>L49</f>
        <v>165</v>
      </c>
      <c r="E48" s="54" t="s">
        <v>264</v>
      </c>
      <c r="F48" s="58">
        <v>0</v>
      </c>
      <c r="G48" s="58"/>
      <c r="H48" s="87" t="s">
        <v>223</v>
      </c>
      <c r="I48" s="87"/>
      <c r="J48" s="87"/>
      <c r="K48" s="57"/>
      <c r="L48" s="57" t="s">
        <v>222</v>
      </c>
    </row>
    <row r="49" spans="1:13" s="48" customFormat="1" ht="24.75" customHeight="1" x14ac:dyDescent="0.65">
      <c r="A49" s="59" t="s">
        <v>10</v>
      </c>
      <c r="B49" s="69">
        <f>+D48</f>
        <v>165</v>
      </c>
      <c r="C49" s="52"/>
      <c r="D49" s="53"/>
      <c r="E49" s="54" t="s">
        <v>224</v>
      </c>
      <c r="F49" s="58">
        <v>0</v>
      </c>
      <c r="G49" s="68"/>
      <c r="H49" s="88" t="s">
        <v>225</v>
      </c>
      <c r="I49" s="89"/>
      <c r="J49" s="90"/>
      <c r="K49" s="57">
        <f>+K46-K47</f>
        <v>23775</v>
      </c>
      <c r="L49" s="60">
        <v>165</v>
      </c>
      <c r="M49" s="48" t="s">
        <v>263</v>
      </c>
    </row>
    <row r="50" spans="1:13" s="48" customFormat="1" ht="24.75" customHeight="1" thickBot="1" x14ac:dyDescent="0.7">
      <c r="A50" s="61" t="s">
        <v>226</v>
      </c>
      <c r="B50" s="69">
        <f>B47-B49</f>
        <v>23610</v>
      </c>
      <c r="C50" s="52" t="s">
        <v>226</v>
      </c>
      <c r="D50" s="53">
        <f>+D47-D48</f>
        <v>23610</v>
      </c>
      <c r="E50" s="54" t="s">
        <v>227</v>
      </c>
      <c r="F50" s="58">
        <f>SUM(F47:F49)</f>
        <v>0</v>
      </c>
      <c r="G50" s="58"/>
      <c r="H50" s="87" t="s">
        <v>265</v>
      </c>
      <c r="I50" s="87"/>
      <c r="J50" s="87"/>
      <c r="K50" s="57">
        <f>+F50</f>
        <v>0</v>
      </c>
      <c r="L50" s="56"/>
    </row>
    <row r="51" spans="1:13" s="48" customFormat="1" ht="24.75" customHeight="1" thickTop="1" x14ac:dyDescent="0.65">
      <c r="A51" s="62"/>
      <c r="B51" s="62"/>
      <c r="C51" s="52" t="s">
        <v>228</v>
      </c>
      <c r="D51" s="53">
        <v>100000</v>
      </c>
      <c r="H51" s="80" t="s">
        <v>208</v>
      </c>
      <c r="I51" s="81"/>
      <c r="J51" s="82"/>
      <c r="K51" s="57">
        <f>K49-K50-L47-L49</f>
        <v>12975.35</v>
      </c>
      <c r="L51" s="56"/>
    </row>
    <row r="52" spans="1:13" s="48" customFormat="1" ht="24.75" customHeight="1" x14ac:dyDescent="0.65">
      <c r="A52" s="62"/>
      <c r="B52" s="62"/>
      <c r="C52" s="52" t="s">
        <v>229</v>
      </c>
      <c r="D52" s="53">
        <f>D50-D51</f>
        <v>-76390</v>
      </c>
      <c r="H52" s="80" t="s">
        <v>209</v>
      </c>
      <c r="I52" s="81"/>
      <c r="J52" s="82"/>
      <c r="K52" s="57">
        <v>12980</v>
      </c>
      <c r="L52" s="56" t="s">
        <v>266</v>
      </c>
    </row>
    <row r="53" spans="1:13" s="48" customFormat="1" ht="24.75" customHeight="1" x14ac:dyDescent="0.65">
      <c r="A53" s="62"/>
      <c r="B53" s="62"/>
      <c r="C53" s="52" t="s">
        <v>230</v>
      </c>
      <c r="D53" s="53">
        <v>0</v>
      </c>
      <c r="H53" s="80" t="s">
        <v>210</v>
      </c>
      <c r="I53" s="81"/>
      <c r="J53" s="82"/>
      <c r="K53" s="57">
        <v>0</v>
      </c>
      <c r="L53" s="56"/>
    </row>
    <row r="54" spans="1:13" ht="24.75" customHeight="1" thickBot="1" x14ac:dyDescent="0.7">
      <c r="A54" s="62"/>
      <c r="B54" s="62"/>
      <c r="H54" s="83" t="s">
        <v>211</v>
      </c>
      <c r="I54" s="83"/>
      <c r="J54" s="83"/>
      <c r="K54" s="63">
        <f>+K52-K51</f>
        <v>4.6499999999996362</v>
      </c>
      <c r="L54" s="66"/>
    </row>
    <row r="55" spans="1:13" ht="24.75" customHeight="1" thickBot="1" x14ac:dyDescent="0.7">
      <c r="F55" s="84" t="s">
        <v>231</v>
      </c>
      <c r="G55" s="85"/>
      <c r="H55" s="85"/>
      <c r="I55" s="85"/>
      <c r="J55" s="85"/>
      <c r="K55" s="85"/>
      <c r="L55" s="86"/>
    </row>
    <row r="56" spans="1:13" x14ac:dyDescent="0.65">
      <c r="D56" s="23"/>
    </row>
  </sheetData>
  <autoFilter ref="A4:L55" xr:uid="{C258BCB2-AD6B-4EC8-A3B2-59814A6857B7}"/>
  <mergeCells count="24">
    <mergeCell ref="L3:L4"/>
    <mergeCell ref="A2:L2"/>
    <mergeCell ref="A3:A4"/>
    <mergeCell ref="B3:B4"/>
    <mergeCell ref="C3:C4"/>
    <mergeCell ref="D3:D4"/>
    <mergeCell ref="E3:E4"/>
    <mergeCell ref="G3:G4"/>
    <mergeCell ref="H3:H4"/>
    <mergeCell ref="I3:K3"/>
    <mergeCell ref="H53:J53"/>
    <mergeCell ref="H54:J54"/>
    <mergeCell ref="F55:L55"/>
    <mergeCell ref="H47:J47"/>
    <mergeCell ref="H48:J48"/>
    <mergeCell ref="H49:J49"/>
    <mergeCell ref="H50:J50"/>
    <mergeCell ref="H51:J51"/>
    <mergeCell ref="H52:J52"/>
    <mergeCell ref="A45:L45"/>
    <mergeCell ref="A46:B46"/>
    <mergeCell ref="C46:D46"/>
    <mergeCell ref="E46:F46"/>
    <mergeCell ref="H46:J46"/>
  </mergeCells>
  <pageMargins left="0.12" right="0.12" top="0.12" bottom="0.12" header="0.12" footer="0.12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09" t="s">
        <v>236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O2" s="110" t="s">
        <v>0</v>
      </c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 spans="1:26" s="5" customFormat="1" ht="26.4" x14ac:dyDescent="0.7">
      <c r="A3" s="108" t="s">
        <v>1</v>
      </c>
      <c r="B3" s="108" t="s">
        <v>2</v>
      </c>
      <c r="C3" s="105" t="s">
        <v>3</v>
      </c>
      <c r="D3" s="105" t="s">
        <v>4</v>
      </c>
      <c r="E3" s="105" t="s">
        <v>5</v>
      </c>
      <c r="F3" s="4" t="s">
        <v>6</v>
      </c>
      <c r="G3" s="111" t="s">
        <v>7</v>
      </c>
      <c r="H3" s="113" t="s">
        <v>8</v>
      </c>
      <c r="I3" s="114"/>
      <c r="J3" s="115"/>
      <c r="K3" s="116" t="s">
        <v>9</v>
      </c>
      <c r="L3" s="101" t="s">
        <v>10</v>
      </c>
      <c r="O3" s="108" t="s">
        <v>1</v>
      </c>
      <c r="P3" s="108" t="s">
        <v>2</v>
      </c>
      <c r="Q3" s="105" t="s">
        <v>3</v>
      </c>
      <c r="R3" s="105" t="s">
        <v>4</v>
      </c>
      <c r="S3" s="105" t="s">
        <v>5</v>
      </c>
      <c r="T3" s="4" t="s">
        <v>6</v>
      </c>
      <c r="U3" s="111" t="s">
        <v>7</v>
      </c>
      <c r="V3" s="113" t="s">
        <v>8</v>
      </c>
      <c r="W3" s="114"/>
      <c r="X3" s="115"/>
      <c r="Y3" s="116" t="s">
        <v>9</v>
      </c>
      <c r="Z3" s="101" t="s">
        <v>10</v>
      </c>
    </row>
    <row r="4" spans="1:26" s="5" customFormat="1" ht="27" thickBot="1" x14ac:dyDescent="0.75">
      <c r="A4" s="108"/>
      <c r="B4" s="108"/>
      <c r="C4" s="106"/>
      <c r="D4" s="106"/>
      <c r="E4" s="106"/>
      <c r="F4" s="6" t="s">
        <v>11</v>
      </c>
      <c r="G4" s="112"/>
      <c r="H4" s="7" t="s">
        <v>12</v>
      </c>
      <c r="I4" s="8" t="s">
        <v>13</v>
      </c>
      <c r="J4" s="9" t="s">
        <v>14</v>
      </c>
      <c r="K4" s="117"/>
      <c r="L4" s="101"/>
      <c r="O4" s="108"/>
      <c r="P4" s="108"/>
      <c r="Q4" s="106"/>
      <c r="R4" s="106"/>
      <c r="S4" s="106"/>
      <c r="T4" s="6" t="s">
        <v>11</v>
      </c>
      <c r="U4" s="112"/>
      <c r="V4" s="7" t="s">
        <v>12</v>
      </c>
      <c r="W4" s="8" t="s">
        <v>13</v>
      </c>
      <c r="X4" s="9" t="s">
        <v>14</v>
      </c>
      <c r="Y4" s="117"/>
      <c r="Z4" s="10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4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4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4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4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4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4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4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4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4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4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4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4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4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4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4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4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4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4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4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4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4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4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4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4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4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4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4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4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4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4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4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4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4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4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4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4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4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4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4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4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4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4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4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4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4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4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4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4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4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4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4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4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4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4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4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4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4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4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4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4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4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4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4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4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4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4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4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4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4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4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4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4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4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4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4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4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02" t="s">
        <v>119</v>
      </c>
      <c r="Q107" s="103"/>
      <c r="R107" s="103"/>
      <c r="S107" s="103"/>
      <c r="T107" s="103"/>
      <c r="U107" s="103"/>
      <c r="V107" s="103"/>
      <c r="W107" s="10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4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4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4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4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4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4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4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4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4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4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4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4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4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4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4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4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4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4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4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4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4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4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4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4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4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4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4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4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4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4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4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4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4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4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4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4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4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4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4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4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4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4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4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4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4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4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4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4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4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4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4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4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4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4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4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4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4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4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4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4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4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4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4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4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4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4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4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4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4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4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4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4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4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4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232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4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234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4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235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4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237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4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238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4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239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4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4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4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4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4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4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4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4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4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4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07" t="s">
        <v>213</v>
      </c>
      <c r="N205" s="10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98" t="s">
        <v>212</v>
      </c>
      <c r="I206" s="99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00" t="s">
        <v>202</v>
      </c>
      <c r="J207" s="100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96" t="s">
        <v>203</v>
      </c>
      <c r="J208" s="97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96" t="s">
        <v>205</v>
      </c>
      <c r="J210" s="97"/>
      <c r="K210" s="36">
        <v>0</v>
      </c>
    </row>
    <row r="211" spans="1:11" ht="24.6" x14ac:dyDescent="0.65">
      <c r="A211" s="1"/>
      <c r="C211" s="31"/>
      <c r="E211" s="31"/>
      <c r="G211" s="31"/>
      <c r="I211" s="96" t="s">
        <v>206</v>
      </c>
      <c r="J211" s="97"/>
      <c r="K211" s="36">
        <v>0</v>
      </c>
    </row>
    <row r="212" spans="1:11" ht="24.6" x14ac:dyDescent="0.65">
      <c r="A212" s="1"/>
      <c r="C212" s="31"/>
      <c r="E212" s="31"/>
      <c r="G212" s="31"/>
      <c r="I212" s="96" t="s">
        <v>207</v>
      </c>
      <c r="J212" s="97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96" t="s">
        <v>208</v>
      </c>
      <c r="J213" s="97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96" t="s">
        <v>209</v>
      </c>
      <c r="J214" s="97"/>
      <c r="K214" s="37">
        <v>0</v>
      </c>
    </row>
    <row r="215" spans="1:11" ht="24.6" x14ac:dyDescent="0.65">
      <c r="A215" s="1"/>
      <c r="C215" s="31"/>
      <c r="E215" s="31"/>
      <c r="G215" s="31"/>
      <c r="I215" s="96" t="s">
        <v>210</v>
      </c>
      <c r="J215" s="97"/>
      <c r="K215" s="33">
        <f>+K214-K213</f>
        <v>0</v>
      </c>
    </row>
    <row r="216" spans="1:11" ht="24.6" x14ac:dyDescent="0.65">
      <c r="G216" s="2"/>
      <c r="I216" s="96" t="s">
        <v>211</v>
      </c>
      <c r="J216" s="97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สรุป</vt:lpstr>
      <vt:lpstr>31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2024-09-06T06:40:40Z</cp:lastPrinted>
  <dcterms:created xsi:type="dcterms:W3CDTF">2023-12-01T06:41:03Z</dcterms:created>
  <dcterms:modified xsi:type="dcterms:W3CDTF">2024-10-16T02:00:53Z</dcterms:modified>
</cp:coreProperties>
</file>