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3.งานบูธ\Stock บูธ\ปี 67\12.ธ.ค\"/>
    </mc:Choice>
  </mc:AlternateContent>
  <xr:revisionPtr revIDLastSave="0" documentId="13_ncr:1_{872D6B28-958A-43B0-A800-027506BF944D}" xr6:coauthVersionLast="47" xr6:coauthVersionMax="47" xr10:uidLastSave="{00000000-0000-0000-0000-000000000000}"/>
  <bookViews>
    <workbookView xWindow="-108" yWindow="-108" windowWidth="23256" windowHeight="13896" tabRatio="936" activeTab="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สรุปการขาย" sheetId="109" r:id="rId4"/>
    <sheet name="ค่าเช่าบูธ" sheetId="111" r:id="rId5"/>
    <sheet name="ค่าแรงพนักงาน" sheetId="110" r:id="rId6"/>
    <sheet name="ยกมา" sheetId="74" r:id="rId7"/>
    <sheet name="30" sheetId="77" r:id="rId8"/>
    <sheet name="1" sheetId="78" r:id="rId9"/>
    <sheet name="2" sheetId="79" r:id="rId10"/>
    <sheet name="3" sheetId="80" r:id="rId11"/>
    <sheet name="4" sheetId="81" r:id="rId12"/>
    <sheet name="5" sheetId="82" r:id="rId13"/>
    <sheet name="6" sheetId="83" r:id="rId14"/>
    <sheet name="7" sheetId="84" r:id="rId15"/>
    <sheet name="8" sheetId="85" r:id="rId16"/>
    <sheet name="9" sheetId="86" r:id="rId17"/>
    <sheet name="10" sheetId="87" r:id="rId18"/>
    <sheet name="31" sheetId="64" state="hidden" r:id="rId19"/>
  </sheets>
  <definedNames>
    <definedName name="_xlnm._FilterDatabase" localSheetId="8" hidden="1">'1'!$A$1:$S$271</definedName>
    <definedName name="_xlnm._FilterDatabase" localSheetId="17" hidden="1">'10'!$A$1:$S$271</definedName>
    <definedName name="_xlnm._FilterDatabase" localSheetId="9" hidden="1">'2'!$A$1:$S$271</definedName>
    <definedName name="_xlnm._FilterDatabase" localSheetId="10" hidden="1">'3'!$A$1:$S$271</definedName>
    <definedName name="_xlnm._FilterDatabase" localSheetId="7" hidden="1">'30'!$A$1:$S$271</definedName>
    <definedName name="_xlnm._FilterDatabase" localSheetId="18" hidden="1">'31'!$A$1:$Y$216</definedName>
    <definedName name="_xlnm._FilterDatabase" localSheetId="11" hidden="1">'4'!$A$1:$S$271</definedName>
    <definedName name="_xlnm._FilterDatabase" localSheetId="12" hidden="1">'5'!$A$1:$S$271</definedName>
    <definedName name="_xlnm._FilterDatabase" localSheetId="13" hidden="1">'6'!$A$1:$S$271</definedName>
    <definedName name="_xlnm._FilterDatabase" localSheetId="14" hidden="1">'7'!$A$1:$S$271</definedName>
    <definedName name="_xlnm._FilterDatabase" localSheetId="15" hidden="1">'8'!$A$1:$S$271</definedName>
    <definedName name="_xlnm._FilterDatabase" localSheetId="16" hidden="1">'9'!$A$1:$S$271</definedName>
    <definedName name="_xlnm._FilterDatabase" localSheetId="0" hidden="1">'DATA POS'!$A$1:$J$536</definedName>
    <definedName name="_xlnm._FilterDatabase" localSheetId="6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11" l="1"/>
  <c r="C14" i="111"/>
  <c r="C7" i="109"/>
  <c r="C15" i="111"/>
  <c r="D8" i="111"/>
  <c r="I3" i="111" s="1"/>
  <c r="C8" i="111"/>
  <c r="E4" i="111"/>
  <c r="E5" i="111"/>
  <c r="E6" i="111"/>
  <c r="E7" i="111"/>
  <c r="E3" i="111"/>
  <c r="E8" i="111" s="1"/>
  <c r="C3" i="110"/>
  <c r="C6" i="110" s="1"/>
  <c r="C4" i="109" s="1"/>
  <c r="C4" i="110"/>
  <c r="C5" i="110"/>
  <c r="I2" i="111" l="1"/>
  <c r="I4" i="111"/>
  <c r="Y7" i="8" l="1"/>
  <c r="N269" i="87"/>
  <c r="K207" i="87"/>
  <c r="O163" i="87"/>
  <c r="K39" i="87"/>
  <c r="O198" i="87"/>
  <c r="O243" i="87"/>
  <c r="O88" i="87"/>
  <c r="M94" i="87"/>
  <c r="P94" i="87" s="1"/>
  <c r="O6" i="87"/>
  <c r="K6" i="87"/>
  <c r="M94" i="86"/>
  <c r="P94" i="86" s="1"/>
  <c r="K170" i="86"/>
  <c r="O102" i="85"/>
  <c r="O207" i="86"/>
  <c r="O198" i="86"/>
  <c r="O163" i="86"/>
  <c r="M94" i="85" l="1"/>
  <c r="P94" i="85" s="1"/>
  <c r="O207" i="85"/>
  <c r="K207" i="85"/>
  <c r="O198" i="85"/>
  <c r="M94" i="84" l="1"/>
  <c r="P94" i="84" s="1"/>
  <c r="O198" i="84"/>
  <c r="K198" i="84"/>
  <c r="O102" i="84"/>
  <c r="K102" i="84"/>
  <c r="O207" i="84"/>
  <c r="M94" i="83"/>
  <c r="P94" i="83" s="1"/>
  <c r="O102" i="83"/>
  <c r="K102" i="83"/>
  <c r="O198" i="83"/>
  <c r="M74" i="82"/>
  <c r="O198" i="82"/>
  <c r="O155" i="82"/>
  <c r="M94" i="82"/>
  <c r="P94" i="82" s="1"/>
  <c r="O102" i="82"/>
  <c r="O96" i="82"/>
  <c r="N264" i="82"/>
  <c r="O102" i="81"/>
  <c r="O96" i="81"/>
  <c r="M94" i="81"/>
  <c r="P94" i="81" s="1"/>
  <c r="O88" i="81"/>
  <c r="O87" i="81"/>
  <c r="O198" i="81"/>
  <c r="O102" i="80"/>
  <c r="P94" i="80" l="1"/>
  <c r="O88" i="80"/>
  <c r="O87" i="80"/>
  <c r="O96" i="80"/>
  <c r="R45" i="80"/>
  <c r="N264" i="78"/>
  <c r="M94" i="77"/>
  <c r="N264" i="79"/>
  <c r="N264" i="77"/>
  <c r="O96" i="79"/>
  <c r="P94" i="79"/>
  <c r="O88" i="79"/>
  <c r="O87" i="79"/>
  <c r="O96" i="78" l="1"/>
  <c r="R45" i="78"/>
  <c r="M94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P94" i="8" s="1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242" i="8"/>
  <c r="P242" i="8" s="1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P250" i="8" s="1"/>
  <c r="K251" i="8"/>
  <c r="P251" i="8" s="1"/>
  <c r="K252" i="8"/>
  <c r="P252" i="8" s="1"/>
  <c r="K253" i="8"/>
  <c r="P253" i="8" s="1"/>
  <c r="K254" i="8"/>
  <c r="K255" i="8"/>
  <c r="K256" i="8"/>
  <c r="K257" i="8"/>
  <c r="P257" i="8" s="1"/>
  <c r="K258" i="8"/>
  <c r="K259" i="8"/>
  <c r="P259" i="8" s="1"/>
  <c r="F6" i="8"/>
  <c r="H6" i="8"/>
  <c r="I6" i="8"/>
  <c r="F7" i="8"/>
  <c r="H7" i="8"/>
  <c r="I7" i="8"/>
  <c r="F8" i="8"/>
  <c r="H8" i="8"/>
  <c r="I8" i="8"/>
  <c r="F9" i="8"/>
  <c r="H9" i="8"/>
  <c r="I9" i="8"/>
  <c r="F10" i="8"/>
  <c r="H10" i="8"/>
  <c r="I10" i="8"/>
  <c r="F11" i="8"/>
  <c r="H11" i="8"/>
  <c r="I11" i="8"/>
  <c r="F12" i="8"/>
  <c r="H12" i="8"/>
  <c r="I12" i="8"/>
  <c r="F13" i="8"/>
  <c r="H13" i="8"/>
  <c r="I13" i="8"/>
  <c r="F14" i="8"/>
  <c r="H14" i="8"/>
  <c r="I14" i="8"/>
  <c r="F15" i="8"/>
  <c r="H15" i="8"/>
  <c r="I15" i="8"/>
  <c r="F16" i="8"/>
  <c r="H16" i="8"/>
  <c r="I16" i="8"/>
  <c r="F17" i="8"/>
  <c r="H17" i="8"/>
  <c r="I17" i="8"/>
  <c r="F18" i="8"/>
  <c r="H18" i="8"/>
  <c r="I18" i="8"/>
  <c r="F19" i="8"/>
  <c r="H19" i="8"/>
  <c r="I19" i="8"/>
  <c r="F20" i="8"/>
  <c r="H20" i="8"/>
  <c r="I20" i="8"/>
  <c r="F21" i="8"/>
  <c r="H21" i="8"/>
  <c r="I21" i="8"/>
  <c r="F22" i="8"/>
  <c r="H22" i="8"/>
  <c r="I22" i="8"/>
  <c r="F23" i="8"/>
  <c r="H23" i="8"/>
  <c r="I23" i="8"/>
  <c r="F24" i="8"/>
  <c r="H24" i="8"/>
  <c r="I24" i="8"/>
  <c r="F25" i="8"/>
  <c r="H25" i="8"/>
  <c r="I25" i="8"/>
  <c r="F26" i="8"/>
  <c r="H26" i="8"/>
  <c r="I26" i="8"/>
  <c r="F27" i="8"/>
  <c r="H27" i="8"/>
  <c r="I27" i="8"/>
  <c r="F28" i="8"/>
  <c r="H28" i="8"/>
  <c r="I28" i="8"/>
  <c r="F29" i="8"/>
  <c r="H29" i="8"/>
  <c r="I29" i="8"/>
  <c r="F30" i="8"/>
  <c r="H30" i="8"/>
  <c r="I30" i="8"/>
  <c r="F31" i="8"/>
  <c r="H31" i="8"/>
  <c r="I31" i="8"/>
  <c r="F32" i="8"/>
  <c r="H32" i="8"/>
  <c r="I32" i="8"/>
  <c r="F33" i="8"/>
  <c r="H33" i="8"/>
  <c r="I33" i="8"/>
  <c r="F34" i="8"/>
  <c r="H34" i="8"/>
  <c r="I34" i="8"/>
  <c r="F35" i="8"/>
  <c r="H35" i="8"/>
  <c r="I35" i="8"/>
  <c r="F36" i="8"/>
  <c r="H36" i="8"/>
  <c r="I36" i="8"/>
  <c r="F37" i="8"/>
  <c r="H37" i="8"/>
  <c r="I37" i="8"/>
  <c r="F38" i="8"/>
  <c r="H38" i="8"/>
  <c r="I38" i="8"/>
  <c r="F39" i="8"/>
  <c r="H39" i="8"/>
  <c r="I39" i="8"/>
  <c r="F40" i="8"/>
  <c r="H40" i="8"/>
  <c r="I40" i="8"/>
  <c r="F41" i="8"/>
  <c r="H41" i="8"/>
  <c r="I41" i="8"/>
  <c r="F42" i="8"/>
  <c r="H42" i="8"/>
  <c r="I42" i="8"/>
  <c r="F43" i="8"/>
  <c r="H43" i="8"/>
  <c r="I43" i="8"/>
  <c r="F44" i="8"/>
  <c r="H44" i="8"/>
  <c r="I44" i="8"/>
  <c r="F45" i="8"/>
  <c r="H45" i="8"/>
  <c r="I45" i="8"/>
  <c r="F46" i="8"/>
  <c r="H46" i="8"/>
  <c r="I46" i="8"/>
  <c r="F47" i="8"/>
  <c r="H47" i="8"/>
  <c r="I47" i="8"/>
  <c r="F48" i="8"/>
  <c r="H48" i="8"/>
  <c r="I48" i="8"/>
  <c r="F49" i="8"/>
  <c r="H49" i="8"/>
  <c r="I49" i="8"/>
  <c r="F50" i="8"/>
  <c r="H50" i="8"/>
  <c r="I50" i="8"/>
  <c r="F51" i="8"/>
  <c r="H51" i="8"/>
  <c r="I51" i="8"/>
  <c r="F52" i="8"/>
  <c r="H52" i="8"/>
  <c r="I52" i="8"/>
  <c r="F53" i="8"/>
  <c r="H53" i="8"/>
  <c r="I53" i="8"/>
  <c r="F54" i="8"/>
  <c r="H54" i="8"/>
  <c r="I54" i="8"/>
  <c r="F55" i="8"/>
  <c r="H55" i="8"/>
  <c r="I55" i="8"/>
  <c r="F56" i="8"/>
  <c r="H56" i="8"/>
  <c r="I56" i="8"/>
  <c r="F57" i="8"/>
  <c r="H57" i="8"/>
  <c r="I57" i="8"/>
  <c r="F58" i="8"/>
  <c r="H58" i="8"/>
  <c r="I58" i="8"/>
  <c r="F59" i="8"/>
  <c r="H59" i="8"/>
  <c r="I59" i="8"/>
  <c r="F60" i="8"/>
  <c r="H60" i="8"/>
  <c r="I60" i="8"/>
  <c r="F61" i="8"/>
  <c r="H61" i="8"/>
  <c r="I61" i="8"/>
  <c r="F62" i="8"/>
  <c r="H62" i="8"/>
  <c r="I62" i="8"/>
  <c r="F63" i="8"/>
  <c r="H63" i="8"/>
  <c r="I63" i="8"/>
  <c r="F64" i="8"/>
  <c r="H64" i="8"/>
  <c r="I64" i="8"/>
  <c r="F65" i="8"/>
  <c r="H65" i="8"/>
  <c r="I65" i="8"/>
  <c r="F66" i="8"/>
  <c r="H66" i="8"/>
  <c r="I66" i="8"/>
  <c r="F67" i="8"/>
  <c r="H67" i="8"/>
  <c r="I67" i="8"/>
  <c r="F68" i="8"/>
  <c r="H68" i="8"/>
  <c r="I68" i="8"/>
  <c r="F69" i="8"/>
  <c r="H69" i="8"/>
  <c r="I69" i="8"/>
  <c r="F70" i="8"/>
  <c r="H70" i="8"/>
  <c r="I70" i="8"/>
  <c r="F71" i="8"/>
  <c r="H71" i="8"/>
  <c r="I71" i="8"/>
  <c r="F72" i="8"/>
  <c r="H72" i="8"/>
  <c r="I72" i="8"/>
  <c r="F73" i="8"/>
  <c r="H73" i="8"/>
  <c r="I73" i="8"/>
  <c r="F74" i="8"/>
  <c r="H74" i="8"/>
  <c r="I74" i="8"/>
  <c r="F75" i="8"/>
  <c r="H75" i="8"/>
  <c r="I75" i="8"/>
  <c r="F76" i="8"/>
  <c r="G76" i="8" s="1"/>
  <c r="H76" i="8"/>
  <c r="I76" i="8"/>
  <c r="F77" i="8"/>
  <c r="H77" i="8"/>
  <c r="I77" i="8"/>
  <c r="F78" i="8"/>
  <c r="H78" i="8"/>
  <c r="I78" i="8"/>
  <c r="F79" i="8"/>
  <c r="H79" i="8"/>
  <c r="I79" i="8"/>
  <c r="F80" i="8"/>
  <c r="H80" i="8"/>
  <c r="I80" i="8"/>
  <c r="F81" i="8"/>
  <c r="H81" i="8"/>
  <c r="I81" i="8"/>
  <c r="F82" i="8"/>
  <c r="H82" i="8"/>
  <c r="I82" i="8"/>
  <c r="F83" i="8"/>
  <c r="H83" i="8"/>
  <c r="I83" i="8"/>
  <c r="F84" i="8"/>
  <c r="H84" i="8"/>
  <c r="I84" i="8"/>
  <c r="F85" i="8"/>
  <c r="H85" i="8"/>
  <c r="I85" i="8"/>
  <c r="F86" i="8"/>
  <c r="H86" i="8"/>
  <c r="I86" i="8"/>
  <c r="F87" i="8"/>
  <c r="H87" i="8"/>
  <c r="I87" i="8"/>
  <c r="F88" i="8"/>
  <c r="H88" i="8"/>
  <c r="I88" i="8"/>
  <c r="F89" i="8"/>
  <c r="H89" i="8"/>
  <c r="I89" i="8"/>
  <c r="F90" i="8"/>
  <c r="H90" i="8"/>
  <c r="I90" i="8"/>
  <c r="F91" i="8"/>
  <c r="H91" i="8"/>
  <c r="I91" i="8"/>
  <c r="F92" i="8"/>
  <c r="H92" i="8"/>
  <c r="I92" i="8"/>
  <c r="F93" i="8"/>
  <c r="H93" i="8"/>
  <c r="I93" i="8"/>
  <c r="F94" i="8"/>
  <c r="H94" i="8"/>
  <c r="I94" i="8"/>
  <c r="F95" i="8"/>
  <c r="H95" i="8"/>
  <c r="I95" i="8"/>
  <c r="F96" i="8"/>
  <c r="H96" i="8"/>
  <c r="I96" i="8"/>
  <c r="F97" i="8"/>
  <c r="H97" i="8"/>
  <c r="I97" i="8"/>
  <c r="F98" i="8"/>
  <c r="H98" i="8"/>
  <c r="I98" i="8"/>
  <c r="F99" i="8"/>
  <c r="H99" i="8"/>
  <c r="I99" i="8"/>
  <c r="F100" i="8"/>
  <c r="H100" i="8"/>
  <c r="I100" i="8"/>
  <c r="F101" i="8"/>
  <c r="H101" i="8"/>
  <c r="I101" i="8"/>
  <c r="F102" i="8"/>
  <c r="H102" i="8"/>
  <c r="I102" i="8"/>
  <c r="F103" i="8"/>
  <c r="H103" i="8"/>
  <c r="I103" i="8"/>
  <c r="F104" i="8"/>
  <c r="H104" i="8"/>
  <c r="I104" i="8"/>
  <c r="F105" i="8"/>
  <c r="H105" i="8"/>
  <c r="I105" i="8"/>
  <c r="F106" i="8"/>
  <c r="H106" i="8"/>
  <c r="I106" i="8"/>
  <c r="F107" i="8"/>
  <c r="H107" i="8"/>
  <c r="I107" i="8"/>
  <c r="F108" i="8"/>
  <c r="H108" i="8"/>
  <c r="I108" i="8"/>
  <c r="F109" i="8"/>
  <c r="H109" i="8"/>
  <c r="I109" i="8"/>
  <c r="F110" i="8"/>
  <c r="H110" i="8"/>
  <c r="I110" i="8"/>
  <c r="F111" i="8"/>
  <c r="H111" i="8"/>
  <c r="I111" i="8"/>
  <c r="F112" i="8"/>
  <c r="H112" i="8"/>
  <c r="I112" i="8"/>
  <c r="F113" i="8"/>
  <c r="H113" i="8"/>
  <c r="I113" i="8"/>
  <c r="F114" i="8"/>
  <c r="H114" i="8"/>
  <c r="I114" i="8"/>
  <c r="F115" i="8"/>
  <c r="H115" i="8"/>
  <c r="I115" i="8"/>
  <c r="F116" i="8"/>
  <c r="H116" i="8"/>
  <c r="I116" i="8"/>
  <c r="F117" i="8"/>
  <c r="H117" i="8"/>
  <c r="I117" i="8"/>
  <c r="F118" i="8"/>
  <c r="H118" i="8"/>
  <c r="I118" i="8"/>
  <c r="F119" i="8"/>
  <c r="H119" i="8"/>
  <c r="I119" i="8"/>
  <c r="F120" i="8"/>
  <c r="H120" i="8"/>
  <c r="I120" i="8"/>
  <c r="F121" i="8"/>
  <c r="H121" i="8"/>
  <c r="I121" i="8"/>
  <c r="F122" i="8"/>
  <c r="H122" i="8"/>
  <c r="I122" i="8"/>
  <c r="F123" i="8"/>
  <c r="H123" i="8"/>
  <c r="I123" i="8"/>
  <c r="F124" i="8"/>
  <c r="H124" i="8"/>
  <c r="I124" i="8"/>
  <c r="F125" i="8"/>
  <c r="H125" i="8"/>
  <c r="I125" i="8"/>
  <c r="F126" i="8"/>
  <c r="H126" i="8"/>
  <c r="I126" i="8"/>
  <c r="F127" i="8"/>
  <c r="H127" i="8"/>
  <c r="I127" i="8"/>
  <c r="F128" i="8"/>
  <c r="H128" i="8"/>
  <c r="I128" i="8"/>
  <c r="F129" i="8"/>
  <c r="H129" i="8"/>
  <c r="I129" i="8"/>
  <c r="F130" i="8"/>
  <c r="H130" i="8"/>
  <c r="I130" i="8"/>
  <c r="F131" i="8"/>
  <c r="H131" i="8"/>
  <c r="I131" i="8"/>
  <c r="F132" i="8"/>
  <c r="H132" i="8"/>
  <c r="I132" i="8"/>
  <c r="F133" i="8"/>
  <c r="H133" i="8"/>
  <c r="I133" i="8"/>
  <c r="F134" i="8"/>
  <c r="H134" i="8"/>
  <c r="I134" i="8"/>
  <c r="F135" i="8"/>
  <c r="H135" i="8"/>
  <c r="I135" i="8"/>
  <c r="F136" i="8"/>
  <c r="H136" i="8"/>
  <c r="I136" i="8"/>
  <c r="F137" i="8"/>
  <c r="H137" i="8"/>
  <c r="I137" i="8"/>
  <c r="F138" i="8"/>
  <c r="H138" i="8"/>
  <c r="I138" i="8"/>
  <c r="F139" i="8"/>
  <c r="H139" i="8"/>
  <c r="I139" i="8"/>
  <c r="F140" i="8"/>
  <c r="H140" i="8"/>
  <c r="I140" i="8"/>
  <c r="F141" i="8"/>
  <c r="H141" i="8"/>
  <c r="I141" i="8"/>
  <c r="F142" i="8"/>
  <c r="H142" i="8"/>
  <c r="I142" i="8"/>
  <c r="F143" i="8"/>
  <c r="H143" i="8"/>
  <c r="I143" i="8"/>
  <c r="F144" i="8"/>
  <c r="H144" i="8"/>
  <c r="I144" i="8"/>
  <c r="F145" i="8"/>
  <c r="H145" i="8"/>
  <c r="I145" i="8"/>
  <c r="F146" i="8"/>
  <c r="H146" i="8"/>
  <c r="I146" i="8"/>
  <c r="F147" i="8"/>
  <c r="H147" i="8"/>
  <c r="I147" i="8"/>
  <c r="F148" i="8"/>
  <c r="H148" i="8"/>
  <c r="I148" i="8"/>
  <c r="F149" i="8"/>
  <c r="H149" i="8"/>
  <c r="I149" i="8"/>
  <c r="F150" i="8"/>
  <c r="H150" i="8"/>
  <c r="I150" i="8"/>
  <c r="F151" i="8"/>
  <c r="H151" i="8"/>
  <c r="I151" i="8"/>
  <c r="F152" i="8"/>
  <c r="H152" i="8"/>
  <c r="I152" i="8"/>
  <c r="F153" i="8"/>
  <c r="H153" i="8"/>
  <c r="I153" i="8"/>
  <c r="F154" i="8"/>
  <c r="H154" i="8"/>
  <c r="I154" i="8"/>
  <c r="F155" i="8"/>
  <c r="H155" i="8"/>
  <c r="I155" i="8"/>
  <c r="F156" i="8"/>
  <c r="H156" i="8"/>
  <c r="I156" i="8"/>
  <c r="F157" i="8"/>
  <c r="H157" i="8"/>
  <c r="I157" i="8"/>
  <c r="F158" i="8"/>
  <c r="H158" i="8"/>
  <c r="I158" i="8"/>
  <c r="F159" i="8"/>
  <c r="H159" i="8"/>
  <c r="I159" i="8"/>
  <c r="F160" i="8"/>
  <c r="H160" i="8"/>
  <c r="I160" i="8"/>
  <c r="F161" i="8"/>
  <c r="H161" i="8"/>
  <c r="I161" i="8"/>
  <c r="F162" i="8"/>
  <c r="H162" i="8"/>
  <c r="I162" i="8"/>
  <c r="F163" i="8"/>
  <c r="H163" i="8"/>
  <c r="I163" i="8"/>
  <c r="F164" i="8"/>
  <c r="H164" i="8"/>
  <c r="I164" i="8"/>
  <c r="F165" i="8"/>
  <c r="H165" i="8"/>
  <c r="I165" i="8"/>
  <c r="F166" i="8"/>
  <c r="H166" i="8"/>
  <c r="I166" i="8"/>
  <c r="F167" i="8"/>
  <c r="H167" i="8"/>
  <c r="I167" i="8"/>
  <c r="F168" i="8"/>
  <c r="H168" i="8"/>
  <c r="I168" i="8"/>
  <c r="F169" i="8"/>
  <c r="H169" i="8"/>
  <c r="I169" i="8"/>
  <c r="F170" i="8"/>
  <c r="H170" i="8"/>
  <c r="I170" i="8"/>
  <c r="F171" i="8"/>
  <c r="H171" i="8"/>
  <c r="I171" i="8"/>
  <c r="F172" i="8"/>
  <c r="H172" i="8"/>
  <c r="I172" i="8"/>
  <c r="F173" i="8"/>
  <c r="H173" i="8"/>
  <c r="I173" i="8"/>
  <c r="F174" i="8"/>
  <c r="H174" i="8"/>
  <c r="I174" i="8"/>
  <c r="F175" i="8"/>
  <c r="H175" i="8"/>
  <c r="I175" i="8"/>
  <c r="F176" i="8"/>
  <c r="H176" i="8"/>
  <c r="I176" i="8"/>
  <c r="F177" i="8"/>
  <c r="H177" i="8"/>
  <c r="I177" i="8"/>
  <c r="F178" i="8"/>
  <c r="H178" i="8"/>
  <c r="I178" i="8"/>
  <c r="F179" i="8"/>
  <c r="H179" i="8"/>
  <c r="I179" i="8"/>
  <c r="F180" i="8"/>
  <c r="H180" i="8"/>
  <c r="I180" i="8"/>
  <c r="F181" i="8"/>
  <c r="H181" i="8"/>
  <c r="I181" i="8"/>
  <c r="F182" i="8"/>
  <c r="H182" i="8"/>
  <c r="I182" i="8"/>
  <c r="F183" i="8"/>
  <c r="H183" i="8"/>
  <c r="I183" i="8"/>
  <c r="F184" i="8"/>
  <c r="H184" i="8"/>
  <c r="I184" i="8"/>
  <c r="F185" i="8"/>
  <c r="H185" i="8"/>
  <c r="I185" i="8"/>
  <c r="F186" i="8"/>
  <c r="H186" i="8"/>
  <c r="I186" i="8"/>
  <c r="F187" i="8"/>
  <c r="H187" i="8"/>
  <c r="I187" i="8"/>
  <c r="F188" i="8"/>
  <c r="H188" i="8"/>
  <c r="I188" i="8"/>
  <c r="F189" i="8"/>
  <c r="H189" i="8"/>
  <c r="I189" i="8"/>
  <c r="F190" i="8"/>
  <c r="H190" i="8"/>
  <c r="I190" i="8"/>
  <c r="F191" i="8"/>
  <c r="H191" i="8"/>
  <c r="I191" i="8"/>
  <c r="F192" i="8"/>
  <c r="H192" i="8"/>
  <c r="I192" i="8"/>
  <c r="F193" i="8"/>
  <c r="H193" i="8"/>
  <c r="I193" i="8"/>
  <c r="F194" i="8"/>
  <c r="H194" i="8"/>
  <c r="I194" i="8"/>
  <c r="F195" i="8"/>
  <c r="H195" i="8"/>
  <c r="I195" i="8"/>
  <c r="F196" i="8"/>
  <c r="H196" i="8"/>
  <c r="I196" i="8"/>
  <c r="F197" i="8"/>
  <c r="H197" i="8"/>
  <c r="I197" i="8"/>
  <c r="F198" i="8"/>
  <c r="H198" i="8"/>
  <c r="I198" i="8"/>
  <c r="F199" i="8"/>
  <c r="H199" i="8"/>
  <c r="I199" i="8"/>
  <c r="F200" i="8"/>
  <c r="H200" i="8"/>
  <c r="I200" i="8"/>
  <c r="F201" i="8"/>
  <c r="H201" i="8"/>
  <c r="I201" i="8"/>
  <c r="F202" i="8"/>
  <c r="H202" i="8"/>
  <c r="I202" i="8"/>
  <c r="F203" i="8"/>
  <c r="H203" i="8"/>
  <c r="I203" i="8"/>
  <c r="F204" i="8"/>
  <c r="H204" i="8"/>
  <c r="I204" i="8"/>
  <c r="F205" i="8"/>
  <c r="H205" i="8"/>
  <c r="I205" i="8"/>
  <c r="F206" i="8"/>
  <c r="H206" i="8"/>
  <c r="I206" i="8"/>
  <c r="F207" i="8"/>
  <c r="G207" i="8" s="1"/>
  <c r="H207" i="8"/>
  <c r="I207" i="8"/>
  <c r="F208" i="8"/>
  <c r="H208" i="8"/>
  <c r="I208" i="8"/>
  <c r="F209" i="8"/>
  <c r="H209" i="8"/>
  <c r="I209" i="8"/>
  <c r="F210" i="8"/>
  <c r="H210" i="8"/>
  <c r="I210" i="8"/>
  <c r="F211" i="8"/>
  <c r="H211" i="8"/>
  <c r="I211" i="8"/>
  <c r="F212" i="8"/>
  <c r="H212" i="8"/>
  <c r="I212" i="8"/>
  <c r="F213" i="8"/>
  <c r="H213" i="8"/>
  <c r="I213" i="8"/>
  <c r="F214" i="8"/>
  <c r="H214" i="8"/>
  <c r="I214" i="8"/>
  <c r="F215" i="8"/>
  <c r="H215" i="8"/>
  <c r="I215" i="8"/>
  <c r="F216" i="8"/>
  <c r="H216" i="8"/>
  <c r="I216" i="8"/>
  <c r="F217" i="8"/>
  <c r="H217" i="8"/>
  <c r="I217" i="8"/>
  <c r="F218" i="8"/>
  <c r="H218" i="8"/>
  <c r="I218" i="8"/>
  <c r="F219" i="8"/>
  <c r="H219" i="8"/>
  <c r="I219" i="8"/>
  <c r="F220" i="8"/>
  <c r="H220" i="8"/>
  <c r="I220" i="8"/>
  <c r="F221" i="8"/>
  <c r="H221" i="8"/>
  <c r="I221" i="8"/>
  <c r="F222" i="8"/>
  <c r="H222" i="8"/>
  <c r="I222" i="8"/>
  <c r="F223" i="8"/>
  <c r="H223" i="8"/>
  <c r="I223" i="8"/>
  <c r="F224" i="8"/>
  <c r="H224" i="8"/>
  <c r="I224" i="8"/>
  <c r="F225" i="8"/>
  <c r="H225" i="8"/>
  <c r="I225" i="8"/>
  <c r="F226" i="8"/>
  <c r="H226" i="8"/>
  <c r="I226" i="8"/>
  <c r="F227" i="8"/>
  <c r="H227" i="8"/>
  <c r="I227" i="8"/>
  <c r="F228" i="8"/>
  <c r="H228" i="8"/>
  <c r="I228" i="8"/>
  <c r="F229" i="8"/>
  <c r="H229" i="8"/>
  <c r="I229" i="8"/>
  <c r="F230" i="8"/>
  <c r="H230" i="8"/>
  <c r="I230" i="8"/>
  <c r="F231" i="8"/>
  <c r="H231" i="8"/>
  <c r="I231" i="8"/>
  <c r="F232" i="8"/>
  <c r="H232" i="8"/>
  <c r="I232" i="8"/>
  <c r="F233" i="8"/>
  <c r="H233" i="8"/>
  <c r="I233" i="8"/>
  <c r="F234" i="8"/>
  <c r="H234" i="8"/>
  <c r="I234" i="8"/>
  <c r="F235" i="8"/>
  <c r="H235" i="8"/>
  <c r="I235" i="8"/>
  <c r="F236" i="8"/>
  <c r="H236" i="8"/>
  <c r="I236" i="8"/>
  <c r="F237" i="8"/>
  <c r="H237" i="8"/>
  <c r="I237" i="8"/>
  <c r="F238" i="8"/>
  <c r="H238" i="8"/>
  <c r="I238" i="8"/>
  <c r="F239" i="8"/>
  <c r="H239" i="8"/>
  <c r="I239" i="8"/>
  <c r="F240" i="8"/>
  <c r="H240" i="8"/>
  <c r="I240" i="8"/>
  <c r="F241" i="8"/>
  <c r="H241" i="8"/>
  <c r="I241" i="8"/>
  <c r="F242" i="8"/>
  <c r="H242" i="8"/>
  <c r="I242" i="8"/>
  <c r="F243" i="8"/>
  <c r="H243" i="8"/>
  <c r="I243" i="8"/>
  <c r="F244" i="8"/>
  <c r="H244" i="8"/>
  <c r="I244" i="8"/>
  <c r="F245" i="8"/>
  <c r="H245" i="8"/>
  <c r="I245" i="8"/>
  <c r="F246" i="8"/>
  <c r="H246" i="8"/>
  <c r="I246" i="8"/>
  <c r="F247" i="8"/>
  <c r="H247" i="8"/>
  <c r="I247" i="8"/>
  <c r="F248" i="8"/>
  <c r="H248" i="8"/>
  <c r="I248" i="8"/>
  <c r="F249" i="8"/>
  <c r="H249" i="8"/>
  <c r="I249" i="8"/>
  <c r="F250" i="8"/>
  <c r="H250" i="8"/>
  <c r="I250" i="8"/>
  <c r="F251" i="8"/>
  <c r="H251" i="8"/>
  <c r="I251" i="8"/>
  <c r="F252" i="8"/>
  <c r="H252" i="8"/>
  <c r="I252" i="8"/>
  <c r="F253" i="8"/>
  <c r="H253" i="8"/>
  <c r="I253" i="8"/>
  <c r="F254" i="8"/>
  <c r="H254" i="8"/>
  <c r="I254" i="8"/>
  <c r="F255" i="8"/>
  <c r="H255" i="8"/>
  <c r="I255" i="8"/>
  <c r="F256" i="8"/>
  <c r="H256" i="8"/>
  <c r="I256" i="8"/>
  <c r="F257" i="8"/>
  <c r="H257" i="8"/>
  <c r="I257" i="8"/>
  <c r="F258" i="8"/>
  <c r="H258" i="8"/>
  <c r="I258" i="8"/>
  <c r="F259" i="8"/>
  <c r="H259" i="8"/>
  <c r="I259" i="8"/>
  <c r="K5" i="8"/>
  <c r="I5" i="8"/>
  <c r="H5" i="8"/>
  <c r="F5" i="8"/>
  <c r="E249" i="8"/>
  <c r="R257" i="74"/>
  <c r="M257" i="74"/>
  <c r="P257" i="74" s="1"/>
  <c r="G257" i="74"/>
  <c r="J257" i="74" s="1"/>
  <c r="R257" i="77"/>
  <c r="M257" i="77"/>
  <c r="G257" i="77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2"/>
  <c r="M257" i="82"/>
  <c r="P257" i="82" s="1"/>
  <c r="R88" i="74"/>
  <c r="M88" i="74"/>
  <c r="P88" i="74" s="1"/>
  <c r="G88" i="74"/>
  <c r="J88" i="74" s="1"/>
  <c r="R88" i="77"/>
  <c r="M88" i="77"/>
  <c r="P88" i="77" s="1"/>
  <c r="G88" i="77"/>
  <c r="J88" i="77" s="1"/>
  <c r="E88" i="78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E251" i="78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7" i="74"/>
  <c r="M247" i="74"/>
  <c r="P247" i="74" s="1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E245" i="78" s="1"/>
  <c r="R236" i="74"/>
  <c r="M236" i="74"/>
  <c r="P236" i="74" s="1"/>
  <c r="G236" i="74"/>
  <c r="J236" i="74" s="1"/>
  <c r="G244" i="77" s="1"/>
  <c r="J244" i="77" s="1"/>
  <c r="E244" i="78" s="1"/>
  <c r="R235" i="74"/>
  <c r="M235" i="74"/>
  <c r="P235" i="74" s="1"/>
  <c r="G235" i="74"/>
  <c r="J235" i="74" s="1"/>
  <c r="G243" i="77" s="1"/>
  <c r="J243" i="77" s="1"/>
  <c r="E243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G88" i="8" l="1"/>
  <c r="G253" i="8"/>
  <c r="G255" i="8"/>
  <c r="G252" i="8"/>
  <c r="G257" i="8"/>
  <c r="G258" i="8"/>
  <c r="G254" i="8"/>
  <c r="G249" i="8"/>
  <c r="G259" i="8"/>
  <c r="M87" i="8"/>
  <c r="M252" i="8"/>
  <c r="M244" i="8"/>
  <c r="M238" i="8"/>
  <c r="M253" i="8"/>
  <c r="M235" i="8"/>
  <c r="M250" i="8"/>
  <c r="M257" i="8"/>
  <c r="M242" i="8"/>
  <c r="M259" i="8"/>
  <c r="M251" i="8"/>
  <c r="M243" i="8"/>
  <c r="M174" i="8"/>
  <c r="M88" i="8"/>
  <c r="P257" i="77"/>
  <c r="M249" i="8"/>
  <c r="M241" i="8"/>
  <c r="M236" i="8"/>
  <c r="M240" i="8"/>
  <c r="M247" i="8"/>
  <c r="M239" i="8"/>
  <c r="G251" i="78"/>
  <c r="J251" i="78" s="1"/>
  <c r="E251" i="79" s="1"/>
  <c r="M246" i="8"/>
  <c r="M102" i="8"/>
  <c r="M245" i="8"/>
  <c r="M237" i="8"/>
  <c r="G105" i="8"/>
  <c r="J258" i="8"/>
  <c r="J259" i="8"/>
  <c r="E256" i="8"/>
  <c r="G256" i="8" s="1"/>
  <c r="J255" i="8"/>
  <c r="G246" i="77"/>
  <c r="J246" i="77" s="1"/>
  <c r="E246" i="78" s="1"/>
  <c r="E251" i="8"/>
  <c r="G251" i="8" s="1"/>
  <c r="J254" i="8"/>
  <c r="E248" i="8"/>
  <c r="G248" i="8" s="1"/>
  <c r="P237" i="82"/>
  <c r="J252" i="8"/>
  <c r="J253" i="8"/>
  <c r="E250" i="8"/>
  <c r="G250" i="8" s="1"/>
  <c r="J257" i="8"/>
  <c r="J249" i="8"/>
  <c r="P87" i="77"/>
  <c r="J88" i="8"/>
  <c r="P241" i="7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E242" i="8"/>
  <c r="G242" i="8" s="1"/>
  <c r="P247" i="80"/>
  <c r="E243" i="8"/>
  <c r="G243" i="8" s="1"/>
  <c r="E244" i="8"/>
  <c r="G244" i="8" s="1"/>
  <c r="E245" i="8"/>
  <c r="G245" i="8" s="1"/>
  <c r="E246" i="8"/>
  <c r="G246" i="8" s="1"/>
  <c r="G250" i="78" l="1"/>
  <c r="J250" i="78" s="1"/>
  <c r="E250" i="79" s="1"/>
  <c r="E242" i="78"/>
  <c r="J248" i="8"/>
  <c r="J251" i="8"/>
  <c r="J256" i="8"/>
  <c r="J250" i="8"/>
  <c r="J242" i="8"/>
  <c r="J243" i="8"/>
  <c r="J245" i="8"/>
  <c r="J244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E173" i="8" s="1"/>
  <c r="G173" i="8" s="1"/>
  <c r="G82" i="74"/>
  <c r="J82" i="74" s="1"/>
  <c r="G103" i="74"/>
  <c r="J103" i="74" s="1"/>
  <c r="E103" i="8" s="1"/>
  <c r="G103" i="8" s="1"/>
  <c r="G104" i="74"/>
  <c r="J104" i="74" s="1"/>
  <c r="AA16" i="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M261" i="82"/>
  <c r="N267" i="81"/>
  <c r="N264" i="81"/>
  <c r="M261" i="81"/>
  <c r="N267" i="80"/>
  <c r="N264" i="80"/>
  <c r="M261" i="80"/>
  <c r="N267" i="79"/>
  <c r="M261" i="79"/>
  <c r="M261" i="78"/>
  <c r="M261" i="77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P74" i="82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M188" i="78"/>
  <c r="M187" i="78"/>
  <c r="M105" i="78"/>
  <c r="P105" i="78" s="1"/>
  <c r="M104" i="78"/>
  <c r="P104" i="78" s="1"/>
  <c r="M103" i="78"/>
  <c r="P103" i="78" s="1"/>
  <c r="M82" i="78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M132" i="78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M70" i="78"/>
  <c r="M69" i="78"/>
  <c r="P69" i="78" s="1"/>
  <c r="M68" i="78"/>
  <c r="P68" i="78" s="1"/>
  <c r="M67" i="78"/>
  <c r="P67" i="78" s="1"/>
  <c r="M66" i="78"/>
  <c r="M65" i="78"/>
  <c r="P65" i="78" s="1"/>
  <c r="M64" i="78"/>
  <c r="P64" i="78" s="1"/>
  <c r="M63" i="78"/>
  <c r="P63" i="78" s="1"/>
  <c r="M62" i="78"/>
  <c r="M61" i="78"/>
  <c r="P61" i="78" s="1"/>
  <c r="M60" i="78"/>
  <c r="P60" i="78" s="1"/>
  <c r="M59" i="78"/>
  <c r="M58" i="78"/>
  <c r="P58" i="78" s="1"/>
  <c r="M57" i="78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M47" i="78"/>
  <c r="P47" i="78" s="1"/>
  <c r="M46" i="78"/>
  <c r="P46" i="78" s="1"/>
  <c r="M45" i="78"/>
  <c r="M44" i="78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M31" i="78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77"/>
  <c r="M190" i="77"/>
  <c r="M105" i="8" l="1"/>
  <c r="M103" i="8"/>
  <c r="M186" i="8"/>
  <c r="M173" i="8"/>
  <c r="M207" i="8"/>
  <c r="M190" i="8"/>
  <c r="M104" i="8"/>
  <c r="P189" i="78"/>
  <c r="M189" i="8"/>
  <c r="P188" i="78"/>
  <c r="M188" i="8"/>
  <c r="P187" i="78"/>
  <c r="M187" i="8"/>
  <c r="P133" i="78"/>
  <c r="P132" i="78"/>
  <c r="P99" i="78"/>
  <c r="P83" i="78"/>
  <c r="P82" i="78"/>
  <c r="M82" i="8"/>
  <c r="P71" i="78"/>
  <c r="P70" i="78"/>
  <c r="P66" i="78"/>
  <c r="P62" i="78"/>
  <c r="P59" i="78"/>
  <c r="P57" i="78"/>
  <c r="P48" i="78"/>
  <c r="P45" i="78"/>
  <c r="P44" i="78"/>
  <c r="P32" i="78"/>
  <c r="P31" i="78"/>
  <c r="P82" i="77"/>
  <c r="P187" i="77"/>
  <c r="P188" i="77"/>
  <c r="P104" i="77"/>
  <c r="G87" i="77"/>
  <c r="J87" i="77" s="1"/>
  <c r="E87" i="8"/>
  <c r="G87" i="8" s="1"/>
  <c r="E104" i="8"/>
  <c r="G104" i="8" s="1"/>
  <c r="G253" i="77"/>
  <c r="J253" i="77" s="1"/>
  <c r="E253" i="78" s="1"/>
  <c r="E235" i="8"/>
  <c r="G235" i="8" s="1"/>
  <c r="G235" i="77"/>
  <c r="J235" i="77" s="1"/>
  <c r="G247" i="77"/>
  <c r="J247" i="77" s="1"/>
  <c r="E247" i="8"/>
  <c r="G247" i="8" s="1"/>
  <c r="G240" i="77"/>
  <c r="J240" i="77" s="1"/>
  <c r="E240" i="78" s="1"/>
  <c r="G241" i="77"/>
  <c r="J241" i="77" s="1"/>
  <c r="E241" i="8"/>
  <c r="G241" i="8" s="1"/>
  <c r="E240" i="8"/>
  <c r="G240" i="8" s="1"/>
  <c r="G239" i="77"/>
  <c r="J239" i="77" s="1"/>
  <c r="E239" i="8"/>
  <c r="G239" i="8" s="1"/>
  <c r="G238" i="77"/>
  <c r="J238" i="77" s="1"/>
  <c r="E238" i="8"/>
  <c r="G238" i="8" s="1"/>
  <c r="G237" i="77"/>
  <c r="J237" i="77" s="1"/>
  <c r="E237" i="8"/>
  <c r="G237" i="8" s="1"/>
  <c r="G236" i="77"/>
  <c r="J236" i="77" s="1"/>
  <c r="E236" i="8"/>
  <c r="G236" i="8" s="1"/>
  <c r="G259" i="77"/>
  <c r="J259" i="77" s="1"/>
  <c r="E259" i="78" s="1"/>
  <c r="G174" i="77"/>
  <c r="J174" i="77" s="1"/>
  <c r="E174" i="78" s="1"/>
  <c r="E174" i="8"/>
  <c r="G174" i="8" s="1"/>
  <c r="G102" i="77"/>
  <c r="J102" i="77" s="1"/>
  <c r="E102" i="78" s="1"/>
  <c r="E102" i="8"/>
  <c r="G102" i="8" s="1"/>
  <c r="E82" i="8"/>
  <c r="G82" i="8" s="1"/>
  <c r="P97" i="78"/>
  <c r="N262" i="82"/>
  <c r="N268" i="82" s="1"/>
  <c r="N271" i="82" s="1"/>
  <c r="N262" i="79"/>
  <c r="N268" i="79" s="1"/>
  <c r="N271" i="79" s="1"/>
  <c r="N262" i="85"/>
  <c r="N268" i="85" s="1"/>
  <c r="N271" i="85" s="1"/>
  <c r="N262" i="78"/>
  <c r="N268" i="78" s="1"/>
  <c r="N271" i="78" s="1"/>
  <c r="N262" i="86"/>
  <c r="N268" i="86" s="1"/>
  <c r="N271" i="86" s="1"/>
  <c r="N262" i="81"/>
  <c r="N268" i="81" s="1"/>
  <c r="N270" i="81" s="1"/>
  <c r="N262" i="83"/>
  <c r="N268" i="83" s="1"/>
  <c r="N271" i="83" s="1"/>
  <c r="N262" i="87"/>
  <c r="N268" i="87" s="1"/>
  <c r="N271" i="87" s="1"/>
  <c r="N262" i="80"/>
  <c r="N268" i="80" s="1"/>
  <c r="N270" i="80" s="1"/>
  <c r="N262" i="84"/>
  <c r="N268" i="84" s="1"/>
  <c r="N271" i="84" s="1"/>
  <c r="P189" i="77"/>
  <c r="P207" i="77"/>
  <c r="J186" i="8"/>
  <c r="P103" i="77"/>
  <c r="P105" i="77"/>
  <c r="P173" i="77"/>
  <c r="E190" i="8"/>
  <c r="G190" i="8" s="1"/>
  <c r="J173" i="8"/>
  <c r="J103" i="8"/>
  <c r="P190" i="77"/>
  <c r="P186" i="77"/>
  <c r="G242" i="78" l="1"/>
  <c r="J242" i="78" s="1"/>
  <c r="E247" i="78"/>
  <c r="G243" i="78"/>
  <c r="J243" i="78" s="1"/>
  <c r="E235" i="78"/>
  <c r="G252" i="78"/>
  <c r="J252" i="78" s="1"/>
  <c r="E252" i="79" s="1"/>
  <c r="E239" i="78"/>
  <c r="G244" i="78"/>
  <c r="J244" i="78" s="1"/>
  <c r="E244" i="79" s="1"/>
  <c r="E236" i="78"/>
  <c r="G249" i="78"/>
  <c r="J249" i="78" s="1"/>
  <c r="E249" i="79" s="1"/>
  <c r="E241" i="78"/>
  <c r="G246" i="78"/>
  <c r="J246" i="78" s="1"/>
  <c r="E246" i="79" s="1"/>
  <c r="E238" i="78"/>
  <c r="G245" i="78"/>
  <c r="J245" i="78" s="1"/>
  <c r="E245" i="79" s="1"/>
  <c r="E237" i="78"/>
  <c r="G88" i="78"/>
  <c r="J88" i="78" s="1"/>
  <c r="E88" i="79" s="1"/>
  <c r="E87" i="78"/>
  <c r="J104" i="8"/>
  <c r="J87" i="8"/>
  <c r="J236" i="8"/>
  <c r="J239" i="8"/>
  <c r="J247" i="8"/>
  <c r="J237" i="8"/>
  <c r="J240" i="8"/>
  <c r="J241" i="8"/>
  <c r="J235" i="8"/>
  <c r="J238" i="8"/>
  <c r="J82" i="8"/>
  <c r="J174" i="8"/>
  <c r="J102" i="8"/>
  <c r="N270" i="86"/>
  <c r="N270" i="85"/>
  <c r="N270" i="83"/>
  <c r="N271" i="81"/>
  <c r="N270" i="79"/>
  <c r="N270" i="78"/>
  <c r="G186" i="77"/>
  <c r="J186" i="77" s="1"/>
  <c r="N270" i="82"/>
  <c r="N270" i="87"/>
  <c r="N270" i="84"/>
  <c r="N271" i="80"/>
  <c r="J190" i="8"/>
  <c r="P136" i="8"/>
  <c r="P135" i="8"/>
  <c r="P134" i="8"/>
  <c r="R136" i="74"/>
  <c r="M136" i="74"/>
  <c r="P136" i="74" s="1"/>
  <c r="E136" i="8"/>
  <c r="G136" i="8" s="1"/>
  <c r="R135" i="74"/>
  <c r="M135" i="74"/>
  <c r="P135" i="74" s="1"/>
  <c r="E135" i="8"/>
  <c r="G135" i="8" s="1"/>
  <c r="R134" i="74"/>
  <c r="M134" i="74"/>
  <c r="P134" i="74" s="1"/>
  <c r="E134" i="8"/>
  <c r="G134" i="8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G250" i="79"/>
  <c r="J250" i="79" s="1"/>
  <c r="E250" i="80" s="1"/>
  <c r="E242" i="79"/>
  <c r="E186" i="78"/>
  <c r="G186" i="78" s="1"/>
  <c r="J186" i="78" s="1"/>
  <c r="E186" i="79" s="1"/>
  <c r="P135" i="77"/>
  <c r="P136" i="77"/>
  <c r="J134" i="8"/>
  <c r="P134" i="77"/>
  <c r="J136" i="8"/>
  <c r="J135" i="8"/>
  <c r="Y15" i="8" l="1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P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AB5" i="8" s="1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5" i="8" s="1"/>
  <c r="E35" i="8"/>
  <c r="G35" i="8" s="1"/>
  <c r="E45" i="8"/>
  <c r="G45" i="8" s="1"/>
  <c r="E60" i="8"/>
  <c r="G60" i="8" s="1"/>
  <c r="E63" i="8"/>
  <c r="G63" i="8" s="1"/>
  <c r="E75" i="8"/>
  <c r="G75" i="8" s="1"/>
  <c r="E94" i="8"/>
  <c r="G94" i="8" s="1"/>
  <c r="E109" i="8"/>
  <c r="G109" i="8" s="1"/>
  <c r="E114" i="8"/>
  <c r="G114" i="8" s="1"/>
  <c r="E129" i="8"/>
  <c r="G129" i="8" s="1"/>
  <c r="E178" i="8"/>
  <c r="G178" i="8" s="1"/>
  <c r="M261" i="74"/>
  <c r="R60" i="74"/>
  <c r="R63" i="74"/>
  <c r="M63" i="74"/>
  <c r="P63" i="74" s="1"/>
  <c r="M169" i="74"/>
  <c r="P169" i="74" s="1"/>
  <c r="R169" i="74"/>
  <c r="E60" i="78" l="1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M260" i="8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G169" i="8" s="1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86"/>
  <c r="R260" i="84"/>
  <c r="R260" i="87"/>
  <c r="P8" i="8"/>
  <c r="P260" i="8" s="1"/>
  <c r="C3" i="109" s="1"/>
  <c r="C8" i="109" s="1"/>
  <c r="G3" i="109" s="1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16" i="8"/>
  <c r="G2" i="109" s="1"/>
  <c r="G4" i="109" s="1"/>
  <c r="R7" i="8"/>
  <c r="X7" i="8" s="1"/>
  <c r="R9" i="8"/>
  <c r="R10" i="8"/>
  <c r="R8" i="8"/>
  <c r="X8" i="8" s="1"/>
  <c r="R14" i="8"/>
  <c r="R13" i="8"/>
  <c r="R12" i="8"/>
  <c r="R15" i="8"/>
  <c r="R11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G12" i="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75" i="83" l="1"/>
  <c r="G75" i="83" s="1"/>
  <c r="J75" i="83" s="1"/>
  <c r="E94" i="83"/>
  <c r="G94" i="83" s="1"/>
  <c r="J94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75" i="84" l="1"/>
  <c r="G75" i="84" s="1"/>
  <c r="J75" i="84" s="1"/>
  <c r="E178" i="84"/>
  <c r="G178" i="84" s="1"/>
  <c r="J178" i="84" s="1"/>
  <c r="E178" i="85" s="1"/>
  <c r="E60" i="84"/>
  <c r="G60" i="84" s="1"/>
  <c r="J60" i="84" s="1"/>
  <c r="E60" i="85" s="1"/>
  <c r="G60" i="85" s="1"/>
  <c r="J60" i="85" s="1"/>
  <c r="E94" i="84"/>
  <c r="G94" i="84" s="1"/>
  <c r="J94" i="84" s="1"/>
  <c r="E94" i="85" s="1"/>
  <c r="G94" i="85" s="1"/>
  <c r="J94" i="85" s="1"/>
  <c r="E94" i="86" s="1"/>
  <c r="G94" i="86" s="1"/>
  <c r="J94" i="86" s="1"/>
  <c r="E169" i="82"/>
  <c r="G169" i="82" s="1"/>
  <c r="J169" i="82" s="1"/>
  <c r="E169" i="83" s="1"/>
  <c r="G169" i="83" s="1"/>
  <c r="J169" i="83" s="1"/>
  <c r="E169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78" i="85"/>
  <c r="J178" i="85" s="1"/>
  <c r="G12" i="80"/>
  <c r="J12" i="80" s="1"/>
  <c r="E12" i="81" s="1"/>
  <c r="E75" i="85" l="1"/>
  <c r="G75" i="85" s="1"/>
  <c r="J75" i="85" s="1"/>
  <c r="E75" i="86" s="1"/>
  <c r="G75" i="86" s="1"/>
  <c r="J75" i="86" s="1"/>
  <c r="E75" i="87" s="1"/>
  <c r="G75" i="87" s="1"/>
  <c r="J75" i="87" s="1"/>
  <c r="E94" i="87"/>
  <c r="G94" i="87" s="1"/>
  <c r="J94" i="87" s="1"/>
  <c r="E178" i="86"/>
  <c r="G178" i="86" s="1"/>
  <c r="J178" i="86" s="1"/>
  <c r="E60" i="86"/>
  <c r="G60" i="86" s="1"/>
  <c r="J60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E229" i="8"/>
  <c r="G229" i="8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09" i="85" l="1"/>
  <c r="G109" i="85" s="1"/>
  <c r="J109" i="85" s="1"/>
  <c r="E109" i="86" s="1"/>
  <c r="G109" i="86" s="1"/>
  <c r="J109" i="86" s="1"/>
  <c r="G114" i="85"/>
  <c r="J114" i="85" s="1"/>
  <c r="E114" i="85"/>
  <c r="E60" i="87"/>
  <c r="G60" i="87" s="1"/>
  <c r="J60" i="87" s="1"/>
  <c r="E178" i="87"/>
  <c r="G178" i="87" s="1"/>
  <c r="J178" i="87" s="1"/>
  <c r="E114" i="86"/>
  <c r="G114" i="86" s="1"/>
  <c r="J114" i="86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45" i="87" l="1"/>
  <c r="G45" i="87" s="1"/>
  <c r="J45" i="87" s="1"/>
  <c r="G109" i="87"/>
  <c r="J109" i="87" s="1"/>
  <c r="E109" i="87"/>
  <c r="E114" i="87"/>
  <c r="G114" i="87" s="1"/>
  <c r="J114" i="87" s="1"/>
  <c r="E63" i="86"/>
  <c r="G63" i="86" s="1"/>
  <c r="J63" i="86" s="1"/>
  <c r="E129" i="86"/>
  <c r="G129" i="86" s="1"/>
  <c r="J129" i="86" s="1"/>
  <c r="E169" i="86"/>
  <c r="G169" i="86" s="1"/>
  <c r="J169" i="86" s="1"/>
  <c r="E169" i="87" s="1"/>
  <c r="G169" i="87" s="1"/>
  <c r="J169" i="87" s="1"/>
  <c r="G237" i="78"/>
  <c r="J237" i="78" s="1"/>
  <c r="E229" i="78"/>
  <c r="G229" i="78" s="1"/>
  <c r="J229" i="78" s="1"/>
  <c r="G35" i="86"/>
  <c r="J35" i="86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29" i="87" l="1"/>
  <c r="G129" i="87" s="1"/>
  <c r="J129" i="87" s="1"/>
  <c r="E63" i="87"/>
  <c r="G63" i="87" s="1"/>
  <c r="J63" i="87" s="1"/>
  <c r="E35" i="87"/>
  <c r="G35" i="87" s="1"/>
  <c r="J35" i="87" s="1"/>
  <c r="E229" i="79"/>
  <c r="G229" i="79" s="1"/>
  <c r="J229" i="79" s="1"/>
  <c r="G245" i="79"/>
  <c r="J245" i="79" s="1"/>
  <c r="E245" i="80" s="1"/>
  <c r="E237" i="79"/>
  <c r="G237" i="79" s="1"/>
  <c r="J237" i="79" s="1"/>
  <c r="G12" i="84"/>
  <c r="J12" i="84" s="1"/>
  <c r="E12" i="85" s="1"/>
  <c r="G245" i="80" l="1"/>
  <c r="J245" i="80" s="1"/>
  <c r="E245" i="81" s="1"/>
  <c r="E237" i="80"/>
  <c r="G237" i="80" s="1"/>
  <c r="J237" i="80" s="1"/>
  <c r="E229" i="80"/>
  <c r="G229" i="80" s="1"/>
  <c r="J229" i="80" s="1"/>
  <c r="E229" i="81" s="1"/>
  <c r="G12" i="85"/>
  <c r="J12" i="85" s="1"/>
  <c r="E12" i="86" s="1"/>
  <c r="G245" i="81" l="1"/>
  <c r="J245" i="81" s="1"/>
  <c r="E245" i="82" s="1"/>
  <c r="E237" i="81"/>
  <c r="G229" i="81"/>
  <c r="J229" i="81" s="1"/>
  <c r="E229" i="82" s="1"/>
  <c r="G237" i="81"/>
  <c r="J237" i="81" s="1"/>
  <c r="G12" i="86"/>
  <c r="J12" i="86" s="1"/>
  <c r="E194" i="8"/>
  <c r="G194" i="8" s="1"/>
  <c r="E83" i="8"/>
  <c r="G83" i="8" s="1"/>
  <c r="E152" i="8"/>
  <c r="G152" i="8" s="1"/>
  <c r="E148" i="8"/>
  <c r="G148" i="8" s="1"/>
  <c r="E155" i="8"/>
  <c r="G155" i="8" s="1"/>
  <c r="E127" i="8"/>
  <c r="G127" i="8" s="1"/>
  <c r="E213" i="8"/>
  <c r="G213" i="8" s="1"/>
  <c r="E125" i="8"/>
  <c r="G125" i="8" s="1"/>
  <c r="E208" i="8"/>
  <c r="G208" i="8" s="1"/>
  <c r="E205" i="8"/>
  <c r="G205" i="8" s="1"/>
  <c r="E151" i="8"/>
  <c r="G151" i="8" s="1"/>
  <c r="E126" i="8"/>
  <c r="G126" i="8" s="1"/>
  <c r="E177" i="8"/>
  <c r="G177" i="8" s="1"/>
  <c r="E231" i="8"/>
  <c r="G231" i="8" s="1"/>
  <c r="E226" i="8"/>
  <c r="G226" i="8" s="1"/>
  <c r="E84" i="8"/>
  <c r="G84" i="8" s="1"/>
  <c r="E193" i="8"/>
  <c r="G193" i="8" s="1"/>
  <c r="E206" i="8"/>
  <c r="G206" i="8" s="1"/>
  <c r="E39" i="8"/>
  <c r="G39" i="8" s="1"/>
  <c r="E181" i="8"/>
  <c r="G181" i="8" s="1"/>
  <c r="E153" i="8"/>
  <c r="G153" i="8" s="1"/>
  <c r="G9" i="74"/>
  <c r="J9" i="74" s="1"/>
  <c r="G11" i="74"/>
  <c r="J11" i="74" s="1"/>
  <c r="G10" i="74"/>
  <c r="J10" i="74" s="1"/>
  <c r="E12" i="87" l="1"/>
  <c r="G12" i="87" s="1"/>
  <c r="J12" i="87" s="1"/>
  <c r="G245" i="82"/>
  <c r="J245" i="82" s="1"/>
  <c r="E245" i="83" s="1"/>
  <c r="E237" i="82"/>
  <c r="G237" i="82" s="1"/>
  <c r="J237" i="82" s="1"/>
  <c r="G229" i="82"/>
  <c r="J229" i="82" s="1"/>
  <c r="E229" i="83" s="1"/>
  <c r="E11" i="8"/>
  <c r="G11" i="8" s="1"/>
  <c r="G11" i="77"/>
  <c r="J11" i="77" s="1"/>
  <c r="E11" i="7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G195" i="8" s="1"/>
  <c r="E113" i="8"/>
  <c r="G113" i="8" s="1"/>
  <c r="E196" i="8"/>
  <c r="G196" i="8" s="1"/>
  <c r="E198" i="8"/>
  <c r="G198" i="8" s="1"/>
  <c r="E128" i="8"/>
  <c r="G128" i="8" s="1"/>
  <c r="E203" i="8"/>
  <c r="G203" i="8" s="1"/>
  <c r="G9" i="77"/>
  <c r="J9" i="77" s="1"/>
  <c r="E9" i="78" s="1"/>
  <c r="E9" i="8"/>
  <c r="G9" i="8" s="1"/>
  <c r="E149" i="8"/>
  <c r="G149" i="8" s="1"/>
  <c r="G10" i="77"/>
  <c r="J10" i="77" s="1"/>
  <c r="E10" i="78" s="1"/>
  <c r="E10" i="8"/>
  <c r="G10" i="8" s="1"/>
  <c r="E182" i="8"/>
  <c r="G182" i="8" s="1"/>
  <c r="E211" i="8"/>
  <c r="G211" i="8" s="1"/>
  <c r="E209" i="8"/>
  <c r="E210" i="8"/>
  <c r="E232" i="8"/>
  <c r="G232" i="8" s="1"/>
  <c r="E157" i="8"/>
  <c r="G157" i="8" s="1"/>
  <c r="E212" i="8"/>
  <c r="G212" i="8" s="1"/>
  <c r="E204" i="8"/>
  <c r="G204" i="8" s="1"/>
  <c r="E202" i="8"/>
  <c r="G202" i="8" s="1"/>
  <c r="E147" i="8"/>
  <c r="G147" i="8" s="1"/>
  <c r="E156" i="8"/>
  <c r="G156" i="8" s="1"/>
  <c r="E150" i="8"/>
  <c r="G150" i="8" s="1"/>
  <c r="E197" i="8"/>
  <c r="G197" i="8" s="1"/>
  <c r="J193" i="8"/>
  <c r="J177" i="8"/>
  <c r="J194" i="8"/>
  <c r="G245" i="83" l="1"/>
  <c r="J245" i="83" s="1"/>
  <c r="E245" i="84" s="1"/>
  <c r="E237" i="83"/>
  <c r="G237" i="83" s="1"/>
  <c r="J237" i="83" s="1"/>
  <c r="J209" i="8"/>
  <c r="G209" i="8"/>
  <c r="J210" i="8"/>
  <c r="G210" i="8"/>
  <c r="E177" i="78"/>
  <c r="G177" i="78" s="1"/>
  <c r="J177" i="78" s="1"/>
  <c r="E177" i="79" s="1"/>
  <c r="G177" i="79" s="1"/>
  <c r="J177" i="79" s="1"/>
  <c r="E126" i="78"/>
  <c r="G126" i="78" s="1"/>
  <c r="J126" i="78" s="1"/>
  <c r="E126" i="79" s="1"/>
  <c r="G126" i="79" s="1"/>
  <c r="J126" i="79" s="1"/>
  <c r="E153" i="78"/>
  <c r="G153" i="78" s="1"/>
  <c r="J153" i="78" s="1"/>
  <c r="E153" i="79" s="1"/>
  <c r="G153" i="79" s="1"/>
  <c r="J153" i="79" s="1"/>
  <c r="E152" i="78"/>
  <c r="G152" i="78" s="1"/>
  <c r="J152" i="78" s="1"/>
  <c r="E152" i="79" s="1"/>
  <c r="G152" i="79" s="1"/>
  <c r="J152" i="79" s="1"/>
  <c r="E148" i="78"/>
  <c r="G148" i="78" s="1"/>
  <c r="J148" i="78" s="1"/>
  <c r="E148" i="79" s="1"/>
  <c r="G148" i="79" s="1"/>
  <c r="J148" i="79" s="1"/>
  <c r="E213" i="78"/>
  <c r="G213" i="78" s="1"/>
  <c r="J213" i="78" s="1"/>
  <c r="E213" i="79" s="1"/>
  <c r="G213" i="79" s="1"/>
  <c r="J213" i="79" s="1"/>
  <c r="E181" i="78"/>
  <c r="G181" i="78" s="1"/>
  <c r="J181" i="78" s="1"/>
  <c r="E181" i="79" s="1"/>
  <c r="G181" i="79" s="1"/>
  <c r="J181" i="79" s="1"/>
  <c r="E83" i="78"/>
  <c r="G83" i="78" s="1"/>
  <c r="J83" i="78" s="1"/>
  <c r="E83" i="79" s="1"/>
  <c r="G83" i="79" s="1"/>
  <c r="J83" i="79" s="1"/>
  <c r="E206" i="78"/>
  <c r="G206" i="78" s="1"/>
  <c r="J206" i="78" s="1"/>
  <c r="E206" i="79" s="1"/>
  <c r="G206" i="79" s="1"/>
  <c r="J206" i="79" s="1"/>
  <c r="E84" i="78"/>
  <c r="G84" i="78" s="1"/>
  <c r="J84" i="78" s="1"/>
  <c r="E84" i="79" s="1"/>
  <c r="G84" i="79" s="1"/>
  <c r="J84" i="79" s="1"/>
  <c r="E155" i="78"/>
  <c r="G155" i="78" s="1"/>
  <c r="J155" i="78" s="1"/>
  <c r="E155" i="79" s="1"/>
  <c r="G155" i="79" s="1"/>
  <c r="J155" i="79" s="1"/>
  <c r="E205" i="78"/>
  <c r="G205" i="78" s="1"/>
  <c r="J205" i="78" s="1"/>
  <c r="E205" i="79" s="1"/>
  <c r="G205" i="79" s="1"/>
  <c r="J205" i="79" s="1"/>
  <c r="G231" i="78"/>
  <c r="J231" i="78" s="1"/>
  <c r="G239" i="78"/>
  <c r="J239" i="78" s="1"/>
  <c r="G229" i="83"/>
  <c r="J229" i="83" s="1"/>
  <c r="E229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J147" i="8"/>
  <c r="J9" i="8"/>
  <c r="J196" i="8"/>
  <c r="J197" i="8"/>
  <c r="J202" i="8"/>
  <c r="J10" i="8"/>
  <c r="J11" i="8"/>
  <c r="J198" i="8"/>
  <c r="J195" i="8"/>
  <c r="G245" i="84" l="1"/>
  <c r="J245" i="84" s="1"/>
  <c r="E245" i="85" s="1"/>
  <c r="E237" i="84"/>
  <c r="G237" i="84" s="1"/>
  <c r="J237" i="84" s="1"/>
  <c r="E155" i="80"/>
  <c r="G155" i="80" s="1"/>
  <c r="J155" i="80" s="1"/>
  <c r="E155" i="81" s="1"/>
  <c r="G155" i="81" s="1"/>
  <c r="J155" i="81" s="1"/>
  <c r="E155" i="82" s="1"/>
  <c r="E84" i="80"/>
  <c r="G84" i="80" s="1"/>
  <c r="J84" i="80" s="1"/>
  <c r="E84" i="81" s="1"/>
  <c r="G84" i="81" s="1"/>
  <c r="J84" i="81" s="1"/>
  <c r="E84" i="82" s="1"/>
  <c r="E206" i="80"/>
  <c r="G206" i="80" s="1"/>
  <c r="J206" i="80" s="1"/>
  <c r="E206" i="81" s="1"/>
  <c r="E83" i="80"/>
  <c r="G83" i="80" s="1"/>
  <c r="J83" i="80" s="1"/>
  <c r="E83" i="81" s="1"/>
  <c r="G83" i="81" s="1"/>
  <c r="J83" i="81" s="1"/>
  <c r="E83" i="82" s="1"/>
  <c r="E181" i="80"/>
  <c r="G181" i="80" s="1"/>
  <c r="J181" i="80" s="1"/>
  <c r="E181" i="81" s="1"/>
  <c r="G181" i="81" s="1"/>
  <c r="J181" i="81" s="1"/>
  <c r="E181" i="82" s="1"/>
  <c r="E213" i="80"/>
  <c r="G213" i="80" s="1"/>
  <c r="J213" i="80" s="1"/>
  <c r="E213" i="81" s="1"/>
  <c r="G213" i="81" s="1"/>
  <c r="J213" i="81" s="1"/>
  <c r="E213" i="82" s="1"/>
  <c r="E148" i="80"/>
  <c r="G148" i="80" s="1"/>
  <c r="J148" i="80" s="1"/>
  <c r="E148" i="81" s="1"/>
  <c r="G148" i="81" s="1"/>
  <c r="J148" i="81" s="1"/>
  <c r="E148" i="82" s="1"/>
  <c r="E152" i="80"/>
  <c r="G152" i="80" s="1"/>
  <c r="J152" i="80" s="1"/>
  <c r="E152" i="81" s="1"/>
  <c r="G152" i="81" s="1"/>
  <c r="J152" i="81" s="1"/>
  <c r="E152" i="82" s="1"/>
  <c r="E153" i="80"/>
  <c r="G153" i="80" s="1"/>
  <c r="J153" i="80" s="1"/>
  <c r="E153" i="81" s="1"/>
  <c r="G153" i="81" s="1"/>
  <c r="J153" i="81" s="1"/>
  <c r="E153" i="82" s="1"/>
  <c r="E126" i="80"/>
  <c r="G126" i="80" s="1"/>
  <c r="J126" i="80" s="1"/>
  <c r="E126" i="81" s="1"/>
  <c r="G126" i="81" s="1"/>
  <c r="J126" i="81" s="1"/>
  <c r="E126" i="82" s="1"/>
  <c r="E177" i="80"/>
  <c r="G177" i="80" s="1"/>
  <c r="J177" i="80" s="1"/>
  <c r="E177" i="81" s="1"/>
  <c r="G177" i="81" s="1"/>
  <c r="J177" i="81" s="1"/>
  <c r="E177" i="82" s="1"/>
  <c r="E205" i="80"/>
  <c r="G205" i="80" s="1"/>
  <c r="J205" i="80" s="1"/>
  <c r="E205" i="81" s="1"/>
  <c r="G205" i="81" s="1"/>
  <c r="J205" i="81" s="1"/>
  <c r="E205" i="82" s="1"/>
  <c r="G252" i="79"/>
  <c r="J252" i="79" s="1"/>
  <c r="E252" i="80" s="1"/>
  <c r="E239" i="79"/>
  <c r="G239" i="79" s="1"/>
  <c r="J239" i="79" s="1"/>
  <c r="E231" i="79"/>
  <c r="G231" i="79" s="1"/>
  <c r="J231" i="79" s="1"/>
  <c r="G240" i="78"/>
  <c r="J240" i="78" s="1"/>
  <c r="E240" i="79" s="1"/>
  <c r="G241" i="78"/>
  <c r="J241" i="78" s="1"/>
  <c r="G229" i="84"/>
  <c r="J229" i="84" s="1"/>
  <c r="G226" i="79"/>
  <c r="J226" i="79" s="1"/>
  <c r="E226" i="80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206" i="81"/>
  <c r="J206" i="81" s="1"/>
  <c r="E206" i="82" s="1"/>
  <c r="G11" i="79"/>
  <c r="J11" i="79" s="1"/>
  <c r="E11" i="80" s="1"/>
  <c r="G9" i="79"/>
  <c r="J9" i="79" s="1"/>
  <c r="E9" i="80" s="1"/>
  <c r="G10" i="79"/>
  <c r="J10" i="79" s="1"/>
  <c r="E10" i="80" s="1"/>
  <c r="G237" i="85" l="1"/>
  <c r="J237" i="85" s="1"/>
  <c r="E229" i="85"/>
  <c r="G245" i="85"/>
  <c r="J245" i="85" s="1"/>
  <c r="E245" i="86" s="1"/>
  <c r="E237" i="85"/>
  <c r="G245" i="86"/>
  <c r="J245" i="86" s="1"/>
  <c r="E245" i="87" s="1"/>
  <c r="E237" i="86"/>
  <c r="G252" i="80"/>
  <c r="J252" i="80" s="1"/>
  <c r="E252" i="81" s="1"/>
  <c r="E239" i="80"/>
  <c r="G239" i="80" s="1"/>
  <c r="J239" i="80" s="1"/>
  <c r="E125" i="80"/>
  <c r="G125" i="80" s="1"/>
  <c r="J125" i="80" s="1"/>
  <c r="E231" i="80"/>
  <c r="G231" i="80" s="1"/>
  <c r="J231" i="80" s="1"/>
  <c r="E231" i="81" s="1"/>
  <c r="G231" i="81" s="1"/>
  <c r="J231" i="81" s="1"/>
  <c r="E231" i="82" s="1"/>
  <c r="G249" i="79"/>
  <c r="J249" i="79" s="1"/>
  <c r="E249" i="80" s="1"/>
  <c r="E241" i="79"/>
  <c r="G241" i="79" s="1"/>
  <c r="J241" i="79" s="1"/>
  <c r="G229" i="85"/>
  <c r="J229" i="85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G71" i="8" s="1"/>
  <c r="E70" i="8"/>
  <c r="G70" i="8" s="1"/>
  <c r="E175" i="8"/>
  <c r="G175" i="8" s="1"/>
  <c r="N267" i="74"/>
  <c r="N264" i="74"/>
  <c r="M5" i="74"/>
  <c r="N262" i="74" s="1"/>
  <c r="E229" i="86" l="1"/>
  <c r="G229" i="86" s="1"/>
  <c r="J229" i="86" s="1"/>
  <c r="E226" i="81"/>
  <c r="G226" i="81" s="1"/>
  <c r="J226" i="81" s="1"/>
  <c r="E194" i="81"/>
  <c r="G194" i="81" s="1"/>
  <c r="J194" i="81" s="1"/>
  <c r="G252" i="81"/>
  <c r="J252" i="81" s="1"/>
  <c r="E252" i="82" s="1"/>
  <c r="E239" i="81"/>
  <c r="G239" i="81" s="1"/>
  <c r="J239" i="81" s="1"/>
  <c r="E208" i="81"/>
  <c r="G208" i="81" s="1"/>
  <c r="J208" i="81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E127" i="81"/>
  <c r="G127" i="81" s="1"/>
  <c r="J127" i="81" s="1"/>
  <c r="E193" i="81"/>
  <c r="G193" i="81" s="1"/>
  <c r="J193" i="81" s="1"/>
  <c r="E39" i="81"/>
  <c r="G39" i="81" s="1"/>
  <c r="J39" i="81" s="1"/>
  <c r="E151" i="81"/>
  <c r="G151" i="81" s="1"/>
  <c r="J151" i="81" s="1"/>
  <c r="E203" i="80"/>
  <c r="G203" i="80" s="1"/>
  <c r="J203" i="80" s="1"/>
  <c r="G249" i="80"/>
  <c r="J249" i="80" s="1"/>
  <c r="E249" i="81" s="1"/>
  <c r="E241" i="80"/>
  <c r="G241" i="80" s="1"/>
  <c r="J241" i="80" s="1"/>
  <c r="G237" i="86"/>
  <c r="J237" i="86" s="1"/>
  <c r="G231" i="82"/>
  <c r="J231" i="82" s="1"/>
  <c r="E231" i="83" s="1"/>
  <c r="G240" i="80"/>
  <c r="J240" i="80" s="1"/>
  <c r="E240" i="81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57" i="80"/>
  <c r="J157" i="80" s="1"/>
  <c r="G209" i="80"/>
  <c r="J209" i="80" s="1"/>
  <c r="G128" i="80"/>
  <c r="J128" i="80" s="1"/>
  <c r="G113" i="80"/>
  <c r="J113" i="80" s="1"/>
  <c r="G197" i="80"/>
  <c r="J197" i="8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P5" i="74"/>
  <c r="R260" i="74"/>
  <c r="G245" i="87" l="1"/>
  <c r="J245" i="87" s="1"/>
  <c r="E237" i="87"/>
  <c r="G237" i="87" s="1"/>
  <c r="J237" i="87" s="1"/>
  <c r="E229" i="87"/>
  <c r="G229" i="87" s="1"/>
  <c r="J229" i="87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27" i="82"/>
  <c r="G127" i="82" s="1"/>
  <c r="J127" i="82" s="1"/>
  <c r="E127" i="83" s="1"/>
  <c r="G127" i="83" s="1"/>
  <c r="J127" i="83" s="1"/>
  <c r="E127" i="84" s="1"/>
  <c r="E208" i="82"/>
  <c r="G208" i="82" s="1"/>
  <c r="J208" i="82" s="1"/>
  <c r="E208" i="83" s="1"/>
  <c r="G208" i="83" s="1"/>
  <c r="J208" i="83" s="1"/>
  <c r="E208" i="84" s="1"/>
  <c r="E151" i="82"/>
  <c r="G151" i="82" s="1"/>
  <c r="J151" i="82" s="1"/>
  <c r="E151" i="83" s="1"/>
  <c r="G151" i="83" s="1"/>
  <c r="J151" i="83" s="1"/>
  <c r="E151" i="84" s="1"/>
  <c r="E194" i="82"/>
  <c r="G194" i="82" s="1"/>
  <c r="J194" i="82" s="1"/>
  <c r="E194" i="83" s="1"/>
  <c r="G194" i="83" s="1"/>
  <c r="J194" i="83" s="1"/>
  <c r="E194" i="84" s="1"/>
  <c r="E182" i="81"/>
  <c r="G182" i="81" s="1"/>
  <c r="J182" i="81" s="1"/>
  <c r="E226" i="82"/>
  <c r="G226" i="82" s="1"/>
  <c r="J226" i="82" s="1"/>
  <c r="E226" i="83" s="1"/>
  <c r="G226" i="83" s="1"/>
  <c r="J226" i="83" s="1"/>
  <c r="E226" i="84" s="1"/>
  <c r="E212" i="81"/>
  <c r="G212" i="81" s="1"/>
  <c r="J212" i="81" s="1"/>
  <c r="E113" i="81"/>
  <c r="G113" i="81" s="1"/>
  <c r="J113" i="81" s="1"/>
  <c r="E150" i="81"/>
  <c r="G150" i="81" s="1"/>
  <c r="J150" i="81" s="1"/>
  <c r="E204" i="81"/>
  <c r="G204" i="81" s="1"/>
  <c r="J204" i="81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57" i="81"/>
  <c r="G157" i="81" s="1"/>
  <c r="J157" i="81" s="1"/>
  <c r="E211" i="81"/>
  <c r="G211" i="81" s="1"/>
  <c r="J211" i="81" s="1"/>
  <c r="G252" i="82"/>
  <c r="J252" i="82" s="1"/>
  <c r="E252" i="83" s="1"/>
  <c r="E239" i="82"/>
  <c r="G239" i="82" s="1"/>
  <c r="J239" i="82" s="1"/>
  <c r="E195" i="81"/>
  <c r="G195" i="81" s="1"/>
  <c r="J195" i="81" s="1"/>
  <c r="E149" i="81"/>
  <c r="G149" i="81" s="1"/>
  <c r="J149" i="81" s="1"/>
  <c r="E193" i="82"/>
  <c r="G193" i="82" s="1"/>
  <c r="J193" i="82" s="1"/>
  <c r="E193" i="83" s="1"/>
  <c r="G193" i="83" s="1"/>
  <c r="J193" i="83" s="1"/>
  <c r="E193" i="84" s="1"/>
  <c r="E202" i="81"/>
  <c r="G202" i="81" s="1"/>
  <c r="J202" i="81" s="1"/>
  <c r="E197" i="81"/>
  <c r="G197" i="81" s="1"/>
  <c r="J197" i="81" s="1"/>
  <c r="E210" i="81"/>
  <c r="G210" i="81" s="1"/>
  <c r="J210" i="81" s="1"/>
  <c r="E128" i="81"/>
  <c r="G128" i="81" s="1"/>
  <c r="J128" i="81" s="1"/>
  <c r="E147" i="81"/>
  <c r="G147" i="81" s="1"/>
  <c r="J147" i="81" s="1"/>
  <c r="E209" i="81"/>
  <c r="G209" i="81" s="1"/>
  <c r="J209" i="81" s="1"/>
  <c r="E196" i="81"/>
  <c r="G196" i="81" s="1"/>
  <c r="J196" i="81" s="1"/>
  <c r="E156" i="81"/>
  <c r="G156" i="81" s="1"/>
  <c r="J156" i="81" s="1"/>
  <c r="G249" i="81"/>
  <c r="J249" i="81" s="1"/>
  <c r="E249" i="82" s="1"/>
  <c r="E241" i="81"/>
  <c r="G241" i="81" s="1"/>
  <c r="J241" i="81" s="1"/>
  <c r="E198" i="81"/>
  <c r="G198" i="81" s="1"/>
  <c r="J198" i="81" s="1"/>
  <c r="G232" i="81"/>
  <c r="J232" i="81" s="1"/>
  <c r="E232" i="82" s="1"/>
  <c r="G240" i="81"/>
  <c r="J240" i="81" s="1"/>
  <c r="E240" i="82" s="1"/>
  <c r="G231" i="83"/>
  <c r="J231" i="83" s="1"/>
  <c r="E231" i="84" s="1"/>
  <c r="G175" i="78"/>
  <c r="J175" i="78" s="1"/>
  <c r="E175" i="79" s="1"/>
  <c r="G70" i="78"/>
  <c r="J70" i="78" s="1"/>
  <c r="E70" i="79" s="1"/>
  <c r="G71" i="78"/>
  <c r="J71" i="78" s="1"/>
  <c r="E71" i="79" s="1"/>
  <c r="G10" i="82"/>
  <c r="J10" i="82" s="1"/>
  <c r="E10" i="83" s="1"/>
  <c r="G11" i="82"/>
  <c r="J11" i="82" s="1"/>
  <c r="E11" i="83" s="1"/>
  <c r="G9" i="82"/>
  <c r="J9" i="82" s="1"/>
  <c r="E9" i="83" s="1"/>
  <c r="J229" i="8"/>
  <c r="X6" i="8"/>
  <c r="X5" i="8"/>
  <c r="Z5" i="8" s="1"/>
  <c r="AC5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14" i="8"/>
  <c r="N268" i="74"/>
  <c r="X13" i="8"/>
  <c r="G252" i="83" l="1"/>
  <c r="J252" i="83" s="1"/>
  <c r="E252" i="84" s="1"/>
  <c r="E239" i="83"/>
  <c r="G239" i="83" s="1"/>
  <c r="J239" i="83" s="1"/>
  <c r="E209" i="82"/>
  <c r="G209" i="82" s="1"/>
  <c r="J209" i="82" s="1"/>
  <c r="E209" i="83" s="1"/>
  <c r="G209" i="83" s="1"/>
  <c r="J209" i="83" s="1"/>
  <c r="E209" i="84" s="1"/>
  <c r="E204" i="82"/>
  <c r="G204" i="82" s="1"/>
  <c r="J204" i="82" s="1"/>
  <c r="E204" i="83" s="1"/>
  <c r="G204" i="83" s="1"/>
  <c r="J204" i="83" s="1"/>
  <c r="E204" i="84" s="1"/>
  <c r="E210" i="82"/>
  <c r="G210" i="82" s="1"/>
  <c r="J210" i="82" s="1"/>
  <c r="E210" i="83" s="1"/>
  <c r="G210" i="83" s="1"/>
  <c r="J210" i="83" s="1"/>
  <c r="E210" i="84" s="1"/>
  <c r="E150" i="82"/>
  <c r="G150" i="82" s="1"/>
  <c r="J150" i="82" s="1"/>
  <c r="E150" i="83" s="1"/>
  <c r="G150" i="83" s="1"/>
  <c r="J150" i="83" s="1"/>
  <c r="E150" i="84" s="1"/>
  <c r="E197" i="82"/>
  <c r="G197" i="82" s="1"/>
  <c r="J197" i="82" s="1"/>
  <c r="E197" i="83" s="1"/>
  <c r="G197" i="83" s="1"/>
  <c r="J197" i="83" s="1"/>
  <c r="E197" i="84" s="1"/>
  <c r="E113" i="82"/>
  <c r="G113" i="82" s="1"/>
  <c r="J113" i="82" s="1"/>
  <c r="E113" i="83" s="1"/>
  <c r="G113" i="83" s="1"/>
  <c r="J113" i="83" s="1"/>
  <c r="E113" i="84" s="1"/>
  <c r="E202" i="82"/>
  <c r="G202" i="82" s="1"/>
  <c r="J202" i="82" s="1"/>
  <c r="E202" i="83" s="1"/>
  <c r="G202" i="83" s="1"/>
  <c r="J202" i="83" s="1"/>
  <c r="E202" i="84" s="1"/>
  <c r="E212" i="82"/>
  <c r="G212" i="82" s="1"/>
  <c r="J212" i="82" s="1"/>
  <c r="E212" i="83" s="1"/>
  <c r="G212" i="83" s="1"/>
  <c r="J212" i="83" s="1"/>
  <c r="E212" i="84" s="1"/>
  <c r="E198" i="82"/>
  <c r="G198" i="82" s="1"/>
  <c r="J198" i="82" s="1"/>
  <c r="E198" i="83" s="1"/>
  <c r="G198" i="83" s="1"/>
  <c r="J198" i="83" s="1"/>
  <c r="E198" i="84" s="1"/>
  <c r="E149" i="82"/>
  <c r="G149" i="82" s="1"/>
  <c r="J149" i="82" s="1"/>
  <c r="E149" i="83" s="1"/>
  <c r="G149" i="83" s="1"/>
  <c r="J149" i="83" s="1"/>
  <c r="E149" i="84" s="1"/>
  <c r="E182" i="82"/>
  <c r="G182" i="82" s="1"/>
  <c r="J182" i="82" s="1"/>
  <c r="E182" i="83" s="1"/>
  <c r="G182" i="83" s="1"/>
  <c r="J182" i="83" s="1"/>
  <c r="E182" i="84" s="1"/>
  <c r="E195" i="82"/>
  <c r="G195" i="82" s="1"/>
  <c r="J195" i="82" s="1"/>
  <c r="E195" i="83" s="1"/>
  <c r="G195" i="83" s="1"/>
  <c r="J195" i="83" s="1"/>
  <c r="E195" i="84" s="1"/>
  <c r="E157" i="82"/>
  <c r="G157" i="82" s="1"/>
  <c r="J157" i="82" s="1"/>
  <c r="E157" i="83" s="1"/>
  <c r="G157" i="83" s="1"/>
  <c r="J157" i="83" s="1"/>
  <c r="E157" i="84" s="1"/>
  <c r="E147" i="82"/>
  <c r="G147" i="82" s="1"/>
  <c r="J147" i="82" s="1"/>
  <c r="E147" i="83" s="1"/>
  <c r="G147" i="83" s="1"/>
  <c r="J147" i="83" s="1"/>
  <c r="E147" i="84" s="1"/>
  <c r="E128" i="82"/>
  <c r="G128" i="82" s="1"/>
  <c r="J128" i="82" s="1"/>
  <c r="E128" i="83" s="1"/>
  <c r="G128" i="83" s="1"/>
  <c r="J128" i="83" s="1"/>
  <c r="E128" i="84" s="1"/>
  <c r="E156" i="82"/>
  <c r="G156" i="82" s="1"/>
  <c r="J156" i="82" s="1"/>
  <c r="E156" i="83" s="1"/>
  <c r="G156" i="83" s="1"/>
  <c r="J156" i="83" s="1"/>
  <c r="E156" i="84" s="1"/>
  <c r="E196" i="82"/>
  <c r="G196" i="82" s="1"/>
  <c r="J196" i="82" s="1"/>
  <c r="E196" i="83" s="1"/>
  <c r="G196" i="83" s="1"/>
  <c r="J196" i="83" s="1"/>
  <c r="E196" i="84" s="1"/>
  <c r="E211" i="82"/>
  <c r="G211" i="82" s="1"/>
  <c r="J211" i="82" s="1"/>
  <c r="E211" i="83" s="1"/>
  <c r="G211" i="83" s="1"/>
  <c r="J211" i="83" s="1"/>
  <c r="E211" i="84" s="1"/>
  <c r="G249" i="82"/>
  <c r="J249" i="82" s="1"/>
  <c r="E249" i="83" s="1"/>
  <c r="E241" i="82"/>
  <c r="G241" i="82" s="1"/>
  <c r="J241" i="82" s="1"/>
  <c r="G231" i="84"/>
  <c r="J231" i="84" s="1"/>
  <c r="G232" i="82"/>
  <c r="J232" i="82" s="1"/>
  <c r="E232" i="83" s="1"/>
  <c r="G240" i="82"/>
  <c r="J240" i="82" s="1"/>
  <c r="E240" i="83" s="1"/>
  <c r="G71" i="79"/>
  <c r="J71" i="79" s="1"/>
  <c r="E71" i="80" s="1"/>
  <c r="G70" i="79"/>
  <c r="J70" i="79" s="1"/>
  <c r="E70" i="80" s="1"/>
  <c r="G175" i="79"/>
  <c r="J175" i="79" s="1"/>
  <c r="E175" i="80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X15" i="8"/>
  <c r="Y16" i="8"/>
  <c r="X10" i="8"/>
  <c r="X12" i="8"/>
  <c r="S16" i="8"/>
  <c r="X9" i="8"/>
  <c r="V16" i="8"/>
  <c r="W16" i="8"/>
  <c r="T16" i="8"/>
  <c r="X11" i="8"/>
  <c r="U16" i="8"/>
  <c r="E231" i="85" l="1"/>
  <c r="G252" i="84"/>
  <c r="J252" i="84" s="1"/>
  <c r="E252" i="85" s="1"/>
  <c r="E239" i="84"/>
  <c r="G239" i="84" s="1"/>
  <c r="J239" i="84" s="1"/>
  <c r="G249" i="83"/>
  <c r="J249" i="83" s="1"/>
  <c r="E249" i="84" s="1"/>
  <c r="E241" i="83"/>
  <c r="G241" i="83" s="1"/>
  <c r="J241" i="83" s="1"/>
  <c r="G232" i="83"/>
  <c r="J232" i="83" s="1"/>
  <c r="E232" i="84" s="1"/>
  <c r="G240" i="83"/>
  <c r="J240" i="83" s="1"/>
  <c r="E240" i="84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16" i="8"/>
  <c r="G252" i="85" l="1"/>
  <c r="J252" i="85" s="1"/>
  <c r="E252" i="86" s="1"/>
  <c r="G252" i="86" s="1"/>
  <c r="J252" i="86" s="1"/>
  <c r="E252" i="87" s="1"/>
  <c r="E239" i="85"/>
  <c r="G239" i="85" s="1"/>
  <c r="J239" i="85" s="1"/>
  <c r="E239" i="86" s="1"/>
  <c r="E177" i="86"/>
  <c r="G177" i="86" s="1"/>
  <c r="J177" i="86" s="1"/>
  <c r="E177" i="87" s="1"/>
  <c r="E226" i="86"/>
  <c r="G226" i="86" s="1"/>
  <c r="J226" i="86" s="1"/>
  <c r="E226" i="87" s="1"/>
  <c r="E148" i="86"/>
  <c r="G148" i="86" s="1"/>
  <c r="J148" i="86" s="1"/>
  <c r="E148" i="87" s="1"/>
  <c r="G148" i="87" s="1"/>
  <c r="J148" i="87" s="1"/>
  <c r="E151" i="86"/>
  <c r="G151" i="86" s="1"/>
  <c r="J151" i="86" s="1"/>
  <c r="E151" i="87" s="1"/>
  <c r="E127" i="86"/>
  <c r="G127" i="86" s="1"/>
  <c r="J127" i="86" s="1"/>
  <c r="E127" i="87" s="1"/>
  <c r="E126" i="86"/>
  <c r="G126" i="86" s="1"/>
  <c r="J126" i="86" s="1"/>
  <c r="E126" i="87" s="1"/>
  <c r="G126" i="87" s="1"/>
  <c r="J126" i="87" s="1"/>
  <c r="E208" i="86"/>
  <c r="G208" i="86" s="1"/>
  <c r="J208" i="86" s="1"/>
  <c r="E208" i="87" s="1"/>
  <c r="G208" i="87" s="1"/>
  <c r="J208" i="87" s="1"/>
  <c r="E213" i="86"/>
  <c r="G213" i="86" s="1"/>
  <c r="J213" i="86" s="1"/>
  <c r="E213" i="87" s="1"/>
  <c r="G213" i="87" s="1"/>
  <c r="J213" i="87" s="1"/>
  <c r="E206" i="86"/>
  <c r="G206" i="86" s="1"/>
  <c r="J206" i="86" s="1"/>
  <c r="E206" i="87" s="1"/>
  <c r="G206" i="87" s="1"/>
  <c r="J206" i="87" s="1"/>
  <c r="E83" i="86"/>
  <c r="G83" i="86" s="1"/>
  <c r="J83" i="86" s="1"/>
  <c r="E83" i="87" s="1"/>
  <c r="E193" i="86"/>
  <c r="G193" i="86" s="1"/>
  <c r="J193" i="86" s="1"/>
  <c r="E193" i="87" s="1"/>
  <c r="E152" i="86"/>
  <c r="G152" i="86" s="1"/>
  <c r="J152" i="86" s="1"/>
  <c r="E152" i="87" s="1"/>
  <c r="G152" i="87" s="1"/>
  <c r="J152" i="87" s="1"/>
  <c r="E194" i="86"/>
  <c r="G194" i="86" s="1"/>
  <c r="J194" i="86" s="1"/>
  <c r="E194" i="87" s="1"/>
  <c r="G194" i="87" s="1"/>
  <c r="J194" i="87" s="1"/>
  <c r="E155" i="86"/>
  <c r="G155" i="86" s="1"/>
  <c r="J155" i="86" s="1"/>
  <c r="E155" i="87" s="1"/>
  <c r="G155" i="87" s="1"/>
  <c r="J155" i="87" s="1"/>
  <c r="E181" i="86"/>
  <c r="G181" i="86" s="1"/>
  <c r="J181" i="86" s="1"/>
  <c r="E181" i="87" s="1"/>
  <c r="G181" i="87" s="1"/>
  <c r="J181" i="87" s="1"/>
  <c r="E205" i="86"/>
  <c r="G205" i="86" s="1"/>
  <c r="J205" i="86" s="1"/>
  <c r="E205" i="87" s="1"/>
  <c r="E153" i="86"/>
  <c r="G153" i="86" s="1"/>
  <c r="J153" i="86" s="1"/>
  <c r="E153" i="87" s="1"/>
  <c r="G153" i="87" s="1"/>
  <c r="J153" i="87" s="1"/>
  <c r="E125" i="86"/>
  <c r="G125" i="86" s="1"/>
  <c r="J125" i="86" s="1"/>
  <c r="E125" i="87" s="1"/>
  <c r="G125" i="87" s="1"/>
  <c r="J125" i="87" s="1"/>
  <c r="E84" i="86"/>
  <c r="G84" i="86" s="1"/>
  <c r="J84" i="86" s="1"/>
  <c r="E84" i="87" s="1"/>
  <c r="G249" i="84"/>
  <c r="J249" i="84" s="1"/>
  <c r="E249" i="85" s="1"/>
  <c r="E241" i="84"/>
  <c r="G241" i="84" s="1"/>
  <c r="J241" i="84" s="1"/>
  <c r="E175" i="81"/>
  <c r="G175" i="81" s="1"/>
  <c r="J175" i="81" s="1"/>
  <c r="E71" i="81"/>
  <c r="G71" i="81" s="1"/>
  <c r="J71" i="81" s="1"/>
  <c r="E70" i="81"/>
  <c r="G70" i="81" s="1"/>
  <c r="J70" i="81" s="1"/>
  <c r="G232" i="84"/>
  <c r="J232" i="84" s="1"/>
  <c r="E232" i="85" s="1"/>
  <c r="G240" i="84"/>
  <c r="J240" i="84" s="1"/>
  <c r="E240" i="85" s="1"/>
  <c r="G231" i="86"/>
  <c r="J231" i="86" s="1"/>
  <c r="G239" i="86"/>
  <c r="J239" i="86" s="1"/>
  <c r="G205" i="87"/>
  <c r="J205" i="87" s="1"/>
  <c r="G193" i="87"/>
  <c r="J193" i="87" s="1"/>
  <c r="G177" i="87"/>
  <c r="J177" i="87" s="1"/>
  <c r="G83" i="87"/>
  <c r="J83" i="87" s="1"/>
  <c r="G127" i="87"/>
  <c r="J127" i="87" s="1"/>
  <c r="G151" i="87"/>
  <c r="J151" i="87" s="1"/>
  <c r="G84" i="87"/>
  <c r="J84" i="87" s="1"/>
  <c r="G226" i="87"/>
  <c r="J226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9" i="85" l="1"/>
  <c r="J249" i="85" s="1"/>
  <c r="E249" i="86" s="1"/>
  <c r="E241" i="85"/>
  <c r="E231" i="87"/>
  <c r="G252" i="87"/>
  <c r="J252" i="87" s="1"/>
  <c r="E239" i="87"/>
  <c r="G239" i="87" s="1"/>
  <c r="J239" i="87" s="1"/>
  <c r="E209" i="86"/>
  <c r="G209" i="86" s="1"/>
  <c r="J209" i="86" s="1"/>
  <c r="E209" i="87" s="1"/>
  <c r="G209" i="87" s="1"/>
  <c r="J209" i="87" s="1"/>
  <c r="E147" i="86"/>
  <c r="G147" i="86" s="1"/>
  <c r="J147" i="86" s="1"/>
  <c r="E147" i="87" s="1"/>
  <c r="E195" i="86"/>
  <c r="G195" i="86" s="1"/>
  <c r="J195" i="86" s="1"/>
  <c r="E195" i="87" s="1"/>
  <c r="G195" i="87" s="1"/>
  <c r="J195" i="87" s="1"/>
  <c r="E196" i="86"/>
  <c r="G196" i="86" s="1"/>
  <c r="J196" i="86" s="1"/>
  <c r="E196" i="87" s="1"/>
  <c r="G196" i="87" s="1"/>
  <c r="J196" i="87" s="1"/>
  <c r="E156" i="86"/>
  <c r="G156" i="86" s="1"/>
  <c r="J156" i="86" s="1"/>
  <c r="E156" i="87" s="1"/>
  <c r="G156" i="87" s="1"/>
  <c r="J156" i="87" s="1"/>
  <c r="E197" i="86"/>
  <c r="G197" i="86" s="1"/>
  <c r="J197" i="86" s="1"/>
  <c r="E197" i="87" s="1"/>
  <c r="G197" i="87" s="1"/>
  <c r="J197" i="87" s="1"/>
  <c r="E210" i="86"/>
  <c r="G210" i="86" s="1"/>
  <c r="J210" i="86" s="1"/>
  <c r="E210" i="87" s="1"/>
  <c r="G210" i="87" s="1"/>
  <c r="J210" i="87" s="1"/>
  <c r="E204" i="86"/>
  <c r="G204" i="86" s="1"/>
  <c r="J204" i="86" s="1"/>
  <c r="E204" i="87" s="1"/>
  <c r="G204" i="87" s="1"/>
  <c r="J204" i="87" s="1"/>
  <c r="E182" i="86"/>
  <c r="G182" i="86" s="1"/>
  <c r="J182" i="86" s="1"/>
  <c r="E182" i="87" s="1"/>
  <c r="G182" i="87" s="1"/>
  <c r="J182" i="87" s="1"/>
  <c r="E150" i="86"/>
  <c r="G150" i="86" s="1"/>
  <c r="J150" i="86" s="1"/>
  <c r="E150" i="87" s="1"/>
  <c r="G150" i="87" s="1"/>
  <c r="J150" i="87" s="1"/>
  <c r="E128" i="86"/>
  <c r="G128" i="86" s="1"/>
  <c r="J128" i="86" s="1"/>
  <c r="E128" i="87" s="1"/>
  <c r="G128" i="87" s="1"/>
  <c r="J128" i="87" s="1"/>
  <c r="E212" i="86"/>
  <c r="G212" i="86" s="1"/>
  <c r="J212" i="86" s="1"/>
  <c r="E212" i="87" s="1"/>
  <c r="G212" i="87" s="1"/>
  <c r="J212" i="87" s="1"/>
  <c r="E149" i="86"/>
  <c r="G149" i="86" s="1"/>
  <c r="J149" i="86" s="1"/>
  <c r="E149" i="87" s="1"/>
  <c r="G149" i="87" s="1"/>
  <c r="J149" i="87" s="1"/>
  <c r="E202" i="86"/>
  <c r="G202" i="86" s="1"/>
  <c r="J202" i="86" s="1"/>
  <c r="E202" i="87" s="1"/>
  <c r="E157" i="86"/>
  <c r="G157" i="86" s="1"/>
  <c r="J157" i="86" s="1"/>
  <c r="E157" i="87" s="1"/>
  <c r="E203" i="86"/>
  <c r="G203" i="86" s="1"/>
  <c r="J203" i="86" s="1"/>
  <c r="E203" i="87" s="1"/>
  <c r="G203" i="87" s="1"/>
  <c r="J203" i="87" s="1"/>
  <c r="E198" i="86"/>
  <c r="G198" i="86" s="1"/>
  <c r="J198" i="86" s="1"/>
  <c r="E198" i="87" s="1"/>
  <c r="G198" i="87" s="1"/>
  <c r="J198" i="87" s="1"/>
  <c r="E211" i="86"/>
  <c r="G211" i="86" s="1"/>
  <c r="J211" i="86" s="1"/>
  <c r="E211" i="87" s="1"/>
  <c r="G211" i="87" s="1"/>
  <c r="J211" i="87" s="1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G231" i="87"/>
  <c r="J231" i="87" s="1"/>
  <c r="G240" i="85"/>
  <c r="J240" i="85" s="1"/>
  <c r="E240" i="86" s="1"/>
  <c r="G241" i="85"/>
  <c r="J241" i="85" s="1"/>
  <c r="G232" i="85"/>
  <c r="J232" i="85" s="1"/>
  <c r="E232" i="86" s="1"/>
  <c r="G157" i="87"/>
  <c r="J157" i="87" s="1"/>
  <c r="G202" i="87"/>
  <c r="J202" i="87" s="1"/>
  <c r="G9" i="86"/>
  <c r="J9" i="86" s="1"/>
  <c r="G39" i="87"/>
  <c r="J39" i="87" s="1"/>
  <c r="G11" i="86"/>
  <c r="J11" i="86" s="1"/>
  <c r="G147" i="87"/>
  <c r="J147" i="87" s="1"/>
  <c r="G10" i="86"/>
  <c r="J10" i="86" s="1"/>
  <c r="G113" i="86"/>
  <c r="J113" i="86" s="1"/>
  <c r="E113" i="87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11" i="87" l="1"/>
  <c r="G11" i="87" s="1"/>
  <c r="J11" i="87" s="1"/>
  <c r="E9" i="87"/>
  <c r="G9" i="87" s="1"/>
  <c r="J9" i="87" s="1"/>
  <c r="E10" i="87"/>
  <c r="G10" i="87" s="1"/>
  <c r="J10" i="87" s="1"/>
  <c r="G249" i="86"/>
  <c r="J249" i="86" s="1"/>
  <c r="E249" i="87" s="1"/>
  <c r="E241" i="86"/>
  <c r="J19" i="8"/>
  <c r="G19" i="8"/>
  <c r="G21" i="8"/>
  <c r="J21" i="8"/>
  <c r="J20" i="8"/>
  <c r="G20" i="8"/>
  <c r="G22" i="8"/>
  <c r="J22" i="8"/>
  <c r="G232" i="86"/>
  <c r="J232" i="86" s="1"/>
  <c r="E232" i="87" s="1"/>
  <c r="G240" i="86"/>
  <c r="J240" i="86" s="1"/>
  <c r="E240" i="87" s="1"/>
  <c r="G241" i="86"/>
  <c r="J241" i="86" s="1"/>
  <c r="G113" i="87"/>
  <c r="J113" i="87" s="1"/>
  <c r="G22" i="77"/>
  <c r="J22" i="77" s="1"/>
  <c r="E22" i="78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G184" i="8" s="1"/>
  <c r="E89" i="8"/>
  <c r="G89" i="8" s="1"/>
  <c r="E41" i="8"/>
  <c r="G41" i="8" s="1"/>
  <c r="E49" i="8"/>
  <c r="G49" i="8" s="1"/>
  <c r="E140" i="8"/>
  <c r="G140" i="8" s="1"/>
  <c r="E224" i="8"/>
  <c r="G224" i="8" s="1"/>
  <c r="E65" i="8"/>
  <c r="G65" i="8" s="1"/>
  <c r="E46" i="8"/>
  <c r="G46" i="8" s="1"/>
  <c r="E115" i="8"/>
  <c r="G115" i="8" s="1"/>
  <c r="E92" i="8"/>
  <c r="G92" i="8" s="1"/>
  <c r="E55" i="8"/>
  <c r="G55" i="8" s="1"/>
  <c r="E163" i="8"/>
  <c r="G163" i="8" s="1"/>
  <c r="E234" i="8"/>
  <c r="G234" i="8" s="1"/>
  <c r="E100" i="8"/>
  <c r="G100" i="8" s="1"/>
  <c r="G20" i="77"/>
  <c r="J20" i="77" s="1"/>
  <c r="E20" i="78" s="1"/>
  <c r="E30" i="8"/>
  <c r="G30" i="8" s="1"/>
  <c r="E167" i="8"/>
  <c r="G167" i="8" s="1"/>
  <c r="E78" i="8"/>
  <c r="G78" i="8" s="1"/>
  <c r="E32" i="8"/>
  <c r="G32" i="8" s="1"/>
  <c r="E36" i="8"/>
  <c r="G36" i="8" s="1"/>
  <c r="G24" i="77"/>
  <c r="J24" i="77" s="1"/>
  <c r="E24" i="78" s="1"/>
  <c r="E24" i="8"/>
  <c r="G24" i="8" s="1"/>
  <c r="E159" i="8"/>
  <c r="G159" i="8" s="1"/>
  <c r="E192" i="8"/>
  <c r="G192" i="8" s="1"/>
  <c r="E158" i="8"/>
  <c r="G158" i="8" s="1"/>
  <c r="G26" i="77"/>
  <c r="J26" i="77" s="1"/>
  <c r="E26" i="78" s="1"/>
  <c r="E26" i="8"/>
  <c r="G26" i="8" s="1"/>
  <c r="E110" i="8"/>
  <c r="G110" i="8" s="1"/>
  <c r="E99" i="8"/>
  <c r="G99" i="8" s="1"/>
  <c r="E164" i="8"/>
  <c r="G164" i="8" s="1"/>
  <c r="E215" i="8"/>
  <c r="G215" i="8" s="1"/>
  <c r="E139" i="8"/>
  <c r="G139" i="8" s="1"/>
  <c r="E144" i="8"/>
  <c r="G144" i="8" s="1"/>
  <c r="E44" i="8"/>
  <c r="G44" i="8" s="1"/>
  <c r="E40" i="8"/>
  <c r="G40" i="8" s="1"/>
  <c r="E69" i="8"/>
  <c r="G69" i="8" s="1"/>
  <c r="E171" i="8"/>
  <c r="G171" i="8" s="1"/>
  <c r="E120" i="8"/>
  <c r="G120" i="8" s="1"/>
  <c r="G25" i="77"/>
  <c r="J25" i="77" s="1"/>
  <c r="E25" i="78" s="1"/>
  <c r="E25" i="8"/>
  <c r="G25" i="8" s="1"/>
  <c r="E66" i="8"/>
  <c r="G66" i="8" s="1"/>
  <c r="E141" i="8"/>
  <c r="G141" i="8" s="1"/>
  <c r="E68" i="8"/>
  <c r="G68" i="8" s="1"/>
  <c r="E121" i="8"/>
  <c r="G121" i="8" s="1"/>
  <c r="E112" i="8"/>
  <c r="G112" i="8" s="1"/>
  <c r="E116" i="8"/>
  <c r="G116" i="8" s="1"/>
  <c r="E179" i="8"/>
  <c r="G179" i="8" s="1"/>
  <c r="E91" i="8"/>
  <c r="G91" i="8" s="1"/>
  <c r="E222" i="8"/>
  <c r="G222" i="8" s="1"/>
  <c r="E31" i="8"/>
  <c r="G31" i="8" s="1"/>
  <c r="E43" i="8"/>
  <c r="G43" i="8" s="1"/>
  <c r="E180" i="8"/>
  <c r="G180" i="8" s="1"/>
  <c r="E108" i="8"/>
  <c r="G108" i="8" s="1"/>
  <c r="E138" i="8"/>
  <c r="G138" i="8" s="1"/>
  <c r="E230" i="8"/>
  <c r="G230" i="8" s="1"/>
  <c r="E52" i="8"/>
  <c r="G52" i="8" s="1"/>
  <c r="E143" i="8"/>
  <c r="G143" i="8" s="1"/>
  <c r="E123" i="8"/>
  <c r="G123" i="8" s="1"/>
  <c r="E183" i="8"/>
  <c r="G183" i="8" s="1"/>
  <c r="E57" i="8"/>
  <c r="G57" i="8" s="1"/>
  <c r="E223" i="8"/>
  <c r="G223" i="8" s="1"/>
  <c r="G19" i="77"/>
  <c r="J19" i="77" s="1"/>
  <c r="E19" i="78" s="1"/>
  <c r="E233" i="8"/>
  <c r="G233" i="8" s="1"/>
  <c r="E146" i="8"/>
  <c r="G146" i="8" s="1"/>
  <c r="E130" i="8"/>
  <c r="G130" i="8" s="1"/>
  <c r="E220" i="8"/>
  <c r="G220" i="8" s="1"/>
  <c r="E95" i="8"/>
  <c r="G95" i="8" s="1"/>
  <c r="E160" i="8"/>
  <c r="G160" i="8" s="1"/>
  <c r="E101" i="8"/>
  <c r="G101" i="8" s="1"/>
  <c r="E58" i="8"/>
  <c r="G58" i="8" s="1"/>
  <c r="E56" i="8"/>
  <c r="G56" i="8" s="1"/>
  <c r="E90" i="8"/>
  <c r="G90" i="8" s="1"/>
  <c r="E118" i="8"/>
  <c r="G118" i="8" s="1"/>
  <c r="E50" i="8"/>
  <c r="G50" i="8" s="1"/>
  <c r="E227" i="8"/>
  <c r="G227" i="8" s="1"/>
  <c r="E62" i="8"/>
  <c r="G62" i="8" s="1"/>
  <c r="E85" i="8"/>
  <c r="G85" i="8" s="1"/>
  <c r="E48" i="8"/>
  <c r="G48" i="8" s="1"/>
  <c r="E142" i="8"/>
  <c r="G142" i="8" s="1"/>
  <c r="E154" i="8"/>
  <c r="G154" i="8" s="1"/>
  <c r="E228" i="8"/>
  <c r="G228" i="8" s="1"/>
  <c r="E185" i="8"/>
  <c r="G185" i="8" s="1"/>
  <c r="E74" i="8"/>
  <c r="G74" i="8" s="1"/>
  <c r="E79" i="8"/>
  <c r="G79" i="8" s="1"/>
  <c r="E97" i="8"/>
  <c r="G97" i="8" s="1"/>
  <c r="E93" i="8"/>
  <c r="G93" i="8" s="1"/>
  <c r="E166" i="8"/>
  <c r="G166" i="8" s="1"/>
  <c r="E172" i="8"/>
  <c r="G172" i="8" s="1"/>
  <c r="E27" i="8"/>
  <c r="G27" i="8" s="1"/>
  <c r="E29" i="8"/>
  <c r="G29" i="8" s="1"/>
  <c r="E162" i="8"/>
  <c r="G162" i="8" s="1"/>
  <c r="E53" i="8"/>
  <c r="G53" i="8" s="1"/>
  <c r="E107" i="8"/>
  <c r="G107" i="8" s="1"/>
  <c r="E145" i="8"/>
  <c r="G145" i="8" s="1"/>
  <c r="E59" i="8"/>
  <c r="G59" i="8" s="1"/>
  <c r="E191" i="8"/>
  <c r="G191" i="8" s="1"/>
  <c r="E42" i="8"/>
  <c r="G42" i="8" s="1"/>
  <c r="E137" i="8"/>
  <c r="G137" i="8" s="1"/>
  <c r="G21" i="77"/>
  <c r="J21" i="77" s="1"/>
  <c r="E21" i="78" s="1"/>
  <c r="E170" i="8"/>
  <c r="G170" i="8" s="1"/>
  <c r="E47" i="8"/>
  <c r="G47" i="8" s="1"/>
  <c r="E225" i="8"/>
  <c r="G225" i="8" s="1"/>
  <c r="E64" i="8"/>
  <c r="G64" i="8" s="1"/>
  <c r="E28" i="8"/>
  <c r="G28" i="8" s="1"/>
  <c r="E33" i="8"/>
  <c r="G33" i="8" s="1"/>
  <c r="E77" i="8"/>
  <c r="G77" i="8" s="1"/>
  <c r="E37" i="8"/>
  <c r="G37" i="8" s="1"/>
  <c r="E111" i="8"/>
  <c r="G111" i="8" s="1"/>
  <c r="E61" i="8"/>
  <c r="G61" i="8" s="1"/>
  <c r="E67" i="8"/>
  <c r="G67" i="8" s="1"/>
  <c r="E106" i="8"/>
  <c r="G106" i="8" s="1"/>
  <c r="E80" i="8"/>
  <c r="G80" i="8" s="1"/>
  <c r="E54" i="8"/>
  <c r="G54" i="8" s="1"/>
  <c r="E72" i="8"/>
  <c r="G72" i="8" s="1"/>
  <c r="E81" i="8"/>
  <c r="G81" i="8" s="1"/>
  <c r="E86" i="8"/>
  <c r="G86" i="8" s="1"/>
  <c r="G23" i="77"/>
  <c r="J23" i="77" s="1"/>
  <c r="E23" i="78" s="1"/>
  <c r="E23" i="8"/>
  <c r="G23" i="8" s="1"/>
  <c r="E117" i="8"/>
  <c r="G117" i="8" s="1"/>
  <c r="E51" i="8"/>
  <c r="G51" i="8" s="1"/>
  <c r="E176" i="8"/>
  <c r="G176" i="8" s="1"/>
  <c r="E98" i="8"/>
  <c r="G98" i="8" s="1"/>
  <c r="E73" i="8"/>
  <c r="G73" i="8" s="1"/>
  <c r="E34" i="8"/>
  <c r="G34" i="8" s="1"/>
  <c r="E168" i="8"/>
  <c r="G168" i="78"/>
  <c r="J168" i="78" s="1"/>
  <c r="E168" i="79" s="1"/>
  <c r="K213" i="64"/>
  <c r="K215" i="64" s="1"/>
  <c r="G249" i="87" l="1"/>
  <c r="J249" i="87" s="1"/>
  <c r="E241" i="87"/>
  <c r="G241" i="87" s="1"/>
  <c r="J241" i="87" s="1"/>
  <c r="J168" i="8"/>
  <c r="G168" i="8"/>
  <c r="G102" i="78"/>
  <c r="J102" i="78" s="1"/>
  <c r="E102" i="79" s="1"/>
  <c r="E103" i="78"/>
  <c r="G103" i="78" s="1"/>
  <c r="J103" i="78" s="1"/>
  <c r="E103" i="79" s="1"/>
  <c r="G174" i="78"/>
  <c r="J174" i="78" s="1"/>
  <c r="E174" i="79" s="1"/>
  <c r="E173" i="78"/>
  <c r="G173" i="78" s="1"/>
  <c r="J173" i="78" s="1"/>
  <c r="G240" i="87"/>
  <c r="J240" i="87" s="1"/>
  <c r="G232" i="87"/>
  <c r="J232" i="87" s="1"/>
  <c r="G175" i="85"/>
  <c r="J175" i="85" s="1"/>
  <c r="G70" i="85"/>
  <c r="J70" i="85" s="1"/>
  <c r="G71" i="85"/>
  <c r="J71" i="85" s="1"/>
  <c r="G190" i="78"/>
  <c r="J190" i="78" s="1"/>
  <c r="E190" i="79" s="1"/>
  <c r="G82" i="78"/>
  <c r="J82" i="78" s="1"/>
  <c r="E82" i="79" s="1"/>
  <c r="G104" i="78"/>
  <c r="J104" i="78" s="1"/>
  <c r="E104" i="79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J106" i="8"/>
  <c r="J170" i="8"/>
  <c r="J162" i="8"/>
  <c r="J227" i="8"/>
  <c r="J143" i="8"/>
  <c r="J163" i="8"/>
  <c r="J72" i="8"/>
  <c r="J166" i="8"/>
  <c r="J142" i="8"/>
  <c r="J160" i="8"/>
  <c r="J141" i="8"/>
  <c r="J144" i="8"/>
  <c r="J164" i="8"/>
  <c r="J36" i="8"/>
  <c r="J46" i="8"/>
  <c r="E119" i="8"/>
  <c r="G119" i="8" s="1"/>
  <c r="E96" i="8"/>
  <c r="G96" i="8" s="1"/>
  <c r="J98" i="8"/>
  <c r="J23" i="8"/>
  <c r="J67" i="8"/>
  <c r="J77" i="8"/>
  <c r="J64" i="8"/>
  <c r="J42" i="8"/>
  <c r="J145" i="8"/>
  <c r="J29" i="8"/>
  <c r="J93" i="8"/>
  <c r="J185" i="8"/>
  <c r="J48" i="8"/>
  <c r="J50" i="8"/>
  <c r="J95" i="8"/>
  <c r="J233" i="8"/>
  <c r="J57" i="8"/>
  <c r="J52" i="8"/>
  <c r="J180" i="8"/>
  <c r="J222" i="8"/>
  <c r="J112" i="8"/>
  <c r="J66" i="8"/>
  <c r="J69" i="8"/>
  <c r="J139" i="8"/>
  <c r="J99" i="8"/>
  <c r="J192" i="8"/>
  <c r="J32" i="8"/>
  <c r="J55" i="8"/>
  <c r="J65" i="8"/>
  <c r="J41" i="8"/>
  <c r="E161" i="8"/>
  <c r="G161" i="8" s="1"/>
  <c r="E132" i="8"/>
  <c r="G132" i="8" s="1"/>
  <c r="J117" i="8"/>
  <c r="J37" i="8"/>
  <c r="J59" i="8"/>
  <c r="J74" i="8"/>
  <c r="J56" i="8"/>
  <c r="J146" i="8"/>
  <c r="J108" i="8"/>
  <c r="J116" i="8"/>
  <c r="J171" i="8"/>
  <c r="J158" i="8"/>
  <c r="J30" i="8"/>
  <c r="J49" i="8"/>
  <c r="E165" i="8"/>
  <c r="G165" i="8" s="1"/>
  <c r="J176" i="8"/>
  <c r="J86" i="8"/>
  <c r="J54" i="8"/>
  <c r="J61" i="8"/>
  <c r="J33" i="8"/>
  <c r="J225" i="8"/>
  <c r="J137" i="8"/>
  <c r="J191" i="8"/>
  <c r="J107" i="8"/>
  <c r="J27" i="8"/>
  <c r="J97" i="8"/>
  <c r="J228" i="8"/>
  <c r="J85" i="8"/>
  <c r="J118" i="8"/>
  <c r="J58" i="8"/>
  <c r="J220" i="8"/>
  <c r="J230" i="8"/>
  <c r="J43" i="8"/>
  <c r="J91" i="8"/>
  <c r="J121" i="8"/>
  <c r="J25" i="8"/>
  <c r="J40" i="8"/>
  <c r="J110" i="8"/>
  <c r="J159" i="8"/>
  <c r="J78" i="8"/>
  <c r="J100" i="8"/>
  <c r="J92" i="8"/>
  <c r="J224" i="8"/>
  <c r="J89" i="8"/>
  <c r="E38" i="8"/>
  <c r="G38" i="8" s="1"/>
  <c r="E221" i="8"/>
  <c r="G221" i="8" s="1"/>
  <c r="J34" i="8"/>
  <c r="J51" i="8"/>
  <c r="J81" i="8"/>
  <c r="J80" i="8"/>
  <c r="J111" i="8"/>
  <c r="J28" i="8"/>
  <c r="J47" i="8"/>
  <c r="J53" i="8"/>
  <c r="J172" i="8"/>
  <c r="J79" i="8"/>
  <c r="J154" i="8"/>
  <c r="J62" i="8"/>
  <c r="J90" i="8"/>
  <c r="J101" i="8"/>
  <c r="J130" i="8"/>
  <c r="J223" i="8"/>
  <c r="J123" i="8"/>
  <c r="J138" i="8"/>
  <c r="J31" i="8"/>
  <c r="J179" i="8"/>
  <c r="J68" i="8"/>
  <c r="J120" i="8"/>
  <c r="J44" i="8"/>
  <c r="J215" i="8"/>
  <c r="J26" i="8"/>
  <c r="J24" i="8"/>
  <c r="J167" i="8"/>
  <c r="J234" i="8"/>
  <c r="J115" i="8"/>
  <c r="J140" i="8"/>
  <c r="E122" i="8"/>
  <c r="G122" i="8" s="1"/>
  <c r="K216" i="64"/>
  <c r="E71" i="86" l="1"/>
  <c r="G71" i="86" s="1"/>
  <c r="J71" i="86" s="1"/>
  <c r="E71" i="87" s="1"/>
  <c r="E70" i="86"/>
  <c r="G70" i="86" s="1"/>
  <c r="J70" i="86" s="1"/>
  <c r="E70" i="87" s="1"/>
  <c r="G70" i="87" s="1"/>
  <c r="J70" i="87" s="1"/>
  <c r="E175" i="86"/>
  <c r="G175" i="86" s="1"/>
  <c r="J175" i="86" s="1"/>
  <c r="E175" i="87" s="1"/>
  <c r="G175" i="87" s="1"/>
  <c r="J175" i="87" s="1"/>
  <c r="G174" i="79"/>
  <c r="J174" i="79" s="1"/>
  <c r="E174" i="80" s="1"/>
  <c r="E173" i="79"/>
  <c r="E41" i="78"/>
  <c r="G41" i="78" s="1"/>
  <c r="J41" i="78" s="1"/>
  <c r="E41" i="79" s="1"/>
  <c r="G41" i="79" s="1"/>
  <c r="J41" i="79" s="1"/>
  <c r="E66" i="78"/>
  <c r="G66" i="78" s="1"/>
  <c r="J66" i="78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E74" i="78"/>
  <c r="G74" i="78" s="1"/>
  <c r="J74" i="78" s="1"/>
  <c r="E74" i="79" s="1"/>
  <c r="G74" i="79" s="1"/>
  <c r="J74" i="79" s="1"/>
  <c r="E256" i="78"/>
  <c r="G256" i="78" s="1"/>
  <c r="J256" i="78" s="1"/>
  <c r="E256" i="79" s="1"/>
  <c r="G256" i="79" s="1"/>
  <c r="J256" i="79" s="1"/>
  <c r="E58" i="78"/>
  <c r="G58" i="78" s="1"/>
  <c r="J58" i="78" s="1"/>
  <c r="E58" i="79" s="1"/>
  <c r="G58" i="79" s="1"/>
  <c r="J58" i="79" s="1"/>
  <c r="E255" i="78"/>
  <c r="G255" i="78" s="1"/>
  <c r="J255" i="78" s="1"/>
  <c r="E255" i="79" s="1"/>
  <c r="G255" i="79" s="1"/>
  <c r="J255" i="79" s="1"/>
  <c r="E79" i="78"/>
  <c r="E65" i="78"/>
  <c r="G65" i="78" s="1"/>
  <c r="J65" i="78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E40" i="78"/>
  <c r="G40" i="78" s="1"/>
  <c r="J40" i="78" s="1"/>
  <c r="E40" i="79" s="1"/>
  <c r="G40" i="79" s="1"/>
  <c r="J40" i="79" s="1"/>
  <c r="E44" i="78"/>
  <c r="G44" i="78" s="1"/>
  <c r="J44" i="78" s="1"/>
  <c r="E44" i="79" s="1"/>
  <c r="G44" i="79" s="1"/>
  <c r="J44" i="79" s="1"/>
  <c r="E98" i="78"/>
  <c r="G98" i="78" s="1"/>
  <c r="J98" i="78" s="1"/>
  <c r="E98" i="79" s="1"/>
  <c r="G98" i="79" s="1"/>
  <c r="J98" i="79" s="1"/>
  <c r="E170" i="78"/>
  <c r="G170" i="78" s="1"/>
  <c r="J170" i="78" s="1"/>
  <c r="G247" i="78"/>
  <c r="J247" i="78" s="1"/>
  <c r="E234" i="78"/>
  <c r="G234" i="78" s="1"/>
  <c r="J234" i="78" s="1"/>
  <c r="G236" i="78"/>
  <c r="J236" i="78" s="1"/>
  <c r="E228" i="78"/>
  <c r="G228" i="78" s="1"/>
  <c r="J228" i="78" s="1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E179" i="78"/>
  <c r="G179" i="78" s="1"/>
  <c r="J179" i="78" s="1"/>
  <c r="E179" i="79" s="1"/>
  <c r="G179" i="79" s="1"/>
  <c r="J179" i="79" s="1"/>
  <c r="E37" i="78"/>
  <c r="G37" i="78" s="1"/>
  <c r="J37" i="78" s="1"/>
  <c r="E37" i="79" s="1"/>
  <c r="G37" i="79" s="1"/>
  <c r="J37" i="79" s="1"/>
  <c r="E31" i="78"/>
  <c r="G31" i="78" s="1"/>
  <c r="J31" i="78" s="1"/>
  <c r="E31" i="79" s="1"/>
  <c r="G31" i="79" s="1"/>
  <c r="J31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E140" i="78"/>
  <c r="G140" i="78" s="1"/>
  <c r="J140" i="78" s="1"/>
  <c r="E140" i="79" s="1"/>
  <c r="G140" i="79" s="1"/>
  <c r="J140" i="79" s="1"/>
  <c r="E118" i="78"/>
  <c r="G118" i="78" s="1"/>
  <c r="J118" i="78" s="1"/>
  <c r="E118" i="79" s="1"/>
  <c r="G118" i="79" s="1"/>
  <c r="J118" i="79" s="1"/>
  <c r="E115" i="78"/>
  <c r="G115" i="78" s="1"/>
  <c r="J115" i="78" s="1"/>
  <c r="E115" i="79" s="1"/>
  <c r="G115" i="79" s="1"/>
  <c r="J115" i="79" s="1"/>
  <c r="E89" i="78"/>
  <c r="G89" i="78" s="1"/>
  <c r="J89" i="78" s="1"/>
  <c r="E89" i="79" s="1"/>
  <c r="G89" i="79" s="1"/>
  <c r="J89" i="79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G235" i="78"/>
  <c r="J235" i="78" s="1"/>
  <c r="E227" i="78"/>
  <c r="G227" i="78" s="1"/>
  <c r="J227" i="78" s="1"/>
  <c r="E77" i="78"/>
  <c r="G77" i="78" s="1"/>
  <c r="J77" i="78" s="1"/>
  <c r="E77" i="79" s="1"/>
  <c r="G77" i="79" s="1"/>
  <c r="J77" i="79" s="1"/>
  <c r="E78" i="78"/>
  <c r="G78" i="78" s="1"/>
  <c r="J78" i="78" s="1"/>
  <c r="E78" i="79" s="1"/>
  <c r="G78" i="79" s="1"/>
  <c r="J78" i="79" s="1"/>
  <c r="E50" i="78"/>
  <c r="G50" i="78" s="1"/>
  <c r="J50" i="78" s="1"/>
  <c r="E50" i="79" s="1"/>
  <c r="G50" i="79" s="1"/>
  <c r="J50" i="79" s="1"/>
  <c r="E49" i="78"/>
  <c r="G49" i="78" s="1"/>
  <c r="J49" i="78" s="1"/>
  <c r="E49" i="79" s="1"/>
  <c r="G49" i="79" s="1"/>
  <c r="J49" i="79" s="1"/>
  <c r="E43" i="78"/>
  <c r="G43" i="78" s="1"/>
  <c r="J43" i="78" s="1"/>
  <c r="E43" i="79" s="1"/>
  <c r="G43" i="79" s="1"/>
  <c r="J43" i="79" s="1"/>
  <c r="G86" i="78"/>
  <c r="J86" i="78" s="1"/>
  <c r="G87" i="78"/>
  <c r="J87" i="78" s="1"/>
  <c r="G230" i="78"/>
  <c r="J230" i="78" s="1"/>
  <c r="G238" i="78"/>
  <c r="J238" i="78" s="1"/>
  <c r="G253" i="79"/>
  <c r="J253" i="79" s="1"/>
  <c r="E253" i="80" s="1"/>
  <c r="G259" i="78"/>
  <c r="J259" i="78" s="1"/>
  <c r="E259" i="79" s="1"/>
  <c r="G102" i="79"/>
  <c r="J102" i="79" s="1"/>
  <c r="E102" i="80" s="1"/>
  <c r="G71" i="87"/>
  <c r="J71" i="87" s="1"/>
  <c r="G104" i="79"/>
  <c r="J104" i="79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221" i="77"/>
  <c r="J221" i="77" s="1"/>
  <c r="G161" i="77"/>
  <c r="J161" i="77" s="1"/>
  <c r="E161" i="78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J221" i="8"/>
  <c r="J161" i="8"/>
  <c r="J132" i="8"/>
  <c r="E131" i="8"/>
  <c r="G131" i="8" s="1"/>
  <c r="J38" i="8"/>
  <c r="J96" i="8"/>
  <c r="E133" i="8"/>
  <c r="G133" i="8" s="1"/>
  <c r="J122" i="8"/>
  <c r="E214" i="8"/>
  <c r="G214" i="8" s="1"/>
  <c r="J165" i="8"/>
  <c r="J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G18" i="8" l="1"/>
  <c r="J18" i="8"/>
  <c r="E56" i="80"/>
  <c r="G56" i="80" s="1"/>
  <c r="J56" i="80" s="1"/>
  <c r="E56" i="81" s="1"/>
  <c r="E256" i="80"/>
  <c r="G256" i="80" s="1"/>
  <c r="J256" i="80" s="1"/>
  <c r="E256" i="81" s="1"/>
  <c r="E28" i="80"/>
  <c r="G28" i="80" s="1"/>
  <c r="J28" i="80" s="1"/>
  <c r="E28" i="81" s="1"/>
  <c r="G28" i="81" s="1"/>
  <c r="J28" i="81" s="1"/>
  <c r="E28" i="82" s="1"/>
  <c r="E141" i="80"/>
  <c r="G141" i="80" s="1"/>
  <c r="J141" i="80" s="1"/>
  <c r="E141" i="81" s="1"/>
  <c r="G141" i="81" s="1"/>
  <c r="J141" i="81" s="1"/>
  <c r="E141" i="82" s="1"/>
  <c r="E255" i="80"/>
  <c r="G255" i="80" s="1"/>
  <c r="J255" i="80" s="1"/>
  <c r="E255" i="81" s="1"/>
  <c r="G255" i="81" s="1"/>
  <c r="J255" i="81" s="1"/>
  <c r="E255" i="82" s="1"/>
  <c r="E89" i="80"/>
  <c r="G89" i="80" s="1"/>
  <c r="J89" i="80" s="1"/>
  <c r="E89" i="81" s="1"/>
  <c r="G89" i="81" s="1"/>
  <c r="J89" i="81" s="1"/>
  <c r="E89" i="82" s="1"/>
  <c r="E215" i="80"/>
  <c r="G215" i="80" s="1"/>
  <c r="J215" i="80" s="1"/>
  <c r="E215" i="81" s="1"/>
  <c r="G215" i="81" s="1"/>
  <c r="J215" i="81" s="1"/>
  <c r="E215" i="82" s="1"/>
  <c r="E61" i="80"/>
  <c r="G61" i="80" s="1"/>
  <c r="J61" i="80" s="1"/>
  <c r="E61" i="81" s="1"/>
  <c r="G61" i="81" s="1"/>
  <c r="J61" i="81" s="1"/>
  <c r="E61" i="82" s="1"/>
  <c r="E34" i="80"/>
  <c r="G34" i="80" s="1"/>
  <c r="J34" i="80" s="1"/>
  <c r="E34" i="81" s="1"/>
  <c r="G34" i="81" s="1"/>
  <c r="J34" i="81" s="1"/>
  <c r="E34" i="82" s="1"/>
  <c r="E186" i="80"/>
  <c r="G186" i="80" s="1"/>
  <c r="J186" i="80" s="1"/>
  <c r="E186" i="81" s="1"/>
  <c r="G186" i="81" s="1"/>
  <c r="J186" i="81" s="1"/>
  <c r="E186" i="82" s="1"/>
  <c r="E99" i="80"/>
  <c r="G99" i="80" s="1"/>
  <c r="J99" i="80" s="1"/>
  <c r="E99" i="81" s="1"/>
  <c r="E43" i="80"/>
  <c r="G43" i="80" s="1"/>
  <c r="J43" i="80" s="1"/>
  <c r="E43" i="81" s="1"/>
  <c r="G43" i="81" s="1"/>
  <c r="J43" i="81" s="1"/>
  <c r="E43" i="82" s="1"/>
  <c r="E80" i="80"/>
  <c r="G80" i="80" s="1"/>
  <c r="J80" i="80" s="1"/>
  <c r="E80" i="81" s="1"/>
  <c r="E49" i="80"/>
  <c r="G49" i="80" s="1"/>
  <c r="J49" i="80" s="1"/>
  <c r="E49" i="81" s="1"/>
  <c r="E115" i="80"/>
  <c r="G115" i="80" s="1"/>
  <c r="J115" i="80" s="1"/>
  <c r="E115" i="81" s="1"/>
  <c r="E31" i="80"/>
  <c r="G31" i="80" s="1"/>
  <c r="J31" i="80" s="1"/>
  <c r="E31" i="81" s="1"/>
  <c r="G31" i="81" s="1"/>
  <c r="J31" i="81" s="1"/>
  <c r="E31" i="82" s="1"/>
  <c r="E77" i="80"/>
  <c r="G77" i="80" s="1"/>
  <c r="J77" i="80" s="1"/>
  <c r="E77" i="81" s="1"/>
  <c r="G77" i="81" s="1"/>
  <c r="J77" i="81" s="1"/>
  <c r="E77" i="82" s="1"/>
  <c r="E37" i="80"/>
  <c r="G37" i="80" s="1"/>
  <c r="J37" i="80" s="1"/>
  <c r="E37" i="81" s="1"/>
  <c r="G37" i="81" s="1"/>
  <c r="J37" i="81" s="1"/>
  <c r="E37" i="82" s="1"/>
  <c r="E225" i="80"/>
  <c r="G225" i="80" s="1"/>
  <c r="J225" i="80" s="1"/>
  <c r="E225" i="81" s="1"/>
  <c r="G225" i="81" s="1"/>
  <c r="J225" i="81" s="1"/>
  <c r="E225" i="82" s="1"/>
  <c r="E41" i="80"/>
  <c r="G41" i="80" s="1"/>
  <c r="J41" i="80" s="1"/>
  <c r="E41" i="81" s="1"/>
  <c r="G41" i="81" s="1"/>
  <c r="J41" i="81" s="1"/>
  <c r="E41" i="82" s="1"/>
  <c r="E78" i="80"/>
  <c r="G78" i="80" s="1"/>
  <c r="J78" i="80" s="1"/>
  <c r="E78" i="81" s="1"/>
  <c r="G78" i="81" s="1"/>
  <c r="J78" i="81" s="1"/>
  <c r="E78" i="82" s="1"/>
  <c r="E140" i="80"/>
  <c r="G140" i="80" s="1"/>
  <c r="J140" i="80" s="1"/>
  <c r="E140" i="81" s="1"/>
  <c r="G140" i="81" s="1"/>
  <c r="J140" i="81" s="1"/>
  <c r="E140" i="82" s="1"/>
  <c r="E179" i="80"/>
  <c r="G179" i="80" s="1"/>
  <c r="J179" i="80" s="1"/>
  <c r="E179" i="81" s="1"/>
  <c r="G179" i="81" s="1"/>
  <c r="J179" i="81" s="1"/>
  <c r="E179" i="82" s="1"/>
  <c r="E58" i="80"/>
  <c r="G58" i="80" s="1"/>
  <c r="J58" i="80" s="1"/>
  <c r="E58" i="81" s="1"/>
  <c r="G58" i="81" s="1"/>
  <c r="J58" i="81" s="1"/>
  <c r="E58" i="82" s="1"/>
  <c r="E100" i="80"/>
  <c r="G100" i="80" s="1"/>
  <c r="J100" i="80" s="1"/>
  <c r="E100" i="81" s="1"/>
  <c r="G100" i="81" s="1"/>
  <c r="J100" i="81" s="1"/>
  <c r="E100" i="82" s="1"/>
  <c r="E44" i="80"/>
  <c r="G44" i="80" s="1"/>
  <c r="J44" i="80" s="1"/>
  <c r="E44" i="81" s="1"/>
  <c r="G44" i="81" s="1"/>
  <c r="J44" i="81" s="1"/>
  <c r="E44" i="82" s="1"/>
  <c r="E64" i="80"/>
  <c r="G64" i="80" s="1"/>
  <c r="J64" i="80" s="1"/>
  <c r="E64" i="81" s="1"/>
  <c r="E104" i="80"/>
  <c r="G104" i="80" s="1"/>
  <c r="J104" i="80" s="1"/>
  <c r="E104" i="81" s="1"/>
  <c r="G104" i="81" s="1"/>
  <c r="J104" i="81" s="1"/>
  <c r="E104" i="82" s="1"/>
  <c r="E46" i="80"/>
  <c r="G46" i="80" s="1"/>
  <c r="J46" i="80" s="1"/>
  <c r="E46" i="81" s="1"/>
  <c r="G46" i="81" s="1"/>
  <c r="J46" i="81" s="1"/>
  <c r="E46" i="82" s="1"/>
  <c r="E171" i="80"/>
  <c r="G171" i="80" s="1"/>
  <c r="J171" i="80" s="1"/>
  <c r="E171" i="81" s="1"/>
  <c r="G171" i="81" s="1"/>
  <c r="J171" i="81" s="1"/>
  <c r="E171" i="82" s="1"/>
  <c r="E74" i="80"/>
  <c r="G74" i="80" s="1"/>
  <c r="J74" i="80" s="1"/>
  <c r="E74" i="81" s="1"/>
  <c r="G74" i="81" s="1"/>
  <c r="J74" i="81" s="1"/>
  <c r="E74" i="82" s="1"/>
  <c r="E98" i="80"/>
  <c r="G98" i="80" s="1"/>
  <c r="J98" i="80" s="1"/>
  <c r="E98" i="81" s="1"/>
  <c r="G98" i="81" s="1"/>
  <c r="J98" i="81" s="1"/>
  <c r="E98" i="82" s="1"/>
  <c r="E33" i="80"/>
  <c r="G33" i="80" s="1"/>
  <c r="J33" i="80" s="1"/>
  <c r="E33" i="81" s="1"/>
  <c r="E47" i="80"/>
  <c r="G47" i="80" s="1"/>
  <c r="J47" i="80" s="1"/>
  <c r="E47" i="81" s="1"/>
  <c r="G47" i="81" s="1"/>
  <c r="J47" i="81" s="1"/>
  <c r="E47" i="82" s="1"/>
  <c r="E36" i="80"/>
  <c r="G36" i="80" s="1"/>
  <c r="J36" i="80" s="1"/>
  <c r="E36" i="81" s="1"/>
  <c r="G36" i="81" s="1"/>
  <c r="J36" i="81" s="1"/>
  <c r="E36" i="82" s="1"/>
  <c r="E143" i="80"/>
  <c r="G143" i="80" s="1"/>
  <c r="J143" i="80" s="1"/>
  <c r="E143" i="81" s="1"/>
  <c r="G143" i="81" s="1"/>
  <c r="J143" i="81" s="1"/>
  <c r="E143" i="82" s="1"/>
  <c r="E93" i="80"/>
  <c r="G93" i="80" s="1"/>
  <c r="J93" i="80" s="1"/>
  <c r="E93" i="81" s="1"/>
  <c r="G93" i="81" s="1"/>
  <c r="J93" i="81" s="1"/>
  <c r="E93" i="82" s="1"/>
  <c r="E27" i="80"/>
  <c r="G27" i="80" s="1"/>
  <c r="J27" i="80" s="1"/>
  <c r="E27" i="81" s="1"/>
  <c r="G27" i="81" s="1"/>
  <c r="J27" i="81" s="1"/>
  <c r="E27" i="82" s="1"/>
  <c r="E29" i="80"/>
  <c r="G29" i="80" s="1"/>
  <c r="J29" i="80" s="1"/>
  <c r="E29" i="81" s="1"/>
  <c r="G29" i="81" s="1"/>
  <c r="J29" i="81" s="1"/>
  <c r="E29" i="82" s="1"/>
  <c r="E51" i="80"/>
  <c r="G51" i="80" s="1"/>
  <c r="J51" i="80" s="1"/>
  <c r="E51" i="81" s="1"/>
  <c r="G51" i="81" s="1"/>
  <c r="J51" i="81" s="1"/>
  <c r="E51" i="82" s="1"/>
  <c r="E108" i="80"/>
  <c r="G108" i="80" s="1"/>
  <c r="J108" i="80" s="1"/>
  <c r="E108" i="81" s="1"/>
  <c r="G108" i="81" s="1"/>
  <c r="J108" i="81" s="1"/>
  <c r="E108" i="82" s="1"/>
  <c r="E118" i="80"/>
  <c r="G118" i="80" s="1"/>
  <c r="J118" i="80" s="1"/>
  <c r="E118" i="81" s="1"/>
  <c r="G118" i="81" s="1"/>
  <c r="J118" i="81" s="1"/>
  <c r="E118" i="82" s="1"/>
  <c r="E57" i="80"/>
  <c r="G57" i="80" s="1"/>
  <c r="J57" i="80" s="1"/>
  <c r="E57" i="81" s="1"/>
  <c r="G57" i="81" s="1"/>
  <c r="J57" i="81" s="1"/>
  <c r="E57" i="82" s="1"/>
  <c r="E52" i="80"/>
  <c r="G52" i="80" s="1"/>
  <c r="J52" i="80" s="1"/>
  <c r="E52" i="81" s="1"/>
  <c r="G52" i="81" s="1"/>
  <c r="J52" i="81" s="1"/>
  <c r="E52" i="82" s="1"/>
  <c r="E50" i="80"/>
  <c r="G50" i="80" s="1"/>
  <c r="J50" i="80" s="1"/>
  <c r="E50" i="81" s="1"/>
  <c r="G50" i="81" s="1"/>
  <c r="J50" i="81" s="1"/>
  <c r="E50" i="82" s="1"/>
  <c r="E40" i="80"/>
  <c r="G40" i="80" s="1"/>
  <c r="J40" i="80" s="1"/>
  <c r="E40" i="81" s="1"/>
  <c r="G40" i="81" s="1"/>
  <c r="J40" i="81" s="1"/>
  <c r="E40" i="82" s="1"/>
  <c r="E54" i="80"/>
  <c r="G54" i="80" s="1"/>
  <c r="J54" i="80" s="1"/>
  <c r="E54" i="81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234" i="79"/>
  <c r="E86" i="79"/>
  <c r="G86" i="79" s="1"/>
  <c r="J86" i="79" s="1"/>
  <c r="E86" i="80" s="1"/>
  <c r="E228" i="79"/>
  <c r="G228" i="79" s="1"/>
  <c r="J228" i="79" s="1"/>
  <c r="G243" i="79"/>
  <c r="J243" i="79" s="1"/>
  <c r="E235" i="79"/>
  <c r="G235" i="79" s="1"/>
  <c r="J235" i="79" s="1"/>
  <c r="E65" i="79"/>
  <c r="G65" i="79" s="1"/>
  <c r="J65" i="79" s="1"/>
  <c r="E65" i="80" s="1"/>
  <c r="G65" i="80" s="1"/>
  <c r="J65" i="80" s="1"/>
  <c r="E65" i="81" s="1"/>
  <c r="G244" i="79"/>
  <c r="J244" i="79" s="1"/>
  <c r="E244" i="80" s="1"/>
  <c r="E236" i="79"/>
  <c r="G236" i="79" s="1"/>
  <c r="J236" i="79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G88" i="79"/>
  <c r="J88" i="79" s="1"/>
  <c r="E88" i="80" s="1"/>
  <c r="E87" i="79"/>
  <c r="G87" i="79" s="1"/>
  <c r="J87" i="79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G242" i="79"/>
  <c r="J242" i="79" s="1"/>
  <c r="E247" i="79"/>
  <c r="G247" i="79" s="1"/>
  <c r="J247" i="79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G246" i="79"/>
  <c r="J246" i="79" s="1"/>
  <c r="E246" i="80" s="1"/>
  <c r="E238" i="79"/>
  <c r="G238" i="79" s="1"/>
  <c r="J238" i="79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230" i="79"/>
  <c r="G230" i="79" s="1"/>
  <c r="J230" i="79" s="1"/>
  <c r="E227" i="79"/>
  <c r="G227" i="79" s="1"/>
  <c r="J227" i="79" s="1"/>
  <c r="G79" i="78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E38" i="78"/>
  <c r="G38" i="78" s="1"/>
  <c r="J38" i="78" s="1"/>
  <c r="E38" i="79" s="1"/>
  <c r="G38" i="79" s="1"/>
  <c r="J38" i="79" s="1"/>
  <c r="E221" i="78"/>
  <c r="G221" i="78" s="1"/>
  <c r="J221" i="78" s="1"/>
  <c r="E165" i="78"/>
  <c r="G165" i="78" s="1"/>
  <c r="J165" i="78" s="1"/>
  <c r="E136" i="78"/>
  <c r="G136" i="78" s="1"/>
  <c r="J136" i="78" s="1"/>
  <c r="E136" i="79" s="1"/>
  <c r="E122" i="78"/>
  <c r="G122" i="78" s="1"/>
  <c r="J122" i="78" s="1"/>
  <c r="E122" i="79" s="1"/>
  <c r="G122" i="79" s="1"/>
  <c r="J122" i="79" s="1"/>
  <c r="G253" i="80"/>
  <c r="J253" i="80" s="1"/>
  <c r="E253" i="81" s="1"/>
  <c r="G259" i="79"/>
  <c r="J259" i="79" s="1"/>
  <c r="E259" i="80" s="1"/>
  <c r="G110" i="79"/>
  <c r="J110" i="79" s="1"/>
  <c r="E110" i="80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8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15" i="8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133" i="77"/>
  <c r="J133" i="77" s="1"/>
  <c r="G131" i="77"/>
  <c r="J131" i="77" s="1"/>
  <c r="E131" i="78" s="1"/>
  <c r="G214" i="77"/>
  <c r="J214" i="77" s="1"/>
  <c r="E214" i="78" s="1"/>
  <c r="G33" i="81"/>
  <c r="J33" i="81" s="1"/>
  <c r="E33" i="82" s="1"/>
  <c r="G21" i="80"/>
  <c r="J21" i="80" s="1"/>
  <c r="E21" i="81" s="1"/>
  <c r="G80" i="81"/>
  <c r="J80" i="81" s="1"/>
  <c r="E80" i="82" s="1"/>
  <c r="G26" i="80"/>
  <c r="J26" i="80" s="1"/>
  <c r="E26" i="81" s="1"/>
  <c r="G115" i="81"/>
  <c r="J115" i="81" s="1"/>
  <c r="E115" i="82" s="1"/>
  <c r="G19" i="80"/>
  <c r="J19" i="80" s="1"/>
  <c r="E19" i="81" s="1"/>
  <c r="G64" i="81"/>
  <c r="J64" i="81" s="1"/>
  <c r="E64" i="82" s="1"/>
  <c r="G65" i="81"/>
  <c r="J65" i="81" s="1"/>
  <c r="E65" i="82" s="1"/>
  <c r="G54" i="81"/>
  <c r="J54" i="81" s="1"/>
  <c r="E54" i="82" s="1"/>
  <c r="G20" i="80"/>
  <c r="J20" i="80" s="1"/>
  <c r="E20" i="81" s="1"/>
  <c r="G24" i="80"/>
  <c r="J24" i="80" s="1"/>
  <c r="E24" i="81" s="1"/>
  <c r="G99" i="81"/>
  <c r="J99" i="81" s="1"/>
  <c r="E99" i="82" s="1"/>
  <c r="G168" i="81"/>
  <c r="J168" i="81" s="1"/>
  <c r="E168" i="82" s="1"/>
  <c r="G22" i="80"/>
  <c r="J22" i="80" s="1"/>
  <c r="E22" i="81" s="1"/>
  <c r="G49" i="81"/>
  <c r="J49" i="81" s="1"/>
  <c r="E49" i="82" s="1"/>
  <c r="G25" i="80"/>
  <c r="J25" i="80" s="1"/>
  <c r="E25" i="81" s="1"/>
  <c r="G23" i="80"/>
  <c r="J23" i="80" s="1"/>
  <c r="E23" i="81" s="1"/>
  <c r="G56" i="81"/>
  <c r="J56" i="81" s="1"/>
  <c r="E56" i="82" s="1"/>
  <c r="G256" i="81"/>
  <c r="J256" i="81" s="1"/>
  <c r="E256" i="82" s="1"/>
  <c r="G18" i="77"/>
  <c r="J18" i="77" s="1"/>
  <c r="E18" i="78" s="1"/>
  <c r="G8" i="77"/>
  <c r="J8" i="77" s="1"/>
  <c r="E8" i="78" s="1"/>
  <c r="E8" i="8"/>
  <c r="G8" i="8" s="1"/>
  <c r="J133" i="8"/>
  <c r="G13" i="77"/>
  <c r="J13" i="77" s="1"/>
  <c r="E13" i="78" s="1"/>
  <c r="E13" i="8"/>
  <c r="G13" i="8" s="1"/>
  <c r="G17" i="77"/>
  <c r="J17" i="77" s="1"/>
  <c r="E17" i="78" s="1"/>
  <c r="E17" i="8"/>
  <c r="G17" i="8" s="1"/>
  <c r="G16" i="77"/>
  <c r="J16" i="77" s="1"/>
  <c r="E16" i="78" s="1"/>
  <c r="E16" i="8"/>
  <c r="G16" i="8" s="1"/>
  <c r="G7" i="77"/>
  <c r="J7" i="77" s="1"/>
  <c r="E7" i="78" s="1"/>
  <c r="E7" i="8"/>
  <c r="G7" i="8" s="1"/>
  <c r="J131" i="8"/>
  <c r="G15" i="77"/>
  <c r="J15" i="77" s="1"/>
  <c r="E15" i="78" s="1"/>
  <c r="G14" i="77"/>
  <c r="J14" i="77" s="1"/>
  <c r="E14" i="78" s="1"/>
  <c r="E14" i="8"/>
  <c r="G14" i="8" s="1"/>
  <c r="J214" i="8"/>
  <c r="N261" i="8"/>
  <c r="M262" i="8"/>
  <c r="H261" i="8"/>
  <c r="M266" i="8"/>
  <c r="H263" i="8"/>
  <c r="Z12" i="8"/>
  <c r="AC12" i="8" s="1"/>
  <c r="Z14" i="8"/>
  <c r="AC14" i="8" s="1"/>
  <c r="Z11" i="8"/>
  <c r="AC11" i="8" s="1"/>
  <c r="Z13" i="8"/>
  <c r="AC13" i="8" s="1"/>
  <c r="E190" i="81" l="1"/>
  <c r="G190" i="81" s="1"/>
  <c r="J190" i="81" s="1"/>
  <c r="E190" i="82" s="1"/>
  <c r="G190" i="82" s="1"/>
  <c r="J190" i="82" s="1"/>
  <c r="E190" i="83" s="1"/>
  <c r="E164" i="80"/>
  <c r="G164" i="80" s="1"/>
  <c r="J164" i="80" s="1"/>
  <c r="G250" i="80"/>
  <c r="J250" i="80" s="1"/>
  <c r="E250" i="81" s="1"/>
  <c r="E242" i="80"/>
  <c r="G242" i="80" s="1"/>
  <c r="J242" i="80" s="1"/>
  <c r="E121" i="80"/>
  <c r="G121" i="80" s="1"/>
  <c r="J121" i="80" s="1"/>
  <c r="E38" i="80"/>
  <c r="G38" i="80" s="1"/>
  <c r="J38" i="80" s="1"/>
  <c r="E38" i="81" s="1"/>
  <c r="G38" i="81" s="1"/>
  <c r="J38" i="81" s="1"/>
  <c r="E38" i="82" s="1"/>
  <c r="E123" i="80"/>
  <c r="G123" i="80" s="1"/>
  <c r="J123" i="80" s="1"/>
  <c r="G88" i="80"/>
  <c r="J88" i="80" s="1"/>
  <c r="E88" i="81" s="1"/>
  <c r="E87" i="80"/>
  <c r="G87" i="80" s="1"/>
  <c r="J87" i="80" s="1"/>
  <c r="E154" i="80"/>
  <c r="G154" i="80" s="1"/>
  <c r="J154" i="80" s="1"/>
  <c r="E112" i="80"/>
  <c r="G112" i="80" s="1"/>
  <c r="J112" i="80" s="1"/>
  <c r="E162" i="80"/>
  <c r="G162" i="80" s="1"/>
  <c r="J162" i="80" s="1"/>
  <c r="E101" i="80"/>
  <c r="G101" i="80" s="1"/>
  <c r="J101" i="80" s="1"/>
  <c r="E144" i="80"/>
  <c r="G144" i="80" s="1"/>
  <c r="J144" i="80" s="1"/>
  <c r="E90" i="80"/>
  <c r="G90" i="80" s="1"/>
  <c r="J90" i="80" s="1"/>
  <c r="E138" i="80"/>
  <c r="G138" i="80" s="1"/>
  <c r="J138" i="80" s="1"/>
  <c r="E191" i="80"/>
  <c r="G191" i="80" s="1"/>
  <c r="J191" i="80" s="1"/>
  <c r="E235" i="80"/>
  <c r="G235" i="80" s="1"/>
  <c r="J235" i="80" s="1"/>
  <c r="E53" i="80"/>
  <c r="G53" i="80" s="1"/>
  <c r="J53" i="80" s="1"/>
  <c r="G251" i="80"/>
  <c r="J251" i="80" s="1"/>
  <c r="E251" i="81" s="1"/>
  <c r="E243" i="80"/>
  <c r="G243" i="80" s="1"/>
  <c r="J243" i="80" s="1"/>
  <c r="E142" i="80"/>
  <c r="G142" i="80" s="1"/>
  <c r="J142" i="80" s="1"/>
  <c r="G174" i="80"/>
  <c r="J174" i="80" s="1"/>
  <c r="E174" i="81" s="1"/>
  <c r="E173" i="80"/>
  <c r="G173" i="80" s="1"/>
  <c r="J173" i="80" s="1"/>
  <c r="E228" i="80"/>
  <c r="G228" i="80" s="1"/>
  <c r="J228" i="80" s="1"/>
  <c r="E228" i="81" s="1"/>
  <c r="E97" i="80"/>
  <c r="G97" i="80" s="1"/>
  <c r="J97" i="80" s="1"/>
  <c r="E97" i="81" s="1"/>
  <c r="G97" i="81" s="1"/>
  <c r="J97" i="81" s="1"/>
  <c r="E97" i="82" s="1"/>
  <c r="E122" i="80"/>
  <c r="G122" i="80" s="1"/>
  <c r="J122" i="80" s="1"/>
  <c r="E122" i="81" s="1"/>
  <c r="G122" i="81" s="1"/>
  <c r="J122" i="81" s="1"/>
  <c r="E122" i="82" s="1"/>
  <c r="E172" i="80"/>
  <c r="G172" i="80" s="1"/>
  <c r="J172" i="80" s="1"/>
  <c r="E111" i="80"/>
  <c r="G111" i="80" s="1"/>
  <c r="J111" i="80" s="1"/>
  <c r="E227" i="80"/>
  <c r="G227" i="80" s="1"/>
  <c r="J227" i="80" s="1"/>
  <c r="E227" i="81" s="1"/>
  <c r="E230" i="80"/>
  <c r="G230" i="80" s="1"/>
  <c r="J230" i="80" s="1"/>
  <c r="E230" i="81" s="1"/>
  <c r="G230" i="81" s="1"/>
  <c r="J230" i="81" s="1"/>
  <c r="E230" i="82" s="1"/>
  <c r="G244" i="80"/>
  <c r="J244" i="80" s="1"/>
  <c r="E244" i="81" s="1"/>
  <c r="E236" i="80"/>
  <c r="G236" i="80" s="1"/>
  <c r="J236" i="80" s="1"/>
  <c r="E220" i="80"/>
  <c r="G220" i="80" s="1"/>
  <c r="J220" i="80" s="1"/>
  <c r="G246" i="80"/>
  <c r="J246" i="80" s="1"/>
  <c r="E246" i="81" s="1"/>
  <c r="E238" i="80"/>
  <c r="G238" i="80" s="1"/>
  <c r="J238" i="80" s="1"/>
  <c r="E234" i="80"/>
  <c r="G234" i="80" s="1"/>
  <c r="J234" i="80" s="1"/>
  <c r="E145" i="80"/>
  <c r="G145" i="80" s="1"/>
  <c r="J145" i="80" s="1"/>
  <c r="E247" i="80"/>
  <c r="G247" i="80" s="1"/>
  <c r="J247" i="80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86" i="80"/>
  <c r="J86" i="80" s="1"/>
  <c r="E86" i="81" s="1"/>
  <c r="G253" i="81"/>
  <c r="J253" i="81" s="1"/>
  <c r="E253" i="82" s="1"/>
  <c r="G259" i="80"/>
  <c r="J259" i="80" s="1"/>
  <c r="E259" i="81" s="1"/>
  <c r="G103" i="80"/>
  <c r="J103" i="80" s="1"/>
  <c r="E103" i="81" s="1"/>
  <c r="G102" i="80"/>
  <c r="J102" i="80" s="1"/>
  <c r="E102" i="81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46" i="83" s="1"/>
  <c r="J46" i="83" s="1"/>
  <c r="E46" i="84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J14" i="8"/>
  <c r="J16" i="8"/>
  <c r="J8" i="8"/>
  <c r="J7" i="8"/>
  <c r="J15" i="8"/>
  <c r="J17" i="8"/>
  <c r="J6" i="8"/>
  <c r="J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17" i="81" l="1"/>
  <c r="G117" i="81" s="1"/>
  <c r="J117" i="81" s="1"/>
  <c r="E30" i="81"/>
  <c r="G30" i="81" s="1"/>
  <c r="J30" i="81" s="1"/>
  <c r="E67" i="81"/>
  <c r="G67" i="81" s="1"/>
  <c r="J67" i="81" s="1"/>
  <c r="E185" i="81"/>
  <c r="G185" i="81" s="1"/>
  <c r="J185" i="81" s="1"/>
  <c r="E137" i="81"/>
  <c r="G137" i="81" s="1"/>
  <c r="J137" i="81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10" i="81"/>
  <c r="G110" i="81" s="1"/>
  <c r="J110" i="81" s="1"/>
  <c r="E107" i="81"/>
  <c r="G107" i="81" s="1"/>
  <c r="J107" i="81" s="1"/>
  <c r="E48" i="81"/>
  <c r="G48" i="81" s="1"/>
  <c r="J48" i="81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62" i="81"/>
  <c r="G62" i="81" s="1"/>
  <c r="J62" i="81" s="1"/>
  <c r="E130" i="81"/>
  <c r="G130" i="81" s="1"/>
  <c r="J130" i="81" s="1"/>
  <c r="E55" i="81"/>
  <c r="G55" i="81" s="1"/>
  <c r="J55" i="81" s="1"/>
  <c r="E176" i="81"/>
  <c r="G176" i="81" s="1"/>
  <c r="J176" i="81" s="1"/>
  <c r="G244" i="81"/>
  <c r="J244" i="81" s="1"/>
  <c r="E244" i="82" s="1"/>
  <c r="E236" i="81"/>
  <c r="G251" i="81"/>
  <c r="J251" i="81" s="1"/>
  <c r="E251" i="82" s="1"/>
  <c r="E243" i="81"/>
  <c r="G243" i="81" s="1"/>
  <c r="J243" i="81" s="1"/>
  <c r="G88" i="81"/>
  <c r="J88" i="81" s="1"/>
  <c r="E88" i="82" s="1"/>
  <c r="E87" i="81"/>
  <c r="G87" i="81" s="1"/>
  <c r="J87" i="81" s="1"/>
  <c r="E224" i="81"/>
  <c r="G224" i="81" s="1"/>
  <c r="J224" i="81" s="1"/>
  <c r="E59" i="81"/>
  <c r="G59" i="81" s="1"/>
  <c r="J59" i="81" s="1"/>
  <c r="E91" i="81"/>
  <c r="G91" i="81" s="1"/>
  <c r="J91" i="81" s="1"/>
  <c r="E222" i="81"/>
  <c r="G222" i="81" s="1"/>
  <c r="J222" i="81" s="1"/>
  <c r="E167" i="81"/>
  <c r="G167" i="81" s="1"/>
  <c r="J167" i="81" s="1"/>
  <c r="E184" i="81"/>
  <c r="G184" i="81" s="1"/>
  <c r="J184" i="81" s="1"/>
  <c r="E73" i="81"/>
  <c r="G73" i="81" s="1"/>
  <c r="J73" i="81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80" i="81"/>
  <c r="G180" i="81" s="1"/>
  <c r="J180" i="81" s="1"/>
  <c r="E120" i="81"/>
  <c r="G120" i="81" s="1"/>
  <c r="J120" i="81" s="1"/>
  <c r="E235" i="81"/>
  <c r="G235" i="81" s="1"/>
  <c r="J235" i="81" s="1"/>
  <c r="E163" i="81"/>
  <c r="G163" i="81" s="1"/>
  <c r="J163" i="81" s="1"/>
  <c r="E223" i="81"/>
  <c r="G223" i="81" s="1"/>
  <c r="J223" i="81" s="1"/>
  <c r="E106" i="81"/>
  <c r="G106" i="81" s="1"/>
  <c r="J106" i="81" s="1"/>
  <c r="E116" i="81"/>
  <c r="G116" i="81" s="1"/>
  <c r="J116" i="81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21" i="81"/>
  <c r="G121" i="81" s="1"/>
  <c r="J121" i="81" s="1"/>
  <c r="E121" i="82" s="1"/>
  <c r="G121" i="82" s="1"/>
  <c r="J121" i="82" s="1"/>
  <c r="E121" i="83" s="1"/>
  <c r="E72" i="81"/>
  <c r="G72" i="81" s="1"/>
  <c r="J72" i="81" s="1"/>
  <c r="E69" i="81"/>
  <c r="G69" i="81" s="1"/>
  <c r="J69" i="81" s="1"/>
  <c r="E81" i="81"/>
  <c r="G81" i="81" s="1"/>
  <c r="J81" i="81" s="1"/>
  <c r="E258" i="81"/>
  <c r="G258" i="81" s="1"/>
  <c r="J258" i="81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G250" i="81"/>
  <c r="J250" i="81" s="1"/>
  <c r="E250" i="82" s="1"/>
  <c r="E242" i="81"/>
  <c r="G242" i="81" s="1"/>
  <c r="J242" i="81" s="1"/>
  <c r="E95" i="81"/>
  <c r="G95" i="81" s="1"/>
  <c r="J95" i="81" s="1"/>
  <c r="E32" i="81"/>
  <c r="G32" i="81" s="1"/>
  <c r="J32" i="81" s="1"/>
  <c r="E146" i="81"/>
  <c r="G146" i="81" s="1"/>
  <c r="J146" i="81" s="1"/>
  <c r="E183" i="81"/>
  <c r="G183" i="81" s="1"/>
  <c r="J183" i="81" s="1"/>
  <c r="E247" i="81"/>
  <c r="G247" i="81" s="1"/>
  <c r="J247" i="81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68" i="81"/>
  <c r="G68" i="81" s="1"/>
  <c r="J68" i="81" s="1"/>
  <c r="E159" i="81"/>
  <c r="G159" i="81" s="1"/>
  <c r="J159" i="81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42" i="81"/>
  <c r="G42" i="81" s="1"/>
  <c r="J42" i="81" s="1"/>
  <c r="E92" i="81"/>
  <c r="G92" i="81" s="1"/>
  <c r="J92" i="81" s="1"/>
  <c r="E234" i="81"/>
  <c r="G234" i="81" s="1"/>
  <c r="J234" i="81" s="1"/>
  <c r="E234" i="82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39" i="81"/>
  <c r="G139" i="81" s="1"/>
  <c r="J139" i="81" s="1"/>
  <c r="E85" i="81"/>
  <c r="G85" i="81" s="1"/>
  <c r="J85" i="81" s="1"/>
  <c r="G246" i="81"/>
  <c r="J246" i="81" s="1"/>
  <c r="E246" i="82" s="1"/>
  <c r="E238" i="81"/>
  <c r="G238" i="81" s="1"/>
  <c r="J238" i="81" s="1"/>
  <c r="G174" i="81"/>
  <c r="J174" i="81" s="1"/>
  <c r="E174" i="82" s="1"/>
  <c r="E173" i="81"/>
  <c r="G173" i="81" s="1"/>
  <c r="J173" i="81" s="1"/>
  <c r="E173" i="82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35" i="80"/>
  <c r="G135" i="80" s="1"/>
  <c r="J135" i="80" s="1"/>
  <c r="E136" i="80"/>
  <c r="G136" i="80" s="1"/>
  <c r="J136" i="80" s="1"/>
  <c r="E136" i="81" s="1"/>
  <c r="G136" i="81" s="1"/>
  <c r="J136" i="81" s="1"/>
  <c r="E136" i="82" s="1"/>
  <c r="E132" i="80"/>
  <c r="G132" i="80" s="1"/>
  <c r="J132" i="80" s="1"/>
  <c r="G86" i="81"/>
  <c r="J86" i="81" s="1"/>
  <c r="E86" i="82" s="1"/>
  <c r="G227" i="81"/>
  <c r="J227" i="81" s="1"/>
  <c r="E227" i="82" s="1"/>
  <c r="G228" i="81"/>
  <c r="J228" i="81" s="1"/>
  <c r="E228" i="82" s="1"/>
  <c r="G236" i="81"/>
  <c r="J236" i="81" s="1"/>
  <c r="G230" i="82"/>
  <c r="J230" i="82" s="1"/>
  <c r="E230" i="83" s="1"/>
  <c r="G253" i="82"/>
  <c r="J253" i="82" s="1"/>
  <c r="E253" i="83" s="1"/>
  <c r="G259" i="81"/>
  <c r="J259" i="81" s="1"/>
  <c r="E259" i="82" s="1"/>
  <c r="G102" i="81"/>
  <c r="J102" i="81" s="1"/>
  <c r="E102" i="82" s="1"/>
  <c r="G96" i="80"/>
  <c r="J96" i="80" s="1"/>
  <c r="G119" i="80"/>
  <c r="J119" i="80" s="1"/>
  <c r="G97" i="82"/>
  <c r="J97" i="82" s="1"/>
  <c r="G161" i="80"/>
  <c r="J161" i="80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0" i="83"/>
  <c r="J190" i="83" s="1"/>
  <c r="E190" i="84" s="1"/>
  <c r="G133" i="81"/>
  <c r="J133" i="81" s="1"/>
  <c r="E133" i="82" s="1"/>
  <c r="R16" i="8"/>
  <c r="M264" i="8"/>
  <c r="E97" i="83" l="1"/>
  <c r="G97" i="83" s="1"/>
  <c r="J97" i="83" s="1"/>
  <c r="E97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67" i="82"/>
  <c r="G167" i="82" s="1"/>
  <c r="J167" i="82" s="1"/>
  <c r="E167" i="83" s="1"/>
  <c r="G167" i="83" s="1"/>
  <c r="J167" i="83" s="1"/>
  <c r="E167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67" i="82"/>
  <c r="G67" i="82" s="1"/>
  <c r="J67" i="82" s="1"/>
  <c r="E67" i="83" s="1"/>
  <c r="G67" i="83" s="1"/>
  <c r="J67" i="83" s="1"/>
  <c r="E67" i="84" s="1"/>
  <c r="E92" i="82"/>
  <c r="G92" i="82" s="1"/>
  <c r="J92" i="82" s="1"/>
  <c r="E92" i="83" s="1"/>
  <c r="G92" i="83" s="1"/>
  <c r="J92" i="83" s="1"/>
  <c r="E92" i="84" s="1"/>
  <c r="E95" i="82"/>
  <c r="G95" i="82" s="1"/>
  <c r="J95" i="82" s="1"/>
  <c r="E95" i="83" s="1"/>
  <c r="G95" i="83" s="1"/>
  <c r="J95" i="83" s="1"/>
  <c r="E95" i="84" s="1"/>
  <c r="E116" i="82"/>
  <c r="G116" i="82" s="1"/>
  <c r="J116" i="82" s="1"/>
  <c r="E116" i="83" s="1"/>
  <c r="G116" i="83" s="1"/>
  <c r="J116" i="83" s="1"/>
  <c r="E116" i="84" s="1"/>
  <c r="E222" i="82"/>
  <c r="G222" i="82" s="1"/>
  <c r="J222" i="82" s="1"/>
  <c r="E222" i="83" s="1"/>
  <c r="G222" i="83" s="1"/>
  <c r="J222" i="83" s="1"/>
  <c r="E222" i="84" s="1"/>
  <c r="E130" i="82"/>
  <c r="G130" i="82" s="1"/>
  <c r="J130" i="82" s="1"/>
  <c r="E130" i="83" s="1"/>
  <c r="G130" i="83" s="1"/>
  <c r="J130" i="83" s="1"/>
  <c r="E130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G250" i="82"/>
  <c r="J250" i="82" s="1"/>
  <c r="E250" i="83" s="1"/>
  <c r="E242" i="82"/>
  <c r="G242" i="82" s="1"/>
  <c r="J242" i="82" s="1"/>
  <c r="E106" i="82"/>
  <c r="G106" i="82" s="1"/>
  <c r="J106" i="82" s="1"/>
  <c r="E106" i="83" s="1"/>
  <c r="G106" i="83" s="1"/>
  <c r="J106" i="83" s="1"/>
  <c r="E106" i="84" s="1"/>
  <c r="E91" i="82"/>
  <c r="G91" i="82" s="1"/>
  <c r="J91" i="82" s="1"/>
  <c r="E91" i="83" s="1"/>
  <c r="G91" i="83" s="1"/>
  <c r="J91" i="83" s="1"/>
  <c r="E91" i="84" s="1"/>
  <c r="E62" i="82"/>
  <c r="G62" i="82" s="1"/>
  <c r="J62" i="82" s="1"/>
  <c r="E62" i="83" s="1"/>
  <c r="G62" i="83" s="1"/>
  <c r="J62" i="83" s="1"/>
  <c r="E62" i="84" s="1"/>
  <c r="E117" i="82"/>
  <c r="G117" i="82" s="1"/>
  <c r="J117" i="82" s="1"/>
  <c r="E117" i="83" s="1"/>
  <c r="G117" i="83" s="1"/>
  <c r="J117" i="83" s="1"/>
  <c r="E117" i="84" s="1"/>
  <c r="E223" i="82"/>
  <c r="G223" i="82" s="1"/>
  <c r="J223" i="82" s="1"/>
  <c r="E223" i="83" s="1"/>
  <c r="G223" i="83" s="1"/>
  <c r="J223" i="83" s="1"/>
  <c r="E223" i="84" s="1"/>
  <c r="E59" i="82"/>
  <c r="G59" i="82" s="1"/>
  <c r="J59" i="82" s="1"/>
  <c r="E59" i="83" s="1"/>
  <c r="G59" i="83" s="1"/>
  <c r="J59" i="83" s="1"/>
  <c r="E59" i="84" s="1"/>
  <c r="E163" i="82"/>
  <c r="G163" i="82" s="1"/>
  <c r="J163" i="82" s="1"/>
  <c r="E163" i="83" s="1"/>
  <c r="G163" i="83" s="1"/>
  <c r="J163" i="83" s="1"/>
  <c r="E163" i="84" s="1"/>
  <c r="E224" i="82"/>
  <c r="G224" i="82" s="1"/>
  <c r="J224" i="82" s="1"/>
  <c r="E224" i="83" s="1"/>
  <c r="G224" i="83" s="1"/>
  <c r="J224" i="83" s="1"/>
  <c r="E224" i="84" s="1"/>
  <c r="E159" i="82"/>
  <c r="G159" i="82" s="1"/>
  <c r="J159" i="82" s="1"/>
  <c r="E159" i="83" s="1"/>
  <c r="G159" i="83" s="1"/>
  <c r="J159" i="83" s="1"/>
  <c r="E159" i="84" s="1"/>
  <c r="E258" i="82"/>
  <c r="G258" i="82" s="1"/>
  <c r="J258" i="82" s="1"/>
  <c r="E258" i="83" s="1"/>
  <c r="G258" i="83" s="1"/>
  <c r="J258" i="83" s="1"/>
  <c r="E258" i="84" s="1"/>
  <c r="G258" i="84" s="1"/>
  <c r="J258" i="84" s="1"/>
  <c r="E258" i="85" s="1"/>
  <c r="E120" i="82"/>
  <c r="G120" i="82" s="1"/>
  <c r="J120" i="82" s="1"/>
  <c r="E120" i="83" s="1"/>
  <c r="G120" i="83" s="1"/>
  <c r="J120" i="83" s="1"/>
  <c r="E120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68" i="82"/>
  <c r="G68" i="82" s="1"/>
  <c r="J68" i="82" s="1"/>
  <c r="E68" i="83" s="1"/>
  <c r="G68" i="83" s="1"/>
  <c r="J68" i="83" s="1"/>
  <c r="E68" i="84" s="1"/>
  <c r="E81" i="82"/>
  <c r="G81" i="82" s="1"/>
  <c r="J81" i="82" s="1"/>
  <c r="E81" i="83" s="1"/>
  <c r="G81" i="83" s="1"/>
  <c r="J81" i="83" s="1"/>
  <c r="E81" i="84" s="1"/>
  <c r="E180" i="82"/>
  <c r="G180" i="82" s="1"/>
  <c r="J180" i="82" s="1"/>
  <c r="E180" i="83" s="1"/>
  <c r="G180" i="83" s="1"/>
  <c r="J180" i="83" s="1"/>
  <c r="E180" i="84" s="1"/>
  <c r="G251" i="82"/>
  <c r="J251" i="82" s="1"/>
  <c r="E251" i="83" s="1"/>
  <c r="E243" i="82"/>
  <c r="G243" i="82" s="1"/>
  <c r="J243" i="82" s="1"/>
  <c r="E107" i="82"/>
  <c r="G107" i="82" s="1"/>
  <c r="J107" i="82" s="1"/>
  <c r="E107" i="83" s="1"/>
  <c r="G107" i="83" s="1"/>
  <c r="J107" i="83" s="1"/>
  <c r="E107" i="84" s="1"/>
  <c r="E69" i="82"/>
  <c r="G69" i="82" s="1"/>
  <c r="J69" i="82" s="1"/>
  <c r="E69" i="83" s="1"/>
  <c r="G69" i="83" s="1"/>
  <c r="J69" i="83" s="1"/>
  <c r="E69" i="84" s="1"/>
  <c r="E110" i="82"/>
  <c r="G110" i="82" s="1"/>
  <c r="J110" i="82" s="1"/>
  <c r="E110" i="83" s="1"/>
  <c r="G110" i="83" s="1"/>
  <c r="J110" i="83" s="1"/>
  <c r="E110" i="84" s="1"/>
  <c r="E85" i="82"/>
  <c r="G85" i="82" s="1"/>
  <c r="J85" i="82" s="1"/>
  <c r="E85" i="83" s="1"/>
  <c r="G85" i="83" s="1"/>
  <c r="J85" i="83" s="1"/>
  <c r="E85" i="84" s="1"/>
  <c r="E247" i="82"/>
  <c r="G247" i="82" s="1"/>
  <c r="J247" i="82" s="1"/>
  <c r="E72" i="82"/>
  <c r="G72" i="82" s="1"/>
  <c r="J72" i="82" s="1"/>
  <c r="E72" i="83" s="1"/>
  <c r="G72" i="83" s="1"/>
  <c r="J72" i="83" s="1"/>
  <c r="E72" i="84" s="1"/>
  <c r="E139" i="82"/>
  <c r="G139" i="82" s="1"/>
  <c r="J139" i="82" s="1"/>
  <c r="E139" i="83" s="1"/>
  <c r="G139" i="83" s="1"/>
  <c r="J139" i="83" s="1"/>
  <c r="E139" i="84" s="1"/>
  <c r="E183" i="82"/>
  <c r="G183" i="82" s="1"/>
  <c r="J183" i="82" s="1"/>
  <c r="E183" i="83" s="1"/>
  <c r="G183" i="83" s="1"/>
  <c r="J183" i="83" s="1"/>
  <c r="E183" i="84" s="1"/>
  <c r="E73" i="82"/>
  <c r="G73" i="82" s="1"/>
  <c r="J73" i="82" s="1"/>
  <c r="E73" i="83" s="1"/>
  <c r="G73" i="83" s="1"/>
  <c r="J73" i="83" s="1"/>
  <c r="E73" i="84" s="1"/>
  <c r="E137" i="82"/>
  <c r="G137" i="82" s="1"/>
  <c r="J137" i="82" s="1"/>
  <c r="E137" i="83" s="1"/>
  <c r="G137" i="83" s="1"/>
  <c r="J137" i="83" s="1"/>
  <c r="E137" i="84" s="1"/>
  <c r="E146" i="82"/>
  <c r="G146" i="82" s="1"/>
  <c r="J146" i="82" s="1"/>
  <c r="E146" i="83" s="1"/>
  <c r="G146" i="83" s="1"/>
  <c r="J146" i="83" s="1"/>
  <c r="E146" i="84" s="1"/>
  <c r="E184" i="82"/>
  <c r="G184" i="82" s="1"/>
  <c r="J184" i="82" s="1"/>
  <c r="E184" i="83" s="1"/>
  <c r="G184" i="83" s="1"/>
  <c r="J184" i="83" s="1"/>
  <c r="E184" i="84" s="1"/>
  <c r="E176" i="82"/>
  <c r="G176" i="82" s="1"/>
  <c r="J176" i="82" s="1"/>
  <c r="E176" i="83" s="1"/>
  <c r="G176" i="83" s="1"/>
  <c r="J176" i="83" s="1"/>
  <c r="E176" i="84" s="1"/>
  <c r="E185" i="82"/>
  <c r="G185" i="82" s="1"/>
  <c r="J185" i="82" s="1"/>
  <c r="E185" i="83" s="1"/>
  <c r="G185" i="83" s="1"/>
  <c r="J185" i="83" s="1"/>
  <c r="E185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233" i="82"/>
  <c r="G233" i="82" s="1"/>
  <c r="J233" i="82" s="1"/>
  <c r="G246" i="82"/>
  <c r="J246" i="82" s="1"/>
  <c r="E246" i="83" s="1"/>
  <c r="E238" i="82"/>
  <c r="G238" i="82" s="1"/>
  <c r="J238" i="82" s="1"/>
  <c r="E119" i="81"/>
  <c r="G119" i="81" s="1"/>
  <c r="J119" i="81" s="1"/>
  <c r="G88" i="82"/>
  <c r="J88" i="82" s="1"/>
  <c r="E88" i="83" s="1"/>
  <c r="E87" i="82"/>
  <c r="E96" i="81"/>
  <c r="G96" i="81" s="1"/>
  <c r="J96" i="81" s="1"/>
  <c r="G244" i="82"/>
  <c r="J244" i="82" s="1"/>
  <c r="E244" i="83" s="1"/>
  <c r="E236" i="82"/>
  <c r="G236" i="82" s="1"/>
  <c r="J236" i="82" s="1"/>
  <c r="E161" i="81"/>
  <c r="G161" i="81" s="1"/>
  <c r="J161" i="81" s="1"/>
  <c r="E235" i="82"/>
  <c r="G235" i="82" s="1"/>
  <c r="J235" i="82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G86" i="82"/>
  <c r="J86" i="82" s="1"/>
  <c r="E86" i="83" s="1"/>
  <c r="G87" i="82"/>
  <c r="J87" i="82" s="1"/>
  <c r="G228" i="82"/>
  <c r="J228" i="82" s="1"/>
  <c r="E228" i="83" s="1"/>
  <c r="G227" i="82"/>
  <c r="J227" i="82" s="1"/>
  <c r="E227" i="83" s="1"/>
  <c r="G234" i="82"/>
  <c r="J234" i="82" s="1"/>
  <c r="E234" i="83" s="1"/>
  <c r="G230" i="83"/>
  <c r="J230" i="83" s="1"/>
  <c r="E230" i="84" s="1"/>
  <c r="G253" i="83"/>
  <c r="J253" i="83" s="1"/>
  <c r="E253" i="84" s="1"/>
  <c r="G259" i="82"/>
  <c r="J259" i="82" s="1"/>
  <c r="E259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214" i="80"/>
  <c r="J214" i="80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97" i="84"/>
  <c r="J97" i="84" s="1"/>
  <c r="E97" i="8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233" i="83" l="1"/>
  <c r="G233" i="83" s="1"/>
  <c r="J233" i="83" s="1"/>
  <c r="E233" i="84" s="1"/>
  <c r="G233" i="84" s="1"/>
  <c r="J233" i="84" s="1"/>
  <c r="E233" i="85" s="1"/>
  <c r="E235" i="83"/>
  <c r="G235" i="83" s="1"/>
  <c r="J235" i="83" s="1"/>
  <c r="G251" i="83"/>
  <c r="J251" i="83" s="1"/>
  <c r="E251" i="84" s="1"/>
  <c r="E243" i="83"/>
  <c r="G243" i="83" s="1"/>
  <c r="J243" i="83" s="1"/>
  <c r="G250" i="83"/>
  <c r="J250" i="83" s="1"/>
  <c r="E250" i="84" s="1"/>
  <c r="E242" i="83"/>
  <c r="G242" i="83" s="1"/>
  <c r="J242" i="83" s="1"/>
  <c r="G244" i="83"/>
  <c r="J244" i="83" s="1"/>
  <c r="E244" i="84" s="1"/>
  <c r="E236" i="83"/>
  <c r="G236" i="83" s="1"/>
  <c r="J236" i="83" s="1"/>
  <c r="G246" i="83"/>
  <c r="J246" i="83" s="1"/>
  <c r="E246" i="84" s="1"/>
  <c r="E238" i="83"/>
  <c r="G238" i="83" s="1"/>
  <c r="J238" i="83" s="1"/>
  <c r="G88" i="83"/>
  <c r="J88" i="83" s="1"/>
  <c r="E88" i="84" s="1"/>
  <c r="E87" i="83"/>
  <c r="G87" i="83" s="1"/>
  <c r="J87" i="83" s="1"/>
  <c r="E247" i="83"/>
  <c r="G247" i="83" s="1"/>
  <c r="J247" i="83" s="1"/>
  <c r="E161" i="82"/>
  <c r="G161" i="82" s="1"/>
  <c r="J161" i="82" s="1"/>
  <c r="E161" i="83" s="1"/>
  <c r="G161" i="83" s="1"/>
  <c r="J161" i="83" s="1"/>
  <c r="E161" i="84" s="1"/>
  <c r="E96" i="82"/>
  <c r="G96" i="82" s="1"/>
  <c r="J96" i="82" s="1"/>
  <c r="E96" i="83" s="1"/>
  <c r="G96" i="83" s="1"/>
  <c r="J96" i="83" s="1"/>
  <c r="E96" i="84" s="1"/>
  <c r="E119" i="82"/>
  <c r="G119" i="82" s="1"/>
  <c r="J119" i="82" s="1"/>
  <c r="E119" i="83" s="1"/>
  <c r="G119" i="83" s="1"/>
  <c r="J119" i="83" s="1"/>
  <c r="E119" i="84" s="1"/>
  <c r="E214" i="81"/>
  <c r="G214" i="81" s="1"/>
  <c r="J214" i="81" s="1"/>
  <c r="G86" i="83"/>
  <c r="J86" i="83" s="1"/>
  <c r="E86" i="84" s="1"/>
  <c r="G227" i="83"/>
  <c r="J227" i="83" s="1"/>
  <c r="E227" i="84" s="1"/>
  <c r="G230" i="84"/>
  <c r="J230" i="84" s="1"/>
  <c r="G234" i="83"/>
  <c r="J234" i="83" s="1"/>
  <c r="E234" i="84" s="1"/>
  <c r="G228" i="83"/>
  <c r="J228" i="83" s="1"/>
  <c r="E228" i="84" s="1"/>
  <c r="G253" i="84"/>
  <c r="J253" i="84" s="1"/>
  <c r="E253" i="85" s="1"/>
  <c r="G259" i="83"/>
  <c r="J259" i="83" s="1"/>
  <c r="E259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16" i="8"/>
  <c r="E230" i="85" l="1"/>
  <c r="E97" i="86"/>
  <c r="G97" i="86" s="1"/>
  <c r="J97" i="86" s="1"/>
  <c r="E97" i="87" s="1"/>
  <c r="E247" i="84"/>
  <c r="G244" i="84"/>
  <c r="J244" i="84" s="1"/>
  <c r="E244" i="85" s="1"/>
  <c r="E236" i="84"/>
  <c r="G236" i="84" s="1"/>
  <c r="J236" i="84" s="1"/>
  <c r="G250" i="84"/>
  <c r="J250" i="84" s="1"/>
  <c r="E250" i="85" s="1"/>
  <c r="E242" i="84"/>
  <c r="G242" i="84" s="1"/>
  <c r="J242" i="84" s="1"/>
  <c r="G88" i="84"/>
  <c r="J88" i="84" s="1"/>
  <c r="E88" i="85" s="1"/>
  <c r="E87" i="84"/>
  <c r="G87" i="84" s="1"/>
  <c r="J87" i="84" s="1"/>
  <c r="G251" i="84"/>
  <c r="J251" i="84" s="1"/>
  <c r="E251" i="85" s="1"/>
  <c r="E243" i="84"/>
  <c r="G246" i="84"/>
  <c r="J246" i="84" s="1"/>
  <c r="E246" i="85" s="1"/>
  <c r="E238" i="84"/>
  <c r="G238" i="84" s="1"/>
  <c r="J238" i="84" s="1"/>
  <c r="G243" i="84"/>
  <c r="J243" i="84" s="1"/>
  <c r="E235" i="84"/>
  <c r="E214" i="82"/>
  <c r="G214" i="82" s="1"/>
  <c r="J214" i="82" s="1"/>
  <c r="E214" i="83" s="1"/>
  <c r="G214" i="83" s="1"/>
  <c r="J214" i="83" s="1"/>
  <c r="E214" i="84" s="1"/>
  <c r="G86" i="84"/>
  <c r="J86" i="84" s="1"/>
  <c r="G228" i="84"/>
  <c r="J228" i="84" s="1"/>
  <c r="G234" i="84"/>
  <c r="J234" i="84" s="1"/>
  <c r="E234" i="85" s="1"/>
  <c r="G247" i="84"/>
  <c r="J247" i="84" s="1"/>
  <c r="G227" i="84"/>
  <c r="J227" i="84" s="1"/>
  <c r="G235" i="84"/>
  <c r="J235" i="84" s="1"/>
  <c r="G253" i="85"/>
  <c r="J253" i="85" s="1"/>
  <c r="E253" i="86" s="1"/>
  <c r="G259" i="84"/>
  <c r="J259" i="84" s="1"/>
  <c r="E259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97" i="87"/>
  <c r="J97" i="87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51" i="85" l="1"/>
  <c r="J251" i="85" s="1"/>
  <c r="E251" i="86" s="1"/>
  <c r="E243" i="85"/>
  <c r="G246" i="85"/>
  <c r="J246" i="85" s="1"/>
  <c r="E246" i="86" s="1"/>
  <c r="G246" i="86" s="1"/>
  <c r="J246" i="86" s="1"/>
  <c r="E246" i="87" s="1"/>
  <c r="E238" i="85"/>
  <c r="G238" i="85" s="1"/>
  <c r="J238" i="85" s="1"/>
  <c r="E238" i="86" s="1"/>
  <c r="G250" i="85"/>
  <c r="J250" i="85" s="1"/>
  <c r="E250" i="86" s="1"/>
  <c r="G250" i="86" s="1"/>
  <c r="J250" i="86" s="1"/>
  <c r="E250" i="87" s="1"/>
  <c r="E242" i="85"/>
  <c r="G242" i="85" s="1"/>
  <c r="J242" i="85" s="1"/>
  <c r="E242" i="86" s="1"/>
  <c r="G243" i="85"/>
  <c r="J243" i="85" s="1"/>
  <c r="E243" i="86" s="1"/>
  <c r="G243" i="86" s="1"/>
  <c r="J243" i="86" s="1"/>
  <c r="E235" i="85"/>
  <c r="E247" i="85"/>
  <c r="G247" i="85" s="1"/>
  <c r="J247" i="85" s="1"/>
  <c r="E247" i="86" s="1"/>
  <c r="G236" i="85"/>
  <c r="J236" i="85" s="1"/>
  <c r="E228" i="85"/>
  <c r="G228" i="85" s="1"/>
  <c r="J228" i="85" s="1"/>
  <c r="E228" i="86" s="1"/>
  <c r="G228" i="86" s="1"/>
  <c r="J228" i="86" s="1"/>
  <c r="G235" i="85"/>
  <c r="J235" i="85" s="1"/>
  <c r="E227" i="85"/>
  <c r="G227" i="85" s="1"/>
  <c r="J227" i="85" s="1"/>
  <c r="E227" i="86" s="1"/>
  <c r="G87" i="85"/>
  <c r="J87" i="85" s="1"/>
  <c r="E86" i="85"/>
  <c r="G86" i="85" s="1"/>
  <c r="J86" i="85" s="1"/>
  <c r="G88" i="85"/>
  <c r="J88" i="85" s="1"/>
  <c r="E88" i="86" s="1"/>
  <c r="E87" i="85"/>
  <c r="G244" i="85"/>
  <c r="J244" i="85" s="1"/>
  <c r="E244" i="86" s="1"/>
  <c r="E236" i="85"/>
  <c r="E62" i="86"/>
  <c r="G62" i="86" s="1"/>
  <c r="J62" i="86" s="1"/>
  <c r="E62" i="87" s="1"/>
  <c r="G62" i="87" s="1"/>
  <c r="J62" i="87" s="1"/>
  <c r="E224" i="86"/>
  <c r="G224" i="86" s="1"/>
  <c r="J224" i="86" s="1"/>
  <c r="E224" i="87" s="1"/>
  <c r="G224" i="87" s="1"/>
  <c r="J224" i="87" s="1"/>
  <c r="G251" i="86"/>
  <c r="J251" i="86" s="1"/>
  <c r="E251" i="87" s="1"/>
  <c r="E90" i="86"/>
  <c r="G90" i="86" s="1"/>
  <c r="J90" i="86" s="1"/>
  <c r="E90" i="87" s="1"/>
  <c r="E65" i="86"/>
  <c r="G65" i="86" s="1"/>
  <c r="J65" i="86" s="1"/>
  <c r="E65" i="87" s="1"/>
  <c r="G65" i="87" s="1"/>
  <c r="J65" i="87" s="1"/>
  <c r="E72" i="86"/>
  <c r="G72" i="86" s="1"/>
  <c r="J72" i="86" s="1"/>
  <c r="E72" i="87" s="1"/>
  <c r="G72" i="87" s="1"/>
  <c r="J72" i="87" s="1"/>
  <c r="E170" i="86"/>
  <c r="G170" i="86" s="1"/>
  <c r="J170" i="86" s="1"/>
  <c r="E170" i="87" s="1"/>
  <c r="G170" i="87" s="1"/>
  <c r="J170" i="87" s="1"/>
  <c r="E172" i="86"/>
  <c r="G172" i="86" s="1"/>
  <c r="J172" i="86" s="1"/>
  <c r="E172" i="87" s="1"/>
  <c r="G172" i="87" s="1"/>
  <c r="J172" i="87" s="1"/>
  <c r="E215" i="86"/>
  <c r="G215" i="86" s="1"/>
  <c r="J215" i="86" s="1"/>
  <c r="E215" i="87" s="1"/>
  <c r="E184" i="86"/>
  <c r="G184" i="86" s="1"/>
  <c r="J184" i="86" s="1"/>
  <c r="E184" i="87" s="1"/>
  <c r="G184" i="87" s="1"/>
  <c r="J184" i="87" s="1"/>
  <c r="E160" i="86"/>
  <c r="G160" i="86" s="1"/>
  <c r="J160" i="86" s="1"/>
  <c r="E160" i="87" s="1"/>
  <c r="G160" i="87" s="1"/>
  <c r="J160" i="87" s="1"/>
  <c r="E93" i="86"/>
  <c r="G93" i="86" s="1"/>
  <c r="J93" i="86" s="1"/>
  <c r="E93" i="87" s="1"/>
  <c r="E235" i="86"/>
  <c r="G235" i="86" s="1"/>
  <c r="J235" i="86" s="1"/>
  <c r="E167" i="86"/>
  <c r="G167" i="86" s="1"/>
  <c r="J167" i="86" s="1"/>
  <c r="E167" i="87" s="1"/>
  <c r="E222" i="86"/>
  <c r="G222" i="86" s="1"/>
  <c r="J222" i="86" s="1"/>
  <c r="E222" i="87" s="1"/>
  <c r="E69" i="86"/>
  <c r="G69" i="86" s="1"/>
  <c r="J69" i="86" s="1"/>
  <c r="E69" i="87" s="1"/>
  <c r="G69" i="87" s="1"/>
  <c r="J69" i="87" s="1"/>
  <c r="E171" i="86"/>
  <c r="G171" i="86" s="1"/>
  <c r="J171" i="86" s="1"/>
  <c r="E171" i="87" s="1"/>
  <c r="G171" i="87" s="1"/>
  <c r="J171" i="87" s="1"/>
  <c r="E95" i="86"/>
  <c r="G95" i="86" s="1"/>
  <c r="J95" i="86" s="1"/>
  <c r="E95" i="87" s="1"/>
  <c r="G95" i="87" s="1"/>
  <c r="J95" i="87" s="1"/>
  <c r="E139" i="86"/>
  <c r="G139" i="86" s="1"/>
  <c r="J139" i="86" s="1"/>
  <c r="E139" i="87" s="1"/>
  <c r="E73" i="86"/>
  <c r="G73" i="86" s="1"/>
  <c r="J73" i="86" s="1"/>
  <c r="E73" i="87" s="1"/>
  <c r="G73" i="87" s="1"/>
  <c r="J73" i="87" s="1"/>
  <c r="E137" i="86"/>
  <c r="G137" i="86" s="1"/>
  <c r="J137" i="86" s="1"/>
  <c r="E137" i="87" s="1"/>
  <c r="G137" i="87" s="1"/>
  <c r="J137" i="87" s="1"/>
  <c r="E158" i="86"/>
  <c r="G158" i="86" s="1"/>
  <c r="J158" i="86" s="1"/>
  <c r="E158" i="87" s="1"/>
  <c r="G158" i="87" s="1"/>
  <c r="J158" i="87" s="1"/>
  <c r="E143" i="86"/>
  <c r="G143" i="86" s="1"/>
  <c r="J143" i="86" s="1"/>
  <c r="E143" i="87" s="1"/>
  <c r="G143" i="87" s="1"/>
  <c r="J143" i="87" s="1"/>
  <c r="E159" i="86"/>
  <c r="G159" i="86" s="1"/>
  <c r="J159" i="86" s="1"/>
  <c r="E159" i="87" s="1"/>
  <c r="E79" i="86"/>
  <c r="G79" i="86" s="1"/>
  <c r="J79" i="86" s="1"/>
  <c r="E79" i="87" s="1"/>
  <c r="G79" i="87" s="1"/>
  <c r="J79" i="87" s="1"/>
  <c r="E176" i="86"/>
  <c r="G176" i="86" s="1"/>
  <c r="J176" i="86" s="1"/>
  <c r="E176" i="87" s="1"/>
  <c r="G176" i="87" s="1"/>
  <c r="J176" i="87" s="1"/>
  <c r="E81" i="86"/>
  <c r="G81" i="86" s="1"/>
  <c r="J81" i="86" s="1"/>
  <c r="E81" i="87" s="1"/>
  <c r="G81" i="87" s="1"/>
  <c r="J81" i="87" s="1"/>
  <c r="E140" i="86"/>
  <c r="G140" i="86" s="1"/>
  <c r="J140" i="86" s="1"/>
  <c r="E140" i="87" s="1"/>
  <c r="E162" i="86"/>
  <c r="G162" i="86" s="1"/>
  <c r="J162" i="86" s="1"/>
  <c r="E162" i="87" s="1"/>
  <c r="G162" i="87" s="1"/>
  <c r="J162" i="87" s="1"/>
  <c r="E163" i="86"/>
  <c r="G163" i="86" s="1"/>
  <c r="J163" i="86" s="1"/>
  <c r="E163" i="87" s="1"/>
  <c r="G163" i="87" s="1"/>
  <c r="J163" i="87" s="1"/>
  <c r="E120" i="86"/>
  <c r="G120" i="86" s="1"/>
  <c r="J120" i="86" s="1"/>
  <c r="E120" i="87" s="1"/>
  <c r="E180" i="86"/>
  <c r="G180" i="86" s="1"/>
  <c r="J180" i="86" s="1"/>
  <c r="E180" i="87" s="1"/>
  <c r="G180" i="87" s="1"/>
  <c r="J180" i="87" s="1"/>
  <c r="E142" i="86"/>
  <c r="G142" i="86" s="1"/>
  <c r="J142" i="86" s="1"/>
  <c r="E142" i="87" s="1"/>
  <c r="G142" i="87" s="1"/>
  <c r="J142" i="87" s="1"/>
  <c r="E78" i="86"/>
  <c r="G78" i="86" s="1"/>
  <c r="J78" i="86" s="1"/>
  <c r="E78" i="87" s="1"/>
  <c r="G78" i="87" s="1"/>
  <c r="J78" i="87" s="1"/>
  <c r="E164" i="86"/>
  <c r="G164" i="86" s="1"/>
  <c r="J164" i="86" s="1"/>
  <c r="E164" i="87" s="1"/>
  <c r="E100" i="86"/>
  <c r="G100" i="86" s="1"/>
  <c r="J100" i="86" s="1"/>
  <c r="E100" i="87" s="1"/>
  <c r="G100" i="87" s="1"/>
  <c r="J100" i="87" s="1"/>
  <c r="E89" i="86"/>
  <c r="G89" i="86" s="1"/>
  <c r="J89" i="86" s="1"/>
  <c r="E89" i="87" s="1"/>
  <c r="G89" i="87" s="1"/>
  <c r="J89" i="87" s="1"/>
  <c r="G244" i="86"/>
  <c r="J244" i="86" s="1"/>
  <c r="E244" i="87" s="1"/>
  <c r="E236" i="86"/>
  <c r="G236" i="86" s="1"/>
  <c r="J236" i="86" s="1"/>
  <c r="E123" i="86"/>
  <c r="G123" i="86" s="1"/>
  <c r="J123" i="86" s="1"/>
  <c r="E123" i="87" s="1"/>
  <c r="E141" i="86"/>
  <c r="G141" i="86" s="1"/>
  <c r="J141" i="86" s="1"/>
  <c r="E141" i="87" s="1"/>
  <c r="E92" i="86"/>
  <c r="G92" i="86" s="1"/>
  <c r="J92" i="86" s="1"/>
  <c r="E92" i="87" s="1"/>
  <c r="E223" i="86"/>
  <c r="G223" i="86" s="1"/>
  <c r="J223" i="86" s="1"/>
  <c r="E223" i="87" s="1"/>
  <c r="G223" i="87" s="1"/>
  <c r="J223" i="87" s="1"/>
  <c r="E183" i="86"/>
  <c r="G183" i="86" s="1"/>
  <c r="J183" i="86" s="1"/>
  <c r="E183" i="87" s="1"/>
  <c r="E192" i="86"/>
  <c r="G192" i="86" s="1"/>
  <c r="J192" i="86" s="1"/>
  <c r="E192" i="87" s="1"/>
  <c r="G192" i="87" s="1"/>
  <c r="J192" i="87" s="1"/>
  <c r="E74" i="86"/>
  <c r="G74" i="86" s="1"/>
  <c r="J74" i="86" s="1"/>
  <c r="E74" i="87" s="1"/>
  <c r="G74" i="87" s="1"/>
  <c r="J74" i="87" s="1"/>
  <c r="E145" i="86"/>
  <c r="G145" i="86" s="1"/>
  <c r="J145" i="86" s="1"/>
  <c r="E145" i="87" s="1"/>
  <c r="E99" i="86"/>
  <c r="G99" i="86" s="1"/>
  <c r="J99" i="86" s="1"/>
  <c r="E99" i="87" s="1"/>
  <c r="G99" i="87" s="1"/>
  <c r="J99" i="87" s="1"/>
  <c r="E130" i="86"/>
  <c r="G130" i="86" s="1"/>
  <c r="J130" i="86" s="1"/>
  <c r="E130" i="87" s="1"/>
  <c r="G130" i="87" s="1"/>
  <c r="J130" i="87" s="1"/>
  <c r="E179" i="86"/>
  <c r="G179" i="86" s="1"/>
  <c r="J179" i="86" s="1"/>
  <c r="E179" i="87" s="1"/>
  <c r="G179" i="87" s="1"/>
  <c r="J179" i="87" s="1"/>
  <c r="E106" i="86"/>
  <c r="G106" i="86" s="1"/>
  <c r="J106" i="86" s="1"/>
  <c r="E106" i="87" s="1"/>
  <c r="G106" i="87" s="1"/>
  <c r="J106" i="87" s="1"/>
  <c r="G88" i="86"/>
  <c r="J88" i="86" s="1"/>
  <c r="E88" i="87" s="1"/>
  <c r="E87" i="86"/>
  <c r="E118" i="86"/>
  <c r="G118" i="86" s="1"/>
  <c r="J118" i="86" s="1"/>
  <c r="E118" i="87" s="1"/>
  <c r="G118" i="87" s="1"/>
  <c r="J118" i="87" s="1"/>
  <c r="E66" i="86"/>
  <c r="G66" i="86" s="1"/>
  <c r="J66" i="86" s="1"/>
  <c r="E66" i="87" s="1"/>
  <c r="G66" i="87" s="1"/>
  <c r="J66" i="87" s="1"/>
  <c r="E101" i="86"/>
  <c r="G101" i="86" s="1"/>
  <c r="J101" i="86" s="1"/>
  <c r="E101" i="87" s="1"/>
  <c r="E61" i="86"/>
  <c r="G61" i="86" s="1"/>
  <c r="J61" i="86" s="1"/>
  <c r="E61" i="87" s="1"/>
  <c r="E98" i="86"/>
  <c r="G98" i="86" s="1"/>
  <c r="J98" i="86" s="1"/>
  <c r="E98" i="87" s="1"/>
  <c r="G98" i="87" s="1"/>
  <c r="J98" i="87" s="1"/>
  <c r="E220" i="86"/>
  <c r="G220" i="86" s="1"/>
  <c r="J220" i="86" s="1"/>
  <c r="E220" i="87" s="1"/>
  <c r="G220" i="87" s="1"/>
  <c r="J220" i="87" s="1"/>
  <c r="E67" i="86"/>
  <c r="G67" i="86" s="1"/>
  <c r="J67" i="86" s="1"/>
  <c r="E67" i="87" s="1"/>
  <c r="E146" i="86"/>
  <c r="G146" i="86" s="1"/>
  <c r="J146" i="86" s="1"/>
  <c r="E146" i="87" s="1"/>
  <c r="E154" i="86"/>
  <c r="G154" i="86" s="1"/>
  <c r="J154" i="86" s="1"/>
  <c r="E154" i="87" s="1"/>
  <c r="G154" i="87" s="1"/>
  <c r="J154" i="87" s="1"/>
  <c r="E85" i="86"/>
  <c r="G85" i="86" s="1"/>
  <c r="J85" i="86" s="1"/>
  <c r="E85" i="87" s="1"/>
  <c r="E225" i="86"/>
  <c r="G225" i="86" s="1"/>
  <c r="J225" i="86" s="1"/>
  <c r="E225" i="87" s="1"/>
  <c r="G225" i="87" s="1"/>
  <c r="J225" i="87" s="1"/>
  <c r="E68" i="86"/>
  <c r="G68" i="86" s="1"/>
  <c r="J68" i="86" s="1"/>
  <c r="E68" i="87" s="1"/>
  <c r="G68" i="87" s="1"/>
  <c r="J68" i="87" s="1"/>
  <c r="E80" i="86"/>
  <c r="G80" i="86" s="1"/>
  <c r="J80" i="86" s="1"/>
  <c r="E80" i="87" s="1"/>
  <c r="G80" i="87" s="1"/>
  <c r="J80" i="87" s="1"/>
  <c r="E64" i="86"/>
  <c r="G64" i="86" s="1"/>
  <c r="J64" i="86" s="1"/>
  <c r="E64" i="87" s="1"/>
  <c r="G64" i="87" s="1"/>
  <c r="J64" i="87" s="1"/>
  <c r="E121" i="86"/>
  <c r="G121" i="86" s="1"/>
  <c r="J121" i="86" s="1"/>
  <c r="E121" i="87" s="1"/>
  <c r="G121" i="87" s="1"/>
  <c r="J121" i="87" s="1"/>
  <c r="E91" i="86"/>
  <c r="G91" i="86" s="1"/>
  <c r="J91" i="86" s="1"/>
  <c r="E91" i="87" s="1"/>
  <c r="G91" i="87" s="1"/>
  <c r="J91" i="87" s="1"/>
  <c r="E166" i="86"/>
  <c r="G166" i="86" s="1"/>
  <c r="J166" i="86" s="1"/>
  <c r="E166" i="87" s="1"/>
  <c r="G166" i="87" s="1"/>
  <c r="J166" i="87" s="1"/>
  <c r="E168" i="86"/>
  <c r="G168" i="86" s="1"/>
  <c r="J168" i="86" s="1"/>
  <c r="E168" i="87" s="1"/>
  <c r="G168" i="87" s="1"/>
  <c r="J168" i="87" s="1"/>
  <c r="E185" i="86"/>
  <c r="G185" i="86" s="1"/>
  <c r="J185" i="86" s="1"/>
  <c r="E185" i="87" s="1"/>
  <c r="E77" i="86"/>
  <c r="G77" i="86" s="1"/>
  <c r="J77" i="86" s="1"/>
  <c r="E77" i="87" s="1"/>
  <c r="G77" i="87" s="1"/>
  <c r="J77" i="87" s="1"/>
  <c r="E138" i="86"/>
  <c r="G138" i="86" s="1"/>
  <c r="J138" i="86" s="1"/>
  <c r="E138" i="87" s="1"/>
  <c r="E144" i="86"/>
  <c r="G144" i="86" s="1"/>
  <c r="J144" i="86" s="1"/>
  <c r="E144" i="87" s="1"/>
  <c r="G144" i="87" s="1"/>
  <c r="J144" i="87" s="1"/>
  <c r="G227" i="86"/>
  <c r="J227" i="86" s="1"/>
  <c r="G230" i="86"/>
  <c r="J230" i="86" s="1"/>
  <c r="G238" i="86"/>
  <c r="J238" i="86" s="1"/>
  <c r="G234" i="85"/>
  <c r="J234" i="85" s="1"/>
  <c r="E234" i="86" s="1"/>
  <c r="G253" i="86"/>
  <c r="J253" i="86" s="1"/>
  <c r="E253" i="87" s="1"/>
  <c r="G259" i="85"/>
  <c r="J259" i="85" s="1"/>
  <c r="E259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67" i="87"/>
  <c r="J167" i="87" s="1"/>
  <c r="G120" i="87"/>
  <c r="J120" i="87" s="1"/>
  <c r="G183" i="87"/>
  <c r="J183" i="87" s="1"/>
  <c r="G159" i="87"/>
  <c r="J159" i="87" s="1"/>
  <c r="G222" i="87"/>
  <c r="J222" i="87" s="1"/>
  <c r="G101" i="87"/>
  <c r="J101" i="87" s="1"/>
  <c r="G61" i="87"/>
  <c r="J61" i="87" s="1"/>
  <c r="G145" i="87"/>
  <c r="J145" i="87" s="1"/>
  <c r="G164" i="87"/>
  <c r="J164" i="87" s="1"/>
  <c r="G215" i="87"/>
  <c r="J215" i="87" s="1"/>
  <c r="G85" i="87"/>
  <c r="J85" i="87" s="1"/>
  <c r="G146" i="87"/>
  <c r="J146" i="87" s="1"/>
  <c r="G185" i="87"/>
  <c r="J185" i="87" s="1"/>
  <c r="G138" i="87"/>
  <c r="J138" i="87" s="1"/>
  <c r="G67" i="87"/>
  <c r="J67" i="87" s="1"/>
  <c r="G90" i="87"/>
  <c r="J90" i="87" s="1"/>
  <c r="G123" i="87"/>
  <c r="J123" i="87" s="1"/>
  <c r="G141" i="87"/>
  <c r="J141" i="87" s="1"/>
  <c r="G140" i="87"/>
  <c r="J140" i="87" s="1"/>
  <c r="G139" i="87"/>
  <c r="J139" i="87" s="1"/>
  <c r="G92" i="87"/>
  <c r="J92" i="87" s="1"/>
  <c r="G93" i="87"/>
  <c r="J93" i="87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111" i="86"/>
  <c r="J111" i="86" s="1"/>
  <c r="E111" i="87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3" i="87" l="1"/>
  <c r="G23" i="87" s="1"/>
  <c r="J23" i="87" s="1"/>
  <c r="G246" i="87"/>
  <c r="J246" i="87" s="1"/>
  <c r="E238" i="87"/>
  <c r="E235" i="87"/>
  <c r="G235" i="87" s="1"/>
  <c r="J235" i="87" s="1"/>
  <c r="E19" i="87"/>
  <c r="G19" i="87" s="1"/>
  <c r="J19" i="87" s="1"/>
  <c r="E22" i="87"/>
  <c r="G22" i="87" s="1"/>
  <c r="J22" i="87" s="1"/>
  <c r="G238" i="87"/>
  <c r="J238" i="87" s="1"/>
  <c r="E230" i="87"/>
  <c r="G230" i="87" s="1"/>
  <c r="J230" i="87" s="1"/>
  <c r="E21" i="87"/>
  <c r="G21" i="87" s="1"/>
  <c r="J21" i="87" s="1"/>
  <c r="E227" i="87"/>
  <c r="G227" i="87" s="1"/>
  <c r="J227" i="87" s="1"/>
  <c r="G251" i="87"/>
  <c r="J251" i="87" s="1"/>
  <c r="E243" i="87"/>
  <c r="G243" i="87" s="1"/>
  <c r="J243" i="87" s="1"/>
  <c r="E24" i="87"/>
  <c r="G24" i="87" s="1"/>
  <c r="J24" i="87" s="1"/>
  <c r="E228" i="87"/>
  <c r="G228" i="87" s="1"/>
  <c r="J228" i="87" s="1"/>
  <c r="E20" i="87"/>
  <c r="G20" i="87" s="1"/>
  <c r="J20" i="87" s="1"/>
  <c r="E26" i="87"/>
  <c r="G26" i="87" s="1"/>
  <c r="J26" i="87" s="1"/>
  <c r="E25" i="87"/>
  <c r="G25" i="87" s="1"/>
  <c r="J25" i="87" s="1"/>
  <c r="G244" i="87"/>
  <c r="J244" i="87" s="1"/>
  <c r="E236" i="87"/>
  <c r="G236" i="87" s="1"/>
  <c r="J236" i="87" s="1"/>
  <c r="E38" i="86"/>
  <c r="G38" i="86" s="1"/>
  <c r="J38" i="86" s="1"/>
  <c r="E38" i="87" s="1"/>
  <c r="G38" i="87" s="1"/>
  <c r="J38" i="87" s="1"/>
  <c r="E96" i="86"/>
  <c r="G96" i="86" s="1"/>
  <c r="J96" i="86" s="1"/>
  <c r="E96" i="87" s="1"/>
  <c r="G96" i="87" s="1"/>
  <c r="J96" i="87" s="1"/>
  <c r="E165" i="86"/>
  <c r="G165" i="86" s="1"/>
  <c r="J165" i="86" s="1"/>
  <c r="E165" i="87" s="1"/>
  <c r="G165" i="87" s="1"/>
  <c r="J165" i="87" s="1"/>
  <c r="E119" i="86"/>
  <c r="G119" i="86" s="1"/>
  <c r="J119" i="86" s="1"/>
  <c r="E119" i="87" s="1"/>
  <c r="G119" i="87" s="1"/>
  <c r="J119" i="87" s="1"/>
  <c r="E221" i="86"/>
  <c r="G221" i="86" s="1"/>
  <c r="J221" i="86" s="1"/>
  <c r="E221" i="87" s="1"/>
  <c r="E161" i="86"/>
  <c r="G161" i="86" s="1"/>
  <c r="J161" i="86" s="1"/>
  <c r="E161" i="87" s="1"/>
  <c r="G161" i="87" s="1"/>
  <c r="J161" i="87" s="1"/>
  <c r="E86" i="86"/>
  <c r="G86" i="86" s="1"/>
  <c r="J86" i="86" s="1"/>
  <c r="E86" i="87" s="1"/>
  <c r="G86" i="87" s="1"/>
  <c r="J86" i="87" s="1"/>
  <c r="E122" i="86"/>
  <c r="G122" i="86" s="1"/>
  <c r="J122" i="86" s="1"/>
  <c r="E122" i="87" s="1"/>
  <c r="G122" i="87" s="1"/>
  <c r="J122" i="87" s="1"/>
  <c r="G242" i="86"/>
  <c r="J242" i="86" s="1"/>
  <c r="G87" i="86"/>
  <c r="J87" i="86" s="1"/>
  <c r="G234" i="86"/>
  <c r="J234" i="86" s="1"/>
  <c r="E234" i="87" s="1"/>
  <c r="G247" i="86"/>
  <c r="J247" i="86" s="1"/>
  <c r="G253" i="87"/>
  <c r="J253" i="87" s="1"/>
  <c r="G259" i="86"/>
  <c r="J259" i="86" s="1"/>
  <c r="E25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221" i="87"/>
  <c r="J221" i="87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G57" i="87"/>
  <c r="J57" i="87" s="1"/>
  <c r="G117" i="87"/>
  <c r="J117" i="87" s="1"/>
  <c r="G33" i="87"/>
  <c r="J33" i="87" s="1"/>
  <c r="G43" i="87"/>
  <c r="J43" i="87" s="1"/>
  <c r="G108" i="87"/>
  <c r="J108" i="87" s="1"/>
  <c r="G110" i="87"/>
  <c r="J110" i="87" s="1"/>
  <c r="G54" i="87"/>
  <c r="J54" i="87" s="1"/>
  <c r="G111" i="87"/>
  <c r="J111" i="87" s="1"/>
  <c r="G47" i="87"/>
  <c r="J47" i="87" s="1"/>
  <c r="G214" i="85"/>
  <c r="J214" i="85" s="1"/>
  <c r="G48" i="87"/>
  <c r="J48" i="87" s="1"/>
  <c r="G49" i="87"/>
  <c r="J49" i="87" s="1"/>
  <c r="G115" i="87"/>
  <c r="J115" i="87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33" i="86"/>
  <c r="J133" i="86" s="1"/>
  <c r="E133" i="87" s="1"/>
  <c r="G136" i="86"/>
  <c r="J136" i="86" s="1"/>
  <c r="E136" i="87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50" i="87" l="1"/>
  <c r="J250" i="87" s="1"/>
  <c r="E242" i="87"/>
  <c r="G242" i="87"/>
  <c r="J242" i="87" s="1"/>
  <c r="E247" i="87"/>
  <c r="G88" i="87"/>
  <c r="J88" i="87" s="1"/>
  <c r="E87" i="87"/>
  <c r="G87" i="87" s="1"/>
  <c r="J87" i="87" s="1"/>
  <c r="E214" i="86"/>
  <c r="G214" i="86" s="1"/>
  <c r="J214" i="86" s="1"/>
  <c r="E214" i="87" s="1"/>
  <c r="G214" i="87" s="1"/>
  <c r="J214" i="87" s="1"/>
  <c r="G234" i="87"/>
  <c r="J234" i="87" s="1"/>
  <c r="G247" i="87"/>
  <c r="J247" i="87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3" i="86" l="1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17" i="86"/>
  <c r="J17" i="86" s="1"/>
  <c r="G14" i="86"/>
  <c r="J14" i="86" s="1"/>
  <c r="G7" i="86"/>
  <c r="J7" i="86" s="1"/>
  <c r="G131" i="86"/>
  <c r="J131" i="86" s="1"/>
  <c r="E131" i="87" s="1"/>
  <c r="G134" i="86"/>
  <c r="J134" i="86" s="1"/>
  <c r="E134" i="8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4" i="87" l="1"/>
  <c r="G14" i="87" s="1"/>
  <c r="J14" i="87" s="1"/>
  <c r="E17" i="87"/>
  <c r="G17" i="87" s="1"/>
  <c r="J17" i="87" s="1"/>
  <c r="E16" i="87"/>
  <c r="G16" i="87" s="1"/>
  <c r="J16" i="87" s="1"/>
  <c r="E8" i="87"/>
  <c r="G8" i="87" s="1"/>
  <c r="J8" i="87" s="1"/>
  <c r="E15" i="87"/>
  <c r="G15" i="87" s="1"/>
  <c r="J15" i="87" s="1"/>
  <c r="E6" i="87"/>
  <c r="G6" i="87" s="1"/>
  <c r="J6" i="87" s="1"/>
  <c r="E18" i="87"/>
  <c r="G18" i="87" s="1"/>
  <c r="J18" i="87" s="1"/>
  <c r="E7" i="87"/>
  <c r="G7" i="87" s="1"/>
  <c r="J7" i="87" s="1"/>
  <c r="E13" i="87"/>
  <c r="G13" i="87" s="1"/>
  <c r="J13" i="87" s="1"/>
  <c r="G131" i="87"/>
  <c r="J131" i="87" s="1"/>
  <c r="G134" i="87"/>
  <c r="J134" i="87" s="1"/>
  <c r="G5" i="74"/>
  <c r="J5" i="74" s="1"/>
  <c r="G5" i="77" l="1"/>
  <c r="J5" i="77" s="1"/>
  <c r="E5" i="78" s="1"/>
  <c r="E5" i="8"/>
  <c r="J5" i="8" s="1"/>
  <c r="J208" i="8"/>
  <c r="G5" i="78" l="1"/>
  <c r="J5" i="78" s="1"/>
  <c r="E5" i="79" s="1"/>
  <c r="G5" i="8"/>
  <c r="J204" i="8"/>
  <c r="J206" i="8"/>
  <c r="J183" i="8"/>
  <c r="J182" i="8"/>
  <c r="J205" i="8"/>
  <c r="J184" i="8"/>
  <c r="G5" i="79" l="1"/>
  <c r="J5" i="79" s="1"/>
  <c r="E5" i="80" s="1"/>
  <c r="G5" i="80" l="1"/>
  <c r="J5" i="80" s="1"/>
  <c r="E5" i="81" s="1"/>
  <c r="G5" i="81" l="1"/>
  <c r="J5" i="81" s="1"/>
  <c r="E5" i="82" s="1"/>
  <c r="E219" i="8"/>
  <c r="G219" i="8" s="1"/>
  <c r="G189" i="77" l="1"/>
  <c r="J189" i="77" s="1"/>
  <c r="E189" i="78" s="1"/>
  <c r="G189" i="74"/>
  <c r="J189" i="74" s="1"/>
  <c r="E189" i="8" s="1"/>
  <c r="G189" i="8" s="1"/>
  <c r="G187" i="74"/>
  <c r="J187" i="74" s="1"/>
  <c r="E187" i="8" s="1"/>
  <c r="G187" i="8" s="1"/>
  <c r="G187" i="77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G105" i="74"/>
  <c r="J105" i="74" s="1"/>
  <c r="G105" i="77"/>
  <c r="J105" i="77" s="1"/>
  <c r="E105" i="78" s="1"/>
  <c r="G105" i="78" s="1"/>
  <c r="J105" i="78" s="1"/>
  <c r="E105" i="79" s="1"/>
  <c r="G105" i="79" s="1"/>
  <c r="J105" i="79" s="1"/>
  <c r="E105" i="80" s="1"/>
  <c r="G219" i="77"/>
  <c r="J219" i="77" s="1"/>
  <c r="E219" i="78" s="1"/>
  <c r="G5" i="82"/>
  <c r="J5" i="82" s="1"/>
  <c r="E5" i="83" s="1"/>
  <c r="E217" i="8"/>
  <c r="G217" i="8" s="1"/>
  <c r="E201" i="8"/>
  <c r="G201" i="8" s="1"/>
  <c r="E199" i="8"/>
  <c r="G199" i="8" s="1"/>
  <c r="E200" i="8"/>
  <c r="G200" i="8" s="1"/>
  <c r="E218" i="8"/>
  <c r="G218" i="8" s="1"/>
  <c r="E216" i="8"/>
  <c r="G216" i="8" s="1"/>
  <c r="J219" i="8"/>
  <c r="J189" i="8" l="1"/>
  <c r="J187" i="8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J105" i="8"/>
  <c r="G219" i="78"/>
  <c r="J219" i="78" s="1"/>
  <c r="E219" i="79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J200" i="8"/>
  <c r="J199" i="8"/>
  <c r="J216" i="8"/>
  <c r="J201" i="8"/>
  <c r="J218" i="8"/>
  <c r="J217" i="8"/>
  <c r="G188" i="77" l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G188" i="74"/>
  <c r="J188" i="74" s="1"/>
  <c r="E188" i="8" s="1"/>
  <c r="G188" i="8" s="1"/>
  <c r="G207" i="77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74"/>
  <c r="J207" i="74" s="1"/>
  <c r="G76" i="74"/>
  <c r="J76" i="74" s="1"/>
  <c r="G76" i="77"/>
  <c r="J76" i="77" s="1"/>
  <c r="E76" i="78" s="1"/>
  <c r="G76" i="78" s="1"/>
  <c r="J76" i="78" s="1"/>
  <c r="E76" i="79" s="1"/>
  <c r="G219" i="79"/>
  <c r="J219" i="79" s="1"/>
  <c r="E219" i="80" s="1"/>
  <c r="G201" i="78"/>
  <c r="J201" i="78" s="1"/>
  <c r="E201" i="79" s="1"/>
  <c r="G199" i="78"/>
  <c r="J199" i="78" s="1"/>
  <c r="E199" i="79" s="1"/>
  <c r="G216" i="78"/>
  <c r="J216" i="78" s="1"/>
  <c r="E216" i="79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E124" i="8"/>
  <c r="G124" i="8" s="1"/>
  <c r="J188" i="8" l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J207" i="8"/>
  <c r="G76" i="79"/>
  <c r="J76" i="79" s="1"/>
  <c r="J76" i="8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24" i="77"/>
  <c r="J124" i="77" s="1"/>
  <c r="E124" i="78" s="1"/>
  <c r="G5" i="85"/>
  <c r="J5" i="85" s="1"/>
  <c r="E5" i="86" s="1"/>
  <c r="J124" i="8"/>
  <c r="E219" i="81" l="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E219" i="82" l="1"/>
  <c r="G219" i="82" s="1"/>
  <c r="J219" i="82" s="1"/>
  <c r="E219" i="83" s="1"/>
  <c r="G219" i="83" s="1"/>
  <c r="J219" i="83" s="1"/>
  <c r="E219" i="84" s="1"/>
  <c r="E218" i="81"/>
  <c r="G218" i="81" s="1"/>
  <c r="J218" i="81" s="1"/>
  <c r="E201" i="81"/>
  <c r="G201" i="81" s="1"/>
  <c r="J201" i="81" s="1"/>
  <c r="E199" i="81"/>
  <c r="G199" i="81" s="1"/>
  <c r="J199" i="81" s="1"/>
  <c r="E217" i="81"/>
  <c r="G217" i="81" s="1"/>
  <c r="J217" i="81" s="1"/>
  <c r="E200" i="81"/>
  <c r="G200" i="81" s="1"/>
  <c r="J200" i="81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G5" i="87"/>
  <c r="J5" i="87" s="1"/>
  <c r="G124" i="79"/>
  <c r="J124" i="79" s="1"/>
  <c r="E124" i="80" s="1"/>
  <c r="E200" i="82" l="1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E201" i="82"/>
  <c r="G201" i="82" s="1"/>
  <c r="J201" i="82" s="1"/>
  <c r="E201" i="83" s="1"/>
  <c r="G201" i="83" s="1"/>
  <c r="J201" i="83" s="1"/>
  <c r="E201" i="84" s="1"/>
  <c r="E217" i="82"/>
  <c r="G217" i="82" s="1"/>
  <c r="J217" i="82" s="1"/>
  <c r="E217" i="83" s="1"/>
  <c r="G217" i="83" s="1"/>
  <c r="J217" i="83" s="1"/>
  <c r="E217" i="84" s="1"/>
  <c r="E199" i="82"/>
  <c r="G199" i="82" s="1"/>
  <c r="J199" i="82" s="1"/>
  <c r="E199" i="83" s="1"/>
  <c r="G199" i="83" s="1"/>
  <c r="J199" i="83" s="1"/>
  <c r="E199" i="84" s="1"/>
  <c r="G124" i="80"/>
  <c r="J124" i="80" s="1"/>
  <c r="G219" i="84"/>
  <c r="J219" i="84" s="1"/>
  <c r="E219" i="85" s="1"/>
  <c r="E124" i="81" l="1"/>
  <c r="G124" i="81" s="1"/>
  <c r="J124" i="81" s="1"/>
  <c r="G219" i="85"/>
  <c r="J219" i="85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E219" i="86" l="1"/>
  <c r="G219" i="86" s="1"/>
  <c r="J219" i="86" s="1"/>
  <c r="E219" i="87" s="1"/>
  <c r="G219" i="87" s="1"/>
  <c r="J219" i="87" s="1"/>
  <c r="E124" i="82"/>
  <c r="G124" i="82" s="1"/>
  <c r="J124" i="82" s="1"/>
  <c r="E124" i="83" s="1"/>
  <c r="G124" i="83" s="1"/>
  <c r="J124" i="83" s="1"/>
  <c r="E124" i="84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E218" i="86" l="1"/>
  <c r="G218" i="86" s="1"/>
  <c r="J218" i="86" s="1"/>
  <c r="E218" i="87" s="1"/>
  <c r="G218" i="87" s="1"/>
  <c r="J218" i="87" s="1"/>
  <c r="E200" i="86"/>
  <c r="G200" i="86" s="1"/>
  <c r="J200" i="86" s="1"/>
  <c r="E200" i="87" s="1"/>
  <c r="E216" i="86"/>
  <c r="G216" i="86" s="1"/>
  <c r="J216" i="86" s="1"/>
  <c r="E216" i="87" s="1"/>
  <c r="G216" i="87" s="1"/>
  <c r="J216" i="87" s="1"/>
  <c r="E217" i="86"/>
  <c r="G217" i="86" s="1"/>
  <c r="J217" i="86" s="1"/>
  <c r="E217" i="87" s="1"/>
  <c r="G217" i="87" s="1"/>
  <c r="J217" i="87" s="1"/>
  <c r="E201" i="86"/>
  <c r="G201" i="86" s="1"/>
  <c r="J201" i="86" s="1"/>
  <c r="E201" i="87" s="1"/>
  <c r="G201" i="87" s="1"/>
  <c r="J201" i="87" s="1"/>
  <c r="E199" i="86"/>
  <c r="G199" i="86" s="1"/>
  <c r="J199" i="86" s="1"/>
  <c r="E199" i="87" s="1"/>
  <c r="G199" i="87" s="1"/>
  <c r="J199" i="87" s="1"/>
  <c r="G200" i="87"/>
  <c r="J200" i="87" s="1"/>
  <c r="G124" i="84"/>
  <c r="J124" i="84" s="1"/>
  <c r="E124" i="85" s="1"/>
  <c r="G124" i="85" l="1"/>
  <c r="J124" i="85" s="1"/>
  <c r="E124" i="86" l="1"/>
  <c r="G124" i="86" s="1"/>
  <c r="J124" i="86" s="1"/>
  <c r="E124" i="87" s="1"/>
  <c r="G124" i="87" s="1"/>
  <c r="J124" i="87" s="1"/>
  <c r="M263" i="8" l="1"/>
  <c r="F261" i="8"/>
  <c r="F264" i="8" s="1"/>
  <c r="F266" i="8" s="1"/>
  <c r="C261" i="8" l="1"/>
  <c r="C264" i="8" s="1"/>
  <c r="M265" i="8"/>
  <c r="M268" i="8" s="1"/>
</calcChain>
</file>

<file path=xl/sharedStrings.xml><?xml version="1.0" encoding="utf-8"?>
<sst xmlns="http://schemas.openxmlformats.org/spreadsheetml/2006/main" count="18678" uniqueCount="1488">
  <si>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</si>
  <si>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</si>
  <si>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</si>
  <si>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</si>
  <si>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</si>
  <si>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</si>
  <si>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</si>
  <si>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</si>
  <si>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</si>
  <si>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</si>
  <si>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</si>
  <si>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</si>
  <si>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</si>
  <si>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</si>
  <si>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</si>
  <si>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</si>
  <si>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</si>
  <si>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</si>
  <si>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</si>
  <si>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</si>
  <si>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</si>
  <si>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</si>
  <si>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</si>
  <si>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</si>
  <si>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</si>
  <si>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</si>
  <si>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</si>
  <si>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</si>
  <si>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</si>
  <si>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</si>
  <si>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</si>
  <si>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</si>
  <si>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</si>
  <si>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</si>
  <si>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</si>
  <si>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</si>
  <si>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</si>
  <si>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</si>
  <si>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</si>
  <si>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</si>
  <si>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</si>
  <si>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</si>
  <si>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</si>
  <si>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</si>
  <si>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</si>
  <si>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</si>
  <si>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</si>
  <si>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</si>
  <si>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</si>
  <si>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</si>
  <si>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</si>
  <si>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</si>
  <si>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</si>
  <si>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</si>
  <si>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</si>
  <si>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</si>
  <si>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</si>
  <si>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</si>
  <si>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</si>
  <si>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</si>
  <si>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</si>
  <si>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</si>
  <si>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</si>
  <si>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</si>
  <si>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</si>
  <si>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</si>
  <si>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</si>
  <si>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</si>
  <si>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</si>
  <si>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</si>
  <si>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</si>
  <si>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</si>
  <si>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</si>
  <si>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</si>
  <si>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</si>
  <si>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</si>
  <si>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</si>
  <si>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</si>
  <si>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</si>
  <si>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</si>
  <si>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</si>
  <si>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</si>
  <si>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</si>
  <si>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</si>
  <si>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</si>
  <si>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</si>
  <si>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</si>
  <si>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</si>
  <si>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</si>
  <si>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</si>
  <si>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</si>
  <si>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</si>
  <si>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</si>
  <si>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</si>
  <si>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</si>
  <si>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</si>
  <si>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</si>
  <si>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</si>
  <si>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</si>
  <si>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</si>
  <si>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</si>
  <si>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</si>
  <si>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</si>
  <si>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</si>
  <si>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</si>
  <si>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</si>
  <si>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</si>
  <si>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</si>
  <si>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</si>
  <si>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</si>
  <si>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</si>
  <si>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</si>
  <si>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</si>
  <si>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</si>
  <si>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</si>
  <si>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</si>
  <si>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</si>
  <si>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</si>
  <si>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</si>
  <si>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</si>
  <si>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</si>
  <si>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</si>
  <si>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</si>
  <si>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</si>
  <si>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</si>
  <si>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</si>
  <si>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</si>
  <si>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</si>
  <si>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</si>
  <si>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</si>
  <si>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</si>
  <si>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</si>
  <si>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</si>
  <si>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</si>
  <si>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</si>
  <si>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</si>
  <si>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</si>
  <si>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</si>
  <si>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</si>
  <si>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</si>
  <si>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</si>
  <si>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</si>
  <si>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</si>
  <si>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</si>
  <si>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</si>
  <si>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</si>
  <si>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</si>
  <si>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</si>
  <si>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</si>
  <si>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</si>
  <si>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</si>
  <si>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</si>
  <si>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</si>
  <si>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</si>
  <si>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</si>
  <si>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</si>
  <si>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</si>
  <si>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</si>
  <si>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</si>
  <si>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</si>
  <si>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</si>
  <si>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</si>
  <si>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</si>
  <si>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</si>
  <si>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</si>
  <si>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</si>
  <si>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</si>
  <si>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</si>
  <si>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</si>
  <si>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</si>
  <si>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</si>
  <si>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</si>
  <si>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</si>
  <si>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</si>
  <si>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</si>
  <si>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</si>
  <si>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</si>
  <si>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</si>
  <si>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</si>
  <si>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</si>
  <si>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</si>
  <si>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</si>
  <si>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</si>
  <si>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</si>
  <si>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</si>
  <si>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</si>
  <si>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</si>
  <si>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</si>
  <si>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</si>
  <si>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</si>
  <si>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</si>
  <si>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</si>
  <si>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</si>
  <si>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</si>
  <si>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</si>
  <si>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</si>
  <si>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</si>
  <si>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</si>
  <si>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</si>
  <si>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</si>
  <si>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</si>
  <si>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</si>
  <si>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</si>
  <si>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</si>
  <si>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</si>
  <si>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</si>
  <si>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</si>
  <si>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</si>
  <si>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</si>
  <si>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</si>
  <si>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</si>
  <si>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</si>
  <si>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</si>
  <si>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</si>
  <si>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</si>
  <si>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</si>
  <si>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</si>
  <si>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</si>
  <si>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</si>
  <si>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</si>
  <si>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</si>
  <si>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</si>
  <si>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</si>
  <si>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</si>
  <si>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</si>
  <si>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</si>
  <si>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</si>
  <si>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</si>
  <si>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</si>
  <si>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</si>
  <si>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</si>
  <si>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</si>
  <si>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</si>
  <si>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</si>
  <si>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</si>
  <si>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</si>
  <si>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</si>
  <si>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</si>
  <si>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</si>
  <si>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</si>
  <si>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</si>
  <si>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</si>
  <si>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</si>
  <si>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</si>
  <si>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</si>
  <si>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</si>
  <si>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</si>
  <si>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</si>
  <si>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</si>
  <si>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</si>
  <si>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</si>
  <si>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</si>
  <si>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</si>
  <si>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</si>
  <si>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</si>
  <si>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</si>
  <si>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</si>
  <si>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</si>
  <si>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</si>
  <si>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</si>
  <si>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</si>
  <si>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</si>
  <si>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</si>
  <si>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</si>
  <si>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</si>
  <si>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</si>
  <si>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</si>
  <si>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</si>
  <si>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</si>
  <si>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</si>
  <si>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</si>
  <si>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</si>
  <si>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</si>
  <si>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</si>
  <si>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</si>
  <si>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</si>
  <si>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</si>
  <si>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</si>
  <si>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</si>
  <si>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</si>
  <si>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</si>
  <si>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</si>
  <si>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</si>
  <si>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</si>
  <si>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</si>
  <si>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</si>
  <si>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</si>
  <si>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</si>
  <si>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</si>
  <si>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</si>
  <si>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</si>
  <si>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</si>
  <si>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</si>
  <si>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</si>
  <si>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</si>
  <si>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</si>
  <si>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</si>
  <si>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</si>
  <si>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</si>
  <si>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</si>
  <si>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</si>
  <si>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</si>
  <si>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</si>
  <si>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</si>
  <si>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</si>
  <si>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</si>
  <si>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</si>
  <si>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</si>
  <si>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</si>
  <si>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</si>
  <si>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</si>
  <si>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</si>
  <si>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</si>
  <si>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</si>
  <si>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</si>
  <si>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</si>
  <si>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</si>
  <si>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</si>
  <si>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</si>
  <si>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</si>
  <si>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</si>
  <si>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</si>
  <si>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</si>
  <si>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</si>
  <si>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</si>
  <si>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</si>
  <si>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</si>
  <si>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</si>
  <si>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</si>
  <si>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</si>
  <si>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</si>
  <si>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</si>
  <si>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</si>
  <si>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</si>
  <si>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</si>
  <si>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</si>
  <si>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</si>
  <si>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</si>
  <si>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</si>
  <si>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</si>
  <si>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</si>
  <si>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</si>
  <si>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</si>
  <si>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</si>
  <si>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</si>
  <si>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</si>
  <si>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</si>
  <si>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</si>
  <si>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</si>
  <si>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</si>
  <si>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</si>
  <si>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</si>
  <si>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</si>
  <si>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</si>
  <si>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</si>
  <si>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</si>
  <si>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</si>
  <si>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</si>
  <si>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</si>
  <si>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</si>
  <si>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</si>
  <si>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</si>
  <si>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</si>
  <si>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</si>
  <si>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</si>
  <si>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</si>
  <si>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</si>
  <si>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</si>
  <si>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</si>
  <si>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</si>
  <si>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</si>
  <si>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</si>
  <si>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</si>
  <si>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</si>
  <si>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</si>
  <si>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</si>
  <si>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</si>
  <si>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</si>
  <si>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</si>
  <si>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</si>
  <si>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</si>
  <si>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</si>
  <si>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</si>
  <si>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</si>
  <si>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</si>
  <si>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</si>
  <si>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</si>
  <si>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</si>
  <si>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</si>
  <si>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</si>
  <si>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</si>
  <si>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</si>
  <si>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</si>
  <si>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</si>
  <si>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</si>
  <si>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</si>
  <si>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</si>
  <si>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</si>
  <si>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</si>
  <si>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</si>
  <si>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</si>
  <si>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</si>
  <si>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</si>
  <si>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</si>
  <si>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</si>
  <si>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</si>
  <si>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</si>
  <si>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</si>
  <si>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</si>
  <si>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</si>
  <si>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</si>
  <si>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</si>
  <si>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</si>
  <si>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</si>
  <si>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</si>
  <si>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</si>
  <si>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</si>
  <si>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</si>
  <si>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</si>
  <si>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</si>
  <si>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</si>
  <si>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</si>
  <si>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</si>
  <si>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</si>
  <si>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</si>
  <si>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</si>
  <si>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</si>
  <si>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</si>
  <si>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</si>
  <si>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</si>
  <si>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</si>
  <si>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</si>
  <si>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</si>
  <si>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</si>
  <si>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</si>
  <si>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</si>
  <si>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</si>
  <si>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</si>
  <si>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</si>
  <si>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</si>
  <si>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</si>
  <si>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</si>
  <si>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</si>
  <si>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</si>
  <si>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</si>
  <si>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</si>
  <si>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</si>
  <si>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</si>
  <si>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</si>
  <si>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</si>
  <si>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</si>
  <si>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</si>
  <si>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</si>
  <si>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</si>
  <si>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</si>
  <si>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</si>
  <si>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</si>
  <si>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</si>
  <si>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</si>
  <si>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</si>
  <si>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</si>
  <si>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</si>
  <si>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</si>
  <si>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</si>
  <si>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</si>
  <si>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</si>
  <si>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</si>
  <si>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</si>
  <si>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</si>
  <si>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</si>
  <si>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</si>
  <si>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</si>
  <si>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</si>
  <si>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</si>
  <si>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</si>
  <si>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</si>
  <si>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</si>
  <si>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</si>
  <si>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</si>
  <si>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</si>
  <si>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</si>
  <si>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</si>
  <si>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</si>
  <si>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</si>
  <si>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</si>
  <si>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</si>
  <si>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</si>
  <si>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</si>
  <si>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</si>
  <si>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</si>
  <si>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</si>
  <si>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</si>
  <si>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</si>
  <si>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</si>
  <si>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</si>
  <si>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</si>
  <si>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</si>
  <si>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</si>
  <si>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</si>
  <si>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</si>
  <si>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</si>
  <si>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</si>
  <si>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</si>
  <si>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</si>
  <si>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</si>
  <si>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</si>
  <si>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</si>
  <si>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</si>
  <si>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</si>
  <si>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</si>
  <si>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</si>
  <si>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</si>
  <si>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</si>
  <si>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</si>
  <si>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</si>
  <si>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</si>
  <si>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</si>
  <si>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</si>
  <si>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</si>
  <si>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</si>
  <si>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</si>
  <si>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</si>
  <si>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</si>
  <si>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</si>
  <si>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</si>
  <si>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</si>
  <si>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</si>
  <si>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</si>
  <si>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</si>
  <si>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</si>
  <si>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</si>
  <si>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</si>
  <si>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</si>
  <si>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</si>
  <si>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</si>
  <si>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</si>
  <si>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</si>
  <si>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</si>
  <si>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</si>
  <si>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</si>
  <si>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</si>
  <si>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</si>
  <si>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</si>
  <si>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</si>
  <si>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</si>
  <si>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</si>
  <si>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</si>
  <si>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</si>
  <si>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</si>
  <si>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</si>
  <si>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</si>
  <si>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</si>
  <si>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</si>
  <si>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</si>
  <si>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</si>
  <si>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</si>
  <si>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</si>
  <si>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</si>
  <si>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</si>
  <si>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</si>
  <si>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</si>
  <si>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</si>
  <si>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</si>
  <si>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</si>
  <si>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</si>
  <si>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</si>
  <si>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</si>
  <si>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</si>
  <si>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</si>
  <si>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</si>
  <si>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</si>
  <si>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</si>
  <si>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</si>
  <si>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</si>
  <si>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</si>
  <si>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</si>
  <si>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</si>
  <si>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</si>
  <si>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</si>
  <si>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</si>
  <si>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</si>
  <si>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</si>
  <si>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</si>
  <si>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</si>
  <si>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</si>
  <si>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</si>
  <si>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</si>
  <si>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</si>
  <si>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</si>
  <si>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</si>
  <si>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</si>
  <si>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</si>
  <si>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</si>
  <si>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</si>
  <si>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</si>
  <si>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</si>
  <si>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</si>
  <si>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</si>
  <si>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</si>
  <si>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</si>
  <si>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</si>
  <si>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</si>
  <si>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</si>
  <si>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</si>
  <si>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</si>
  <si>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</si>
  <si>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</si>
  <si>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</si>
  <si>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</si>
  <si>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</si>
  <si>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</si>
  <si>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</si>
  <si>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</si>
  <si>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</si>
  <si>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</si>
  <si>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</si>
  <si>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</si>
  <si>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</si>
  <si>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</si>
  <si>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</si>
  <si>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</si>
  <si>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</si>
  <si>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</si>
  <si>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</si>
  <si>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</si>
  <si>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</si>
  <si>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</si>
  <si>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</si>
  <si>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</si>
  <si>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</si>
  <si>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</si>
  <si>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</si>
  <si>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</si>
  <si>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</si>
  <si>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</si>
  <si>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</si>
  <si>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</si>
  <si>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</si>
  <si>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</si>
  <si>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</si>
  <si>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</si>
  <si>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</si>
  <si>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</si>
  <si>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</si>
  <si>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</si>
  <si>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</si>
  <si>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</si>
  <si>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</si>
  <si>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</si>
  <si>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</si>
  <si>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</si>
  <si>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</si>
  <si>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</si>
  <si>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</si>
  <si>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</si>
  <si>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</si>
  <si>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</si>
  <si>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</si>
  <si>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</si>
  <si>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</si>
  <si>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</si>
  <si>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</si>
  <si>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</si>
  <si>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</si>
  <si>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</si>
  <si>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</si>
  <si>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</si>
  <si>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</si>
  <si>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</si>
  <si>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</si>
  <si>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</si>
  <si>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</si>
  <si>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</si>
  <si>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</si>
  <si>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</si>
  <si>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</si>
  <si>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</si>
  <si>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</si>
  <si>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</si>
  <si>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</si>
  <si>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</si>
  <si>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</si>
  <si>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</si>
  <si>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</si>
  <si>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</si>
  <si>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</si>
  <si>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</si>
  <si>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</si>
  <si>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</si>
  <si>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</si>
  <si>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</si>
  <si>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</si>
  <si>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</si>
  <si>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</si>
  <si>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</si>
  <si>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</si>
  <si>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</si>
  <si>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</si>
  <si>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</si>
  <si>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</si>
  <si>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</si>
  <si>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</si>
  <si>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</si>
  <si>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</si>
  <si>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</si>
  <si>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</si>
  <si>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</si>
  <si>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</si>
  <si>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</si>
  <si>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</si>
  <si>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</si>
  <si>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</si>
  <si>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</si>
  <si>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</si>
  <si>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</si>
  <si>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</si>
  <si>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</si>
  <si>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</si>
  <si>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</si>
  <si>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</si>
  <si>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</si>
  <si>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</si>
  <si>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</si>
  <si>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</si>
  <si>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</si>
  <si>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</si>
  <si>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</si>
  <si>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</si>
  <si>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</si>
  <si>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</si>
  <si>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</si>
  <si>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</si>
  <si>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</si>
  <si>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</si>
  <si>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</si>
  <si>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</si>
  <si>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</si>
  <si>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</si>
  <si>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</si>
  <si>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</si>
  <si>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</si>
  <si>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</si>
  <si>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</si>
  <si>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</si>
  <si>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</si>
  <si>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</si>
  <si>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</si>
  <si>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</si>
  <si>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</si>
  <si>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</si>
  <si>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</si>
  <si>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</si>
  <si>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</si>
  <si>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</si>
  <si>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</si>
  <si>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</si>
  <si>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</si>
  <si>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</si>
  <si>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</si>
  <si>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</si>
  <si>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</si>
  <si>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</si>
  <si>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</si>
  <si>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</si>
  <si>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</si>
  <si>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</si>
  <si>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</si>
  <si>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</si>
  <si>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</si>
  <si>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</si>
  <si>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</si>
  <si>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</si>
  <si>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</si>
  <si>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</si>
  <si>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</si>
  <si>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</si>
  <si>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</si>
  <si>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</si>
  <si>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</si>
  <si>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</si>
  <si>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</si>
  <si>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</si>
  <si>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</si>
  <si>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</si>
  <si>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</si>
  <si>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</si>
  <si>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</si>
  <si>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</si>
  <si>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</si>
  <si>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</si>
  <si>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</si>
  <si>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</si>
  <si>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</si>
  <si>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</si>
  <si>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</si>
  <si>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</si>
  <si>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</si>
  <si>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</si>
  <si>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</si>
  <si>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</si>
  <si>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</si>
  <si>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</si>
  <si>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</si>
  <si>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</si>
  <si>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</si>
  <si>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</si>
  <si>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</si>
  <si>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</si>
  <si>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</si>
  <si>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</si>
  <si>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</si>
  <si>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</si>
  <si>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</si>
  <si>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</si>
  <si>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</si>
  <si>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</si>
  <si>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</si>
  <si>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</si>
  <si>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</si>
  <si>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</si>
  <si>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</si>
  <si>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</si>
  <si>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</si>
  <si>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</si>
  <si>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</si>
  <si>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</si>
  <si>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</si>
  <si>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</si>
  <si>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</si>
  <si>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</si>
  <si>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</si>
  <si>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</si>
  <si>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</si>
  <si>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</si>
  <si>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</si>
  <si>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</si>
  <si>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</si>
  <si>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</si>
  <si>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</si>
  <si>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</si>
  <si>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</si>
  <si>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</si>
  <si>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</si>
  <si>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</si>
  <si>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</si>
  <si>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</si>
  <si>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</si>
  <si>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</si>
  <si>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</si>
  <si>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</si>
  <si>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</si>
  <si>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</si>
  <si>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</si>
  <si>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</si>
  <si>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</si>
  <si>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</si>
  <si>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</si>
  <si>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</si>
  <si>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</si>
  <si>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</si>
  <si>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</si>
  <si>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</si>
  <si>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</si>
  <si>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</si>
  <si>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</si>
  <si>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</si>
  <si>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</si>
  <si>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</si>
  <si>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</si>
  <si>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</si>
  <si>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</si>
  <si>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</si>
  <si>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</si>
  <si>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</si>
  <si>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</si>
  <si>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</si>
  <si>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</si>
  <si>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</si>
  <si>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</si>
  <si>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</si>
  <si>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</si>
  <si>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</si>
  <si>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</si>
  <si>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</si>
  <si>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</si>
  <si>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</si>
  <si>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</si>
  <si>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</si>
  <si>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</si>
  <si>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</si>
  <si>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</si>
  <si>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</si>
  <si>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</si>
  <si>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</si>
  <si>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</si>
  <si>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</si>
  <si>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</si>
  <si>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</si>
  <si>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</si>
  <si>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</si>
  <si>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</si>
  <si>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</si>
  <si>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</si>
  <si>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</si>
  <si>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</si>
  <si>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</si>
  <si>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</si>
  <si>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</si>
  <si>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</si>
  <si>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</si>
  <si>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</si>
  <si>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</si>
  <si>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</si>
  <si>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</si>
  <si>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</si>
  <si>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</si>
  <si>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</si>
  <si>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</si>
  <si>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</si>
  <si>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</si>
  <si>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</si>
  <si>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</si>
  <si>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</si>
  <si>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</si>
  <si>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</si>
  <si>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</si>
  <si>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</si>
  <si>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</si>
  <si>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</si>
  <si>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</si>
  <si>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</si>
  <si>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</si>
  <si>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</si>
  <si>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</si>
  <si>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</si>
  <si>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</si>
  <si>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</si>
  <si>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</si>
  <si>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</si>
  <si>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</si>
  <si>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</si>
  <si>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</si>
  <si>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</si>
  <si>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</si>
  <si>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</si>
  <si>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</si>
  <si>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</si>
  <si>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</si>
  <si>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</si>
  <si>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</si>
  <si>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</si>
  <si>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</si>
  <si>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</si>
  <si>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</si>
  <si>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</si>
  <si>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</si>
  <si>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</si>
  <si>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</si>
  <si>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</si>
  <si>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</si>
  <si>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</si>
  <si>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</si>
  <si>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</si>
  <si>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</si>
  <si>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</si>
  <si>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</si>
  <si>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</si>
  <si>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</si>
  <si>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</si>
  <si>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</si>
  <si>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</si>
  <si>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</si>
  <si>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</si>
  <si>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</si>
  <si>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</si>
  <si>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</si>
  <si>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</si>
  <si>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</si>
  <si>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</si>
  <si>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</si>
  <si>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</si>
  <si>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</si>
  <si>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</si>
  <si>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</si>
  <si>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</si>
  <si>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</si>
  <si>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</si>
  <si>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</si>
  <si>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</si>
  <si>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</si>
  <si>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</si>
  <si>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</si>
  <si>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</si>
  <si>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</si>
  <si>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</si>
  <si>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</si>
  <si>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</si>
  <si>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</si>
  <si>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</si>
  <si>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</si>
  <si>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</si>
  <si>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</si>
  <si>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</si>
  <si>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</si>
  <si>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</si>
  <si>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</si>
  <si>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</si>
  <si>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</si>
  <si>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</si>
  <si>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</si>
  <si>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</si>
  <si>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</si>
  <si>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</si>
  <si>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</si>
  <si>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</si>
  <si>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</si>
  <si>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</si>
  <si>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</si>
  <si>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</si>
  <si>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</si>
  <si>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</si>
  <si>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</si>
  <si>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</si>
  <si>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</si>
  <si>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</si>
  <si>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</si>
  <si>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</si>
  <si>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</si>
  <si>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</si>
  <si>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</si>
  <si>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</si>
  <si>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</si>
  <si>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</si>
  <si>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</si>
  <si>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</si>
  <si>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</si>
  <si>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</si>
  <si>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</si>
  <si>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</si>
  <si>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</si>
  <si>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</si>
  <si>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</si>
  <si>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</si>
  <si>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</si>
  <si>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</si>
  <si>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</si>
  <si>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</si>
  <si>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</si>
  <si>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</si>
  <si>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</si>
  <si>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</si>
  <si>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</si>
  <si>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</si>
  <si>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</si>
  <si>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</si>
  <si>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</si>
  <si>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</si>
  <si>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</si>
  <si>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</si>
  <si>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</si>
  <si>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</si>
  <si>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</si>
  <si>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</si>
  <si>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</si>
  <si>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</si>
  <si>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</si>
  <si>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</si>
  <si>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</si>
  <si>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</si>
  <si>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</si>
  <si>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</si>
  <si>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</si>
  <si>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</si>
  <si>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</si>
  <si>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</si>
  <si>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</si>
  <si>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</si>
  <si>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</si>
  <si>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</si>
  <si>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</si>
  <si>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</si>
  <si>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</si>
  <si>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</si>
  <si>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</si>
  <si>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</si>
  <si>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</si>
  <si>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</si>
  <si>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</si>
  <si>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</si>
  <si>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</si>
  <si>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</si>
  <si>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</si>
  <si>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</si>
  <si>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</si>
  <si>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</si>
  <si>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</si>
  <si>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</si>
  <si>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</si>
  <si>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</si>
  <si>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</si>
  <si>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</si>
  <si>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</si>
  <si>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</si>
  <si>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</si>
  <si>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</si>
  <si>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</si>
  <si>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</si>
  <si>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</si>
  <si>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</si>
  <si>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</si>
  <si>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</si>
  <si>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</si>
  <si>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</si>
  <si>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</si>
  <si>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</si>
  <si>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</si>
  <si>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</si>
  <si>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</si>
  <si>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</si>
  <si>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</si>
  <si>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</si>
  <si>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</si>
  <si>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</si>
  <si>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</si>
  <si>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</si>
  <si>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</si>
  <si>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</si>
  <si>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</si>
  <si>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</si>
  <si>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</si>
  <si>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</si>
  <si>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</si>
  <si>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</si>
  <si>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</si>
  <si>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</si>
  <si>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</si>
  <si>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</si>
  <si>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</si>
  <si>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</si>
  <si>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</si>
  <si>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</si>
  <si>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</si>
  <si>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</si>
  <si>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</si>
  <si>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</si>
  <si>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</si>
  <si>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</si>
  <si>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</si>
  <si>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</si>
  <si>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</si>
  <si>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</si>
  <si>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</si>
  <si>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</si>
  <si>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</si>
  <si>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</si>
  <si>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</si>
  <si>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</si>
  <si>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</si>
  <si>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</si>
  <si>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</si>
  <si>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</si>
  <si>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</si>
  <si>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</si>
  <si>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</si>
  <si>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</si>
  <si>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</si>
  <si>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</si>
  <si>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</si>
  <si>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</si>
  <si>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</si>
  <si>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</si>
  <si>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</si>
  <si>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</si>
  <si>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</si>
  <si>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</si>
  <si>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</si>
  <si>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</si>
  <si>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</si>
  <si>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</si>
  <si>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</si>
  <si>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</si>
  <si>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</si>
  <si>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</si>
  <si>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</si>
  <si>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</si>
  <si>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</si>
  <si>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</si>
  <si>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</si>
  <si>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</si>
  <si>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</si>
  <si>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</si>
  <si>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</si>
  <si>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</si>
  <si>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</si>
  <si>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</si>
  <si>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</si>
  <si>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</si>
  <si>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</si>
  <si>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</si>
  <si>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</si>
  <si>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</si>
  <si>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</si>
  <si>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</si>
  <si>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</si>
  <si>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</si>
  <si>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</si>
  <si>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</si>
  <si>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</si>
  <si>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</si>
  <si>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</si>
  <si>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</si>
  <si>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</si>
  <si>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</si>
  <si>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</si>
  <si>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</si>
  <si>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</si>
  <si>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</si>
  <si>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</si>
  <si>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</si>
  <si>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</si>
  <si>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</si>
  <si>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</si>
  <si>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</si>
  <si>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</si>
  <si>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</si>
  <si>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</si>
  <si>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</si>
  <si>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</si>
  <si>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</si>
  <si>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</si>
  <si>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</si>
  <si>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</si>
  <si>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</si>
  <si>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</si>
  <si>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</si>
  <si>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</si>
  <si>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</si>
  <si>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</si>
  <si>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</si>
  <si>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</si>
  <si>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</si>
  <si>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</si>
  <si>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</si>
  <si>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</si>
  <si>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</si>
  <si>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</si>
  <si>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</si>
  <si>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</si>
  <si>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</si>
  <si>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</si>
  <si>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</si>
  <si>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</si>
  <si>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</si>
  <si>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</si>
  <si>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</si>
  <si>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</si>
  <si>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</si>
  <si>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</si>
  <si>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</si>
  <si>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</si>
  <si>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</si>
  <si>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</si>
  <si>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</si>
  <si>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</si>
  <si>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</si>
  <si>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</si>
  <si>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</si>
  <si>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</si>
  <si>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</si>
  <si>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</si>
  <si>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</si>
  <si>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</si>
  <si>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</si>
  <si>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</si>
  <si>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</si>
  <si>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</si>
  <si>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</si>
  <si>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</si>
  <si>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</si>
  <si>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</si>
  <si>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</si>
  <si>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</si>
  <si>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</si>
  <si>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</si>
  <si>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</si>
  <si>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</si>
  <si>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</si>
  <si>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</si>
  <si>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</si>
  <si>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</si>
  <si>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</si>
  <si>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</si>
  <si>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</si>
  <si>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</si>
  <si>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</si>
  <si>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</si>
  <si>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</si>
  <si>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</si>
  <si>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</si>
  <si>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</si>
  <si>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</si>
  <si>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</si>
  <si>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</si>
  <si>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</si>
  <si>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</si>
  <si>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</si>
  <si>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</si>
  <si>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</si>
  <si>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</si>
  <si>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</si>
  <si>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</si>
  <si>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</si>
  <si>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</si>
  <si>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</si>
  <si>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</si>
  <si>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</si>
  <si>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</si>
  <si>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</si>
  <si>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</si>
  <si>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</si>
  <si>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</si>
  <si>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</si>
  <si>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</si>
  <si>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</si>
  <si>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</si>
  <si>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</si>
  <si>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</si>
  <si>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</si>
  <si>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</si>
  <si>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</si>
  <si>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</si>
  <si>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</si>
  <si>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</si>
  <si>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</si>
  <si>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</si>
  <si>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</si>
  <si>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</si>
  <si>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</si>
  <si>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</si>
  <si>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</si>
  <si>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</si>
  <si>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</si>
  <si>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</si>
  <si>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</si>
  <si>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</si>
  <si>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</si>
  <si>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</si>
  <si>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</si>
  <si>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</si>
  <si>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</si>
  <si>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</si>
  <si>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</si>
  <si>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</si>
  <si>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</si>
  <si>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</si>
  <si>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</si>
  <si>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</si>
  <si>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</si>
  <si>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</si>
  <si>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</si>
  <si>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</si>
  <si>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</si>
  <si>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</si>
  <si>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</si>
  <si>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</si>
  <si>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</si>
  <si>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</si>
  <si>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</si>
  <si>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</si>
  <si>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</si>
  <si>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</si>
  <si>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</si>
  <si>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</si>
  <si>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</si>
  <si>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</si>
  <si>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</si>
  <si>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</si>
  <si>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</si>
  <si>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</si>
  <si>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</si>
  <si>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</si>
  <si>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</si>
  <si>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</si>
  <si>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</si>
  <si>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</si>
  <si>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</si>
  <si>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</si>
  <si>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</si>
  <si>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</si>
  <si>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</si>
  <si>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</si>
  <si>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</si>
  <si>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</si>
  <si>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</si>
  <si>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</si>
  <si>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</si>
  <si>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</si>
  <si>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</si>
  <si>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</si>
  <si>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</si>
  <si>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</si>
  <si>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</si>
  <si>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</si>
  <si>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</si>
  <si>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</si>
  <si>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</si>
  <si>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</si>
  <si>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</si>
  <si>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</si>
  <si>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</si>
  <si>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</si>
  <si>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</si>
  <si>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</si>
  <si>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</si>
  <si>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</si>
  <si>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</si>
  <si>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</si>
  <si>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</si>
  <si>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</si>
  <si>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</si>
  <si>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</si>
  <si>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</si>
  <si>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</si>
  <si>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</si>
  <si>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EVENT งานเกษตรแฟร์กำแพงแสน 30 พ.ย. 67 - 10 ธ.ค. 67</t>
  </si>
  <si>
    <t>ขนมปังสังขยา 4 ลูก</t>
  </si>
  <si>
    <t>ครีมฮอร์นเนยสดฝอยทอง วนิลา</t>
  </si>
  <si>
    <t>ครีมฮอร์นเนยสดฝอยทอง ใบเตย</t>
  </si>
  <si>
    <t>ครีมฮอร์นเนยสดฝอยทอง ช็อกโกแลต</t>
  </si>
  <si>
    <t>แถม 1 ขายราคา 35 บาท = 7</t>
  </si>
  <si>
    <t>ยอดเงินสด</t>
  </si>
  <si>
    <t>เงินทอน 3,000 บาท</t>
  </si>
  <si>
    <t>ลูกค้าโอนผิดโอนเข้าบัญชี ภาณุวัชร 100 บาท</t>
  </si>
  <si>
    <t>โปร 3 ชิ้น 250 บาท = 5 ชุด</t>
  </si>
  <si>
    <t>แถม 19 ชิ้น</t>
  </si>
  <si>
    <t>ชิม 1</t>
  </si>
  <si>
    <t>เค้กสลิ่ม 85 กรัม</t>
  </si>
  <si>
    <t>ขาย 20 บาท</t>
  </si>
  <si>
    <t>โปร 3 ชิ้น 250 บาท = 8 ชุด // ขายแยก 3 กล่อง ราคา 150 บาท</t>
  </si>
  <si>
    <t>โปร 3 ชิ้น 250 บาท = 7 ชุด</t>
  </si>
  <si>
    <t>ขาย 20 บาท = 2</t>
  </si>
  <si>
    <t>ขาย 35 บาท = 3 ชิ้น 100</t>
  </si>
  <si>
    <t>แถม 2</t>
  </si>
  <si>
    <t>ขาย 20 บาท = 1</t>
  </si>
  <si>
    <t>ขาย 20 บาท = 6</t>
  </si>
  <si>
    <t>ลด 50 %</t>
  </si>
  <si>
    <t>แถม 1</t>
  </si>
  <si>
    <t>ถม 1</t>
  </si>
  <si>
    <t>ค่าไฟ</t>
  </si>
  <si>
    <t>มิดไนท์โกโก้ดัชท์ 85 กรัม</t>
  </si>
  <si>
    <t>สรุปค่าใช้จ่าย คำนวนกำไร</t>
  </si>
  <si>
    <t>NO</t>
  </si>
  <si>
    <t>ต้นทุนขนม</t>
  </si>
  <si>
    <t>ค่าแรงพนักงาน</t>
  </si>
  <si>
    <t>ค่าอินฟลูเอนเซอร์</t>
  </si>
  <si>
    <t>ค่าเข้างานประมูลล็อค 19 คน</t>
  </si>
  <si>
    <t>ค่านายหน้า</t>
  </si>
  <si>
    <t>ค่าเช่า 1</t>
  </si>
  <si>
    <t>ค่าเช่า 2</t>
  </si>
  <si>
    <t>ค่าเช่า 3</t>
  </si>
  <si>
    <t>ค่าเช่า 4</t>
  </si>
  <si>
    <t>ค่าเช่า 5</t>
  </si>
  <si>
    <t>แจม</t>
  </si>
  <si>
    <t>พี่น้อย</t>
  </si>
  <si>
    <t>กาน</t>
  </si>
  <si>
    <t>No.</t>
  </si>
  <si>
    <t>ชื่อ</t>
  </si>
  <si>
    <t>ค่าแรง</t>
  </si>
  <si>
    <t>วันละ 600 บาท = 11 วัน</t>
  </si>
  <si>
    <t>วันละ 400 บาท = 11 วัน</t>
  </si>
  <si>
    <t>วันละ 600 บาท = 7 วัน</t>
  </si>
  <si>
    <t>บาท</t>
  </si>
  <si>
    <t>ยอดรวม</t>
  </si>
  <si>
    <t>รายชื่อพนักงานที่ทำงานเกษตรแฟร์ ปี 2567</t>
  </si>
  <si>
    <t>ยอดขาย</t>
  </si>
  <si>
    <t>ยอดค่าใช้จ่าย</t>
  </si>
  <si>
    <t>สรุปกำไร</t>
  </si>
  <si>
    <t>ค่าเช่า OTOP</t>
  </si>
  <si>
    <t>ค่าเช่าบูธ</t>
  </si>
  <si>
    <t>ขายบูธ</t>
  </si>
  <si>
    <t>กำไร</t>
  </si>
  <si>
    <t>โซน 1</t>
  </si>
  <si>
    <t>รายการเช่า - ขาย ล็อคงานเกษตรแฟร์</t>
  </si>
  <si>
    <t>ค่าใช้จ่ายเพิ่มเติม การประมูลล็อค</t>
  </si>
  <si>
    <t>ค่าแรง 19 คน เฉลี่ยคนล่ะ 500 บาท</t>
  </si>
  <si>
    <t>ค่าใช้จ่าย + ค่าเช่า</t>
  </si>
  <si>
    <t>รายได้ขายล็อค</t>
  </si>
  <si>
    <t>สรุปกำไรขายล็อค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</si>
</sst>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3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16"/>
      <color theme="1"/>
      <name val="AngsanaUPC"/>
      <family val="1"/>
    </font>
    <font>
      <b/>
      <sz val="16"/>
      <color theme="1"/>
      <name val="AngsanaUPC"/>
      <family val="1"/>
    </font>
    <font>
      <sz val="20"/>
      <color theme="1"/>
      <name val="Angsana New"/>
      <family val="1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789D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 style="thin">
        <color rgb="FFFD3D3D"/>
      </top>
      <bottom style="double">
        <color rgb="FFFD3D3D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5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9" fontId="2" fillId="0" borderId="1" xfId="1" applyNumberFormat="1" applyFont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3" fontId="2" fillId="0" borderId="1" xfId="1" applyFont="1" applyFill="1" applyBorder="1" applyAlignment="1">
      <alignment horizontal="center" vertical="center"/>
    </xf>
    <xf numFmtId="43" fontId="2" fillId="17" borderId="1" xfId="1" applyFont="1" applyFill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43" fontId="2" fillId="20" borderId="1" xfId="1" applyFont="1" applyFill="1" applyBorder="1" applyAlignment="1">
      <alignment vertical="center"/>
    </xf>
    <xf numFmtId="43" fontId="2" fillId="19" borderId="1" xfId="1" applyFont="1" applyFill="1" applyBorder="1" applyAlignment="1">
      <alignment vertical="center"/>
    </xf>
    <xf numFmtId="43" fontId="2" fillId="17" borderId="1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41" fontId="2" fillId="0" borderId="1" xfId="0" applyNumberFormat="1" applyFont="1" applyBorder="1" applyAlignment="1">
      <alignment vertical="center"/>
    </xf>
    <xf numFmtId="43" fontId="2" fillId="2" borderId="0" xfId="0" applyNumberFormat="1" applyFont="1" applyFill="1" applyAlignment="1">
      <alignment vertical="center"/>
    </xf>
    <xf numFmtId="2" fontId="2" fillId="0" borderId="19" xfId="0" applyNumberFormat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10" borderId="1" xfId="1" applyFont="1" applyFill="1" applyBorder="1" applyAlignment="1">
      <alignment vertical="center"/>
    </xf>
    <xf numFmtId="43" fontId="2" fillId="0" borderId="19" xfId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horizontal="center"/>
    </xf>
    <xf numFmtId="0" fontId="2" fillId="2" borderId="19" xfId="0" applyFont="1" applyFill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horizontal="center"/>
    </xf>
    <xf numFmtId="0" fontId="26" fillId="0" borderId="0" xfId="0" applyFont="1"/>
    <xf numFmtId="0" fontId="22" fillId="0" borderId="0" xfId="0" applyFont="1" applyAlignment="1">
      <alignment horizontal="center"/>
    </xf>
    <xf numFmtId="43" fontId="22" fillId="0" borderId="0" xfId="1" applyFont="1"/>
    <xf numFmtId="0" fontId="24" fillId="0" borderId="0" xfId="0" applyFont="1" applyAlignment="1">
      <alignment horizontal="right"/>
    </xf>
    <xf numFmtId="43" fontId="24" fillId="0" borderId="29" xfId="1" applyFont="1" applyBorder="1"/>
    <xf numFmtId="0" fontId="24" fillId="21" borderId="0" xfId="0" applyFont="1" applyFill="1" applyAlignment="1">
      <alignment horizontal="center"/>
    </xf>
    <xf numFmtId="0" fontId="27" fillId="0" borderId="0" xfId="0" applyFont="1"/>
    <xf numFmtId="43" fontId="27" fillId="0" borderId="0" xfId="1" applyFont="1"/>
    <xf numFmtId="0" fontId="2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3" fontId="27" fillId="0" borderId="0" xfId="0" applyNumberFormat="1" applyFont="1"/>
    <xf numFmtId="0" fontId="28" fillId="17" borderId="0" xfId="0" applyFont="1" applyFill="1" applyAlignment="1">
      <alignment horizontal="left"/>
    </xf>
    <xf numFmtId="43" fontId="28" fillId="17" borderId="0" xfId="0" applyNumberFormat="1" applyFont="1" applyFill="1" applyAlignment="1">
      <alignment horizontal="center"/>
    </xf>
    <xf numFmtId="43" fontId="28" fillId="17" borderId="0" xfId="0" applyNumberFormat="1" applyFont="1" applyFill="1"/>
    <xf numFmtId="0" fontId="5" fillId="23" borderId="0" xfId="0" applyFont="1" applyFill="1" applyAlignment="1">
      <alignment horizontal="center"/>
    </xf>
    <xf numFmtId="0" fontId="24" fillId="23" borderId="0" xfId="0" applyFont="1" applyFill="1" applyAlignment="1">
      <alignment horizontal="center"/>
    </xf>
    <xf numFmtId="0" fontId="29" fillId="0" borderId="0" xfId="0" applyFont="1"/>
    <xf numFmtId="43" fontId="24" fillId="0" borderId="30" xfId="0" applyNumberFormat="1" applyFont="1" applyBorder="1"/>
    <xf numFmtId="0" fontId="24" fillId="24" borderId="0" xfId="0" applyFont="1" applyFill="1" applyAlignment="1">
      <alignment horizontal="center"/>
    </xf>
    <xf numFmtId="43" fontId="22" fillId="24" borderId="0" xfId="0" applyNumberFormat="1" applyFont="1" applyFill="1"/>
    <xf numFmtId="43" fontId="24" fillId="24" borderId="30" xfId="0" applyNumberFormat="1" applyFont="1" applyFill="1" applyBorder="1"/>
    <xf numFmtId="0" fontId="27" fillId="25" borderId="0" xfId="0" applyFont="1" applyFill="1"/>
    <xf numFmtId="0" fontId="28" fillId="0" borderId="0" xfId="0" applyFont="1" applyAlignment="1">
      <alignment horizontal="center"/>
    </xf>
    <xf numFmtId="0" fontId="28" fillId="2" borderId="0" xfId="0" applyFont="1" applyFill="1" applyAlignment="1">
      <alignment horizontal="center"/>
    </xf>
    <xf numFmtId="0" fontId="28" fillId="25" borderId="0" xfId="0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D3D3D"/>
      <color rgb="FFFFCCFF"/>
      <color rgb="FF99FFCC"/>
      <color rgb="FFFFFFCC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88" sqref="C88:C242"/>
      <selection pane="bottomLeft" activeCell="D14" sqref="D14"/>
    </sheetView>
  </sheetViews>
  <sheetFormatPr defaultRowHeight="13.8" x14ac:dyDescent="0.25"/>
  <cols>
    <col min="1" max="1" width="21.3984375" style="82" customWidth="1"/>
    <col min="2" max="2" width="42.8984375" style="82" customWidth="1"/>
    <col min="3" max="3" width="21.3984375" style="82" customWidth="1"/>
    <col min="4" max="4" width="14.19921875" style="83" customWidth="1"/>
    <col min="5" max="6" width="11.3984375" style="84" customWidth="1"/>
    <col min="7" max="8" width="11.3984375" style="85" customWidth="1"/>
    <col min="9" max="9" width="71.3984375" style="82" customWidth="1"/>
    <col min="10" max="10" width="14.19921875" style="86" customWidth="1"/>
    <col min="11" max="256" width="8.69921875" style="81"/>
    <col min="257" max="257" width="21.3984375" style="81" customWidth="1"/>
    <col min="258" max="258" width="42.8984375" style="81" customWidth="1"/>
    <col min="259" max="259" width="21.3984375" style="81" customWidth="1"/>
    <col min="260" max="260" width="14.19921875" style="81" customWidth="1"/>
    <col min="261" max="264" width="11.3984375" style="81" customWidth="1"/>
    <col min="265" max="265" width="71.3984375" style="81" customWidth="1"/>
    <col min="266" max="266" width="14.19921875" style="81" customWidth="1"/>
    <col min="267" max="512" width="8.69921875" style="81"/>
    <col min="513" max="513" width="21.3984375" style="81" customWidth="1"/>
    <col min="514" max="514" width="42.8984375" style="81" customWidth="1"/>
    <col min="515" max="515" width="21.3984375" style="81" customWidth="1"/>
    <col min="516" max="516" width="14.19921875" style="81" customWidth="1"/>
    <col min="517" max="520" width="11.3984375" style="81" customWidth="1"/>
    <col min="521" max="521" width="71.3984375" style="81" customWidth="1"/>
    <col min="522" max="522" width="14.19921875" style="81" customWidth="1"/>
    <col min="523" max="768" width="8.69921875" style="81"/>
    <col min="769" max="769" width="21.3984375" style="81" customWidth="1"/>
    <col min="770" max="770" width="42.8984375" style="81" customWidth="1"/>
    <col min="771" max="771" width="21.3984375" style="81" customWidth="1"/>
    <col min="772" max="772" width="14.19921875" style="81" customWidth="1"/>
    <col min="773" max="776" width="11.3984375" style="81" customWidth="1"/>
    <col min="777" max="777" width="71.3984375" style="81" customWidth="1"/>
    <col min="778" max="778" width="14.19921875" style="81" customWidth="1"/>
    <col min="779" max="1024" width="8.69921875" style="81"/>
    <col min="1025" max="1025" width="21.3984375" style="81" customWidth="1"/>
    <col min="1026" max="1026" width="42.8984375" style="81" customWidth="1"/>
    <col min="1027" max="1027" width="21.3984375" style="81" customWidth="1"/>
    <col min="1028" max="1028" width="14.19921875" style="81" customWidth="1"/>
    <col min="1029" max="1032" width="11.3984375" style="81" customWidth="1"/>
    <col min="1033" max="1033" width="71.3984375" style="81" customWidth="1"/>
    <col min="1034" max="1034" width="14.19921875" style="81" customWidth="1"/>
    <col min="1035" max="1280" width="8.69921875" style="81"/>
    <col min="1281" max="1281" width="21.3984375" style="81" customWidth="1"/>
    <col min="1282" max="1282" width="42.8984375" style="81" customWidth="1"/>
    <col min="1283" max="1283" width="21.3984375" style="81" customWidth="1"/>
    <col min="1284" max="1284" width="14.19921875" style="81" customWidth="1"/>
    <col min="1285" max="1288" width="11.3984375" style="81" customWidth="1"/>
    <col min="1289" max="1289" width="71.3984375" style="81" customWidth="1"/>
    <col min="1290" max="1290" width="14.19921875" style="81" customWidth="1"/>
    <col min="1291" max="1536" width="8.69921875" style="81"/>
    <col min="1537" max="1537" width="21.3984375" style="81" customWidth="1"/>
    <col min="1538" max="1538" width="42.8984375" style="81" customWidth="1"/>
    <col min="1539" max="1539" width="21.3984375" style="81" customWidth="1"/>
    <col min="1540" max="1540" width="14.19921875" style="81" customWidth="1"/>
    <col min="1541" max="1544" width="11.3984375" style="81" customWidth="1"/>
    <col min="1545" max="1545" width="71.3984375" style="81" customWidth="1"/>
    <col min="1546" max="1546" width="14.19921875" style="81" customWidth="1"/>
    <col min="1547" max="1792" width="8.69921875" style="81"/>
    <col min="1793" max="1793" width="21.3984375" style="81" customWidth="1"/>
    <col min="1794" max="1794" width="42.8984375" style="81" customWidth="1"/>
    <col min="1795" max="1795" width="21.3984375" style="81" customWidth="1"/>
    <col min="1796" max="1796" width="14.19921875" style="81" customWidth="1"/>
    <col min="1797" max="1800" width="11.3984375" style="81" customWidth="1"/>
    <col min="1801" max="1801" width="71.3984375" style="81" customWidth="1"/>
    <col min="1802" max="1802" width="14.19921875" style="81" customWidth="1"/>
    <col min="1803" max="2048" width="8.69921875" style="81"/>
    <col min="2049" max="2049" width="21.3984375" style="81" customWidth="1"/>
    <col min="2050" max="2050" width="42.8984375" style="81" customWidth="1"/>
    <col min="2051" max="2051" width="21.3984375" style="81" customWidth="1"/>
    <col min="2052" max="2052" width="14.19921875" style="81" customWidth="1"/>
    <col min="2053" max="2056" width="11.3984375" style="81" customWidth="1"/>
    <col min="2057" max="2057" width="71.3984375" style="81" customWidth="1"/>
    <col min="2058" max="2058" width="14.19921875" style="81" customWidth="1"/>
    <col min="2059" max="2304" width="8.69921875" style="81"/>
    <col min="2305" max="2305" width="21.3984375" style="81" customWidth="1"/>
    <col min="2306" max="2306" width="42.8984375" style="81" customWidth="1"/>
    <col min="2307" max="2307" width="21.3984375" style="81" customWidth="1"/>
    <col min="2308" max="2308" width="14.19921875" style="81" customWidth="1"/>
    <col min="2309" max="2312" width="11.3984375" style="81" customWidth="1"/>
    <col min="2313" max="2313" width="71.3984375" style="81" customWidth="1"/>
    <col min="2314" max="2314" width="14.19921875" style="81" customWidth="1"/>
    <col min="2315" max="2560" width="8.69921875" style="81"/>
    <col min="2561" max="2561" width="21.3984375" style="81" customWidth="1"/>
    <col min="2562" max="2562" width="42.8984375" style="81" customWidth="1"/>
    <col min="2563" max="2563" width="21.3984375" style="81" customWidth="1"/>
    <col min="2564" max="2564" width="14.19921875" style="81" customWidth="1"/>
    <col min="2565" max="2568" width="11.3984375" style="81" customWidth="1"/>
    <col min="2569" max="2569" width="71.3984375" style="81" customWidth="1"/>
    <col min="2570" max="2570" width="14.19921875" style="81" customWidth="1"/>
    <col min="2571" max="2816" width="8.69921875" style="81"/>
    <col min="2817" max="2817" width="21.3984375" style="81" customWidth="1"/>
    <col min="2818" max="2818" width="42.8984375" style="81" customWidth="1"/>
    <col min="2819" max="2819" width="21.3984375" style="81" customWidth="1"/>
    <col min="2820" max="2820" width="14.19921875" style="81" customWidth="1"/>
    <col min="2821" max="2824" width="11.3984375" style="81" customWidth="1"/>
    <col min="2825" max="2825" width="71.3984375" style="81" customWidth="1"/>
    <col min="2826" max="2826" width="14.19921875" style="81" customWidth="1"/>
    <col min="2827" max="3072" width="8.69921875" style="81"/>
    <col min="3073" max="3073" width="21.3984375" style="81" customWidth="1"/>
    <col min="3074" max="3074" width="42.8984375" style="81" customWidth="1"/>
    <col min="3075" max="3075" width="21.3984375" style="81" customWidth="1"/>
    <col min="3076" max="3076" width="14.19921875" style="81" customWidth="1"/>
    <col min="3077" max="3080" width="11.3984375" style="81" customWidth="1"/>
    <col min="3081" max="3081" width="71.3984375" style="81" customWidth="1"/>
    <col min="3082" max="3082" width="14.19921875" style="81" customWidth="1"/>
    <col min="3083" max="3328" width="8.69921875" style="81"/>
    <col min="3329" max="3329" width="21.3984375" style="81" customWidth="1"/>
    <col min="3330" max="3330" width="42.8984375" style="81" customWidth="1"/>
    <col min="3331" max="3331" width="21.3984375" style="81" customWidth="1"/>
    <col min="3332" max="3332" width="14.19921875" style="81" customWidth="1"/>
    <col min="3333" max="3336" width="11.3984375" style="81" customWidth="1"/>
    <col min="3337" max="3337" width="71.3984375" style="81" customWidth="1"/>
    <col min="3338" max="3338" width="14.19921875" style="81" customWidth="1"/>
    <col min="3339" max="3584" width="8.69921875" style="81"/>
    <col min="3585" max="3585" width="21.3984375" style="81" customWidth="1"/>
    <col min="3586" max="3586" width="42.8984375" style="81" customWidth="1"/>
    <col min="3587" max="3587" width="21.3984375" style="81" customWidth="1"/>
    <col min="3588" max="3588" width="14.19921875" style="81" customWidth="1"/>
    <col min="3589" max="3592" width="11.3984375" style="81" customWidth="1"/>
    <col min="3593" max="3593" width="71.3984375" style="81" customWidth="1"/>
    <col min="3594" max="3594" width="14.19921875" style="81" customWidth="1"/>
    <col min="3595" max="3840" width="8.69921875" style="81"/>
    <col min="3841" max="3841" width="21.3984375" style="81" customWidth="1"/>
    <col min="3842" max="3842" width="42.8984375" style="81" customWidth="1"/>
    <col min="3843" max="3843" width="21.3984375" style="81" customWidth="1"/>
    <col min="3844" max="3844" width="14.19921875" style="81" customWidth="1"/>
    <col min="3845" max="3848" width="11.3984375" style="81" customWidth="1"/>
    <col min="3849" max="3849" width="71.3984375" style="81" customWidth="1"/>
    <col min="3850" max="3850" width="14.19921875" style="81" customWidth="1"/>
    <col min="3851" max="4096" width="8.69921875" style="81"/>
    <col min="4097" max="4097" width="21.3984375" style="81" customWidth="1"/>
    <col min="4098" max="4098" width="42.8984375" style="81" customWidth="1"/>
    <col min="4099" max="4099" width="21.3984375" style="81" customWidth="1"/>
    <col min="4100" max="4100" width="14.19921875" style="81" customWidth="1"/>
    <col min="4101" max="4104" width="11.3984375" style="81" customWidth="1"/>
    <col min="4105" max="4105" width="71.3984375" style="81" customWidth="1"/>
    <col min="4106" max="4106" width="14.19921875" style="81" customWidth="1"/>
    <col min="4107" max="4352" width="8.69921875" style="81"/>
    <col min="4353" max="4353" width="21.3984375" style="81" customWidth="1"/>
    <col min="4354" max="4354" width="42.8984375" style="81" customWidth="1"/>
    <col min="4355" max="4355" width="21.3984375" style="81" customWidth="1"/>
    <col min="4356" max="4356" width="14.19921875" style="81" customWidth="1"/>
    <col min="4357" max="4360" width="11.3984375" style="81" customWidth="1"/>
    <col min="4361" max="4361" width="71.3984375" style="81" customWidth="1"/>
    <col min="4362" max="4362" width="14.19921875" style="81" customWidth="1"/>
    <col min="4363" max="4608" width="8.69921875" style="81"/>
    <col min="4609" max="4609" width="21.3984375" style="81" customWidth="1"/>
    <col min="4610" max="4610" width="42.8984375" style="81" customWidth="1"/>
    <col min="4611" max="4611" width="21.3984375" style="81" customWidth="1"/>
    <col min="4612" max="4612" width="14.19921875" style="81" customWidth="1"/>
    <col min="4613" max="4616" width="11.3984375" style="81" customWidth="1"/>
    <col min="4617" max="4617" width="71.3984375" style="81" customWidth="1"/>
    <col min="4618" max="4618" width="14.19921875" style="81" customWidth="1"/>
    <col min="4619" max="4864" width="8.69921875" style="81"/>
    <col min="4865" max="4865" width="21.3984375" style="81" customWidth="1"/>
    <col min="4866" max="4866" width="42.8984375" style="81" customWidth="1"/>
    <col min="4867" max="4867" width="21.3984375" style="81" customWidth="1"/>
    <col min="4868" max="4868" width="14.19921875" style="81" customWidth="1"/>
    <col min="4869" max="4872" width="11.3984375" style="81" customWidth="1"/>
    <col min="4873" max="4873" width="71.3984375" style="81" customWidth="1"/>
    <col min="4874" max="4874" width="14.19921875" style="81" customWidth="1"/>
    <col min="4875" max="5120" width="8.69921875" style="81"/>
    <col min="5121" max="5121" width="21.3984375" style="81" customWidth="1"/>
    <col min="5122" max="5122" width="42.8984375" style="81" customWidth="1"/>
    <col min="5123" max="5123" width="21.3984375" style="81" customWidth="1"/>
    <col min="5124" max="5124" width="14.19921875" style="81" customWidth="1"/>
    <col min="5125" max="5128" width="11.3984375" style="81" customWidth="1"/>
    <col min="5129" max="5129" width="71.3984375" style="81" customWidth="1"/>
    <col min="5130" max="5130" width="14.19921875" style="81" customWidth="1"/>
    <col min="5131" max="5376" width="8.69921875" style="81"/>
    <col min="5377" max="5377" width="21.3984375" style="81" customWidth="1"/>
    <col min="5378" max="5378" width="42.8984375" style="81" customWidth="1"/>
    <col min="5379" max="5379" width="21.3984375" style="81" customWidth="1"/>
    <col min="5380" max="5380" width="14.19921875" style="81" customWidth="1"/>
    <col min="5381" max="5384" width="11.3984375" style="81" customWidth="1"/>
    <col min="5385" max="5385" width="71.3984375" style="81" customWidth="1"/>
    <col min="5386" max="5386" width="14.19921875" style="81" customWidth="1"/>
    <col min="5387" max="5632" width="8.69921875" style="81"/>
    <col min="5633" max="5633" width="21.3984375" style="81" customWidth="1"/>
    <col min="5634" max="5634" width="42.8984375" style="81" customWidth="1"/>
    <col min="5635" max="5635" width="21.3984375" style="81" customWidth="1"/>
    <col min="5636" max="5636" width="14.19921875" style="81" customWidth="1"/>
    <col min="5637" max="5640" width="11.3984375" style="81" customWidth="1"/>
    <col min="5641" max="5641" width="71.3984375" style="81" customWidth="1"/>
    <col min="5642" max="5642" width="14.19921875" style="81" customWidth="1"/>
    <col min="5643" max="5888" width="8.69921875" style="81"/>
    <col min="5889" max="5889" width="21.3984375" style="81" customWidth="1"/>
    <col min="5890" max="5890" width="42.8984375" style="81" customWidth="1"/>
    <col min="5891" max="5891" width="21.3984375" style="81" customWidth="1"/>
    <col min="5892" max="5892" width="14.19921875" style="81" customWidth="1"/>
    <col min="5893" max="5896" width="11.3984375" style="81" customWidth="1"/>
    <col min="5897" max="5897" width="71.3984375" style="81" customWidth="1"/>
    <col min="5898" max="5898" width="14.19921875" style="81" customWidth="1"/>
    <col min="5899" max="6144" width="8.69921875" style="81"/>
    <col min="6145" max="6145" width="21.3984375" style="81" customWidth="1"/>
    <col min="6146" max="6146" width="42.8984375" style="81" customWidth="1"/>
    <col min="6147" max="6147" width="21.3984375" style="81" customWidth="1"/>
    <col min="6148" max="6148" width="14.19921875" style="81" customWidth="1"/>
    <col min="6149" max="6152" width="11.3984375" style="81" customWidth="1"/>
    <col min="6153" max="6153" width="71.3984375" style="81" customWidth="1"/>
    <col min="6154" max="6154" width="14.19921875" style="81" customWidth="1"/>
    <col min="6155" max="6400" width="8.69921875" style="81"/>
    <col min="6401" max="6401" width="21.3984375" style="81" customWidth="1"/>
    <col min="6402" max="6402" width="42.8984375" style="81" customWidth="1"/>
    <col min="6403" max="6403" width="21.3984375" style="81" customWidth="1"/>
    <col min="6404" max="6404" width="14.19921875" style="81" customWidth="1"/>
    <col min="6405" max="6408" width="11.3984375" style="81" customWidth="1"/>
    <col min="6409" max="6409" width="71.3984375" style="81" customWidth="1"/>
    <col min="6410" max="6410" width="14.19921875" style="81" customWidth="1"/>
    <col min="6411" max="6656" width="8.69921875" style="81"/>
    <col min="6657" max="6657" width="21.3984375" style="81" customWidth="1"/>
    <col min="6658" max="6658" width="42.8984375" style="81" customWidth="1"/>
    <col min="6659" max="6659" width="21.3984375" style="81" customWidth="1"/>
    <col min="6660" max="6660" width="14.19921875" style="81" customWidth="1"/>
    <col min="6661" max="6664" width="11.3984375" style="81" customWidth="1"/>
    <col min="6665" max="6665" width="71.3984375" style="81" customWidth="1"/>
    <col min="6666" max="6666" width="14.19921875" style="81" customWidth="1"/>
    <col min="6667" max="6912" width="8.69921875" style="81"/>
    <col min="6913" max="6913" width="21.3984375" style="81" customWidth="1"/>
    <col min="6914" max="6914" width="42.8984375" style="81" customWidth="1"/>
    <col min="6915" max="6915" width="21.3984375" style="81" customWidth="1"/>
    <col min="6916" max="6916" width="14.19921875" style="81" customWidth="1"/>
    <col min="6917" max="6920" width="11.3984375" style="81" customWidth="1"/>
    <col min="6921" max="6921" width="71.3984375" style="81" customWidth="1"/>
    <col min="6922" max="6922" width="14.19921875" style="81" customWidth="1"/>
    <col min="6923" max="7168" width="8.69921875" style="81"/>
    <col min="7169" max="7169" width="21.3984375" style="81" customWidth="1"/>
    <col min="7170" max="7170" width="42.8984375" style="81" customWidth="1"/>
    <col min="7171" max="7171" width="21.3984375" style="81" customWidth="1"/>
    <col min="7172" max="7172" width="14.19921875" style="81" customWidth="1"/>
    <col min="7173" max="7176" width="11.3984375" style="81" customWidth="1"/>
    <col min="7177" max="7177" width="71.3984375" style="81" customWidth="1"/>
    <col min="7178" max="7178" width="14.19921875" style="81" customWidth="1"/>
    <col min="7179" max="7424" width="8.69921875" style="81"/>
    <col min="7425" max="7425" width="21.3984375" style="81" customWidth="1"/>
    <col min="7426" max="7426" width="42.8984375" style="81" customWidth="1"/>
    <col min="7427" max="7427" width="21.3984375" style="81" customWidth="1"/>
    <col min="7428" max="7428" width="14.19921875" style="81" customWidth="1"/>
    <col min="7429" max="7432" width="11.3984375" style="81" customWidth="1"/>
    <col min="7433" max="7433" width="71.3984375" style="81" customWidth="1"/>
    <col min="7434" max="7434" width="14.19921875" style="81" customWidth="1"/>
    <col min="7435" max="7680" width="8.69921875" style="81"/>
    <col min="7681" max="7681" width="21.3984375" style="81" customWidth="1"/>
    <col min="7682" max="7682" width="42.8984375" style="81" customWidth="1"/>
    <col min="7683" max="7683" width="21.3984375" style="81" customWidth="1"/>
    <col min="7684" max="7684" width="14.19921875" style="81" customWidth="1"/>
    <col min="7685" max="7688" width="11.3984375" style="81" customWidth="1"/>
    <col min="7689" max="7689" width="71.3984375" style="81" customWidth="1"/>
    <col min="7690" max="7690" width="14.19921875" style="81" customWidth="1"/>
    <col min="7691" max="7936" width="8.69921875" style="81"/>
    <col min="7937" max="7937" width="21.3984375" style="81" customWidth="1"/>
    <col min="7938" max="7938" width="42.8984375" style="81" customWidth="1"/>
    <col min="7939" max="7939" width="21.3984375" style="81" customWidth="1"/>
    <col min="7940" max="7940" width="14.19921875" style="81" customWidth="1"/>
    <col min="7941" max="7944" width="11.3984375" style="81" customWidth="1"/>
    <col min="7945" max="7945" width="71.3984375" style="81" customWidth="1"/>
    <col min="7946" max="7946" width="14.19921875" style="81" customWidth="1"/>
    <col min="7947" max="8192" width="8.69921875" style="81"/>
    <col min="8193" max="8193" width="21.3984375" style="81" customWidth="1"/>
    <col min="8194" max="8194" width="42.8984375" style="81" customWidth="1"/>
    <col min="8195" max="8195" width="21.3984375" style="81" customWidth="1"/>
    <col min="8196" max="8196" width="14.19921875" style="81" customWidth="1"/>
    <col min="8197" max="8200" width="11.3984375" style="81" customWidth="1"/>
    <col min="8201" max="8201" width="71.3984375" style="81" customWidth="1"/>
    <col min="8202" max="8202" width="14.19921875" style="81" customWidth="1"/>
    <col min="8203" max="8448" width="8.69921875" style="81"/>
    <col min="8449" max="8449" width="21.3984375" style="81" customWidth="1"/>
    <col min="8450" max="8450" width="42.8984375" style="81" customWidth="1"/>
    <col min="8451" max="8451" width="21.3984375" style="81" customWidth="1"/>
    <col min="8452" max="8452" width="14.19921875" style="81" customWidth="1"/>
    <col min="8453" max="8456" width="11.3984375" style="81" customWidth="1"/>
    <col min="8457" max="8457" width="71.3984375" style="81" customWidth="1"/>
    <col min="8458" max="8458" width="14.19921875" style="81" customWidth="1"/>
    <col min="8459" max="8704" width="8.69921875" style="81"/>
    <col min="8705" max="8705" width="21.3984375" style="81" customWidth="1"/>
    <col min="8706" max="8706" width="42.8984375" style="81" customWidth="1"/>
    <col min="8707" max="8707" width="21.3984375" style="81" customWidth="1"/>
    <col min="8708" max="8708" width="14.19921875" style="81" customWidth="1"/>
    <col min="8709" max="8712" width="11.3984375" style="81" customWidth="1"/>
    <col min="8713" max="8713" width="71.3984375" style="81" customWidth="1"/>
    <col min="8714" max="8714" width="14.19921875" style="81" customWidth="1"/>
    <col min="8715" max="8960" width="8.69921875" style="81"/>
    <col min="8961" max="8961" width="21.3984375" style="81" customWidth="1"/>
    <col min="8962" max="8962" width="42.8984375" style="81" customWidth="1"/>
    <col min="8963" max="8963" width="21.3984375" style="81" customWidth="1"/>
    <col min="8964" max="8964" width="14.19921875" style="81" customWidth="1"/>
    <col min="8965" max="8968" width="11.3984375" style="81" customWidth="1"/>
    <col min="8969" max="8969" width="71.3984375" style="81" customWidth="1"/>
    <col min="8970" max="8970" width="14.19921875" style="81" customWidth="1"/>
    <col min="8971" max="9216" width="8.69921875" style="81"/>
    <col min="9217" max="9217" width="21.3984375" style="81" customWidth="1"/>
    <col min="9218" max="9218" width="42.8984375" style="81" customWidth="1"/>
    <col min="9219" max="9219" width="21.3984375" style="81" customWidth="1"/>
    <col min="9220" max="9220" width="14.19921875" style="81" customWidth="1"/>
    <col min="9221" max="9224" width="11.3984375" style="81" customWidth="1"/>
    <col min="9225" max="9225" width="71.3984375" style="81" customWidth="1"/>
    <col min="9226" max="9226" width="14.19921875" style="81" customWidth="1"/>
    <col min="9227" max="9472" width="8.69921875" style="81"/>
    <col min="9473" max="9473" width="21.3984375" style="81" customWidth="1"/>
    <col min="9474" max="9474" width="42.8984375" style="81" customWidth="1"/>
    <col min="9475" max="9475" width="21.3984375" style="81" customWidth="1"/>
    <col min="9476" max="9476" width="14.19921875" style="81" customWidth="1"/>
    <col min="9477" max="9480" width="11.3984375" style="81" customWidth="1"/>
    <col min="9481" max="9481" width="71.3984375" style="81" customWidth="1"/>
    <col min="9482" max="9482" width="14.19921875" style="81" customWidth="1"/>
    <col min="9483" max="9728" width="8.69921875" style="81"/>
    <col min="9729" max="9729" width="21.3984375" style="81" customWidth="1"/>
    <col min="9730" max="9730" width="42.8984375" style="81" customWidth="1"/>
    <col min="9731" max="9731" width="21.3984375" style="81" customWidth="1"/>
    <col min="9732" max="9732" width="14.19921875" style="81" customWidth="1"/>
    <col min="9733" max="9736" width="11.3984375" style="81" customWidth="1"/>
    <col min="9737" max="9737" width="71.3984375" style="81" customWidth="1"/>
    <col min="9738" max="9738" width="14.19921875" style="81" customWidth="1"/>
    <col min="9739" max="9984" width="8.69921875" style="81"/>
    <col min="9985" max="9985" width="21.3984375" style="81" customWidth="1"/>
    <col min="9986" max="9986" width="42.8984375" style="81" customWidth="1"/>
    <col min="9987" max="9987" width="21.3984375" style="81" customWidth="1"/>
    <col min="9988" max="9988" width="14.19921875" style="81" customWidth="1"/>
    <col min="9989" max="9992" width="11.3984375" style="81" customWidth="1"/>
    <col min="9993" max="9993" width="71.3984375" style="81" customWidth="1"/>
    <col min="9994" max="9994" width="14.19921875" style="81" customWidth="1"/>
    <col min="9995" max="10240" width="8.69921875" style="81"/>
    <col min="10241" max="10241" width="21.3984375" style="81" customWidth="1"/>
    <col min="10242" max="10242" width="42.8984375" style="81" customWidth="1"/>
    <col min="10243" max="10243" width="21.3984375" style="81" customWidth="1"/>
    <col min="10244" max="10244" width="14.19921875" style="81" customWidth="1"/>
    <col min="10245" max="10248" width="11.3984375" style="81" customWidth="1"/>
    <col min="10249" max="10249" width="71.3984375" style="81" customWidth="1"/>
    <col min="10250" max="10250" width="14.19921875" style="81" customWidth="1"/>
    <col min="10251" max="10496" width="8.69921875" style="81"/>
    <col min="10497" max="10497" width="21.3984375" style="81" customWidth="1"/>
    <col min="10498" max="10498" width="42.8984375" style="81" customWidth="1"/>
    <col min="10499" max="10499" width="21.3984375" style="81" customWidth="1"/>
    <col min="10500" max="10500" width="14.19921875" style="81" customWidth="1"/>
    <col min="10501" max="10504" width="11.3984375" style="81" customWidth="1"/>
    <col min="10505" max="10505" width="71.3984375" style="81" customWidth="1"/>
    <col min="10506" max="10506" width="14.19921875" style="81" customWidth="1"/>
    <col min="10507" max="10752" width="8.69921875" style="81"/>
    <col min="10753" max="10753" width="21.3984375" style="81" customWidth="1"/>
    <col min="10754" max="10754" width="42.8984375" style="81" customWidth="1"/>
    <col min="10755" max="10755" width="21.3984375" style="81" customWidth="1"/>
    <col min="10756" max="10756" width="14.19921875" style="81" customWidth="1"/>
    <col min="10757" max="10760" width="11.3984375" style="81" customWidth="1"/>
    <col min="10761" max="10761" width="71.3984375" style="81" customWidth="1"/>
    <col min="10762" max="10762" width="14.19921875" style="81" customWidth="1"/>
    <col min="10763" max="11008" width="8.69921875" style="81"/>
    <col min="11009" max="11009" width="21.3984375" style="81" customWidth="1"/>
    <col min="11010" max="11010" width="42.8984375" style="81" customWidth="1"/>
    <col min="11011" max="11011" width="21.3984375" style="81" customWidth="1"/>
    <col min="11012" max="11012" width="14.19921875" style="81" customWidth="1"/>
    <col min="11013" max="11016" width="11.3984375" style="81" customWidth="1"/>
    <col min="11017" max="11017" width="71.3984375" style="81" customWidth="1"/>
    <col min="11018" max="11018" width="14.19921875" style="81" customWidth="1"/>
    <col min="11019" max="11264" width="8.69921875" style="81"/>
    <col min="11265" max="11265" width="21.3984375" style="81" customWidth="1"/>
    <col min="11266" max="11266" width="42.8984375" style="81" customWidth="1"/>
    <col min="11267" max="11267" width="21.3984375" style="81" customWidth="1"/>
    <col min="11268" max="11268" width="14.19921875" style="81" customWidth="1"/>
    <col min="11269" max="11272" width="11.3984375" style="81" customWidth="1"/>
    <col min="11273" max="11273" width="71.3984375" style="81" customWidth="1"/>
    <col min="11274" max="11274" width="14.19921875" style="81" customWidth="1"/>
    <col min="11275" max="11520" width="8.69921875" style="81"/>
    <col min="11521" max="11521" width="21.3984375" style="81" customWidth="1"/>
    <col min="11522" max="11522" width="42.8984375" style="81" customWidth="1"/>
    <col min="11523" max="11523" width="21.3984375" style="81" customWidth="1"/>
    <col min="11524" max="11524" width="14.19921875" style="81" customWidth="1"/>
    <col min="11525" max="11528" width="11.3984375" style="81" customWidth="1"/>
    <col min="11529" max="11529" width="71.3984375" style="81" customWidth="1"/>
    <col min="11530" max="11530" width="14.19921875" style="81" customWidth="1"/>
    <col min="11531" max="11776" width="8.69921875" style="81"/>
    <col min="11777" max="11777" width="21.3984375" style="81" customWidth="1"/>
    <col min="11778" max="11778" width="42.8984375" style="81" customWidth="1"/>
    <col min="11779" max="11779" width="21.3984375" style="81" customWidth="1"/>
    <col min="11780" max="11780" width="14.19921875" style="81" customWidth="1"/>
    <col min="11781" max="11784" width="11.3984375" style="81" customWidth="1"/>
    <col min="11785" max="11785" width="71.3984375" style="81" customWidth="1"/>
    <col min="11786" max="11786" width="14.19921875" style="81" customWidth="1"/>
    <col min="11787" max="12032" width="8.69921875" style="81"/>
    <col min="12033" max="12033" width="21.3984375" style="81" customWidth="1"/>
    <col min="12034" max="12034" width="42.8984375" style="81" customWidth="1"/>
    <col min="12035" max="12035" width="21.3984375" style="81" customWidth="1"/>
    <col min="12036" max="12036" width="14.19921875" style="81" customWidth="1"/>
    <col min="12037" max="12040" width="11.3984375" style="81" customWidth="1"/>
    <col min="12041" max="12041" width="71.3984375" style="81" customWidth="1"/>
    <col min="12042" max="12042" width="14.19921875" style="81" customWidth="1"/>
    <col min="12043" max="12288" width="8.69921875" style="81"/>
    <col min="12289" max="12289" width="21.3984375" style="81" customWidth="1"/>
    <col min="12290" max="12290" width="42.8984375" style="81" customWidth="1"/>
    <col min="12291" max="12291" width="21.3984375" style="81" customWidth="1"/>
    <col min="12292" max="12292" width="14.19921875" style="81" customWidth="1"/>
    <col min="12293" max="12296" width="11.3984375" style="81" customWidth="1"/>
    <col min="12297" max="12297" width="71.3984375" style="81" customWidth="1"/>
    <col min="12298" max="12298" width="14.19921875" style="81" customWidth="1"/>
    <col min="12299" max="12544" width="8.69921875" style="81"/>
    <col min="12545" max="12545" width="21.3984375" style="81" customWidth="1"/>
    <col min="12546" max="12546" width="42.8984375" style="81" customWidth="1"/>
    <col min="12547" max="12547" width="21.3984375" style="81" customWidth="1"/>
    <col min="12548" max="12548" width="14.19921875" style="81" customWidth="1"/>
    <col min="12549" max="12552" width="11.3984375" style="81" customWidth="1"/>
    <col min="12553" max="12553" width="71.3984375" style="81" customWidth="1"/>
    <col min="12554" max="12554" width="14.19921875" style="81" customWidth="1"/>
    <col min="12555" max="12800" width="8.69921875" style="81"/>
    <col min="12801" max="12801" width="21.3984375" style="81" customWidth="1"/>
    <col min="12802" max="12802" width="42.8984375" style="81" customWidth="1"/>
    <col min="12803" max="12803" width="21.3984375" style="81" customWidth="1"/>
    <col min="12804" max="12804" width="14.19921875" style="81" customWidth="1"/>
    <col min="12805" max="12808" width="11.3984375" style="81" customWidth="1"/>
    <col min="12809" max="12809" width="71.3984375" style="81" customWidth="1"/>
    <col min="12810" max="12810" width="14.19921875" style="81" customWidth="1"/>
    <col min="12811" max="13056" width="8.69921875" style="81"/>
    <col min="13057" max="13057" width="21.3984375" style="81" customWidth="1"/>
    <col min="13058" max="13058" width="42.8984375" style="81" customWidth="1"/>
    <col min="13059" max="13059" width="21.3984375" style="81" customWidth="1"/>
    <col min="13060" max="13060" width="14.19921875" style="81" customWidth="1"/>
    <col min="13061" max="13064" width="11.3984375" style="81" customWidth="1"/>
    <col min="13065" max="13065" width="71.3984375" style="81" customWidth="1"/>
    <col min="13066" max="13066" width="14.19921875" style="81" customWidth="1"/>
    <col min="13067" max="13312" width="8.69921875" style="81"/>
    <col min="13313" max="13313" width="21.3984375" style="81" customWidth="1"/>
    <col min="13314" max="13314" width="42.8984375" style="81" customWidth="1"/>
    <col min="13315" max="13315" width="21.3984375" style="81" customWidth="1"/>
    <col min="13316" max="13316" width="14.19921875" style="81" customWidth="1"/>
    <col min="13317" max="13320" width="11.3984375" style="81" customWidth="1"/>
    <col min="13321" max="13321" width="71.3984375" style="81" customWidth="1"/>
    <col min="13322" max="13322" width="14.19921875" style="81" customWidth="1"/>
    <col min="13323" max="13568" width="8.69921875" style="81"/>
    <col min="13569" max="13569" width="21.3984375" style="81" customWidth="1"/>
    <col min="13570" max="13570" width="42.8984375" style="81" customWidth="1"/>
    <col min="13571" max="13571" width="21.3984375" style="81" customWidth="1"/>
    <col min="13572" max="13572" width="14.19921875" style="81" customWidth="1"/>
    <col min="13573" max="13576" width="11.3984375" style="81" customWidth="1"/>
    <col min="13577" max="13577" width="71.3984375" style="81" customWidth="1"/>
    <col min="13578" max="13578" width="14.19921875" style="81" customWidth="1"/>
    <col min="13579" max="13824" width="8.69921875" style="81"/>
    <col min="13825" max="13825" width="21.3984375" style="81" customWidth="1"/>
    <col min="13826" max="13826" width="42.8984375" style="81" customWidth="1"/>
    <col min="13827" max="13827" width="21.3984375" style="81" customWidth="1"/>
    <col min="13828" max="13828" width="14.19921875" style="81" customWidth="1"/>
    <col min="13829" max="13832" width="11.3984375" style="81" customWidth="1"/>
    <col min="13833" max="13833" width="71.3984375" style="81" customWidth="1"/>
    <col min="13834" max="13834" width="14.19921875" style="81" customWidth="1"/>
    <col min="13835" max="14080" width="8.69921875" style="81"/>
    <col min="14081" max="14081" width="21.3984375" style="81" customWidth="1"/>
    <col min="14082" max="14082" width="42.8984375" style="81" customWidth="1"/>
    <col min="14083" max="14083" width="21.3984375" style="81" customWidth="1"/>
    <col min="14084" max="14084" width="14.19921875" style="81" customWidth="1"/>
    <col min="14085" max="14088" width="11.3984375" style="81" customWidth="1"/>
    <col min="14089" max="14089" width="71.3984375" style="81" customWidth="1"/>
    <col min="14090" max="14090" width="14.19921875" style="81" customWidth="1"/>
    <col min="14091" max="14336" width="8.69921875" style="81"/>
    <col min="14337" max="14337" width="21.3984375" style="81" customWidth="1"/>
    <col min="14338" max="14338" width="42.8984375" style="81" customWidth="1"/>
    <col min="14339" max="14339" width="21.3984375" style="81" customWidth="1"/>
    <col min="14340" max="14340" width="14.19921875" style="81" customWidth="1"/>
    <col min="14341" max="14344" width="11.3984375" style="81" customWidth="1"/>
    <col min="14345" max="14345" width="71.3984375" style="81" customWidth="1"/>
    <col min="14346" max="14346" width="14.19921875" style="81" customWidth="1"/>
    <col min="14347" max="14592" width="8.69921875" style="81"/>
    <col min="14593" max="14593" width="21.3984375" style="81" customWidth="1"/>
    <col min="14594" max="14594" width="42.8984375" style="81" customWidth="1"/>
    <col min="14595" max="14595" width="21.3984375" style="81" customWidth="1"/>
    <col min="14596" max="14596" width="14.19921875" style="81" customWidth="1"/>
    <col min="14597" max="14600" width="11.3984375" style="81" customWidth="1"/>
    <col min="14601" max="14601" width="71.3984375" style="81" customWidth="1"/>
    <col min="14602" max="14602" width="14.19921875" style="81" customWidth="1"/>
    <col min="14603" max="14848" width="8.69921875" style="81"/>
    <col min="14849" max="14849" width="21.3984375" style="81" customWidth="1"/>
    <col min="14850" max="14850" width="42.8984375" style="81" customWidth="1"/>
    <col min="14851" max="14851" width="21.3984375" style="81" customWidth="1"/>
    <col min="14852" max="14852" width="14.19921875" style="81" customWidth="1"/>
    <col min="14853" max="14856" width="11.3984375" style="81" customWidth="1"/>
    <col min="14857" max="14857" width="71.3984375" style="81" customWidth="1"/>
    <col min="14858" max="14858" width="14.19921875" style="81" customWidth="1"/>
    <col min="14859" max="15104" width="8.69921875" style="81"/>
    <col min="15105" max="15105" width="21.3984375" style="81" customWidth="1"/>
    <col min="15106" max="15106" width="42.8984375" style="81" customWidth="1"/>
    <col min="15107" max="15107" width="21.3984375" style="81" customWidth="1"/>
    <col min="15108" max="15108" width="14.19921875" style="81" customWidth="1"/>
    <col min="15109" max="15112" width="11.3984375" style="81" customWidth="1"/>
    <col min="15113" max="15113" width="71.3984375" style="81" customWidth="1"/>
    <col min="15114" max="15114" width="14.19921875" style="81" customWidth="1"/>
    <col min="15115" max="15360" width="8.69921875" style="81"/>
    <col min="15361" max="15361" width="21.3984375" style="81" customWidth="1"/>
    <col min="15362" max="15362" width="42.8984375" style="81" customWidth="1"/>
    <col min="15363" max="15363" width="21.3984375" style="81" customWidth="1"/>
    <col min="15364" max="15364" width="14.19921875" style="81" customWidth="1"/>
    <col min="15365" max="15368" width="11.3984375" style="81" customWidth="1"/>
    <col min="15369" max="15369" width="71.3984375" style="81" customWidth="1"/>
    <col min="15370" max="15370" width="14.19921875" style="81" customWidth="1"/>
    <col min="15371" max="15616" width="8.69921875" style="81"/>
    <col min="15617" max="15617" width="21.3984375" style="81" customWidth="1"/>
    <col min="15618" max="15618" width="42.8984375" style="81" customWidth="1"/>
    <col min="15619" max="15619" width="21.3984375" style="81" customWidth="1"/>
    <col min="15620" max="15620" width="14.19921875" style="81" customWidth="1"/>
    <col min="15621" max="15624" width="11.3984375" style="81" customWidth="1"/>
    <col min="15625" max="15625" width="71.3984375" style="81" customWidth="1"/>
    <col min="15626" max="15626" width="14.19921875" style="81" customWidth="1"/>
    <col min="15627" max="15872" width="8.69921875" style="81"/>
    <col min="15873" max="15873" width="21.3984375" style="81" customWidth="1"/>
    <col min="15874" max="15874" width="42.8984375" style="81" customWidth="1"/>
    <col min="15875" max="15875" width="21.3984375" style="81" customWidth="1"/>
    <col min="15876" max="15876" width="14.19921875" style="81" customWidth="1"/>
    <col min="15877" max="15880" width="11.3984375" style="81" customWidth="1"/>
    <col min="15881" max="15881" width="71.3984375" style="81" customWidth="1"/>
    <col min="15882" max="15882" width="14.19921875" style="81" customWidth="1"/>
    <col min="15883" max="16128" width="8.69921875" style="81"/>
    <col min="16129" max="16129" width="21.3984375" style="81" customWidth="1"/>
    <col min="16130" max="16130" width="42.8984375" style="81" customWidth="1"/>
    <col min="16131" max="16131" width="21.3984375" style="81" customWidth="1"/>
    <col min="16132" max="16132" width="14.19921875" style="81" customWidth="1"/>
    <col min="16133" max="16136" width="11.3984375" style="81" customWidth="1"/>
    <col min="16137" max="16137" width="71.3984375" style="81" customWidth="1"/>
    <col min="16138" max="16138" width="14.19921875" style="81" customWidth="1"/>
    <col min="16139" max="16384" width="8.69921875" style="81"/>
  </cols>
  <sheetData>
    <row r="1" spans="1:10" x14ac:dyDescent="0.25">
      <c r="A1" s="80" t="s">
        <v>420</v>
      </c>
      <c r="B1" s="80" t="s">
        <v>421</v>
      </c>
      <c r="C1" s="80" t="s">
        <v>422</v>
      </c>
      <c r="D1" s="80" t="s">
        <v>423</v>
      </c>
      <c r="E1" s="80" t="s">
        <v>424</v>
      </c>
      <c r="F1" s="80" t="s">
        <v>425</v>
      </c>
      <c r="G1" s="80" t="s">
        <v>426</v>
      </c>
      <c r="H1" s="80" t="s">
        <v>427</v>
      </c>
      <c r="I1" s="80" t="s">
        <v>9</v>
      </c>
      <c r="J1" s="80" t="s">
        <v>428</v>
      </c>
    </row>
    <row r="2" spans="1:10" x14ac:dyDescent="0.25">
      <c r="A2" s="82" t="s">
        <v>429</v>
      </c>
      <c r="B2" s="82" t="s">
        <v>430</v>
      </c>
      <c r="C2" s="82" t="s">
        <v>431</v>
      </c>
      <c r="D2" s="83" t="s">
        <v>432</v>
      </c>
      <c r="E2" s="84" t="s">
        <v>433</v>
      </c>
      <c r="F2" s="84" t="s">
        <v>434</v>
      </c>
      <c r="G2" s="85" t="s">
        <v>435</v>
      </c>
      <c r="H2" s="85" t="s">
        <v>435</v>
      </c>
      <c r="I2" s="82" t="s">
        <v>429</v>
      </c>
      <c r="J2" s="86" t="s">
        <v>436</v>
      </c>
    </row>
    <row r="3" spans="1:10" x14ac:dyDescent="0.25">
      <c r="A3" s="82" t="s">
        <v>437</v>
      </c>
      <c r="B3" s="82" t="s">
        <v>438</v>
      </c>
      <c r="C3" s="82" t="s">
        <v>431</v>
      </c>
      <c r="D3" s="83" t="s">
        <v>439</v>
      </c>
      <c r="E3" s="84" t="s">
        <v>440</v>
      </c>
      <c r="F3" s="84" t="s">
        <v>434</v>
      </c>
      <c r="G3" s="85" t="s">
        <v>435</v>
      </c>
      <c r="H3" s="85" t="s">
        <v>435</v>
      </c>
      <c r="I3" s="82" t="s">
        <v>429</v>
      </c>
      <c r="J3" s="86" t="s">
        <v>436</v>
      </c>
    </row>
    <row r="4" spans="1:10" x14ac:dyDescent="0.25">
      <c r="A4" s="82" t="s">
        <v>441</v>
      </c>
      <c r="B4" s="82" t="s">
        <v>442</v>
      </c>
      <c r="C4" s="82" t="s">
        <v>431</v>
      </c>
      <c r="D4" s="83" t="s">
        <v>432</v>
      </c>
      <c r="E4" s="84" t="s">
        <v>443</v>
      </c>
      <c r="F4" s="84" t="s">
        <v>434</v>
      </c>
      <c r="G4" s="85" t="s">
        <v>435</v>
      </c>
      <c r="H4" s="85" t="s">
        <v>435</v>
      </c>
      <c r="I4" s="82" t="s">
        <v>429</v>
      </c>
      <c r="J4" s="86" t="s">
        <v>436</v>
      </c>
    </row>
    <row r="5" spans="1:10" x14ac:dyDescent="0.25">
      <c r="A5" s="82" t="s">
        <v>444</v>
      </c>
      <c r="B5" s="82" t="s">
        <v>445</v>
      </c>
      <c r="C5" s="82" t="s">
        <v>446</v>
      </c>
      <c r="D5" s="83" t="s">
        <v>447</v>
      </c>
      <c r="E5" s="84" t="s">
        <v>448</v>
      </c>
      <c r="F5" s="84" t="s">
        <v>434</v>
      </c>
      <c r="G5" s="85" t="s">
        <v>435</v>
      </c>
      <c r="H5" s="85" t="s">
        <v>435</v>
      </c>
      <c r="I5" s="82" t="s">
        <v>429</v>
      </c>
      <c r="J5" s="86" t="s">
        <v>436</v>
      </c>
    </row>
    <row r="6" spans="1:10" x14ac:dyDescent="0.25">
      <c r="A6" s="82" t="s">
        <v>449</v>
      </c>
      <c r="B6" s="82" t="s">
        <v>450</v>
      </c>
      <c r="C6" s="82" t="s">
        <v>431</v>
      </c>
      <c r="D6" s="83" t="s">
        <v>432</v>
      </c>
      <c r="E6" s="84" t="s">
        <v>451</v>
      </c>
      <c r="F6" s="84" t="s">
        <v>434</v>
      </c>
      <c r="G6" s="85" t="s">
        <v>435</v>
      </c>
      <c r="H6" s="85" t="s">
        <v>435</v>
      </c>
      <c r="I6" s="82" t="s">
        <v>429</v>
      </c>
      <c r="J6" s="86" t="s">
        <v>436</v>
      </c>
    </row>
    <row r="7" spans="1:10" x14ac:dyDescent="0.25">
      <c r="A7" s="82" t="s">
        <v>452</v>
      </c>
      <c r="B7" s="82" t="s">
        <v>453</v>
      </c>
      <c r="C7" s="82" t="s">
        <v>454</v>
      </c>
      <c r="D7" s="83" t="s">
        <v>432</v>
      </c>
      <c r="E7" s="84" t="s">
        <v>455</v>
      </c>
      <c r="F7" s="84" t="s">
        <v>434</v>
      </c>
      <c r="G7" s="85" t="s">
        <v>435</v>
      </c>
      <c r="H7" s="85" t="s">
        <v>435</v>
      </c>
      <c r="I7" s="82" t="s">
        <v>429</v>
      </c>
      <c r="J7" s="86" t="s">
        <v>436</v>
      </c>
    </row>
    <row r="8" spans="1:10" x14ac:dyDescent="0.25">
      <c r="A8" s="82" t="s">
        <v>456</v>
      </c>
      <c r="B8" s="82" t="s">
        <v>457</v>
      </c>
      <c r="C8" s="82" t="s">
        <v>454</v>
      </c>
      <c r="D8" s="83" t="s">
        <v>432</v>
      </c>
      <c r="E8" s="84" t="s">
        <v>455</v>
      </c>
      <c r="F8" s="84" t="s">
        <v>434</v>
      </c>
      <c r="G8" s="85" t="s">
        <v>435</v>
      </c>
      <c r="H8" s="85" t="s">
        <v>435</v>
      </c>
      <c r="I8" s="82" t="s">
        <v>429</v>
      </c>
      <c r="J8" s="86" t="s">
        <v>436</v>
      </c>
    </row>
    <row r="9" spans="1:10" x14ac:dyDescent="0.25">
      <c r="A9" s="82" t="s">
        <v>458</v>
      </c>
      <c r="B9" s="82" t="s">
        <v>459</v>
      </c>
      <c r="C9" s="82" t="s">
        <v>454</v>
      </c>
      <c r="D9" s="83" t="s">
        <v>432</v>
      </c>
      <c r="E9" s="84" t="s">
        <v>455</v>
      </c>
      <c r="F9" s="84" t="s">
        <v>434</v>
      </c>
      <c r="G9" s="85" t="s">
        <v>435</v>
      </c>
      <c r="H9" s="85" t="s">
        <v>435</v>
      </c>
      <c r="I9" s="82" t="s">
        <v>429</v>
      </c>
      <c r="J9" s="86" t="s">
        <v>436</v>
      </c>
    </row>
    <row r="10" spans="1:10" x14ac:dyDescent="0.25">
      <c r="A10" s="82" t="s">
        <v>460</v>
      </c>
      <c r="B10" s="82" t="s">
        <v>461</v>
      </c>
      <c r="C10" s="82" t="s">
        <v>454</v>
      </c>
      <c r="D10" s="83" t="s">
        <v>432</v>
      </c>
      <c r="E10" s="84" t="s">
        <v>455</v>
      </c>
      <c r="F10" s="84" t="s">
        <v>434</v>
      </c>
      <c r="G10" s="85" t="s">
        <v>435</v>
      </c>
      <c r="H10" s="85" t="s">
        <v>435</v>
      </c>
      <c r="I10" s="82" t="s">
        <v>429</v>
      </c>
      <c r="J10" s="86" t="s">
        <v>436</v>
      </c>
    </row>
    <row r="11" spans="1:10" x14ac:dyDescent="0.25">
      <c r="A11" s="82" t="s">
        <v>462</v>
      </c>
      <c r="B11" s="82" t="s">
        <v>463</v>
      </c>
      <c r="C11" s="82" t="s">
        <v>454</v>
      </c>
      <c r="D11" s="83" t="s">
        <v>432</v>
      </c>
      <c r="E11" s="84" t="s">
        <v>455</v>
      </c>
      <c r="F11" s="84" t="s">
        <v>434</v>
      </c>
      <c r="G11" s="85" t="s">
        <v>435</v>
      </c>
      <c r="H11" s="85" t="s">
        <v>435</v>
      </c>
      <c r="I11" s="82" t="s">
        <v>429</v>
      </c>
      <c r="J11" s="86" t="s">
        <v>436</v>
      </c>
    </row>
    <row r="12" spans="1:10" x14ac:dyDescent="0.25">
      <c r="A12" s="82" t="s">
        <v>464</v>
      </c>
      <c r="B12" s="82" t="s">
        <v>465</v>
      </c>
      <c r="C12" s="82" t="s">
        <v>454</v>
      </c>
      <c r="D12" s="83" t="s">
        <v>432</v>
      </c>
      <c r="E12" s="84" t="s">
        <v>455</v>
      </c>
      <c r="F12" s="84" t="s">
        <v>434</v>
      </c>
      <c r="G12" s="85" t="s">
        <v>435</v>
      </c>
      <c r="H12" s="85" t="s">
        <v>435</v>
      </c>
      <c r="I12" s="82" t="s">
        <v>429</v>
      </c>
      <c r="J12" s="86" t="s">
        <v>436</v>
      </c>
    </row>
    <row r="13" spans="1:10" x14ac:dyDescent="0.25">
      <c r="A13" s="82" t="s">
        <v>466</v>
      </c>
      <c r="B13" s="82" t="s">
        <v>467</v>
      </c>
      <c r="C13" s="82" t="s">
        <v>454</v>
      </c>
      <c r="D13" s="83" t="s">
        <v>432</v>
      </c>
      <c r="E13" s="84" t="s">
        <v>455</v>
      </c>
      <c r="F13" s="84" t="s">
        <v>434</v>
      </c>
      <c r="G13" s="85" t="s">
        <v>435</v>
      </c>
      <c r="H13" s="85" t="s">
        <v>435</v>
      </c>
      <c r="I13" s="82" t="s">
        <v>429</v>
      </c>
      <c r="J13" s="86" t="s">
        <v>436</v>
      </c>
    </row>
    <row r="14" spans="1:10" x14ac:dyDescent="0.25">
      <c r="A14" s="82" t="s">
        <v>468</v>
      </c>
      <c r="B14" s="82" t="s">
        <v>469</v>
      </c>
      <c r="C14" s="82" t="s">
        <v>454</v>
      </c>
      <c r="D14" s="83" t="s">
        <v>432</v>
      </c>
      <c r="E14" s="84" t="s">
        <v>455</v>
      </c>
      <c r="F14" s="84" t="s">
        <v>434</v>
      </c>
      <c r="G14" s="85" t="s">
        <v>435</v>
      </c>
      <c r="H14" s="85" t="s">
        <v>435</v>
      </c>
      <c r="I14" s="82" t="s">
        <v>429</v>
      </c>
      <c r="J14" s="86" t="s">
        <v>436</v>
      </c>
    </row>
    <row r="15" spans="1:10" x14ac:dyDescent="0.25">
      <c r="A15" s="82" t="s">
        <v>470</v>
      </c>
      <c r="B15" s="82" t="s">
        <v>471</v>
      </c>
      <c r="C15" s="82" t="s">
        <v>454</v>
      </c>
      <c r="D15" s="83" t="s">
        <v>432</v>
      </c>
      <c r="E15" s="84" t="s">
        <v>455</v>
      </c>
      <c r="F15" s="84" t="s">
        <v>434</v>
      </c>
      <c r="G15" s="85" t="s">
        <v>435</v>
      </c>
      <c r="H15" s="85" t="s">
        <v>435</v>
      </c>
      <c r="I15" s="82" t="s">
        <v>429</v>
      </c>
      <c r="J15" s="86" t="s">
        <v>436</v>
      </c>
    </row>
    <row r="16" spans="1:10" x14ac:dyDescent="0.25">
      <c r="A16" s="82" t="s">
        <v>472</v>
      </c>
      <c r="B16" s="82" t="s">
        <v>473</v>
      </c>
      <c r="C16" s="82" t="s">
        <v>454</v>
      </c>
      <c r="D16" s="83" t="s">
        <v>432</v>
      </c>
      <c r="E16" s="84" t="s">
        <v>455</v>
      </c>
      <c r="F16" s="84" t="s">
        <v>434</v>
      </c>
      <c r="G16" s="85" t="s">
        <v>435</v>
      </c>
      <c r="H16" s="85" t="s">
        <v>435</v>
      </c>
      <c r="I16" s="82" t="s">
        <v>429</v>
      </c>
      <c r="J16" s="86" t="s">
        <v>436</v>
      </c>
    </row>
    <row r="17" spans="1:10" x14ac:dyDescent="0.25">
      <c r="A17" s="82" t="s">
        <v>474</v>
      </c>
      <c r="B17" s="82" t="s">
        <v>475</v>
      </c>
      <c r="C17" s="82" t="s">
        <v>454</v>
      </c>
      <c r="D17" s="83" t="s">
        <v>432</v>
      </c>
      <c r="E17" s="84" t="s">
        <v>455</v>
      </c>
      <c r="F17" s="84" t="s">
        <v>434</v>
      </c>
      <c r="G17" s="85" t="s">
        <v>435</v>
      </c>
      <c r="H17" s="85" t="s">
        <v>435</v>
      </c>
      <c r="I17" s="82" t="s">
        <v>429</v>
      </c>
      <c r="J17" s="86" t="s">
        <v>436</v>
      </c>
    </row>
    <row r="18" spans="1:10" x14ac:dyDescent="0.25">
      <c r="A18" s="82" t="s">
        <v>476</v>
      </c>
      <c r="B18" s="82" t="s">
        <v>477</v>
      </c>
      <c r="C18" s="82" t="s">
        <v>454</v>
      </c>
      <c r="D18" s="83" t="s">
        <v>432</v>
      </c>
      <c r="E18" s="84" t="s">
        <v>455</v>
      </c>
      <c r="F18" s="84" t="s">
        <v>434</v>
      </c>
      <c r="G18" s="85" t="s">
        <v>435</v>
      </c>
      <c r="H18" s="85" t="s">
        <v>435</v>
      </c>
      <c r="I18" s="82" t="s">
        <v>429</v>
      </c>
      <c r="J18" s="86" t="s">
        <v>436</v>
      </c>
    </row>
    <row r="19" spans="1:10" x14ac:dyDescent="0.25">
      <c r="A19" s="82" t="s">
        <v>478</v>
      </c>
      <c r="B19" s="82" t="s">
        <v>479</v>
      </c>
      <c r="C19" s="82" t="s">
        <v>454</v>
      </c>
      <c r="D19" s="83" t="s">
        <v>432</v>
      </c>
      <c r="E19" s="84" t="s">
        <v>455</v>
      </c>
      <c r="F19" s="84" t="s">
        <v>434</v>
      </c>
      <c r="G19" s="85" t="s">
        <v>435</v>
      </c>
      <c r="H19" s="85" t="s">
        <v>435</v>
      </c>
      <c r="I19" s="82" t="s">
        <v>429</v>
      </c>
      <c r="J19" s="86" t="s">
        <v>436</v>
      </c>
    </row>
    <row r="20" spans="1:10" x14ac:dyDescent="0.25">
      <c r="A20" s="82" t="s">
        <v>480</v>
      </c>
      <c r="B20" s="82" t="s">
        <v>481</v>
      </c>
      <c r="C20" s="82" t="s">
        <v>454</v>
      </c>
      <c r="D20" s="83" t="s">
        <v>432</v>
      </c>
      <c r="E20" s="84" t="s">
        <v>455</v>
      </c>
      <c r="F20" s="84" t="s">
        <v>434</v>
      </c>
      <c r="G20" s="85" t="s">
        <v>435</v>
      </c>
      <c r="H20" s="85" t="s">
        <v>435</v>
      </c>
      <c r="I20" s="82" t="s">
        <v>429</v>
      </c>
      <c r="J20" s="86" t="s">
        <v>436</v>
      </c>
    </row>
    <row r="21" spans="1:10" x14ac:dyDescent="0.25">
      <c r="A21" s="82" t="s">
        <v>482</v>
      </c>
      <c r="B21" s="82" t="s">
        <v>483</v>
      </c>
      <c r="C21" s="82" t="s">
        <v>454</v>
      </c>
      <c r="D21" s="83" t="s">
        <v>432</v>
      </c>
      <c r="E21" s="84" t="s">
        <v>455</v>
      </c>
      <c r="F21" s="84" t="s">
        <v>434</v>
      </c>
      <c r="G21" s="85" t="s">
        <v>435</v>
      </c>
      <c r="H21" s="85" t="s">
        <v>435</v>
      </c>
      <c r="I21" s="82" t="s">
        <v>429</v>
      </c>
      <c r="J21" s="86" t="s">
        <v>436</v>
      </c>
    </row>
    <row r="22" spans="1:10" x14ac:dyDescent="0.25">
      <c r="A22" s="82" t="s">
        <v>484</v>
      </c>
      <c r="B22" s="82" t="s">
        <v>485</v>
      </c>
      <c r="C22" s="82" t="s">
        <v>454</v>
      </c>
      <c r="D22" s="83" t="s">
        <v>432</v>
      </c>
      <c r="E22" s="84" t="s">
        <v>455</v>
      </c>
      <c r="F22" s="84" t="s">
        <v>434</v>
      </c>
      <c r="G22" s="85" t="s">
        <v>435</v>
      </c>
      <c r="H22" s="85" t="s">
        <v>435</v>
      </c>
      <c r="I22" s="82" t="s">
        <v>429</v>
      </c>
      <c r="J22" s="86" t="s">
        <v>436</v>
      </c>
    </row>
    <row r="23" spans="1:10" x14ac:dyDescent="0.25">
      <c r="A23" s="82" t="s">
        <v>486</v>
      </c>
      <c r="B23" s="82" t="s">
        <v>487</v>
      </c>
      <c r="C23" s="82" t="s">
        <v>454</v>
      </c>
      <c r="D23" s="83" t="s">
        <v>432</v>
      </c>
      <c r="E23" s="84" t="s">
        <v>455</v>
      </c>
      <c r="F23" s="84" t="s">
        <v>434</v>
      </c>
      <c r="G23" s="85" t="s">
        <v>435</v>
      </c>
      <c r="H23" s="85" t="s">
        <v>435</v>
      </c>
      <c r="I23" s="82" t="s">
        <v>429</v>
      </c>
      <c r="J23" s="86" t="s">
        <v>436</v>
      </c>
    </row>
    <row r="24" spans="1:10" x14ac:dyDescent="0.25">
      <c r="A24" s="82" t="s">
        <v>488</v>
      </c>
      <c r="B24" s="82" t="s">
        <v>489</v>
      </c>
      <c r="C24" s="82" t="s">
        <v>454</v>
      </c>
      <c r="D24" s="83" t="s">
        <v>432</v>
      </c>
      <c r="E24" s="84" t="s">
        <v>455</v>
      </c>
      <c r="F24" s="84" t="s">
        <v>434</v>
      </c>
      <c r="G24" s="85" t="s">
        <v>435</v>
      </c>
      <c r="H24" s="85" t="s">
        <v>435</v>
      </c>
      <c r="I24" s="82" t="s">
        <v>429</v>
      </c>
      <c r="J24" s="86" t="s">
        <v>436</v>
      </c>
    </row>
    <row r="25" spans="1:10" x14ac:dyDescent="0.25">
      <c r="A25" s="82" t="s">
        <v>490</v>
      </c>
      <c r="B25" s="82" t="s">
        <v>491</v>
      </c>
      <c r="C25" s="82" t="s">
        <v>454</v>
      </c>
      <c r="D25" s="83" t="s">
        <v>432</v>
      </c>
      <c r="E25" s="84" t="s">
        <v>455</v>
      </c>
      <c r="F25" s="84" t="s">
        <v>434</v>
      </c>
      <c r="G25" s="85" t="s">
        <v>435</v>
      </c>
      <c r="H25" s="85" t="s">
        <v>435</v>
      </c>
      <c r="I25" s="82" t="s">
        <v>429</v>
      </c>
      <c r="J25" s="86" t="s">
        <v>436</v>
      </c>
    </row>
    <row r="26" spans="1:10" x14ac:dyDescent="0.25">
      <c r="A26" s="82" t="s">
        <v>492</v>
      </c>
      <c r="B26" s="82" t="s">
        <v>493</v>
      </c>
      <c r="C26" s="82" t="s">
        <v>454</v>
      </c>
      <c r="D26" s="83" t="s">
        <v>432</v>
      </c>
      <c r="E26" s="84" t="s">
        <v>455</v>
      </c>
      <c r="F26" s="84" t="s">
        <v>434</v>
      </c>
      <c r="G26" s="85" t="s">
        <v>435</v>
      </c>
      <c r="H26" s="85" t="s">
        <v>435</v>
      </c>
      <c r="I26" s="82" t="s">
        <v>429</v>
      </c>
      <c r="J26" s="86" t="s">
        <v>436</v>
      </c>
    </row>
    <row r="27" spans="1:10" x14ac:dyDescent="0.25">
      <c r="A27" s="82" t="s">
        <v>494</v>
      </c>
      <c r="B27" s="82" t="s">
        <v>495</v>
      </c>
      <c r="C27" s="82" t="s">
        <v>454</v>
      </c>
      <c r="D27" s="83" t="s">
        <v>432</v>
      </c>
      <c r="E27" s="84" t="s">
        <v>455</v>
      </c>
      <c r="F27" s="84" t="s">
        <v>434</v>
      </c>
      <c r="G27" s="85" t="s">
        <v>435</v>
      </c>
      <c r="H27" s="85" t="s">
        <v>435</v>
      </c>
      <c r="I27" s="82" t="s">
        <v>429</v>
      </c>
      <c r="J27" s="86" t="s">
        <v>436</v>
      </c>
    </row>
    <row r="28" spans="1:10" x14ac:dyDescent="0.25">
      <c r="A28" s="82" t="s">
        <v>496</v>
      </c>
      <c r="B28" s="82" t="s">
        <v>497</v>
      </c>
      <c r="C28" s="82" t="s">
        <v>454</v>
      </c>
      <c r="D28" s="83" t="s">
        <v>432</v>
      </c>
      <c r="E28" s="84" t="s">
        <v>455</v>
      </c>
      <c r="F28" s="84" t="s">
        <v>434</v>
      </c>
      <c r="G28" s="85" t="s">
        <v>435</v>
      </c>
      <c r="H28" s="85" t="s">
        <v>435</v>
      </c>
      <c r="I28" s="82" t="s">
        <v>429</v>
      </c>
      <c r="J28" s="86" t="s">
        <v>436</v>
      </c>
    </row>
    <row r="29" spans="1:10" x14ac:dyDescent="0.25">
      <c r="A29" s="82" t="s">
        <v>498</v>
      </c>
      <c r="B29" s="82" t="s">
        <v>499</v>
      </c>
      <c r="C29" s="82" t="s">
        <v>454</v>
      </c>
      <c r="D29" s="83" t="s">
        <v>432</v>
      </c>
      <c r="E29" s="84" t="s">
        <v>455</v>
      </c>
      <c r="F29" s="84" t="s">
        <v>434</v>
      </c>
      <c r="G29" s="85" t="s">
        <v>435</v>
      </c>
      <c r="H29" s="85" t="s">
        <v>435</v>
      </c>
      <c r="I29" s="82" t="s">
        <v>429</v>
      </c>
      <c r="J29" s="86" t="s">
        <v>436</v>
      </c>
    </row>
    <row r="30" spans="1:10" x14ac:dyDescent="0.25">
      <c r="A30" s="82" t="s">
        <v>500</v>
      </c>
      <c r="B30" s="82" t="s">
        <v>501</v>
      </c>
      <c r="C30" s="82" t="s">
        <v>454</v>
      </c>
      <c r="D30" s="83" t="s">
        <v>432</v>
      </c>
      <c r="E30" s="84" t="s">
        <v>455</v>
      </c>
      <c r="F30" s="84" t="s">
        <v>434</v>
      </c>
      <c r="G30" s="85" t="s">
        <v>435</v>
      </c>
      <c r="H30" s="85" t="s">
        <v>435</v>
      </c>
      <c r="I30" s="82" t="s">
        <v>429</v>
      </c>
      <c r="J30" s="86" t="s">
        <v>436</v>
      </c>
    </row>
    <row r="31" spans="1:10" x14ac:dyDescent="0.25">
      <c r="A31" s="82" t="s">
        <v>502</v>
      </c>
      <c r="B31" s="82" t="s">
        <v>503</v>
      </c>
      <c r="C31" s="82" t="s">
        <v>454</v>
      </c>
      <c r="D31" s="83" t="s">
        <v>432</v>
      </c>
      <c r="E31" s="84" t="s">
        <v>455</v>
      </c>
      <c r="F31" s="84" t="s">
        <v>434</v>
      </c>
      <c r="G31" s="85" t="s">
        <v>435</v>
      </c>
      <c r="H31" s="85" t="s">
        <v>435</v>
      </c>
      <c r="I31" s="82" t="s">
        <v>429</v>
      </c>
      <c r="J31" s="86" t="s">
        <v>436</v>
      </c>
    </row>
    <row r="32" spans="1:10" x14ac:dyDescent="0.25">
      <c r="A32" s="82" t="s">
        <v>504</v>
      </c>
      <c r="B32" s="82" t="s">
        <v>505</v>
      </c>
      <c r="C32" s="82" t="s">
        <v>454</v>
      </c>
      <c r="D32" s="83" t="s">
        <v>432</v>
      </c>
      <c r="E32" s="84" t="s">
        <v>455</v>
      </c>
      <c r="F32" s="84" t="s">
        <v>434</v>
      </c>
      <c r="G32" s="85" t="s">
        <v>435</v>
      </c>
      <c r="H32" s="85" t="s">
        <v>435</v>
      </c>
      <c r="I32" s="82" t="s">
        <v>429</v>
      </c>
      <c r="J32" s="86" t="s">
        <v>436</v>
      </c>
    </row>
    <row r="33" spans="1:10" x14ac:dyDescent="0.25">
      <c r="A33" s="82" t="s">
        <v>506</v>
      </c>
      <c r="B33" s="82" t="s">
        <v>507</v>
      </c>
      <c r="C33" s="82" t="s">
        <v>454</v>
      </c>
      <c r="D33" s="83" t="s">
        <v>432</v>
      </c>
      <c r="E33" s="84" t="s">
        <v>455</v>
      </c>
      <c r="F33" s="84" t="s">
        <v>434</v>
      </c>
      <c r="G33" s="85" t="s">
        <v>435</v>
      </c>
      <c r="H33" s="85" t="s">
        <v>435</v>
      </c>
      <c r="I33" s="82" t="s">
        <v>429</v>
      </c>
      <c r="J33" s="86" t="s">
        <v>436</v>
      </c>
    </row>
    <row r="34" spans="1:10" x14ac:dyDescent="0.25">
      <c r="A34" s="82" t="s">
        <v>508</v>
      </c>
      <c r="B34" s="82" t="s">
        <v>509</v>
      </c>
      <c r="C34" s="82" t="s">
        <v>454</v>
      </c>
      <c r="D34" s="83" t="s">
        <v>432</v>
      </c>
      <c r="E34" s="84" t="s">
        <v>455</v>
      </c>
      <c r="F34" s="84" t="s">
        <v>434</v>
      </c>
      <c r="G34" s="85" t="s">
        <v>435</v>
      </c>
      <c r="H34" s="85" t="s">
        <v>435</v>
      </c>
      <c r="I34" s="82" t="s">
        <v>429</v>
      </c>
      <c r="J34" s="86" t="s">
        <v>436</v>
      </c>
    </row>
    <row r="35" spans="1:10" x14ac:dyDescent="0.25">
      <c r="A35" s="82" t="s">
        <v>510</v>
      </c>
      <c r="B35" s="82" t="s">
        <v>511</v>
      </c>
      <c r="C35" s="82" t="s">
        <v>454</v>
      </c>
      <c r="D35" s="83" t="s">
        <v>432</v>
      </c>
      <c r="E35" s="84" t="s">
        <v>455</v>
      </c>
      <c r="F35" s="84" t="s">
        <v>434</v>
      </c>
      <c r="G35" s="85" t="s">
        <v>435</v>
      </c>
      <c r="H35" s="85" t="s">
        <v>435</v>
      </c>
      <c r="I35" s="82" t="s">
        <v>429</v>
      </c>
      <c r="J35" s="86" t="s">
        <v>436</v>
      </c>
    </row>
    <row r="36" spans="1:10" x14ac:dyDescent="0.25">
      <c r="A36" s="82" t="s">
        <v>512</v>
      </c>
      <c r="B36" s="82" t="s">
        <v>513</v>
      </c>
      <c r="C36" s="82" t="s">
        <v>454</v>
      </c>
      <c r="D36" s="83" t="s">
        <v>432</v>
      </c>
      <c r="E36" s="84" t="s">
        <v>455</v>
      </c>
      <c r="F36" s="84" t="s">
        <v>434</v>
      </c>
      <c r="G36" s="85" t="s">
        <v>435</v>
      </c>
      <c r="H36" s="85" t="s">
        <v>435</v>
      </c>
      <c r="I36" s="82" t="s">
        <v>429</v>
      </c>
      <c r="J36" s="86" t="s">
        <v>436</v>
      </c>
    </row>
    <row r="37" spans="1:10" x14ac:dyDescent="0.25">
      <c r="A37" s="82" t="s">
        <v>514</v>
      </c>
      <c r="B37" s="82" t="s">
        <v>515</v>
      </c>
      <c r="C37" s="82" t="s">
        <v>454</v>
      </c>
      <c r="D37" s="83" t="s">
        <v>432</v>
      </c>
      <c r="E37" s="84" t="s">
        <v>455</v>
      </c>
      <c r="F37" s="84" t="s">
        <v>434</v>
      </c>
      <c r="G37" s="85" t="s">
        <v>435</v>
      </c>
      <c r="H37" s="85" t="s">
        <v>435</v>
      </c>
      <c r="I37" s="82" t="s">
        <v>429</v>
      </c>
      <c r="J37" s="86" t="s">
        <v>436</v>
      </c>
    </row>
    <row r="38" spans="1:10" x14ac:dyDescent="0.25">
      <c r="A38" s="82" t="s">
        <v>516</v>
      </c>
      <c r="B38" s="82" t="s">
        <v>517</v>
      </c>
      <c r="C38" s="82" t="s">
        <v>454</v>
      </c>
      <c r="D38" s="83" t="s">
        <v>432</v>
      </c>
      <c r="E38" s="84" t="s">
        <v>455</v>
      </c>
      <c r="F38" s="84" t="s">
        <v>434</v>
      </c>
      <c r="G38" s="85" t="s">
        <v>435</v>
      </c>
      <c r="H38" s="85" t="s">
        <v>435</v>
      </c>
      <c r="I38" s="82" t="s">
        <v>429</v>
      </c>
      <c r="J38" s="86" t="s">
        <v>436</v>
      </c>
    </row>
    <row r="39" spans="1:10" x14ac:dyDescent="0.25">
      <c r="A39" s="82" t="s">
        <v>518</v>
      </c>
      <c r="B39" s="82" t="s">
        <v>519</v>
      </c>
      <c r="C39" s="82" t="s">
        <v>454</v>
      </c>
      <c r="D39" s="83" t="s">
        <v>432</v>
      </c>
      <c r="E39" s="84" t="s">
        <v>455</v>
      </c>
      <c r="F39" s="84" t="s">
        <v>434</v>
      </c>
      <c r="G39" s="85" t="s">
        <v>435</v>
      </c>
      <c r="H39" s="85" t="s">
        <v>435</v>
      </c>
      <c r="I39" s="82" t="s">
        <v>429</v>
      </c>
      <c r="J39" s="86" t="s">
        <v>436</v>
      </c>
    </row>
    <row r="40" spans="1:10" x14ac:dyDescent="0.25">
      <c r="A40" s="82" t="s">
        <v>520</v>
      </c>
      <c r="B40" s="82" t="s">
        <v>521</v>
      </c>
      <c r="C40" s="82" t="s">
        <v>454</v>
      </c>
      <c r="D40" s="83" t="s">
        <v>432</v>
      </c>
      <c r="E40" s="84" t="s">
        <v>455</v>
      </c>
      <c r="F40" s="84" t="s">
        <v>434</v>
      </c>
      <c r="G40" s="85" t="s">
        <v>435</v>
      </c>
      <c r="H40" s="85" t="s">
        <v>435</v>
      </c>
      <c r="I40" s="82" t="s">
        <v>429</v>
      </c>
      <c r="J40" s="86" t="s">
        <v>436</v>
      </c>
    </row>
    <row r="41" spans="1:10" x14ac:dyDescent="0.25">
      <c r="A41" s="82" t="s">
        <v>522</v>
      </c>
      <c r="B41" s="82" t="s">
        <v>523</v>
      </c>
      <c r="C41" s="82" t="s">
        <v>454</v>
      </c>
      <c r="D41" s="83" t="s">
        <v>432</v>
      </c>
      <c r="E41" s="84" t="s">
        <v>455</v>
      </c>
      <c r="F41" s="84" t="s">
        <v>434</v>
      </c>
      <c r="G41" s="85" t="s">
        <v>435</v>
      </c>
      <c r="H41" s="85" t="s">
        <v>435</v>
      </c>
      <c r="I41" s="82" t="s">
        <v>429</v>
      </c>
      <c r="J41" s="86" t="s">
        <v>436</v>
      </c>
    </row>
    <row r="42" spans="1:10" x14ac:dyDescent="0.25">
      <c r="A42" s="82" t="s">
        <v>524</v>
      </c>
      <c r="B42" s="82" t="s">
        <v>525</v>
      </c>
      <c r="C42" s="82" t="s">
        <v>454</v>
      </c>
      <c r="D42" s="83" t="s">
        <v>432</v>
      </c>
      <c r="E42" s="84" t="s">
        <v>455</v>
      </c>
      <c r="F42" s="84" t="s">
        <v>434</v>
      </c>
      <c r="G42" s="85" t="s">
        <v>435</v>
      </c>
      <c r="H42" s="85" t="s">
        <v>435</v>
      </c>
      <c r="I42" s="82" t="s">
        <v>429</v>
      </c>
      <c r="J42" s="86" t="s">
        <v>436</v>
      </c>
    </row>
    <row r="43" spans="1:10" x14ac:dyDescent="0.25">
      <c r="A43" s="82" t="s">
        <v>526</v>
      </c>
      <c r="B43" s="82" t="s">
        <v>527</v>
      </c>
      <c r="C43" s="82" t="s">
        <v>454</v>
      </c>
      <c r="D43" s="83" t="s">
        <v>432</v>
      </c>
      <c r="E43" s="84" t="s">
        <v>455</v>
      </c>
      <c r="F43" s="84" t="s">
        <v>434</v>
      </c>
      <c r="G43" s="85" t="s">
        <v>435</v>
      </c>
      <c r="H43" s="85" t="s">
        <v>435</v>
      </c>
      <c r="I43" s="82" t="s">
        <v>429</v>
      </c>
      <c r="J43" s="86" t="s">
        <v>436</v>
      </c>
    </row>
    <row r="44" spans="1:10" x14ac:dyDescent="0.25">
      <c r="A44" s="82" t="s">
        <v>528</v>
      </c>
      <c r="B44" s="82" t="s">
        <v>529</v>
      </c>
      <c r="C44" s="82" t="s">
        <v>454</v>
      </c>
      <c r="D44" s="83" t="s">
        <v>432</v>
      </c>
      <c r="E44" s="84" t="s">
        <v>455</v>
      </c>
      <c r="F44" s="84" t="s">
        <v>434</v>
      </c>
      <c r="G44" s="85" t="s">
        <v>435</v>
      </c>
      <c r="H44" s="85" t="s">
        <v>435</v>
      </c>
      <c r="I44" s="82" t="s">
        <v>429</v>
      </c>
      <c r="J44" s="86" t="s">
        <v>436</v>
      </c>
    </row>
    <row r="45" spans="1:10" x14ac:dyDescent="0.25">
      <c r="A45" s="82" t="s">
        <v>530</v>
      </c>
      <c r="B45" s="82" t="s">
        <v>531</v>
      </c>
      <c r="C45" s="82" t="s">
        <v>454</v>
      </c>
      <c r="D45" s="83" t="s">
        <v>432</v>
      </c>
      <c r="E45" s="84" t="s">
        <v>455</v>
      </c>
      <c r="F45" s="84" t="s">
        <v>434</v>
      </c>
      <c r="G45" s="85" t="s">
        <v>435</v>
      </c>
      <c r="H45" s="85" t="s">
        <v>435</v>
      </c>
      <c r="I45" s="82" t="s">
        <v>429</v>
      </c>
      <c r="J45" s="86" t="s">
        <v>436</v>
      </c>
    </row>
    <row r="46" spans="1:10" x14ac:dyDescent="0.25">
      <c r="A46" s="82" t="s">
        <v>532</v>
      </c>
      <c r="B46" s="82" t="s">
        <v>533</v>
      </c>
      <c r="C46" s="82" t="s">
        <v>454</v>
      </c>
      <c r="D46" s="83" t="s">
        <v>432</v>
      </c>
      <c r="E46" s="84" t="s">
        <v>455</v>
      </c>
      <c r="F46" s="84" t="s">
        <v>434</v>
      </c>
      <c r="G46" s="85" t="s">
        <v>435</v>
      </c>
      <c r="H46" s="85" t="s">
        <v>435</v>
      </c>
      <c r="I46" s="82" t="s">
        <v>429</v>
      </c>
      <c r="J46" s="86" t="s">
        <v>436</v>
      </c>
    </row>
    <row r="47" spans="1:10" x14ac:dyDescent="0.25">
      <c r="A47" s="82" t="s">
        <v>534</v>
      </c>
      <c r="B47" s="82" t="s">
        <v>535</v>
      </c>
      <c r="C47" s="82" t="s">
        <v>454</v>
      </c>
      <c r="D47" s="83" t="s">
        <v>432</v>
      </c>
      <c r="E47" s="84" t="s">
        <v>455</v>
      </c>
      <c r="F47" s="84" t="s">
        <v>434</v>
      </c>
      <c r="G47" s="85" t="s">
        <v>435</v>
      </c>
      <c r="H47" s="85" t="s">
        <v>435</v>
      </c>
      <c r="I47" s="82" t="s">
        <v>429</v>
      </c>
      <c r="J47" s="86" t="s">
        <v>436</v>
      </c>
    </row>
    <row r="48" spans="1:10" x14ac:dyDescent="0.25">
      <c r="A48" s="82" t="s">
        <v>536</v>
      </c>
      <c r="B48" s="82" t="s">
        <v>537</v>
      </c>
      <c r="C48" s="82" t="s">
        <v>454</v>
      </c>
      <c r="D48" s="83" t="s">
        <v>432</v>
      </c>
      <c r="E48" s="84" t="s">
        <v>455</v>
      </c>
      <c r="F48" s="84" t="s">
        <v>434</v>
      </c>
      <c r="G48" s="85" t="s">
        <v>435</v>
      </c>
      <c r="H48" s="85" t="s">
        <v>435</v>
      </c>
      <c r="I48" s="82" t="s">
        <v>429</v>
      </c>
      <c r="J48" s="86" t="s">
        <v>436</v>
      </c>
    </row>
    <row r="49" spans="1:10" x14ac:dyDescent="0.25">
      <c r="A49" s="82" t="s">
        <v>538</v>
      </c>
      <c r="B49" s="82" t="s">
        <v>539</v>
      </c>
      <c r="C49" s="82" t="s">
        <v>454</v>
      </c>
      <c r="D49" s="83" t="s">
        <v>432</v>
      </c>
      <c r="E49" s="84" t="s">
        <v>455</v>
      </c>
      <c r="F49" s="84" t="s">
        <v>434</v>
      </c>
      <c r="G49" s="85" t="s">
        <v>435</v>
      </c>
      <c r="H49" s="85" t="s">
        <v>435</v>
      </c>
      <c r="I49" s="82" t="s">
        <v>429</v>
      </c>
      <c r="J49" s="86" t="s">
        <v>436</v>
      </c>
    </row>
    <row r="50" spans="1:10" x14ac:dyDescent="0.25">
      <c r="A50" s="82" t="s">
        <v>540</v>
      </c>
      <c r="B50" s="82" t="s">
        <v>541</v>
      </c>
      <c r="C50" s="82" t="s">
        <v>454</v>
      </c>
      <c r="D50" s="83" t="s">
        <v>432</v>
      </c>
      <c r="E50" s="84" t="s">
        <v>455</v>
      </c>
      <c r="F50" s="84" t="s">
        <v>434</v>
      </c>
      <c r="G50" s="85" t="s">
        <v>435</v>
      </c>
      <c r="H50" s="85" t="s">
        <v>435</v>
      </c>
      <c r="I50" s="82" t="s">
        <v>429</v>
      </c>
      <c r="J50" s="86" t="s">
        <v>436</v>
      </c>
    </row>
    <row r="51" spans="1:10" x14ac:dyDescent="0.25">
      <c r="A51" s="82" t="s">
        <v>542</v>
      </c>
      <c r="B51" s="82" t="s">
        <v>543</v>
      </c>
      <c r="C51" s="82" t="s">
        <v>446</v>
      </c>
      <c r="D51" s="83" t="s">
        <v>432</v>
      </c>
      <c r="E51" s="84" t="s">
        <v>544</v>
      </c>
      <c r="F51" s="84" t="s">
        <v>434</v>
      </c>
      <c r="G51" s="85" t="s">
        <v>435</v>
      </c>
      <c r="H51" s="85" t="s">
        <v>435</v>
      </c>
      <c r="I51" s="82" t="s">
        <v>429</v>
      </c>
      <c r="J51" s="86" t="s">
        <v>436</v>
      </c>
    </row>
    <row r="52" spans="1:10" x14ac:dyDescent="0.25">
      <c r="A52" s="82" t="s">
        <v>545</v>
      </c>
      <c r="B52" s="82" t="s">
        <v>546</v>
      </c>
      <c r="C52" s="82" t="s">
        <v>431</v>
      </c>
      <c r="D52" s="83" t="s">
        <v>547</v>
      </c>
      <c r="E52" s="84" t="s">
        <v>434</v>
      </c>
      <c r="F52" s="84" t="s">
        <v>434</v>
      </c>
      <c r="G52" s="85" t="s">
        <v>435</v>
      </c>
      <c r="H52" s="85" t="s">
        <v>435</v>
      </c>
      <c r="I52" s="82" t="s">
        <v>429</v>
      </c>
      <c r="J52" s="86" t="s">
        <v>436</v>
      </c>
    </row>
    <row r="53" spans="1:10" x14ac:dyDescent="0.25">
      <c r="A53" s="82" t="s">
        <v>548</v>
      </c>
      <c r="B53" s="82" t="s">
        <v>549</v>
      </c>
      <c r="C53" s="82" t="s">
        <v>550</v>
      </c>
      <c r="D53" s="83" t="s">
        <v>432</v>
      </c>
      <c r="E53" s="84" t="s">
        <v>551</v>
      </c>
      <c r="F53" s="84" t="s">
        <v>434</v>
      </c>
      <c r="G53" s="85" t="s">
        <v>435</v>
      </c>
      <c r="H53" s="85" t="s">
        <v>435</v>
      </c>
      <c r="I53" s="82" t="s">
        <v>429</v>
      </c>
      <c r="J53" s="86" t="s">
        <v>436</v>
      </c>
    </row>
    <row r="54" spans="1:10" x14ac:dyDescent="0.25">
      <c r="A54" s="82" t="s">
        <v>552</v>
      </c>
      <c r="B54" s="82" t="s">
        <v>553</v>
      </c>
      <c r="C54" s="82" t="s">
        <v>550</v>
      </c>
      <c r="D54" s="83" t="s">
        <v>432</v>
      </c>
      <c r="E54" s="84" t="s">
        <v>554</v>
      </c>
      <c r="F54" s="84" t="s">
        <v>434</v>
      </c>
      <c r="G54" s="85" t="s">
        <v>435</v>
      </c>
      <c r="H54" s="85" t="s">
        <v>435</v>
      </c>
      <c r="I54" s="82" t="s">
        <v>429</v>
      </c>
      <c r="J54" s="86" t="s">
        <v>436</v>
      </c>
    </row>
    <row r="55" spans="1:10" x14ac:dyDescent="0.25">
      <c r="A55" s="82" t="s">
        <v>555</v>
      </c>
      <c r="B55" s="82" t="s">
        <v>556</v>
      </c>
      <c r="C55" s="82" t="s">
        <v>550</v>
      </c>
      <c r="D55" s="83" t="s">
        <v>432</v>
      </c>
      <c r="E55" s="84" t="s">
        <v>557</v>
      </c>
      <c r="F55" s="84" t="s">
        <v>434</v>
      </c>
      <c r="G55" s="85" t="s">
        <v>435</v>
      </c>
      <c r="H55" s="85" t="s">
        <v>435</v>
      </c>
      <c r="I55" s="82" t="s">
        <v>429</v>
      </c>
      <c r="J55" s="86" t="s">
        <v>436</v>
      </c>
    </row>
    <row r="56" spans="1:10" x14ac:dyDescent="0.25">
      <c r="A56" s="82" t="s">
        <v>558</v>
      </c>
      <c r="B56" s="82" t="s">
        <v>309</v>
      </c>
      <c r="C56" s="82" t="s">
        <v>559</v>
      </c>
      <c r="D56" s="83" t="s">
        <v>432</v>
      </c>
      <c r="E56" s="84" t="s">
        <v>434</v>
      </c>
      <c r="F56" s="84" t="s">
        <v>434</v>
      </c>
      <c r="G56" s="85" t="s">
        <v>435</v>
      </c>
      <c r="H56" s="85" t="s">
        <v>435</v>
      </c>
      <c r="I56" s="82" t="s">
        <v>429</v>
      </c>
      <c r="J56" s="86" t="s">
        <v>436</v>
      </c>
    </row>
    <row r="57" spans="1:10" x14ac:dyDescent="0.25">
      <c r="A57" s="82" t="s">
        <v>560</v>
      </c>
      <c r="B57" s="82" t="s">
        <v>561</v>
      </c>
      <c r="C57" s="82" t="s">
        <v>559</v>
      </c>
      <c r="D57" s="83" t="s">
        <v>432</v>
      </c>
      <c r="E57" s="84" t="s">
        <v>434</v>
      </c>
      <c r="F57" s="84" t="s">
        <v>434</v>
      </c>
      <c r="G57" s="85" t="s">
        <v>435</v>
      </c>
      <c r="H57" s="85" t="s">
        <v>435</v>
      </c>
      <c r="I57" s="82" t="s">
        <v>429</v>
      </c>
      <c r="J57" s="86" t="s">
        <v>436</v>
      </c>
    </row>
    <row r="58" spans="1:10" x14ac:dyDescent="0.25">
      <c r="A58" s="82" t="s">
        <v>562</v>
      </c>
      <c r="B58" s="82" t="s">
        <v>319</v>
      </c>
      <c r="C58" s="82" t="s">
        <v>563</v>
      </c>
      <c r="D58" s="83" t="s">
        <v>564</v>
      </c>
      <c r="E58" s="84" t="s">
        <v>557</v>
      </c>
      <c r="F58" s="84" t="s">
        <v>434</v>
      </c>
      <c r="G58" s="85" t="s">
        <v>435</v>
      </c>
      <c r="H58" s="85" t="s">
        <v>435</v>
      </c>
      <c r="I58" s="82" t="s">
        <v>429</v>
      </c>
      <c r="J58" s="86" t="s">
        <v>436</v>
      </c>
    </row>
    <row r="59" spans="1:10" x14ac:dyDescent="0.25">
      <c r="A59" s="82" t="s">
        <v>565</v>
      </c>
      <c r="B59" s="82" t="s">
        <v>266</v>
      </c>
      <c r="C59" s="82" t="s">
        <v>563</v>
      </c>
      <c r="D59" s="83" t="s">
        <v>564</v>
      </c>
      <c r="E59" s="84" t="s">
        <v>566</v>
      </c>
      <c r="F59" s="84" t="s">
        <v>434</v>
      </c>
      <c r="G59" s="85" t="s">
        <v>435</v>
      </c>
      <c r="H59" s="85" t="s">
        <v>435</v>
      </c>
      <c r="I59" s="82" t="s">
        <v>429</v>
      </c>
      <c r="J59" s="86" t="s">
        <v>436</v>
      </c>
    </row>
    <row r="60" spans="1:10" x14ac:dyDescent="0.25">
      <c r="A60" s="82" t="s">
        <v>567</v>
      </c>
      <c r="B60" s="82" t="s">
        <v>260</v>
      </c>
      <c r="C60" s="82" t="s">
        <v>563</v>
      </c>
      <c r="D60" s="83" t="s">
        <v>564</v>
      </c>
      <c r="E60" s="84" t="s">
        <v>566</v>
      </c>
      <c r="F60" s="84" t="s">
        <v>434</v>
      </c>
      <c r="G60" s="85" t="s">
        <v>435</v>
      </c>
      <c r="H60" s="85" t="s">
        <v>435</v>
      </c>
      <c r="I60" s="82" t="s">
        <v>429</v>
      </c>
      <c r="J60" s="86" t="s">
        <v>436</v>
      </c>
    </row>
    <row r="61" spans="1:10" x14ac:dyDescent="0.25">
      <c r="A61" s="82" t="s">
        <v>568</v>
      </c>
      <c r="B61" s="82" t="s">
        <v>413</v>
      </c>
      <c r="C61" s="82" t="s">
        <v>563</v>
      </c>
      <c r="D61" s="83" t="s">
        <v>564</v>
      </c>
      <c r="E61" s="84" t="s">
        <v>569</v>
      </c>
      <c r="F61" s="84" t="s">
        <v>434</v>
      </c>
      <c r="G61" s="85" t="s">
        <v>435</v>
      </c>
      <c r="H61" s="85" t="s">
        <v>435</v>
      </c>
      <c r="I61" s="82" t="s">
        <v>429</v>
      </c>
      <c r="J61" s="86" t="s">
        <v>436</v>
      </c>
    </row>
    <row r="62" spans="1:10" x14ac:dyDescent="0.25">
      <c r="A62" s="82" t="s">
        <v>570</v>
      </c>
      <c r="B62" s="82" t="s">
        <v>261</v>
      </c>
      <c r="C62" s="82" t="s">
        <v>563</v>
      </c>
      <c r="D62" s="83" t="s">
        <v>564</v>
      </c>
      <c r="E62" s="84" t="s">
        <v>571</v>
      </c>
      <c r="F62" s="84" t="s">
        <v>434</v>
      </c>
      <c r="G62" s="85" t="s">
        <v>435</v>
      </c>
      <c r="H62" s="85" t="s">
        <v>435</v>
      </c>
      <c r="I62" s="82" t="s">
        <v>429</v>
      </c>
      <c r="J62" s="86" t="s">
        <v>436</v>
      </c>
    </row>
    <row r="63" spans="1:10" x14ac:dyDescent="0.25">
      <c r="A63" s="82" t="s">
        <v>572</v>
      </c>
      <c r="B63" s="82" t="s">
        <v>267</v>
      </c>
      <c r="C63" s="82" t="s">
        <v>563</v>
      </c>
      <c r="D63" s="83" t="s">
        <v>564</v>
      </c>
      <c r="E63" s="84" t="s">
        <v>571</v>
      </c>
      <c r="F63" s="84" t="s">
        <v>434</v>
      </c>
      <c r="G63" s="85" t="s">
        <v>435</v>
      </c>
      <c r="H63" s="85" t="s">
        <v>435</v>
      </c>
      <c r="I63" s="82" t="s">
        <v>429</v>
      </c>
      <c r="J63" s="86" t="s">
        <v>436</v>
      </c>
    </row>
    <row r="64" spans="1:10" x14ac:dyDescent="0.25">
      <c r="A64" s="82" t="s">
        <v>573</v>
      </c>
      <c r="B64" s="82" t="s">
        <v>262</v>
      </c>
      <c r="C64" s="82" t="s">
        <v>563</v>
      </c>
      <c r="D64" s="83" t="s">
        <v>564</v>
      </c>
      <c r="E64" s="84" t="s">
        <v>574</v>
      </c>
      <c r="F64" s="84" t="s">
        <v>434</v>
      </c>
      <c r="G64" s="85" t="s">
        <v>435</v>
      </c>
      <c r="H64" s="85" t="s">
        <v>435</v>
      </c>
      <c r="I64" s="82" t="s">
        <v>429</v>
      </c>
      <c r="J64" s="86" t="s">
        <v>436</v>
      </c>
    </row>
    <row r="65" spans="1:10" x14ac:dyDescent="0.25">
      <c r="A65" s="82" t="s">
        <v>575</v>
      </c>
      <c r="B65" s="82" t="s">
        <v>269</v>
      </c>
      <c r="C65" s="82" t="s">
        <v>563</v>
      </c>
      <c r="D65" s="83" t="s">
        <v>564</v>
      </c>
      <c r="E65" s="84" t="s">
        <v>576</v>
      </c>
      <c r="F65" s="84" t="s">
        <v>434</v>
      </c>
      <c r="G65" s="85" t="s">
        <v>435</v>
      </c>
      <c r="H65" s="85" t="s">
        <v>435</v>
      </c>
      <c r="I65" s="82" t="s">
        <v>429</v>
      </c>
      <c r="J65" s="86" t="s">
        <v>436</v>
      </c>
    </row>
    <row r="66" spans="1:10" x14ac:dyDescent="0.25">
      <c r="A66" s="82" t="s">
        <v>577</v>
      </c>
      <c r="B66" s="82" t="s">
        <v>578</v>
      </c>
      <c r="C66" s="82" t="s">
        <v>563</v>
      </c>
      <c r="D66" s="83" t="s">
        <v>564</v>
      </c>
      <c r="E66" s="84" t="s">
        <v>557</v>
      </c>
      <c r="F66" s="84" t="s">
        <v>434</v>
      </c>
      <c r="G66" s="85" t="s">
        <v>435</v>
      </c>
      <c r="H66" s="85" t="s">
        <v>435</v>
      </c>
      <c r="I66" s="82" t="s">
        <v>429</v>
      </c>
      <c r="J66" s="86" t="s">
        <v>436</v>
      </c>
    </row>
    <row r="67" spans="1:10" x14ac:dyDescent="0.25">
      <c r="A67" s="82" t="s">
        <v>579</v>
      </c>
      <c r="B67" s="82" t="s">
        <v>264</v>
      </c>
      <c r="C67" s="82" t="s">
        <v>563</v>
      </c>
      <c r="D67" s="83" t="s">
        <v>564</v>
      </c>
      <c r="E67" s="84" t="s">
        <v>571</v>
      </c>
      <c r="F67" s="84" t="s">
        <v>434</v>
      </c>
      <c r="G67" s="85" t="s">
        <v>435</v>
      </c>
      <c r="H67" s="85" t="s">
        <v>435</v>
      </c>
      <c r="I67" s="82" t="s">
        <v>429</v>
      </c>
      <c r="J67" s="86" t="s">
        <v>436</v>
      </c>
    </row>
    <row r="68" spans="1:10" x14ac:dyDescent="0.25">
      <c r="A68" s="82" t="s">
        <v>580</v>
      </c>
      <c r="B68" s="82" t="s">
        <v>581</v>
      </c>
      <c r="C68" s="82" t="s">
        <v>563</v>
      </c>
      <c r="D68" s="83" t="s">
        <v>564</v>
      </c>
      <c r="E68" s="84" t="s">
        <v>571</v>
      </c>
      <c r="F68" s="84" t="s">
        <v>434</v>
      </c>
      <c r="G68" s="85" t="s">
        <v>435</v>
      </c>
      <c r="H68" s="85" t="s">
        <v>435</v>
      </c>
      <c r="I68" s="82" t="s">
        <v>429</v>
      </c>
      <c r="J68" s="86" t="s">
        <v>436</v>
      </c>
    </row>
    <row r="69" spans="1:10" x14ac:dyDescent="0.25">
      <c r="A69" s="82" t="s">
        <v>582</v>
      </c>
      <c r="B69" s="82" t="s">
        <v>583</v>
      </c>
      <c r="C69" s="82" t="s">
        <v>584</v>
      </c>
      <c r="D69" s="83" t="s">
        <v>585</v>
      </c>
      <c r="E69" s="84" t="s">
        <v>586</v>
      </c>
      <c r="F69" s="84" t="s">
        <v>434</v>
      </c>
      <c r="G69" s="85" t="s">
        <v>435</v>
      </c>
      <c r="H69" s="85" t="s">
        <v>435</v>
      </c>
      <c r="I69" s="82" t="s">
        <v>429</v>
      </c>
      <c r="J69" s="86" t="s">
        <v>587</v>
      </c>
    </row>
    <row r="70" spans="1:10" x14ac:dyDescent="0.25">
      <c r="A70" s="82" t="s">
        <v>588</v>
      </c>
      <c r="B70" s="82" t="s">
        <v>419</v>
      </c>
      <c r="C70" s="82" t="s">
        <v>550</v>
      </c>
      <c r="D70" s="83" t="s">
        <v>432</v>
      </c>
      <c r="E70" s="84" t="s">
        <v>589</v>
      </c>
      <c r="F70" s="84" t="s">
        <v>434</v>
      </c>
      <c r="G70" s="85" t="s">
        <v>435</v>
      </c>
      <c r="H70" s="85" t="s">
        <v>435</v>
      </c>
      <c r="I70" s="82" t="s">
        <v>429</v>
      </c>
      <c r="J70" s="86" t="s">
        <v>436</v>
      </c>
    </row>
    <row r="71" spans="1:10" x14ac:dyDescent="0.25">
      <c r="A71" s="82" t="s">
        <v>590</v>
      </c>
      <c r="B71" s="82" t="s">
        <v>591</v>
      </c>
      <c r="C71" s="82" t="s">
        <v>592</v>
      </c>
      <c r="D71" s="83" t="s">
        <v>432</v>
      </c>
      <c r="E71" s="84" t="s">
        <v>451</v>
      </c>
      <c r="F71" s="84" t="s">
        <v>434</v>
      </c>
      <c r="G71" s="85" t="s">
        <v>435</v>
      </c>
      <c r="H71" s="85" t="s">
        <v>435</v>
      </c>
      <c r="I71" s="82" t="s">
        <v>429</v>
      </c>
      <c r="J71" s="86" t="s">
        <v>436</v>
      </c>
    </row>
    <row r="72" spans="1:10" x14ac:dyDescent="0.25">
      <c r="A72" s="82" t="s">
        <v>593</v>
      </c>
      <c r="B72" s="82" t="s">
        <v>300</v>
      </c>
      <c r="C72" s="82" t="s">
        <v>584</v>
      </c>
      <c r="D72" s="83" t="s">
        <v>432</v>
      </c>
      <c r="E72" s="84" t="s">
        <v>557</v>
      </c>
      <c r="F72" s="84" t="s">
        <v>434</v>
      </c>
      <c r="G72" s="85" t="s">
        <v>435</v>
      </c>
      <c r="H72" s="85" t="s">
        <v>435</v>
      </c>
      <c r="I72" s="82" t="s">
        <v>429</v>
      </c>
      <c r="J72" s="86" t="s">
        <v>436</v>
      </c>
    </row>
    <row r="73" spans="1:10" x14ac:dyDescent="0.25">
      <c r="A73" s="82" t="s">
        <v>594</v>
      </c>
      <c r="B73" s="82" t="s">
        <v>366</v>
      </c>
      <c r="C73" s="82" t="s">
        <v>559</v>
      </c>
      <c r="D73" s="83" t="s">
        <v>564</v>
      </c>
      <c r="E73" s="84" t="s">
        <v>569</v>
      </c>
      <c r="F73" s="84" t="s">
        <v>434</v>
      </c>
      <c r="G73" s="85" t="s">
        <v>435</v>
      </c>
      <c r="H73" s="85" t="s">
        <v>435</v>
      </c>
      <c r="I73" s="82" t="s">
        <v>429</v>
      </c>
      <c r="J73" s="86" t="s">
        <v>436</v>
      </c>
    </row>
    <row r="74" spans="1:10" x14ac:dyDescent="0.25">
      <c r="A74" s="82" t="s">
        <v>595</v>
      </c>
      <c r="B74" s="82" t="s">
        <v>596</v>
      </c>
      <c r="C74" s="82" t="s">
        <v>559</v>
      </c>
      <c r="D74" s="83" t="s">
        <v>564</v>
      </c>
      <c r="E74" s="84" t="s">
        <v>574</v>
      </c>
      <c r="F74" s="84" t="s">
        <v>434</v>
      </c>
      <c r="G74" s="85" t="s">
        <v>435</v>
      </c>
      <c r="H74" s="85" t="s">
        <v>435</v>
      </c>
      <c r="I74" s="82" t="s">
        <v>429</v>
      </c>
      <c r="J74" s="86" t="s">
        <v>436</v>
      </c>
    </row>
    <row r="75" spans="1:10" x14ac:dyDescent="0.25">
      <c r="A75" s="82" t="s">
        <v>597</v>
      </c>
      <c r="B75" s="82" t="s">
        <v>598</v>
      </c>
      <c r="C75" s="82" t="s">
        <v>550</v>
      </c>
      <c r="D75" s="83" t="s">
        <v>432</v>
      </c>
      <c r="E75" s="84" t="s">
        <v>589</v>
      </c>
      <c r="F75" s="84" t="s">
        <v>434</v>
      </c>
      <c r="G75" s="85" t="s">
        <v>435</v>
      </c>
      <c r="H75" s="85" t="s">
        <v>435</v>
      </c>
      <c r="I75" s="82" t="s">
        <v>429</v>
      </c>
      <c r="J75" s="86" t="s">
        <v>436</v>
      </c>
    </row>
    <row r="76" spans="1:10" x14ac:dyDescent="0.25">
      <c r="A76" s="82" t="s">
        <v>599</v>
      </c>
      <c r="B76" s="82" t="s">
        <v>356</v>
      </c>
      <c r="C76" s="82" t="s">
        <v>559</v>
      </c>
      <c r="D76" s="83" t="s">
        <v>432</v>
      </c>
      <c r="E76" s="84" t="s">
        <v>434</v>
      </c>
      <c r="F76" s="84" t="s">
        <v>434</v>
      </c>
      <c r="G76" s="85" t="s">
        <v>435</v>
      </c>
      <c r="H76" s="85" t="s">
        <v>435</v>
      </c>
      <c r="I76" s="82" t="s">
        <v>429</v>
      </c>
      <c r="J76" s="86" t="s">
        <v>436</v>
      </c>
    </row>
    <row r="77" spans="1:10" x14ac:dyDescent="0.25">
      <c r="A77" s="82" t="s">
        <v>600</v>
      </c>
      <c r="B77" s="82" t="s">
        <v>357</v>
      </c>
      <c r="C77" s="82" t="s">
        <v>559</v>
      </c>
      <c r="D77" s="83" t="s">
        <v>432</v>
      </c>
      <c r="E77" s="84" t="s">
        <v>601</v>
      </c>
      <c r="F77" s="84" t="s">
        <v>434</v>
      </c>
      <c r="G77" s="85" t="s">
        <v>435</v>
      </c>
      <c r="H77" s="85" t="s">
        <v>435</v>
      </c>
      <c r="I77" s="82" t="s">
        <v>602</v>
      </c>
      <c r="J77" s="86" t="s">
        <v>436</v>
      </c>
    </row>
    <row r="78" spans="1:10" x14ac:dyDescent="0.25">
      <c r="A78" s="82" t="s">
        <v>603</v>
      </c>
      <c r="B78" s="82" t="s">
        <v>246</v>
      </c>
      <c r="C78" s="82" t="s">
        <v>592</v>
      </c>
      <c r="D78" s="83" t="s">
        <v>604</v>
      </c>
      <c r="E78" s="84" t="s">
        <v>433</v>
      </c>
      <c r="F78" s="84" t="s">
        <v>434</v>
      </c>
      <c r="G78" s="85" t="s">
        <v>435</v>
      </c>
      <c r="H78" s="85" t="s">
        <v>435</v>
      </c>
      <c r="I78" s="82" t="s">
        <v>429</v>
      </c>
      <c r="J78" s="86" t="s">
        <v>436</v>
      </c>
    </row>
    <row r="79" spans="1:10" x14ac:dyDescent="0.25">
      <c r="A79" s="82" t="s">
        <v>605</v>
      </c>
      <c r="B79" s="82" t="s">
        <v>360</v>
      </c>
      <c r="C79" s="82" t="s">
        <v>559</v>
      </c>
      <c r="D79" s="83" t="s">
        <v>432</v>
      </c>
      <c r="E79" s="84" t="s">
        <v>606</v>
      </c>
      <c r="F79" s="84" t="s">
        <v>434</v>
      </c>
      <c r="G79" s="85" t="s">
        <v>435</v>
      </c>
      <c r="H79" s="85" t="s">
        <v>435</v>
      </c>
      <c r="I79" s="82" t="s">
        <v>429</v>
      </c>
      <c r="J79" s="86" t="s">
        <v>436</v>
      </c>
    </row>
    <row r="80" spans="1:10" x14ac:dyDescent="0.25">
      <c r="A80" s="82" t="s">
        <v>607</v>
      </c>
      <c r="B80" s="82" t="s">
        <v>379</v>
      </c>
      <c r="C80" s="82" t="s">
        <v>592</v>
      </c>
      <c r="D80" s="83" t="s">
        <v>432</v>
      </c>
      <c r="E80" s="84" t="s">
        <v>606</v>
      </c>
      <c r="F80" s="84" t="s">
        <v>434</v>
      </c>
      <c r="G80" s="85" t="s">
        <v>435</v>
      </c>
      <c r="H80" s="85" t="s">
        <v>435</v>
      </c>
      <c r="I80" s="82" t="s">
        <v>608</v>
      </c>
      <c r="J80" s="86" t="s">
        <v>436</v>
      </c>
    </row>
    <row r="81" spans="1:10" x14ac:dyDescent="0.25">
      <c r="A81" s="82" t="s">
        <v>609</v>
      </c>
      <c r="B81" s="82" t="s">
        <v>380</v>
      </c>
      <c r="C81" s="82" t="s">
        <v>592</v>
      </c>
      <c r="D81" s="83" t="s">
        <v>432</v>
      </c>
      <c r="E81" s="84" t="s">
        <v>606</v>
      </c>
      <c r="F81" s="84" t="s">
        <v>434</v>
      </c>
      <c r="G81" s="85" t="s">
        <v>435</v>
      </c>
      <c r="H81" s="85" t="s">
        <v>435</v>
      </c>
      <c r="I81" s="82" t="s">
        <v>608</v>
      </c>
      <c r="J81" s="86" t="s">
        <v>436</v>
      </c>
    </row>
    <row r="82" spans="1:10" x14ac:dyDescent="0.25">
      <c r="A82" s="82" t="s">
        <v>610</v>
      </c>
      <c r="B82" s="82" t="s">
        <v>414</v>
      </c>
      <c r="C82" s="82" t="s">
        <v>559</v>
      </c>
      <c r="D82" s="83" t="s">
        <v>432</v>
      </c>
      <c r="E82" s="84" t="s">
        <v>611</v>
      </c>
      <c r="F82" s="84" t="s">
        <v>434</v>
      </c>
      <c r="G82" s="85" t="s">
        <v>435</v>
      </c>
      <c r="H82" s="85" t="s">
        <v>435</v>
      </c>
      <c r="I82" s="82" t="s">
        <v>612</v>
      </c>
      <c r="J82" s="86" t="s">
        <v>436</v>
      </c>
    </row>
    <row r="83" spans="1:10" x14ac:dyDescent="0.25">
      <c r="A83" s="82" t="s">
        <v>613</v>
      </c>
      <c r="B83" s="82" t="s">
        <v>614</v>
      </c>
      <c r="C83" s="82" t="s">
        <v>592</v>
      </c>
      <c r="D83" s="83" t="s">
        <v>564</v>
      </c>
      <c r="E83" s="84" t="s">
        <v>544</v>
      </c>
      <c r="F83" s="84" t="s">
        <v>434</v>
      </c>
      <c r="G83" s="85" t="s">
        <v>435</v>
      </c>
      <c r="H83" s="85" t="s">
        <v>435</v>
      </c>
      <c r="I83" s="82" t="s">
        <v>429</v>
      </c>
      <c r="J83" s="86" t="s">
        <v>436</v>
      </c>
    </row>
    <row r="84" spans="1:10" x14ac:dyDescent="0.25">
      <c r="A84" s="82" t="s">
        <v>615</v>
      </c>
      <c r="B84" s="82" t="s">
        <v>281</v>
      </c>
      <c r="C84" s="82" t="s">
        <v>592</v>
      </c>
      <c r="D84" s="83" t="s">
        <v>616</v>
      </c>
      <c r="E84" s="84" t="s">
        <v>589</v>
      </c>
      <c r="F84" s="84" t="s">
        <v>434</v>
      </c>
      <c r="G84" s="85" t="s">
        <v>435</v>
      </c>
      <c r="H84" s="85" t="s">
        <v>435</v>
      </c>
      <c r="I84" s="82" t="s">
        <v>429</v>
      </c>
      <c r="J84" s="86" t="s">
        <v>436</v>
      </c>
    </row>
    <row r="85" spans="1:10" x14ac:dyDescent="0.25">
      <c r="A85" s="82" t="s">
        <v>617</v>
      </c>
      <c r="B85" s="82" t="s">
        <v>618</v>
      </c>
      <c r="C85" s="82" t="s">
        <v>592</v>
      </c>
      <c r="D85" s="83" t="s">
        <v>432</v>
      </c>
      <c r="E85" s="84" t="s">
        <v>557</v>
      </c>
      <c r="F85" s="84" t="s">
        <v>434</v>
      </c>
      <c r="G85" s="85" t="s">
        <v>435</v>
      </c>
      <c r="H85" s="85" t="s">
        <v>435</v>
      </c>
      <c r="I85" s="82" t="s">
        <v>429</v>
      </c>
      <c r="J85" s="86" t="s">
        <v>436</v>
      </c>
    </row>
    <row r="86" spans="1:10" x14ac:dyDescent="0.25">
      <c r="A86" s="82" t="s">
        <v>619</v>
      </c>
      <c r="B86" s="82" t="s">
        <v>398</v>
      </c>
      <c r="C86" s="82" t="s">
        <v>592</v>
      </c>
      <c r="D86" s="83" t="s">
        <v>432</v>
      </c>
      <c r="E86" s="84" t="s">
        <v>566</v>
      </c>
      <c r="F86" s="84" t="s">
        <v>434</v>
      </c>
      <c r="G86" s="85" t="s">
        <v>435</v>
      </c>
      <c r="H86" s="85" t="s">
        <v>435</v>
      </c>
      <c r="I86" s="82" t="s">
        <v>429</v>
      </c>
      <c r="J86" s="86" t="s">
        <v>436</v>
      </c>
    </row>
    <row r="87" spans="1:10" x14ac:dyDescent="0.25">
      <c r="A87" s="82" t="s">
        <v>620</v>
      </c>
      <c r="B87" s="82" t="s">
        <v>397</v>
      </c>
      <c r="C87" s="82" t="s">
        <v>592</v>
      </c>
      <c r="D87" s="83" t="s">
        <v>432</v>
      </c>
      <c r="E87" s="84" t="s">
        <v>557</v>
      </c>
      <c r="F87" s="84" t="s">
        <v>434</v>
      </c>
      <c r="G87" s="85" t="s">
        <v>435</v>
      </c>
      <c r="H87" s="85" t="s">
        <v>435</v>
      </c>
      <c r="I87" s="82" t="s">
        <v>429</v>
      </c>
      <c r="J87" s="86" t="s">
        <v>436</v>
      </c>
    </row>
    <row r="88" spans="1:10" x14ac:dyDescent="0.25">
      <c r="A88" s="82" t="s">
        <v>621</v>
      </c>
      <c r="B88" s="82" t="s">
        <v>399</v>
      </c>
      <c r="C88" s="82" t="s">
        <v>592</v>
      </c>
      <c r="D88" s="83" t="s">
        <v>432</v>
      </c>
      <c r="E88" s="84" t="s">
        <v>566</v>
      </c>
      <c r="F88" s="84" t="s">
        <v>434</v>
      </c>
      <c r="G88" s="85" t="s">
        <v>435</v>
      </c>
      <c r="H88" s="85" t="s">
        <v>435</v>
      </c>
      <c r="I88" s="82" t="s">
        <v>429</v>
      </c>
      <c r="J88" s="86" t="s">
        <v>436</v>
      </c>
    </row>
    <row r="89" spans="1:10" x14ac:dyDescent="0.25">
      <c r="A89" s="82" t="s">
        <v>622</v>
      </c>
      <c r="B89" s="82" t="s">
        <v>396</v>
      </c>
      <c r="C89" s="82" t="s">
        <v>592</v>
      </c>
      <c r="D89" s="83" t="s">
        <v>432</v>
      </c>
      <c r="E89" s="84" t="s">
        <v>557</v>
      </c>
      <c r="F89" s="84" t="s">
        <v>434</v>
      </c>
      <c r="G89" s="85" t="s">
        <v>435</v>
      </c>
      <c r="H89" s="85" t="s">
        <v>435</v>
      </c>
      <c r="I89" s="82" t="s">
        <v>429</v>
      </c>
      <c r="J89" s="86" t="s">
        <v>436</v>
      </c>
    </row>
    <row r="90" spans="1:10" x14ac:dyDescent="0.25">
      <c r="A90" s="82" t="s">
        <v>623</v>
      </c>
      <c r="B90" s="82" t="s">
        <v>624</v>
      </c>
      <c r="C90" s="82" t="s">
        <v>592</v>
      </c>
      <c r="D90" s="83" t="s">
        <v>564</v>
      </c>
      <c r="E90" s="84" t="s">
        <v>625</v>
      </c>
      <c r="F90" s="84" t="s">
        <v>434</v>
      </c>
      <c r="G90" s="85" t="s">
        <v>435</v>
      </c>
      <c r="H90" s="85" t="s">
        <v>435</v>
      </c>
      <c r="I90" s="82" t="s">
        <v>429</v>
      </c>
      <c r="J90" s="86" t="s">
        <v>436</v>
      </c>
    </row>
    <row r="91" spans="1:10" x14ac:dyDescent="0.25">
      <c r="A91" s="82" t="s">
        <v>626</v>
      </c>
      <c r="B91" s="82" t="s">
        <v>627</v>
      </c>
      <c r="C91" s="82" t="s">
        <v>592</v>
      </c>
      <c r="D91" s="83" t="s">
        <v>564</v>
      </c>
      <c r="E91" s="84" t="s">
        <v>625</v>
      </c>
      <c r="F91" s="84" t="s">
        <v>434</v>
      </c>
      <c r="G91" s="85" t="s">
        <v>435</v>
      </c>
      <c r="H91" s="85" t="s">
        <v>435</v>
      </c>
      <c r="I91" s="82" t="s">
        <v>429</v>
      </c>
      <c r="J91" s="86" t="s">
        <v>436</v>
      </c>
    </row>
    <row r="92" spans="1:10" x14ac:dyDescent="0.25">
      <c r="A92" s="82" t="s">
        <v>628</v>
      </c>
      <c r="B92" s="82" t="s">
        <v>387</v>
      </c>
      <c r="C92" s="82" t="s">
        <v>592</v>
      </c>
      <c r="D92" s="83" t="s">
        <v>564</v>
      </c>
      <c r="E92" s="84" t="s">
        <v>625</v>
      </c>
      <c r="F92" s="84" t="s">
        <v>434</v>
      </c>
      <c r="G92" s="85" t="s">
        <v>435</v>
      </c>
      <c r="H92" s="85" t="s">
        <v>435</v>
      </c>
      <c r="I92" s="82" t="s">
        <v>429</v>
      </c>
      <c r="J92" s="86" t="s">
        <v>436</v>
      </c>
    </row>
    <row r="93" spans="1:10" x14ac:dyDescent="0.25">
      <c r="A93" s="82" t="s">
        <v>629</v>
      </c>
      <c r="B93" s="82" t="s">
        <v>388</v>
      </c>
      <c r="C93" s="82" t="s">
        <v>592</v>
      </c>
      <c r="D93" s="83" t="s">
        <v>564</v>
      </c>
      <c r="E93" s="84" t="s">
        <v>625</v>
      </c>
      <c r="F93" s="84" t="s">
        <v>434</v>
      </c>
      <c r="G93" s="85" t="s">
        <v>435</v>
      </c>
      <c r="H93" s="85" t="s">
        <v>435</v>
      </c>
      <c r="I93" s="82" t="s">
        <v>429</v>
      </c>
      <c r="J93" s="86" t="s">
        <v>436</v>
      </c>
    </row>
    <row r="94" spans="1:10" x14ac:dyDescent="0.25">
      <c r="A94" s="82" t="s">
        <v>630</v>
      </c>
      <c r="B94" s="82" t="s">
        <v>631</v>
      </c>
      <c r="C94" s="82" t="s">
        <v>592</v>
      </c>
      <c r="D94" s="83" t="s">
        <v>564</v>
      </c>
      <c r="E94" s="84" t="s">
        <v>625</v>
      </c>
      <c r="F94" s="84" t="s">
        <v>434</v>
      </c>
      <c r="G94" s="85" t="s">
        <v>435</v>
      </c>
      <c r="H94" s="85" t="s">
        <v>435</v>
      </c>
      <c r="I94" s="82" t="s">
        <v>429</v>
      </c>
      <c r="J94" s="86" t="s">
        <v>436</v>
      </c>
    </row>
    <row r="95" spans="1:10" x14ac:dyDescent="0.25">
      <c r="A95" s="82" t="s">
        <v>632</v>
      </c>
      <c r="B95" s="82" t="s">
        <v>633</v>
      </c>
      <c r="C95" s="82" t="s">
        <v>592</v>
      </c>
      <c r="D95" s="83" t="s">
        <v>564</v>
      </c>
      <c r="E95" s="84" t="s">
        <v>625</v>
      </c>
      <c r="F95" s="84" t="s">
        <v>434</v>
      </c>
      <c r="G95" s="85" t="s">
        <v>435</v>
      </c>
      <c r="H95" s="85" t="s">
        <v>435</v>
      </c>
      <c r="I95" s="82" t="s">
        <v>429</v>
      </c>
      <c r="J95" s="86" t="s">
        <v>436</v>
      </c>
    </row>
    <row r="96" spans="1:10" x14ac:dyDescent="0.25">
      <c r="A96" s="82" t="s">
        <v>634</v>
      </c>
      <c r="B96" s="82" t="s">
        <v>635</v>
      </c>
      <c r="C96" s="82" t="s">
        <v>636</v>
      </c>
      <c r="D96" s="83" t="s">
        <v>432</v>
      </c>
      <c r="E96" s="84" t="s">
        <v>637</v>
      </c>
      <c r="F96" s="84" t="s">
        <v>434</v>
      </c>
      <c r="G96" s="85" t="s">
        <v>435</v>
      </c>
      <c r="H96" s="85" t="s">
        <v>435</v>
      </c>
      <c r="I96" s="82" t="s">
        <v>429</v>
      </c>
      <c r="J96" s="86" t="s">
        <v>436</v>
      </c>
    </row>
    <row r="97" spans="1:10" x14ac:dyDescent="0.25">
      <c r="A97" s="82" t="s">
        <v>638</v>
      </c>
      <c r="B97" s="82" t="s">
        <v>367</v>
      </c>
      <c r="C97" s="82" t="s">
        <v>429</v>
      </c>
      <c r="D97" s="83" t="s">
        <v>639</v>
      </c>
      <c r="E97" s="84" t="s">
        <v>576</v>
      </c>
      <c r="F97" s="84" t="s">
        <v>434</v>
      </c>
      <c r="G97" s="85" t="s">
        <v>435</v>
      </c>
      <c r="H97" s="85" t="s">
        <v>435</v>
      </c>
      <c r="I97" s="82" t="s">
        <v>429</v>
      </c>
      <c r="J97" s="86" t="s">
        <v>436</v>
      </c>
    </row>
    <row r="98" spans="1:10" x14ac:dyDescent="0.25">
      <c r="A98" s="82" t="s">
        <v>640</v>
      </c>
      <c r="B98" s="82" t="s">
        <v>418</v>
      </c>
      <c r="C98" s="82" t="s">
        <v>559</v>
      </c>
      <c r="D98" s="83" t="s">
        <v>432</v>
      </c>
      <c r="E98" s="84" t="s">
        <v>606</v>
      </c>
      <c r="F98" s="84" t="s">
        <v>434</v>
      </c>
      <c r="G98" s="85" t="s">
        <v>435</v>
      </c>
      <c r="H98" s="85" t="s">
        <v>435</v>
      </c>
      <c r="I98" s="82" t="s">
        <v>429</v>
      </c>
      <c r="J98" s="86" t="s">
        <v>436</v>
      </c>
    </row>
    <row r="99" spans="1:10" x14ac:dyDescent="0.25">
      <c r="A99" s="82" t="s">
        <v>641</v>
      </c>
      <c r="B99" s="82" t="s">
        <v>400</v>
      </c>
      <c r="C99" s="82" t="s">
        <v>592</v>
      </c>
      <c r="D99" s="83" t="s">
        <v>432</v>
      </c>
      <c r="E99" s="84" t="s">
        <v>606</v>
      </c>
      <c r="F99" s="84" t="s">
        <v>434</v>
      </c>
      <c r="G99" s="85" t="s">
        <v>435</v>
      </c>
      <c r="H99" s="85" t="s">
        <v>435</v>
      </c>
      <c r="I99" s="82" t="s">
        <v>429</v>
      </c>
      <c r="J99" s="86" t="s">
        <v>436</v>
      </c>
    </row>
    <row r="100" spans="1:10" x14ac:dyDescent="0.25">
      <c r="A100" s="82" t="s">
        <v>642</v>
      </c>
      <c r="B100" s="82" t="s">
        <v>643</v>
      </c>
      <c r="C100" s="82" t="s">
        <v>644</v>
      </c>
      <c r="D100" s="83" t="s">
        <v>564</v>
      </c>
      <c r="E100" s="84" t="s">
        <v>455</v>
      </c>
      <c r="F100" s="84" t="s">
        <v>434</v>
      </c>
      <c r="G100" s="85" t="s">
        <v>435</v>
      </c>
      <c r="H100" s="85" t="s">
        <v>435</v>
      </c>
      <c r="I100" s="82" t="s">
        <v>429</v>
      </c>
      <c r="J100" s="86" t="s">
        <v>436</v>
      </c>
    </row>
    <row r="101" spans="1:10" x14ac:dyDescent="0.25">
      <c r="A101" s="82" t="s">
        <v>645</v>
      </c>
      <c r="B101" s="82" t="s">
        <v>646</v>
      </c>
      <c r="C101" s="82" t="s">
        <v>644</v>
      </c>
      <c r="D101" s="83" t="s">
        <v>432</v>
      </c>
      <c r="E101" s="84" t="s">
        <v>647</v>
      </c>
      <c r="F101" s="84" t="s">
        <v>434</v>
      </c>
      <c r="G101" s="85" t="s">
        <v>435</v>
      </c>
      <c r="H101" s="85" t="s">
        <v>435</v>
      </c>
      <c r="I101" s="82" t="s">
        <v>429</v>
      </c>
      <c r="J101" s="86" t="s">
        <v>436</v>
      </c>
    </row>
    <row r="102" spans="1:10" x14ac:dyDescent="0.25">
      <c r="A102" s="82" t="s">
        <v>648</v>
      </c>
      <c r="B102" s="82" t="s">
        <v>649</v>
      </c>
      <c r="C102" s="82" t="s">
        <v>644</v>
      </c>
      <c r="D102" s="83" t="s">
        <v>564</v>
      </c>
      <c r="E102" s="84" t="s">
        <v>650</v>
      </c>
      <c r="F102" s="84" t="s">
        <v>434</v>
      </c>
      <c r="G102" s="85" t="s">
        <v>435</v>
      </c>
      <c r="H102" s="85" t="s">
        <v>435</v>
      </c>
      <c r="I102" s="82" t="s">
        <v>429</v>
      </c>
      <c r="J102" s="86" t="s">
        <v>436</v>
      </c>
    </row>
    <row r="103" spans="1:10" x14ac:dyDescent="0.25">
      <c r="A103" s="82" t="s">
        <v>651</v>
      </c>
      <c r="B103" s="82" t="s">
        <v>652</v>
      </c>
      <c r="C103" s="82" t="s">
        <v>644</v>
      </c>
      <c r="D103" s="83" t="s">
        <v>564</v>
      </c>
      <c r="E103" s="84" t="s">
        <v>569</v>
      </c>
      <c r="F103" s="84" t="s">
        <v>434</v>
      </c>
      <c r="G103" s="85" t="s">
        <v>435</v>
      </c>
      <c r="H103" s="85" t="s">
        <v>435</v>
      </c>
      <c r="I103" s="82" t="s">
        <v>429</v>
      </c>
      <c r="J103" s="86" t="s">
        <v>436</v>
      </c>
    </row>
    <row r="104" spans="1:10" x14ac:dyDescent="0.25">
      <c r="A104" s="82" t="s">
        <v>653</v>
      </c>
      <c r="B104" s="82" t="s">
        <v>654</v>
      </c>
      <c r="C104" s="82" t="s">
        <v>644</v>
      </c>
      <c r="D104" s="83" t="s">
        <v>564</v>
      </c>
      <c r="E104" s="84" t="s">
        <v>647</v>
      </c>
      <c r="F104" s="84" t="s">
        <v>434</v>
      </c>
      <c r="G104" s="85" t="s">
        <v>435</v>
      </c>
      <c r="H104" s="85" t="s">
        <v>435</v>
      </c>
      <c r="I104" s="82" t="s">
        <v>429</v>
      </c>
      <c r="J104" s="86" t="s">
        <v>436</v>
      </c>
    </row>
    <row r="105" spans="1:10" x14ac:dyDescent="0.25">
      <c r="A105" s="82" t="s">
        <v>655</v>
      </c>
      <c r="B105" s="82" t="s">
        <v>656</v>
      </c>
      <c r="C105" s="82" t="s">
        <v>644</v>
      </c>
      <c r="D105" s="83" t="s">
        <v>564</v>
      </c>
      <c r="E105" s="84" t="s">
        <v>647</v>
      </c>
      <c r="F105" s="84" t="s">
        <v>434</v>
      </c>
      <c r="G105" s="85" t="s">
        <v>435</v>
      </c>
      <c r="H105" s="85" t="s">
        <v>435</v>
      </c>
      <c r="I105" s="82" t="s">
        <v>429</v>
      </c>
      <c r="J105" s="86" t="s">
        <v>436</v>
      </c>
    </row>
    <row r="106" spans="1:10" x14ac:dyDescent="0.25">
      <c r="A106" s="82" t="s">
        <v>657</v>
      </c>
      <c r="B106" s="82" t="s">
        <v>658</v>
      </c>
      <c r="C106" s="82" t="s">
        <v>644</v>
      </c>
      <c r="D106" s="83" t="s">
        <v>564</v>
      </c>
      <c r="E106" s="84" t="s">
        <v>647</v>
      </c>
      <c r="F106" s="84" t="s">
        <v>434</v>
      </c>
      <c r="G106" s="85" t="s">
        <v>435</v>
      </c>
      <c r="H106" s="85" t="s">
        <v>435</v>
      </c>
      <c r="I106" s="82" t="s">
        <v>429</v>
      </c>
      <c r="J106" s="86" t="s">
        <v>436</v>
      </c>
    </row>
    <row r="107" spans="1:10" x14ac:dyDescent="0.25">
      <c r="A107" s="82" t="s">
        <v>659</v>
      </c>
      <c r="B107" s="82" t="s">
        <v>660</v>
      </c>
      <c r="C107" s="82" t="s">
        <v>644</v>
      </c>
      <c r="D107" s="83" t="s">
        <v>564</v>
      </c>
      <c r="E107" s="84" t="s">
        <v>571</v>
      </c>
      <c r="F107" s="84" t="s">
        <v>434</v>
      </c>
      <c r="G107" s="85" t="s">
        <v>435</v>
      </c>
      <c r="H107" s="85" t="s">
        <v>435</v>
      </c>
      <c r="I107" s="82" t="s">
        <v>429</v>
      </c>
      <c r="J107" s="86" t="s">
        <v>436</v>
      </c>
    </row>
    <row r="108" spans="1:10" x14ac:dyDescent="0.25">
      <c r="A108" s="82" t="s">
        <v>661</v>
      </c>
      <c r="B108" s="82" t="s">
        <v>662</v>
      </c>
      <c r="C108" s="82" t="s">
        <v>644</v>
      </c>
      <c r="D108" s="83" t="s">
        <v>564</v>
      </c>
      <c r="E108" s="84" t="s">
        <v>650</v>
      </c>
      <c r="F108" s="84" t="s">
        <v>434</v>
      </c>
      <c r="G108" s="85" t="s">
        <v>435</v>
      </c>
      <c r="H108" s="85" t="s">
        <v>435</v>
      </c>
      <c r="I108" s="82" t="s">
        <v>429</v>
      </c>
      <c r="J108" s="86" t="s">
        <v>436</v>
      </c>
    </row>
    <row r="109" spans="1:10" x14ac:dyDescent="0.25">
      <c r="A109" s="82" t="s">
        <v>663</v>
      </c>
      <c r="B109" s="82" t="s">
        <v>664</v>
      </c>
      <c r="C109" s="82" t="s">
        <v>644</v>
      </c>
      <c r="D109" s="83" t="s">
        <v>564</v>
      </c>
      <c r="E109" s="84" t="s">
        <v>647</v>
      </c>
      <c r="F109" s="84" t="s">
        <v>434</v>
      </c>
      <c r="G109" s="85" t="s">
        <v>435</v>
      </c>
      <c r="H109" s="85" t="s">
        <v>435</v>
      </c>
      <c r="I109" s="82" t="s">
        <v>429</v>
      </c>
      <c r="J109" s="86" t="s">
        <v>436</v>
      </c>
    </row>
    <row r="110" spans="1:10" x14ac:dyDescent="0.25">
      <c r="A110" s="82" t="s">
        <v>665</v>
      </c>
      <c r="B110" s="82" t="s">
        <v>666</v>
      </c>
      <c r="C110" s="82" t="s">
        <v>644</v>
      </c>
      <c r="D110" s="83" t="s">
        <v>564</v>
      </c>
      <c r="E110" s="84" t="s">
        <v>650</v>
      </c>
      <c r="F110" s="84" t="s">
        <v>434</v>
      </c>
      <c r="G110" s="85" t="s">
        <v>435</v>
      </c>
      <c r="H110" s="85" t="s">
        <v>435</v>
      </c>
      <c r="I110" s="82" t="s">
        <v>429</v>
      </c>
      <c r="J110" s="86" t="s">
        <v>436</v>
      </c>
    </row>
    <row r="111" spans="1:10" x14ac:dyDescent="0.25">
      <c r="A111" s="82" t="s">
        <v>667</v>
      </c>
      <c r="B111" s="82" t="s">
        <v>668</v>
      </c>
      <c r="C111" s="82" t="s">
        <v>644</v>
      </c>
      <c r="D111" s="83" t="s">
        <v>564</v>
      </c>
      <c r="E111" s="84" t="s">
        <v>569</v>
      </c>
      <c r="F111" s="84" t="s">
        <v>434</v>
      </c>
      <c r="G111" s="85" t="s">
        <v>435</v>
      </c>
      <c r="H111" s="85" t="s">
        <v>435</v>
      </c>
      <c r="I111" s="82" t="s">
        <v>429</v>
      </c>
      <c r="J111" s="86" t="s">
        <v>436</v>
      </c>
    </row>
    <row r="112" spans="1:10" x14ac:dyDescent="0.25">
      <c r="A112" s="82" t="s">
        <v>669</v>
      </c>
      <c r="B112" s="82" t="s">
        <v>670</v>
      </c>
      <c r="C112" s="82" t="s">
        <v>644</v>
      </c>
      <c r="D112" s="83" t="s">
        <v>564</v>
      </c>
      <c r="E112" s="84" t="s">
        <v>571</v>
      </c>
      <c r="F112" s="84" t="s">
        <v>434</v>
      </c>
      <c r="G112" s="85" t="s">
        <v>435</v>
      </c>
      <c r="H112" s="85" t="s">
        <v>435</v>
      </c>
      <c r="I112" s="82" t="s">
        <v>429</v>
      </c>
      <c r="J112" s="86" t="s">
        <v>436</v>
      </c>
    </row>
    <row r="113" spans="1:10" x14ac:dyDescent="0.25">
      <c r="A113" s="82" t="s">
        <v>671</v>
      </c>
      <c r="B113" s="82" t="s">
        <v>672</v>
      </c>
      <c r="C113" s="82" t="s">
        <v>644</v>
      </c>
      <c r="D113" s="83" t="s">
        <v>564</v>
      </c>
      <c r="E113" s="84" t="s">
        <v>673</v>
      </c>
      <c r="F113" s="84" t="s">
        <v>434</v>
      </c>
      <c r="G113" s="85" t="s">
        <v>435</v>
      </c>
      <c r="H113" s="85" t="s">
        <v>435</v>
      </c>
      <c r="I113" s="82" t="s">
        <v>429</v>
      </c>
      <c r="J113" s="86" t="s">
        <v>436</v>
      </c>
    </row>
    <row r="114" spans="1:10" x14ac:dyDescent="0.25">
      <c r="A114" s="82" t="s">
        <v>674</v>
      </c>
      <c r="B114" s="82" t="s">
        <v>675</v>
      </c>
      <c r="C114" s="82" t="s">
        <v>644</v>
      </c>
      <c r="D114" s="83" t="s">
        <v>564</v>
      </c>
      <c r="E114" s="84" t="s">
        <v>650</v>
      </c>
      <c r="F114" s="84" t="s">
        <v>434</v>
      </c>
      <c r="G114" s="85" t="s">
        <v>435</v>
      </c>
      <c r="H114" s="85" t="s">
        <v>435</v>
      </c>
      <c r="I114" s="82" t="s">
        <v>429</v>
      </c>
      <c r="J114" s="86" t="s">
        <v>436</v>
      </c>
    </row>
    <row r="115" spans="1:10" x14ac:dyDescent="0.25">
      <c r="A115" s="82" t="s">
        <v>676</v>
      </c>
      <c r="B115" s="82" t="s">
        <v>677</v>
      </c>
      <c r="C115" s="82" t="s">
        <v>644</v>
      </c>
      <c r="D115" s="83" t="s">
        <v>564</v>
      </c>
      <c r="E115" s="84" t="s">
        <v>678</v>
      </c>
      <c r="F115" s="84" t="s">
        <v>434</v>
      </c>
      <c r="G115" s="85" t="s">
        <v>435</v>
      </c>
      <c r="H115" s="85" t="s">
        <v>435</v>
      </c>
      <c r="I115" s="82" t="s">
        <v>429</v>
      </c>
      <c r="J115" s="86" t="s">
        <v>436</v>
      </c>
    </row>
    <row r="116" spans="1:10" x14ac:dyDescent="0.25">
      <c r="A116" s="82" t="s">
        <v>679</v>
      </c>
      <c r="B116" s="82" t="s">
        <v>680</v>
      </c>
      <c r="C116" s="82" t="s">
        <v>644</v>
      </c>
      <c r="D116" s="83" t="s">
        <v>564</v>
      </c>
      <c r="E116" s="84" t="s">
        <v>650</v>
      </c>
      <c r="F116" s="84" t="s">
        <v>434</v>
      </c>
      <c r="G116" s="85" t="s">
        <v>435</v>
      </c>
      <c r="H116" s="85" t="s">
        <v>435</v>
      </c>
      <c r="I116" s="82" t="s">
        <v>429</v>
      </c>
      <c r="J116" s="86" t="s">
        <v>436</v>
      </c>
    </row>
    <row r="117" spans="1:10" x14ac:dyDescent="0.25">
      <c r="A117" s="82" t="s">
        <v>681</v>
      </c>
      <c r="B117" s="82" t="s">
        <v>682</v>
      </c>
      <c r="C117" s="82" t="s">
        <v>644</v>
      </c>
      <c r="D117" s="83" t="s">
        <v>564</v>
      </c>
      <c r="E117" s="84" t="s">
        <v>574</v>
      </c>
      <c r="F117" s="84" t="s">
        <v>434</v>
      </c>
      <c r="G117" s="85" t="s">
        <v>435</v>
      </c>
      <c r="H117" s="85" t="s">
        <v>435</v>
      </c>
      <c r="I117" s="82" t="s">
        <v>429</v>
      </c>
      <c r="J117" s="86" t="s">
        <v>436</v>
      </c>
    </row>
    <row r="118" spans="1:10" x14ac:dyDescent="0.25">
      <c r="A118" s="82" t="s">
        <v>683</v>
      </c>
      <c r="B118" s="82" t="s">
        <v>684</v>
      </c>
      <c r="C118" s="82" t="s">
        <v>644</v>
      </c>
      <c r="D118" s="83" t="s">
        <v>564</v>
      </c>
      <c r="E118" s="84" t="s">
        <v>566</v>
      </c>
      <c r="F118" s="84" t="s">
        <v>434</v>
      </c>
      <c r="G118" s="85" t="s">
        <v>435</v>
      </c>
      <c r="H118" s="85" t="s">
        <v>435</v>
      </c>
      <c r="I118" s="82" t="s">
        <v>429</v>
      </c>
      <c r="J118" s="86" t="s">
        <v>436</v>
      </c>
    </row>
    <row r="119" spans="1:10" x14ac:dyDescent="0.25">
      <c r="A119" s="82" t="s">
        <v>685</v>
      </c>
      <c r="B119" s="82" t="s">
        <v>686</v>
      </c>
      <c r="C119" s="82" t="s">
        <v>644</v>
      </c>
      <c r="D119" s="83" t="s">
        <v>564</v>
      </c>
      <c r="E119" s="84" t="s">
        <v>566</v>
      </c>
      <c r="F119" s="84" t="s">
        <v>434</v>
      </c>
      <c r="G119" s="85" t="s">
        <v>435</v>
      </c>
      <c r="H119" s="85" t="s">
        <v>435</v>
      </c>
      <c r="I119" s="82" t="s">
        <v>429</v>
      </c>
      <c r="J119" s="86" t="s">
        <v>436</v>
      </c>
    </row>
    <row r="120" spans="1:10" x14ac:dyDescent="0.25">
      <c r="A120" s="82" t="s">
        <v>687</v>
      </c>
      <c r="B120" s="82" t="s">
        <v>688</v>
      </c>
      <c r="C120" s="82" t="s">
        <v>644</v>
      </c>
      <c r="D120" s="83" t="s">
        <v>564</v>
      </c>
      <c r="E120" s="84" t="s">
        <v>557</v>
      </c>
      <c r="F120" s="84" t="s">
        <v>434</v>
      </c>
      <c r="G120" s="85" t="s">
        <v>435</v>
      </c>
      <c r="H120" s="85" t="s">
        <v>435</v>
      </c>
      <c r="I120" s="82" t="s">
        <v>429</v>
      </c>
      <c r="J120" s="86" t="s">
        <v>436</v>
      </c>
    </row>
    <row r="121" spans="1:10" x14ac:dyDescent="0.25">
      <c r="A121" s="82" t="s">
        <v>689</v>
      </c>
      <c r="B121" s="82" t="s">
        <v>690</v>
      </c>
      <c r="C121" s="82" t="s">
        <v>644</v>
      </c>
      <c r="D121" s="83" t="s">
        <v>564</v>
      </c>
      <c r="E121" s="84" t="s">
        <v>433</v>
      </c>
      <c r="F121" s="84" t="s">
        <v>434</v>
      </c>
      <c r="G121" s="85" t="s">
        <v>435</v>
      </c>
      <c r="H121" s="85" t="s">
        <v>435</v>
      </c>
      <c r="I121" s="82" t="s">
        <v>429</v>
      </c>
      <c r="J121" s="86" t="s">
        <v>436</v>
      </c>
    </row>
    <row r="122" spans="1:10" x14ac:dyDescent="0.25">
      <c r="A122" s="82" t="s">
        <v>691</v>
      </c>
      <c r="B122" s="82" t="s">
        <v>692</v>
      </c>
      <c r="C122" s="82" t="s">
        <v>644</v>
      </c>
      <c r="D122" s="83" t="s">
        <v>564</v>
      </c>
      <c r="E122" s="84" t="s">
        <v>566</v>
      </c>
      <c r="F122" s="84" t="s">
        <v>434</v>
      </c>
      <c r="G122" s="85" t="s">
        <v>435</v>
      </c>
      <c r="H122" s="85" t="s">
        <v>435</v>
      </c>
      <c r="I122" s="82" t="s">
        <v>429</v>
      </c>
      <c r="J122" s="86" t="s">
        <v>436</v>
      </c>
    </row>
    <row r="123" spans="1:10" x14ac:dyDescent="0.25">
      <c r="A123" s="82" t="s">
        <v>693</v>
      </c>
      <c r="B123" s="82" t="s">
        <v>694</v>
      </c>
      <c r="C123" s="82" t="s">
        <v>644</v>
      </c>
      <c r="D123" s="83" t="s">
        <v>564</v>
      </c>
      <c r="E123" s="84" t="s">
        <v>551</v>
      </c>
      <c r="F123" s="84" t="s">
        <v>434</v>
      </c>
      <c r="G123" s="85" t="s">
        <v>435</v>
      </c>
      <c r="H123" s="85" t="s">
        <v>435</v>
      </c>
      <c r="I123" s="82" t="s">
        <v>429</v>
      </c>
      <c r="J123" s="86" t="s">
        <v>436</v>
      </c>
    </row>
    <row r="124" spans="1:10" x14ac:dyDescent="0.25">
      <c r="A124" s="82" t="s">
        <v>695</v>
      </c>
      <c r="B124" s="82" t="s">
        <v>696</v>
      </c>
      <c r="C124" s="82" t="s">
        <v>644</v>
      </c>
      <c r="D124" s="83" t="s">
        <v>564</v>
      </c>
      <c r="E124" s="84" t="s">
        <v>611</v>
      </c>
      <c r="F124" s="84" t="s">
        <v>434</v>
      </c>
      <c r="G124" s="85" t="s">
        <v>435</v>
      </c>
      <c r="H124" s="85" t="s">
        <v>435</v>
      </c>
      <c r="I124" s="82" t="s">
        <v>429</v>
      </c>
      <c r="J124" s="86" t="s">
        <v>436</v>
      </c>
    </row>
    <row r="125" spans="1:10" x14ac:dyDescent="0.25">
      <c r="A125" s="82" t="s">
        <v>697</v>
      </c>
      <c r="B125" s="82" t="s">
        <v>698</v>
      </c>
      <c r="C125" s="82" t="s">
        <v>644</v>
      </c>
      <c r="D125" s="83" t="s">
        <v>564</v>
      </c>
      <c r="E125" s="84" t="s">
        <v>571</v>
      </c>
      <c r="F125" s="84" t="s">
        <v>434</v>
      </c>
      <c r="G125" s="85" t="s">
        <v>435</v>
      </c>
      <c r="H125" s="85" t="s">
        <v>435</v>
      </c>
      <c r="I125" s="82" t="s">
        <v>429</v>
      </c>
      <c r="J125" s="86" t="s">
        <v>436</v>
      </c>
    </row>
    <row r="126" spans="1:10" x14ac:dyDescent="0.25">
      <c r="A126" s="82" t="s">
        <v>699</v>
      </c>
      <c r="B126" s="82" t="s">
        <v>700</v>
      </c>
      <c r="C126" s="82" t="s">
        <v>644</v>
      </c>
      <c r="D126" s="83" t="s">
        <v>564</v>
      </c>
      <c r="E126" s="84" t="s">
        <v>569</v>
      </c>
      <c r="F126" s="84" t="s">
        <v>434</v>
      </c>
      <c r="G126" s="85" t="s">
        <v>435</v>
      </c>
      <c r="H126" s="85" t="s">
        <v>435</v>
      </c>
      <c r="I126" s="82" t="s">
        <v>429</v>
      </c>
      <c r="J126" s="86" t="s">
        <v>436</v>
      </c>
    </row>
    <row r="127" spans="1:10" x14ac:dyDescent="0.25">
      <c r="A127" s="82" t="s">
        <v>701</v>
      </c>
      <c r="B127" s="82" t="s">
        <v>702</v>
      </c>
      <c r="C127" s="82" t="s">
        <v>644</v>
      </c>
      <c r="D127" s="83" t="s">
        <v>564</v>
      </c>
      <c r="E127" s="84" t="s">
        <v>569</v>
      </c>
      <c r="F127" s="84" t="s">
        <v>434</v>
      </c>
      <c r="G127" s="85" t="s">
        <v>435</v>
      </c>
      <c r="H127" s="85" t="s">
        <v>435</v>
      </c>
      <c r="I127" s="82" t="s">
        <v>429</v>
      </c>
      <c r="J127" s="86" t="s">
        <v>436</v>
      </c>
    </row>
    <row r="128" spans="1:10" x14ac:dyDescent="0.25">
      <c r="A128" s="82" t="s">
        <v>703</v>
      </c>
      <c r="B128" s="82" t="s">
        <v>704</v>
      </c>
      <c r="C128" s="82" t="s">
        <v>644</v>
      </c>
      <c r="D128" s="83" t="s">
        <v>564</v>
      </c>
      <c r="E128" s="84" t="s">
        <v>576</v>
      </c>
      <c r="F128" s="84" t="s">
        <v>434</v>
      </c>
      <c r="G128" s="85" t="s">
        <v>435</v>
      </c>
      <c r="H128" s="85" t="s">
        <v>435</v>
      </c>
      <c r="I128" s="82" t="s">
        <v>429</v>
      </c>
      <c r="J128" s="86" t="s">
        <v>436</v>
      </c>
    </row>
    <row r="129" spans="1:10" x14ac:dyDescent="0.25">
      <c r="A129" s="82" t="s">
        <v>705</v>
      </c>
      <c r="B129" s="82" t="s">
        <v>706</v>
      </c>
      <c r="C129" s="82" t="s">
        <v>644</v>
      </c>
      <c r="D129" s="83" t="s">
        <v>564</v>
      </c>
      <c r="E129" s="84" t="s">
        <v>557</v>
      </c>
      <c r="F129" s="84" t="s">
        <v>434</v>
      </c>
      <c r="G129" s="85" t="s">
        <v>435</v>
      </c>
      <c r="H129" s="85" t="s">
        <v>435</v>
      </c>
      <c r="I129" s="82" t="s">
        <v>429</v>
      </c>
      <c r="J129" s="86" t="s">
        <v>436</v>
      </c>
    </row>
    <row r="130" spans="1:10" x14ac:dyDescent="0.25">
      <c r="A130" s="82" t="s">
        <v>707</v>
      </c>
      <c r="B130" s="82" t="s">
        <v>708</v>
      </c>
      <c r="C130" s="82" t="s">
        <v>644</v>
      </c>
      <c r="D130" s="83" t="s">
        <v>564</v>
      </c>
      <c r="E130" s="84" t="s">
        <v>576</v>
      </c>
      <c r="F130" s="84" t="s">
        <v>434</v>
      </c>
      <c r="G130" s="85" t="s">
        <v>435</v>
      </c>
      <c r="H130" s="85" t="s">
        <v>435</v>
      </c>
      <c r="I130" s="82" t="s">
        <v>429</v>
      </c>
      <c r="J130" s="86" t="s">
        <v>436</v>
      </c>
    </row>
    <row r="131" spans="1:10" x14ac:dyDescent="0.25">
      <c r="A131" s="82" t="s">
        <v>709</v>
      </c>
      <c r="B131" s="82" t="s">
        <v>710</v>
      </c>
      <c r="C131" s="82" t="s">
        <v>644</v>
      </c>
      <c r="D131" s="83" t="s">
        <v>564</v>
      </c>
      <c r="E131" s="84" t="s">
        <v>711</v>
      </c>
      <c r="F131" s="84" t="s">
        <v>434</v>
      </c>
      <c r="G131" s="85" t="s">
        <v>435</v>
      </c>
      <c r="H131" s="85" t="s">
        <v>435</v>
      </c>
      <c r="I131" s="82" t="s">
        <v>429</v>
      </c>
      <c r="J131" s="86" t="s">
        <v>436</v>
      </c>
    </row>
    <row r="132" spans="1:10" x14ac:dyDescent="0.25">
      <c r="A132" s="82" t="s">
        <v>712</v>
      </c>
      <c r="B132" s="82" t="s">
        <v>713</v>
      </c>
      <c r="C132" s="82" t="s">
        <v>644</v>
      </c>
      <c r="D132" s="83" t="s">
        <v>564</v>
      </c>
      <c r="E132" s="84" t="s">
        <v>637</v>
      </c>
      <c r="F132" s="84" t="s">
        <v>434</v>
      </c>
      <c r="G132" s="85" t="s">
        <v>435</v>
      </c>
      <c r="H132" s="85" t="s">
        <v>435</v>
      </c>
      <c r="I132" s="82" t="s">
        <v>429</v>
      </c>
      <c r="J132" s="86" t="s">
        <v>436</v>
      </c>
    </row>
    <row r="133" spans="1:10" x14ac:dyDescent="0.25">
      <c r="A133" s="82" t="s">
        <v>714</v>
      </c>
      <c r="B133" s="82" t="s">
        <v>715</v>
      </c>
      <c r="C133" s="82" t="s">
        <v>644</v>
      </c>
      <c r="D133" s="83" t="s">
        <v>564</v>
      </c>
      <c r="E133" s="84" t="s">
        <v>451</v>
      </c>
      <c r="F133" s="84" t="s">
        <v>434</v>
      </c>
      <c r="G133" s="85" t="s">
        <v>435</v>
      </c>
      <c r="H133" s="85" t="s">
        <v>435</v>
      </c>
      <c r="I133" s="82" t="s">
        <v>429</v>
      </c>
      <c r="J133" s="86" t="s">
        <v>436</v>
      </c>
    </row>
    <row r="134" spans="1:10" x14ac:dyDescent="0.25">
      <c r="A134" s="82" t="s">
        <v>716</v>
      </c>
      <c r="B134" s="82" t="s">
        <v>717</v>
      </c>
      <c r="C134" s="82" t="s">
        <v>644</v>
      </c>
      <c r="D134" s="83" t="s">
        <v>564</v>
      </c>
      <c r="E134" s="84" t="s">
        <v>589</v>
      </c>
      <c r="F134" s="84" t="s">
        <v>434</v>
      </c>
      <c r="G134" s="85" t="s">
        <v>435</v>
      </c>
      <c r="H134" s="85" t="s">
        <v>435</v>
      </c>
      <c r="I134" s="82" t="s">
        <v>429</v>
      </c>
      <c r="J134" s="86" t="s">
        <v>436</v>
      </c>
    </row>
    <row r="135" spans="1:10" x14ac:dyDescent="0.25">
      <c r="A135" s="82" t="s">
        <v>718</v>
      </c>
      <c r="B135" s="82" t="s">
        <v>719</v>
      </c>
      <c r="C135" s="82" t="s">
        <v>644</v>
      </c>
      <c r="D135" s="83" t="s">
        <v>564</v>
      </c>
      <c r="E135" s="84" t="s">
        <v>566</v>
      </c>
      <c r="F135" s="84" t="s">
        <v>434</v>
      </c>
      <c r="G135" s="85" t="s">
        <v>435</v>
      </c>
      <c r="H135" s="85" t="s">
        <v>435</v>
      </c>
      <c r="I135" s="82" t="s">
        <v>429</v>
      </c>
      <c r="J135" s="86" t="s">
        <v>436</v>
      </c>
    </row>
    <row r="136" spans="1:10" x14ac:dyDescent="0.25">
      <c r="A136" s="82" t="s">
        <v>720</v>
      </c>
      <c r="B136" s="82" t="s">
        <v>721</v>
      </c>
      <c r="C136" s="82" t="s">
        <v>644</v>
      </c>
      <c r="D136" s="83" t="s">
        <v>564</v>
      </c>
      <c r="E136" s="84" t="s">
        <v>566</v>
      </c>
      <c r="F136" s="84" t="s">
        <v>434</v>
      </c>
      <c r="G136" s="85" t="s">
        <v>435</v>
      </c>
      <c r="H136" s="85" t="s">
        <v>435</v>
      </c>
      <c r="I136" s="82" t="s">
        <v>429</v>
      </c>
      <c r="J136" s="86" t="s">
        <v>436</v>
      </c>
    </row>
    <row r="137" spans="1:10" x14ac:dyDescent="0.25">
      <c r="A137" s="82" t="s">
        <v>722</v>
      </c>
      <c r="B137" s="82" t="s">
        <v>723</v>
      </c>
      <c r="C137" s="82" t="s">
        <v>644</v>
      </c>
      <c r="D137" s="83" t="s">
        <v>432</v>
      </c>
      <c r="E137" s="84" t="s">
        <v>611</v>
      </c>
      <c r="F137" s="84" t="s">
        <v>434</v>
      </c>
      <c r="G137" s="85" t="s">
        <v>435</v>
      </c>
      <c r="H137" s="85" t="s">
        <v>435</v>
      </c>
      <c r="I137" s="82" t="s">
        <v>429</v>
      </c>
      <c r="J137" s="86" t="s">
        <v>436</v>
      </c>
    </row>
    <row r="138" spans="1:10" x14ac:dyDescent="0.25">
      <c r="A138" s="82" t="s">
        <v>724</v>
      </c>
      <c r="B138" s="82" t="s">
        <v>725</v>
      </c>
      <c r="C138" s="82" t="s">
        <v>644</v>
      </c>
      <c r="D138" s="83" t="s">
        <v>432</v>
      </c>
      <c r="E138" s="84" t="s">
        <v>589</v>
      </c>
      <c r="F138" s="84" t="s">
        <v>434</v>
      </c>
      <c r="G138" s="85" t="s">
        <v>435</v>
      </c>
      <c r="H138" s="85" t="s">
        <v>435</v>
      </c>
      <c r="I138" s="82" t="s">
        <v>429</v>
      </c>
      <c r="J138" s="86" t="s">
        <v>436</v>
      </c>
    </row>
    <row r="139" spans="1:10" x14ac:dyDescent="0.25">
      <c r="A139" s="82" t="s">
        <v>726</v>
      </c>
      <c r="B139" s="82" t="s">
        <v>727</v>
      </c>
      <c r="C139" s="82" t="s">
        <v>644</v>
      </c>
      <c r="D139" s="83" t="s">
        <v>432</v>
      </c>
      <c r="E139" s="84" t="s">
        <v>589</v>
      </c>
      <c r="F139" s="84" t="s">
        <v>434</v>
      </c>
      <c r="G139" s="85" t="s">
        <v>435</v>
      </c>
      <c r="H139" s="85" t="s">
        <v>435</v>
      </c>
      <c r="I139" s="82" t="s">
        <v>429</v>
      </c>
      <c r="J139" s="86" t="s">
        <v>436</v>
      </c>
    </row>
    <row r="140" spans="1:10" x14ac:dyDescent="0.25">
      <c r="A140" s="82" t="s">
        <v>728</v>
      </c>
      <c r="B140" s="82" t="s">
        <v>729</v>
      </c>
      <c r="C140" s="82" t="s">
        <v>559</v>
      </c>
      <c r="D140" s="83" t="s">
        <v>432</v>
      </c>
      <c r="E140" s="84" t="s">
        <v>557</v>
      </c>
      <c r="F140" s="84" t="s">
        <v>434</v>
      </c>
      <c r="G140" s="85" t="s">
        <v>435</v>
      </c>
      <c r="H140" s="85" t="s">
        <v>435</v>
      </c>
      <c r="I140" s="82" t="s">
        <v>429</v>
      </c>
      <c r="J140" s="86" t="s">
        <v>436</v>
      </c>
    </row>
    <row r="141" spans="1:10" x14ac:dyDescent="0.25">
      <c r="A141" s="82" t="s">
        <v>730</v>
      </c>
      <c r="B141" s="82" t="s">
        <v>731</v>
      </c>
      <c r="C141" s="82" t="s">
        <v>592</v>
      </c>
      <c r="D141" s="83" t="s">
        <v>432</v>
      </c>
      <c r="E141" s="84" t="s">
        <v>606</v>
      </c>
      <c r="F141" s="84" t="s">
        <v>434</v>
      </c>
      <c r="G141" s="85" t="s">
        <v>435</v>
      </c>
      <c r="H141" s="85" t="s">
        <v>435</v>
      </c>
      <c r="I141" s="82" t="s">
        <v>429</v>
      </c>
      <c r="J141" s="86" t="s">
        <v>436</v>
      </c>
    </row>
    <row r="142" spans="1:10" x14ac:dyDescent="0.25">
      <c r="A142" s="82" t="s">
        <v>732</v>
      </c>
      <c r="B142" s="82" t="s">
        <v>733</v>
      </c>
      <c r="C142" s="82" t="s">
        <v>644</v>
      </c>
      <c r="D142" s="83" t="s">
        <v>432</v>
      </c>
      <c r="E142" s="84" t="s">
        <v>574</v>
      </c>
      <c r="F142" s="84" t="s">
        <v>434</v>
      </c>
      <c r="G142" s="85" t="s">
        <v>435</v>
      </c>
      <c r="H142" s="85" t="s">
        <v>435</v>
      </c>
      <c r="I142" s="82" t="s">
        <v>429</v>
      </c>
      <c r="J142" s="86" t="s">
        <v>436</v>
      </c>
    </row>
    <row r="143" spans="1:10" x14ac:dyDescent="0.25">
      <c r="A143" s="82" t="s">
        <v>734</v>
      </c>
      <c r="B143" s="82" t="s">
        <v>735</v>
      </c>
      <c r="C143" s="82" t="s">
        <v>644</v>
      </c>
      <c r="D143" s="83" t="s">
        <v>564</v>
      </c>
      <c r="E143" s="84" t="s">
        <v>606</v>
      </c>
      <c r="F143" s="84" t="s">
        <v>434</v>
      </c>
      <c r="G143" s="85" t="s">
        <v>435</v>
      </c>
      <c r="H143" s="85" t="s">
        <v>435</v>
      </c>
      <c r="I143" s="82" t="s">
        <v>429</v>
      </c>
      <c r="J143" s="86" t="s">
        <v>436</v>
      </c>
    </row>
    <row r="144" spans="1:10" x14ac:dyDescent="0.25">
      <c r="A144" s="82" t="s">
        <v>736</v>
      </c>
      <c r="B144" s="82" t="s">
        <v>737</v>
      </c>
      <c r="C144" s="82" t="s">
        <v>644</v>
      </c>
      <c r="D144" s="83" t="s">
        <v>564</v>
      </c>
      <c r="E144" s="84" t="s">
        <v>557</v>
      </c>
      <c r="F144" s="84" t="s">
        <v>434</v>
      </c>
      <c r="G144" s="85" t="s">
        <v>435</v>
      </c>
      <c r="H144" s="85" t="s">
        <v>435</v>
      </c>
      <c r="I144" s="82" t="s">
        <v>429</v>
      </c>
      <c r="J144" s="86" t="s">
        <v>436</v>
      </c>
    </row>
    <row r="145" spans="1:10" x14ac:dyDescent="0.25">
      <c r="A145" s="82" t="s">
        <v>738</v>
      </c>
      <c r="B145" s="82" t="s">
        <v>739</v>
      </c>
      <c r="C145" s="82" t="s">
        <v>644</v>
      </c>
      <c r="D145" s="83" t="s">
        <v>432</v>
      </c>
      <c r="E145" s="84" t="s">
        <v>589</v>
      </c>
      <c r="F145" s="84" t="s">
        <v>434</v>
      </c>
      <c r="G145" s="85" t="s">
        <v>435</v>
      </c>
      <c r="H145" s="85" t="s">
        <v>435</v>
      </c>
      <c r="I145" s="82" t="s">
        <v>429</v>
      </c>
      <c r="J145" s="86" t="s">
        <v>436</v>
      </c>
    </row>
    <row r="146" spans="1:10" x14ac:dyDescent="0.25">
      <c r="A146" s="82" t="s">
        <v>740</v>
      </c>
      <c r="B146" s="82" t="s">
        <v>741</v>
      </c>
      <c r="C146" s="82" t="s">
        <v>644</v>
      </c>
      <c r="D146" s="83" t="s">
        <v>604</v>
      </c>
      <c r="E146" s="84" t="s">
        <v>606</v>
      </c>
      <c r="F146" s="84" t="s">
        <v>434</v>
      </c>
      <c r="G146" s="85" t="s">
        <v>435</v>
      </c>
      <c r="H146" s="85" t="s">
        <v>435</v>
      </c>
      <c r="I146" s="82" t="s">
        <v>429</v>
      </c>
      <c r="J146" s="86" t="s">
        <v>436</v>
      </c>
    </row>
    <row r="147" spans="1:10" x14ac:dyDescent="0.25">
      <c r="A147" s="82" t="s">
        <v>742</v>
      </c>
      <c r="B147" s="82" t="s">
        <v>743</v>
      </c>
      <c r="C147" s="82" t="s">
        <v>644</v>
      </c>
      <c r="D147" s="83" t="s">
        <v>432</v>
      </c>
      <c r="E147" s="84" t="s">
        <v>744</v>
      </c>
      <c r="F147" s="84" t="s">
        <v>434</v>
      </c>
      <c r="G147" s="85" t="s">
        <v>435</v>
      </c>
      <c r="H147" s="85" t="s">
        <v>435</v>
      </c>
      <c r="I147" s="82" t="s">
        <v>429</v>
      </c>
      <c r="J147" s="86" t="s">
        <v>436</v>
      </c>
    </row>
    <row r="148" spans="1:10" x14ac:dyDescent="0.25">
      <c r="A148" s="82" t="s">
        <v>745</v>
      </c>
      <c r="B148" s="82" t="s">
        <v>746</v>
      </c>
      <c r="C148" s="82" t="s">
        <v>644</v>
      </c>
      <c r="D148" s="83" t="s">
        <v>447</v>
      </c>
      <c r="E148" s="84" t="s">
        <v>747</v>
      </c>
      <c r="F148" s="84" t="s">
        <v>434</v>
      </c>
      <c r="G148" s="85" t="s">
        <v>435</v>
      </c>
      <c r="H148" s="85" t="s">
        <v>435</v>
      </c>
      <c r="I148" s="82" t="s">
        <v>429</v>
      </c>
      <c r="J148" s="86" t="s">
        <v>436</v>
      </c>
    </row>
    <row r="149" spans="1:10" x14ac:dyDescent="0.25">
      <c r="A149" s="82" t="s">
        <v>748</v>
      </c>
      <c r="B149" s="82" t="s">
        <v>749</v>
      </c>
      <c r="C149" s="82" t="s">
        <v>644</v>
      </c>
      <c r="D149" s="83" t="s">
        <v>432</v>
      </c>
      <c r="E149" s="84" t="s">
        <v>544</v>
      </c>
      <c r="F149" s="84" t="s">
        <v>434</v>
      </c>
      <c r="G149" s="85" t="s">
        <v>435</v>
      </c>
      <c r="H149" s="85" t="s">
        <v>435</v>
      </c>
      <c r="I149" s="82" t="s">
        <v>429</v>
      </c>
      <c r="J149" s="86" t="s">
        <v>436</v>
      </c>
    </row>
    <row r="150" spans="1:10" x14ac:dyDescent="0.25">
      <c r="A150" s="82" t="s">
        <v>750</v>
      </c>
      <c r="B150" s="82" t="s">
        <v>751</v>
      </c>
      <c r="C150" s="82" t="s">
        <v>644</v>
      </c>
      <c r="D150" s="83" t="s">
        <v>432</v>
      </c>
      <c r="E150" s="84" t="s">
        <v>752</v>
      </c>
      <c r="F150" s="84" t="s">
        <v>434</v>
      </c>
      <c r="G150" s="85" t="s">
        <v>435</v>
      </c>
      <c r="H150" s="85" t="s">
        <v>435</v>
      </c>
      <c r="I150" s="82" t="s">
        <v>429</v>
      </c>
      <c r="J150" s="86" t="s">
        <v>436</v>
      </c>
    </row>
    <row r="151" spans="1:10" x14ac:dyDescent="0.25">
      <c r="A151" s="82" t="s">
        <v>753</v>
      </c>
      <c r="B151" s="82" t="s">
        <v>754</v>
      </c>
      <c r="C151" s="82" t="s">
        <v>644</v>
      </c>
      <c r="D151" s="83" t="s">
        <v>447</v>
      </c>
      <c r="E151" s="84" t="s">
        <v>544</v>
      </c>
      <c r="F151" s="84" t="s">
        <v>434</v>
      </c>
      <c r="G151" s="85" t="s">
        <v>435</v>
      </c>
      <c r="H151" s="85" t="s">
        <v>435</v>
      </c>
      <c r="I151" s="82" t="s">
        <v>429</v>
      </c>
      <c r="J151" s="86" t="s">
        <v>436</v>
      </c>
    </row>
    <row r="152" spans="1:10" x14ac:dyDescent="0.25">
      <c r="A152" s="82" t="s">
        <v>755</v>
      </c>
      <c r="B152" s="82" t="s">
        <v>756</v>
      </c>
      <c r="C152" s="82" t="s">
        <v>644</v>
      </c>
      <c r="D152" s="83" t="s">
        <v>447</v>
      </c>
      <c r="E152" s="84" t="s">
        <v>455</v>
      </c>
      <c r="F152" s="84" t="s">
        <v>434</v>
      </c>
      <c r="G152" s="85" t="s">
        <v>435</v>
      </c>
      <c r="H152" s="85" t="s">
        <v>435</v>
      </c>
      <c r="I152" s="82" t="s">
        <v>429</v>
      </c>
      <c r="J152" s="86" t="s">
        <v>436</v>
      </c>
    </row>
    <row r="153" spans="1:10" x14ac:dyDescent="0.25">
      <c r="A153" s="82" t="s">
        <v>757</v>
      </c>
      <c r="B153" s="82" t="s">
        <v>758</v>
      </c>
      <c r="C153" s="82" t="s">
        <v>644</v>
      </c>
      <c r="D153" s="83" t="s">
        <v>447</v>
      </c>
      <c r="E153" s="84" t="s">
        <v>455</v>
      </c>
      <c r="F153" s="84" t="s">
        <v>434</v>
      </c>
      <c r="G153" s="85" t="s">
        <v>435</v>
      </c>
      <c r="H153" s="85" t="s">
        <v>435</v>
      </c>
      <c r="I153" s="82" t="s">
        <v>429</v>
      </c>
      <c r="J153" s="86" t="s">
        <v>436</v>
      </c>
    </row>
    <row r="154" spans="1:10" x14ac:dyDescent="0.25">
      <c r="A154" s="82" t="s">
        <v>759</v>
      </c>
      <c r="B154" s="82" t="s">
        <v>760</v>
      </c>
      <c r="C154" s="82" t="s">
        <v>644</v>
      </c>
      <c r="D154" s="83" t="s">
        <v>447</v>
      </c>
      <c r="E154" s="84" t="s">
        <v>455</v>
      </c>
      <c r="F154" s="84" t="s">
        <v>434</v>
      </c>
      <c r="G154" s="85" t="s">
        <v>435</v>
      </c>
      <c r="H154" s="85" t="s">
        <v>435</v>
      </c>
      <c r="I154" s="82" t="s">
        <v>429</v>
      </c>
      <c r="J154" s="86" t="s">
        <v>436</v>
      </c>
    </row>
    <row r="155" spans="1:10" x14ac:dyDescent="0.25">
      <c r="A155" s="82" t="s">
        <v>761</v>
      </c>
      <c r="B155" s="82" t="s">
        <v>762</v>
      </c>
      <c r="C155" s="82" t="s">
        <v>644</v>
      </c>
      <c r="D155" s="83" t="s">
        <v>604</v>
      </c>
      <c r="E155" s="84" t="s">
        <v>551</v>
      </c>
      <c r="F155" s="84" t="s">
        <v>434</v>
      </c>
      <c r="G155" s="85" t="s">
        <v>435</v>
      </c>
      <c r="H155" s="85" t="s">
        <v>435</v>
      </c>
      <c r="I155" s="82" t="s">
        <v>429</v>
      </c>
      <c r="J155" s="86" t="s">
        <v>436</v>
      </c>
    </row>
    <row r="156" spans="1:10" x14ac:dyDescent="0.25">
      <c r="A156" s="82" t="s">
        <v>763</v>
      </c>
      <c r="B156" s="82" t="s">
        <v>764</v>
      </c>
      <c r="C156" s="82" t="s">
        <v>644</v>
      </c>
      <c r="D156" s="83" t="s">
        <v>432</v>
      </c>
      <c r="E156" s="84" t="s">
        <v>566</v>
      </c>
      <c r="F156" s="84" t="s">
        <v>434</v>
      </c>
      <c r="G156" s="85" t="s">
        <v>435</v>
      </c>
      <c r="H156" s="85" t="s">
        <v>435</v>
      </c>
      <c r="I156" s="82" t="s">
        <v>429</v>
      </c>
      <c r="J156" s="86" t="s">
        <v>436</v>
      </c>
    </row>
    <row r="157" spans="1:10" x14ac:dyDescent="0.25">
      <c r="A157" s="82" t="s">
        <v>765</v>
      </c>
      <c r="B157" s="82" t="s">
        <v>766</v>
      </c>
      <c r="C157" s="82" t="s">
        <v>644</v>
      </c>
      <c r="D157" s="83" t="s">
        <v>604</v>
      </c>
      <c r="E157" s="84" t="s">
        <v>566</v>
      </c>
      <c r="F157" s="84" t="s">
        <v>434</v>
      </c>
      <c r="G157" s="85" t="s">
        <v>435</v>
      </c>
      <c r="H157" s="85" t="s">
        <v>435</v>
      </c>
      <c r="I157" s="82" t="s">
        <v>429</v>
      </c>
      <c r="J157" s="86" t="s">
        <v>436</v>
      </c>
    </row>
    <row r="158" spans="1:10" x14ac:dyDescent="0.25">
      <c r="A158" s="82" t="s">
        <v>767</v>
      </c>
      <c r="B158" s="82" t="s">
        <v>768</v>
      </c>
      <c r="C158" s="82" t="s">
        <v>644</v>
      </c>
      <c r="D158" s="83" t="s">
        <v>604</v>
      </c>
      <c r="E158" s="84" t="s">
        <v>769</v>
      </c>
      <c r="F158" s="84" t="s">
        <v>434</v>
      </c>
      <c r="G158" s="85" t="s">
        <v>435</v>
      </c>
      <c r="H158" s="85" t="s">
        <v>435</v>
      </c>
      <c r="I158" s="82" t="s">
        <v>429</v>
      </c>
      <c r="J158" s="86" t="s">
        <v>436</v>
      </c>
    </row>
    <row r="159" spans="1:10" x14ac:dyDescent="0.25">
      <c r="A159" s="82" t="s">
        <v>770</v>
      </c>
      <c r="B159" s="82" t="s">
        <v>771</v>
      </c>
      <c r="C159" s="82" t="s">
        <v>644</v>
      </c>
      <c r="D159" s="83" t="s">
        <v>564</v>
      </c>
      <c r="E159" s="84" t="s">
        <v>772</v>
      </c>
      <c r="F159" s="84" t="s">
        <v>434</v>
      </c>
      <c r="G159" s="85" t="s">
        <v>435</v>
      </c>
      <c r="H159" s="85" t="s">
        <v>435</v>
      </c>
      <c r="I159" s="82" t="s">
        <v>429</v>
      </c>
      <c r="J159" s="86" t="s">
        <v>436</v>
      </c>
    </row>
    <row r="160" spans="1:10" x14ac:dyDescent="0.25">
      <c r="A160" s="82" t="s">
        <v>773</v>
      </c>
      <c r="B160" s="82" t="s">
        <v>774</v>
      </c>
      <c r="C160" s="82" t="s">
        <v>644</v>
      </c>
      <c r="D160" s="83" t="s">
        <v>564</v>
      </c>
      <c r="E160" s="84" t="s">
        <v>625</v>
      </c>
      <c r="F160" s="84" t="s">
        <v>434</v>
      </c>
      <c r="G160" s="85" t="s">
        <v>435</v>
      </c>
      <c r="H160" s="85" t="s">
        <v>435</v>
      </c>
      <c r="I160" s="82" t="s">
        <v>429</v>
      </c>
      <c r="J160" s="86" t="s">
        <v>436</v>
      </c>
    </row>
    <row r="161" spans="1:10" x14ac:dyDescent="0.25">
      <c r="A161" s="82" t="s">
        <v>775</v>
      </c>
      <c r="B161" s="82" t="s">
        <v>776</v>
      </c>
      <c r="C161" s="82" t="s">
        <v>644</v>
      </c>
      <c r="D161" s="83" t="s">
        <v>564</v>
      </c>
      <c r="E161" s="84" t="s">
        <v>772</v>
      </c>
      <c r="F161" s="84" t="s">
        <v>434</v>
      </c>
      <c r="G161" s="85" t="s">
        <v>435</v>
      </c>
      <c r="H161" s="85" t="s">
        <v>435</v>
      </c>
      <c r="I161" s="82" t="s">
        <v>429</v>
      </c>
      <c r="J161" s="86" t="s">
        <v>436</v>
      </c>
    </row>
    <row r="162" spans="1:10" x14ac:dyDescent="0.25">
      <c r="A162" s="82" t="s">
        <v>777</v>
      </c>
      <c r="B162" s="82" t="s">
        <v>778</v>
      </c>
      <c r="C162" s="82" t="s">
        <v>644</v>
      </c>
      <c r="D162" s="83" t="s">
        <v>585</v>
      </c>
      <c r="E162" s="84" t="s">
        <v>557</v>
      </c>
      <c r="F162" s="84" t="s">
        <v>434</v>
      </c>
      <c r="G162" s="85" t="s">
        <v>435</v>
      </c>
      <c r="H162" s="85" t="s">
        <v>435</v>
      </c>
      <c r="I162" s="82" t="s">
        <v>429</v>
      </c>
      <c r="J162" s="86" t="s">
        <v>436</v>
      </c>
    </row>
    <row r="163" spans="1:10" x14ac:dyDescent="0.25">
      <c r="A163" s="82" t="s">
        <v>779</v>
      </c>
      <c r="B163" s="82" t="s">
        <v>780</v>
      </c>
      <c r="C163" s="82" t="s">
        <v>644</v>
      </c>
      <c r="D163" s="83" t="s">
        <v>432</v>
      </c>
      <c r="E163" s="84" t="s">
        <v>433</v>
      </c>
      <c r="F163" s="84" t="s">
        <v>434</v>
      </c>
      <c r="G163" s="85" t="s">
        <v>435</v>
      </c>
      <c r="H163" s="85" t="s">
        <v>435</v>
      </c>
      <c r="I163" s="82" t="s">
        <v>429</v>
      </c>
      <c r="J163" s="86" t="s">
        <v>436</v>
      </c>
    </row>
    <row r="164" spans="1:10" x14ac:dyDescent="0.25">
      <c r="A164" s="82" t="s">
        <v>781</v>
      </c>
      <c r="B164" s="82" t="s">
        <v>782</v>
      </c>
      <c r="C164" s="82" t="s">
        <v>644</v>
      </c>
      <c r="D164" s="83" t="s">
        <v>432</v>
      </c>
      <c r="E164" s="84" t="s">
        <v>451</v>
      </c>
      <c r="F164" s="84" t="s">
        <v>434</v>
      </c>
      <c r="G164" s="85" t="s">
        <v>435</v>
      </c>
      <c r="H164" s="85" t="s">
        <v>435</v>
      </c>
      <c r="I164" s="82" t="s">
        <v>429</v>
      </c>
      <c r="J164" s="86" t="s">
        <v>436</v>
      </c>
    </row>
    <row r="165" spans="1:10" x14ac:dyDescent="0.25">
      <c r="A165" s="82" t="s">
        <v>783</v>
      </c>
      <c r="B165" s="82" t="s">
        <v>784</v>
      </c>
      <c r="C165" s="82" t="s">
        <v>644</v>
      </c>
      <c r="D165" s="83" t="s">
        <v>604</v>
      </c>
      <c r="E165" s="84" t="s">
        <v>451</v>
      </c>
      <c r="F165" s="84" t="s">
        <v>434</v>
      </c>
      <c r="G165" s="85" t="s">
        <v>435</v>
      </c>
      <c r="H165" s="85" t="s">
        <v>435</v>
      </c>
      <c r="I165" s="82" t="s">
        <v>429</v>
      </c>
      <c r="J165" s="86" t="s">
        <v>436</v>
      </c>
    </row>
    <row r="166" spans="1:10" x14ac:dyDescent="0.25">
      <c r="A166" s="82" t="s">
        <v>785</v>
      </c>
      <c r="B166" s="82" t="s">
        <v>786</v>
      </c>
      <c r="C166" s="82" t="s">
        <v>644</v>
      </c>
      <c r="D166" s="83" t="s">
        <v>616</v>
      </c>
      <c r="E166" s="84" t="s">
        <v>606</v>
      </c>
      <c r="F166" s="84" t="s">
        <v>434</v>
      </c>
      <c r="G166" s="85" t="s">
        <v>435</v>
      </c>
      <c r="H166" s="85" t="s">
        <v>435</v>
      </c>
      <c r="I166" s="82" t="s">
        <v>429</v>
      </c>
      <c r="J166" s="86" t="s">
        <v>436</v>
      </c>
    </row>
    <row r="167" spans="1:10" x14ac:dyDescent="0.25">
      <c r="A167" s="82" t="s">
        <v>787</v>
      </c>
      <c r="B167" s="82" t="s">
        <v>788</v>
      </c>
      <c r="C167" s="82" t="s">
        <v>644</v>
      </c>
      <c r="D167" s="83" t="s">
        <v>564</v>
      </c>
      <c r="E167" s="84" t="s">
        <v>789</v>
      </c>
      <c r="F167" s="84" t="s">
        <v>434</v>
      </c>
      <c r="G167" s="85" t="s">
        <v>435</v>
      </c>
      <c r="H167" s="85" t="s">
        <v>435</v>
      </c>
      <c r="I167" s="82" t="s">
        <v>429</v>
      </c>
      <c r="J167" s="86" t="s">
        <v>436</v>
      </c>
    </row>
    <row r="168" spans="1:10" x14ac:dyDescent="0.25">
      <c r="A168" s="82" t="s">
        <v>790</v>
      </c>
      <c r="B168" s="82" t="s">
        <v>791</v>
      </c>
      <c r="C168" s="82" t="s">
        <v>644</v>
      </c>
      <c r="D168" s="83" t="s">
        <v>564</v>
      </c>
      <c r="E168" s="84" t="s">
        <v>544</v>
      </c>
      <c r="F168" s="84" t="s">
        <v>434</v>
      </c>
      <c r="G168" s="85" t="s">
        <v>435</v>
      </c>
      <c r="H168" s="85" t="s">
        <v>435</v>
      </c>
      <c r="I168" s="82" t="s">
        <v>429</v>
      </c>
      <c r="J168" s="86" t="s">
        <v>436</v>
      </c>
    </row>
    <row r="169" spans="1:10" x14ac:dyDescent="0.25">
      <c r="A169" s="82" t="s">
        <v>792</v>
      </c>
      <c r="B169" s="82" t="s">
        <v>793</v>
      </c>
      <c r="C169" s="82" t="s">
        <v>644</v>
      </c>
      <c r="D169" s="83" t="s">
        <v>616</v>
      </c>
      <c r="E169" s="84" t="s">
        <v>794</v>
      </c>
      <c r="F169" s="84" t="s">
        <v>434</v>
      </c>
      <c r="G169" s="85" t="s">
        <v>435</v>
      </c>
      <c r="H169" s="85" t="s">
        <v>435</v>
      </c>
      <c r="I169" s="82" t="s">
        <v>429</v>
      </c>
      <c r="J169" s="86" t="s">
        <v>436</v>
      </c>
    </row>
    <row r="170" spans="1:10" x14ac:dyDescent="0.25">
      <c r="A170" s="82" t="s">
        <v>795</v>
      </c>
      <c r="B170" s="82" t="s">
        <v>796</v>
      </c>
      <c r="C170" s="82" t="s">
        <v>644</v>
      </c>
      <c r="D170" s="83" t="s">
        <v>564</v>
      </c>
      <c r="E170" s="84" t="s">
        <v>589</v>
      </c>
      <c r="F170" s="84" t="s">
        <v>434</v>
      </c>
      <c r="G170" s="85" t="s">
        <v>435</v>
      </c>
      <c r="H170" s="85" t="s">
        <v>435</v>
      </c>
      <c r="I170" s="82" t="s">
        <v>429</v>
      </c>
      <c r="J170" s="86" t="s">
        <v>436</v>
      </c>
    </row>
    <row r="171" spans="1:10" x14ac:dyDescent="0.25">
      <c r="A171" s="82" t="s">
        <v>797</v>
      </c>
      <c r="B171" s="82" t="s">
        <v>798</v>
      </c>
      <c r="C171" s="82" t="s">
        <v>644</v>
      </c>
      <c r="D171" s="83" t="s">
        <v>616</v>
      </c>
      <c r="E171" s="84" t="s">
        <v>611</v>
      </c>
      <c r="F171" s="84" t="s">
        <v>434</v>
      </c>
      <c r="G171" s="85" t="s">
        <v>435</v>
      </c>
      <c r="H171" s="85" t="s">
        <v>435</v>
      </c>
      <c r="I171" s="82" t="s">
        <v>429</v>
      </c>
      <c r="J171" s="86" t="s">
        <v>436</v>
      </c>
    </row>
    <row r="172" spans="1:10" x14ac:dyDescent="0.25">
      <c r="A172" s="82" t="s">
        <v>799</v>
      </c>
      <c r="B172" s="82" t="s">
        <v>800</v>
      </c>
      <c r="C172" s="82" t="s">
        <v>644</v>
      </c>
      <c r="D172" s="83" t="s">
        <v>616</v>
      </c>
      <c r="E172" s="84" t="s">
        <v>551</v>
      </c>
      <c r="F172" s="84" t="s">
        <v>434</v>
      </c>
      <c r="G172" s="85" t="s">
        <v>435</v>
      </c>
      <c r="H172" s="85" t="s">
        <v>435</v>
      </c>
      <c r="I172" s="82" t="s">
        <v>429</v>
      </c>
      <c r="J172" s="86" t="s">
        <v>436</v>
      </c>
    </row>
    <row r="173" spans="1:10" x14ac:dyDescent="0.25">
      <c r="A173" s="82" t="s">
        <v>801</v>
      </c>
      <c r="B173" s="82" t="s">
        <v>802</v>
      </c>
      <c r="C173" s="82" t="s">
        <v>644</v>
      </c>
      <c r="D173" s="83" t="s">
        <v>803</v>
      </c>
      <c r="E173" s="84" t="s">
        <v>451</v>
      </c>
      <c r="F173" s="84" t="s">
        <v>434</v>
      </c>
      <c r="G173" s="85" t="s">
        <v>435</v>
      </c>
      <c r="H173" s="85" t="s">
        <v>435</v>
      </c>
      <c r="I173" s="82" t="s">
        <v>429</v>
      </c>
      <c r="J173" s="86" t="s">
        <v>436</v>
      </c>
    </row>
    <row r="174" spans="1:10" x14ac:dyDescent="0.25">
      <c r="A174" s="82" t="s">
        <v>804</v>
      </c>
      <c r="B174" s="82" t="s">
        <v>805</v>
      </c>
      <c r="C174" s="82" t="s">
        <v>644</v>
      </c>
      <c r="D174" s="83" t="s">
        <v>564</v>
      </c>
      <c r="E174" s="84" t="s">
        <v>544</v>
      </c>
      <c r="F174" s="84" t="s">
        <v>434</v>
      </c>
      <c r="G174" s="85" t="s">
        <v>435</v>
      </c>
      <c r="H174" s="85" t="s">
        <v>435</v>
      </c>
      <c r="I174" s="82" t="s">
        <v>429</v>
      </c>
      <c r="J174" s="86" t="s">
        <v>436</v>
      </c>
    </row>
    <row r="175" spans="1:10" x14ac:dyDescent="0.25">
      <c r="A175" s="82" t="s">
        <v>806</v>
      </c>
      <c r="B175" s="82" t="s">
        <v>807</v>
      </c>
      <c r="C175" s="82" t="s">
        <v>644</v>
      </c>
      <c r="D175" s="83" t="s">
        <v>604</v>
      </c>
      <c r="E175" s="84" t="s">
        <v>637</v>
      </c>
      <c r="F175" s="84" t="s">
        <v>434</v>
      </c>
      <c r="G175" s="85" t="s">
        <v>435</v>
      </c>
      <c r="H175" s="85" t="s">
        <v>435</v>
      </c>
      <c r="I175" s="82" t="s">
        <v>429</v>
      </c>
      <c r="J175" s="86" t="s">
        <v>436</v>
      </c>
    </row>
    <row r="176" spans="1:10" x14ac:dyDescent="0.25">
      <c r="A176" s="82" t="s">
        <v>808</v>
      </c>
      <c r="B176" s="82" t="s">
        <v>809</v>
      </c>
      <c r="C176" s="82" t="s">
        <v>644</v>
      </c>
      <c r="D176" s="83" t="s">
        <v>564</v>
      </c>
      <c r="E176" s="84" t="s">
        <v>794</v>
      </c>
      <c r="F176" s="84" t="s">
        <v>434</v>
      </c>
      <c r="G176" s="85" t="s">
        <v>435</v>
      </c>
      <c r="H176" s="85" t="s">
        <v>435</v>
      </c>
      <c r="I176" s="82" t="s">
        <v>429</v>
      </c>
      <c r="J176" s="86" t="s">
        <v>436</v>
      </c>
    </row>
    <row r="177" spans="1:10" x14ac:dyDescent="0.25">
      <c r="A177" s="82" t="s">
        <v>810</v>
      </c>
      <c r="B177" s="82" t="s">
        <v>811</v>
      </c>
      <c r="C177" s="82" t="s">
        <v>644</v>
      </c>
      <c r="D177" s="83" t="s">
        <v>564</v>
      </c>
      <c r="E177" s="84" t="s">
        <v>589</v>
      </c>
      <c r="F177" s="84" t="s">
        <v>434</v>
      </c>
      <c r="G177" s="85" t="s">
        <v>435</v>
      </c>
      <c r="H177" s="85" t="s">
        <v>435</v>
      </c>
      <c r="I177" s="82" t="s">
        <v>429</v>
      </c>
      <c r="J177" s="86" t="s">
        <v>436</v>
      </c>
    </row>
    <row r="178" spans="1:10" x14ac:dyDescent="0.25">
      <c r="A178" s="82" t="s">
        <v>812</v>
      </c>
      <c r="B178" s="82" t="s">
        <v>813</v>
      </c>
      <c r="C178" s="82" t="s">
        <v>644</v>
      </c>
      <c r="D178" s="83" t="s">
        <v>564</v>
      </c>
      <c r="E178" s="84" t="s">
        <v>611</v>
      </c>
      <c r="F178" s="84" t="s">
        <v>434</v>
      </c>
      <c r="G178" s="85" t="s">
        <v>435</v>
      </c>
      <c r="H178" s="85" t="s">
        <v>435</v>
      </c>
      <c r="I178" s="82" t="s">
        <v>429</v>
      </c>
      <c r="J178" s="86" t="s">
        <v>436</v>
      </c>
    </row>
    <row r="179" spans="1:10" x14ac:dyDescent="0.25">
      <c r="A179" s="82" t="s">
        <v>814</v>
      </c>
      <c r="B179" s="82" t="s">
        <v>815</v>
      </c>
      <c r="C179" s="82" t="s">
        <v>644</v>
      </c>
      <c r="D179" s="83" t="s">
        <v>564</v>
      </c>
      <c r="E179" s="84" t="s">
        <v>451</v>
      </c>
      <c r="F179" s="84" t="s">
        <v>434</v>
      </c>
      <c r="G179" s="85" t="s">
        <v>435</v>
      </c>
      <c r="H179" s="85" t="s">
        <v>435</v>
      </c>
      <c r="I179" s="82" t="s">
        <v>429</v>
      </c>
      <c r="J179" s="86" t="s">
        <v>436</v>
      </c>
    </row>
    <row r="180" spans="1:10" x14ac:dyDescent="0.25">
      <c r="A180" s="82" t="s">
        <v>816</v>
      </c>
      <c r="B180" s="82" t="s">
        <v>817</v>
      </c>
      <c r="C180" s="82" t="s">
        <v>644</v>
      </c>
      <c r="D180" s="83" t="s">
        <v>604</v>
      </c>
      <c r="E180" s="84" t="s">
        <v>557</v>
      </c>
      <c r="F180" s="84" t="s">
        <v>434</v>
      </c>
      <c r="G180" s="85" t="s">
        <v>435</v>
      </c>
      <c r="H180" s="85" t="s">
        <v>435</v>
      </c>
      <c r="I180" s="82" t="s">
        <v>429</v>
      </c>
      <c r="J180" s="86" t="s">
        <v>436</v>
      </c>
    </row>
    <row r="181" spans="1:10" x14ac:dyDescent="0.25">
      <c r="A181" s="82" t="s">
        <v>818</v>
      </c>
      <c r="B181" s="82" t="s">
        <v>819</v>
      </c>
      <c r="C181" s="82" t="s">
        <v>644</v>
      </c>
      <c r="D181" s="83" t="s">
        <v>604</v>
      </c>
      <c r="E181" s="84" t="s">
        <v>557</v>
      </c>
      <c r="F181" s="84" t="s">
        <v>434</v>
      </c>
      <c r="G181" s="85" t="s">
        <v>435</v>
      </c>
      <c r="H181" s="85" t="s">
        <v>435</v>
      </c>
      <c r="I181" s="82" t="s">
        <v>429</v>
      </c>
      <c r="J181" s="86" t="s">
        <v>436</v>
      </c>
    </row>
    <row r="182" spans="1:10" x14ac:dyDescent="0.25">
      <c r="A182" s="82" t="s">
        <v>820</v>
      </c>
      <c r="B182" s="82" t="s">
        <v>821</v>
      </c>
      <c r="C182" s="82" t="s">
        <v>644</v>
      </c>
      <c r="D182" s="83" t="s">
        <v>604</v>
      </c>
      <c r="E182" s="84" t="s">
        <v>557</v>
      </c>
      <c r="F182" s="84" t="s">
        <v>434</v>
      </c>
      <c r="G182" s="85" t="s">
        <v>435</v>
      </c>
      <c r="H182" s="85" t="s">
        <v>435</v>
      </c>
      <c r="I182" s="82" t="s">
        <v>429</v>
      </c>
      <c r="J182" s="86" t="s">
        <v>436</v>
      </c>
    </row>
    <row r="183" spans="1:10" x14ac:dyDescent="0.25">
      <c r="A183" s="82" t="s">
        <v>822</v>
      </c>
      <c r="B183" s="82" t="s">
        <v>823</v>
      </c>
      <c r="C183" s="82" t="s">
        <v>644</v>
      </c>
      <c r="D183" s="83" t="s">
        <v>604</v>
      </c>
      <c r="E183" s="84" t="s">
        <v>557</v>
      </c>
      <c r="F183" s="84" t="s">
        <v>434</v>
      </c>
      <c r="G183" s="85" t="s">
        <v>435</v>
      </c>
      <c r="H183" s="85" t="s">
        <v>435</v>
      </c>
      <c r="I183" s="82" t="s">
        <v>429</v>
      </c>
      <c r="J183" s="86" t="s">
        <v>436</v>
      </c>
    </row>
    <row r="184" spans="1:10" x14ac:dyDescent="0.25">
      <c r="A184" s="82" t="s">
        <v>824</v>
      </c>
      <c r="B184" s="82" t="s">
        <v>825</v>
      </c>
      <c r="C184" s="82" t="s">
        <v>644</v>
      </c>
      <c r="D184" s="83" t="s">
        <v>604</v>
      </c>
      <c r="E184" s="84" t="s">
        <v>557</v>
      </c>
      <c r="F184" s="84" t="s">
        <v>434</v>
      </c>
      <c r="G184" s="85" t="s">
        <v>435</v>
      </c>
      <c r="H184" s="85" t="s">
        <v>435</v>
      </c>
      <c r="I184" s="82" t="s">
        <v>429</v>
      </c>
      <c r="J184" s="86" t="s">
        <v>436</v>
      </c>
    </row>
    <row r="185" spans="1:10" x14ac:dyDescent="0.25">
      <c r="A185" s="82" t="s">
        <v>826</v>
      </c>
      <c r="B185" s="82" t="s">
        <v>827</v>
      </c>
      <c r="C185" s="82" t="s">
        <v>644</v>
      </c>
      <c r="D185" s="83" t="s">
        <v>604</v>
      </c>
      <c r="E185" s="84" t="s">
        <v>557</v>
      </c>
      <c r="F185" s="84" t="s">
        <v>434</v>
      </c>
      <c r="G185" s="85" t="s">
        <v>435</v>
      </c>
      <c r="H185" s="85" t="s">
        <v>435</v>
      </c>
      <c r="I185" s="82" t="s">
        <v>429</v>
      </c>
      <c r="J185" s="86" t="s">
        <v>436</v>
      </c>
    </row>
    <row r="186" spans="1:10" x14ac:dyDescent="0.25">
      <c r="A186" s="82" t="s">
        <v>828</v>
      </c>
      <c r="B186" s="82" t="s">
        <v>829</v>
      </c>
      <c r="C186" s="82" t="s">
        <v>644</v>
      </c>
      <c r="D186" s="83" t="s">
        <v>564</v>
      </c>
      <c r="E186" s="84" t="s">
        <v>451</v>
      </c>
      <c r="F186" s="84" t="s">
        <v>434</v>
      </c>
      <c r="G186" s="85" t="s">
        <v>435</v>
      </c>
      <c r="H186" s="85" t="s">
        <v>435</v>
      </c>
      <c r="I186" s="82" t="s">
        <v>429</v>
      </c>
      <c r="J186" s="86" t="s">
        <v>436</v>
      </c>
    </row>
    <row r="187" spans="1:10" x14ac:dyDescent="0.25">
      <c r="A187" s="82" t="s">
        <v>830</v>
      </c>
      <c r="B187" s="82" t="s">
        <v>831</v>
      </c>
      <c r="C187" s="82" t="s">
        <v>644</v>
      </c>
      <c r="D187" s="83" t="s">
        <v>564</v>
      </c>
      <c r="E187" s="84" t="s">
        <v>451</v>
      </c>
      <c r="F187" s="84" t="s">
        <v>434</v>
      </c>
      <c r="G187" s="85" t="s">
        <v>435</v>
      </c>
      <c r="H187" s="85" t="s">
        <v>435</v>
      </c>
      <c r="I187" s="82" t="s">
        <v>429</v>
      </c>
      <c r="J187" s="86" t="s">
        <v>436</v>
      </c>
    </row>
    <row r="188" spans="1:10" x14ac:dyDescent="0.25">
      <c r="A188" s="82" t="s">
        <v>832</v>
      </c>
      <c r="B188" s="82" t="s">
        <v>833</v>
      </c>
      <c r="C188" s="82" t="s">
        <v>644</v>
      </c>
      <c r="D188" s="83" t="s">
        <v>564</v>
      </c>
      <c r="E188" s="84" t="s">
        <v>451</v>
      </c>
      <c r="F188" s="84" t="s">
        <v>434</v>
      </c>
      <c r="G188" s="85" t="s">
        <v>435</v>
      </c>
      <c r="H188" s="85" t="s">
        <v>435</v>
      </c>
      <c r="I188" s="82" t="s">
        <v>429</v>
      </c>
      <c r="J188" s="86" t="s">
        <v>436</v>
      </c>
    </row>
    <row r="189" spans="1:10" x14ac:dyDescent="0.25">
      <c r="A189" s="82" t="s">
        <v>834</v>
      </c>
      <c r="B189" s="82" t="s">
        <v>835</v>
      </c>
      <c r="C189" s="82" t="s">
        <v>644</v>
      </c>
      <c r="D189" s="83" t="s">
        <v>564</v>
      </c>
      <c r="E189" s="84" t="s">
        <v>451</v>
      </c>
      <c r="F189" s="84" t="s">
        <v>434</v>
      </c>
      <c r="G189" s="85" t="s">
        <v>435</v>
      </c>
      <c r="H189" s="85" t="s">
        <v>435</v>
      </c>
      <c r="I189" s="82" t="s">
        <v>429</v>
      </c>
      <c r="J189" s="86" t="s">
        <v>436</v>
      </c>
    </row>
    <row r="190" spans="1:10" x14ac:dyDescent="0.25">
      <c r="A190" s="82" t="s">
        <v>836</v>
      </c>
      <c r="B190" s="82" t="s">
        <v>837</v>
      </c>
      <c r="C190" s="82" t="s">
        <v>644</v>
      </c>
      <c r="D190" s="83" t="s">
        <v>564</v>
      </c>
      <c r="E190" s="84" t="s">
        <v>451</v>
      </c>
      <c r="F190" s="84" t="s">
        <v>434</v>
      </c>
      <c r="G190" s="85" t="s">
        <v>435</v>
      </c>
      <c r="H190" s="85" t="s">
        <v>435</v>
      </c>
      <c r="I190" s="82" t="s">
        <v>429</v>
      </c>
      <c r="J190" s="86" t="s">
        <v>436</v>
      </c>
    </row>
    <row r="191" spans="1:10" x14ac:dyDescent="0.25">
      <c r="A191" s="82" t="s">
        <v>838</v>
      </c>
      <c r="B191" s="82" t="s">
        <v>839</v>
      </c>
      <c r="C191" s="82" t="s">
        <v>644</v>
      </c>
      <c r="D191" s="83" t="s">
        <v>564</v>
      </c>
      <c r="E191" s="84" t="s">
        <v>451</v>
      </c>
      <c r="F191" s="84" t="s">
        <v>434</v>
      </c>
      <c r="G191" s="85" t="s">
        <v>435</v>
      </c>
      <c r="H191" s="85" t="s">
        <v>435</v>
      </c>
      <c r="I191" s="82" t="s">
        <v>429</v>
      </c>
      <c r="J191" s="86" t="s">
        <v>436</v>
      </c>
    </row>
    <row r="192" spans="1:10" x14ac:dyDescent="0.25">
      <c r="A192" s="82" t="s">
        <v>840</v>
      </c>
      <c r="B192" s="82" t="s">
        <v>841</v>
      </c>
      <c r="C192" s="82" t="s">
        <v>644</v>
      </c>
      <c r="D192" s="83" t="s">
        <v>564</v>
      </c>
      <c r="E192" s="84" t="s">
        <v>451</v>
      </c>
      <c r="F192" s="84" t="s">
        <v>434</v>
      </c>
      <c r="G192" s="85" t="s">
        <v>435</v>
      </c>
      <c r="H192" s="85" t="s">
        <v>435</v>
      </c>
      <c r="I192" s="82" t="s">
        <v>429</v>
      </c>
      <c r="J192" s="86" t="s">
        <v>436</v>
      </c>
    </row>
    <row r="193" spans="1:10" x14ac:dyDescent="0.25">
      <c r="A193" s="82" t="s">
        <v>842</v>
      </c>
      <c r="B193" s="82" t="s">
        <v>843</v>
      </c>
      <c r="C193" s="82" t="s">
        <v>644</v>
      </c>
      <c r="D193" s="83" t="s">
        <v>432</v>
      </c>
      <c r="E193" s="84" t="s">
        <v>611</v>
      </c>
      <c r="F193" s="84" t="s">
        <v>434</v>
      </c>
      <c r="G193" s="85" t="s">
        <v>435</v>
      </c>
      <c r="H193" s="85" t="s">
        <v>435</v>
      </c>
      <c r="I193" s="82" t="s">
        <v>429</v>
      </c>
      <c r="J193" s="86" t="s">
        <v>436</v>
      </c>
    </row>
    <row r="194" spans="1:10" x14ac:dyDescent="0.25">
      <c r="A194" s="82" t="s">
        <v>844</v>
      </c>
      <c r="B194" s="82" t="s">
        <v>845</v>
      </c>
      <c r="C194" s="82" t="s">
        <v>644</v>
      </c>
      <c r="D194" s="83" t="s">
        <v>432</v>
      </c>
      <c r="E194" s="84" t="s">
        <v>606</v>
      </c>
      <c r="F194" s="84" t="s">
        <v>434</v>
      </c>
      <c r="G194" s="85" t="s">
        <v>435</v>
      </c>
      <c r="H194" s="85" t="s">
        <v>435</v>
      </c>
      <c r="I194" s="82" t="s">
        <v>429</v>
      </c>
      <c r="J194" s="86" t="s">
        <v>436</v>
      </c>
    </row>
    <row r="195" spans="1:10" x14ac:dyDescent="0.25">
      <c r="A195" s="82" t="s">
        <v>846</v>
      </c>
      <c r="B195" s="82" t="s">
        <v>847</v>
      </c>
      <c r="C195" s="82" t="s">
        <v>644</v>
      </c>
      <c r="D195" s="83" t="s">
        <v>432</v>
      </c>
      <c r="E195" s="84" t="s">
        <v>557</v>
      </c>
      <c r="F195" s="84" t="s">
        <v>434</v>
      </c>
      <c r="G195" s="85" t="s">
        <v>435</v>
      </c>
      <c r="H195" s="85" t="s">
        <v>435</v>
      </c>
      <c r="I195" s="82" t="s">
        <v>429</v>
      </c>
      <c r="J195" s="86" t="s">
        <v>436</v>
      </c>
    </row>
    <row r="196" spans="1:10" x14ac:dyDescent="0.25">
      <c r="A196" s="82" t="s">
        <v>848</v>
      </c>
      <c r="B196" s="82" t="s">
        <v>849</v>
      </c>
      <c r="C196" s="82" t="s">
        <v>644</v>
      </c>
      <c r="D196" s="83" t="s">
        <v>432</v>
      </c>
      <c r="E196" s="84" t="s">
        <v>551</v>
      </c>
      <c r="F196" s="84" t="s">
        <v>434</v>
      </c>
      <c r="G196" s="85" t="s">
        <v>435</v>
      </c>
      <c r="H196" s="85" t="s">
        <v>435</v>
      </c>
      <c r="I196" s="82" t="s">
        <v>429</v>
      </c>
      <c r="J196" s="86" t="s">
        <v>436</v>
      </c>
    </row>
    <row r="197" spans="1:10" x14ac:dyDescent="0.25">
      <c r="A197" s="82" t="s">
        <v>850</v>
      </c>
      <c r="B197" s="82" t="s">
        <v>851</v>
      </c>
      <c r="C197" s="82" t="s">
        <v>644</v>
      </c>
      <c r="D197" s="83" t="s">
        <v>564</v>
      </c>
      <c r="E197" s="84" t="s">
        <v>650</v>
      </c>
      <c r="F197" s="84" t="s">
        <v>434</v>
      </c>
      <c r="G197" s="85" t="s">
        <v>435</v>
      </c>
      <c r="H197" s="85" t="s">
        <v>435</v>
      </c>
      <c r="I197" s="82" t="s">
        <v>429</v>
      </c>
      <c r="J197" s="86" t="s">
        <v>436</v>
      </c>
    </row>
    <row r="198" spans="1:10" x14ac:dyDescent="0.25">
      <c r="A198" s="82" t="s">
        <v>852</v>
      </c>
      <c r="B198" s="82" t="s">
        <v>412</v>
      </c>
      <c r="C198" s="82" t="s">
        <v>446</v>
      </c>
      <c r="D198" s="83" t="s">
        <v>432</v>
      </c>
      <c r="E198" s="84" t="s">
        <v>544</v>
      </c>
      <c r="F198" s="84" t="s">
        <v>434</v>
      </c>
      <c r="G198" s="85" t="s">
        <v>435</v>
      </c>
      <c r="H198" s="85" t="s">
        <v>435</v>
      </c>
      <c r="I198" s="82" t="s">
        <v>429</v>
      </c>
      <c r="J198" s="86" t="s">
        <v>436</v>
      </c>
    </row>
    <row r="199" spans="1:10" x14ac:dyDescent="0.25">
      <c r="A199" s="82" t="s">
        <v>853</v>
      </c>
      <c r="B199" s="82" t="s">
        <v>854</v>
      </c>
      <c r="C199" s="82" t="s">
        <v>431</v>
      </c>
      <c r="D199" s="83" t="s">
        <v>432</v>
      </c>
      <c r="E199" s="84" t="s">
        <v>434</v>
      </c>
      <c r="F199" s="84" t="s">
        <v>434</v>
      </c>
      <c r="G199" s="85" t="s">
        <v>435</v>
      </c>
      <c r="H199" s="85" t="s">
        <v>435</v>
      </c>
      <c r="I199" s="82" t="s">
        <v>429</v>
      </c>
      <c r="J199" s="86" t="s">
        <v>436</v>
      </c>
    </row>
    <row r="200" spans="1:10" x14ac:dyDescent="0.25">
      <c r="A200" s="82" t="s">
        <v>855</v>
      </c>
      <c r="B200" s="82" t="s">
        <v>263</v>
      </c>
      <c r="C200" s="82" t="s">
        <v>563</v>
      </c>
      <c r="D200" s="83" t="s">
        <v>432</v>
      </c>
      <c r="E200" s="84" t="s">
        <v>566</v>
      </c>
      <c r="F200" s="84" t="s">
        <v>434</v>
      </c>
      <c r="G200" s="85" t="s">
        <v>435</v>
      </c>
      <c r="H200" s="85" t="s">
        <v>435</v>
      </c>
      <c r="I200" s="82" t="s">
        <v>429</v>
      </c>
      <c r="J200" s="86" t="s">
        <v>436</v>
      </c>
    </row>
    <row r="201" spans="1:10" x14ac:dyDescent="0.25">
      <c r="A201" s="82" t="s">
        <v>856</v>
      </c>
      <c r="B201" s="82" t="s">
        <v>401</v>
      </c>
      <c r="C201" s="82" t="s">
        <v>592</v>
      </c>
      <c r="D201" s="83" t="s">
        <v>432</v>
      </c>
      <c r="E201" s="84" t="s">
        <v>451</v>
      </c>
      <c r="F201" s="84" t="s">
        <v>434</v>
      </c>
      <c r="G201" s="85" t="s">
        <v>435</v>
      </c>
      <c r="H201" s="85" t="s">
        <v>435</v>
      </c>
      <c r="I201" s="82" t="s">
        <v>429</v>
      </c>
      <c r="J201" s="86" t="s">
        <v>436</v>
      </c>
    </row>
    <row r="202" spans="1:10" x14ac:dyDescent="0.25">
      <c r="A202" s="82" t="s">
        <v>857</v>
      </c>
      <c r="B202" s="82" t="s">
        <v>371</v>
      </c>
      <c r="C202" s="82" t="s">
        <v>592</v>
      </c>
      <c r="D202" s="83" t="s">
        <v>432</v>
      </c>
      <c r="E202" s="84" t="s">
        <v>606</v>
      </c>
      <c r="F202" s="84" t="s">
        <v>434</v>
      </c>
      <c r="G202" s="85" t="s">
        <v>435</v>
      </c>
      <c r="H202" s="85" t="s">
        <v>435</v>
      </c>
      <c r="I202" s="82" t="s">
        <v>429</v>
      </c>
      <c r="J202" s="86" t="s">
        <v>436</v>
      </c>
    </row>
    <row r="203" spans="1:10" x14ac:dyDescent="0.25">
      <c r="A203" s="82" t="s">
        <v>858</v>
      </c>
      <c r="B203" s="82" t="s">
        <v>415</v>
      </c>
      <c r="C203" s="82" t="s">
        <v>859</v>
      </c>
      <c r="D203" s="83" t="s">
        <v>432</v>
      </c>
      <c r="E203" s="84" t="s">
        <v>606</v>
      </c>
      <c r="F203" s="84" t="s">
        <v>434</v>
      </c>
      <c r="G203" s="85" t="s">
        <v>435</v>
      </c>
      <c r="H203" s="85" t="s">
        <v>435</v>
      </c>
      <c r="I203" s="82" t="s">
        <v>429</v>
      </c>
      <c r="J203" s="86" t="s">
        <v>436</v>
      </c>
    </row>
    <row r="204" spans="1:10" x14ac:dyDescent="0.25">
      <c r="A204" s="82" t="s">
        <v>860</v>
      </c>
      <c r="B204" s="82" t="s">
        <v>417</v>
      </c>
      <c r="C204" s="82" t="s">
        <v>584</v>
      </c>
      <c r="D204" s="83" t="s">
        <v>432</v>
      </c>
      <c r="E204" s="84" t="s">
        <v>434</v>
      </c>
      <c r="F204" s="84" t="s">
        <v>434</v>
      </c>
      <c r="G204" s="85" t="s">
        <v>435</v>
      </c>
      <c r="H204" s="85" t="s">
        <v>435</v>
      </c>
      <c r="I204" s="82" t="s">
        <v>429</v>
      </c>
      <c r="J204" s="86" t="s">
        <v>436</v>
      </c>
    </row>
    <row r="205" spans="1:10" x14ac:dyDescent="0.25">
      <c r="A205" s="82" t="s">
        <v>861</v>
      </c>
      <c r="B205" s="82" t="s">
        <v>359</v>
      </c>
      <c r="C205" s="82" t="s">
        <v>559</v>
      </c>
      <c r="D205" s="83" t="s">
        <v>432</v>
      </c>
      <c r="E205" s="84" t="s">
        <v>606</v>
      </c>
      <c r="F205" s="84" t="s">
        <v>434</v>
      </c>
      <c r="G205" s="85" t="s">
        <v>435</v>
      </c>
      <c r="H205" s="85" t="s">
        <v>435</v>
      </c>
      <c r="I205" s="82" t="s">
        <v>429</v>
      </c>
      <c r="J205" s="86" t="s">
        <v>436</v>
      </c>
    </row>
    <row r="206" spans="1:10" x14ac:dyDescent="0.25">
      <c r="A206" s="82" t="s">
        <v>862</v>
      </c>
      <c r="B206" s="82" t="s">
        <v>353</v>
      </c>
      <c r="C206" s="82" t="s">
        <v>592</v>
      </c>
      <c r="D206" s="83" t="s">
        <v>429</v>
      </c>
      <c r="E206" s="84" t="s">
        <v>606</v>
      </c>
      <c r="F206" s="84" t="s">
        <v>434</v>
      </c>
      <c r="G206" s="85" t="s">
        <v>435</v>
      </c>
      <c r="H206" s="85" t="s">
        <v>435</v>
      </c>
      <c r="I206" s="82" t="s">
        <v>429</v>
      </c>
      <c r="J206" s="86" t="s">
        <v>436</v>
      </c>
    </row>
    <row r="207" spans="1:10" x14ac:dyDescent="0.25">
      <c r="A207" s="82" t="s">
        <v>863</v>
      </c>
      <c r="B207" s="82" t="s">
        <v>864</v>
      </c>
      <c r="C207" s="82" t="s">
        <v>446</v>
      </c>
      <c r="D207" s="83" t="s">
        <v>803</v>
      </c>
      <c r="E207" s="84" t="s">
        <v>865</v>
      </c>
      <c r="F207" s="84" t="s">
        <v>434</v>
      </c>
      <c r="G207" s="85" t="s">
        <v>435</v>
      </c>
      <c r="H207" s="85" t="s">
        <v>435</v>
      </c>
      <c r="I207" s="82" t="s">
        <v>429</v>
      </c>
      <c r="J207" s="86" t="s">
        <v>436</v>
      </c>
    </row>
    <row r="208" spans="1:10" x14ac:dyDescent="0.25">
      <c r="A208" s="82" t="s">
        <v>866</v>
      </c>
      <c r="B208" s="82" t="s">
        <v>867</v>
      </c>
      <c r="C208" s="82" t="s">
        <v>431</v>
      </c>
      <c r="D208" s="83" t="s">
        <v>432</v>
      </c>
      <c r="E208" s="84" t="s">
        <v>433</v>
      </c>
      <c r="F208" s="84" t="s">
        <v>434</v>
      </c>
      <c r="G208" s="85" t="s">
        <v>435</v>
      </c>
      <c r="H208" s="85" t="s">
        <v>435</v>
      </c>
      <c r="I208" s="82" t="s">
        <v>429</v>
      </c>
      <c r="J208" s="86" t="s">
        <v>436</v>
      </c>
    </row>
    <row r="209" spans="1:10" x14ac:dyDescent="0.25">
      <c r="A209" s="82" t="s">
        <v>868</v>
      </c>
      <c r="B209" s="82" t="s">
        <v>869</v>
      </c>
      <c r="C209" s="82" t="s">
        <v>636</v>
      </c>
      <c r="D209" s="83" t="s">
        <v>432</v>
      </c>
      <c r="E209" s="84" t="s">
        <v>870</v>
      </c>
      <c r="F209" s="84" t="s">
        <v>434</v>
      </c>
      <c r="G209" s="85" t="s">
        <v>435</v>
      </c>
      <c r="H209" s="85" t="s">
        <v>435</v>
      </c>
      <c r="I209" s="82" t="s">
        <v>429</v>
      </c>
      <c r="J209" s="86" t="s">
        <v>436</v>
      </c>
    </row>
    <row r="210" spans="1:10" x14ac:dyDescent="0.25">
      <c r="A210" s="82" t="s">
        <v>871</v>
      </c>
      <c r="B210" s="82" t="s">
        <v>872</v>
      </c>
      <c r="C210" s="82" t="s">
        <v>859</v>
      </c>
      <c r="D210" s="83" t="s">
        <v>432</v>
      </c>
      <c r="E210" s="84" t="s">
        <v>589</v>
      </c>
      <c r="F210" s="84" t="s">
        <v>434</v>
      </c>
      <c r="G210" s="85" t="s">
        <v>435</v>
      </c>
      <c r="H210" s="85" t="s">
        <v>435</v>
      </c>
      <c r="I210" s="82" t="s">
        <v>429</v>
      </c>
      <c r="J210" s="86" t="s">
        <v>436</v>
      </c>
    </row>
    <row r="211" spans="1:10" x14ac:dyDescent="0.25">
      <c r="A211" s="82" t="s">
        <v>873</v>
      </c>
      <c r="B211" s="82" t="s">
        <v>874</v>
      </c>
      <c r="C211" s="82" t="s">
        <v>859</v>
      </c>
      <c r="D211" s="83" t="s">
        <v>432</v>
      </c>
      <c r="E211" s="84" t="s">
        <v>589</v>
      </c>
      <c r="F211" s="84" t="s">
        <v>434</v>
      </c>
      <c r="G211" s="85" t="s">
        <v>435</v>
      </c>
      <c r="H211" s="85" t="s">
        <v>435</v>
      </c>
      <c r="I211" s="82" t="s">
        <v>429</v>
      </c>
      <c r="J211" s="86" t="s">
        <v>436</v>
      </c>
    </row>
    <row r="212" spans="1:10" x14ac:dyDescent="0.25">
      <c r="A212" s="82" t="s">
        <v>875</v>
      </c>
      <c r="B212" s="82" t="s">
        <v>876</v>
      </c>
      <c r="C212" s="82" t="s">
        <v>859</v>
      </c>
      <c r="D212" s="83" t="s">
        <v>432</v>
      </c>
      <c r="E212" s="84" t="s">
        <v>589</v>
      </c>
      <c r="F212" s="84" t="s">
        <v>434</v>
      </c>
      <c r="G212" s="85" t="s">
        <v>435</v>
      </c>
      <c r="H212" s="85" t="s">
        <v>435</v>
      </c>
      <c r="I212" s="82" t="s">
        <v>429</v>
      </c>
      <c r="J212" s="86" t="s">
        <v>436</v>
      </c>
    </row>
    <row r="213" spans="1:10" x14ac:dyDescent="0.25">
      <c r="A213" s="82" t="s">
        <v>877</v>
      </c>
      <c r="B213" s="82" t="s">
        <v>346</v>
      </c>
      <c r="C213" s="82" t="s">
        <v>431</v>
      </c>
      <c r="D213" s="83" t="s">
        <v>432</v>
      </c>
      <c r="E213" s="84" t="s">
        <v>650</v>
      </c>
      <c r="F213" s="84" t="s">
        <v>434</v>
      </c>
      <c r="G213" s="85" t="s">
        <v>435</v>
      </c>
      <c r="H213" s="85" t="s">
        <v>435</v>
      </c>
      <c r="I213" s="82" t="s">
        <v>429</v>
      </c>
      <c r="J213" s="86" t="s">
        <v>436</v>
      </c>
    </row>
    <row r="214" spans="1:10" x14ac:dyDescent="0.25">
      <c r="A214" s="82" t="s">
        <v>878</v>
      </c>
      <c r="B214" s="82" t="s">
        <v>345</v>
      </c>
      <c r="C214" s="82" t="s">
        <v>431</v>
      </c>
      <c r="D214" s="83" t="s">
        <v>432</v>
      </c>
      <c r="E214" s="84" t="s">
        <v>650</v>
      </c>
      <c r="F214" s="84" t="s">
        <v>434</v>
      </c>
      <c r="G214" s="85" t="s">
        <v>435</v>
      </c>
      <c r="H214" s="85" t="s">
        <v>435</v>
      </c>
      <c r="I214" s="82" t="s">
        <v>429</v>
      </c>
      <c r="J214" s="86" t="s">
        <v>436</v>
      </c>
    </row>
    <row r="215" spans="1:10" x14ac:dyDescent="0.25">
      <c r="A215" s="82" t="s">
        <v>879</v>
      </c>
      <c r="B215" s="82" t="s">
        <v>200</v>
      </c>
      <c r="C215" s="82" t="s">
        <v>431</v>
      </c>
      <c r="D215" s="83" t="s">
        <v>432</v>
      </c>
      <c r="E215" s="84" t="s">
        <v>650</v>
      </c>
      <c r="F215" s="84" t="s">
        <v>434</v>
      </c>
      <c r="G215" s="85" t="s">
        <v>435</v>
      </c>
      <c r="H215" s="85" t="s">
        <v>435</v>
      </c>
      <c r="I215" s="82" t="s">
        <v>429</v>
      </c>
      <c r="J215" s="86" t="s">
        <v>436</v>
      </c>
    </row>
    <row r="216" spans="1:10" x14ac:dyDescent="0.25">
      <c r="A216" s="82" t="s">
        <v>880</v>
      </c>
      <c r="B216" s="82" t="s">
        <v>881</v>
      </c>
      <c r="C216" s="82" t="s">
        <v>431</v>
      </c>
      <c r="D216" s="83" t="s">
        <v>585</v>
      </c>
      <c r="E216" s="84" t="s">
        <v>882</v>
      </c>
      <c r="F216" s="84" t="s">
        <v>434</v>
      </c>
      <c r="G216" s="85" t="s">
        <v>435</v>
      </c>
      <c r="H216" s="85" t="s">
        <v>435</v>
      </c>
      <c r="I216" s="82" t="s">
        <v>429</v>
      </c>
      <c r="J216" s="86" t="s">
        <v>436</v>
      </c>
    </row>
    <row r="217" spans="1:10" x14ac:dyDescent="0.25">
      <c r="A217" s="82" t="s">
        <v>883</v>
      </c>
      <c r="B217" s="82" t="s">
        <v>376</v>
      </c>
      <c r="C217" s="82" t="s">
        <v>884</v>
      </c>
      <c r="D217" s="83" t="s">
        <v>432</v>
      </c>
      <c r="E217" s="84" t="s">
        <v>637</v>
      </c>
      <c r="F217" s="84" t="s">
        <v>434</v>
      </c>
      <c r="G217" s="85" t="s">
        <v>435</v>
      </c>
      <c r="H217" s="85" t="s">
        <v>435</v>
      </c>
      <c r="I217" s="82" t="s">
        <v>885</v>
      </c>
      <c r="J217" s="86" t="s">
        <v>436</v>
      </c>
    </row>
    <row r="218" spans="1:10" x14ac:dyDescent="0.25">
      <c r="A218" s="82" t="s">
        <v>886</v>
      </c>
      <c r="B218" s="82" t="s">
        <v>887</v>
      </c>
      <c r="C218" s="82" t="s">
        <v>884</v>
      </c>
      <c r="D218" s="83" t="s">
        <v>432</v>
      </c>
      <c r="E218" s="84" t="s">
        <v>888</v>
      </c>
      <c r="F218" s="84" t="s">
        <v>434</v>
      </c>
      <c r="G218" s="85" t="s">
        <v>435</v>
      </c>
      <c r="H218" s="85" t="s">
        <v>435</v>
      </c>
      <c r="I218" s="82" t="s">
        <v>885</v>
      </c>
      <c r="J218" s="86" t="s">
        <v>436</v>
      </c>
    </row>
    <row r="219" spans="1:10" x14ac:dyDescent="0.25">
      <c r="A219" s="82" t="s">
        <v>889</v>
      </c>
      <c r="B219" s="82" t="s">
        <v>890</v>
      </c>
      <c r="C219" s="82" t="s">
        <v>431</v>
      </c>
      <c r="D219" s="83" t="s">
        <v>432</v>
      </c>
      <c r="E219" s="84" t="s">
        <v>433</v>
      </c>
      <c r="F219" s="84" t="s">
        <v>434</v>
      </c>
      <c r="G219" s="85" t="s">
        <v>435</v>
      </c>
      <c r="H219" s="85" t="s">
        <v>435</v>
      </c>
      <c r="I219" s="82" t="s">
        <v>429</v>
      </c>
      <c r="J219" s="86" t="s">
        <v>436</v>
      </c>
    </row>
    <row r="220" spans="1:10" x14ac:dyDescent="0.25">
      <c r="A220" s="82" t="s">
        <v>891</v>
      </c>
      <c r="B220" s="82" t="s">
        <v>237</v>
      </c>
      <c r="C220" s="82" t="s">
        <v>431</v>
      </c>
      <c r="D220" s="83" t="s">
        <v>432</v>
      </c>
      <c r="E220" s="84" t="s">
        <v>551</v>
      </c>
      <c r="F220" s="84" t="s">
        <v>434</v>
      </c>
      <c r="G220" s="85" t="s">
        <v>435</v>
      </c>
      <c r="H220" s="85" t="s">
        <v>435</v>
      </c>
      <c r="I220" s="82" t="s">
        <v>429</v>
      </c>
      <c r="J220" s="86" t="s">
        <v>436</v>
      </c>
    </row>
    <row r="221" spans="1:10" x14ac:dyDescent="0.25">
      <c r="A221" s="82" t="s">
        <v>892</v>
      </c>
      <c r="B221" s="82" t="s">
        <v>893</v>
      </c>
      <c r="C221" s="82" t="s">
        <v>559</v>
      </c>
      <c r="D221" s="83" t="s">
        <v>432</v>
      </c>
      <c r="E221" s="84" t="s">
        <v>566</v>
      </c>
      <c r="F221" s="84" t="s">
        <v>434</v>
      </c>
      <c r="G221" s="85" t="s">
        <v>435</v>
      </c>
      <c r="H221" s="85" t="s">
        <v>435</v>
      </c>
      <c r="I221" s="82" t="s">
        <v>429</v>
      </c>
      <c r="J221" s="86" t="s">
        <v>436</v>
      </c>
    </row>
    <row r="222" spans="1:10" x14ac:dyDescent="0.25">
      <c r="A222" s="82" t="s">
        <v>894</v>
      </c>
      <c r="B222" s="82" t="s">
        <v>694</v>
      </c>
      <c r="C222" s="82" t="s">
        <v>550</v>
      </c>
      <c r="D222" s="83" t="s">
        <v>604</v>
      </c>
      <c r="E222" s="84" t="s">
        <v>434</v>
      </c>
      <c r="F222" s="84" t="s">
        <v>434</v>
      </c>
      <c r="G222" s="85" t="s">
        <v>435</v>
      </c>
      <c r="H222" s="85" t="s">
        <v>435</v>
      </c>
      <c r="I222" s="82" t="s">
        <v>429</v>
      </c>
      <c r="J222" s="86" t="s">
        <v>436</v>
      </c>
    </row>
    <row r="223" spans="1:10" x14ac:dyDescent="0.25">
      <c r="A223" s="82" t="s">
        <v>895</v>
      </c>
      <c r="B223" s="82" t="s">
        <v>896</v>
      </c>
      <c r="C223" s="82" t="s">
        <v>592</v>
      </c>
      <c r="D223" s="83" t="s">
        <v>432</v>
      </c>
      <c r="E223" s="84" t="s">
        <v>557</v>
      </c>
      <c r="F223" s="84" t="s">
        <v>434</v>
      </c>
      <c r="G223" s="85" t="s">
        <v>435</v>
      </c>
      <c r="H223" s="85" t="s">
        <v>435</v>
      </c>
      <c r="I223" s="82" t="s">
        <v>897</v>
      </c>
      <c r="J223" s="86" t="s">
        <v>436</v>
      </c>
    </row>
    <row r="224" spans="1:10" x14ac:dyDescent="0.25">
      <c r="A224" s="82" t="s">
        <v>898</v>
      </c>
      <c r="B224" s="82" t="s">
        <v>899</v>
      </c>
      <c r="C224" s="82" t="s">
        <v>446</v>
      </c>
      <c r="D224" s="83" t="s">
        <v>803</v>
      </c>
      <c r="E224" s="84" t="s">
        <v>557</v>
      </c>
      <c r="F224" s="84" t="s">
        <v>434</v>
      </c>
      <c r="G224" s="85" t="s">
        <v>435</v>
      </c>
      <c r="H224" s="85" t="s">
        <v>435</v>
      </c>
      <c r="I224" s="82" t="s">
        <v>429</v>
      </c>
      <c r="J224" s="86" t="s">
        <v>436</v>
      </c>
    </row>
    <row r="225" spans="1:10" x14ac:dyDescent="0.25">
      <c r="A225" s="82" t="s">
        <v>900</v>
      </c>
      <c r="B225" s="82" t="s">
        <v>372</v>
      </c>
      <c r="C225" s="82" t="s">
        <v>884</v>
      </c>
      <c r="D225" s="83" t="s">
        <v>432</v>
      </c>
      <c r="E225" s="84" t="s">
        <v>611</v>
      </c>
      <c r="F225" s="84" t="s">
        <v>434</v>
      </c>
      <c r="G225" s="85" t="s">
        <v>435</v>
      </c>
      <c r="H225" s="85" t="s">
        <v>435</v>
      </c>
      <c r="I225" s="82" t="s">
        <v>885</v>
      </c>
      <c r="J225" s="86" t="s">
        <v>436</v>
      </c>
    </row>
    <row r="226" spans="1:10" x14ac:dyDescent="0.25">
      <c r="A226" s="82" t="s">
        <v>901</v>
      </c>
      <c r="B226" s="82" t="s">
        <v>268</v>
      </c>
      <c r="C226" s="82" t="s">
        <v>563</v>
      </c>
      <c r="D226" s="83" t="s">
        <v>564</v>
      </c>
      <c r="E226" s="84" t="s">
        <v>650</v>
      </c>
      <c r="F226" s="84" t="s">
        <v>434</v>
      </c>
      <c r="G226" s="85" t="s">
        <v>435</v>
      </c>
      <c r="H226" s="85" t="s">
        <v>435</v>
      </c>
      <c r="I226" s="82" t="s">
        <v>429</v>
      </c>
      <c r="J226" s="86" t="s">
        <v>436</v>
      </c>
    </row>
    <row r="227" spans="1:10" x14ac:dyDescent="0.25">
      <c r="A227" s="82" t="s">
        <v>902</v>
      </c>
      <c r="B227" s="82" t="s">
        <v>265</v>
      </c>
      <c r="C227" s="82" t="s">
        <v>563</v>
      </c>
      <c r="D227" s="83" t="s">
        <v>432</v>
      </c>
      <c r="E227" s="84" t="s">
        <v>870</v>
      </c>
      <c r="F227" s="84" t="s">
        <v>434</v>
      </c>
      <c r="G227" s="85" t="s">
        <v>435</v>
      </c>
      <c r="H227" s="85" t="s">
        <v>435</v>
      </c>
      <c r="I227" s="82" t="s">
        <v>429</v>
      </c>
      <c r="J227" s="86" t="s">
        <v>436</v>
      </c>
    </row>
    <row r="228" spans="1:10" x14ac:dyDescent="0.25">
      <c r="A228" s="82" t="s">
        <v>903</v>
      </c>
      <c r="B228" s="82" t="s">
        <v>904</v>
      </c>
      <c r="C228" s="82" t="s">
        <v>859</v>
      </c>
      <c r="D228" s="83" t="s">
        <v>564</v>
      </c>
      <c r="E228" s="84" t="s">
        <v>606</v>
      </c>
      <c r="F228" s="84" t="s">
        <v>434</v>
      </c>
      <c r="G228" s="85" t="s">
        <v>435</v>
      </c>
      <c r="H228" s="85" t="s">
        <v>435</v>
      </c>
      <c r="I228" s="82" t="s">
        <v>429</v>
      </c>
      <c r="J228" s="86" t="s">
        <v>436</v>
      </c>
    </row>
    <row r="229" spans="1:10" x14ac:dyDescent="0.25">
      <c r="A229" s="82" t="s">
        <v>905</v>
      </c>
      <c r="B229" s="82" t="s">
        <v>906</v>
      </c>
      <c r="C229" s="82" t="s">
        <v>859</v>
      </c>
      <c r="D229" s="83" t="s">
        <v>564</v>
      </c>
      <c r="E229" s="84" t="s">
        <v>606</v>
      </c>
      <c r="F229" s="84" t="s">
        <v>434</v>
      </c>
      <c r="G229" s="85" t="s">
        <v>435</v>
      </c>
      <c r="H229" s="85" t="s">
        <v>435</v>
      </c>
      <c r="I229" s="82" t="s">
        <v>429</v>
      </c>
      <c r="J229" s="86" t="s">
        <v>436</v>
      </c>
    </row>
    <row r="230" spans="1:10" x14ac:dyDescent="0.25">
      <c r="A230" s="82" t="s">
        <v>907</v>
      </c>
      <c r="B230" s="82" t="s">
        <v>908</v>
      </c>
      <c r="C230" s="82" t="s">
        <v>859</v>
      </c>
      <c r="D230" s="83" t="s">
        <v>564</v>
      </c>
      <c r="E230" s="84" t="s">
        <v>606</v>
      </c>
      <c r="F230" s="84" t="s">
        <v>434</v>
      </c>
      <c r="G230" s="85" t="s">
        <v>435</v>
      </c>
      <c r="H230" s="85" t="s">
        <v>435</v>
      </c>
      <c r="I230" s="82" t="s">
        <v>429</v>
      </c>
      <c r="J230" s="86" t="s">
        <v>436</v>
      </c>
    </row>
    <row r="231" spans="1:10" x14ac:dyDescent="0.25">
      <c r="A231" s="82" t="s">
        <v>909</v>
      </c>
      <c r="B231" s="82" t="s">
        <v>416</v>
      </c>
      <c r="C231" s="82" t="s">
        <v>584</v>
      </c>
      <c r="D231" s="83" t="s">
        <v>564</v>
      </c>
      <c r="E231" s="84" t="s">
        <v>606</v>
      </c>
      <c r="F231" s="84" t="s">
        <v>434</v>
      </c>
      <c r="G231" s="85" t="s">
        <v>435</v>
      </c>
      <c r="H231" s="85" t="s">
        <v>435</v>
      </c>
      <c r="I231" s="82" t="s">
        <v>429</v>
      </c>
      <c r="J231" s="86" t="s">
        <v>436</v>
      </c>
    </row>
    <row r="232" spans="1:10" x14ac:dyDescent="0.25">
      <c r="A232" s="82" t="s">
        <v>910</v>
      </c>
      <c r="B232" s="82" t="s">
        <v>280</v>
      </c>
      <c r="C232" s="82" t="s">
        <v>911</v>
      </c>
      <c r="D232" s="83" t="s">
        <v>432</v>
      </c>
      <c r="E232" s="84" t="s">
        <v>551</v>
      </c>
      <c r="F232" s="84" t="s">
        <v>434</v>
      </c>
      <c r="G232" s="85" t="s">
        <v>435</v>
      </c>
      <c r="H232" s="85" t="s">
        <v>435</v>
      </c>
      <c r="I232" s="82" t="s">
        <v>429</v>
      </c>
      <c r="J232" s="86" t="s">
        <v>436</v>
      </c>
    </row>
    <row r="233" spans="1:10" x14ac:dyDescent="0.25">
      <c r="A233" s="82" t="s">
        <v>912</v>
      </c>
      <c r="B233" s="82" t="s">
        <v>913</v>
      </c>
      <c r="C233" s="82" t="s">
        <v>592</v>
      </c>
      <c r="D233" s="83" t="s">
        <v>432</v>
      </c>
      <c r="E233" s="84" t="s">
        <v>611</v>
      </c>
      <c r="F233" s="84" t="s">
        <v>434</v>
      </c>
      <c r="G233" s="85" t="s">
        <v>435</v>
      </c>
      <c r="H233" s="85" t="s">
        <v>435</v>
      </c>
      <c r="I233" s="82" t="s">
        <v>429</v>
      </c>
      <c r="J233" s="86" t="s">
        <v>436</v>
      </c>
    </row>
    <row r="234" spans="1:10" x14ac:dyDescent="0.25">
      <c r="A234" s="82" t="s">
        <v>914</v>
      </c>
      <c r="B234" s="82" t="s">
        <v>915</v>
      </c>
      <c r="C234" s="82" t="s">
        <v>592</v>
      </c>
      <c r="D234" s="83" t="s">
        <v>432</v>
      </c>
      <c r="E234" s="84" t="s">
        <v>433</v>
      </c>
      <c r="F234" s="84" t="s">
        <v>434</v>
      </c>
      <c r="G234" s="85" t="s">
        <v>435</v>
      </c>
      <c r="H234" s="85" t="s">
        <v>435</v>
      </c>
      <c r="I234" s="82" t="s">
        <v>429</v>
      </c>
      <c r="J234" s="86" t="s">
        <v>436</v>
      </c>
    </row>
    <row r="235" spans="1:10" x14ac:dyDescent="0.25">
      <c r="A235" s="82" t="s">
        <v>916</v>
      </c>
      <c r="B235" s="82" t="s">
        <v>314</v>
      </c>
      <c r="C235" s="82" t="s">
        <v>592</v>
      </c>
      <c r="D235" s="83" t="s">
        <v>432</v>
      </c>
      <c r="E235" s="84" t="s">
        <v>433</v>
      </c>
      <c r="F235" s="84" t="s">
        <v>434</v>
      </c>
      <c r="G235" s="85" t="s">
        <v>435</v>
      </c>
      <c r="H235" s="85" t="s">
        <v>435</v>
      </c>
      <c r="I235" s="82" t="s">
        <v>429</v>
      </c>
      <c r="J235" s="86" t="s">
        <v>436</v>
      </c>
    </row>
    <row r="236" spans="1:10" x14ac:dyDescent="0.25">
      <c r="A236" s="82" t="s">
        <v>917</v>
      </c>
      <c r="B236" s="82" t="s">
        <v>918</v>
      </c>
      <c r="C236" s="82" t="s">
        <v>559</v>
      </c>
      <c r="D236" s="83" t="s">
        <v>432</v>
      </c>
      <c r="E236" s="84" t="s">
        <v>551</v>
      </c>
      <c r="F236" s="84" t="s">
        <v>434</v>
      </c>
      <c r="G236" s="85" t="s">
        <v>435</v>
      </c>
      <c r="H236" s="85" t="s">
        <v>435</v>
      </c>
      <c r="I236" s="82" t="s">
        <v>429</v>
      </c>
      <c r="J236" s="86" t="s">
        <v>587</v>
      </c>
    </row>
    <row r="237" spans="1:10" x14ac:dyDescent="0.25">
      <c r="A237" s="82" t="s">
        <v>919</v>
      </c>
      <c r="B237" s="82" t="s">
        <v>920</v>
      </c>
      <c r="C237" s="82" t="s">
        <v>550</v>
      </c>
      <c r="D237" s="83" t="s">
        <v>604</v>
      </c>
      <c r="E237" s="84" t="s">
        <v>557</v>
      </c>
      <c r="F237" s="84" t="s">
        <v>434</v>
      </c>
      <c r="G237" s="85" t="s">
        <v>435</v>
      </c>
      <c r="H237" s="85" t="s">
        <v>435</v>
      </c>
      <c r="I237" s="82" t="s">
        <v>429</v>
      </c>
      <c r="J237" s="86" t="s">
        <v>436</v>
      </c>
    </row>
    <row r="238" spans="1:10" x14ac:dyDescent="0.25">
      <c r="A238" s="82" t="s">
        <v>921</v>
      </c>
      <c r="B238" s="82" t="s">
        <v>922</v>
      </c>
      <c r="C238" s="82" t="s">
        <v>636</v>
      </c>
      <c r="D238" s="83" t="s">
        <v>432</v>
      </c>
      <c r="E238" s="84" t="s">
        <v>571</v>
      </c>
      <c r="F238" s="84" t="s">
        <v>434</v>
      </c>
      <c r="G238" s="85" t="s">
        <v>435</v>
      </c>
      <c r="H238" s="85" t="s">
        <v>435</v>
      </c>
      <c r="I238" s="82" t="s">
        <v>429</v>
      </c>
      <c r="J238" s="86" t="s">
        <v>436</v>
      </c>
    </row>
    <row r="239" spans="1:10" x14ac:dyDescent="0.25">
      <c r="A239" s="82" t="s">
        <v>923</v>
      </c>
      <c r="B239" s="82" t="s">
        <v>924</v>
      </c>
      <c r="C239" s="82" t="s">
        <v>592</v>
      </c>
      <c r="D239" s="83" t="s">
        <v>616</v>
      </c>
      <c r="E239" s="84" t="s">
        <v>625</v>
      </c>
      <c r="F239" s="84" t="s">
        <v>434</v>
      </c>
      <c r="G239" s="85" t="s">
        <v>435</v>
      </c>
      <c r="H239" s="85" t="s">
        <v>435</v>
      </c>
      <c r="I239" s="82" t="s">
        <v>429</v>
      </c>
      <c r="J239" s="86" t="s">
        <v>436</v>
      </c>
    </row>
    <row r="240" spans="1:10" x14ac:dyDescent="0.25">
      <c r="A240" s="82" t="s">
        <v>925</v>
      </c>
      <c r="B240" s="82" t="s">
        <v>926</v>
      </c>
      <c r="C240" s="82" t="s">
        <v>592</v>
      </c>
      <c r="D240" s="83" t="s">
        <v>432</v>
      </c>
      <c r="E240" s="84" t="s">
        <v>433</v>
      </c>
      <c r="F240" s="84" t="s">
        <v>434</v>
      </c>
      <c r="G240" s="85" t="s">
        <v>435</v>
      </c>
      <c r="H240" s="85" t="s">
        <v>435</v>
      </c>
      <c r="I240" s="82" t="s">
        <v>429</v>
      </c>
      <c r="J240" s="86" t="s">
        <v>436</v>
      </c>
    </row>
    <row r="241" spans="1:10" x14ac:dyDescent="0.25">
      <c r="A241" s="82" t="s">
        <v>927</v>
      </c>
      <c r="B241" s="82" t="s">
        <v>928</v>
      </c>
      <c r="C241" s="82" t="s">
        <v>559</v>
      </c>
      <c r="D241" s="83" t="s">
        <v>564</v>
      </c>
      <c r="E241" s="84" t="s">
        <v>625</v>
      </c>
      <c r="F241" s="84" t="s">
        <v>434</v>
      </c>
      <c r="G241" s="85" t="s">
        <v>435</v>
      </c>
      <c r="H241" s="85" t="s">
        <v>435</v>
      </c>
      <c r="I241" s="82" t="s">
        <v>429</v>
      </c>
      <c r="J241" s="86" t="s">
        <v>436</v>
      </c>
    </row>
    <row r="242" spans="1:10" x14ac:dyDescent="0.25">
      <c r="A242" s="82" t="s">
        <v>929</v>
      </c>
      <c r="B242" s="82" t="s">
        <v>284</v>
      </c>
      <c r="C242" s="82" t="s">
        <v>431</v>
      </c>
      <c r="D242" s="83" t="s">
        <v>439</v>
      </c>
      <c r="E242" s="84" t="s">
        <v>569</v>
      </c>
      <c r="F242" s="84" t="s">
        <v>434</v>
      </c>
      <c r="G242" s="85" t="s">
        <v>435</v>
      </c>
      <c r="H242" s="85" t="s">
        <v>435</v>
      </c>
      <c r="I242" s="82" t="s">
        <v>429</v>
      </c>
      <c r="J242" s="86" t="s">
        <v>436</v>
      </c>
    </row>
    <row r="243" spans="1:10" x14ac:dyDescent="0.25">
      <c r="A243" s="82" t="s">
        <v>930</v>
      </c>
      <c r="B243" s="82" t="s">
        <v>283</v>
      </c>
      <c r="C243" s="82" t="s">
        <v>431</v>
      </c>
      <c r="D243" s="83" t="s">
        <v>439</v>
      </c>
      <c r="E243" s="84" t="s">
        <v>650</v>
      </c>
      <c r="F243" s="84" t="s">
        <v>434</v>
      </c>
      <c r="G243" s="85" t="s">
        <v>435</v>
      </c>
      <c r="H243" s="85" t="s">
        <v>435</v>
      </c>
      <c r="I243" s="82" t="s">
        <v>429</v>
      </c>
      <c r="J243" s="86" t="s">
        <v>436</v>
      </c>
    </row>
    <row r="244" spans="1:10" x14ac:dyDescent="0.25">
      <c r="A244" s="82" t="s">
        <v>931</v>
      </c>
      <c r="B244" s="82" t="s">
        <v>932</v>
      </c>
      <c r="C244" s="82" t="s">
        <v>431</v>
      </c>
      <c r="D244" s="83" t="s">
        <v>564</v>
      </c>
      <c r="E244" s="84" t="s">
        <v>625</v>
      </c>
      <c r="F244" s="84" t="s">
        <v>434</v>
      </c>
      <c r="G244" s="85" t="s">
        <v>435</v>
      </c>
      <c r="H244" s="85" t="s">
        <v>435</v>
      </c>
      <c r="I244" s="82" t="s">
        <v>429</v>
      </c>
      <c r="J244" s="86" t="s">
        <v>436</v>
      </c>
    </row>
    <row r="245" spans="1:10" x14ac:dyDescent="0.25">
      <c r="A245" s="82" t="s">
        <v>933</v>
      </c>
      <c r="B245" s="82" t="s">
        <v>934</v>
      </c>
      <c r="C245" s="82" t="s">
        <v>636</v>
      </c>
      <c r="D245" s="83" t="s">
        <v>432</v>
      </c>
      <c r="E245" s="84" t="s">
        <v>571</v>
      </c>
      <c r="F245" s="84" t="s">
        <v>434</v>
      </c>
      <c r="G245" s="85" t="s">
        <v>435</v>
      </c>
      <c r="H245" s="85" t="s">
        <v>435</v>
      </c>
      <c r="I245" s="82" t="s">
        <v>429</v>
      </c>
      <c r="J245" s="86" t="s">
        <v>436</v>
      </c>
    </row>
    <row r="246" spans="1:10" x14ac:dyDescent="0.25">
      <c r="A246" s="82" t="s">
        <v>935</v>
      </c>
      <c r="B246" s="82" t="s">
        <v>936</v>
      </c>
      <c r="C246" s="82" t="s">
        <v>446</v>
      </c>
      <c r="D246" s="83" t="s">
        <v>447</v>
      </c>
      <c r="E246" s="84" t="s">
        <v>744</v>
      </c>
      <c r="F246" s="84" t="s">
        <v>434</v>
      </c>
      <c r="G246" s="85" t="s">
        <v>435</v>
      </c>
      <c r="H246" s="85" t="s">
        <v>435</v>
      </c>
      <c r="I246" s="82" t="s">
        <v>429</v>
      </c>
      <c r="J246" s="86" t="s">
        <v>436</v>
      </c>
    </row>
    <row r="247" spans="1:10" x14ac:dyDescent="0.25">
      <c r="A247" s="82" t="s">
        <v>937</v>
      </c>
      <c r="B247" s="82" t="s">
        <v>938</v>
      </c>
      <c r="C247" s="82" t="s">
        <v>431</v>
      </c>
      <c r="D247" s="83" t="s">
        <v>432</v>
      </c>
      <c r="E247" s="84" t="s">
        <v>744</v>
      </c>
      <c r="F247" s="84" t="s">
        <v>434</v>
      </c>
      <c r="G247" s="85" t="s">
        <v>435</v>
      </c>
      <c r="H247" s="85" t="s">
        <v>435</v>
      </c>
      <c r="I247" s="82" t="s">
        <v>429</v>
      </c>
      <c r="J247" s="86" t="s">
        <v>436</v>
      </c>
    </row>
    <row r="248" spans="1:10" x14ac:dyDescent="0.25">
      <c r="A248" s="82" t="s">
        <v>939</v>
      </c>
      <c r="B248" s="82" t="s">
        <v>322</v>
      </c>
      <c r="C248" s="82" t="s">
        <v>940</v>
      </c>
      <c r="D248" s="83" t="s">
        <v>432</v>
      </c>
      <c r="E248" s="84" t="s">
        <v>870</v>
      </c>
      <c r="F248" s="84" t="s">
        <v>434</v>
      </c>
      <c r="G248" s="85" t="s">
        <v>435</v>
      </c>
      <c r="H248" s="85" t="s">
        <v>435</v>
      </c>
      <c r="I248" s="82" t="s">
        <v>429</v>
      </c>
      <c r="J248" s="86" t="s">
        <v>436</v>
      </c>
    </row>
    <row r="249" spans="1:10" x14ac:dyDescent="0.25">
      <c r="A249" s="82" t="s">
        <v>941</v>
      </c>
      <c r="B249" s="82" t="s">
        <v>696</v>
      </c>
      <c r="C249" s="82" t="s">
        <v>446</v>
      </c>
      <c r="D249" s="83" t="s">
        <v>803</v>
      </c>
      <c r="E249" s="84" t="s">
        <v>744</v>
      </c>
      <c r="F249" s="84" t="s">
        <v>434</v>
      </c>
      <c r="G249" s="85" t="s">
        <v>435</v>
      </c>
      <c r="H249" s="85" t="s">
        <v>435</v>
      </c>
      <c r="I249" s="82" t="s">
        <v>429</v>
      </c>
      <c r="J249" s="86" t="s">
        <v>436</v>
      </c>
    </row>
    <row r="250" spans="1:10" x14ac:dyDescent="0.25">
      <c r="A250" s="82" t="s">
        <v>942</v>
      </c>
      <c r="B250" s="82" t="s">
        <v>405</v>
      </c>
      <c r="C250" s="82" t="s">
        <v>911</v>
      </c>
      <c r="D250" s="83" t="s">
        <v>564</v>
      </c>
      <c r="E250" s="84" t="s">
        <v>606</v>
      </c>
      <c r="F250" s="84" t="s">
        <v>434</v>
      </c>
      <c r="G250" s="85" t="s">
        <v>435</v>
      </c>
      <c r="H250" s="85" t="s">
        <v>435</v>
      </c>
      <c r="I250" s="82" t="s">
        <v>429</v>
      </c>
      <c r="J250" s="86" t="s">
        <v>436</v>
      </c>
    </row>
    <row r="251" spans="1:10" x14ac:dyDescent="0.25">
      <c r="A251" s="82" t="s">
        <v>943</v>
      </c>
      <c r="B251" s="82" t="s">
        <v>251</v>
      </c>
      <c r="C251" s="82" t="s">
        <v>592</v>
      </c>
      <c r="D251" s="83" t="s">
        <v>432</v>
      </c>
      <c r="E251" s="84" t="s">
        <v>551</v>
      </c>
      <c r="F251" s="84" t="s">
        <v>434</v>
      </c>
      <c r="G251" s="85" t="s">
        <v>435</v>
      </c>
      <c r="H251" s="85" t="s">
        <v>435</v>
      </c>
      <c r="I251" s="82" t="s">
        <v>429</v>
      </c>
      <c r="J251" s="86" t="s">
        <v>436</v>
      </c>
    </row>
    <row r="252" spans="1:10" x14ac:dyDescent="0.25">
      <c r="A252" s="82" t="s">
        <v>944</v>
      </c>
      <c r="B252" s="82" t="s">
        <v>786</v>
      </c>
      <c r="C252" s="82" t="s">
        <v>550</v>
      </c>
      <c r="D252" s="83" t="s">
        <v>616</v>
      </c>
      <c r="E252" s="84" t="s">
        <v>451</v>
      </c>
      <c r="F252" s="84" t="s">
        <v>434</v>
      </c>
      <c r="G252" s="85" t="s">
        <v>435</v>
      </c>
      <c r="H252" s="85" t="s">
        <v>435</v>
      </c>
      <c r="I252" s="82" t="s">
        <v>429</v>
      </c>
      <c r="J252" s="86" t="s">
        <v>436</v>
      </c>
    </row>
    <row r="253" spans="1:10" x14ac:dyDescent="0.25">
      <c r="A253" s="82" t="s">
        <v>945</v>
      </c>
      <c r="B253" s="82" t="s">
        <v>289</v>
      </c>
      <c r="C253" s="82" t="s">
        <v>584</v>
      </c>
      <c r="D253" s="83" t="s">
        <v>432</v>
      </c>
      <c r="E253" s="84" t="s">
        <v>557</v>
      </c>
      <c r="F253" s="84" t="s">
        <v>434</v>
      </c>
      <c r="G253" s="85" t="s">
        <v>435</v>
      </c>
      <c r="H253" s="85" t="s">
        <v>435</v>
      </c>
      <c r="I253" s="82" t="s">
        <v>429</v>
      </c>
      <c r="J253" s="86" t="s">
        <v>436</v>
      </c>
    </row>
    <row r="254" spans="1:10" x14ac:dyDescent="0.25">
      <c r="A254" s="82" t="s">
        <v>946</v>
      </c>
      <c r="B254" s="82" t="s">
        <v>370</v>
      </c>
      <c r="C254" s="82" t="s">
        <v>550</v>
      </c>
      <c r="D254" s="83" t="s">
        <v>616</v>
      </c>
      <c r="E254" s="84" t="s">
        <v>571</v>
      </c>
      <c r="F254" s="84" t="s">
        <v>434</v>
      </c>
      <c r="G254" s="85" t="s">
        <v>435</v>
      </c>
      <c r="H254" s="85" t="s">
        <v>435</v>
      </c>
      <c r="I254" s="82" t="s">
        <v>429</v>
      </c>
      <c r="J254" s="86" t="s">
        <v>436</v>
      </c>
    </row>
    <row r="255" spans="1:10" x14ac:dyDescent="0.25">
      <c r="A255" s="82" t="s">
        <v>947</v>
      </c>
      <c r="B255" s="82" t="s">
        <v>948</v>
      </c>
      <c r="C255" s="82" t="s">
        <v>584</v>
      </c>
      <c r="D255" s="83" t="s">
        <v>432</v>
      </c>
      <c r="E255" s="84" t="s">
        <v>557</v>
      </c>
      <c r="F255" s="84" t="s">
        <v>433</v>
      </c>
      <c r="G255" s="85" t="s">
        <v>435</v>
      </c>
      <c r="H255" s="85" t="s">
        <v>435</v>
      </c>
      <c r="I255" s="82" t="s">
        <v>429</v>
      </c>
      <c r="J255" s="86" t="s">
        <v>587</v>
      </c>
    </row>
    <row r="256" spans="1:10" x14ac:dyDescent="0.25">
      <c r="A256" s="82" t="s">
        <v>949</v>
      </c>
      <c r="B256" s="82" t="s">
        <v>287</v>
      </c>
      <c r="C256" s="82" t="s">
        <v>584</v>
      </c>
      <c r="D256" s="83" t="s">
        <v>432</v>
      </c>
      <c r="E256" s="84" t="s">
        <v>557</v>
      </c>
      <c r="F256" s="84" t="s">
        <v>433</v>
      </c>
      <c r="G256" s="85" t="s">
        <v>435</v>
      </c>
      <c r="H256" s="85" t="s">
        <v>435</v>
      </c>
      <c r="I256" s="82" t="s">
        <v>429</v>
      </c>
      <c r="J256" s="86" t="s">
        <v>436</v>
      </c>
    </row>
    <row r="257" spans="1:10" x14ac:dyDescent="0.25">
      <c r="A257" s="82" t="s">
        <v>950</v>
      </c>
      <c r="B257" s="82" t="s">
        <v>311</v>
      </c>
      <c r="C257" s="82" t="s">
        <v>584</v>
      </c>
      <c r="D257" s="83" t="s">
        <v>432</v>
      </c>
      <c r="E257" s="84" t="s">
        <v>557</v>
      </c>
      <c r="F257" s="84" t="s">
        <v>434</v>
      </c>
      <c r="G257" s="85" t="s">
        <v>435</v>
      </c>
      <c r="H257" s="85" t="s">
        <v>435</v>
      </c>
      <c r="I257" s="82" t="s">
        <v>429</v>
      </c>
      <c r="J257" s="86" t="s">
        <v>436</v>
      </c>
    </row>
    <row r="258" spans="1:10" x14ac:dyDescent="0.25">
      <c r="A258" s="82" t="s">
        <v>951</v>
      </c>
      <c r="B258" s="82" t="s">
        <v>323</v>
      </c>
      <c r="C258" s="82" t="s">
        <v>940</v>
      </c>
      <c r="D258" s="83" t="s">
        <v>432</v>
      </c>
      <c r="E258" s="84" t="s">
        <v>870</v>
      </c>
      <c r="F258" s="84" t="s">
        <v>434</v>
      </c>
      <c r="G258" s="85" t="s">
        <v>435</v>
      </c>
      <c r="H258" s="85" t="s">
        <v>435</v>
      </c>
      <c r="I258" s="82" t="s">
        <v>429</v>
      </c>
      <c r="J258" s="86" t="s">
        <v>436</v>
      </c>
    </row>
    <row r="259" spans="1:10" x14ac:dyDescent="0.25">
      <c r="A259" s="82" t="s">
        <v>952</v>
      </c>
      <c r="B259" s="82" t="s">
        <v>324</v>
      </c>
      <c r="C259" s="82" t="s">
        <v>940</v>
      </c>
      <c r="D259" s="83" t="s">
        <v>432</v>
      </c>
      <c r="E259" s="84" t="s">
        <v>870</v>
      </c>
      <c r="F259" s="84" t="s">
        <v>637</v>
      </c>
      <c r="G259" s="85" t="s">
        <v>435</v>
      </c>
      <c r="H259" s="85" t="s">
        <v>435</v>
      </c>
      <c r="I259" s="82" t="s">
        <v>429</v>
      </c>
      <c r="J259" s="86" t="s">
        <v>436</v>
      </c>
    </row>
    <row r="260" spans="1:10" x14ac:dyDescent="0.25">
      <c r="A260" s="82" t="s">
        <v>953</v>
      </c>
      <c r="B260" s="82" t="s">
        <v>325</v>
      </c>
      <c r="C260" s="82" t="s">
        <v>940</v>
      </c>
      <c r="D260" s="83" t="s">
        <v>432</v>
      </c>
      <c r="E260" s="84" t="s">
        <v>870</v>
      </c>
      <c r="F260" s="84" t="s">
        <v>637</v>
      </c>
      <c r="G260" s="85" t="s">
        <v>435</v>
      </c>
      <c r="H260" s="85" t="s">
        <v>435</v>
      </c>
      <c r="I260" s="82" t="s">
        <v>429</v>
      </c>
      <c r="J260" s="86" t="s">
        <v>436</v>
      </c>
    </row>
    <row r="261" spans="1:10" x14ac:dyDescent="0.25">
      <c r="A261" s="82" t="s">
        <v>954</v>
      </c>
      <c r="B261" s="82" t="s">
        <v>326</v>
      </c>
      <c r="C261" s="82" t="s">
        <v>940</v>
      </c>
      <c r="D261" s="83" t="s">
        <v>432</v>
      </c>
      <c r="E261" s="84" t="s">
        <v>870</v>
      </c>
      <c r="F261" s="84" t="s">
        <v>434</v>
      </c>
      <c r="G261" s="85" t="s">
        <v>435</v>
      </c>
      <c r="H261" s="85" t="s">
        <v>435</v>
      </c>
      <c r="I261" s="82" t="s">
        <v>429</v>
      </c>
      <c r="J261" s="86" t="s">
        <v>436</v>
      </c>
    </row>
    <row r="262" spans="1:10" x14ac:dyDescent="0.25">
      <c r="A262" s="82" t="s">
        <v>955</v>
      </c>
      <c r="B262" s="82" t="s">
        <v>297</v>
      </c>
      <c r="C262" s="82" t="s">
        <v>584</v>
      </c>
      <c r="D262" s="83" t="s">
        <v>432</v>
      </c>
      <c r="E262" s="84" t="s">
        <v>888</v>
      </c>
      <c r="F262" s="84" t="s">
        <v>434</v>
      </c>
      <c r="G262" s="85" t="s">
        <v>435</v>
      </c>
      <c r="H262" s="85" t="s">
        <v>435</v>
      </c>
      <c r="I262" s="82" t="s">
        <v>429</v>
      </c>
      <c r="J262" s="86" t="s">
        <v>436</v>
      </c>
    </row>
    <row r="263" spans="1:10" x14ac:dyDescent="0.25">
      <c r="A263" s="82" t="s">
        <v>956</v>
      </c>
      <c r="B263" s="82" t="s">
        <v>279</v>
      </c>
      <c r="C263" s="82" t="s">
        <v>592</v>
      </c>
      <c r="D263" s="83" t="s">
        <v>432</v>
      </c>
      <c r="E263" s="84" t="s">
        <v>557</v>
      </c>
      <c r="F263" s="84" t="s">
        <v>434</v>
      </c>
      <c r="G263" s="85" t="s">
        <v>435</v>
      </c>
      <c r="H263" s="85" t="s">
        <v>435</v>
      </c>
      <c r="I263" s="82" t="s">
        <v>429</v>
      </c>
      <c r="J263" s="86" t="s">
        <v>436</v>
      </c>
    </row>
    <row r="264" spans="1:10" x14ac:dyDescent="0.25">
      <c r="A264" s="82" t="s">
        <v>957</v>
      </c>
      <c r="B264" s="82" t="s">
        <v>327</v>
      </c>
      <c r="C264" s="82" t="s">
        <v>940</v>
      </c>
      <c r="D264" s="83" t="s">
        <v>432</v>
      </c>
      <c r="E264" s="84" t="s">
        <v>557</v>
      </c>
      <c r="F264" s="84" t="s">
        <v>434</v>
      </c>
      <c r="G264" s="85" t="s">
        <v>435</v>
      </c>
      <c r="H264" s="85" t="s">
        <v>435</v>
      </c>
      <c r="I264" s="82" t="s">
        <v>429</v>
      </c>
      <c r="J264" s="86" t="s">
        <v>436</v>
      </c>
    </row>
    <row r="265" spans="1:10" x14ac:dyDescent="0.25">
      <c r="A265" s="82" t="s">
        <v>958</v>
      </c>
      <c r="B265" s="82" t="s">
        <v>328</v>
      </c>
      <c r="C265" s="82" t="s">
        <v>940</v>
      </c>
      <c r="D265" s="83" t="s">
        <v>432</v>
      </c>
      <c r="E265" s="84" t="s">
        <v>557</v>
      </c>
      <c r="F265" s="84" t="s">
        <v>434</v>
      </c>
      <c r="G265" s="85" t="s">
        <v>435</v>
      </c>
      <c r="H265" s="85" t="s">
        <v>435</v>
      </c>
      <c r="I265" s="82" t="s">
        <v>429</v>
      </c>
      <c r="J265" s="86" t="s">
        <v>436</v>
      </c>
    </row>
    <row r="266" spans="1:10" x14ac:dyDescent="0.25">
      <c r="A266" s="82" t="s">
        <v>959</v>
      </c>
      <c r="B266" s="82" t="s">
        <v>329</v>
      </c>
      <c r="C266" s="82" t="s">
        <v>940</v>
      </c>
      <c r="D266" s="83" t="s">
        <v>432</v>
      </c>
      <c r="E266" s="84" t="s">
        <v>557</v>
      </c>
      <c r="F266" s="84" t="s">
        <v>434</v>
      </c>
      <c r="G266" s="85" t="s">
        <v>435</v>
      </c>
      <c r="H266" s="85" t="s">
        <v>435</v>
      </c>
      <c r="I266" s="82" t="s">
        <v>429</v>
      </c>
      <c r="J266" s="86" t="s">
        <v>436</v>
      </c>
    </row>
    <row r="267" spans="1:10" x14ac:dyDescent="0.25">
      <c r="A267" s="82" t="s">
        <v>960</v>
      </c>
      <c r="B267" s="82" t="s">
        <v>330</v>
      </c>
      <c r="C267" s="82" t="s">
        <v>940</v>
      </c>
      <c r="D267" s="83" t="s">
        <v>432</v>
      </c>
      <c r="E267" s="84" t="s">
        <v>557</v>
      </c>
      <c r="F267" s="84" t="s">
        <v>434</v>
      </c>
      <c r="G267" s="85" t="s">
        <v>435</v>
      </c>
      <c r="H267" s="85" t="s">
        <v>435</v>
      </c>
      <c r="I267" s="82" t="s">
        <v>429</v>
      </c>
      <c r="J267" s="86" t="s">
        <v>436</v>
      </c>
    </row>
    <row r="268" spans="1:10" x14ac:dyDescent="0.25">
      <c r="A268" s="82" t="s">
        <v>961</v>
      </c>
      <c r="B268" s="82" t="s">
        <v>247</v>
      </c>
      <c r="C268" s="82" t="s">
        <v>550</v>
      </c>
      <c r="D268" s="83" t="s">
        <v>439</v>
      </c>
      <c r="E268" s="84" t="s">
        <v>571</v>
      </c>
      <c r="F268" s="84" t="s">
        <v>637</v>
      </c>
      <c r="G268" s="85" t="s">
        <v>435</v>
      </c>
      <c r="H268" s="85" t="s">
        <v>435</v>
      </c>
      <c r="I268" s="82" t="s">
        <v>429</v>
      </c>
      <c r="J268" s="86" t="s">
        <v>436</v>
      </c>
    </row>
    <row r="269" spans="1:10" x14ac:dyDescent="0.25">
      <c r="A269" s="82" t="s">
        <v>962</v>
      </c>
      <c r="B269" s="82" t="s">
        <v>340</v>
      </c>
      <c r="C269" s="82" t="s">
        <v>559</v>
      </c>
      <c r="D269" s="83" t="s">
        <v>432</v>
      </c>
      <c r="E269" s="84" t="s">
        <v>557</v>
      </c>
      <c r="F269" s="84" t="s">
        <v>434</v>
      </c>
      <c r="G269" s="85" t="s">
        <v>435</v>
      </c>
      <c r="H269" s="85" t="s">
        <v>435</v>
      </c>
      <c r="I269" s="82" t="s">
        <v>429</v>
      </c>
      <c r="J269" s="86" t="s">
        <v>436</v>
      </c>
    </row>
    <row r="270" spans="1:10" x14ac:dyDescent="0.25">
      <c r="A270" s="82" t="s">
        <v>963</v>
      </c>
      <c r="B270" s="82" t="s">
        <v>248</v>
      </c>
      <c r="C270" s="82" t="s">
        <v>550</v>
      </c>
      <c r="D270" s="83" t="s">
        <v>432</v>
      </c>
      <c r="E270" s="84" t="s">
        <v>551</v>
      </c>
      <c r="F270" s="84" t="s">
        <v>557</v>
      </c>
      <c r="G270" s="85" t="s">
        <v>435</v>
      </c>
      <c r="H270" s="85" t="s">
        <v>435</v>
      </c>
      <c r="I270" s="82" t="s">
        <v>429</v>
      </c>
      <c r="J270" s="86" t="s">
        <v>436</v>
      </c>
    </row>
    <row r="271" spans="1:10" x14ac:dyDescent="0.25">
      <c r="A271" s="82" t="s">
        <v>964</v>
      </c>
      <c r="B271" s="82" t="s">
        <v>292</v>
      </c>
      <c r="C271" s="82" t="s">
        <v>584</v>
      </c>
      <c r="D271" s="83" t="s">
        <v>432</v>
      </c>
      <c r="E271" s="84" t="s">
        <v>557</v>
      </c>
      <c r="F271" s="84" t="s">
        <v>433</v>
      </c>
      <c r="G271" s="85" t="s">
        <v>435</v>
      </c>
      <c r="H271" s="85" t="s">
        <v>435</v>
      </c>
      <c r="I271" s="82" t="s">
        <v>429</v>
      </c>
      <c r="J271" s="86" t="s">
        <v>436</v>
      </c>
    </row>
    <row r="272" spans="1:10" x14ac:dyDescent="0.25">
      <c r="A272" s="82" t="s">
        <v>965</v>
      </c>
      <c r="B272" s="82" t="s">
        <v>285</v>
      </c>
      <c r="C272" s="82" t="s">
        <v>584</v>
      </c>
      <c r="D272" s="83" t="s">
        <v>432</v>
      </c>
      <c r="E272" s="84" t="s">
        <v>557</v>
      </c>
      <c r="F272" s="84" t="s">
        <v>433</v>
      </c>
      <c r="G272" s="85" t="s">
        <v>435</v>
      </c>
      <c r="H272" s="85" t="s">
        <v>435</v>
      </c>
      <c r="I272" s="82" t="s">
        <v>429</v>
      </c>
      <c r="J272" s="86" t="s">
        <v>436</v>
      </c>
    </row>
    <row r="273" spans="1:10" x14ac:dyDescent="0.25">
      <c r="A273" s="82" t="s">
        <v>966</v>
      </c>
      <c r="B273" s="82" t="s">
        <v>331</v>
      </c>
      <c r="C273" s="82" t="s">
        <v>940</v>
      </c>
      <c r="D273" s="83" t="s">
        <v>432</v>
      </c>
      <c r="E273" s="84" t="s">
        <v>870</v>
      </c>
      <c r="F273" s="84" t="s">
        <v>637</v>
      </c>
      <c r="G273" s="85" t="s">
        <v>435</v>
      </c>
      <c r="H273" s="85" t="s">
        <v>435</v>
      </c>
      <c r="I273" s="82" t="s">
        <v>429</v>
      </c>
      <c r="J273" s="86" t="s">
        <v>436</v>
      </c>
    </row>
    <row r="274" spans="1:10" x14ac:dyDescent="0.25">
      <c r="A274" s="82" t="s">
        <v>967</v>
      </c>
      <c r="B274" s="82" t="s">
        <v>968</v>
      </c>
      <c r="C274" s="82" t="s">
        <v>584</v>
      </c>
      <c r="D274" s="83" t="s">
        <v>432</v>
      </c>
      <c r="E274" s="84" t="s">
        <v>433</v>
      </c>
      <c r="F274" s="84" t="s">
        <v>434</v>
      </c>
      <c r="G274" s="85" t="s">
        <v>435</v>
      </c>
      <c r="H274" s="85" t="s">
        <v>435</v>
      </c>
      <c r="I274" s="82" t="s">
        <v>429</v>
      </c>
      <c r="J274" s="86" t="s">
        <v>436</v>
      </c>
    </row>
    <row r="275" spans="1:10" x14ac:dyDescent="0.25">
      <c r="A275" s="82" t="s">
        <v>969</v>
      </c>
      <c r="B275" s="82" t="s">
        <v>970</v>
      </c>
      <c r="C275" s="82" t="s">
        <v>559</v>
      </c>
      <c r="D275" s="83" t="s">
        <v>564</v>
      </c>
      <c r="E275" s="84" t="s">
        <v>870</v>
      </c>
      <c r="F275" s="84" t="s">
        <v>434</v>
      </c>
      <c r="G275" s="85" t="s">
        <v>435</v>
      </c>
      <c r="H275" s="85" t="s">
        <v>435</v>
      </c>
      <c r="I275" s="82" t="s">
        <v>429</v>
      </c>
      <c r="J275" s="86" t="s">
        <v>436</v>
      </c>
    </row>
    <row r="276" spans="1:10" x14ac:dyDescent="0.25">
      <c r="A276" s="82" t="s">
        <v>971</v>
      </c>
      <c r="B276" s="82" t="s">
        <v>75</v>
      </c>
      <c r="C276" s="82" t="s">
        <v>559</v>
      </c>
      <c r="D276" s="83" t="s">
        <v>432</v>
      </c>
      <c r="E276" s="84" t="s">
        <v>625</v>
      </c>
      <c r="F276" s="84" t="s">
        <v>434</v>
      </c>
      <c r="G276" s="85" t="s">
        <v>435</v>
      </c>
      <c r="H276" s="85" t="s">
        <v>435</v>
      </c>
      <c r="I276" s="82" t="s">
        <v>429</v>
      </c>
      <c r="J276" s="86" t="s">
        <v>436</v>
      </c>
    </row>
    <row r="277" spans="1:10" x14ac:dyDescent="0.25">
      <c r="A277" s="82" t="s">
        <v>972</v>
      </c>
      <c r="B277" s="82" t="s">
        <v>332</v>
      </c>
      <c r="C277" s="82" t="s">
        <v>940</v>
      </c>
      <c r="D277" s="83" t="s">
        <v>432</v>
      </c>
      <c r="E277" s="84" t="s">
        <v>870</v>
      </c>
      <c r="F277" s="84" t="s">
        <v>637</v>
      </c>
      <c r="G277" s="85" t="s">
        <v>435</v>
      </c>
      <c r="H277" s="85" t="s">
        <v>435</v>
      </c>
      <c r="I277" s="82" t="s">
        <v>429</v>
      </c>
      <c r="J277" s="86" t="s">
        <v>436</v>
      </c>
    </row>
    <row r="278" spans="1:10" x14ac:dyDescent="0.25">
      <c r="A278" s="82" t="s">
        <v>973</v>
      </c>
      <c r="B278" s="82" t="s">
        <v>369</v>
      </c>
      <c r="C278" s="82" t="s">
        <v>550</v>
      </c>
      <c r="D278" s="83" t="s">
        <v>604</v>
      </c>
      <c r="E278" s="84" t="s">
        <v>551</v>
      </c>
      <c r="F278" s="84" t="s">
        <v>434</v>
      </c>
      <c r="G278" s="85" t="s">
        <v>435</v>
      </c>
      <c r="H278" s="85" t="s">
        <v>435</v>
      </c>
      <c r="I278" s="82" t="s">
        <v>429</v>
      </c>
      <c r="J278" s="86" t="s">
        <v>436</v>
      </c>
    </row>
    <row r="279" spans="1:10" x14ac:dyDescent="0.25">
      <c r="A279" s="82" t="s">
        <v>974</v>
      </c>
      <c r="B279" s="82" t="s">
        <v>368</v>
      </c>
      <c r="C279" s="82" t="s">
        <v>636</v>
      </c>
      <c r="D279" s="83" t="s">
        <v>604</v>
      </c>
      <c r="E279" s="84" t="s">
        <v>566</v>
      </c>
      <c r="F279" s="84" t="s">
        <v>434</v>
      </c>
      <c r="G279" s="85" t="s">
        <v>435</v>
      </c>
      <c r="H279" s="85" t="s">
        <v>435</v>
      </c>
      <c r="I279" s="82" t="s">
        <v>429</v>
      </c>
      <c r="J279" s="86" t="s">
        <v>436</v>
      </c>
    </row>
    <row r="280" spans="1:10" x14ac:dyDescent="0.25">
      <c r="A280" s="82" t="s">
        <v>975</v>
      </c>
      <c r="B280" s="82" t="s">
        <v>382</v>
      </c>
      <c r="C280" s="82" t="s">
        <v>592</v>
      </c>
      <c r="D280" s="83" t="s">
        <v>616</v>
      </c>
      <c r="E280" s="84" t="s">
        <v>557</v>
      </c>
      <c r="F280" s="84" t="s">
        <v>611</v>
      </c>
      <c r="G280" s="85" t="s">
        <v>435</v>
      </c>
      <c r="H280" s="85" t="s">
        <v>435</v>
      </c>
      <c r="I280" s="82" t="s">
        <v>429</v>
      </c>
      <c r="J280" s="86" t="s">
        <v>436</v>
      </c>
    </row>
    <row r="281" spans="1:10" x14ac:dyDescent="0.25">
      <c r="A281" s="82" t="s">
        <v>976</v>
      </c>
      <c r="B281" s="82" t="s">
        <v>347</v>
      </c>
      <c r="C281" s="82" t="s">
        <v>550</v>
      </c>
      <c r="D281" s="83" t="s">
        <v>432</v>
      </c>
      <c r="E281" s="84" t="s">
        <v>557</v>
      </c>
      <c r="F281" s="84" t="s">
        <v>434</v>
      </c>
      <c r="G281" s="85" t="s">
        <v>435</v>
      </c>
      <c r="H281" s="85" t="s">
        <v>435</v>
      </c>
      <c r="I281" s="82" t="s">
        <v>429</v>
      </c>
      <c r="J281" s="86" t="s">
        <v>436</v>
      </c>
    </row>
    <row r="282" spans="1:10" x14ac:dyDescent="0.25">
      <c r="A282" s="82" t="s">
        <v>977</v>
      </c>
      <c r="B282" s="82" t="s">
        <v>978</v>
      </c>
      <c r="C282" s="82" t="s">
        <v>592</v>
      </c>
      <c r="D282" s="83" t="s">
        <v>432</v>
      </c>
      <c r="E282" s="84" t="s">
        <v>557</v>
      </c>
      <c r="F282" s="84" t="s">
        <v>434</v>
      </c>
      <c r="G282" s="85" t="s">
        <v>435</v>
      </c>
      <c r="H282" s="85" t="s">
        <v>435</v>
      </c>
      <c r="I282" s="82" t="s">
        <v>429</v>
      </c>
      <c r="J282" s="86" t="s">
        <v>436</v>
      </c>
    </row>
    <row r="283" spans="1:10" x14ac:dyDescent="0.25">
      <c r="A283" s="82" t="s">
        <v>979</v>
      </c>
      <c r="B283" s="82" t="s">
        <v>392</v>
      </c>
      <c r="C283" s="82" t="s">
        <v>592</v>
      </c>
      <c r="D283" s="83" t="s">
        <v>432</v>
      </c>
      <c r="E283" s="84" t="s">
        <v>625</v>
      </c>
      <c r="F283" s="84" t="s">
        <v>434</v>
      </c>
      <c r="G283" s="85" t="s">
        <v>435</v>
      </c>
      <c r="H283" s="85" t="s">
        <v>435</v>
      </c>
      <c r="I283" s="82" t="s">
        <v>429</v>
      </c>
      <c r="J283" s="86" t="s">
        <v>436</v>
      </c>
    </row>
    <row r="284" spans="1:10" x14ac:dyDescent="0.25">
      <c r="A284" s="82" t="s">
        <v>980</v>
      </c>
      <c r="B284" s="82" t="s">
        <v>333</v>
      </c>
      <c r="C284" s="82" t="s">
        <v>940</v>
      </c>
      <c r="D284" s="83" t="s">
        <v>432</v>
      </c>
      <c r="E284" s="84" t="s">
        <v>557</v>
      </c>
      <c r="F284" s="84" t="s">
        <v>434</v>
      </c>
      <c r="G284" s="85" t="s">
        <v>435</v>
      </c>
      <c r="H284" s="85" t="s">
        <v>435</v>
      </c>
      <c r="I284" s="82" t="s">
        <v>429</v>
      </c>
      <c r="J284" s="86" t="s">
        <v>436</v>
      </c>
    </row>
    <row r="285" spans="1:10" x14ac:dyDescent="0.25">
      <c r="A285" s="82" t="s">
        <v>981</v>
      </c>
      <c r="B285" s="82" t="s">
        <v>145</v>
      </c>
      <c r="C285" s="82" t="s">
        <v>559</v>
      </c>
      <c r="D285" s="83" t="s">
        <v>432</v>
      </c>
      <c r="E285" s="84" t="s">
        <v>611</v>
      </c>
      <c r="F285" s="84" t="s">
        <v>434</v>
      </c>
      <c r="G285" s="85" t="s">
        <v>435</v>
      </c>
      <c r="H285" s="85" t="s">
        <v>435</v>
      </c>
      <c r="I285" s="82" t="s">
        <v>429</v>
      </c>
      <c r="J285" s="86" t="s">
        <v>436</v>
      </c>
    </row>
    <row r="286" spans="1:10" x14ac:dyDescent="0.25">
      <c r="A286" s="82" t="s">
        <v>982</v>
      </c>
      <c r="B286" s="82" t="s">
        <v>334</v>
      </c>
      <c r="C286" s="82" t="s">
        <v>940</v>
      </c>
      <c r="D286" s="83" t="s">
        <v>432</v>
      </c>
      <c r="E286" s="84" t="s">
        <v>870</v>
      </c>
      <c r="F286" s="84" t="s">
        <v>637</v>
      </c>
      <c r="G286" s="85" t="s">
        <v>435</v>
      </c>
      <c r="H286" s="85" t="s">
        <v>435</v>
      </c>
      <c r="I286" s="82" t="s">
        <v>429</v>
      </c>
      <c r="J286" s="86" t="s">
        <v>436</v>
      </c>
    </row>
    <row r="287" spans="1:10" x14ac:dyDescent="0.25">
      <c r="A287" s="82" t="s">
        <v>983</v>
      </c>
      <c r="B287" s="82" t="s">
        <v>101</v>
      </c>
      <c r="C287" s="82" t="s">
        <v>559</v>
      </c>
      <c r="D287" s="83" t="s">
        <v>432</v>
      </c>
      <c r="E287" s="84" t="s">
        <v>557</v>
      </c>
      <c r="F287" s="84" t="s">
        <v>434</v>
      </c>
      <c r="G287" s="85" t="s">
        <v>435</v>
      </c>
      <c r="H287" s="85" t="s">
        <v>435</v>
      </c>
      <c r="I287" s="82" t="s">
        <v>429</v>
      </c>
      <c r="J287" s="86" t="s">
        <v>436</v>
      </c>
    </row>
    <row r="288" spans="1:10" x14ac:dyDescent="0.25">
      <c r="A288" s="82" t="s">
        <v>984</v>
      </c>
      <c r="B288" s="82" t="s">
        <v>354</v>
      </c>
      <c r="C288" s="82" t="s">
        <v>559</v>
      </c>
      <c r="D288" s="83" t="s">
        <v>432</v>
      </c>
      <c r="E288" s="84" t="s">
        <v>551</v>
      </c>
      <c r="F288" s="84" t="s">
        <v>434</v>
      </c>
      <c r="G288" s="85" t="s">
        <v>435</v>
      </c>
      <c r="H288" s="85" t="s">
        <v>435</v>
      </c>
      <c r="I288" s="82" t="s">
        <v>429</v>
      </c>
      <c r="J288" s="86" t="s">
        <v>436</v>
      </c>
    </row>
    <row r="289" spans="1:10" x14ac:dyDescent="0.25">
      <c r="A289" s="82" t="s">
        <v>985</v>
      </c>
      <c r="B289" s="82" t="s">
        <v>310</v>
      </c>
      <c r="C289" s="82" t="s">
        <v>559</v>
      </c>
      <c r="D289" s="83" t="s">
        <v>432</v>
      </c>
      <c r="E289" s="84" t="s">
        <v>551</v>
      </c>
      <c r="F289" s="84" t="s">
        <v>433</v>
      </c>
      <c r="G289" s="85" t="s">
        <v>435</v>
      </c>
      <c r="H289" s="85" t="s">
        <v>435</v>
      </c>
      <c r="I289" s="82" t="s">
        <v>429</v>
      </c>
      <c r="J289" s="86" t="s">
        <v>436</v>
      </c>
    </row>
    <row r="290" spans="1:10" x14ac:dyDescent="0.25">
      <c r="A290" s="82" t="s">
        <v>986</v>
      </c>
      <c r="B290" s="82" t="s">
        <v>987</v>
      </c>
      <c r="C290" s="82" t="s">
        <v>559</v>
      </c>
      <c r="D290" s="83" t="s">
        <v>432</v>
      </c>
      <c r="E290" s="84" t="s">
        <v>551</v>
      </c>
      <c r="F290" s="84" t="s">
        <v>434</v>
      </c>
      <c r="G290" s="85" t="s">
        <v>435</v>
      </c>
      <c r="H290" s="85" t="s">
        <v>435</v>
      </c>
      <c r="I290" s="82" t="s">
        <v>429</v>
      </c>
      <c r="J290" s="86" t="s">
        <v>436</v>
      </c>
    </row>
    <row r="291" spans="1:10" x14ac:dyDescent="0.25">
      <c r="A291" s="82" t="s">
        <v>988</v>
      </c>
      <c r="B291" s="82" t="s">
        <v>146</v>
      </c>
      <c r="C291" s="82" t="s">
        <v>559</v>
      </c>
      <c r="D291" s="83" t="s">
        <v>432</v>
      </c>
      <c r="E291" s="84" t="s">
        <v>611</v>
      </c>
      <c r="F291" s="84" t="s">
        <v>434</v>
      </c>
      <c r="G291" s="85" t="s">
        <v>435</v>
      </c>
      <c r="H291" s="85" t="s">
        <v>435</v>
      </c>
      <c r="I291" s="82" t="s">
        <v>429</v>
      </c>
      <c r="J291" s="86" t="s">
        <v>436</v>
      </c>
    </row>
    <row r="292" spans="1:10" x14ac:dyDescent="0.25">
      <c r="A292" s="82" t="s">
        <v>989</v>
      </c>
      <c r="B292" s="82" t="s">
        <v>278</v>
      </c>
      <c r="C292" s="82" t="s">
        <v>592</v>
      </c>
      <c r="D292" s="83" t="s">
        <v>432</v>
      </c>
      <c r="E292" s="84" t="s">
        <v>557</v>
      </c>
      <c r="F292" s="84" t="s">
        <v>434</v>
      </c>
      <c r="G292" s="85" t="s">
        <v>435</v>
      </c>
      <c r="H292" s="85" t="s">
        <v>435</v>
      </c>
      <c r="I292" s="82" t="s">
        <v>429</v>
      </c>
      <c r="J292" s="86" t="s">
        <v>436</v>
      </c>
    </row>
    <row r="293" spans="1:10" x14ac:dyDescent="0.25">
      <c r="A293" s="82" t="s">
        <v>990</v>
      </c>
      <c r="B293" s="82" t="s">
        <v>381</v>
      </c>
      <c r="C293" s="82" t="s">
        <v>592</v>
      </c>
      <c r="D293" s="83" t="s">
        <v>432</v>
      </c>
      <c r="E293" s="84" t="s">
        <v>433</v>
      </c>
      <c r="F293" s="84" t="s">
        <v>434</v>
      </c>
      <c r="G293" s="85" t="s">
        <v>435</v>
      </c>
      <c r="H293" s="85" t="s">
        <v>435</v>
      </c>
      <c r="I293" s="82" t="s">
        <v>429</v>
      </c>
      <c r="J293" s="86" t="s">
        <v>436</v>
      </c>
    </row>
    <row r="294" spans="1:10" x14ac:dyDescent="0.25">
      <c r="A294" s="82" t="s">
        <v>991</v>
      </c>
      <c r="B294" s="82" t="s">
        <v>147</v>
      </c>
      <c r="C294" s="82" t="s">
        <v>559</v>
      </c>
      <c r="D294" s="83" t="s">
        <v>432</v>
      </c>
      <c r="E294" s="84" t="s">
        <v>551</v>
      </c>
      <c r="F294" s="84" t="s">
        <v>433</v>
      </c>
      <c r="G294" s="85" t="s">
        <v>435</v>
      </c>
      <c r="H294" s="85" t="s">
        <v>435</v>
      </c>
      <c r="I294" s="82" t="s">
        <v>429</v>
      </c>
      <c r="J294" s="86" t="s">
        <v>587</v>
      </c>
    </row>
    <row r="295" spans="1:10" x14ac:dyDescent="0.25">
      <c r="A295" s="82" t="s">
        <v>992</v>
      </c>
      <c r="B295" s="82" t="s">
        <v>51</v>
      </c>
      <c r="C295" s="82" t="s">
        <v>859</v>
      </c>
      <c r="D295" s="83" t="s">
        <v>432</v>
      </c>
      <c r="E295" s="84" t="s">
        <v>557</v>
      </c>
      <c r="F295" s="84" t="s">
        <v>611</v>
      </c>
      <c r="G295" s="85" t="s">
        <v>435</v>
      </c>
      <c r="H295" s="85" t="s">
        <v>435</v>
      </c>
      <c r="I295" s="82" t="s">
        <v>429</v>
      </c>
      <c r="J295" s="86" t="s">
        <v>436</v>
      </c>
    </row>
    <row r="296" spans="1:10" x14ac:dyDescent="0.25">
      <c r="A296" s="82" t="s">
        <v>993</v>
      </c>
      <c r="B296" s="82" t="s">
        <v>50</v>
      </c>
      <c r="C296" s="82" t="s">
        <v>859</v>
      </c>
      <c r="D296" s="83" t="s">
        <v>432</v>
      </c>
      <c r="E296" s="84" t="s">
        <v>557</v>
      </c>
      <c r="F296" s="84" t="s">
        <v>611</v>
      </c>
      <c r="G296" s="85" t="s">
        <v>435</v>
      </c>
      <c r="H296" s="85" t="s">
        <v>435</v>
      </c>
      <c r="I296" s="82" t="s">
        <v>429</v>
      </c>
      <c r="J296" s="86" t="s">
        <v>436</v>
      </c>
    </row>
    <row r="297" spans="1:10" x14ac:dyDescent="0.25">
      <c r="A297" s="82" t="s">
        <v>994</v>
      </c>
      <c r="B297" s="82" t="s">
        <v>49</v>
      </c>
      <c r="C297" s="82" t="s">
        <v>859</v>
      </c>
      <c r="D297" s="83" t="s">
        <v>432</v>
      </c>
      <c r="E297" s="84" t="s">
        <v>557</v>
      </c>
      <c r="F297" s="84" t="s">
        <v>611</v>
      </c>
      <c r="G297" s="85" t="s">
        <v>435</v>
      </c>
      <c r="H297" s="85" t="s">
        <v>435</v>
      </c>
      <c r="I297" s="82" t="s">
        <v>429</v>
      </c>
      <c r="J297" s="86" t="s">
        <v>436</v>
      </c>
    </row>
    <row r="298" spans="1:10" x14ac:dyDescent="0.25">
      <c r="A298" s="82" t="s">
        <v>995</v>
      </c>
      <c r="B298" s="82" t="s">
        <v>996</v>
      </c>
      <c r="C298" s="82" t="s">
        <v>911</v>
      </c>
      <c r="D298" s="83" t="s">
        <v>585</v>
      </c>
      <c r="E298" s="84" t="s">
        <v>557</v>
      </c>
      <c r="F298" s="84" t="s">
        <v>433</v>
      </c>
      <c r="G298" s="85" t="s">
        <v>435</v>
      </c>
      <c r="H298" s="85" t="s">
        <v>435</v>
      </c>
      <c r="I298" s="82" t="s">
        <v>429</v>
      </c>
      <c r="J298" s="86" t="s">
        <v>587</v>
      </c>
    </row>
    <row r="299" spans="1:10" x14ac:dyDescent="0.25">
      <c r="A299" s="82" t="s">
        <v>997</v>
      </c>
      <c r="B299" s="82" t="s">
        <v>142</v>
      </c>
      <c r="C299" s="82" t="s">
        <v>592</v>
      </c>
      <c r="D299" s="83" t="s">
        <v>432</v>
      </c>
      <c r="E299" s="84" t="s">
        <v>557</v>
      </c>
      <c r="F299" s="84" t="s">
        <v>606</v>
      </c>
      <c r="G299" s="85" t="s">
        <v>435</v>
      </c>
      <c r="H299" s="85" t="s">
        <v>435</v>
      </c>
      <c r="I299" s="82" t="s">
        <v>429</v>
      </c>
      <c r="J299" s="86" t="s">
        <v>587</v>
      </c>
    </row>
    <row r="300" spans="1:10" x14ac:dyDescent="0.25">
      <c r="A300" s="82" t="s">
        <v>998</v>
      </c>
      <c r="B300" s="82" t="s">
        <v>135</v>
      </c>
      <c r="C300" s="82" t="s">
        <v>592</v>
      </c>
      <c r="D300" s="83" t="s">
        <v>432</v>
      </c>
      <c r="E300" s="84" t="s">
        <v>551</v>
      </c>
      <c r="F300" s="84" t="s">
        <v>434</v>
      </c>
      <c r="G300" s="85" t="s">
        <v>435</v>
      </c>
      <c r="H300" s="85" t="s">
        <v>435</v>
      </c>
      <c r="I300" s="82" t="s">
        <v>429</v>
      </c>
      <c r="J300" s="86" t="s">
        <v>436</v>
      </c>
    </row>
    <row r="301" spans="1:10" x14ac:dyDescent="0.25">
      <c r="A301" s="82" t="s">
        <v>999</v>
      </c>
      <c r="B301" s="82" t="s">
        <v>143</v>
      </c>
      <c r="C301" s="82" t="s">
        <v>592</v>
      </c>
      <c r="D301" s="83" t="s">
        <v>432</v>
      </c>
      <c r="E301" s="84" t="s">
        <v>551</v>
      </c>
      <c r="F301" s="84" t="s">
        <v>433</v>
      </c>
      <c r="G301" s="85" t="s">
        <v>435</v>
      </c>
      <c r="H301" s="85" t="s">
        <v>435</v>
      </c>
      <c r="I301" s="82" t="s">
        <v>429</v>
      </c>
      <c r="J301" s="86" t="s">
        <v>587</v>
      </c>
    </row>
    <row r="302" spans="1:10" x14ac:dyDescent="0.25">
      <c r="A302" s="82" t="s">
        <v>1000</v>
      </c>
      <c r="B302" s="82" t="s">
        <v>144</v>
      </c>
      <c r="C302" s="82" t="s">
        <v>592</v>
      </c>
      <c r="D302" s="83" t="s">
        <v>432</v>
      </c>
      <c r="E302" s="84" t="s">
        <v>551</v>
      </c>
      <c r="F302" s="84" t="s">
        <v>433</v>
      </c>
      <c r="G302" s="85" t="s">
        <v>435</v>
      </c>
      <c r="H302" s="85" t="s">
        <v>435</v>
      </c>
      <c r="I302" s="82" t="s">
        <v>429</v>
      </c>
      <c r="J302" s="86" t="s">
        <v>587</v>
      </c>
    </row>
    <row r="303" spans="1:10" x14ac:dyDescent="0.25">
      <c r="A303" s="82" t="s">
        <v>1001</v>
      </c>
      <c r="B303" s="82" t="s">
        <v>126</v>
      </c>
      <c r="C303" s="82" t="s">
        <v>559</v>
      </c>
      <c r="D303" s="83" t="s">
        <v>564</v>
      </c>
      <c r="E303" s="84" t="s">
        <v>606</v>
      </c>
      <c r="F303" s="84" t="s">
        <v>434</v>
      </c>
      <c r="G303" s="85" t="s">
        <v>435</v>
      </c>
      <c r="H303" s="85" t="s">
        <v>435</v>
      </c>
      <c r="I303" s="82" t="s">
        <v>429</v>
      </c>
      <c r="J303" s="86" t="s">
        <v>436</v>
      </c>
    </row>
    <row r="304" spans="1:10" x14ac:dyDescent="0.25">
      <c r="A304" s="82" t="s">
        <v>1002</v>
      </c>
      <c r="B304" s="82" t="s">
        <v>315</v>
      </c>
      <c r="C304" s="82" t="s">
        <v>592</v>
      </c>
      <c r="D304" s="83" t="s">
        <v>564</v>
      </c>
      <c r="E304" s="84" t="s">
        <v>611</v>
      </c>
      <c r="F304" s="84" t="s">
        <v>434</v>
      </c>
      <c r="G304" s="85" t="s">
        <v>435</v>
      </c>
      <c r="H304" s="85" t="s">
        <v>435</v>
      </c>
      <c r="I304" s="82" t="s">
        <v>429</v>
      </c>
      <c r="J304" s="86" t="s">
        <v>436</v>
      </c>
    </row>
    <row r="305" spans="1:10" x14ac:dyDescent="0.25">
      <c r="A305" s="82" t="s">
        <v>1003</v>
      </c>
      <c r="B305" s="82" t="s">
        <v>150</v>
      </c>
      <c r="C305" s="82" t="s">
        <v>592</v>
      </c>
      <c r="D305" s="83" t="s">
        <v>564</v>
      </c>
      <c r="E305" s="84" t="s">
        <v>611</v>
      </c>
      <c r="F305" s="84" t="s">
        <v>434</v>
      </c>
      <c r="G305" s="85" t="s">
        <v>435</v>
      </c>
      <c r="H305" s="85" t="s">
        <v>435</v>
      </c>
      <c r="I305" s="82" t="s">
        <v>429</v>
      </c>
      <c r="J305" s="86" t="s">
        <v>436</v>
      </c>
    </row>
    <row r="306" spans="1:10" x14ac:dyDescent="0.25">
      <c r="A306" s="82" t="s">
        <v>1004</v>
      </c>
      <c r="B306" s="82" t="s">
        <v>152</v>
      </c>
      <c r="C306" s="82" t="s">
        <v>592</v>
      </c>
      <c r="D306" s="83" t="s">
        <v>432</v>
      </c>
      <c r="E306" s="84" t="s">
        <v>611</v>
      </c>
      <c r="F306" s="84" t="s">
        <v>434</v>
      </c>
      <c r="G306" s="85" t="s">
        <v>435</v>
      </c>
      <c r="H306" s="85" t="s">
        <v>435</v>
      </c>
      <c r="I306" s="82" t="s">
        <v>429</v>
      </c>
      <c r="J306" s="86" t="s">
        <v>436</v>
      </c>
    </row>
    <row r="307" spans="1:10" x14ac:dyDescent="0.25">
      <c r="A307" s="82" t="s">
        <v>1005</v>
      </c>
      <c r="B307" s="82" t="s">
        <v>316</v>
      </c>
      <c r="C307" s="82" t="s">
        <v>592</v>
      </c>
      <c r="D307" s="83" t="s">
        <v>564</v>
      </c>
      <c r="E307" s="84" t="s">
        <v>611</v>
      </c>
      <c r="F307" s="84" t="s">
        <v>434</v>
      </c>
      <c r="G307" s="85" t="s">
        <v>435</v>
      </c>
      <c r="H307" s="85" t="s">
        <v>435</v>
      </c>
      <c r="I307" s="82" t="s">
        <v>429</v>
      </c>
      <c r="J307" s="86" t="s">
        <v>436</v>
      </c>
    </row>
    <row r="308" spans="1:10" x14ac:dyDescent="0.25">
      <c r="A308" s="82" t="s">
        <v>1006</v>
      </c>
      <c r="B308" s="82" t="s">
        <v>335</v>
      </c>
      <c r="C308" s="82" t="s">
        <v>940</v>
      </c>
      <c r="D308" s="83" t="s">
        <v>432</v>
      </c>
      <c r="E308" s="84" t="s">
        <v>557</v>
      </c>
      <c r="F308" s="84" t="s">
        <v>434</v>
      </c>
      <c r="G308" s="85" t="s">
        <v>435</v>
      </c>
      <c r="H308" s="85" t="s">
        <v>435</v>
      </c>
      <c r="I308" s="82" t="s">
        <v>429</v>
      </c>
      <c r="J308" s="86" t="s">
        <v>436</v>
      </c>
    </row>
    <row r="309" spans="1:10" x14ac:dyDescent="0.25">
      <c r="A309" s="82" t="s">
        <v>1007</v>
      </c>
      <c r="B309" s="82" t="s">
        <v>344</v>
      </c>
      <c r="C309" s="82" t="s">
        <v>559</v>
      </c>
      <c r="D309" s="83" t="s">
        <v>432</v>
      </c>
      <c r="E309" s="84" t="s">
        <v>625</v>
      </c>
      <c r="F309" s="84" t="s">
        <v>434</v>
      </c>
      <c r="G309" s="85" t="s">
        <v>435</v>
      </c>
      <c r="H309" s="85" t="s">
        <v>435</v>
      </c>
      <c r="I309" s="82" t="s">
        <v>429</v>
      </c>
      <c r="J309" s="86" t="s">
        <v>436</v>
      </c>
    </row>
    <row r="310" spans="1:10" x14ac:dyDescent="0.25">
      <c r="A310" s="82" t="s">
        <v>1008</v>
      </c>
      <c r="B310" s="82" t="s">
        <v>249</v>
      </c>
      <c r="C310" s="82" t="s">
        <v>592</v>
      </c>
      <c r="D310" s="83" t="s">
        <v>432</v>
      </c>
      <c r="E310" s="84" t="s">
        <v>557</v>
      </c>
      <c r="F310" s="84" t="s">
        <v>434</v>
      </c>
      <c r="G310" s="85" t="s">
        <v>435</v>
      </c>
      <c r="H310" s="85" t="s">
        <v>435</v>
      </c>
      <c r="I310" s="82" t="s">
        <v>429</v>
      </c>
      <c r="J310" s="86" t="s">
        <v>436</v>
      </c>
    </row>
    <row r="311" spans="1:10" x14ac:dyDescent="0.25">
      <c r="A311" s="82" t="s">
        <v>1009</v>
      </c>
      <c r="B311" s="82" t="s">
        <v>1010</v>
      </c>
      <c r="C311" s="82" t="s">
        <v>940</v>
      </c>
      <c r="D311" s="83" t="s">
        <v>432</v>
      </c>
      <c r="E311" s="84" t="s">
        <v>557</v>
      </c>
      <c r="F311" s="84" t="s">
        <v>625</v>
      </c>
      <c r="G311" s="85" t="s">
        <v>435</v>
      </c>
      <c r="H311" s="85" t="s">
        <v>435</v>
      </c>
      <c r="I311" s="82" t="s">
        <v>429</v>
      </c>
      <c r="J311" s="86" t="s">
        <v>587</v>
      </c>
    </row>
    <row r="312" spans="1:10" x14ac:dyDescent="0.25">
      <c r="A312" s="82" t="s">
        <v>1011</v>
      </c>
      <c r="B312" s="82" t="s">
        <v>102</v>
      </c>
      <c r="C312" s="82" t="s">
        <v>559</v>
      </c>
      <c r="D312" s="83" t="s">
        <v>432</v>
      </c>
      <c r="E312" s="84" t="s">
        <v>557</v>
      </c>
      <c r="F312" s="84" t="s">
        <v>434</v>
      </c>
      <c r="G312" s="85" t="s">
        <v>435</v>
      </c>
      <c r="H312" s="85" t="s">
        <v>435</v>
      </c>
      <c r="I312" s="82" t="s">
        <v>429</v>
      </c>
      <c r="J312" s="86" t="s">
        <v>436</v>
      </c>
    </row>
    <row r="313" spans="1:10" x14ac:dyDescent="0.25">
      <c r="A313" s="82" t="s">
        <v>1012</v>
      </c>
      <c r="B313" s="82" t="s">
        <v>395</v>
      </c>
      <c r="C313" s="82" t="s">
        <v>592</v>
      </c>
      <c r="D313" s="83" t="s">
        <v>616</v>
      </c>
      <c r="E313" s="84" t="s">
        <v>557</v>
      </c>
      <c r="F313" s="84" t="s">
        <v>434</v>
      </c>
      <c r="G313" s="85" t="s">
        <v>435</v>
      </c>
      <c r="H313" s="85" t="s">
        <v>435</v>
      </c>
      <c r="I313" s="82" t="s">
        <v>429</v>
      </c>
      <c r="J313" s="86" t="s">
        <v>436</v>
      </c>
    </row>
    <row r="314" spans="1:10" x14ac:dyDescent="0.25">
      <c r="A314" s="82" t="s">
        <v>1013</v>
      </c>
      <c r="B314" s="82" t="s">
        <v>336</v>
      </c>
      <c r="C314" s="82" t="s">
        <v>940</v>
      </c>
      <c r="D314" s="83" t="s">
        <v>432</v>
      </c>
      <c r="E314" s="84" t="s">
        <v>557</v>
      </c>
      <c r="F314" s="84" t="s">
        <v>434</v>
      </c>
      <c r="G314" s="85" t="s">
        <v>435</v>
      </c>
      <c r="H314" s="85" t="s">
        <v>435</v>
      </c>
      <c r="I314" s="82" t="s">
        <v>429</v>
      </c>
      <c r="J314" s="86" t="s">
        <v>436</v>
      </c>
    </row>
    <row r="315" spans="1:10" x14ac:dyDescent="0.25">
      <c r="A315" s="82" t="s">
        <v>1014</v>
      </c>
      <c r="B315" s="82" t="s">
        <v>1015</v>
      </c>
      <c r="C315" s="82" t="s">
        <v>559</v>
      </c>
      <c r="D315" s="83" t="s">
        <v>432</v>
      </c>
      <c r="E315" s="84" t="s">
        <v>551</v>
      </c>
      <c r="F315" s="84" t="s">
        <v>433</v>
      </c>
      <c r="G315" s="85" t="s">
        <v>435</v>
      </c>
      <c r="H315" s="85" t="s">
        <v>435</v>
      </c>
      <c r="I315" s="82" t="s">
        <v>429</v>
      </c>
      <c r="J315" s="86" t="s">
        <v>587</v>
      </c>
    </row>
    <row r="316" spans="1:10" x14ac:dyDescent="0.25">
      <c r="A316" s="82" t="s">
        <v>1016</v>
      </c>
      <c r="B316" s="82" t="s">
        <v>312</v>
      </c>
      <c r="C316" s="82" t="s">
        <v>584</v>
      </c>
      <c r="D316" s="83" t="s">
        <v>432</v>
      </c>
      <c r="E316" s="84" t="s">
        <v>571</v>
      </c>
      <c r="F316" s="84" t="s">
        <v>434</v>
      </c>
      <c r="G316" s="85" t="s">
        <v>435</v>
      </c>
      <c r="H316" s="85" t="s">
        <v>435</v>
      </c>
      <c r="I316" s="82" t="s">
        <v>429</v>
      </c>
      <c r="J316" s="86" t="s">
        <v>436</v>
      </c>
    </row>
    <row r="317" spans="1:10" x14ac:dyDescent="0.25">
      <c r="A317" s="82" t="s">
        <v>1017</v>
      </c>
      <c r="B317" s="82" t="s">
        <v>290</v>
      </c>
      <c r="C317" s="82" t="s">
        <v>584</v>
      </c>
      <c r="D317" s="83" t="s">
        <v>432</v>
      </c>
      <c r="E317" s="84" t="s">
        <v>571</v>
      </c>
      <c r="F317" s="84" t="s">
        <v>434</v>
      </c>
      <c r="G317" s="85" t="s">
        <v>435</v>
      </c>
      <c r="H317" s="85" t="s">
        <v>435</v>
      </c>
      <c r="I317" s="82" t="s">
        <v>429</v>
      </c>
      <c r="J317" s="86" t="s">
        <v>436</v>
      </c>
    </row>
    <row r="318" spans="1:10" x14ac:dyDescent="0.25">
      <c r="A318" s="82" t="s">
        <v>1018</v>
      </c>
      <c r="B318" s="82" t="s">
        <v>302</v>
      </c>
      <c r="C318" s="82" t="s">
        <v>584</v>
      </c>
      <c r="D318" s="83" t="s">
        <v>432</v>
      </c>
      <c r="E318" s="84" t="s">
        <v>571</v>
      </c>
      <c r="F318" s="84" t="s">
        <v>637</v>
      </c>
      <c r="G318" s="85" t="s">
        <v>435</v>
      </c>
      <c r="H318" s="85" t="s">
        <v>435</v>
      </c>
      <c r="I318" s="82" t="s">
        <v>429</v>
      </c>
      <c r="J318" s="86" t="s">
        <v>436</v>
      </c>
    </row>
    <row r="319" spans="1:10" x14ac:dyDescent="0.25">
      <c r="A319" s="82" t="s">
        <v>1019</v>
      </c>
      <c r="B319" s="82" t="s">
        <v>1020</v>
      </c>
      <c r="C319" s="82" t="s">
        <v>584</v>
      </c>
      <c r="D319" s="83" t="s">
        <v>432</v>
      </c>
      <c r="E319" s="84" t="s">
        <v>571</v>
      </c>
      <c r="F319" s="84" t="s">
        <v>637</v>
      </c>
      <c r="G319" s="85" t="s">
        <v>435</v>
      </c>
      <c r="H319" s="85" t="s">
        <v>435</v>
      </c>
      <c r="I319" s="82" t="s">
        <v>429</v>
      </c>
      <c r="J319" s="86" t="s">
        <v>587</v>
      </c>
    </row>
    <row r="320" spans="1:10" x14ac:dyDescent="0.25">
      <c r="A320" s="82" t="s">
        <v>1021</v>
      </c>
      <c r="B320" s="82" t="s">
        <v>288</v>
      </c>
      <c r="C320" s="82" t="s">
        <v>584</v>
      </c>
      <c r="D320" s="83" t="s">
        <v>432</v>
      </c>
      <c r="E320" s="84" t="s">
        <v>571</v>
      </c>
      <c r="F320" s="84" t="s">
        <v>434</v>
      </c>
      <c r="G320" s="85" t="s">
        <v>435</v>
      </c>
      <c r="H320" s="85" t="s">
        <v>435</v>
      </c>
      <c r="I320" s="82" t="s">
        <v>429</v>
      </c>
      <c r="J320" s="86" t="s">
        <v>436</v>
      </c>
    </row>
    <row r="321" spans="1:10" x14ac:dyDescent="0.25">
      <c r="A321" s="82" t="s">
        <v>1022</v>
      </c>
      <c r="B321" s="82" t="s">
        <v>296</v>
      </c>
      <c r="C321" s="82" t="s">
        <v>584</v>
      </c>
      <c r="D321" s="83" t="s">
        <v>432</v>
      </c>
      <c r="E321" s="84" t="s">
        <v>571</v>
      </c>
      <c r="F321" s="84" t="s">
        <v>637</v>
      </c>
      <c r="G321" s="85" t="s">
        <v>435</v>
      </c>
      <c r="H321" s="85" t="s">
        <v>435</v>
      </c>
      <c r="I321" s="82" t="s">
        <v>429</v>
      </c>
      <c r="J321" s="86" t="s">
        <v>436</v>
      </c>
    </row>
    <row r="322" spans="1:10" x14ac:dyDescent="0.25">
      <c r="A322" s="82" t="s">
        <v>1023</v>
      </c>
      <c r="B322" s="82" t="s">
        <v>293</v>
      </c>
      <c r="C322" s="82" t="s">
        <v>584</v>
      </c>
      <c r="D322" s="83" t="s">
        <v>432</v>
      </c>
      <c r="E322" s="84" t="s">
        <v>571</v>
      </c>
      <c r="F322" s="84" t="s">
        <v>637</v>
      </c>
      <c r="G322" s="85" t="s">
        <v>435</v>
      </c>
      <c r="H322" s="85" t="s">
        <v>435</v>
      </c>
      <c r="I322" s="82" t="s">
        <v>429</v>
      </c>
      <c r="J322" s="86" t="s">
        <v>436</v>
      </c>
    </row>
    <row r="323" spans="1:10" x14ac:dyDescent="0.25">
      <c r="A323" s="82" t="s">
        <v>1024</v>
      </c>
      <c r="B323" s="82" t="s">
        <v>291</v>
      </c>
      <c r="C323" s="82" t="s">
        <v>584</v>
      </c>
      <c r="D323" s="83" t="s">
        <v>432</v>
      </c>
      <c r="E323" s="84" t="s">
        <v>571</v>
      </c>
      <c r="F323" s="84" t="s">
        <v>637</v>
      </c>
      <c r="G323" s="85" t="s">
        <v>435</v>
      </c>
      <c r="H323" s="85" t="s">
        <v>435</v>
      </c>
      <c r="I323" s="82" t="s">
        <v>429</v>
      </c>
      <c r="J323" s="86" t="s">
        <v>436</v>
      </c>
    </row>
    <row r="324" spans="1:10" x14ac:dyDescent="0.25">
      <c r="A324" s="82" t="s">
        <v>1025</v>
      </c>
      <c r="B324" s="82" t="s">
        <v>301</v>
      </c>
      <c r="C324" s="82" t="s">
        <v>584</v>
      </c>
      <c r="D324" s="83" t="s">
        <v>432</v>
      </c>
      <c r="E324" s="84" t="s">
        <v>557</v>
      </c>
      <c r="F324" s="84" t="s">
        <v>434</v>
      </c>
      <c r="G324" s="85" t="s">
        <v>435</v>
      </c>
      <c r="H324" s="85" t="s">
        <v>435</v>
      </c>
      <c r="I324" s="82" t="s">
        <v>429</v>
      </c>
      <c r="J324" s="86" t="s">
        <v>436</v>
      </c>
    </row>
    <row r="325" spans="1:10" x14ac:dyDescent="0.25">
      <c r="A325" s="82" t="s">
        <v>1026</v>
      </c>
      <c r="B325" s="82" t="s">
        <v>125</v>
      </c>
      <c r="C325" s="82" t="s">
        <v>559</v>
      </c>
      <c r="D325" s="83" t="s">
        <v>564</v>
      </c>
      <c r="E325" s="84" t="s">
        <v>606</v>
      </c>
      <c r="F325" s="84" t="s">
        <v>434</v>
      </c>
      <c r="G325" s="85" t="s">
        <v>435</v>
      </c>
      <c r="H325" s="85" t="s">
        <v>435</v>
      </c>
      <c r="I325" s="82" t="s">
        <v>429</v>
      </c>
      <c r="J325" s="86" t="s">
        <v>436</v>
      </c>
    </row>
    <row r="326" spans="1:10" x14ac:dyDescent="0.25">
      <c r="A326" s="82" t="s">
        <v>1027</v>
      </c>
      <c r="B326" s="82" t="s">
        <v>337</v>
      </c>
      <c r="C326" s="82" t="s">
        <v>940</v>
      </c>
      <c r="D326" s="83" t="s">
        <v>432</v>
      </c>
      <c r="E326" s="84" t="s">
        <v>557</v>
      </c>
      <c r="F326" s="84" t="s">
        <v>434</v>
      </c>
      <c r="G326" s="85" t="s">
        <v>435</v>
      </c>
      <c r="H326" s="85" t="s">
        <v>435</v>
      </c>
      <c r="I326" s="82" t="s">
        <v>429</v>
      </c>
      <c r="J326" s="86" t="s">
        <v>436</v>
      </c>
    </row>
    <row r="327" spans="1:10" x14ac:dyDescent="0.25">
      <c r="A327" s="82" t="s">
        <v>1028</v>
      </c>
      <c r="B327" s="82" t="s">
        <v>304</v>
      </c>
      <c r="C327" s="82" t="s">
        <v>584</v>
      </c>
      <c r="D327" s="83" t="s">
        <v>432</v>
      </c>
      <c r="E327" s="84" t="s">
        <v>794</v>
      </c>
      <c r="F327" s="84" t="s">
        <v>589</v>
      </c>
      <c r="G327" s="85" t="s">
        <v>435</v>
      </c>
      <c r="H327" s="85" t="s">
        <v>435</v>
      </c>
      <c r="I327" s="82" t="s">
        <v>429</v>
      </c>
      <c r="J327" s="86" t="s">
        <v>436</v>
      </c>
    </row>
    <row r="328" spans="1:10" x14ac:dyDescent="0.25">
      <c r="A328" s="82" t="s">
        <v>1029</v>
      </c>
      <c r="B328" s="82" t="s">
        <v>1030</v>
      </c>
      <c r="C328" s="82" t="s">
        <v>940</v>
      </c>
      <c r="D328" s="83" t="s">
        <v>432</v>
      </c>
      <c r="E328" s="84" t="s">
        <v>557</v>
      </c>
      <c r="F328" s="84" t="s">
        <v>625</v>
      </c>
      <c r="G328" s="85" t="s">
        <v>435</v>
      </c>
      <c r="H328" s="85" t="s">
        <v>435</v>
      </c>
      <c r="I328" s="82" t="s">
        <v>429</v>
      </c>
      <c r="J328" s="86" t="s">
        <v>587</v>
      </c>
    </row>
    <row r="329" spans="1:10" x14ac:dyDescent="0.25">
      <c r="A329" s="82" t="s">
        <v>1031</v>
      </c>
      <c r="B329" s="82" t="s">
        <v>1032</v>
      </c>
      <c r="C329" s="82" t="s">
        <v>940</v>
      </c>
      <c r="D329" s="83" t="s">
        <v>432</v>
      </c>
      <c r="E329" s="84" t="s">
        <v>1033</v>
      </c>
      <c r="F329" s="84" t="s">
        <v>434</v>
      </c>
      <c r="G329" s="85" t="s">
        <v>435</v>
      </c>
      <c r="H329" s="85" t="s">
        <v>435</v>
      </c>
      <c r="I329" s="82" t="s">
        <v>429</v>
      </c>
      <c r="J329" s="86" t="s">
        <v>436</v>
      </c>
    </row>
    <row r="330" spans="1:10" x14ac:dyDescent="0.25">
      <c r="A330" s="82" t="s">
        <v>1034</v>
      </c>
      <c r="B330" s="82" t="s">
        <v>1035</v>
      </c>
      <c r="C330" s="82" t="s">
        <v>940</v>
      </c>
      <c r="D330" s="83" t="s">
        <v>432</v>
      </c>
      <c r="E330" s="84" t="s">
        <v>557</v>
      </c>
      <c r="F330" s="84" t="s">
        <v>434</v>
      </c>
      <c r="G330" s="85" t="s">
        <v>435</v>
      </c>
      <c r="H330" s="85" t="s">
        <v>435</v>
      </c>
      <c r="I330" s="82" t="s">
        <v>429</v>
      </c>
      <c r="J330" s="86" t="s">
        <v>436</v>
      </c>
    </row>
    <row r="331" spans="1:10" x14ac:dyDescent="0.25">
      <c r="A331" s="82" t="s">
        <v>1036</v>
      </c>
      <c r="B331" s="82" t="s">
        <v>1037</v>
      </c>
      <c r="C331" s="82" t="s">
        <v>940</v>
      </c>
      <c r="D331" s="83" t="s">
        <v>432</v>
      </c>
      <c r="E331" s="84" t="s">
        <v>557</v>
      </c>
      <c r="F331" s="84" t="s">
        <v>434</v>
      </c>
      <c r="G331" s="85" t="s">
        <v>435</v>
      </c>
      <c r="H331" s="85" t="s">
        <v>435</v>
      </c>
      <c r="I331" s="82" t="s">
        <v>429</v>
      </c>
      <c r="J331" s="86" t="s">
        <v>436</v>
      </c>
    </row>
    <row r="332" spans="1:10" x14ac:dyDescent="0.25">
      <c r="A332" s="82" t="s">
        <v>1038</v>
      </c>
      <c r="B332" s="82" t="s">
        <v>338</v>
      </c>
      <c r="C332" s="82" t="s">
        <v>940</v>
      </c>
      <c r="D332" s="83" t="s">
        <v>432</v>
      </c>
      <c r="E332" s="84" t="s">
        <v>557</v>
      </c>
      <c r="F332" s="84" t="s">
        <v>434</v>
      </c>
      <c r="G332" s="85" t="s">
        <v>435</v>
      </c>
      <c r="H332" s="85" t="s">
        <v>435</v>
      </c>
      <c r="I332" s="82" t="s">
        <v>429</v>
      </c>
      <c r="J332" s="86" t="s">
        <v>436</v>
      </c>
    </row>
    <row r="333" spans="1:10" x14ac:dyDescent="0.25">
      <c r="A333" s="82" t="s">
        <v>1039</v>
      </c>
      <c r="B333" s="82" t="s">
        <v>1040</v>
      </c>
      <c r="C333" s="82" t="s">
        <v>559</v>
      </c>
      <c r="D333" s="83" t="s">
        <v>432</v>
      </c>
      <c r="E333" s="84" t="s">
        <v>557</v>
      </c>
      <c r="F333" s="84" t="s">
        <v>434</v>
      </c>
      <c r="G333" s="85" t="s">
        <v>435</v>
      </c>
      <c r="H333" s="85" t="s">
        <v>435</v>
      </c>
      <c r="I333" s="82" t="s">
        <v>429</v>
      </c>
      <c r="J333" s="86" t="s">
        <v>436</v>
      </c>
    </row>
    <row r="334" spans="1:10" x14ac:dyDescent="0.25">
      <c r="A334" s="82" t="s">
        <v>1041</v>
      </c>
      <c r="B334" s="82" t="s">
        <v>1042</v>
      </c>
      <c r="C334" s="82" t="s">
        <v>559</v>
      </c>
      <c r="D334" s="83" t="s">
        <v>432</v>
      </c>
      <c r="E334" s="84" t="s">
        <v>625</v>
      </c>
      <c r="F334" s="84" t="s">
        <v>433</v>
      </c>
      <c r="G334" s="85" t="s">
        <v>435</v>
      </c>
      <c r="H334" s="85" t="s">
        <v>435</v>
      </c>
      <c r="I334" s="82" t="s">
        <v>1043</v>
      </c>
      <c r="J334" s="86" t="s">
        <v>436</v>
      </c>
    </row>
    <row r="335" spans="1:10" x14ac:dyDescent="0.25">
      <c r="A335" s="82" t="s">
        <v>1044</v>
      </c>
      <c r="B335" s="82" t="s">
        <v>1045</v>
      </c>
      <c r="C335" s="82" t="s">
        <v>559</v>
      </c>
      <c r="D335" s="83" t="s">
        <v>432</v>
      </c>
      <c r="E335" s="84" t="s">
        <v>557</v>
      </c>
      <c r="F335" s="84" t="s">
        <v>1046</v>
      </c>
      <c r="G335" s="85" t="s">
        <v>435</v>
      </c>
      <c r="H335" s="85" t="s">
        <v>435</v>
      </c>
      <c r="I335" s="82" t="s">
        <v>429</v>
      </c>
      <c r="J335" s="86" t="s">
        <v>587</v>
      </c>
    </row>
    <row r="336" spans="1:10" x14ac:dyDescent="0.25">
      <c r="A336" s="82" t="s">
        <v>1047</v>
      </c>
      <c r="B336" s="82" t="s">
        <v>1048</v>
      </c>
      <c r="C336" s="82" t="s">
        <v>559</v>
      </c>
      <c r="D336" s="83" t="s">
        <v>432</v>
      </c>
      <c r="E336" s="84" t="s">
        <v>625</v>
      </c>
      <c r="F336" s="84" t="s">
        <v>606</v>
      </c>
      <c r="G336" s="85" t="s">
        <v>435</v>
      </c>
      <c r="H336" s="85" t="s">
        <v>435</v>
      </c>
      <c r="I336" s="82" t="s">
        <v>1043</v>
      </c>
      <c r="J336" s="86" t="s">
        <v>436</v>
      </c>
    </row>
    <row r="337" spans="1:10" x14ac:dyDescent="0.25">
      <c r="A337" s="82" t="s">
        <v>1049</v>
      </c>
      <c r="B337" s="82" t="s">
        <v>1050</v>
      </c>
      <c r="C337" s="82" t="s">
        <v>559</v>
      </c>
      <c r="D337" s="83" t="s">
        <v>432</v>
      </c>
      <c r="E337" s="84" t="s">
        <v>625</v>
      </c>
      <c r="F337" s="84" t="s">
        <v>606</v>
      </c>
      <c r="G337" s="85" t="s">
        <v>435</v>
      </c>
      <c r="H337" s="85" t="s">
        <v>435</v>
      </c>
      <c r="I337" s="82" t="s">
        <v>1043</v>
      </c>
      <c r="J337" s="86" t="s">
        <v>436</v>
      </c>
    </row>
    <row r="338" spans="1:10" x14ac:dyDescent="0.25">
      <c r="A338" s="82" t="s">
        <v>1051</v>
      </c>
      <c r="B338" s="82" t="s">
        <v>1052</v>
      </c>
      <c r="C338" s="82" t="s">
        <v>559</v>
      </c>
      <c r="D338" s="83" t="s">
        <v>432</v>
      </c>
      <c r="E338" s="84" t="s">
        <v>625</v>
      </c>
      <c r="F338" s="84" t="s">
        <v>606</v>
      </c>
      <c r="G338" s="85" t="s">
        <v>435</v>
      </c>
      <c r="H338" s="85" t="s">
        <v>435</v>
      </c>
      <c r="I338" s="82" t="s">
        <v>1043</v>
      </c>
      <c r="J338" s="86" t="s">
        <v>436</v>
      </c>
    </row>
    <row r="339" spans="1:10" x14ac:dyDescent="0.25">
      <c r="A339" s="82" t="s">
        <v>1053</v>
      </c>
      <c r="B339" s="82" t="s">
        <v>1054</v>
      </c>
      <c r="C339" s="82" t="s">
        <v>550</v>
      </c>
      <c r="D339" s="83" t="s">
        <v>432</v>
      </c>
      <c r="E339" s="84" t="s">
        <v>455</v>
      </c>
      <c r="F339" s="84" t="s">
        <v>434</v>
      </c>
      <c r="G339" s="85" t="s">
        <v>435</v>
      </c>
      <c r="H339" s="85" t="s">
        <v>435</v>
      </c>
      <c r="I339" s="82" t="s">
        <v>429</v>
      </c>
      <c r="J339" s="86" t="s">
        <v>436</v>
      </c>
    </row>
    <row r="340" spans="1:10" x14ac:dyDescent="0.25">
      <c r="A340" s="82" t="s">
        <v>1055</v>
      </c>
      <c r="B340" s="82" t="s">
        <v>1056</v>
      </c>
      <c r="C340" s="82" t="s">
        <v>584</v>
      </c>
      <c r="D340" s="83" t="s">
        <v>432</v>
      </c>
      <c r="E340" s="84" t="s">
        <v>433</v>
      </c>
      <c r="F340" s="84" t="s">
        <v>434</v>
      </c>
      <c r="G340" s="85" t="s">
        <v>435</v>
      </c>
      <c r="H340" s="85" t="s">
        <v>435</v>
      </c>
      <c r="I340" s="82" t="s">
        <v>429</v>
      </c>
      <c r="J340" s="86" t="s">
        <v>436</v>
      </c>
    </row>
    <row r="341" spans="1:10" x14ac:dyDescent="0.25">
      <c r="A341" s="82" t="s">
        <v>1057</v>
      </c>
      <c r="B341" s="82" t="s">
        <v>383</v>
      </c>
      <c r="C341" s="82" t="s">
        <v>592</v>
      </c>
      <c r="D341" s="83" t="s">
        <v>432</v>
      </c>
      <c r="E341" s="84" t="s">
        <v>451</v>
      </c>
      <c r="F341" s="84" t="s">
        <v>434</v>
      </c>
      <c r="G341" s="85" t="s">
        <v>435</v>
      </c>
      <c r="H341" s="85" t="s">
        <v>435</v>
      </c>
      <c r="I341" s="82" t="s">
        <v>429</v>
      </c>
      <c r="J341" s="86" t="s">
        <v>436</v>
      </c>
    </row>
    <row r="342" spans="1:10" x14ac:dyDescent="0.25">
      <c r="A342" s="82" t="s">
        <v>1058</v>
      </c>
      <c r="B342" s="82" t="s">
        <v>1059</v>
      </c>
      <c r="C342" s="82" t="s">
        <v>940</v>
      </c>
      <c r="D342" s="83" t="s">
        <v>432</v>
      </c>
      <c r="E342" s="84" t="s">
        <v>870</v>
      </c>
      <c r="F342" s="84" t="s">
        <v>637</v>
      </c>
      <c r="G342" s="85" t="s">
        <v>435</v>
      </c>
      <c r="H342" s="85" t="s">
        <v>435</v>
      </c>
      <c r="I342" s="82" t="s">
        <v>429</v>
      </c>
      <c r="J342" s="86" t="s">
        <v>587</v>
      </c>
    </row>
    <row r="343" spans="1:10" x14ac:dyDescent="0.25">
      <c r="A343" s="82" t="s">
        <v>1060</v>
      </c>
      <c r="B343" s="82" t="s">
        <v>348</v>
      </c>
      <c r="C343" s="82" t="s">
        <v>559</v>
      </c>
      <c r="D343" s="83" t="s">
        <v>564</v>
      </c>
      <c r="E343" s="84" t="s">
        <v>557</v>
      </c>
      <c r="F343" s="84" t="s">
        <v>434</v>
      </c>
      <c r="G343" s="85" t="s">
        <v>435</v>
      </c>
      <c r="H343" s="85" t="s">
        <v>435</v>
      </c>
      <c r="I343" s="82" t="s">
        <v>429</v>
      </c>
      <c r="J343" s="86" t="s">
        <v>436</v>
      </c>
    </row>
    <row r="344" spans="1:10" x14ac:dyDescent="0.25">
      <c r="A344" s="82" t="s">
        <v>1061</v>
      </c>
      <c r="B344" s="82" t="s">
        <v>1062</v>
      </c>
      <c r="C344" s="82" t="s">
        <v>584</v>
      </c>
      <c r="D344" s="83" t="s">
        <v>432</v>
      </c>
      <c r="E344" s="84" t="s">
        <v>571</v>
      </c>
      <c r="F344" s="84" t="s">
        <v>637</v>
      </c>
      <c r="G344" s="85" t="s">
        <v>435</v>
      </c>
      <c r="H344" s="85" t="s">
        <v>435</v>
      </c>
      <c r="I344" s="82" t="s">
        <v>429</v>
      </c>
      <c r="J344" s="86" t="s">
        <v>436</v>
      </c>
    </row>
    <row r="345" spans="1:10" x14ac:dyDescent="0.25">
      <c r="A345" s="82" t="s">
        <v>1063</v>
      </c>
      <c r="B345" s="82" t="s">
        <v>1064</v>
      </c>
      <c r="C345" s="82" t="s">
        <v>584</v>
      </c>
      <c r="D345" s="83" t="s">
        <v>432</v>
      </c>
      <c r="E345" s="84" t="s">
        <v>557</v>
      </c>
      <c r="F345" s="84" t="s">
        <v>433</v>
      </c>
      <c r="G345" s="85" t="s">
        <v>435</v>
      </c>
      <c r="H345" s="85" t="s">
        <v>435</v>
      </c>
      <c r="I345" s="82" t="s">
        <v>429</v>
      </c>
      <c r="J345" s="86" t="s">
        <v>436</v>
      </c>
    </row>
    <row r="346" spans="1:10" x14ac:dyDescent="0.25">
      <c r="A346" s="82" t="s">
        <v>1065</v>
      </c>
      <c r="B346" s="82" t="s">
        <v>1066</v>
      </c>
      <c r="C346" s="82" t="s">
        <v>592</v>
      </c>
      <c r="D346" s="83" t="s">
        <v>564</v>
      </c>
      <c r="E346" s="84" t="s">
        <v>611</v>
      </c>
      <c r="F346" s="84" t="s">
        <v>434</v>
      </c>
      <c r="G346" s="85" t="s">
        <v>435</v>
      </c>
      <c r="H346" s="85" t="s">
        <v>435</v>
      </c>
      <c r="I346" s="82" t="s">
        <v>429</v>
      </c>
      <c r="J346" s="86" t="s">
        <v>436</v>
      </c>
    </row>
    <row r="347" spans="1:10" x14ac:dyDescent="0.25">
      <c r="A347" s="82" t="s">
        <v>1067</v>
      </c>
      <c r="B347" s="82" t="s">
        <v>151</v>
      </c>
      <c r="C347" s="82" t="s">
        <v>592</v>
      </c>
      <c r="D347" s="83" t="s">
        <v>564</v>
      </c>
      <c r="E347" s="84" t="s">
        <v>611</v>
      </c>
      <c r="F347" s="84" t="s">
        <v>434</v>
      </c>
      <c r="G347" s="85" t="s">
        <v>435</v>
      </c>
      <c r="H347" s="85" t="s">
        <v>435</v>
      </c>
      <c r="I347" s="82" t="s">
        <v>429</v>
      </c>
      <c r="J347" s="86" t="s">
        <v>436</v>
      </c>
    </row>
    <row r="348" spans="1:10" x14ac:dyDescent="0.25">
      <c r="A348" s="82" t="s">
        <v>1068</v>
      </c>
      <c r="B348" s="82" t="s">
        <v>1069</v>
      </c>
      <c r="C348" s="82" t="s">
        <v>940</v>
      </c>
      <c r="D348" s="83" t="s">
        <v>432</v>
      </c>
      <c r="E348" s="84" t="s">
        <v>551</v>
      </c>
      <c r="F348" s="84" t="s">
        <v>611</v>
      </c>
      <c r="G348" s="85" t="s">
        <v>435</v>
      </c>
      <c r="H348" s="85" t="s">
        <v>435</v>
      </c>
      <c r="I348" s="82" t="s">
        <v>429</v>
      </c>
      <c r="J348" s="86" t="s">
        <v>587</v>
      </c>
    </row>
    <row r="349" spans="1:10" x14ac:dyDescent="0.25">
      <c r="A349" s="82" t="s">
        <v>1070</v>
      </c>
      <c r="B349" s="82" t="s">
        <v>313</v>
      </c>
      <c r="C349" s="82" t="s">
        <v>584</v>
      </c>
      <c r="D349" s="83" t="s">
        <v>432</v>
      </c>
      <c r="E349" s="84" t="s">
        <v>888</v>
      </c>
      <c r="F349" s="84" t="s">
        <v>434</v>
      </c>
      <c r="G349" s="85" t="s">
        <v>435</v>
      </c>
      <c r="H349" s="85" t="s">
        <v>435</v>
      </c>
      <c r="I349" s="82" t="s">
        <v>429</v>
      </c>
      <c r="J349" s="86" t="s">
        <v>436</v>
      </c>
    </row>
    <row r="350" spans="1:10" x14ac:dyDescent="0.25">
      <c r="A350" s="82" t="s">
        <v>1071</v>
      </c>
      <c r="B350" s="82" t="s">
        <v>179</v>
      </c>
      <c r="C350" s="82" t="s">
        <v>550</v>
      </c>
      <c r="D350" s="83" t="s">
        <v>604</v>
      </c>
      <c r="E350" s="84" t="s">
        <v>557</v>
      </c>
      <c r="F350" s="84" t="s">
        <v>434</v>
      </c>
      <c r="G350" s="85" t="s">
        <v>435</v>
      </c>
      <c r="H350" s="85" t="s">
        <v>435</v>
      </c>
      <c r="I350" s="82" t="s">
        <v>429</v>
      </c>
      <c r="J350" s="86" t="s">
        <v>436</v>
      </c>
    </row>
    <row r="351" spans="1:10" x14ac:dyDescent="0.25">
      <c r="A351" s="82" t="s">
        <v>1072</v>
      </c>
      <c r="B351" s="82" t="s">
        <v>321</v>
      </c>
      <c r="C351" s="82" t="s">
        <v>584</v>
      </c>
      <c r="D351" s="83" t="s">
        <v>432</v>
      </c>
      <c r="E351" s="84" t="s">
        <v>888</v>
      </c>
      <c r="F351" s="84" t="s">
        <v>888</v>
      </c>
      <c r="G351" s="85" t="s">
        <v>435</v>
      </c>
      <c r="H351" s="85" t="s">
        <v>435</v>
      </c>
      <c r="I351" s="82" t="s">
        <v>429</v>
      </c>
      <c r="J351" s="86" t="s">
        <v>436</v>
      </c>
    </row>
    <row r="352" spans="1:10" x14ac:dyDescent="0.25">
      <c r="A352" s="82" t="s">
        <v>1073</v>
      </c>
      <c r="B352" s="82" t="s">
        <v>144</v>
      </c>
      <c r="C352" s="82" t="s">
        <v>592</v>
      </c>
      <c r="D352" s="83" t="s">
        <v>564</v>
      </c>
      <c r="E352" s="84" t="s">
        <v>557</v>
      </c>
      <c r="F352" s="84" t="s">
        <v>433</v>
      </c>
      <c r="G352" s="85" t="s">
        <v>435</v>
      </c>
      <c r="H352" s="85" t="s">
        <v>435</v>
      </c>
      <c r="I352" s="82" t="s">
        <v>429</v>
      </c>
      <c r="J352" s="86" t="s">
        <v>436</v>
      </c>
    </row>
    <row r="353" spans="1:10" x14ac:dyDescent="0.25">
      <c r="A353" s="82" t="s">
        <v>1074</v>
      </c>
      <c r="B353" s="82" t="s">
        <v>1075</v>
      </c>
      <c r="C353" s="82" t="s">
        <v>592</v>
      </c>
      <c r="D353" s="83" t="s">
        <v>564</v>
      </c>
      <c r="E353" s="84" t="s">
        <v>557</v>
      </c>
      <c r="F353" s="84" t="s">
        <v>433</v>
      </c>
      <c r="G353" s="85" t="s">
        <v>435</v>
      </c>
      <c r="H353" s="85" t="s">
        <v>435</v>
      </c>
      <c r="I353" s="82" t="s">
        <v>429</v>
      </c>
      <c r="J353" s="86" t="s">
        <v>436</v>
      </c>
    </row>
    <row r="354" spans="1:10" x14ac:dyDescent="0.25">
      <c r="A354" s="82" t="s">
        <v>1076</v>
      </c>
      <c r="B354" s="82" t="s">
        <v>375</v>
      </c>
      <c r="C354" s="82" t="s">
        <v>884</v>
      </c>
      <c r="D354" s="83" t="s">
        <v>432</v>
      </c>
      <c r="E354" s="84" t="s">
        <v>433</v>
      </c>
      <c r="F354" s="84" t="s">
        <v>434</v>
      </c>
      <c r="G354" s="85" t="s">
        <v>435</v>
      </c>
      <c r="H354" s="85" t="s">
        <v>435</v>
      </c>
      <c r="I354" s="82" t="s">
        <v>885</v>
      </c>
      <c r="J354" s="86" t="s">
        <v>436</v>
      </c>
    </row>
    <row r="355" spans="1:10" x14ac:dyDescent="0.25">
      <c r="A355" s="82" t="s">
        <v>1077</v>
      </c>
      <c r="B355" s="82" t="s">
        <v>1078</v>
      </c>
      <c r="C355" s="82" t="s">
        <v>559</v>
      </c>
      <c r="D355" s="83" t="s">
        <v>432</v>
      </c>
      <c r="E355" s="84" t="s">
        <v>557</v>
      </c>
      <c r="F355" s="84" t="s">
        <v>433</v>
      </c>
      <c r="G355" s="85" t="s">
        <v>435</v>
      </c>
      <c r="H355" s="85" t="s">
        <v>435</v>
      </c>
      <c r="I355" s="82" t="s">
        <v>429</v>
      </c>
      <c r="J355" s="86" t="s">
        <v>436</v>
      </c>
    </row>
    <row r="356" spans="1:10" x14ac:dyDescent="0.25">
      <c r="A356" s="82" t="s">
        <v>1079</v>
      </c>
      <c r="B356" s="82" t="s">
        <v>384</v>
      </c>
      <c r="C356" s="82" t="s">
        <v>592</v>
      </c>
      <c r="D356" s="83" t="s">
        <v>432</v>
      </c>
      <c r="E356" s="84" t="s">
        <v>566</v>
      </c>
      <c r="F356" s="84" t="s">
        <v>434</v>
      </c>
      <c r="G356" s="85" t="s">
        <v>435</v>
      </c>
      <c r="H356" s="85" t="s">
        <v>435</v>
      </c>
      <c r="I356" s="82" t="s">
        <v>429</v>
      </c>
      <c r="J356" s="86" t="s">
        <v>436</v>
      </c>
    </row>
    <row r="357" spans="1:10" x14ac:dyDescent="0.25">
      <c r="A357" s="82" t="s">
        <v>1080</v>
      </c>
      <c r="B357" s="82" t="s">
        <v>1081</v>
      </c>
      <c r="C357" s="82" t="s">
        <v>584</v>
      </c>
      <c r="D357" s="83" t="s">
        <v>432</v>
      </c>
      <c r="E357" s="84" t="s">
        <v>551</v>
      </c>
      <c r="F357" s="84" t="s">
        <v>434</v>
      </c>
      <c r="G357" s="85" t="s">
        <v>435</v>
      </c>
      <c r="H357" s="85" t="s">
        <v>435</v>
      </c>
      <c r="I357" s="82" t="s">
        <v>429</v>
      </c>
      <c r="J357" s="86" t="s">
        <v>587</v>
      </c>
    </row>
    <row r="358" spans="1:10" x14ac:dyDescent="0.25">
      <c r="A358" s="82" t="s">
        <v>1082</v>
      </c>
      <c r="B358" s="82" t="s">
        <v>294</v>
      </c>
      <c r="C358" s="82" t="s">
        <v>584</v>
      </c>
      <c r="D358" s="83" t="s">
        <v>432</v>
      </c>
      <c r="E358" s="84" t="s">
        <v>571</v>
      </c>
      <c r="F358" s="84" t="s">
        <v>637</v>
      </c>
      <c r="G358" s="85" t="s">
        <v>435</v>
      </c>
      <c r="H358" s="85" t="s">
        <v>435</v>
      </c>
      <c r="I358" s="82" t="s">
        <v>429</v>
      </c>
      <c r="J358" s="86" t="s">
        <v>436</v>
      </c>
    </row>
    <row r="359" spans="1:10" x14ac:dyDescent="0.25">
      <c r="A359" s="82" t="s">
        <v>1083</v>
      </c>
      <c r="B359" s="82" t="s">
        <v>1084</v>
      </c>
      <c r="C359" s="82" t="s">
        <v>884</v>
      </c>
      <c r="D359" s="83" t="s">
        <v>432</v>
      </c>
      <c r="E359" s="84" t="s">
        <v>551</v>
      </c>
      <c r="F359" s="84" t="s">
        <v>434</v>
      </c>
      <c r="G359" s="85" t="s">
        <v>435</v>
      </c>
      <c r="H359" s="85" t="s">
        <v>435</v>
      </c>
      <c r="I359" s="82" t="s">
        <v>885</v>
      </c>
      <c r="J359" s="86" t="s">
        <v>436</v>
      </c>
    </row>
    <row r="360" spans="1:10" x14ac:dyDescent="0.25">
      <c r="A360" s="82" t="s">
        <v>1085</v>
      </c>
      <c r="B360" s="82" t="s">
        <v>1086</v>
      </c>
      <c r="C360" s="82" t="s">
        <v>592</v>
      </c>
      <c r="D360" s="83" t="s">
        <v>432</v>
      </c>
      <c r="E360" s="84" t="s">
        <v>451</v>
      </c>
      <c r="F360" s="84" t="s">
        <v>434</v>
      </c>
      <c r="G360" s="85" t="s">
        <v>435</v>
      </c>
      <c r="H360" s="85" t="s">
        <v>435</v>
      </c>
      <c r="I360" s="82" t="s">
        <v>429</v>
      </c>
      <c r="J360" s="86" t="s">
        <v>436</v>
      </c>
    </row>
    <row r="361" spans="1:10" x14ac:dyDescent="0.25">
      <c r="A361" s="82" t="s">
        <v>1087</v>
      </c>
      <c r="B361" s="82" t="s">
        <v>134</v>
      </c>
      <c r="C361" s="82" t="s">
        <v>592</v>
      </c>
      <c r="D361" s="83" t="s">
        <v>432</v>
      </c>
      <c r="E361" s="84" t="s">
        <v>606</v>
      </c>
      <c r="F361" s="84" t="s">
        <v>434</v>
      </c>
      <c r="G361" s="85" t="s">
        <v>435</v>
      </c>
      <c r="H361" s="85" t="s">
        <v>435</v>
      </c>
      <c r="I361" s="82" t="s">
        <v>429</v>
      </c>
      <c r="J361" s="86" t="s">
        <v>436</v>
      </c>
    </row>
    <row r="362" spans="1:10" x14ac:dyDescent="0.25">
      <c r="A362" s="82" t="s">
        <v>1088</v>
      </c>
      <c r="B362" s="82" t="s">
        <v>1089</v>
      </c>
      <c r="C362" s="82" t="s">
        <v>592</v>
      </c>
      <c r="D362" s="83" t="s">
        <v>432</v>
      </c>
      <c r="E362" s="84" t="s">
        <v>455</v>
      </c>
      <c r="F362" s="84" t="s">
        <v>434</v>
      </c>
      <c r="G362" s="85" t="s">
        <v>435</v>
      </c>
      <c r="H362" s="85" t="s">
        <v>435</v>
      </c>
      <c r="I362" s="82" t="s">
        <v>429</v>
      </c>
      <c r="J362" s="86" t="s">
        <v>436</v>
      </c>
    </row>
    <row r="363" spans="1:10" x14ac:dyDescent="0.25">
      <c r="A363" s="82" t="s">
        <v>1090</v>
      </c>
      <c r="B363" s="82" t="s">
        <v>1091</v>
      </c>
      <c r="C363" s="82" t="s">
        <v>592</v>
      </c>
      <c r="D363" s="83" t="s">
        <v>432</v>
      </c>
      <c r="E363" s="84" t="s">
        <v>433</v>
      </c>
      <c r="F363" s="84" t="s">
        <v>434</v>
      </c>
      <c r="G363" s="85" t="s">
        <v>435</v>
      </c>
      <c r="H363" s="85" t="s">
        <v>435</v>
      </c>
      <c r="I363" s="82" t="s">
        <v>429</v>
      </c>
      <c r="J363" s="86" t="s">
        <v>436</v>
      </c>
    </row>
    <row r="364" spans="1:10" x14ac:dyDescent="0.25">
      <c r="A364" s="82" t="s">
        <v>1092</v>
      </c>
      <c r="B364" s="82" t="s">
        <v>1093</v>
      </c>
      <c r="C364" s="82" t="s">
        <v>559</v>
      </c>
      <c r="D364" s="83" t="s">
        <v>432</v>
      </c>
      <c r="E364" s="84" t="s">
        <v>557</v>
      </c>
      <c r="F364" s="84" t="s">
        <v>434</v>
      </c>
      <c r="G364" s="85" t="s">
        <v>435</v>
      </c>
      <c r="H364" s="85" t="s">
        <v>435</v>
      </c>
      <c r="I364" s="82" t="s">
        <v>429</v>
      </c>
      <c r="J364" s="86" t="s">
        <v>436</v>
      </c>
    </row>
    <row r="365" spans="1:10" x14ac:dyDescent="0.25">
      <c r="A365" s="82" t="s">
        <v>1094</v>
      </c>
      <c r="B365" s="82" t="s">
        <v>25</v>
      </c>
      <c r="C365" s="82" t="s">
        <v>584</v>
      </c>
      <c r="D365" s="83" t="s">
        <v>432</v>
      </c>
      <c r="E365" s="84" t="s">
        <v>589</v>
      </c>
      <c r="F365" s="84" t="s">
        <v>557</v>
      </c>
      <c r="G365" s="85" t="s">
        <v>435</v>
      </c>
      <c r="H365" s="85" t="s">
        <v>435</v>
      </c>
      <c r="I365" s="82" t="s">
        <v>429</v>
      </c>
      <c r="J365" s="86" t="s">
        <v>436</v>
      </c>
    </row>
    <row r="366" spans="1:10" x14ac:dyDescent="0.25">
      <c r="A366" s="82" t="s">
        <v>1095</v>
      </c>
      <c r="B366" s="82" t="s">
        <v>295</v>
      </c>
      <c r="C366" s="82" t="s">
        <v>584</v>
      </c>
      <c r="D366" s="83" t="s">
        <v>432</v>
      </c>
      <c r="E366" s="84" t="s">
        <v>557</v>
      </c>
      <c r="F366" s="84" t="s">
        <v>433</v>
      </c>
      <c r="G366" s="85" t="s">
        <v>435</v>
      </c>
      <c r="H366" s="85" t="s">
        <v>435</v>
      </c>
      <c r="I366" s="82" t="s">
        <v>429</v>
      </c>
      <c r="J366" s="86" t="s">
        <v>436</v>
      </c>
    </row>
    <row r="367" spans="1:10" x14ac:dyDescent="0.25">
      <c r="A367" s="82" t="s">
        <v>1096</v>
      </c>
      <c r="B367" s="82" t="s">
        <v>411</v>
      </c>
      <c r="C367" s="82" t="s">
        <v>911</v>
      </c>
      <c r="D367" s="83" t="s">
        <v>432</v>
      </c>
      <c r="E367" s="84" t="s">
        <v>650</v>
      </c>
      <c r="F367" s="84" t="s">
        <v>434</v>
      </c>
      <c r="G367" s="85" t="s">
        <v>435</v>
      </c>
      <c r="H367" s="85" t="s">
        <v>435</v>
      </c>
      <c r="I367" s="82" t="s">
        <v>429</v>
      </c>
      <c r="J367" s="86" t="s">
        <v>436</v>
      </c>
    </row>
    <row r="368" spans="1:10" x14ac:dyDescent="0.25">
      <c r="A368" s="82" t="s">
        <v>1097</v>
      </c>
      <c r="B368" s="82" t="s">
        <v>1098</v>
      </c>
      <c r="C368" s="82" t="s">
        <v>911</v>
      </c>
      <c r="D368" s="83" t="s">
        <v>432</v>
      </c>
      <c r="E368" s="84" t="s">
        <v>1099</v>
      </c>
      <c r="F368" s="84" t="s">
        <v>434</v>
      </c>
      <c r="G368" s="85" t="s">
        <v>435</v>
      </c>
      <c r="H368" s="85" t="s">
        <v>435</v>
      </c>
      <c r="I368" s="82" t="s">
        <v>429</v>
      </c>
      <c r="J368" s="86" t="s">
        <v>436</v>
      </c>
    </row>
    <row r="369" spans="1:10" x14ac:dyDescent="0.25">
      <c r="A369" s="82" t="s">
        <v>1100</v>
      </c>
      <c r="B369" s="82" t="s">
        <v>1101</v>
      </c>
      <c r="C369" s="82" t="s">
        <v>911</v>
      </c>
      <c r="D369" s="83" t="s">
        <v>432</v>
      </c>
      <c r="E369" s="84" t="s">
        <v>870</v>
      </c>
      <c r="F369" s="84" t="s">
        <v>434</v>
      </c>
      <c r="G369" s="85" t="s">
        <v>435</v>
      </c>
      <c r="H369" s="85" t="s">
        <v>435</v>
      </c>
      <c r="I369" s="82" t="s">
        <v>429</v>
      </c>
      <c r="J369" s="86" t="s">
        <v>436</v>
      </c>
    </row>
    <row r="370" spans="1:10" x14ac:dyDescent="0.25">
      <c r="A370" s="82" t="s">
        <v>1102</v>
      </c>
      <c r="B370" s="82" t="s">
        <v>1103</v>
      </c>
      <c r="C370" s="82" t="s">
        <v>911</v>
      </c>
      <c r="D370" s="83" t="s">
        <v>432</v>
      </c>
      <c r="E370" s="84" t="s">
        <v>1099</v>
      </c>
      <c r="F370" s="84" t="s">
        <v>434</v>
      </c>
      <c r="G370" s="85" t="s">
        <v>435</v>
      </c>
      <c r="H370" s="85" t="s">
        <v>435</v>
      </c>
      <c r="I370" s="82" t="s">
        <v>429</v>
      </c>
      <c r="J370" s="86" t="s">
        <v>436</v>
      </c>
    </row>
    <row r="371" spans="1:10" x14ac:dyDescent="0.25">
      <c r="A371" s="82" t="s">
        <v>1104</v>
      </c>
      <c r="B371" s="82" t="s">
        <v>1105</v>
      </c>
      <c r="C371" s="82" t="s">
        <v>911</v>
      </c>
      <c r="D371" s="83" t="s">
        <v>432</v>
      </c>
      <c r="E371" s="84" t="s">
        <v>870</v>
      </c>
      <c r="F371" s="84" t="s">
        <v>1106</v>
      </c>
      <c r="G371" s="85" t="s">
        <v>435</v>
      </c>
      <c r="H371" s="85" t="s">
        <v>435</v>
      </c>
      <c r="I371" s="82" t="s">
        <v>429</v>
      </c>
      <c r="J371" s="86" t="s">
        <v>436</v>
      </c>
    </row>
    <row r="372" spans="1:10" x14ac:dyDescent="0.25">
      <c r="A372" s="82" t="s">
        <v>1107</v>
      </c>
      <c r="B372" s="82" t="s">
        <v>1108</v>
      </c>
      <c r="C372" s="82" t="s">
        <v>911</v>
      </c>
      <c r="D372" s="83" t="s">
        <v>432</v>
      </c>
      <c r="E372" s="84" t="s">
        <v>870</v>
      </c>
      <c r="F372" s="84" t="s">
        <v>434</v>
      </c>
      <c r="G372" s="85" t="s">
        <v>435</v>
      </c>
      <c r="H372" s="85" t="s">
        <v>435</v>
      </c>
      <c r="I372" s="82" t="s">
        <v>429</v>
      </c>
      <c r="J372" s="86" t="s">
        <v>436</v>
      </c>
    </row>
    <row r="373" spans="1:10" x14ac:dyDescent="0.25">
      <c r="A373" s="82" t="s">
        <v>1109</v>
      </c>
      <c r="B373" s="82" t="s">
        <v>1110</v>
      </c>
      <c r="C373" s="82" t="s">
        <v>911</v>
      </c>
      <c r="D373" s="83" t="s">
        <v>432</v>
      </c>
      <c r="E373" s="84" t="s">
        <v>870</v>
      </c>
      <c r="F373" s="84" t="s">
        <v>434</v>
      </c>
      <c r="G373" s="85" t="s">
        <v>435</v>
      </c>
      <c r="H373" s="85" t="s">
        <v>435</v>
      </c>
      <c r="I373" s="82" t="s">
        <v>429</v>
      </c>
      <c r="J373" s="86" t="s">
        <v>436</v>
      </c>
    </row>
    <row r="374" spans="1:10" x14ac:dyDescent="0.25">
      <c r="A374" s="82" t="s">
        <v>1111</v>
      </c>
      <c r="B374" s="82" t="s">
        <v>1112</v>
      </c>
      <c r="C374" s="82" t="s">
        <v>911</v>
      </c>
      <c r="D374" s="83" t="s">
        <v>432</v>
      </c>
      <c r="E374" s="84" t="s">
        <v>870</v>
      </c>
      <c r="F374" s="84" t="s">
        <v>434</v>
      </c>
      <c r="G374" s="85" t="s">
        <v>435</v>
      </c>
      <c r="H374" s="85" t="s">
        <v>435</v>
      </c>
      <c r="I374" s="82" t="s">
        <v>429</v>
      </c>
      <c r="J374" s="86" t="s">
        <v>436</v>
      </c>
    </row>
    <row r="375" spans="1:10" x14ac:dyDescent="0.25">
      <c r="A375" s="82" t="s">
        <v>1113</v>
      </c>
      <c r="B375" s="82" t="s">
        <v>1114</v>
      </c>
      <c r="C375" s="82" t="s">
        <v>911</v>
      </c>
      <c r="D375" s="83" t="s">
        <v>432</v>
      </c>
      <c r="E375" s="84" t="s">
        <v>870</v>
      </c>
      <c r="F375" s="84" t="s">
        <v>434</v>
      </c>
      <c r="G375" s="85" t="s">
        <v>435</v>
      </c>
      <c r="H375" s="85" t="s">
        <v>435</v>
      </c>
      <c r="I375" s="82" t="s">
        <v>429</v>
      </c>
      <c r="J375" s="86" t="s">
        <v>436</v>
      </c>
    </row>
    <row r="376" spans="1:10" x14ac:dyDescent="0.25">
      <c r="A376" s="82" t="s">
        <v>1115</v>
      </c>
      <c r="B376" s="82" t="s">
        <v>1116</v>
      </c>
      <c r="C376" s="82" t="s">
        <v>559</v>
      </c>
      <c r="D376" s="83" t="s">
        <v>432</v>
      </c>
      <c r="E376" s="84" t="s">
        <v>451</v>
      </c>
      <c r="F376" s="84" t="s">
        <v>434</v>
      </c>
      <c r="G376" s="85" t="s">
        <v>435</v>
      </c>
      <c r="H376" s="85" t="s">
        <v>435</v>
      </c>
      <c r="I376" s="82" t="s">
        <v>429</v>
      </c>
      <c r="J376" s="86" t="s">
        <v>436</v>
      </c>
    </row>
    <row r="377" spans="1:10" x14ac:dyDescent="0.25">
      <c r="A377" s="82" t="s">
        <v>1117</v>
      </c>
      <c r="B377" s="82" t="s">
        <v>403</v>
      </c>
      <c r="C377" s="82" t="s">
        <v>550</v>
      </c>
      <c r="D377" s="83" t="s">
        <v>604</v>
      </c>
      <c r="E377" s="84" t="s">
        <v>557</v>
      </c>
      <c r="F377" s="84" t="s">
        <v>434</v>
      </c>
      <c r="G377" s="85" t="s">
        <v>435</v>
      </c>
      <c r="H377" s="85" t="s">
        <v>435</v>
      </c>
      <c r="I377" s="82" t="s">
        <v>429</v>
      </c>
      <c r="J377" s="86" t="s">
        <v>436</v>
      </c>
    </row>
    <row r="378" spans="1:10" x14ac:dyDescent="0.25">
      <c r="A378" s="82" t="s">
        <v>1118</v>
      </c>
      <c r="B378" s="82" t="s">
        <v>410</v>
      </c>
      <c r="C378" s="82" t="s">
        <v>911</v>
      </c>
      <c r="D378" s="83" t="s">
        <v>585</v>
      </c>
      <c r="E378" s="84" t="s">
        <v>557</v>
      </c>
      <c r="F378" s="84" t="s">
        <v>434</v>
      </c>
      <c r="G378" s="85" t="s">
        <v>435</v>
      </c>
      <c r="H378" s="85" t="s">
        <v>435</v>
      </c>
      <c r="I378" s="82" t="s">
        <v>429</v>
      </c>
      <c r="J378" s="86" t="s">
        <v>436</v>
      </c>
    </row>
    <row r="379" spans="1:10" x14ac:dyDescent="0.25">
      <c r="A379" s="82" t="s">
        <v>1119</v>
      </c>
      <c r="B379" s="82" t="s">
        <v>1120</v>
      </c>
      <c r="C379" s="82" t="s">
        <v>911</v>
      </c>
      <c r="D379" s="83" t="s">
        <v>432</v>
      </c>
      <c r="E379" s="84" t="s">
        <v>1099</v>
      </c>
      <c r="F379" s="84" t="s">
        <v>434</v>
      </c>
      <c r="G379" s="85" t="s">
        <v>435</v>
      </c>
      <c r="H379" s="85" t="s">
        <v>435</v>
      </c>
      <c r="I379" s="82" t="s">
        <v>429</v>
      </c>
      <c r="J379" s="86" t="s">
        <v>436</v>
      </c>
    </row>
    <row r="380" spans="1:10" x14ac:dyDescent="0.25">
      <c r="A380" s="82" t="s">
        <v>1121</v>
      </c>
      <c r="B380" s="82" t="s">
        <v>1122</v>
      </c>
      <c r="C380" s="82" t="s">
        <v>911</v>
      </c>
      <c r="D380" s="83" t="s">
        <v>432</v>
      </c>
      <c r="E380" s="84" t="s">
        <v>1099</v>
      </c>
      <c r="F380" s="84" t="s">
        <v>1123</v>
      </c>
      <c r="G380" s="85" t="s">
        <v>435</v>
      </c>
      <c r="H380" s="85" t="s">
        <v>435</v>
      </c>
      <c r="I380" s="82" t="s">
        <v>429</v>
      </c>
      <c r="J380" s="86" t="s">
        <v>436</v>
      </c>
    </row>
    <row r="381" spans="1:10" x14ac:dyDescent="0.25">
      <c r="A381" s="82" t="s">
        <v>1124</v>
      </c>
      <c r="B381" s="82" t="s">
        <v>1125</v>
      </c>
      <c r="C381" s="82" t="s">
        <v>911</v>
      </c>
      <c r="D381" s="83" t="s">
        <v>432</v>
      </c>
      <c r="E381" s="84" t="s">
        <v>1099</v>
      </c>
      <c r="F381" s="84" t="s">
        <v>434</v>
      </c>
      <c r="G381" s="85" t="s">
        <v>435</v>
      </c>
      <c r="H381" s="85" t="s">
        <v>435</v>
      </c>
      <c r="I381" s="82" t="s">
        <v>429</v>
      </c>
      <c r="J381" s="86" t="s">
        <v>436</v>
      </c>
    </row>
    <row r="382" spans="1:10" x14ac:dyDescent="0.25">
      <c r="A382" s="82" t="s">
        <v>1126</v>
      </c>
      <c r="B382" s="82" t="s">
        <v>1127</v>
      </c>
      <c r="C382" s="82" t="s">
        <v>911</v>
      </c>
      <c r="D382" s="83" t="s">
        <v>432</v>
      </c>
      <c r="E382" s="84" t="s">
        <v>1099</v>
      </c>
      <c r="F382" s="84" t="s">
        <v>1123</v>
      </c>
      <c r="G382" s="85" t="s">
        <v>435</v>
      </c>
      <c r="H382" s="85" t="s">
        <v>435</v>
      </c>
      <c r="I382" s="82" t="s">
        <v>429</v>
      </c>
      <c r="J382" s="86" t="s">
        <v>436</v>
      </c>
    </row>
    <row r="383" spans="1:10" x14ac:dyDescent="0.25">
      <c r="A383" s="82" t="s">
        <v>1128</v>
      </c>
      <c r="B383" s="82" t="s">
        <v>1129</v>
      </c>
      <c r="C383" s="82" t="s">
        <v>911</v>
      </c>
      <c r="D383" s="83" t="s">
        <v>432</v>
      </c>
      <c r="E383" s="84" t="s">
        <v>1099</v>
      </c>
      <c r="F383" s="84" t="s">
        <v>434</v>
      </c>
      <c r="G383" s="85" t="s">
        <v>435</v>
      </c>
      <c r="H383" s="85" t="s">
        <v>435</v>
      </c>
      <c r="I383" s="82" t="s">
        <v>429</v>
      </c>
      <c r="J383" s="86" t="s">
        <v>436</v>
      </c>
    </row>
    <row r="384" spans="1:10" x14ac:dyDescent="0.25">
      <c r="A384" s="82" t="s">
        <v>1130</v>
      </c>
      <c r="B384" s="82" t="s">
        <v>178</v>
      </c>
      <c r="C384" s="82" t="s">
        <v>550</v>
      </c>
      <c r="D384" s="83" t="s">
        <v>604</v>
      </c>
      <c r="E384" s="84" t="s">
        <v>557</v>
      </c>
      <c r="F384" s="84" t="s">
        <v>434</v>
      </c>
      <c r="G384" s="85" t="s">
        <v>435</v>
      </c>
      <c r="H384" s="85" t="s">
        <v>435</v>
      </c>
      <c r="I384" s="82" t="s">
        <v>429</v>
      </c>
      <c r="J384" s="86" t="s">
        <v>436</v>
      </c>
    </row>
    <row r="385" spans="1:10" x14ac:dyDescent="0.25">
      <c r="A385" s="82" t="s">
        <v>1131</v>
      </c>
      <c r="B385" s="82" t="s">
        <v>320</v>
      </c>
      <c r="C385" s="82" t="s">
        <v>584</v>
      </c>
      <c r="D385" s="83" t="s">
        <v>432</v>
      </c>
      <c r="E385" s="84" t="s">
        <v>571</v>
      </c>
      <c r="F385" s="84" t="s">
        <v>434</v>
      </c>
      <c r="G385" s="85" t="s">
        <v>435</v>
      </c>
      <c r="H385" s="85" t="s">
        <v>435</v>
      </c>
      <c r="I385" s="82" t="s">
        <v>429</v>
      </c>
      <c r="J385" s="86" t="s">
        <v>436</v>
      </c>
    </row>
    <row r="386" spans="1:10" x14ac:dyDescent="0.25">
      <c r="A386" s="82" t="s">
        <v>1132</v>
      </c>
      <c r="B386" s="82" t="s">
        <v>1133</v>
      </c>
      <c r="C386" s="82" t="s">
        <v>550</v>
      </c>
      <c r="D386" s="83" t="s">
        <v>564</v>
      </c>
      <c r="E386" s="84" t="s">
        <v>433</v>
      </c>
      <c r="F386" s="84" t="s">
        <v>434</v>
      </c>
      <c r="G386" s="85" t="s">
        <v>435</v>
      </c>
      <c r="H386" s="85" t="s">
        <v>435</v>
      </c>
      <c r="I386" s="82" t="s">
        <v>429</v>
      </c>
      <c r="J386" s="86" t="s">
        <v>436</v>
      </c>
    </row>
    <row r="387" spans="1:10" x14ac:dyDescent="0.25">
      <c r="A387" s="82" t="s">
        <v>1134</v>
      </c>
      <c r="B387" s="82" t="s">
        <v>245</v>
      </c>
      <c r="C387" s="82" t="s">
        <v>431</v>
      </c>
      <c r="D387" s="83" t="s">
        <v>616</v>
      </c>
      <c r="E387" s="84" t="s">
        <v>606</v>
      </c>
      <c r="F387" s="84" t="s">
        <v>434</v>
      </c>
      <c r="G387" s="85" t="s">
        <v>435</v>
      </c>
      <c r="H387" s="85" t="s">
        <v>435</v>
      </c>
      <c r="I387" s="82" t="s">
        <v>429</v>
      </c>
      <c r="J387" s="86" t="s">
        <v>436</v>
      </c>
    </row>
    <row r="388" spans="1:10" x14ac:dyDescent="0.25">
      <c r="A388" s="82" t="s">
        <v>1135</v>
      </c>
      <c r="B388" s="82" t="s">
        <v>1136</v>
      </c>
      <c r="C388" s="82" t="s">
        <v>431</v>
      </c>
      <c r="D388" s="83" t="s">
        <v>564</v>
      </c>
      <c r="E388" s="84" t="s">
        <v>744</v>
      </c>
      <c r="F388" s="84" t="s">
        <v>434</v>
      </c>
      <c r="G388" s="85" t="s">
        <v>435</v>
      </c>
      <c r="H388" s="85" t="s">
        <v>435</v>
      </c>
      <c r="I388" s="82" t="s">
        <v>429</v>
      </c>
      <c r="J388" s="86" t="s">
        <v>436</v>
      </c>
    </row>
    <row r="389" spans="1:10" x14ac:dyDescent="0.25">
      <c r="A389" s="82" t="s">
        <v>1137</v>
      </c>
      <c r="B389" s="82" t="s">
        <v>1138</v>
      </c>
      <c r="C389" s="82" t="s">
        <v>911</v>
      </c>
      <c r="D389" s="83" t="s">
        <v>585</v>
      </c>
      <c r="E389" s="84" t="s">
        <v>566</v>
      </c>
      <c r="F389" s="84" t="s">
        <v>611</v>
      </c>
      <c r="G389" s="85" t="s">
        <v>435</v>
      </c>
      <c r="H389" s="85" t="s">
        <v>435</v>
      </c>
      <c r="I389" s="82" t="s">
        <v>429</v>
      </c>
      <c r="J389" s="86" t="s">
        <v>587</v>
      </c>
    </row>
    <row r="390" spans="1:10" x14ac:dyDescent="0.25">
      <c r="A390" s="82" t="s">
        <v>1139</v>
      </c>
      <c r="B390" s="82" t="s">
        <v>1140</v>
      </c>
      <c r="C390" s="82" t="s">
        <v>911</v>
      </c>
      <c r="D390" s="83" t="s">
        <v>585</v>
      </c>
      <c r="E390" s="84" t="s">
        <v>557</v>
      </c>
      <c r="F390" s="84" t="s">
        <v>433</v>
      </c>
      <c r="G390" s="85" t="s">
        <v>435</v>
      </c>
      <c r="H390" s="85" t="s">
        <v>435</v>
      </c>
      <c r="I390" s="82" t="s">
        <v>429</v>
      </c>
      <c r="J390" s="86" t="s">
        <v>587</v>
      </c>
    </row>
    <row r="391" spans="1:10" x14ac:dyDescent="0.25">
      <c r="A391" s="82" t="s">
        <v>1141</v>
      </c>
      <c r="B391" s="82" t="s">
        <v>1142</v>
      </c>
      <c r="C391" s="82" t="s">
        <v>911</v>
      </c>
      <c r="D391" s="83" t="s">
        <v>585</v>
      </c>
      <c r="E391" s="84" t="s">
        <v>566</v>
      </c>
      <c r="F391" s="84" t="s">
        <v>611</v>
      </c>
      <c r="G391" s="85" t="s">
        <v>435</v>
      </c>
      <c r="H391" s="85" t="s">
        <v>435</v>
      </c>
      <c r="I391" s="82" t="s">
        <v>429</v>
      </c>
      <c r="J391" s="86" t="s">
        <v>587</v>
      </c>
    </row>
    <row r="392" spans="1:10" x14ac:dyDescent="0.25">
      <c r="A392" s="82" t="s">
        <v>1143</v>
      </c>
      <c r="B392" s="82" t="s">
        <v>20</v>
      </c>
      <c r="C392" s="82" t="s">
        <v>584</v>
      </c>
      <c r="D392" s="83" t="s">
        <v>564</v>
      </c>
      <c r="E392" s="84" t="s">
        <v>865</v>
      </c>
      <c r="F392" s="84" t="s">
        <v>434</v>
      </c>
      <c r="G392" s="85" t="s">
        <v>435</v>
      </c>
      <c r="H392" s="85" t="s">
        <v>435</v>
      </c>
      <c r="I392" s="82" t="s">
        <v>429</v>
      </c>
      <c r="J392" s="86" t="s">
        <v>436</v>
      </c>
    </row>
    <row r="393" spans="1:10" x14ac:dyDescent="0.25">
      <c r="A393" s="82" t="s">
        <v>1144</v>
      </c>
      <c r="B393" s="82" t="s">
        <v>21</v>
      </c>
      <c r="C393" s="82" t="s">
        <v>584</v>
      </c>
      <c r="D393" s="83" t="s">
        <v>564</v>
      </c>
      <c r="E393" s="84" t="s">
        <v>744</v>
      </c>
      <c r="F393" s="84" t="s">
        <v>434</v>
      </c>
      <c r="G393" s="85" t="s">
        <v>435</v>
      </c>
      <c r="H393" s="85" t="s">
        <v>435</v>
      </c>
      <c r="I393" s="82" t="s">
        <v>429</v>
      </c>
      <c r="J393" s="86" t="s">
        <v>436</v>
      </c>
    </row>
    <row r="394" spans="1:10" x14ac:dyDescent="0.25">
      <c r="A394" s="82" t="s">
        <v>1145</v>
      </c>
      <c r="B394" s="82" t="s">
        <v>1146</v>
      </c>
      <c r="C394" s="82" t="s">
        <v>559</v>
      </c>
      <c r="D394" s="83" t="s">
        <v>432</v>
      </c>
      <c r="E394" s="84" t="s">
        <v>569</v>
      </c>
      <c r="F394" s="84" t="s">
        <v>576</v>
      </c>
      <c r="G394" s="85" t="s">
        <v>435</v>
      </c>
      <c r="H394" s="85" t="s">
        <v>435</v>
      </c>
      <c r="I394" s="82" t="s">
        <v>429</v>
      </c>
      <c r="J394" s="86" t="s">
        <v>436</v>
      </c>
    </row>
    <row r="395" spans="1:10" x14ac:dyDescent="0.25">
      <c r="A395" s="82" t="s">
        <v>1147</v>
      </c>
      <c r="B395" s="82" t="s">
        <v>1148</v>
      </c>
      <c r="C395" s="82" t="s">
        <v>940</v>
      </c>
      <c r="D395" s="83" t="s">
        <v>432</v>
      </c>
      <c r="E395" s="84" t="s">
        <v>870</v>
      </c>
      <c r="F395" s="84" t="s">
        <v>637</v>
      </c>
      <c r="G395" s="85" t="s">
        <v>435</v>
      </c>
      <c r="H395" s="85" t="s">
        <v>435</v>
      </c>
      <c r="I395" s="82" t="s">
        <v>429</v>
      </c>
      <c r="J395" s="86" t="s">
        <v>436</v>
      </c>
    </row>
    <row r="396" spans="1:10" x14ac:dyDescent="0.25">
      <c r="A396" s="82" t="s">
        <v>1149</v>
      </c>
      <c r="B396" s="82" t="s">
        <v>1150</v>
      </c>
      <c r="C396" s="82" t="s">
        <v>559</v>
      </c>
      <c r="D396" s="83" t="s">
        <v>564</v>
      </c>
      <c r="E396" s="84" t="s">
        <v>606</v>
      </c>
      <c r="F396" s="84" t="s">
        <v>434</v>
      </c>
      <c r="G396" s="85" t="s">
        <v>435</v>
      </c>
      <c r="H396" s="85" t="s">
        <v>435</v>
      </c>
      <c r="I396" s="82" t="s">
        <v>429</v>
      </c>
      <c r="J396" s="86" t="s">
        <v>436</v>
      </c>
    </row>
    <row r="397" spans="1:10" x14ac:dyDescent="0.25">
      <c r="A397" s="82" t="s">
        <v>1151</v>
      </c>
      <c r="B397" s="82" t="s">
        <v>1152</v>
      </c>
      <c r="C397" s="82" t="s">
        <v>559</v>
      </c>
      <c r="D397" s="83" t="s">
        <v>564</v>
      </c>
      <c r="E397" s="84" t="s">
        <v>606</v>
      </c>
      <c r="F397" s="84" t="s">
        <v>434</v>
      </c>
      <c r="G397" s="85" t="s">
        <v>435</v>
      </c>
      <c r="H397" s="85" t="s">
        <v>435</v>
      </c>
      <c r="I397" s="82" t="s">
        <v>429</v>
      </c>
      <c r="J397" s="86" t="s">
        <v>436</v>
      </c>
    </row>
    <row r="398" spans="1:10" x14ac:dyDescent="0.25">
      <c r="A398" s="82" t="s">
        <v>1153</v>
      </c>
      <c r="B398" s="82" t="s">
        <v>362</v>
      </c>
      <c r="C398" s="82" t="s">
        <v>559</v>
      </c>
      <c r="D398" s="83" t="s">
        <v>564</v>
      </c>
      <c r="E398" s="84" t="s">
        <v>606</v>
      </c>
      <c r="F398" s="84" t="s">
        <v>434</v>
      </c>
      <c r="G398" s="85" t="s">
        <v>435</v>
      </c>
      <c r="H398" s="85" t="s">
        <v>435</v>
      </c>
      <c r="I398" s="82" t="s">
        <v>429</v>
      </c>
      <c r="J398" s="86" t="s">
        <v>436</v>
      </c>
    </row>
    <row r="399" spans="1:10" x14ac:dyDescent="0.25">
      <c r="A399" s="82" t="s">
        <v>1154</v>
      </c>
      <c r="B399" s="82" t="s">
        <v>1155</v>
      </c>
      <c r="C399" s="82" t="s">
        <v>559</v>
      </c>
      <c r="D399" s="83" t="s">
        <v>564</v>
      </c>
      <c r="E399" s="84" t="s">
        <v>1156</v>
      </c>
      <c r="F399" s="84" t="s">
        <v>434</v>
      </c>
      <c r="G399" s="85" t="s">
        <v>435</v>
      </c>
      <c r="H399" s="85" t="s">
        <v>435</v>
      </c>
      <c r="I399" s="82" t="s">
        <v>429</v>
      </c>
      <c r="J399" s="86" t="s">
        <v>436</v>
      </c>
    </row>
    <row r="400" spans="1:10" x14ac:dyDescent="0.25">
      <c r="A400" s="82" t="s">
        <v>1157</v>
      </c>
      <c r="B400" s="82" t="s">
        <v>363</v>
      </c>
      <c r="C400" s="82" t="s">
        <v>559</v>
      </c>
      <c r="D400" s="83" t="s">
        <v>564</v>
      </c>
      <c r="E400" s="84" t="s">
        <v>569</v>
      </c>
      <c r="F400" s="84" t="s">
        <v>434</v>
      </c>
      <c r="G400" s="85" t="s">
        <v>435</v>
      </c>
      <c r="H400" s="85" t="s">
        <v>435</v>
      </c>
      <c r="I400" s="82" t="s">
        <v>429</v>
      </c>
      <c r="J400" s="86" t="s">
        <v>436</v>
      </c>
    </row>
    <row r="401" spans="1:10" x14ac:dyDescent="0.25">
      <c r="A401" s="82" t="s">
        <v>1158</v>
      </c>
      <c r="B401" s="82" t="s">
        <v>1159</v>
      </c>
      <c r="C401" s="82" t="s">
        <v>559</v>
      </c>
      <c r="D401" s="83" t="s">
        <v>564</v>
      </c>
      <c r="E401" s="84" t="s">
        <v>569</v>
      </c>
      <c r="F401" s="84" t="s">
        <v>434</v>
      </c>
      <c r="G401" s="85" t="s">
        <v>435</v>
      </c>
      <c r="H401" s="85" t="s">
        <v>435</v>
      </c>
      <c r="I401" s="82" t="s">
        <v>429</v>
      </c>
      <c r="J401" s="86" t="s">
        <v>436</v>
      </c>
    </row>
    <row r="402" spans="1:10" x14ac:dyDescent="0.25">
      <c r="A402" s="82" t="s">
        <v>1160</v>
      </c>
      <c r="B402" s="82" t="s">
        <v>1161</v>
      </c>
      <c r="C402" s="82" t="s">
        <v>559</v>
      </c>
      <c r="D402" s="83" t="s">
        <v>564</v>
      </c>
      <c r="E402" s="84" t="s">
        <v>569</v>
      </c>
      <c r="F402" s="84" t="s">
        <v>434</v>
      </c>
      <c r="G402" s="85" t="s">
        <v>435</v>
      </c>
      <c r="H402" s="85" t="s">
        <v>435</v>
      </c>
      <c r="I402" s="82" t="s">
        <v>429</v>
      </c>
      <c r="J402" s="86" t="s">
        <v>436</v>
      </c>
    </row>
    <row r="403" spans="1:10" x14ac:dyDescent="0.25">
      <c r="A403" s="82" t="s">
        <v>1162</v>
      </c>
      <c r="B403" s="82" t="s">
        <v>1163</v>
      </c>
      <c r="C403" s="82" t="s">
        <v>559</v>
      </c>
      <c r="D403" s="83" t="s">
        <v>564</v>
      </c>
      <c r="E403" s="84" t="s">
        <v>569</v>
      </c>
      <c r="F403" s="84" t="s">
        <v>434</v>
      </c>
      <c r="G403" s="85" t="s">
        <v>435</v>
      </c>
      <c r="H403" s="85" t="s">
        <v>435</v>
      </c>
      <c r="I403" s="82" t="s">
        <v>429</v>
      </c>
      <c r="J403" s="86" t="s">
        <v>436</v>
      </c>
    </row>
    <row r="404" spans="1:10" x14ac:dyDescent="0.25">
      <c r="A404" s="82" t="s">
        <v>1164</v>
      </c>
      <c r="B404" s="82" t="s">
        <v>364</v>
      </c>
      <c r="C404" s="82" t="s">
        <v>559</v>
      </c>
      <c r="D404" s="83" t="s">
        <v>564</v>
      </c>
      <c r="E404" s="84" t="s">
        <v>870</v>
      </c>
      <c r="F404" s="84" t="s">
        <v>571</v>
      </c>
      <c r="G404" s="85" t="s">
        <v>435</v>
      </c>
      <c r="H404" s="85" t="s">
        <v>435</v>
      </c>
      <c r="I404" s="82" t="s">
        <v>429</v>
      </c>
      <c r="J404" s="86" t="s">
        <v>436</v>
      </c>
    </row>
    <row r="405" spans="1:10" x14ac:dyDescent="0.25">
      <c r="A405" s="82" t="s">
        <v>1165</v>
      </c>
      <c r="B405" s="82" t="s">
        <v>105</v>
      </c>
      <c r="C405" s="82" t="s">
        <v>559</v>
      </c>
      <c r="D405" s="83" t="s">
        <v>564</v>
      </c>
      <c r="E405" s="84" t="s">
        <v>870</v>
      </c>
      <c r="F405" s="84" t="s">
        <v>571</v>
      </c>
      <c r="G405" s="85" t="s">
        <v>435</v>
      </c>
      <c r="H405" s="85" t="s">
        <v>435</v>
      </c>
      <c r="I405" s="82" t="s">
        <v>429</v>
      </c>
      <c r="J405" s="86" t="s">
        <v>436</v>
      </c>
    </row>
    <row r="406" spans="1:10" x14ac:dyDescent="0.25">
      <c r="A406" s="82" t="s">
        <v>1166</v>
      </c>
      <c r="B406" s="82" t="s">
        <v>106</v>
      </c>
      <c r="C406" s="82" t="s">
        <v>559</v>
      </c>
      <c r="D406" s="83" t="s">
        <v>564</v>
      </c>
      <c r="E406" s="84" t="s">
        <v>870</v>
      </c>
      <c r="F406" s="84" t="s">
        <v>571</v>
      </c>
      <c r="G406" s="85" t="s">
        <v>435</v>
      </c>
      <c r="H406" s="85" t="s">
        <v>435</v>
      </c>
      <c r="I406" s="82" t="s">
        <v>429</v>
      </c>
      <c r="J406" s="86" t="s">
        <v>436</v>
      </c>
    </row>
    <row r="407" spans="1:10" x14ac:dyDescent="0.25">
      <c r="A407" s="82" t="s">
        <v>1167</v>
      </c>
      <c r="B407" s="82" t="s">
        <v>107</v>
      </c>
      <c r="C407" s="82" t="s">
        <v>559</v>
      </c>
      <c r="D407" s="83" t="s">
        <v>564</v>
      </c>
      <c r="E407" s="84" t="s">
        <v>870</v>
      </c>
      <c r="F407" s="84" t="s">
        <v>571</v>
      </c>
      <c r="G407" s="85" t="s">
        <v>435</v>
      </c>
      <c r="H407" s="85" t="s">
        <v>435</v>
      </c>
      <c r="I407" s="82" t="s">
        <v>429</v>
      </c>
      <c r="J407" s="86" t="s">
        <v>436</v>
      </c>
    </row>
    <row r="408" spans="1:10" x14ac:dyDescent="0.25">
      <c r="A408" s="82" t="s">
        <v>1168</v>
      </c>
      <c r="B408" s="82" t="s">
        <v>1169</v>
      </c>
      <c r="C408" s="82" t="s">
        <v>1170</v>
      </c>
      <c r="D408" s="83" t="s">
        <v>616</v>
      </c>
      <c r="E408" s="84" t="s">
        <v>1106</v>
      </c>
      <c r="F408" s="84" t="s">
        <v>434</v>
      </c>
      <c r="G408" s="85" t="s">
        <v>435</v>
      </c>
      <c r="H408" s="85" t="s">
        <v>435</v>
      </c>
      <c r="I408" s="82" t="s">
        <v>429</v>
      </c>
      <c r="J408" s="86" t="s">
        <v>436</v>
      </c>
    </row>
    <row r="409" spans="1:10" x14ac:dyDescent="0.25">
      <c r="A409" s="82" t="s">
        <v>1171</v>
      </c>
      <c r="B409" s="82" t="s">
        <v>1172</v>
      </c>
      <c r="C409" s="82" t="s">
        <v>1170</v>
      </c>
      <c r="D409" s="83" t="s">
        <v>616</v>
      </c>
      <c r="E409" s="84" t="s">
        <v>1106</v>
      </c>
      <c r="F409" s="84" t="s">
        <v>434</v>
      </c>
      <c r="G409" s="85" t="s">
        <v>435</v>
      </c>
      <c r="H409" s="85" t="s">
        <v>435</v>
      </c>
      <c r="I409" s="82" t="s">
        <v>429</v>
      </c>
      <c r="J409" s="86" t="s">
        <v>436</v>
      </c>
    </row>
    <row r="410" spans="1:10" x14ac:dyDescent="0.25">
      <c r="A410" s="82" t="s">
        <v>1173</v>
      </c>
      <c r="B410" s="82" t="s">
        <v>173</v>
      </c>
      <c r="C410" s="82" t="s">
        <v>1170</v>
      </c>
      <c r="D410" s="83" t="s">
        <v>616</v>
      </c>
      <c r="E410" s="84" t="s">
        <v>1106</v>
      </c>
      <c r="F410" s="84" t="s">
        <v>434</v>
      </c>
      <c r="G410" s="85" t="s">
        <v>435</v>
      </c>
      <c r="H410" s="85" t="s">
        <v>435</v>
      </c>
      <c r="I410" s="82" t="s">
        <v>429</v>
      </c>
      <c r="J410" s="86" t="s">
        <v>436</v>
      </c>
    </row>
    <row r="411" spans="1:10" x14ac:dyDescent="0.25">
      <c r="A411" s="82" t="s">
        <v>1174</v>
      </c>
      <c r="B411" s="82" t="s">
        <v>170</v>
      </c>
      <c r="C411" s="82" t="s">
        <v>1170</v>
      </c>
      <c r="D411" s="83" t="s">
        <v>616</v>
      </c>
      <c r="E411" s="84" t="s">
        <v>1175</v>
      </c>
      <c r="F411" s="84" t="s">
        <v>434</v>
      </c>
      <c r="G411" s="85" t="s">
        <v>435</v>
      </c>
      <c r="H411" s="85" t="s">
        <v>435</v>
      </c>
      <c r="I411" s="82" t="s">
        <v>429</v>
      </c>
      <c r="J411" s="86" t="s">
        <v>436</v>
      </c>
    </row>
    <row r="412" spans="1:10" x14ac:dyDescent="0.25">
      <c r="A412" s="82" t="s">
        <v>1176</v>
      </c>
      <c r="B412" s="82" t="s">
        <v>174</v>
      </c>
      <c r="C412" s="82" t="s">
        <v>1170</v>
      </c>
      <c r="D412" s="83" t="s">
        <v>585</v>
      </c>
      <c r="E412" s="84" t="s">
        <v>1106</v>
      </c>
      <c r="F412" s="84" t="s">
        <v>434</v>
      </c>
      <c r="G412" s="85" t="s">
        <v>435</v>
      </c>
      <c r="H412" s="85" t="s">
        <v>435</v>
      </c>
      <c r="I412" s="82" t="s">
        <v>429</v>
      </c>
      <c r="J412" s="86" t="s">
        <v>436</v>
      </c>
    </row>
    <row r="413" spans="1:10" x14ac:dyDescent="0.25">
      <c r="A413" s="82" t="s">
        <v>1177</v>
      </c>
      <c r="B413" s="82" t="s">
        <v>1178</v>
      </c>
      <c r="C413" s="82" t="s">
        <v>592</v>
      </c>
      <c r="D413" s="83" t="s">
        <v>432</v>
      </c>
      <c r="E413" s="84" t="s">
        <v>606</v>
      </c>
      <c r="F413" s="84" t="s">
        <v>434</v>
      </c>
      <c r="G413" s="85" t="s">
        <v>435</v>
      </c>
      <c r="H413" s="85" t="s">
        <v>435</v>
      </c>
      <c r="I413" s="82" t="s">
        <v>429</v>
      </c>
      <c r="J413" s="86" t="s">
        <v>587</v>
      </c>
    </row>
    <row r="414" spans="1:10" x14ac:dyDescent="0.25">
      <c r="A414" s="82" t="s">
        <v>1179</v>
      </c>
      <c r="B414" s="82" t="s">
        <v>177</v>
      </c>
      <c r="C414" s="82" t="s">
        <v>550</v>
      </c>
      <c r="D414" s="83" t="s">
        <v>604</v>
      </c>
      <c r="E414" s="84" t="s">
        <v>557</v>
      </c>
      <c r="F414" s="84" t="s">
        <v>434</v>
      </c>
      <c r="G414" s="85" t="s">
        <v>435</v>
      </c>
      <c r="H414" s="85" t="s">
        <v>435</v>
      </c>
      <c r="I414" s="82" t="s">
        <v>429</v>
      </c>
      <c r="J414" s="86" t="s">
        <v>436</v>
      </c>
    </row>
    <row r="415" spans="1:10" x14ac:dyDescent="0.25">
      <c r="A415" s="82" t="s">
        <v>1180</v>
      </c>
      <c r="B415" s="82" t="s">
        <v>1181</v>
      </c>
      <c r="C415" s="82" t="s">
        <v>431</v>
      </c>
      <c r="D415" s="83" t="s">
        <v>432</v>
      </c>
      <c r="E415" s="84" t="s">
        <v>888</v>
      </c>
      <c r="F415" s="84" t="s">
        <v>434</v>
      </c>
      <c r="G415" s="85" t="s">
        <v>435</v>
      </c>
      <c r="H415" s="85" t="s">
        <v>435</v>
      </c>
      <c r="I415" s="82" t="s">
        <v>429</v>
      </c>
      <c r="J415" s="86" t="s">
        <v>436</v>
      </c>
    </row>
    <row r="416" spans="1:10" x14ac:dyDescent="0.25">
      <c r="A416" s="82" t="s">
        <v>1182</v>
      </c>
      <c r="B416" s="82" t="s">
        <v>180</v>
      </c>
      <c r="C416" s="82" t="s">
        <v>431</v>
      </c>
      <c r="D416" s="83" t="s">
        <v>439</v>
      </c>
      <c r="E416" s="84" t="s">
        <v>551</v>
      </c>
      <c r="F416" s="84" t="s">
        <v>434</v>
      </c>
      <c r="G416" s="85" t="s">
        <v>435</v>
      </c>
      <c r="H416" s="85" t="s">
        <v>435</v>
      </c>
      <c r="I416" s="82" t="s">
        <v>429</v>
      </c>
      <c r="J416" s="86" t="s">
        <v>436</v>
      </c>
    </row>
    <row r="417" spans="1:10" x14ac:dyDescent="0.25">
      <c r="A417" s="82" t="s">
        <v>1183</v>
      </c>
      <c r="B417" s="82" t="s">
        <v>181</v>
      </c>
      <c r="C417" s="82" t="s">
        <v>431</v>
      </c>
      <c r="D417" s="83" t="s">
        <v>439</v>
      </c>
      <c r="E417" s="84" t="s">
        <v>794</v>
      </c>
      <c r="F417" s="84" t="s">
        <v>434</v>
      </c>
      <c r="G417" s="85" t="s">
        <v>435</v>
      </c>
      <c r="H417" s="85" t="s">
        <v>435</v>
      </c>
      <c r="I417" s="82" t="s">
        <v>429</v>
      </c>
      <c r="J417" s="86" t="s">
        <v>436</v>
      </c>
    </row>
    <row r="418" spans="1:10" x14ac:dyDescent="0.25">
      <c r="A418" s="82" t="s">
        <v>1184</v>
      </c>
      <c r="B418" s="82" t="s">
        <v>404</v>
      </c>
      <c r="C418" s="82" t="s">
        <v>550</v>
      </c>
      <c r="D418" s="83" t="s">
        <v>604</v>
      </c>
      <c r="E418" s="84" t="s">
        <v>637</v>
      </c>
      <c r="F418" s="84" t="s">
        <v>434</v>
      </c>
      <c r="G418" s="85" t="s">
        <v>435</v>
      </c>
      <c r="H418" s="85" t="s">
        <v>435</v>
      </c>
      <c r="I418" s="82" t="s">
        <v>429</v>
      </c>
      <c r="J418" s="86" t="s">
        <v>436</v>
      </c>
    </row>
    <row r="419" spans="1:10" x14ac:dyDescent="0.25">
      <c r="A419" s="82" t="s">
        <v>1185</v>
      </c>
      <c r="B419" s="82" t="s">
        <v>1186</v>
      </c>
      <c r="C419" s="82" t="s">
        <v>592</v>
      </c>
      <c r="D419" s="83" t="s">
        <v>639</v>
      </c>
      <c r="E419" s="84" t="s">
        <v>544</v>
      </c>
      <c r="F419" s="84" t="s">
        <v>434</v>
      </c>
      <c r="G419" s="85" t="s">
        <v>435</v>
      </c>
      <c r="H419" s="85" t="s">
        <v>435</v>
      </c>
      <c r="I419" s="82" t="s">
        <v>429</v>
      </c>
      <c r="J419" s="86" t="s">
        <v>587</v>
      </c>
    </row>
    <row r="420" spans="1:10" x14ac:dyDescent="0.25">
      <c r="A420" s="82" t="s">
        <v>1187</v>
      </c>
      <c r="B420" s="82" t="s">
        <v>386</v>
      </c>
      <c r="C420" s="82" t="s">
        <v>592</v>
      </c>
      <c r="D420" s="83" t="s">
        <v>564</v>
      </c>
      <c r="E420" s="84" t="s">
        <v>544</v>
      </c>
      <c r="F420" s="84" t="s">
        <v>434</v>
      </c>
      <c r="G420" s="85" t="s">
        <v>435</v>
      </c>
      <c r="H420" s="85" t="s">
        <v>435</v>
      </c>
      <c r="I420" s="82" t="s">
        <v>429</v>
      </c>
      <c r="J420" s="86" t="s">
        <v>436</v>
      </c>
    </row>
    <row r="421" spans="1:10" x14ac:dyDescent="0.25">
      <c r="A421" s="82" t="s">
        <v>1188</v>
      </c>
      <c r="B421" s="82" t="s">
        <v>391</v>
      </c>
      <c r="C421" s="82" t="s">
        <v>592</v>
      </c>
      <c r="D421" s="83" t="s">
        <v>564</v>
      </c>
      <c r="E421" s="84" t="s">
        <v>544</v>
      </c>
      <c r="F421" s="84" t="s">
        <v>434</v>
      </c>
      <c r="G421" s="85" t="s">
        <v>435</v>
      </c>
      <c r="H421" s="85" t="s">
        <v>435</v>
      </c>
      <c r="I421" s="82" t="s">
        <v>429</v>
      </c>
      <c r="J421" s="86" t="s">
        <v>436</v>
      </c>
    </row>
    <row r="422" spans="1:10" x14ac:dyDescent="0.25">
      <c r="A422" s="82" t="s">
        <v>1189</v>
      </c>
      <c r="B422" s="82" t="s">
        <v>389</v>
      </c>
      <c r="C422" s="82" t="s">
        <v>592</v>
      </c>
      <c r="D422" s="83" t="s">
        <v>564</v>
      </c>
      <c r="E422" s="84" t="s">
        <v>544</v>
      </c>
      <c r="F422" s="84" t="s">
        <v>434</v>
      </c>
      <c r="G422" s="85" t="s">
        <v>435</v>
      </c>
      <c r="H422" s="85" t="s">
        <v>435</v>
      </c>
      <c r="I422" s="82" t="s">
        <v>429</v>
      </c>
      <c r="J422" s="86" t="s">
        <v>436</v>
      </c>
    </row>
    <row r="423" spans="1:10" x14ac:dyDescent="0.25">
      <c r="A423" s="82" t="s">
        <v>1190</v>
      </c>
      <c r="B423" s="82" t="s">
        <v>385</v>
      </c>
      <c r="C423" s="82" t="s">
        <v>592</v>
      </c>
      <c r="D423" s="83" t="s">
        <v>564</v>
      </c>
      <c r="E423" s="84" t="s">
        <v>544</v>
      </c>
      <c r="F423" s="84" t="s">
        <v>434</v>
      </c>
      <c r="G423" s="85" t="s">
        <v>435</v>
      </c>
      <c r="H423" s="85" t="s">
        <v>435</v>
      </c>
      <c r="I423" s="82" t="s">
        <v>429</v>
      </c>
      <c r="J423" s="86" t="s">
        <v>436</v>
      </c>
    </row>
    <row r="424" spans="1:10" x14ac:dyDescent="0.25">
      <c r="A424" s="82" t="s">
        <v>1191</v>
      </c>
      <c r="B424" s="82" t="s">
        <v>390</v>
      </c>
      <c r="C424" s="82" t="s">
        <v>592</v>
      </c>
      <c r="D424" s="83" t="s">
        <v>564</v>
      </c>
      <c r="E424" s="84" t="s">
        <v>544</v>
      </c>
      <c r="F424" s="84" t="s">
        <v>434</v>
      </c>
      <c r="G424" s="85" t="s">
        <v>435</v>
      </c>
      <c r="H424" s="85" t="s">
        <v>435</v>
      </c>
      <c r="I424" s="82" t="s">
        <v>429</v>
      </c>
      <c r="J424" s="86" t="s">
        <v>436</v>
      </c>
    </row>
    <row r="425" spans="1:10" x14ac:dyDescent="0.25">
      <c r="A425" s="82" t="s">
        <v>1192</v>
      </c>
      <c r="B425" s="82" t="s">
        <v>318</v>
      </c>
      <c r="C425" s="82" t="s">
        <v>431</v>
      </c>
      <c r="D425" s="83" t="s">
        <v>585</v>
      </c>
      <c r="E425" s="84" t="s">
        <v>455</v>
      </c>
      <c r="F425" s="84" t="s">
        <v>434</v>
      </c>
      <c r="G425" s="85" t="s">
        <v>435</v>
      </c>
      <c r="H425" s="85" t="s">
        <v>435</v>
      </c>
      <c r="I425" s="82" t="s">
        <v>429</v>
      </c>
      <c r="J425" s="86" t="s">
        <v>436</v>
      </c>
    </row>
    <row r="426" spans="1:10" x14ac:dyDescent="0.25">
      <c r="A426" s="82" t="s">
        <v>1193</v>
      </c>
      <c r="B426" s="82" t="s">
        <v>1194</v>
      </c>
      <c r="C426" s="82" t="s">
        <v>559</v>
      </c>
      <c r="D426" s="83" t="s">
        <v>564</v>
      </c>
      <c r="E426" s="84" t="s">
        <v>606</v>
      </c>
      <c r="F426" s="84" t="s">
        <v>434</v>
      </c>
      <c r="G426" s="85" t="s">
        <v>435</v>
      </c>
      <c r="H426" s="85" t="s">
        <v>435</v>
      </c>
      <c r="I426" s="82" t="s">
        <v>429</v>
      </c>
      <c r="J426" s="86" t="s">
        <v>436</v>
      </c>
    </row>
    <row r="427" spans="1:10" x14ac:dyDescent="0.25">
      <c r="A427" s="82" t="s">
        <v>1195</v>
      </c>
      <c r="B427" s="82" t="s">
        <v>1196</v>
      </c>
      <c r="C427" s="82" t="s">
        <v>559</v>
      </c>
      <c r="D427" s="83" t="s">
        <v>564</v>
      </c>
      <c r="E427" s="84" t="s">
        <v>606</v>
      </c>
      <c r="F427" s="84" t="s">
        <v>434</v>
      </c>
      <c r="G427" s="85" t="s">
        <v>435</v>
      </c>
      <c r="H427" s="85" t="s">
        <v>435</v>
      </c>
      <c r="I427" s="82" t="s">
        <v>429</v>
      </c>
      <c r="J427" s="86" t="s">
        <v>436</v>
      </c>
    </row>
    <row r="428" spans="1:10" x14ac:dyDescent="0.25">
      <c r="A428" s="82" t="s">
        <v>1197</v>
      </c>
      <c r="B428" s="82" t="s">
        <v>1198</v>
      </c>
      <c r="C428" s="82" t="s">
        <v>559</v>
      </c>
      <c r="D428" s="83" t="s">
        <v>564</v>
      </c>
      <c r="E428" s="84" t="s">
        <v>433</v>
      </c>
      <c r="F428" s="84" t="s">
        <v>434</v>
      </c>
      <c r="G428" s="85" t="s">
        <v>435</v>
      </c>
      <c r="H428" s="85" t="s">
        <v>435</v>
      </c>
      <c r="I428" s="82" t="s">
        <v>429</v>
      </c>
      <c r="J428" s="86" t="s">
        <v>436</v>
      </c>
    </row>
    <row r="429" spans="1:10" x14ac:dyDescent="0.25">
      <c r="A429" s="82" t="s">
        <v>1199</v>
      </c>
      <c r="B429" s="82" t="s">
        <v>1200</v>
      </c>
      <c r="C429" s="82" t="s">
        <v>431</v>
      </c>
      <c r="D429" s="83" t="s">
        <v>564</v>
      </c>
      <c r="E429" s="84" t="s">
        <v>744</v>
      </c>
      <c r="F429" s="84" t="s">
        <v>434</v>
      </c>
      <c r="G429" s="85" t="s">
        <v>435</v>
      </c>
      <c r="H429" s="85" t="s">
        <v>435</v>
      </c>
      <c r="I429" s="82" t="s">
        <v>429</v>
      </c>
      <c r="J429" s="86" t="s">
        <v>587</v>
      </c>
    </row>
    <row r="430" spans="1:10" x14ac:dyDescent="0.25">
      <c r="A430" s="82" t="s">
        <v>1201</v>
      </c>
      <c r="B430" s="82" t="s">
        <v>1202</v>
      </c>
      <c r="C430" s="82" t="s">
        <v>431</v>
      </c>
      <c r="D430" s="83" t="s">
        <v>564</v>
      </c>
      <c r="E430" s="84" t="s">
        <v>455</v>
      </c>
      <c r="F430" s="84" t="s">
        <v>434</v>
      </c>
      <c r="G430" s="85" t="s">
        <v>435</v>
      </c>
      <c r="H430" s="85" t="s">
        <v>435</v>
      </c>
      <c r="I430" s="82" t="s">
        <v>429</v>
      </c>
      <c r="J430" s="86" t="s">
        <v>436</v>
      </c>
    </row>
    <row r="431" spans="1:10" x14ac:dyDescent="0.25">
      <c r="A431" s="82" t="s">
        <v>1203</v>
      </c>
      <c r="B431" s="82" t="s">
        <v>118</v>
      </c>
      <c r="C431" s="82" t="s">
        <v>550</v>
      </c>
      <c r="D431" s="83" t="s">
        <v>616</v>
      </c>
      <c r="E431" s="84" t="s">
        <v>571</v>
      </c>
      <c r="F431" s="84" t="s">
        <v>434</v>
      </c>
      <c r="G431" s="85" t="s">
        <v>435</v>
      </c>
      <c r="H431" s="85" t="s">
        <v>435</v>
      </c>
      <c r="I431" s="82" t="s">
        <v>429</v>
      </c>
      <c r="J431" s="86" t="s">
        <v>436</v>
      </c>
    </row>
    <row r="432" spans="1:10" x14ac:dyDescent="0.25">
      <c r="A432" s="82" t="s">
        <v>1204</v>
      </c>
      <c r="B432" s="82" t="s">
        <v>120</v>
      </c>
      <c r="C432" s="82" t="s">
        <v>550</v>
      </c>
      <c r="D432" s="83" t="s">
        <v>604</v>
      </c>
      <c r="E432" s="84" t="s">
        <v>637</v>
      </c>
      <c r="F432" s="84" t="s">
        <v>434</v>
      </c>
      <c r="G432" s="85" t="s">
        <v>435</v>
      </c>
      <c r="H432" s="85" t="s">
        <v>435</v>
      </c>
      <c r="I432" s="82" t="s">
        <v>429</v>
      </c>
      <c r="J432" s="86" t="s">
        <v>436</v>
      </c>
    </row>
    <row r="433" spans="1:10" x14ac:dyDescent="0.25">
      <c r="A433" s="82" t="s">
        <v>1205</v>
      </c>
      <c r="B433" s="82" t="s">
        <v>373</v>
      </c>
      <c r="C433" s="82" t="s">
        <v>884</v>
      </c>
      <c r="D433" s="83" t="s">
        <v>432</v>
      </c>
      <c r="E433" s="84" t="s">
        <v>611</v>
      </c>
      <c r="F433" s="84" t="s">
        <v>434</v>
      </c>
      <c r="G433" s="85" t="s">
        <v>435</v>
      </c>
      <c r="H433" s="85" t="s">
        <v>435</v>
      </c>
      <c r="I433" s="82" t="s">
        <v>885</v>
      </c>
      <c r="J433" s="86" t="s">
        <v>436</v>
      </c>
    </row>
    <row r="434" spans="1:10" x14ac:dyDescent="0.25">
      <c r="A434" s="82" t="s">
        <v>1206</v>
      </c>
      <c r="B434" s="82" t="s">
        <v>257</v>
      </c>
      <c r="C434" s="82" t="s">
        <v>446</v>
      </c>
      <c r="D434" s="83" t="s">
        <v>447</v>
      </c>
      <c r="E434" s="84" t="s">
        <v>544</v>
      </c>
      <c r="F434" s="84" t="s">
        <v>434</v>
      </c>
      <c r="G434" s="85" t="s">
        <v>435</v>
      </c>
      <c r="H434" s="85" t="s">
        <v>435</v>
      </c>
      <c r="I434" s="82" t="s">
        <v>429</v>
      </c>
      <c r="J434" s="86" t="s">
        <v>436</v>
      </c>
    </row>
    <row r="435" spans="1:10" x14ac:dyDescent="0.25">
      <c r="A435" s="82" t="s">
        <v>1207</v>
      </c>
      <c r="B435" s="82" t="s">
        <v>192</v>
      </c>
      <c r="C435" s="82" t="s">
        <v>446</v>
      </c>
      <c r="D435" s="83" t="s">
        <v>447</v>
      </c>
      <c r="E435" s="84" t="s">
        <v>606</v>
      </c>
      <c r="F435" s="84" t="s">
        <v>434</v>
      </c>
      <c r="G435" s="85" t="s">
        <v>435</v>
      </c>
      <c r="H435" s="85" t="s">
        <v>435</v>
      </c>
      <c r="I435" s="82" t="s">
        <v>429</v>
      </c>
      <c r="J435" s="86" t="s">
        <v>436</v>
      </c>
    </row>
    <row r="436" spans="1:10" x14ac:dyDescent="0.25">
      <c r="A436" s="82" t="s">
        <v>1208</v>
      </c>
      <c r="B436" s="82" t="s">
        <v>1209</v>
      </c>
      <c r="C436" s="82" t="s">
        <v>446</v>
      </c>
      <c r="D436" s="83" t="s">
        <v>803</v>
      </c>
      <c r="E436" s="84" t="s">
        <v>611</v>
      </c>
      <c r="F436" s="84" t="s">
        <v>434</v>
      </c>
      <c r="G436" s="85" t="s">
        <v>435</v>
      </c>
      <c r="H436" s="85" t="s">
        <v>435</v>
      </c>
      <c r="I436" s="82" t="s">
        <v>429</v>
      </c>
      <c r="J436" s="86" t="s">
        <v>436</v>
      </c>
    </row>
    <row r="437" spans="1:10" x14ac:dyDescent="0.25">
      <c r="A437" s="82" t="s">
        <v>1210</v>
      </c>
      <c r="B437" s="82" t="s">
        <v>1211</v>
      </c>
      <c r="C437" s="82" t="s">
        <v>446</v>
      </c>
      <c r="D437" s="83" t="s">
        <v>803</v>
      </c>
      <c r="E437" s="84" t="s">
        <v>611</v>
      </c>
      <c r="F437" s="84" t="s">
        <v>434</v>
      </c>
      <c r="G437" s="85" t="s">
        <v>435</v>
      </c>
      <c r="H437" s="85" t="s">
        <v>435</v>
      </c>
      <c r="I437" s="82" t="s">
        <v>429</v>
      </c>
      <c r="J437" s="86" t="s">
        <v>436</v>
      </c>
    </row>
    <row r="438" spans="1:10" x14ac:dyDescent="0.25">
      <c r="A438" s="82" t="s">
        <v>1212</v>
      </c>
      <c r="B438" s="82" t="s">
        <v>317</v>
      </c>
      <c r="C438" s="82" t="s">
        <v>446</v>
      </c>
      <c r="D438" s="83" t="s">
        <v>803</v>
      </c>
      <c r="E438" s="84" t="s">
        <v>451</v>
      </c>
      <c r="F438" s="84" t="s">
        <v>434</v>
      </c>
      <c r="G438" s="85" t="s">
        <v>435</v>
      </c>
      <c r="H438" s="85" t="s">
        <v>435</v>
      </c>
      <c r="I438" s="82" t="s">
        <v>429</v>
      </c>
      <c r="J438" s="86" t="s">
        <v>436</v>
      </c>
    </row>
    <row r="439" spans="1:10" x14ac:dyDescent="0.25">
      <c r="A439" s="82" t="s">
        <v>1213</v>
      </c>
      <c r="B439" s="82" t="s">
        <v>1214</v>
      </c>
      <c r="C439" s="82" t="s">
        <v>446</v>
      </c>
      <c r="D439" s="83" t="s">
        <v>803</v>
      </c>
      <c r="E439" s="84" t="s">
        <v>611</v>
      </c>
      <c r="F439" s="84" t="s">
        <v>434</v>
      </c>
      <c r="G439" s="85" t="s">
        <v>435</v>
      </c>
      <c r="H439" s="85" t="s">
        <v>435</v>
      </c>
      <c r="I439" s="82" t="s">
        <v>429</v>
      </c>
      <c r="J439" s="86" t="s">
        <v>436</v>
      </c>
    </row>
    <row r="440" spans="1:10" x14ac:dyDescent="0.25">
      <c r="A440" s="82" t="s">
        <v>1215</v>
      </c>
      <c r="B440" s="82" t="s">
        <v>253</v>
      </c>
      <c r="C440" s="82" t="s">
        <v>446</v>
      </c>
      <c r="D440" s="83" t="s">
        <v>803</v>
      </c>
      <c r="E440" s="84" t="s">
        <v>451</v>
      </c>
      <c r="F440" s="84" t="s">
        <v>434</v>
      </c>
      <c r="G440" s="85" t="s">
        <v>435</v>
      </c>
      <c r="H440" s="85" t="s">
        <v>435</v>
      </c>
      <c r="I440" s="82" t="s">
        <v>429</v>
      </c>
      <c r="J440" s="86" t="s">
        <v>436</v>
      </c>
    </row>
    <row r="441" spans="1:10" x14ac:dyDescent="0.25">
      <c r="A441" s="82" t="s">
        <v>1216</v>
      </c>
      <c r="B441" s="82" t="s">
        <v>1217</v>
      </c>
      <c r="C441" s="82" t="s">
        <v>446</v>
      </c>
      <c r="D441" s="83" t="s">
        <v>803</v>
      </c>
      <c r="E441" s="84" t="s">
        <v>611</v>
      </c>
      <c r="F441" s="84" t="s">
        <v>434</v>
      </c>
      <c r="G441" s="85" t="s">
        <v>435</v>
      </c>
      <c r="H441" s="85" t="s">
        <v>435</v>
      </c>
      <c r="I441" s="82" t="s">
        <v>429</v>
      </c>
      <c r="J441" s="86" t="s">
        <v>436</v>
      </c>
    </row>
    <row r="442" spans="1:10" x14ac:dyDescent="0.25">
      <c r="A442" s="82" t="s">
        <v>1218</v>
      </c>
      <c r="B442" s="82" t="s">
        <v>1219</v>
      </c>
      <c r="C442" s="82" t="s">
        <v>446</v>
      </c>
      <c r="D442" s="83" t="s">
        <v>803</v>
      </c>
      <c r="E442" s="84" t="s">
        <v>625</v>
      </c>
      <c r="F442" s="84" t="s">
        <v>434</v>
      </c>
      <c r="G442" s="85" t="s">
        <v>435</v>
      </c>
      <c r="H442" s="85" t="s">
        <v>435</v>
      </c>
      <c r="I442" s="82" t="s">
        <v>429</v>
      </c>
      <c r="J442" s="86" t="s">
        <v>436</v>
      </c>
    </row>
    <row r="443" spans="1:10" x14ac:dyDescent="0.25">
      <c r="A443" s="82" t="s">
        <v>1220</v>
      </c>
      <c r="B443" s="82" t="s">
        <v>256</v>
      </c>
      <c r="C443" s="82" t="s">
        <v>446</v>
      </c>
      <c r="D443" s="83" t="s">
        <v>803</v>
      </c>
      <c r="E443" s="84" t="s">
        <v>451</v>
      </c>
      <c r="F443" s="84" t="s">
        <v>434</v>
      </c>
      <c r="G443" s="85" t="s">
        <v>435</v>
      </c>
      <c r="H443" s="85" t="s">
        <v>435</v>
      </c>
      <c r="I443" s="82" t="s">
        <v>429</v>
      </c>
      <c r="J443" s="86" t="s">
        <v>436</v>
      </c>
    </row>
    <row r="444" spans="1:10" x14ac:dyDescent="0.25">
      <c r="A444" s="82" t="s">
        <v>1221</v>
      </c>
      <c r="B444" s="82" t="s">
        <v>1222</v>
      </c>
      <c r="C444" s="82" t="s">
        <v>446</v>
      </c>
      <c r="D444" s="83" t="s">
        <v>803</v>
      </c>
      <c r="E444" s="84" t="s">
        <v>611</v>
      </c>
      <c r="F444" s="84" t="s">
        <v>434</v>
      </c>
      <c r="G444" s="85" t="s">
        <v>435</v>
      </c>
      <c r="H444" s="85" t="s">
        <v>435</v>
      </c>
      <c r="I444" s="82" t="s">
        <v>429</v>
      </c>
      <c r="J444" s="86" t="s">
        <v>436</v>
      </c>
    </row>
    <row r="445" spans="1:10" x14ac:dyDescent="0.25">
      <c r="A445" s="82" t="s">
        <v>1223</v>
      </c>
      <c r="B445" s="82" t="s">
        <v>1224</v>
      </c>
      <c r="C445" s="82" t="s">
        <v>446</v>
      </c>
      <c r="D445" s="83" t="s">
        <v>803</v>
      </c>
      <c r="E445" s="84" t="s">
        <v>611</v>
      </c>
      <c r="F445" s="84" t="s">
        <v>434</v>
      </c>
      <c r="G445" s="85" t="s">
        <v>435</v>
      </c>
      <c r="H445" s="85" t="s">
        <v>435</v>
      </c>
      <c r="I445" s="82" t="s">
        <v>429</v>
      </c>
      <c r="J445" s="86" t="s">
        <v>436</v>
      </c>
    </row>
    <row r="446" spans="1:10" x14ac:dyDescent="0.25">
      <c r="A446" s="82" t="s">
        <v>1225</v>
      </c>
      <c r="B446" s="82" t="s">
        <v>255</v>
      </c>
      <c r="C446" s="82" t="s">
        <v>446</v>
      </c>
      <c r="D446" s="83" t="s">
        <v>803</v>
      </c>
      <c r="E446" s="84" t="s">
        <v>451</v>
      </c>
      <c r="F446" s="84" t="s">
        <v>434</v>
      </c>
      <c r="G446" s="85" t="s">
        <v>435</v>
      </c>
      <c r="H446" s="85" t="s">
        <v>435</v>
      </c>
      <c r="I446" s="82" t="s">
        <v>429</v>
      </c>
      <c r="J446" s="86" t="s">
        <v>436</v>
      </c>
    </row>
    <row r="447" spans="1:10" x14ac:dyDescent="0.25">
      <c r="A447" s="82" t="s">
        <v>1226</v>
      </c>
      <c r="B447" s="82" t="s">
        <v>1227</v>
      </c>
      <c r="C447" s="82" t="s">
        <v>446</v>
      </c>
      <c r="D447" s="83" t="s">
        <v>803</v>
      </c>
      <c r="E447" s="84" t="s">
        <v>611</v>
      </c>
      <c r="F447" s="84" t="s">
        <v>434</v>
      </c>
      <c r="G447" s="85" t="s">
        <v>435</v>
      </c>
      <c r="H447" s="85" t="s">
        <v>435</v>
      </c>
      <c r="I447" s="82" t="s">
        <v>429</v>
      </c>
      <c r="J447" s="86" t="s">
        <v>436</v>
      </c>
    </row>
    <row r="448" spans="1:10" x14ac:dyDescent="0.25">
      <c r="A448" s="82" t="s">
        <v>1228</v>
      </c>
      <c r="B448" s="82" t="s">
        <v>1229</v>
      </c>
      <c r="C448" s="82" t="s">
        <v>446</v>
      </c>
      <c r="D448" s="83" t="s">
        <v>803</v>
      </c>
      <c r="E448" s="84" t="s">
        <v>433</v>
      </c>
      <c r="F448" s="84" t="s">
        <v>434</v>
      </c>
      <c r="G448" s="85" t="s">
        <v>435</v>
      </c>
      <c r="H448" s="85" t="s">
        <v>435</v>
      </c>
      <c r="I448" s="82" t="s">
        <v>429</v>
      </c>
      <c r="J448" s="86" t="s">
        <v>436</v>
      </c>
    </row>
    <row r="449" spans="1:10" x14ac:dyDescent="0.25">
      <c r="A449" s="82" t="s">
        <v>1230</v>
      </c>
      <c r="B449" s="82" t="s">
        <v>1231</v>
      </c>
      <c r="C449" s="82" t="s">
        <v>446</v>
      </c>
      <c r="D449" s="83" t="s">
        <v>803</v>
      </c>
      <c r="E449" s="84" t="s">
        <v>611</v>
      </c>
      <c r="F449" s="84" t="s">
        <v>434</v>
      </c>
      <c r="G449" s="85" t="s">
        <v>435</v>
      </c>
      <c r="H449" s="85" t="s">
        <v>435</v>
      </c>
      <c r="I449" s="82" t="s">
        <v>429</v>
      </c>
      <c r="J449" s="86" t="s">
        <v>436</v>
      </c>
    </row>
    <row r="450" spans="1:10" x14ac:dyDescent="0.25">
      <c r="A450" s="82" t="s">
        <v>1232</v>
      </c>
      <c r="B450" s="82" t="s">
        <v>254</v>
      </c>
      <c r="C450" s="82" t="s">
        <v>446</v>
      </c>
      <c r="D450" s="83" t="s">
        <v>803</v>
      </c>
      <c r="E450" s="84" t="s">
        <v>451</v>
      </c>
      <c r="F450" s="84" t="s">
        <v>434</v>
      </c>
      <c r="G450" s="85" t="s">
        <v>435</v>
      </c>
      <c r="H450" s="85" t="s">
        <v>435</v>
      </c>
      <c r="I450" s="82" t="s">
        <v>429</v>
      </c>
      <c r="J450" s="86" t="s">
        <v>436</v>
      </c>
    </row>
    <row r="451" spans="1:10" x14ac:dyDescent="0.25">
      <c r="A451" s="82" t="s">
        <v>1233</v>
      </c>
      <c r="B451" s="82" t="s">
        <v>1234</v>
      </c>
      <c r="C451" s="82" t="s">
        <v>446</v>
      </c>
      <c r="D451" s="83" t="s">
        <v>803</v>
      </c>
      <c r="E451" s="84" t="s">
        <v>557</v>
      </c>
      <c r="F451" s="84" t="s">
        <v>434</v>
      </c>
      <c r="G451" s="85" t="s">
        <v>435</v>
      </c>
      <c r="H451" s="85" t="s">
        <v>435</v>
      </c>
      <c r="I451" s="82" t="s">
        <v>429</v>
      </c>
      <c r="J451" s="86" t="s">
        <v>436</v>
      </c>
    </row>
    <row r="452" spans="1:10" x14ac:dyDescent="0.25">
      <c r="A452" s="82" t="s">
        <v>1235</v>
      </c>
      <c r="B452" s="82" t="s">
        <v>1236</v>
      </c>
      <c r="C452" s="82" t="s">
        <v>446</v>
      </c>
      <c r="D452" s="83" t="s">
        <v>803</v>
      </c>
      <c r="E452" s="84" t="s">
        <v>551</v>
      </c>
      <c r="F452" s="84" t="s">
        <v>434</v>
      </c>
      <c r="G452" s="85" t="s">
        <v>435</v>
      </c>
      <c r="H452" s="85" t="s">
        <v>435</v>
      </c>
      <c r="I452" s="82" t="s">
        <v>429</v>
      </c>
      <c r="J452" s="86" t="s">
        <v>436</v>
      </c>
    </row>
    <row r="453" spans="1:10" x14ac:dyDescent="0.25">
      <c r="A453" s="82" t="s">
        <v>1237</v>
      </c>
      <c r="B453" s="82" t="s">
        <v>1238</v>
      </c>
      <c r="C453" s="82" t="s">
        <v>446</v>
      </c>
      <c r="D453" s="83" t="s">
        <v>803</v>
      </c>
      <c r="E453" s="84" t="s">
        <v>589</v>
      </c>
      <c r="F453" s="84" t="s">
        <v>434</v>
      </c>
      <c r="G453" s="85" t="s">
        <v>435</v>
      </c>
      <c r="H453" s="85" t="s">
        <v>435</v>
      </c>
      <c r="I453" s="82" t="s">
        <v>429</v>
      </c>
      <c r="J453" s="86" t="s">
        <v>436</v>
      </c>
    </row>
    <row r="454" spans="1:10" x14ac:dyDescent="0.25">
      <c r="A454" s="82" t="s">
        <v>1239</v>
      </c>
      <c r="B454" s="82" t="s">
        <v>1240</v>
      </c>
      <c r="C454" s="82" t="s">
        <v>446</v>
      </c>
      <c r="D454" s="83" t="s">
        <v>803</v>
      </c>
      <c r="E454" s="84" t="s">
        <v>711</v>
      </c>
      <c r="F454" s="84" t="s">
        <v>434</v>
      </c>
      <c r="G454" s="85" t="s">
        <v>435</v>
      </c>
      <c r="H454" s="85" t="s">
        <v>435</v>
      </c>
      <c r="I454" s="82" t="s">
        <v>429</v>
      </c>
      <c r="J454" s="86" t="s">
        <v>436</v>
      </c>
    </row>
    <row r="455" spans="1:10" x14ac:dyDescent="0.25">
      <c r="A455" s="82" t="s">
        <v>1241</v>
      </c>
      <c r="B455" s="82" t="s">
        <v>1242</v>
      </c>
      <c r="C455" s="82" t="s">
        <v>446</v>
      </c>
      <c r="D455" s="83" t="s">
        <v>803</v>
      </c>
      <c r="E455" s="84" t="s">
        <v>551</v>
      </c>
      <c r="F455" s="84" t="s">
        <v>434</v>
      </c>
      <c r="G455" s="85" t="s">
        <v>435</v>
      </c>
      <c r="H455" s="85" t="s">
        <v>435</v>
      </c>
      <c r="I455" s="82" t="s">
        <v>429</v>
      </c>
      <c r="J455" s="86" t="s">
        <v>436</v>
      </c>
    </row>
    <row r="456" spans="1:10" x14ac:dyDescent="0.25">
      <c r="A456" s="82" t="s">
        <v>1243</v>
      </c>
      <c r="B456" s="82" t="s">
        <v>1244</v>
      </c>
      <c r="C456" s="82" t="s">
        <v>446</v>
      </c>
      <c r="D456" s="83" t="s">
        <v>803</v>
      </c>
      <c r="E456" s="84" t="s">
        <v>557</v>
      </c>
      <c r="F456" s="84" t="s">
        <v>434</v>
      </c>
      <c r="G456" s="85" t="s">
        <v>435</v>
      </c>
      <c r="H456" s="85" t="s">
        <v>435</v>
      </c>
      <c r="I456" s="82" t="s">
        <v>429</v>
      </c>
      <c r="J456" s="86" t="s">
        <v>436</v>
      </c>
    </row>
    <row r="457" spans="1:10" x14ac:dyDescent="0.25">
      <c r="A457" s="82" t="s">
        <v>1245</v>
      </c>
      <c r="B457" s="82" t="s">
        <v>1246</v>
      </c>
      <c r="C457" s="82" t="s">
        <v>446</v>
      </c>
      <c r="D457" s="83" t="s">
        <v>803</v>
      </c>
      <c r="E457" s="84" t="s">
        <v>551</v>
      </c>
      <c r="F457" s="84" t="s">
        <v>434</v>
      </c>
      <c r="G457" s="85" t="s">
        <v>435</v>
      </c>
      <c r="H457" s="85" t="s">
        <v>435</v>
      </c>
      <c r="I457" s="82" t="s">
        <v>429</v>
      </c>
      <c r="J457" s="86" t="s">
        <v>436</v>
      </c>
    </row>
    <row r="458" spans="1:10" x14ac:dyDescent="0.25">
      <c r="A458" s="82" t="s">
        <v>1247</v>
      </c>
      <c r="B458" s="82" t="s">
        <v>1248</v>
      </c>
      <c r="C458" s="82" t="s">
        <v>446</v>
      </c>
      <c r="D458" s="83" t="s">
        <v>803</v>
      </c>
      <c r="E458" s="84" t="s">
        <v>711</v>
      </c>
      <c r="F458" s="84" t="s">
        <v>434</v>
      </c>
      <c r="G458" s="85" t="s">
        <v>435</v>
      </c>
      <c r="H458" s="85" t="s">
        <v>435</v>
      </c>
      <c r="I458" s="82" t="s">
        <v>429</v>
      </c>
      <c r="J458" s="86" t="s">
        <v>436</v>
      </c>
    </row>
    <row r="459" spans="1:10" x14ac:dyDescent="0.25">
      <c r="A459" s="82" t="s">
        <v>1249</v>
      </c>
      <c r="B459" s="82" t="s">
        <v>1219</v>
      </c>
      <c r="C459" s="82" t="s">
        <v>446</v>
      </c>
      <c r="D459" s="83" t="s">
        <v>803</v>
      </c>
      <c r="E459" s="84" t="s">
        <v>625</v>
      </c>
      <c r="F459" s="84" t="s">
        <v>434</v>
      </c>
      <c r="G459" s="85" t="s">
        <v>435</v>
      </c>
      <c r="H459" s="85" t="s">
        <v>435</v>
      </c>
      <c r="I459" s="82" t="s">
        <v>429</v>
      </c>
      <c r="J459" s="86" t="s">
        <v>436</v>
      </c>
    </row>
    <row r="460" spans="1:10" x14ac:dyDescent="0.25">
      <c r="A460" s="82" t="s">
        <v>1250</v>
      </c>
      <c r="B460" s="82" t="s">
        <v>1251</v>
      </c>
      <c r="C460" s="82" t="s">
        <v>446</v>
      </c>
      <c r="D460" s="83" t="s">
        <v>803</v>
      </c>
      <c r="E460" s="84" t="s">
        <v>711</v>
      </c>
      <c r="F460" s="84" t="s">
        <v>434</v>
      </c>
      <c r="G460" s="85" t="s">
        <v>435</v>
      </c>
      <c r="H460" s="85" t="s">
        <v>435</v>
      </c>
      <c r="I460" s="82" t="s">
        <v>429</v>
      </c>
      <c r="J460" s="86" t="s">
        <v>436</v>
      </c>
    </row>
    <row r="461" spans="1:10" x14ac:dyDescent="0.25">
      <c r="A461" s="82" t="s">
        <v>1252</v>
      </c>
      <c r="B461" s="82" t="s">
        <v>1253</v>
      </c>
      <c r="C461" s="82" t="s">
        <v>446</v>
      </c>
      <c r="D461" s="83" t="s">
        <v>803</v>
      </c>
      <c r="E461" s="84" t="s">
        <v>794</v>
      </c>
      <c r="F461" s="84" t="s">
        <v>434</v>
      </c>
      <c r="G461" s="85" t="s">
        <v>435</v>
      </c>
      <c r="H461" s="85" t="s">
        <v>435</v>
      </c>
      <c r="I461" s="82" t="s">
        <v>429</v>
      </c>
      <c r="J461" s="86" t="s">
        <v>436</v>
      </c>
    </row>
    <row r="462" spans="1:10" x14ac:dyDescent="0.25">
      <c r="A462" s="82" t="s">
        <v>1254</v>
      </c>
      <c r="B462" s="82" t="s">
        <v>1255</v>
      </c>
      <c r="C462" s="82" t="s">
        <v>446</v>
      </c>
      <c r="D462" s="83" t="s">
        <v>803</v>
      </c>
      <c r="E462" s="84" t="s">
        <v>711</v>
      </c>
      <c r="F462" s="84" t="s">
        <v>434</v>
      </c>
      <c r="G462" s="85" t="s">
        <v>435</v>
      </c>
      <c r="H462" s="85" t="s">
        <v>435</v>
      </c>
      <c r="I462" s="82" t="s">
        <v>429</v>
      </c>
      <c r="J462" s="86" t="s">
        <v>436</v>
      </c>
    </row>
    <row r="463" spans="1:10" x14ac:dyDescent="0.25">
      <c r="A463" s="82" t="s">
        <v>1256</v>
      </c>
      <c r="B463" s="82" t="s">
        <v>1257</v>
      </c>
      <c r="C463" s="82" t="s">
        <v>446</v>
      </c>
      <c r="D463" s="83" t="s">
        <v>803</v>
      </c>
      <c r="E463" s="84" t="s">
        <v>637</v>
      </c>
      <c r="F463" s="84" t="s">
        <v>434</v>
      </c>
      <c r="G463" s="85" t="s">
        <v>435</v>
      </c>
      <c r="H463" s="85" t="s">
        <v>435</v>
      </c>
      <c r="I463" s="82" t="s">
        <v>429</v>
      </c>
      <c r="J463" s="86" t="s">
        <v>436</v>
      </c>
    </row>
    <row r="464" spans="1:10" x14ac:dyDescent="0.25">
      <c r="A464" s="82" t="s">
        <v>1258</v>
      </c>
      <c r="B464" s="82" t="s">
        <v>1259</v>
      </c>
      <c r="C464" s="82" t="s">
        <v>446</v>
      </c>
      <c r="D464" s="83" t="s">
        <v>803</v>
      </c>
      <c r="E464" s="84" t="s">
        <v>711</v>
      </c>
      <c r="F464" s="84" t="s">
        <v>434</v>
      </c>
      <c r="G464" s="85" t="s">
        <v>435</v>
      </c>
      <c r="H464" s="85" t="s">
        <v>435</v>
      </c>
      <c r="I464" s="82" t="s">
        <v>429</v>
      </c>
      <c r="J464" s="86" t="s">
        <v>436</v>
      </c>
    </row>
    <row r="465" spans="1:10" x14ac:dyDescent="0.25">
      <c r="A465" s="82" t="s">
        <v>1260</v>
      </c>
      <c r="B465" s="82" t="s">
        <v>1261</v>
      </c>
      <c r="C465" s="82" t="s">
        <v>446</v>
      </c>
      <c r="D465" s="83" t="s">
        <v>803</v>
      </c>
      <c r="E465" s="84" t="s">
        <v>551</v>
      </c>
      <c r="F465" s="84" t="s">
        <v>434</v>
      </c>
      <c r="G465" s="85" t="s">
        <v>435</v>
      </c>
      <c r="H465" s="85" t="s">
        <v>435</v>
      </c>
      <c r="I465" s="82" t="s">
        <v>429</v>
      </c>
      <c r="J465" s="86" t="s">
        <v>436</v>
      </c>
    </row>
    <row r="466" spans="1:10" x14ac:dyDescent="0.25">
      <c r="A466" s="82" t="s">
        <v>1262</v>
      </c>
      <c r="B466" s="82" t="s">
        <v>1263</v>
      </c>
      <c r="C466" s="82" t="s">
        <v>559</v>
      </c>
      <c r="D466" s="83" t="s">
        <v>564</v>
      </c>
      <c r="E466" s="84" t="s">
        <v>650</v>
      </c>
      <c r="F466" s="84" t="s">
        <v>434</v>
      </c>
      <c r="G466" s="85" t="s">
        <v>435</v>
      </c>
      <c r="H466" s="85" t="s">
        <v>435</v>
      </c>
      <c r="I466" s="82" t="s">
        <v>1264</v>
      </c>
      <c r="J466" s="86" t="s">
        <v>436</v>
      </c>
    </row>
    <row r="467" spans="1:10" x14ac:dyDescent="0.25">
      <c r="A467" s="82" t="s">
        <v>1265</v>
      </c>
      <c r="B467" s="82" t="s">
        <v>365</v>
      </c>
      <c r="C467" s="82" t="s">
        <v>559</v>
      </c>
      <c r="D467" s="83" t="s">
        <v>564</v>
      </c>
      <c r="E467" s="84" t="s">
        <v>870</v>
      </c>
      <c r="F467" s="84" t="s">
        <v>434</v>
      </c>
      <c r="G467" s="85" t="s">
        <v>435</v>
      </c>
      <c r="H467" s="85" t="s">
        <v>435</v>
      </c>
      <c r="I467" s="82" t="s">
        <v>1266</v>
      </c>
      <c r="J467" s="86" t="s">
        <v>436</v>
      </c>
    </row>
    <row r="468" spans="1:10" x14ac:dyDescent="0.25">
      <c r="A468" s="82" t="s">
        <v>1267</v>
      </c>
      <c r="B468" s="82" t="s">
        <v>1268</v>
      </c>
      <c r="C468" s="82" t="s">
        <v>559</v>
      </c>
      <c r="D468" s="83" t="s">
        <v>564</v>
      </c>
      <c r="E468" s="84" t="s">
        <v>650</v>
      </c>
      <c r="F468" s="84" t="s">
        <v>434</v>
      </c>
      <c r="G468" s="85" t="s">
        <v>435</v>
      </c>
      <c r="H468" s="85" t="s">
        <v>435</v>
      </c>
      <c r="I468" s="82" t="s">
        <v>429</v>
      </c>
      <c r="J468" s="86" t="s">
        <v>436</v>
      </c>
    </row>
    <row r="469" spans="1:10" x14ac:dyDescent="0.25">
      <c r="A469" s="82" t="s">
        <v>1269</v>
      </c>
      <c r="B469" s="82" t="s">
        <v>183</v>
      </c>
      <c r="C469" s="82" t="s">
        <v>636</v>
      </c>
      <c r="D469" s="83" t="s">
        <v>447</v>
      </c>
      <c r="E469" s="84" t="s">
        <v>433</v>
      </c>
      <c r="F469" s="84" t="s">
        <v>434</v>
      </c>
      <c r="G469" s="85" t="s">
        <v>435</v>
      </c>
      <c r="H469" s="85" t="s">
        <v>435</v>
      </c>
      <c r="I469" s="82" t="s">
        <v>429</v>
      </c>
      <c r="J469" s="86" t="s">
        <v>436</v>
      </c>
    </row>
    <row r="470" spans="1:10" x14ac:dyDescent="0.25">
      <c r="A470" s="82" t="s">
        <v>1270</v>
      </c>
      <c r="B470" s="82" t="s">
        <v>187</v>
      </c>
      <c r="C470" s="82" t="s">
        <v>636</v>
      </c>
      <c r="D470" s="83" t="s">
        <v>432</v>
      </c>
      <c r="E470" s="84" t="s">
        <v>557</v>
      </c>
      <c r="F470" s="84" t="s">
        <v>434</v>
      </c>
      <c r="G470" s="85" t="s">
        <v>435</v>
      </c>
      <c r="H470" s="85" t="s">
        <v>435</v>
      </c>
      <c r="I470" s="82" t="s">
        <v>429</v>
      </c>
      <c r="J470" s="86" t="s">
        <v>436</v>
      </c>
    </row>
    <row r="471" spans="1:10" x14ac:dyDescent="0.25">
      <c r="A471" s="82" t="s">
        <v>1271</v>
      </c>
      <c r="B471" s="82" t="s">
        <v>1272</v>
      </c>
      <c r="C471" s="82" t="s">
        <v>559</v>
      </c>
      <c r="D471" s="83" t="s">
        <v>432</v>
      </c>
      <c r="E471" s="84" t="s">
        <v>451</v>
      </c>
      <c r="F471" s="84" t="s">
        <v>434</v>
      </c>
      <c r="G471" s="85" t="s">
        <v>435</v>
      </c>
      <c r="H471" s="85" t="s">
        <v>435</v>
      </c>
      <c r="I471" s="82" t="s">
        <v>429</v>
      </c>
      <c r="J471" s="86" t="s">
        <v>436</v>
      </c>
    </row>
    <row r="472" spans="1:10" x14ac:dyDescent="0.25">
      <c r="A472" s="82" t="s">
        <v>1273</v>
      </c>
      <c r="B472" s="82" t="s">
        <v>408</v>
      </c>
      <c r="C472" s="82" t="s">
        <v>911</v>
      </c>
      <c r="D472" s="83" t="s">
        <v>585</v>
      </c>
      <c r="E472" s="84" t="s">
        <v>566</v>
      </c>
      <c r="F472" s="84" t="s">
        <v>434</v>
      </c>
      <c r="G472" s="85" t="s">
        <v>435</v>
      </c>
      <c r="H472" s="85" t="s">
        <v>435</v>
      </c>
      <c r="I472" s="82" t="s">
        <v>429</v>
      </c>
      <c r="J472" s="86" t="s">
        <v>436</v>
      </c>
    </row>
    <row r="473" spans="1:10" x14ac:dyDescent="0.25">
      <c r="A473" s="82" t="s">
        <v>1274</v>
      </c>
      <c r="B473" s="82" t="s">
        <v>409</v>
      </c>
      <c r="C473" s="82" t="s">
        <v>911</v>
      </c>
      <c r="D473" s="83" t="s">
        <v>432</v>
      </c>
      <c r="E473" s="84" t="s">
        <v>870</v>
      </c>
      <c r="F473" s="84" t="s">
        <v>571</v>
      </c>
      <c r="G473" s="85" t="s">
        <v>435</v>
      </c>
      <c r="H473" s="85" t="s">
        <v>435</v>
      </c>
      <c r="I473" s="82" t="s">
        <v>429</v>
      </c>
      <c r="J473" s="86" t="s">
        <v>436</v>
      </c>
    </row>
    <row r="474" spans="1:10" x14ac:dyDescent="0.25">
      <c r="A474" s="82" t="s">
        <v>1275</v>
      </c>
      <c r="B474" s="82" t="s">
        <v>258</v>
      </c>
      <c r="C474" s="82" t="s">
        <v>431</v>
      </c>
      <c r="D474" s="83" t="s">
        <v>439</v>
      </c>
      <c r="E474" s="84" t="s">
        <v>576</v>
      </c>
      <c r="F474" s="84" t="s">
        <v>434</v>
      </c>
      <c r="G474" s="85" t="s">
        <v>435</v>
      </c>
      <c r="H474" s="85" t="s">
        <v>435</v>
      </c>
      <c r="I474" s="82" t="s">
        <v>429</v>
      </c>
      <c r="J474" s="86" t="s">
        <v>436</v>
      </c>
    </row>
    <row r="475" spans="1:10" x14ac:dyDescent="0.25">
      <c r="A475" s="82" t="s">
        <v>1276</v>
      </c>
      <c r="B475" s="82" t="s">
        <v>1277</v>
      </c>
      <c r="C475" s="82" t="s">
        <v>431</v>
      </c>
      <c r="D475" s="83" t="s">
        <v>439</v>
      </c>
      <c r="E475" s="84" t="s">
        <v>569</v>
      </c>
      <c r="F475" s="84" t="s">
        <v>434</v>
      </c>
      <c r="G475" s="85" t="s">
        <v>435</v>
      </c>
      <c r="H475" s="85" t="s">
        <v>435</v>
      </c>
      <c r="I475" s="82" t="s">
        <v>429</v>
      </c>
      <c r="J475" s="86" t="s">
        <v>436</v>
      </c>
    </row>
    <row r="476" spans="1:10" x14ac:dyDescent="0.25">
      <c r="A476" s="82" t="s">
        <v>1278</v>
      </c>
      <c r="B476" s="82" t="s">
        <v>259</v>
      </c>
      <c r="C476" s="82" t="s">
        <v>431</v>
      </c>
      <c r="D476" s="83" t="s">
        <v>564</v>
      </c>
      <c r="E476" s="84" t="s">
        <v>557</v>
      </c>
      <c r="F476" s="84" t="s">
        <v>434</v>
      </c>
      <c r="G476" s="85" t="s">
        <v>435</v>
      </c>
      <c r="H476" s="85" t="s">
        <v>435</v>
      </c>
      <c r="I476" s="82" t="s">
        <v>429</v>
      </c>
      <c r="J476" s="86" t="s">
        <v>436</v>
      </c>
    </row>
    <row r="477" spans="1:10" x14ac:dyDescent="0.25">
      <c r="A477" s="82" t="s">
        <v>1279</v>
      </c>
      <c r="B477" s="82" t="s">
        <v>1280</v>
      </c>
      <c r="C477" s="82" t="s">
        <v>431</v>
      </c>
      <c r="D477" s="83" t="s">
        <v>616</v>
      </c>
      <c r="E477" s="84" t="s">
        <v>566</v>
      </c>
      <c r="F477" s="84" t="s">
        <v>434</v>
      </c>
      <c r="G477" s="85" t="s">
        <v>435</v>
      </c>
      <c r="H477" s="85" t="s">
        <v>435</v>
      </c>
      <c r="I477" s="82" t="s">
        <v>429</v>
      </c>
      <c r="J477" s="86" t="s">
        <v>436</v>
      </c>
    </row>
    <row r="478" spans="1:10" x14ac:dyDescent="0.25">
      <c r="A478" s="82" t="s">
        <v>1281</v>
      </c>
      <c r="B478" s="82" t="s">
        <v>275</v>
      </c>
      <c r="C478" s="82" t="s">
        <v>431</v>
      </c>
      <c r="D478" s="83" t="s">
        <v>432</v>
      </c>
      <c r="E478" s="84" t="s">
        <v>611</v>
      </c>
      <c r="F478" s="84" t="s">
        <v>434</v>
      </c>
      <c r="G478" s="85" t="s">
        <v>435</v>
      </c>
      <c r="H478" s="85" t="s">
        <v>435</v>
      </c>
      <c r="I478" s="82" t="s">
        <v>429</v>
      </c>
      <c r="J478" s="86" t="s">
        <v>436</v>
      </c>
    </row>
    <row r="479" spans="1:10" x14ac:dyDescent="0.25">
      <c r="A479" s="82" t="s">
        <v>1282</v>
      </c>
      <c r="B479" s="82" t="s">
        <v>276</v>
      </c>
      <c r="C479" s="82" t="s">
        <v>431</v>
      </c>
      <c r="D479" s="83" t="s">
        <v>432</v>
      </c>
      <c r="E479" s="84" t="s">
        <v>606</v>
      </c>
      <c r="F479" s="84" t="s">
        <v>434</v>
      </c>
      <c r="G479" s="85" t="s">
        <v>435</v>
      </c>
      <c r="H479" s="85" t="s">
        <v>435</v>
      </c>
      <c r="I479" s="82" t="s">
        <v>429</v>
      </c>
      <c r="J479" s="86" t="s">
        <v>436</v>
      </c>
    </row>
    <row r="480" spans="1:10" x14ac:dyDescent="0.25">
      <c r="A480" s="82" t="s">
        <v>1283</v>
      </c>
      <c r="B480" s="82" t="s">
        <v>277</v>
      </c>
      <c r="C480" s="82" t="s">
        <v>431</v>
      </c>
      <c r="D480" s="83" t="s">
        <v>432</v>
      </c>
      <c r="E480" s="84" t="s">
        <v>451</v>
      </c>
      <c r="F480" s="84" t="s">
        <v>434</v>
      </c>
      <c r="G480" s="85" t="s">
        <v>435</v>
      </c>
      <c r="H480" s="85" t="s">
        <v>435</v>
      </c>
      <c r="I480" s="82" t="s">
        <v>429</v>
      </c>
      <c r="J480" s="86" t="s">
        <v>436</v>
      </c>
    </row>
    <row r="481" spans="1:10" x14ac:dyDescent="0.25">
      <c r="A481" s="82" t="s">
        <v>1284</v>
      </c>
      <c r="B481" s="82" t="s">
        <v>1285</v>
      </c>
      <c r="C481" s="82" t="s">
        <v>431</v>
      </c>
      <c r="D481" s="83" t="s">
        <v>432</v>
      </c>
      <c r="E481" s="84" t="s">
        <v>611</v>
      </c>
      <c r="F481" s="84" t="s">
        <v>434</v>
      </c>
      <c r="G481" s="85" t="s">
        <v>435</v>
      </c>
      <c r="H481" s="85" t="s">
        <v>435</v>
      </c>
      <c r="I481" s="82" t="s">
        <v>429</v>
      </c>
      <c r="J481" s="86" t="s">
        <v>436</v>
      </c>
    </row>
    <row r="482" spans="1:10" x14ac:dyDescent="0.25">
      <c r="A482" s="82" t="s">
        <v>1286</v>
      </c>
      <c r="B482" s="82" t="s">
        <v>1287</v>
      </c>
      <c r="C482" s="82" t="s">
        <v>431</v>
      </c>
      <c r="D482" s="83" t="s">
        <v>432</v>
      </c>
      <c r="E482" s="84" t="s">
        <v>606</v>
      </c>
      <c r="F482" s="84" t="s">
        <v>434</v>
      </c>
      <c r="G482" s="85" t="s">
        <v>435</v>
      </c>
      <c r="H482" s="85" t="s">
        <v>435</v>
      </c>
      <c r="I482" s="82" t="s">
        <v>429</v>
      </c>
      <c r="J482" s="86" t="s">
        <v>436</v>
      </c>
    </row>
    <row r="483" spans="1:10" x14ac:dyDescent="0.25">
      <c r="A483" s="82" t="s">
        <v>1288</v>
      </c>
      <c r="B483" s="82" t="s">
        <v>1289</v>
      </c>
      <c r="C483" s="82" t="s">
        <v>592</v>
      </c>
      <c r="D483" s="83" t="s">
        <v>564</v>
      </c>
      <c r="E483" s="84" t="s">
        <v>625</v>
      </c>
      <c r="F483" s="84" t="s">
        <v>434</v>
      </c>
      <c r="G483" s="85" t="s">
        <v>435</v>
      </c>
      <c r="H483" s="85" t="s">
        <v>435</v>
      </c>
      <c r="I483" s="82" t="s">
        <v>429</v>
      </c>
      <c r="J483" s="86" t="s">
        <v>587</v>
      </c>
    </row>
    <row r="484" spans="1:10" x14ac:dyDescent="0.25">
      <c r="A484" s="82" t="s">
        <v>1290</v>
      </c>
      <c r="B484" s="82" t="s">
        <v>1291</v>
      </c>
      <c r="C484" s="82" t="s">
        <v>592</v>
      </c>
      <c r="D484" s="83" t="s">
        <v>564</v>
      </c>
      <c r="E484" s="84" t="s">
        <v>451</v>
      </c>
      <c r="F484" s="84" t="s">
        <v>434</v>
      </c>
      <c r="G484" s="85" t="s">
        <v>435</v>
      </c>
      <c r="H484" s="85" t="s">
        <v>435</v>
      </c>
      <c r="I484" s="82" t="s">
        <v>429</v>
      </c>
      <c r="J484" s="86" t="s">
        <v>436</v>
      </c>
    </row>
    <row r="485" spans="1:10" x14ac:dyDescent="0.25">
      <c r="A485" s="82" t="s">
        <v>1292</v>
      </c>
      <c r="B485" s="82" t="s">
        <v>1293</v>
      </c>
      <c r="C485" s="82" t="s">
        <v>592</v>
      </c>
      <c r="D485" s="83" t="s">
        <v>432</v>
      </c>
      <c r="E485" s="84" t="s">
        <v>455</v>
      </c>
      <c r="F485" s="84" t="s">
        <v>434</v>
      </c>
      <c r="G485" s="85" t="s">
        <v>435</v>
      </c>
      <c r="H485" s="85" t="s">
        <v>435</v>
      </c>
      <c r="I485" s="82" t="s">
        <v>429</v>
      </c>
      <c r="J485" s="86" t="s">
        <v>436</v>
      </c>
    </row>
    <row r="486" spans="1:10" x14ac:dyDescent="0.25">
      <c r="A486" s="82" t="s">
        <v>1294</v>
      </c>
      <c r="B486" s="82" t="s">
        <v>1295</v>
      </c>
      <c r="C486" s="82" t="s">
        <v>592</v>
      </c>
      <c r="D486" s="83" t="s">
        <v>432</v>
      </c>
      <c r="E486" s="84" t="s">
        <v>451</v>
      </c>
      <c r="F486" s="84" t="s">
        <v>434</v>
      </c>
      <c r="G486" s="85" t="s">
        <v>435</v>
      </c>
      <c r="H486" s="85" t="s">
        <v>435</v>
      </c>
      <c r="I486" s="82" t="s">
        <v>429</v>
      </c>
      <c r="J486" s="86" t="s">
        <v>436</v>
      </c>
    </row>
    <row r="487" spans="1:10" x14ac:dyDescent="0.25">
      <c r="A487" s="82" t="s">
        <v>1296</v>
      </c>
      <c r="B487" s="82" t="s">
        <v>1297</v>
      </c>
      <c r="C487" s="82" t="s">
        <v>592</v>
      </c>
      <c r="D487" s="83" t="s">
        <v>564</v>
      </c>
      <c r="E487" s="84" t="s">
        <v>625</v>
      </c>
      <c r="F487" s="84" t="s">
        <v>434</v>
      </c>
      <c r="G487" s="85" t="s">
        <v>435</v>
      </c>
      <c r="H487" s="85" t="s">
        <v>435</v>
      </c>
      <c r="I487" s="82" t="s">
        <v>429</v>
      </c>
      <c r="J487" s="86" t="s">
        <v>587</v>
      </c>
    </row>
    <row r="488" spans="1:10" x14ac:dyDescent="0.25">
      <c r="A488" s="82" t="s">
        <v>1298</v>
      </c>
      <c r="B488" s="82" t="s">
        <v>1299</v>
      </c>
      <c r="C488" s="82" t="s">
        <v>592</v>
      </c>
      <c r="D488" s="83" t="s">
        <v>564</v>
      </c>
      <c r="E488" s="84" t="s">
        <v>455</v>
      </c>
      <c r="F488" s="84" t="s">
        <v>434</v>
      </c>
      <c r="G488" s="85" t="s">
        <v>435</v>
      </c>
      <c r="H488" s="85" t="s">
        <v>435</v>
      </c>
      <c r="I488" s="82" t="s">
        <v>429</v>
      </c>
      <c r="J488" s="86" t="s">
        <v>436</v>
      </c>
    </row>
    <row r="489" spans="1:10" x14ac:dyDescent="0.25">
      <c r="A489" s="82" t="s">
        <v>1300</v>
      </c>
      <c r="B489" s="82" t="s">
        <v>402</v>
      </c>
      <c r="C489" s="82" t="s">
        <v>550</v>
      </c>
      <c r="D489" s="83" t="s">
        <v>585</v>
      </c>
      <c r="E489" s="84" t="s">
        <v>551</v>
      </c>
      <c r="F489" s="84" t="s">
        <v>434</v>
      </c>
      <c r="G489" s="85" t="s">
        <v>435</v>
      </c>
      <c r="H489" s="85" t="s">
        <v>435</v>
      </c>
      <c r="I489" s="82" t="s">
        <v>429</v>
      </c>
      <c r="J489" s="86" t="s">
        <v>436</v>
      </c>
    </row>
    <row r="490" spans="1:10" x14ac:dyDescent="0.25">
      <c r="A490" s="82" t="s">
        <v>1301</v>
      </c>
      <c r="B490" s="82" t="s">
        <v>339</v>
      </c>
      <c r="C490" s="82" t="s">
        <v>559</v>
      </c>
      <c r="D490" s="83" t="s">
        <v>432</v>
      </c>
      <c r="E490" s="84" t="s">
        <v>557</v>
      </c>
      <c r="F490" s="84" t="s">
        <v>434</v>
      </c>
      <c r="G490" s="85" t="s">
        <v>435</v>
      </c>
      <c r="H490" s="85" t="s">
        <v>435</v>
      </c>
      <c r="I490" s="82" t="s">
        <v>429</v>
      </c>
      <c r="J490" s="86" t="s">
        <v>436</v>
      </c>
    </row>
    <row r="491" spans="1:10" x14ac:dyDescent="0.25">
      <c r="A491" s="82" t="s">
        <v>1302</v>
      </c>
      <c r="B491" s="82" t="s">
        <v>341</v>
      </c>
      <c r="C491" s="82" t="s">
        <v>559</v>
      </c>
      <c r="D491" s="83" t="s">
        <v>432</v>
      </c>
      <c r="E491" s="84" t="s">
        <v>557</v>
      </c>
      <c r="F491" s="84" t="s">
        <v>434</v>
      </c>
      <c r="G491" s="85" t="s">
        <v>435</v>
      </c>
      <c r="H491" s="85" t="s">
        <v>435</v>
      </c>
      <c r="I491" s="82" t="s">
        <v>429</v>
      </c>
      <c r="J491" s="86" t="s">
        <v>436</v>
      </c>
    </row>
    <row r="492" spans="1:10" x14ac:dyDescent="0.25">
      <c r="A492" s="82" t="s">
        <v>1303</v>
      </c>
      <c r="B492" s="82" t="s">
        <v>350</v>
      </c>
      <c r="C492" s="82" t="s">
        <v>559</v>
      </c>
      <c r="D492" s="83" t="s">
        <v>432</v>
      </c>
      <c r="E492" s="84" t="s">
        <v>557</v>
      </c>
      <c r="F492" s="84" t="s">
        <v>434</v>
      </c>
      <c r="G492" s="85" t="s">
        <v>435</v>
      </c>
      <c r="H492" s="85" t="s">
        <v>435</v>
      </c>
      <c r="I492" s="82" t="s">
        <v>429</v>
      </c>
      <c r="J492" s="86" t="s">
        <v>436</v>
      </c>
    </row>
    <row r="493" spans="1:10" x14ac:dyDescent="0.25">
      <c r="A493" s="82" t="s">
        <v>1304</v>
      </c>
      <c r="B493" s="82" t="s">
        <v>351</v>
      </c>
      <c r="C493" s="82" t="s">
        <v>559</v>
      </c>
      <c r="D493" s="83" t="s">
        <v>564</v>
      </c>
      <c r="E493" s="84" t="s">
        <v>870</v>
      </c>
      <c r="F493" s="84" t="s">
        <v>434</v>
      </c>
      <c r="G493" s="85" t="s">
        <v>435</v>
      </c>
      <c r="H493" s="85" t="s">
        <v>435</v>
      </c>
      <c r="I493" s="82" t="s">
        <v>429</v>
      </c>
      <c r="J493" s="86" t="s">
        <v>436</v>
      </c>
    </row>
    <row r="494" spans="1:10" x14ac:dyDescent="0.25">
      <c r="A494" s="82" t="s">
        <v>1305</v>
      </c>
      <c r="B494" s="82" t="s">
        <v>349</v>
      </c>
      <c r="C494" s="82" t="s">
        <v>559</v>
      </c>
      <c r="D494" s="83" t="s">
        <v>564</v>
      </c>
      <c r="E494" s="84" t="s">
        <v>870</v>
      </c>
      <c r="F494" s="84" t="s">
        <v>434</v>
      </c>
      <c r="G494" s="85" t="s">
        <v>435</v>
      </c>
      <c r="H494" s="85" t="s">
        <v>435</v>
      </c>
      <c r="I494" s="82" t="s">
        <v>429</v>
      </c>
      <c r="J494" s="86" t="s">
        <v>436</v>
      </c>
    </row>
    <row r="495" spans="1:10" x14ac:dyDescent="0.25">
      <c r="A495" s="82" t="s">
        <v>1306</v>
      </c>
      <c r="B495" s="82" t="s">
        <v>1307</v>
      </c>
      <c r="C495" s="82" t="s">
        <v>584</v>
      </c>
      <c r="D495" s="83" t="s">
        <v>432</v>
      </c>
      <c r="E495" s="84" t="s">
        <v>888</v>
      </c>
      <c r="F495" s="84" t="s">
        <v>571</v>
      </c>
      <c r="G495" s="85" t="s">
        <v>435</v>
      </c>
      <c r="H495" s="85" t="s">
        <v>435</v>
      </c>
      <c r="I495" s="82" t="s">
        <v>429</v>
      </c>
      <c r="J495" s="86" t="s">
        <v>587</v>
      </c>
    </row>
    <row r="496" spans="1:10" x14ac:dyDescent="0.25">
      <c r="A496" s="82" t="s">
        <v>1308</v>
      </c>
      <c r="B496" s="82" t="s">
        <v>305</v>
      </c>
      <c r="C496" s="82" t="s">
        <v>584</v>
      </c>
      <c r="D496" s="83" t="s">
        <v>432</v>
      </c>
      <c r="E496" s="84" t="s">
        <v>888</v>
      </c>
      <c r="F496" s="84" t="s">
        <v>571</v>
      </c>
      <c r="G496" s="85" t="s">
        <v>435</v>
      </c>
      <c r="H496" s="85" t="s">
        <v>435</v>
      </c>
      <c r="I496" s="82" t="s">
        <v>429</v>
      </c>
      <c r="J496" s="86" t="s">
        <v>436</v>
      </c>
    </row>
    <row r="497" spans="1:10" x14ac:dyDescent="0.25">
      <c r="A497" s="82" t="s">
        <v>1309</v>
      </c>
      <c r="B497" s="82" t="s">
        <v>1310</v>
      </c>
      <c r="C497" s="82" t="s">
        <v>584</v>
      </c>
      <c r="D497" s="83" t="s">
        <v>564</v>
      </c>
      <c r="E497" s="84" t="s">
        <v>571</v>
      </c>
      <c r="F497" s="84" t="s">
        <v>637</v>
      </c>
      <c r="G497" s="85" t="s">
        <v>435</v>
      </c>
      <c r="H497" s="85" t="s">
        <v>435</v>
      </c>
      <c r="I497" s="82" t="s">
        <v>429</v>
      </c>
      <c r="J497" s="86" t="s">
        <v>436</v>
      </c>
    </row>
    <row r="498" spans="1:10" x14ac:dyDescent="0.25">
      <c r="A498" s="82" t="s">
        <v>1311</v>
      </c>
      <c r="B498" s="82" t="s">
        <v>1312</v>
      </c>
      <c r="C498" s="82" t="s">
        <v>559</v>
      </c>
      <c r="D498" s="83" t="s">
        <v>564</v>
      </c>
      <c r="E498" s="84" t="s">
        <v>557</v>
      </c>
      <c r="F498" s="84" t="s">
        <v>434</v>
      </c>
      <c r="G498" s="85" t="s">
        <v>435</v>
      </c>
      <c r="H498" s="85" t="s">
        <v>435</v>
      </c>
      <c r="I498" s="82" t="s">
        <v>429</v>
      </c>
      <c r="J498" s="86" t="s">
        <v>436</v>
      </c>
    </row>
    <row r="499" spans="1:10" x14ac:dyDescent="0.25">
      <c r="A499" s="82" t="s">
        <v>1313</v>
      </c>
      <c r="B499" s="82" t="s">
        <v>361</v>
      </c>
      <c r="C499" s="82" t="s">
        <v>559</v>
      </c>
      <c r="D499" s="83" t="s">
        <v>564</v>
      </c>
      <c r="E499" s="84" t="s">
        <v>606</v>
      </c>
      <c r="F499" s="84" t="s">
        <v>434</v>
      </c>
      <c r="G499" s="85" t="s">
        <v>435</v>
      </c>
      <c r="H499" s="85" t="s">
        <v>435</v>
      </c>
      <c r="I499" s="82" t="s">
        <v>429</v>
      </c>
      <c r="J499" s="86" t="s">
        <v>436</v>
      </c>
    </row>
    <row r="500" spans="1:10" x14ac:dyDescent="0.25">
      <c r="A500" s="82" t="s">
        <v>1314</v>
      </c>
      <c r="B500" s="82" t="s">
        <v>1315</v>
      </c>
      <c r="C500" s="82" t="s">
        <v>584</v>
      </c>
      <c r="D500" s="83" t="s">
        <v>432</v>
      </c>
      <c r="E500" s="84" t="s">
        <v>571</v>
      </c>
      <c r="F500" s="84" t="s">
        <v>637</v>
      </c>
      <c r="G500" s="85" t="s">
        <v>435</v>
      </c>
      <c r="H500" s="85" t="s">
        <v>435</v>
      </c>
      <c r="I500" s="82" t="s">
        <v>429</v>
      </c>
      <c r="J500" s="86" t="s">
        <v>436</v>
      </c>
    </row>
    <row r="501" spans="1:10" x14ac:dyDescent="0.25">
      <c r="A501" s="82" t="s">
        <v>1316</v>
      </c>
      <c r="B501" s="82" t="s">
        <v>298</v>
      </c>
      <c r="C501" s="82" t="s">
        <v>584</v>
      </c>
      <c r="D501" s="83" t="s">
        <v>432</v>
      </c>
      <c r="E501" s="84" t="s">
        <v>571</v>
      </c>
      <c r="F501" s="84" t="s">
        <v>637</v>
      </c>
      <c r="G501" s="85" t="s">
        <v>435</v>
      </c>
      <c r="H501" s="85" t="s">
        <v>435</v>
      </c>
      <c r="I501" s="82" t="s">
        <v>429</v>
      </c>
      <c r="J501" s="86" t="s">
        <v>436</v>
      </c>
    </row>
    <row r="502" spans="1:10" x14ac:dyDescent="0.25">
      <c r="A502" s="82" t="s">
        <v>1317</v>
      </c>
      <c r="B502" s="82" t="s">
        <v>1318</v>
      </c>
      <c r="C502" s="82" t="s">
        <v>584</v>
      </c>
      <c r="D502" s="83" t="s">
        <v>564</v>
      </c>
      <c r="E502" s="84" t="s">
        <v>571</v>
      </c>
      <c r="F502" s="84" t="s">
        <v>637</v>
      </c>
      <c r="G502" s="85" t="s">
        <v>435</v>
      </c>
      <c r="H502" s="85" t="s">
        <v>435</v>
      </c>
      <c r="I502" s="82" t="s">
        <v>429</v>
      </c>
      <c r="J502" s="86" t="s">
        <v>436</v>
      </c>
    </row>
    <row r="503" spans="1:10" x14ac:dyDescent="0.25">
      <c r="A503" s="82" t="s">
        <v>1319</v>
      </c>
      <c r="B503" s="82" t="s">
        <v>299</v>
      </c>
      <c r="C503" s="82" t="s">
        <v>584</v>
      </c>
      <c r="D503" s="83" t="s">
        <v>564</v>
      </c>
      <c r="E503" s="84" t="s">
        <v>557</v>
      </c>
      <c r="F503" s="84" t="s">
        <v>433</v>
      </c>
      <c r="G503" s="85" t="s">
        <v>435</v>
      </c>
      <c r="H503" s="85" t="s">
        <v>435</v>
      </c>
      <c r="I503" s="82" t="s">
        <v>429</v>
      </c>
      <c r="J503" s="86" t="s">
        <v>436</v>
      </c>
    </row>
    <row r="504" spans="1:10" x14ac:dyDescent="0.25">
      <c r="A504" s="82" t="s">
        <v>1320</v>
      </c>
      <c r="B504" s="82" t="s">
        <v>1321</v>
      </c>
      <c r="C504" s="82" t="s">
        <v>584</v>
      </c>
      <c r="D504" s="83" t="s">
        <v>564</v>
      </c>
      <c r="E504" s="84" t="s">
        <v>557</v>
      </c>
      <c r="F504" s="84" t="s">
        <v>433</v>
      </c>
      <c r="G504" s="85" t="s">
        <v>435</v>
      </c>
      <c r="H504" s="85" t="s">
        <v>435</v>
      </c>
      <c r="I504" s="82" t="s">
        <v>429</v>
      </c>
      <c r="J504" s="86" t="s">
        <v>587</v>
      </c>
    </row>
    <row r="505" spans="1:10" x14ac:dyDescent="0.25">
      <c r="A505" s="82" t="s">
        <v>1322</v>
      </c>
      <c r="B505" s="82" t="s">
        <v>1323</v>
      </c>
      <c r="C505" s="82" t="s">
        <v>859</v>
      </c>
      <c r="D505" s="83" t="s">
        <v>564</v>
      </c>
      <c r="E505" s="84" t="s">
        <v>606</v>
      </c>
      <c r="F505" s="84" t="s">
        <v>434</v>
      </c>
      <c r="G505" s="85" t="s">
        <v>435</v>
      </c>
      <c r="H505" s="85" t="s">
        <v>435</v>
      </c>
      <c r="I505" s="82" t="s">
        <v>429</v>
      </c>
      <c r="J505" s="86" t="s">
        <v>436</v>
      </c>
    </row>
    <row r="506" spans="1:10" x14ac:dyDescent="0.25">
      <c r="A506" s="82" t="s">
        <v>1324</v>
      </c>
      <c r="B506" s="82" t="s">
        <v>306</v>
      </c>
      <c r="C506" s="82" t="s">
        <v>859</v>
      </c>
      <c r="D506" s="83" t="s">
        <v>564</v>
      </c>
      <c r="E506" s="84" t="s">
        <v>606</v>
      </c>
      <c r="F506" s="84" t="s">
        <v>434</v>
      </c>
      <c r="G506" s="85" t="s">
        <v>435</v>
      </c>
      <c r="H506" s="85" t="s">
        <v>435</v>
      </c>
      <c r="I506" s="82" t="s">
        <v>429</v>
      </c>
      <c r="J506" s="86" t="s">
        <v>436</v>
      </c>
    </row>
    <row r="507" spans="1:10" x14ac:dyDescent="0.25">
      <c r="A507" s="82" t="s">
        <v>1325</v>
      </c>
      <c r="B507" s="82" t="s">
        <v>307</v>
      </c>
      <c r="C507" s="82" t="s">
        <v>859</v>
      </c>
      <c r="D507" s="83" t="s">
        <v>564</v>
      </c>
      <c r="E507" s="84" t="s">
        <v>451</v>
      </c>
      <c r="F507" s="84" t="s">
        <v>434</v>
      </c>
      <c r="G507" s="85" t="s">
        <v>435</v>
      </c>
      <c r="H507" s="85" t="s">
        <v>435</v>
      </c>
      <c r="I507" s="82" t="s">
        <v>429</v>
      </c>
      <c r="J507" s="86" t="s">
        <v>436</v>
      </c>
    </row>
    <row r="508" spans="1:10" x14ac:dyDescent="0.25">
      <c r="A508" s="82" t="s">
        <v>1326</v>
      </c>
      <c r="B508" s="82" t="s">
        <v>1327</v>
      </c>
      <c r="C508" s="82" t="s">
        <v>859</v>
      </c>
      <c r="D508" s="83" t="s">
        <v>564</v>
      </c>
      <c r="E508" s="84" t="s">
        <v>606</v>
      </c>
      <c r="F508" s="84" t="s">
        <v>434</v>
      </c>
      <c r="G508" s="85" t="s">
        <v>435</v>
      </c>
      <c r="H508" s="85" t="s">
        <v>435</v>
      </c>
      <c r="I508" s="82" t="s">
        <v>429</v>
      </c>
      <c r="J508" s="86" t="s">
        <v>436</v>
      </c>
    </row>
    <row r="509" spans="1:10" x14ac:dyDescent="0.25">
      <c r="A509" s="82" t="s">
        <v>1328</v>
      </c>
      <c r="B509" s="82" t="s">
        <v>1329</v>
      </c>
      <c r="C509" s="82" t="s">
        <v>859</v>
      </c>
      <c r="D509" s="83" t="s">
        <v>564</v>
      </c>
      <c r="E509" s="84" t="s">
        <v>606</v>
      </c>
      <c r="F509" s="84" t="s">
        <v>434</v>
      </c>
      <c r="G509" s="85" t="s">
        <v>435</v>
      </c>
      <c r="H509" s="85" t="s">
        <v>435</v>
      </c>
      <c r="I509" s="82" t="s">
        <v>429</v>
      </c>
      <c r="J509" s="86" t="s">
        <v>436</v>
      </c>
    </row>
    <row r="510" spans="1:10" x14ac:dyDescent="0.25">
      <c r="A510" s="82" t="s">
        <v>1330</v>
      </c>
      <c r="B510" s="82" t="s">
        <v>1331</v>
      </c>
      <c r="C510" s="82" t="s">
        <v>559</v>
      </c>
      <c r="D510" s="83" t="s">
        <v>432</v>
      </c>
      <c r="E510" s="84" t="s">
        <v>551</v>
      </c>
      <c r="F510" s="84" t="s">
        <v>434</v>
      </c>
      <c r="G510" s="85" t="s">
        <v>435</v>
      </c>
      <c r="H510" s="85" t="s">
        <v>435</v>
      </c>
      <c r="I510" s="82" t="s">
        <v>429</v>
      </c>
      <c r="J510" s="86" t="s">
        <v>436</v>
      </c>
    </row>
    <row r="511" spans="1:10" x14ac:dyDescent="0.25">
      <c r="A511" s="82" t="s">
        <v>1332</v>
      </c>
      <c r="B511" s="82" t="s">
        <v>355</v>
      </c>
      <c r="C511" s="82" t="s">
        <v>559</v>
      </c>
      <c r="D511" s="83" t="s">
        <v>432</v>
      </c>
      <c r="E511" s="84" t="s">
        <v>606</v>
      </c>
      <c r="F511" s="84" t="s">
        <v>434</v>
      </c>
      <c r="G511" s="85" t="s">
        <v>435</v>
      </c>
      <c r="H511" s="85" t="s">
        <v>435</v>
      </c>
      <c r="I511" s="82" t="s">
        <v>429</v>
      </c>
      <c r="J511" s="86" t="s">
        <v>436</v>
      </c>
    </row>
    <row r="512" spans="1:10" x14ac:dyDescent="0.25">
      <c r="A512" s="82" t="s">
        <v>1333</v>
      </c>
      <c r="B512" s="82" t="s">
        <v>352</v>
      </c>
      <c r="C512" s="82" t="s">
        <v>592</v>
      </c>
      <c r="D512" s="83" t="s">
        <v>432</v>
      </c>
      <c r="E512" s="84" t="s">
        <v>611</v>
      </c>
      <c r="F512" s="84" t="s">
        <v>434</v>
      </c>
      <c r="G512" s="85" t="s">
        <v>435</v>
      </c>
      <c r="H512" s="85" t="s">
        <v>435</v>
      </c>
      <c r="I512" s="82" t="s">
        <v>429</v>
      </c>
      <c r="J512" s="86" t="s">
        <v>436</v>
      </c>
    </row>
    <row r="513" spans="1:10" x14ac:dyDescent="0.25">
      <c r="A513" s="82" t="s">
        <v>1334</v>
      </c>
      <c r="B513" s="82" t="s">
        <v>358</v>
      </c>
      <c r="C513" s="82" t="s">
        <v>559</v>
      </c>
      <c r="D513" s="83" t="s">
        <v>432</v>
      </c>
      <c r="E513" s="84" t="s">
        <v>611</v>
      </c>
      <c r="F513" s="84" t="s">
        <v>434</v>
      </c>
      <c r="G513" s="85" t="s">
        <v>435</v>
      </c>
      <c r="H513" s="85" t="s">
        <v>435</v>
      </c>
      <c r="I513" s="82" t="s">
        <v>429</v>
      </c>
      <c r="J513" s="86" t="s">
        <v>436</v>
      </c>
    </row>
    <row r="514" spans="1:10" x14ac:dyDescent="0.25">
      <c r="A514" s="82" t="s">
        <v>1335</v>
      </c>
      <c r="B514" s="82" t="s">
        <v>393</v>
      </c>
      <c r="C514" s="82" t="s">
        <v>592</v>
      </c>
      <c r="D514" s="83" t="s">
        <v>432</v>
      </c>
      <c r="E514" s="84" t="s">
        <v>451</v>
      </c>
      <c r="F514" s="84" t="s">
        <v>434</v>
      </c>
      <c r="G514" s="85" t="s">
        <v>435</v>
      </c>
      <c r="H514" s="85" t="s">
        <v>435</v>
      </c>
      <c r="I514" s="82" t="s">
        <v>429</v>
      </c>
      <c r="J514" s="86" t="s">
        <v>436</v>
      </c>
    </row>
    <row r="515" spans="1:10" x14ac:dyDescent="0.25">
      <c r="A515" s="82" t="s">
        <v>1336</v>
      </c>
      <c r="B515" s="82" t="s">
        <v>394</v>
      </c>
      <c r="C515" s="82" t="s">
        <v>592</v>
      </c>
      <c r="D515" s="83" t="s">
        <v>432</v>
      </c>
      <c r="E515" s="84" t="s">
        <v>451</v>
      </c>
      <c r="F515" s="84" t="s">
        <v>434</v>
      </c>
      <c r="G515" s="85" t="s">
        <v>435</v>
      </c>
      <c r="H515" s="85" t="s">
        <v>435</v>
      </c>
      <c r="I515" s="82" t="s">
        <v>429</v>
      </c>
      <c r="J515" s="86" t="s">
        <v>436</v>
      </c>
    </row>
    <row r="516" spans="1:10" x14ac:dyDescent="0.25">
      <c r="A516" s="82" t="s">
        <v>1337</v>
      </c>
      <c r="B516" s="82" t="s">
        <v>308</v>
      </c>
      <c r="C516" s="82" t="s">
        <v>859</v>
      </c>
      <c r="D516" s="83" t="s">
        <v>564</v>
      </c>
      <c r="E516" s="84" t="s">
        <v>451</v>
      </c>
      <c r="F516" s="84" t="s">
        <v>434</v>
      </c>
      <c r="G516" s="85" t="s">
        <v>435</v>
      </c>
      <c r="H516" s="85" t="s">
        <v>435</v>
      </c>
      <c r="I516" s="82" t="s">
        <v>429</v>
      </c>
      <c r="J516" s="86" t="s">
        <v>436</v>
      </c>
    </row>
    <row r="517" spans="1:10" x14ac:dyDescent="0.25">
      <c r="A517" s="82" t="s">
        <v>1338</v>
      </c>
      <c r="B517" s="82" t="s">
        <v>374</v>
      </c>
      <c r="C517" s="82" t="s">
        <v>884</v>
      </c>
      <c r="D517" s="83" t="s">
        <v>432</v>
      </c>
      <c r="E517" s="84" t="s">
        <v>433</v>
      </c>
      <c r="F517" s="84" t="s">
        <v>434</v>
      </c>
      <c r="G517" s="85" t="s">
        <v>435</v>
      </c>
      <c r="H517" s="85" t="s">
        <v>435</v>
      </c>
      <c r="I517" s="82" t="s">
        <v>885</v>
      </c>
      <c r="J517" s="86" t="s">
        <v>436</v>
      </c>
    </row>
    <row r="518" spans="1:10" x14ac:dyDescent="0.25">
      <c r="A518" s="82" t="s">
        <v>1339</v>
      </c>
      <c r="B518" s="82" t="s">
        <v>244</v>
      </c>
      <c r="C518" s="82" t="s">
        <v>559</v>
      </c>
      <c r="D518" s="83" t="s">
        <v>432</v>
      </c>
      <c r="E518" s="84" t="s">
        <v>433</v>
      </c>
      <c r="F518" s="84" t="s">
        <v>434</v>
      </c>
      <c r="G518" s="85" t="s">
        <v>435</v>
      </c>
      <c r="H518" s="85" t="s">
        <v>435</v>
      </c>
      <c r="I518" s="82" t="s">
        <v>429</v>
      </c>
      <c r="J518" s="86" t="s">
        <v>436</v>
      </c>
    </row>
    <row r="519" spans="1:10" x14ac:dyDescent="0.25">
      <c r="A519" s="82" t="s">
        <v>1340</v>
      </c>
      <c r="B519" s="82" t="s">
        <v>342</v>
      </c>
      <c r="C519" s="82" t="s">
        <v>636</v>
      </c>
      <c r="D519" s="83" t="s">
        <v>432</v>
      </c>
      <c r="E519" s="84" t="s">
        <v>1033</v>
      </c>
      <c r="F519" s="84" t="s">
        <v>551</v>
      </c>
      <c r="G519" s="85" t="s">
        <v>435</v>
      </c>
      <c r="H519" s="85" t="s">
        <v>435</v>
      </c>
      <c r="I519" s="82" t="s">
        <v>429</v>
      </c>
      <c r="J519" s="86" t="s">
        <v>436</v>
      </c>
    </row>
    <row r="520" spans="1:10" x14ac:dyDescent="0.25">
      <c r="A520" s="82" t="s">
        <v>1341</v>
      </c>
      <c r="B520" s="82" t="s">
        <v>343</v>
      </c>
      <c r="C520" s="82" t="s">
        <v>636</v>
      </c>
      <c r="D520" s="83" t="s">
        <v>432</v>
      </c>
      <c r="E520" s="84" t="s">
        <v>637</v>
      </c>
      <c r="F520" s="84" t="s">
        <v>589</v>
      </c>
      <c r="G520" s="85" t="s">
        <v>435</v>
      </c>
      <c r="H520" s="85" t="s">
        <v>435</v>
      </c>
      <c r="I520" s="82" t="s">
        <v>429</v>
      </c>
      <c r="J520" s="86" t="s">
        <v>436</v>
      </c>
    </row>
    <row r="521" spans="1:10" x14ac:dyDescent="0.25">
      <c r="A521" s="82" t="s">
        <v>1342</v>
      </c>
      <c r="B521" s="82" t="s">
        <v>184</v>
      </c>
      <c r="C521" s="82" t="s">
        <v>636</v>
      </c>
      <c r="D521" s="83" t="s">
        <v>432</v>
      </c>
      <c r="E521" s="84" t="s">
        <v>870</v>
      </c>
      <c r="F521" s="84" t="s">
        <v>637</v>
      </c>
      <c r="G521" s="85" t="s">
        <v>435</v>
      </c>
      <c r="H521" s="85" t="s">
        <v>435</v>
      </c>
      <c r="I521" s="82" t="s">
        <v>429</v>
      </c>
      <c r="J521" s="86" t="s">
        <v>436</v>
      </c>
    </row>
    <row r="522" spans="1:10" x14ac:dyDescent="0.25">
      <c r="A522" s="82" t="s">
        <v>1343</v>
      </c>
      <c r="B522" s="82" t="s">
        <v>185</v>
      </c>
      <c r="C522" s="82" t="s">
        <v>636</v>
      </c>
      <c r="D522" s="83" t="s">
        <v>432</v>
      </c>
      <c r="E522" s="84" t="s">
        <v>870</v>
      </c>
      <c r="F522" s="84" t="s">
        <v>434</v>
      </c>
      <c r="G522" s="85" t="s">
        <v>435</v>
      </c>
      <c r="H522" s="85" t="s">
        <v>435</v>
      </c>
      <c r="I522" s="82" t="s">
        <v>429</v>
      </c>
      <c r="J522" s="86" t="s">
        <v>436</v>
      </c>
    </row>
    <row r="523" spans="1:10" x14ac:dyDescent="0.25">
      <c r="A523" s="82" t="s">
        <v>1344</v>
      </c>
      <c r="B523" s="82" t="s">
        <v>407</v>
      </c>
      <c r="C523" s="82" t="s">
        <v>911</v>
      </c>
      <c r="D523" s="83" t="s">
        <v>585</v>
      </c>
      <c r="E523" s="84" t="s">
        <v>870</v>
      </c>
      <c r="F523" s="84" t="s">
        <v>571</v>
      </c>
      <c r="G523" s="85" t="s">
        <v>435</v>
      </c>
      <c r="H523" s="85" t="s">
        <v>435</v>
      </c>
      <c r="I523" s="82" t="s">
        <v>429</v>
      </c>
      <c r="J523" s="86" t="s">
        <v>436</v>
      </c>
    </row>
    <row r="524" spans="1:10" x14ac:dyDescent="0.25">
      <c r="A524" s="82" t="s">
        <v>1345</v>
      </c>
      <c r="B524" s="82" t="s">
        <v>406</v>
      </c>
      <c r="C524" s="82" t="s">
        <v>911</v>
      </c>
      <c r="D524" s="83" t="s">
        <v>585</v>
      </c>
      <c r="E524" s="84" t="s">
        <v>566</v>
      </c>
      <c r="F524" s="84" t="s">
        <v>434</v>
      </c>
      <c r="G524" s="85" t="s">
        <v>435</v>
      </c>
      <c r="H524" s="85" t="s">
        <v>435</v>
      </c>
      <c r="I524" s="82" t="s">
        <v>429</v>
      </c>
      <c r="J524" s="86" t="s">
        <v>436</v>
      </c>
    </row>
    <row r="525" spans="1:10" x14ac:dyDescent="0.25">
      <c r="A525" s="82" t="s">
        <v>1346</v>
      </c>
      <c r="B525" s="82" t="s">
        <v>186</v>
      </c>
      <c r="C525" s="82" t="s">
        <v>636</v>
      </c>
      <c r="D525" s="83" t="s">
        <v>432</v>
      </c>
      <c r="E525" s="84" t="s">
        <v>551</v>
      </c>
      <c r="F525" s="84" t="s">
        <v>434</v>
      </c>
      <c r="G525" s="85" t="s">
        <v>435</v>
      </c>
      <c r="H525" s="85" t="s">
        <v>435</v>
      </c>
      <c r="I525" s="82" t="s">
        <v>429</v>
      </c>
      <c r="J525" s="86" t="s">
        <v>436</v>
      </c>
    </row>
    <row r="526" spans="1:10" x14ac:dyDescent="0.25">
      <c r="A526" s="82" t="s">
        <v>1347</v>
      </c>
      <c r="B526" s="82" t="s">
        <v>252</v>
      </c>
      <c r="C526" s="82" t="s">
        <v>636</v>
      </c>
      <c r="D526" s="83" t="s">
        <v>432</v>
      </c>
      <c r="E526" s="84" t="s">
        <v>870</v>
      </c>
      <c r="F526" s="84" t="s">
        <v>571</v>
      </c>
      <c r="G526" s="85" t="s">
        <v>435</v>
      </c>
      <c r="H526" s="85" t="s">
        <v>435</v>
      </c>
      <c r="I526" s="82" t="s">
        <v>429</v>
      </c>
      <c r="J526" s="86" t="s">
        <v>436</v>
      </c>
    </row>
    <row r="527" spans="1:10" x14ac:dyDescent="0.25">
      <c r="A527" s="82" t="s">
        <v>1348</v>
      </c>
      <c r="B527" s="82" t="s">
        <v>188</v>
      </c>
      <c r="C527" s="82" t="s">
        <v>636</v>
      </c>
      <c r="D527" s="83" t="s">
        <v>432</v>
      </c>
      <c r="E527" s="84" t="s">
        <v>557</v>
      </c>
      <c r="F527" s="84" t="s">
        <v>434</v>
      </c>
      <c r="G527" s="85" t="s">
        <v>435</v>
      </c>
      <c r="H527" s="85" t="s">
        <v>435</v>
      </c>
      <c r="I527" s="82" t="s">
        <v>429</v>
      </c>
      <c r="J527" s="86" t="s">
        <v>436</v>
      </c>
    </row>
    <row r="528" spans="1:10" x14ac:dyDescent="0.25">
      <c r="A528" s="82" t="s">
        <v>1349</v>
      </c>
      <c r="B528" s="82" t="s">
        <v>377</v>
      </c>
      <c r="C528" s="82" t="s">
        <v>636</v>
      </c>
      <c r="D528" s="83" t="s">
        <v>585</v>
      </c>
      <c r="E528" s="84" t="s">
        <v>557</v>
      </c>
      <c r="F528" s="84" t="s">
        <v>434</v>
      </c>
      <c r="G528" s="85" t="s">
        <v>435</v>
      </c>
      <c r="H528" s="85" t="s">
        <v>435</v>
      </c>
      <c r="I528" s="82" t="s">
        <v>429</v>
      </c>
      <c r="J528" s="86" t="s">
        <v>436</v>
      </c>
    </row>
    <row r="529" spans="1:10" x14ac:dyDescent="0.25">
      <c r="A529" s="82" t="s">
        <v>1350</v>
      </c>
      <c r="B529" s="82" t="s">
        <v>378</v>
      </c>
      <c r="C529" s="82" t="s">
        <v>636</v>
      </c>
      <c r="D529" s="83" t="s">
        <v>585</v>
      </c>
      <c r="E529" s="84" t="s">
        <v>571</v>
      </c>
      <c r="F529" s="84" t="s">
        <v>434</v>
      </c>
      <c r="G529" s="85" t="s">
        <v>435</v>
      </c>
      <c r="H529" s="85" t="s">
        <v>435</v>
      </c>
      <c r="I529" s="82" t="s">
        <v>429</v>
      </c>
      <c r="J529" s="86" t="s">
        <v>436</v>
      </c>
    </row>
    <row r="530" spans="1:10" x14ac:dyDescent="0.25">
      <c r="A530" s="82" t="s">
        <v>1351</v>
      </c>
      <c r="B530" s="82" t="s">
        <v>1352</v>
      </c>
      <c r="C530" s="82" t="s">
        <v>1170</v>
      </c>
      <c r="D530" s="83" t="s">
        <v>585</v>
      </c>
      <c r="E530" s="84" t="s">
        <v>571</v>
      </c>
      <c r="F530" s="84" t="s">
        <v>637</v>
      </c>
      <c r="G530" s="85" t="s">
        <v>435</v>
      </c>
      <c r="H530" s="85" t="s">
        <v>435</v>
      </c>
      <c r="I530" s="82" t="s">
        <v>429</v>
      </c>
      <c r="J530" s="86" t="s">
        <v>436</v>
      </c>
    </row>
    <row r="531" spans="1:10" x14ac:dyDescent="0.25">
      <c r="A531" s="82" t="s">
        <v>1353</v>
      </c>
      <c r="B531" s="82" t="s">
        <v>115</v>
      </c>
      <c r="C531" s="82" t="s">
        <v>1170</v>
      </c>
      <c r="D531" s="83" t="s">
        <v>585</v>
      </c>
      <c r="E531" s="84" t="s">
        <v>571</v>
      </c>
      <c r="F531" s="84" t="s">
        <v>434</v>
      </c>
      <c r="G531" s="85" t="s">
        <v>435</v>
      </c>
      <c r="H531" s="85" t="s">
        <v>435</v>
      </c>
      <c r="I531" s="82" t="s">
        <v>429</v>
      </c>
      <c r="J531" s="86" t="s">
        <v>436</v>
      </c>
    </row>
    <row r="532" spans="1:10" x14ac:dyDescent="0.25">
      <c r="A532" s="82" t="s">
        <v>1354</v>
      </c>
      <c r="B532" s="82" t="s">
        <v>1355</v>
      </c>
      <c r="C532" s="82" t="s">
        <v>1170</v>
      </c>
      <c r="D532" s="83" t="s">
        <v>585</v>
      </c>
      <c r="E532" s="84" t="s">
        <v>571</v>
      </c>
      <c r="F532" s="84" t="s">
        <v>637</v>
      </c>
      <c r="G532" s="85" t="s">
        <v>435</v>
      </c>
      <c r="H532" s="85" t="s">
        <v>435</v>
      </c>
      <c r="I532" s="82" t="s">
        <v>429</v>
      </c>
      <c r="J532" s="86" t="s">
        <v>436</v>
      </c>
    </row>
    <row r="533" spans="1:10" x14ac:dyDescent="0.25">
      <c r="A533" s="82" t="s">
        <v>1356</v>
      </c>
      <c r="B533" s="82" t="s">
        <v>1357</v>
      </c>
      <c r="C533" s="82" t="s">
        <v>584</v>
      </c>
      <c r="D533" s="83" t="s">
        <v>1358</v>
      </c>
      <c r="E533" s="84" t="s">
        <v>569</v>
      </c>
      <c r="F533" s="84" t="s">
        <v>434</v>
      </c>
      <c r="G533" s="85" t="s">
        <v>435</v>
      </c>
      <c r="H533" s="85" t="s">
        <v>435</v>
      </c>
      <c r="I533" s="82" t="s">
        <v>429</v>
      </c>
      <c r="J533" s="86" t="s">
        <v>436</v>
      </c>
    </row>
    <row r="534" spans="1:10" x14ac:dyDescent="0.25">
      <c r="A534" s="82" t="s">
        <v>1359</v>
      </c>
      <c r="B534" s="82" t="s">
        <v>1360</v>
      </c>
      <c r="C534" s="82" t="s">
        <v>584</v>
      </c>
      <c r="D534" s="83" t="s">
        <v>1358</v>
      </c>
      <c r="E534" s="84" t="s">
        <v>569</v>
      </c>
      <c r="F534" s="84" t="s">
        <v>434</v>
      </c>
      <c r="G534" s="85" t="s">
        <v>435</v>
      </c>
      <c r="H534" s="85" t="s">
        <v>435</v>
      </c>
      <c r="I534" s="82" t="s">
        <v>429</v>
      </c>
      <c r="J534" s="86" t="s">
        <v>436</v>
      </c>
    </row>
    <row r="535" spans="1:10" x14ac:dyDescent="0.25">
      <c r="A535" s="82" t="s">
        <v>1361</v>
      </c>
      <c r="B535" s="82" t="s">
        <v>1362</v>
      </c>
      <c r="C535" s="82" t="s">
        <v>584</v>
      </c>
      <c r="D535" s="83" t="s">
        <v>1358</v>
      </c>
      <c r="E535" s="84" t="s">
        <v>569</v>
      </c>
      <c r="F535" s="84" t="s">
        <v>434</v>
      </c>
      <c r="G535" s="85" t="s">
        <v>435</v>
      </c>
      <c r="H535" s="85" t="s">
        <v>435</v>
      </c>
      <c r="I535" s="82" t="s">
        <v>1363</v>
      </c>
      <c r="J535" s="86" t="s">
        <v>436</v>
      </c>
    </row>
    <row r="536" spans="1:10" x14ac:dyDescent="0.25">
      <c r="A536" s="82" t="s">
        <v>1364</v>
      </c>
      <c r="B536" s="82" t="s">
        <v>1365</v>
      </c>
      <c r="C536" s="82" t="s">
        <v>911</v>
      </c>
      <c r="D536" s="83" t="s">
        <v>1358</v>
      </c>
      <c r="E536" s="84" t="s">
        <v>569</v>
      </c>
      <c r="F536" s="84" t="s">
        <v>434</v>
      </c>
      <c r="G536" s="85" t="s">
        <v>435</v>
      </c>
      <c r="H536" s="85" t="s">
        <v>435</v>
      </c>
      <c r="I536" s="82" t="s">
        <v>429</v>
      </c>
      <c r="J536" s="86" t="s">
        <v>436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C88" sqref="C88:C242"/>
      <selection pane="topRight" activeCell="C88" sqref="C88:C242"/>
      <selection pane="bottomLeft" activeCell="C88" sqref="C88:C242"/>
      <selection pane="bottomRight" activeCell="B79" sqref="B79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4" t="s">
        <v>420</v>
      </c>
      <c r="B1" s="94" t="s">
        <v>421</v>
      </c>
      <c r="C1" s="94" t="s">
        <v>273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593</v>
      </c>
      <c r="B4" s="2" t="s">
        <v>300</v>
      </c>
    </row>
    <row r="5" spans="1:3" ht="24" x14ac:dyDescent="0.6">
      <c r="A5" s="1">
        <v>20055116</v>
      </c>
      <c r="B5" s="2" t="s">
        <v>416</v>
      </c>
    </row>
    <row r="6" spans="1:3" ht="24" x14ac:dyDescent="0.6">
      <c r="A6" s="1" t="s">
        <v>860</v>
      </c>
      <c r="B6" s="2" t="s">
        <v>417</v>
      </c>
    </row>
    <row r="7" spans="1:3" ht="24" x14ac:dyDescent="0.6">
      <c r="A7" s="1">
        <v>1124027</v>
      </c>
      <c r="B7" s="2" t="s">
        <v>307</v>
      </c>
    </row>
    <row r="8" spans="1:3" ht="24" x14ac:dyDescent="0.6">
      <c r="A8" s="1">
        <v>1124029</v>
      </c>
      <c r="B8" s="2" t="s">
        <v>308</v>
      </c>
    </row>
    <row r="9" spans="1:3" ht="24" x14ac:dyDescent="0.6">
      <c r="A9" s="1" t="s">
        <v>858</v>
      </c>
      <c r="B9" s="2" t="s">
        <v>415</v>
      </c>
    </row>
    <row r="10" spans="1:3" ht="24" x14ac:dyDescent="0.6">
      <c r="A10" s="1">
        <v>1200019</v>
      </c>
      <c r="B10" s="2" t="s">
        <v>342</v>
      </c>
    </row>
    <row r="11" spans="1:3" ht="24" x14ac:dyDescent="0.6">
      <c r="A11" s="1">
        <v>1200020</v>
      </c>
      <c r="B11" s="2" t="s">
        <v>343</v>
      </c>
    </row>
    <row r="12" spans="1:3" ht="24" x14ac:dyDescent="0.6">
      <c r="A12" s="1">
        <v>5002400</v>
      </c>
      <c r="B12" s="2" t="s">
        <v>348</v>
      </c>
    </row>
    <row r="13" spans="1:3" ht="24" x14ac:dyDescent="0.6">
      <c r="A13" s="1">
        <v>1113011</v>
      </c>
      <c r="B13" s="2" t="s">
        <v>349</v>
      </c>
    </row>
    <row r="14" spans="1:3" ht="24" x14ac:dyDescent="0.6">
      <c r="A14" s="1">
        <v>1113010</v>
      </c>
      <c r="B14" s="2" t="s">
        <v>351</v>
      </c>
    </row>
    <row r="15" spans="1:3" ht="24" x14ac:dyDescent="0.6">
      <c r="A15" s="1">
        <v>20054637</v>
      </c>
      <c r="B15" s="2" t="s">
        <v>352</v>
      </c>
    </row>
    <row r="16" spans="1:3" ht="24" x14ac:dyDescent="0.6">
      <c r="A16" s="1" t="s">
        <v>862</v>
      </c>
      <c r="B16" s="2" t="s">
        <v>353</v>
      </c>
    </row>
    <row r="17" spans="1:2" ht="24" x14ac:dyDescent="0.6">
      <c r="A17" s="1" t="s">
        <v>857</v>
      </c>
      <c r="B17" s="2" t="s">
        <v>371</v>
      </c>
    </row>
    <row r="18" spans="1:2" ht="24" x14ac:dyDescent="0.6">
      <c r="A18" s="1" t="s">
        <v>610</v>
      </c>
      <c r="B18" s="2" t="s">
        <v>414</v>
      </c>
    </row>
    <row r="19" spans="1:2" ht="24" x14ac:dyDescent="0.6">
      <c r="A19" s="1" t="s">
        <v>558</v>
      </c>
      <c r="B19" s="2" t="s">
        <v>309</v>
      </c>
    </row>
    <row r="20" spans="1:2" ht="24" x14ac:dyDescent="0.6">
      <c r="A20" s="1" t="s">
        <v>640</v>
      </c>
      <c r="B20" s="2" t="s">
        <v>418</v>
      </c>
    </row>
    <row r="21" spans="1:2" ht="24" x14ac:dyDescent="0.6">
      <c r="A21" s="1">
        <v>1113157</v>
      </c>
      <c r="B21" s="2" t="s">
        <v>355</v>
      </c>
    </row>
    <row r="22" spans="1:2" ht="24" x14ac:dyDescent="0.6">
      <c r="A22" s="1" t="s">
        <v>599</v>
      </c>
      <c r="B22" s="2" t="s">
        <v>356</v>
      </c>
    </row>
    <row r="23" spans="1:2" ht="24" x14ac:dyDescent="0.6">
      <c r="A23" s="1" t="s">
        <v>600</v>
      </c>
      <c r="B23" s="2" t="s">
        <v>357</v>
      </c>
    </row>
    <row r="24" spans="1:2" ht="24" x14ac:dyDescent="0.6">
      <c r="A24" s="1">
        <v>20053053</v>
      </c>
      <c r="B24" s="2" t="s">
        <v>358</v>
      </c>
    </row>
    <row r="25" spans="1:2" ht="24" x14ac:dyDescent="0.6">
      <c r="A25" s="1" t="s">
        <v>861</v>
      </c>
      <c r="B25" s="2" t="s">
        <v>359</v>
      </c>
    </row>
    <row r="26" spans="1:2" ht="24" x14ac:dyDescent="0.6">
      <c r="A26" s="1">
        <v>1113004</v>
      </c>
      <c r="B26" s="2" t="s">
        <v>362</v>
      </c>
    </row>
    <row r="27" spans="1:2" ht="24" x14ac:dyDescent="0.6">
      <c r="A27" s="1">
        <v>1111410</v>
      </c>
      <c r="B27" s="2" t="s">
        <v>364</v>
      </c>
    </row>
    <row r="28" spans="1:2" ht="24" x14ac:dyDescent="0.6">
      <c r="A28" s="1">
        <v>1111406</v>
      </c>
      <c r="B28" s="2" t="s">
        <v>363</v>
      </c>
    </row>
    <row r="29" spans="1:2" ht="24" x14ac:dyDescent="0.6">
      <c r="A29" s="1">
        <v>1111410</v>
      </c>
      <c r="B29" s="2" t="s">
        <v>365</v>
      </c>
    </row>
    <row r="30" spans="1:2" ht="24" x14ac:dyDescent="0.6">
      <c r="A30" s="1" t="s">
        <v>594</v>
      </c>
      <c r="B30" s="2" t="s">
        <v>366</v>
      </c>
    </row>
    <row r="31" spans="1:2" ht="24" x14ac:dyDescent="0.6">
      <c r="A31" s="1">
        <v>1200003</v>
      </c>
      <c r="B31" s="2" t="s">
        <v>247</v>
      </c>
    </row>
    <row r="32" spans="1:2" ht="24" x14ac:dyDescent="0.6">
      <c r="A32" s="1">
        <v>1200002</v>
      </c>
      <c r="B32" s="2" t="s">
        <v>248</v>
      </c>
    </row>
    <row r="33" spans="1:2" ht="24" x14ac:dyDescent="0.6">
      <c r="A33" s="1">
        <v>1200001</v>
      </c>
      <c r="B33" s="2" t="s">
        <v>368</v>
      </c>
    </row>
    <row r="34" spans="1:2" ht="24" x14ac:dyDescent="0.6">
      <c r="A34" s="1">
        <v>1006002</v>
      </c>
      <c r="B34" s="2" t="s">
        <v>1084</v>
      </c>
    </row>
    <row r="35" spans="1:2" ht="24" x14ac:dyDescent="0.6">
      <c r="A35" s="1" t="s">
        <v>883</v>
      </c>
      <c r="B35" s="2" t="s">
        <v>376</v>
      </c>
    </row>
    <row r="36" spans="1:2" ht="24" x14ac:dyDescent="0.6">
      <c r="A36" s="1" t="s">
        <v>607</v>
      </c>
      <c r="B36" s="2" t="s">
        <v>379</v>
      </c>
    </row>
    <row r="37" spans="1:2" ht="24" x14ac:dyDescent="0.6">
      <c r="A37" s="1" t="s">
        <v>609</v>
      </c>
      <c r="B37" s="2" t="s">
        <v>380</v>
      </c>
    </row>
    <row r="38" spans="1:2" ht="24" x14ac:dyDescent="0.6">
      <c r="A38" s="1">
        <v>1113084</v>
      </c>
      <c r="B38" s="2" t="s">
        <v>383</v>
      </c>
    </row>
    <row r="39" spans="1:2" ht="24" x14ac:dyDescent="0.6">
      <c r="A39" s="1">
        <v>1124002</v>
      </c>
      <c r="B39" s="2" t="s">
        <v>384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629</v>
      </c>
      <c r="B41" s="2" t="s">
        <v>388</v>
      </c>
    </row>
    <row r="42" spans="1:2" ht="24" x14ac:dyDescent="0.6">
      <c r="A42" s="1" t="s">
        <v>628</v>
      </c>
      <c r="B42" s="2" t="s">
        <v>387</v>
      </c>
    </row>
    <row r="43" spans="1:2" ht="24" x14ac:dyDescent="0.6">
      <c r="A43" s="1">
        <v>1115298</v>
      </c>
      <c r="B43" s="2" t="s">
        <v>250</v>
      </c>
    </row>
    <row r="44" spans="1:2" ht="24" x14ac:dyDescent="0.6">
      <c r="A44" s="1">
        <v>1113111</v>
      </c>
      <c r="B44" s="2" t="s">
        <v>1091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615</v>
      </c>
      <c r="B46" s="2" t="s">
        <v>281</v>
      </c>
    </row>
    <row r="47" spans="1:2" ht="24" x14ac:dyDescent="0.6">
      <c r="A47" s="1" t="s">
        <v>622</v>
      </c>
      <c r="B47" s="2" t="s">
        <v>396</v>
      </c>
    </row>
    <row r="48" spans="1:2" ht="24" x14ac:dyDescent="0.6">
      <c r="A48" s="1" t="s">
        <v>620</v>
      </c>
      <c r="B48" s="2" t="s">
        <v>397</v>
      </c>
    </row>
    <row r="49" spans="1:2" ht="24" x14ac:dyDescent="0.6">
      <c r="A49" s="1" t="s">
        <v>621</v>
      </c>
      <c r="B49" s="2" t="s">
        <v>399</v>
      </c>
    </row>
    <row r="50" spans="1:2" ht="24" x14ac:dyDescent="0.6">
      <c r="A50" s="1" t="s">
        <v>619</v>
      </c>
      <c r="B50" s="2" t="s">
        <v>398</v>
      </c>
    </row>
    <row r="51" spans="1:2" ht="24" x14ac:dyDescent="0.6">
      <c r="A51" s="1">
        <v>1114021</v>
      </c>
      <c r="B51" s="2" t="s">
        <v>314</v>
      </c>
    </row>
    <row r="52" spans="1:2" ht="24" x14ac:dyDescent="0.6">
      <c r="A52" s="1" t="s">
        <v>641</v>
      </c>
      <c r="B52" s="2" t="s">
        <v>400</v>
      </c>
    </row>
    <row r="53" spans="1:2" ht="24" x14ac:dyDescent="0.6">
      <c r="A53" s="1" t="s">
        <v>856</v>
      </c>
      <c r="B53" s="2" t="s">
        <v>401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603</v>
      </c>
      <c r="B55" s="2" t="s">
        <v>246</v>
      </c>
    </row>
    <row r="56" spans="1:2" ht="24" x14ac:dyDescent="0.6">
      <c r="A56" s="1">
        <v>1200086</v>
      </c>
      <c r="B56" s="2" t="s">
        <v>402</v>
      </c>
    </row>
    <row r="57" spans="1:2" ht="24" x14ac:dyDescent="0.6">
      <c r="A57" s="1" t="s">
        <v>891</v>
      </c>
      <c r="B57" s="2" t="s">
        <v>237</v>
      </c>
    </row>
    <row r="58" spans="1:2" ht="24" x14ac:dyDescent="0.6">
      <c r="A58" s="1">
        <v>1113108</v>
      </c>
      <c r="B58" s="2" t="s">
        <v>1089</v>
      </c>
    </row>
    <row r="59" spans="1:2" ht="24" x14ac:dyDescent="0.6">
      <c r="A59" s="1">
        <v>1005761</v>
      </c>
      <c r="B59" s="2" t="s">
        <v>245</v>
      </c>
    </row>
    <row r="60" spans="1:2" ht="24" x14ac:dyDescent="0.6">
      <c r="A60" s="1" t="s">
        <v>603</v>
      </c>
      <c r="B60" s="2" t="s">
        <v>246</v>
      </c>
    </row>
    <row r="61" spans="1:2" ht="24" x14ac:dyDescent="0.6">
      <c r="A61" s="1" t="s">
        <v>588</v>
      </c>
      <c r="B61" s="2" t="s">
        <v>419</v>
      </c>
    </row>
    <row r="62" spans="1:2" ht="24" x14ac:dyDescent="0.6">
      <c r="A62" s="1">
        <v>1120003</v>
      </c>
      <c r="B62" s="2" t="s">
        <v>404</v>
      </c>
    </row>
    <row r="63" spans="1:2" ht="24" x14ac:dyDescent="0.6">
      <c r="A63" s="1">
        <v>1124023</v>
      </c>
      <c r="B63" s="2" t="s">
        <v>405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1169</v>
      </c>
    </row>
    <row r="67" spans="1:2" ht="24" x14ac:dyDescent="0.6">
      <c r="A67" s="1">
        <v>1113141</v>
      </c>
      <c r="B67" s="2" t="s">
        <v>1172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542</v>
      </c>
      <c r="B72" s="2" t="s">
        <v>543</v>
      </c>
    </row>
    <row r="73" spans="1:2" ht="24" x14ac:dyDescent="0.6">
      <c r="A73" s="1" t="s">
        <v>852</v>
      </c>
      <c r="B73" s="2" t="s">
        <v>412</v>
      </c>
    </row>
    <row r="74" spans="1:2" ht="24" x14ac:dyDescent="0.6">
      <c r="A74" s="1"/>
      <c r="B74" s="2" t="s">
        <v>257</v>
      </c>
    </row>
    <row r="75" spans="1:2" ht="24" x14ac:dyDescent="0.6">
      <c r="A75" s="1"/>
      <c r="B75" s="2" t="s">
        <v>318</v>
      </c>
    </row>
    <row r="76" spans="1:2" ht="24" x14ac:dyDescent="0.6">
      <c r="A76" s="1"/>
      <c r="B76" s="2" t="s">
        <v>282</v>
      </c>
    </row>
    <row r="77" spans="1:2" ht="24" x14ac:dyDescent="0.6">
      <c r="A77" s="1"/>
      <c r="B77" s="2" t="s">
        <v>283</v>
      </c>
    </row>
    <row r="78" spans="1:2" ht="24" x14ac:dyDescent="0.6">
      <c r="A78" s="1"/>
      <c r="B78" s="2" t="s">
        <v>258</v>
      </c>
    </row>
    <row r="79" spans="1:2" ht="24" x14ac:dyDescent="0.6">
      <c r="A79" s="1"/>
      <c r="B79" s="2" t="s">
        <v>284</v>
      </c>
    </row>
    <row r="80" spans="1:2" ht="24" x14ac:dyDescent="0.6">
      <c r="A80" s="1"/>
      <c r="B80" s="2" t="s">
        <v>259</v>
      </c>
    </row>
    <row r="81" spans="1:2" ht="24" x14ac:dyDescent="0.6">
      <c r="A81" s="1" t="s">
        <v>853</v>
      </c>
      <c r="B81" s="2" t="s">
        <v>854</v>
      </c>
    </row>
    <row r="82" spans="1:2" ht="24" x14ac:dyDescent="0.6">
      <c r="A82" s="1">
        <v>1100011</v>
      </c>
      <c r="B82" s="2" t="s">
        <v>275</v>
      </c>
    </row>
    <row r="83" spans="1:2" ht="24" x14ac:dyDescent="0.6">
      <c r="A83" s="1">
        <v>1100012</v>
      </c>
      <c r="B83" s="2" t="s">
        <v>276</v>
      </c>
    </row>
    <row r="84" spans="1:2" ht="24" x14ac:dyDescent="0.6">
      <c r="A84" s="1">
        <v>1100013</v>
      </c>
      <c r="B84" s="2" t="s">
        <v>277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Normal="100" workbookViewId="0">
      <pane xSplit="10" ySplit="4" topLeftCell="K64" activePane="bottomRight" state="frozen"/>
      <selection activeCell="L247" sqref="L247"/>
      <selection pane="topRight" activeCell="L247" sqref="L247"/>
      <selection pane="bottomLeft" activeCell="L247" sqref="L247"/>
      <selection pane="bottomRight" activeCell="I12" sqref="I12:K15"/>
    </sheetView>
  </sheetViews>
  <sheetFormatPr defaultColWidth="9" defaultRowHeight="24.6" x14ac:dyDescent="0.65"/>
  <cols>
    <col min="1" max="1" width="8.09765625" style="2" customWidth="1"/>
    <col min="2" max="2" width="16.796875" style="1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398437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1.19921875" style="2" bestFit="1" customWidth="1"/>
    <col min="30" max="30" width="13.19921875" style="2" bestFit="1" customWidth="1"/>
    <col min="31" max="16384" width="9" style="2"/>
  </cols>
  <sheetData>
    <row r="1" spans="1:29" x14ac:dyDescent="0.65">
      <c r="A1" s="1"/>
    </row>
    <row r="2" spans="1:29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93"/>
      <c r="P2" s="68"/>
      <c r="Q2" s="215" t="s">
        <v>1424</v>
      </c>
      <c r="R2" s="215"/>
      <c r="S2" s="215"/>
      <c r="T2" s="215"/>
      <c r="U2" s="215"/>
      <c r="V2" s="215"/>
      <c r="W2" s="215"/>
      <c r="X2" s="215"/>
      <c r="Y2" s="215"/>
      <c r="Z2" s="215"/>
      <c r="AA2" s="95"/>
      <c r="AB2" s="95"/>
    </row>
    <row r="3" spans="1:29" s="5" customFormat="1" ht="24.6" customHeight="1" x14ac:dyDescent="0.7">
      <c r="A3" s="179" t="s">
        <v>1</v>
      </c>
      <c r="B3" s="179" t="s">
        <v>1366</v>
      </c>
      <c r="C3" s="179" t="s">
        <v>2</v>
      </c>
      <c r="D3" s="179" t="s">
        <v>1367</v>
      </c>
      <c r="E3" s="179" t="s">
        <v>3</v>
      </c>
      <c r="F3" s="179" t="s">
        <v>4</v>
      </c>
      <c r="G3" s="179" t="s">
        <v>5</v>
      </c>
      <c r="H3" s="77" t="s">
        <v>6</v>
      </c>
      <c r="I3" s="216" t="s">
        <v>272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273</v>
      </c>
      <c r="P3" s="183" t="s">
        <v>274</v>
      </c>
      <c r="Q3" s="220" t="s">
        <v>214</v>
      </c>
      <c r="R3" s="220" t="s">
        <v>215</v>
      </c>
      <c r="S3" s="220" t="s">
        <v>10</v>
      </c>
      <c r="T3" s="220" t="s">
        <v>216</v>
      </c>
      <c r="U3" s="220" t="s">
        <v>217</v>
      </c>
      <c r="V3" s="218" t="s">
        <v>218</v>
      </c>
      <c r="W3" s="218" t="s">
        <v>219</v>
      </c>
      <c r="X3" s="218" t="s">
        <v>220</v>
      </c>
      <c r="Y3" s="220" t="s">
        <v>1430</v>
      </c>
      <c r="Z3" s="221" t="s">
        <v>221</v>
      </c>
      <c r="AA3" s="176" t="s">
        <v>1370</v>
      </c>
      <c r="AB3" s="177" t="s">
        <v>1371</v>
      </c>
    </row>
    <row r="4" spans="1:29" s="5" customFormat="1" ht="24.6" customHeight="1" x14ac:dyDescent="0.7">
      <c r="A4" s="179"/>
      <c r="B4" s="179"/>
      <c r="C4" s="179"/>
      <c r="D4" s="179"/>
      <c r="E4" s="179"/>
      <c r="F4" s="179"/>
      <c r="G4" s="179"/>
      <c r="H4" s="77" t="s">
        <v>11</v>
      </c>
      <c r="I4" s="217"/>
      <c r="J4" s="179"/>
      <c r="K4" s="63" t="s">
        <v>12</v>
      </c>
      <c r="L4" s="42" t="s">
        <v>13</v>
      </c>
      <c r="M4" s="63" t="s">
        <v>14</v>
      </c>
      <c r="N4" s="179"/>
      <c r="O4" s="182"/>
      <c r="P4" s="184"/>
      <c r="Q4" s="220"/>
      <c r="R4" s="220"/>
      <c r="S4" s="220"/>
      <c r="T4" s="220"/>
      <c r="U4" s="220"/>
      <c r="V4" s="219"/>
      <c r="W4" s="219"/>
      <c r="X4" s="219"/>
      <c r="Y4" s="220"/>
      <c r="Z4" s="222"/>
      <c r="AA4" s="176"/>
      <c r="AB4" s="178"/>
    </row>
    <row r="5" spans="1:29" x14ac:dyDescent="0.65">
      <c r="A5" s="10">
        <v>1</v>
      </c>
      <c r="B5" s="10" t="s">
        <v>1063</v>
      </c>
      <c r="C5" s="19" t="s">
        <v>1064</v>
      </c>
      <c r="D5" s="10" t="s">
        <v>432</v>
      </c>
      <c r="E5" s="46">
        <f>+ยกมา!J5</f>
        <v>0</v>
      </c>
      <c r="F5" s="44">
        <f>+'30'!F5+'1'!F5+'2'!F5+'3'!F5+'4'!F5+'5'!F5+'6'!F5+'7'!F5+'8'!F5+'9'!F5+'10'!F5</f>
        <v>148</v>
      </c>
      <c r="G5" s="43">
        <f t="shared" ref="G5" si="0">+E5+F5</f>
        <v>148</v>
      </c>
      <c r="H5" s="78">
        <f>+'30'!H5+'1'!H5+'2'!H5+'3'!H5+'4'!H5+'5'!H5+'6'!H5+'7'!H5+'8'!H5+'9'!H5+'10'!H5</f>
        <v>0</v>
      </c>
      <c r="I5" s="76">
        <f>+'30'!I5+'1'!I5+'2'!I5+'3'!I5+'4'!I5+'5'!I5+'6'!I5+'7'!I5+'8'!I5+'9'!I5+'10'!I5</f>
        <v>0</v>
      </c>
      <c r="J5" s="43">
        <f>E5+F5-H5-K5-I5</f>
        <v>0</v>
      </c>
      <c r="K5" s="44">
        <f>+'30'!K5+'1'!K5+'2'!K5+'3'!K5+'4'!K5+'5'!K5+'6'!K5+'7'!K5+'8'!K5+'9'!K5+'10'!K5</f>
        <v>148</v>
      </c>
      <c r="L5" s="20">
        <v>50</v>
      </c>
      <c r="M5" s="44">
        <f>+'30'!M5+'1'!M5+'2'!M5+'3'!M5+'4'!M5+'5'!M5+'6'!M5+'7'!M5+'8'!M5+'9'!M5+'10'!M5</f>
        <v>7400</v>
      </c>
      <c r="N5" s="19"/>
      <c r="O5" s="90">
        <v>22.48</v>
      </c>
      <c r="P5" s="79">
        <f>+K5*O5</f>
        <v>3327.04</v>
      </c>
      <c r="Q5" s="45">
        <v>30</v>
      </c>
      <c r="R5" s="46">
        <f>+'30'!N262</f>
        <v>5650</v>
      </c>
      <c r="S5" s="46">
        <f>+'30'!N267</f>
        <v>0</v>
      </c>
      <c r="T5" s="46">
        <f>+'30'!N265</f>
        <v>0</v>
      </c>
      <c r="U5" s="67">
        <f>+'30'!N263</f>
        <v>0</v>
      </c>
      <c r="V5" s="46">
        <f>+'30'!N266</f>
        <v>0</v>
      </c>
      <c r="W5" s="46">
        <f>+'30'!N264</f>
        <v>2295</v>
      </c>
      <c r="X5" s="46">
        <f>+R5-S5-T5-U5-V5-W5</f>
        <v>3355</v>
      </c>
      <c r="Y5" s="46">
        <f>+'30'!N269</f>
        <v>3345</v>
      </c>
      <c r="Z5" s="47">
        <f>+Y5-X5</f>
        <v>-10</v>
      </c>
      <c r="AA5" s="98" t="s">
        <v>1377</v>
      </c>
      <c r="AB5" s="47">
        <f>+W5+Y5</f>
        <v>5640</v>
      </c>
      <c r="AC5" s="58">
        <f>+W5+Y5+Z5</f>
        <v>5630</v>
      </c>
    </row>
    <row r="6" spans="1:29" x14ac:dyDescent="0.65">
      <c r="A6" s="10">
        <v>2</v>
      </c>
      <c r="B6" s="10" t="s">
        <v>1061</v>
      </c>
      <c r="C6" s="19" t="s">
        <v>1062</v>
      </c>
      <c r="D6" s="10" t="s">
        <v>432</v>
      </c>
      <c r="E6" s="46">
        <f>+ยกมา!J6</f>
        <v>0</v>
      </c>
      <c r="F6" s="44">
        <f>+'30'!F6+'1'!F6+'2'!F6+'3'!F6+'4'!F6+'5'!F6+'6'!F6+'7'!F6+'8'!F6+'9'!F6+'10'!F6</f>
        <v>500</v>
      </c>
      <c r="G6" s="43">
        <f t="shared" ref="G6:G69" si="1">+E6+F6</f>
        <v>500</v>
      </c>
      <c r="H6" s="78">
        <f>+'30'!H6+'1'!H6+'2'!H6+'3'!H6+'4'!H6+'5'!H6+'6'!H6+'7'!H6+'8'!H6+'9'!H6+'10'!H6</f>
        <v>0</v>
      </c>
      <c r="I6" s="76">
        <f>+'30'!I6+'1'!I6+'2'!I6+'3'!I6+'4'!I6+'5'!I6+'6'!I6+'7'!I6+'8'!I6+'9'!I6+'10'!I6</f>
        <v>62</v>
      </c>
      <c r="J6" s="43">
        <f t="shared" ref="J6:J27" si="2">E6+F6-H6-K6-I6</f>
        <v>67</v>
      </c>
      <c r="K6" s="44">
        <f>+'30'!K6+'1'!K6+'2'!K6+'3'!K6+'4'!K6+'5'!K6+'6'!K6+'7'!K6+'8'!K6+'9'!K6+'10'!K6</f>
        <v>371</v>
      </c>
      <c r="L6" s="20">
        <v>100</v>
      </c>
      <c r="M6" s="44">
        <f>+'30'!M6+'1'!M6+'2'!M6+'3'!M6+'4'!M6+'5'!M6+'6'!M6+'7'!M6+'8'!M6+'9'!M6+'10'!M6</f>
        <v>37100</v>
      </c>
      <c r="N6" s="19"/>
      <c r="O6" s="90">
        <v>39.29</v>
      </c>
      <c r="P6" s="79">
        <f t="shared" ref="P6:P70" si="3">+K6*O6</f>
        <v>14576.59</v>
      </c>
      <c r="Q6" s="45">
        <v>1</v>
      </c>
      <c r="R6" s="46">
        <f>+'1'!N262</f>
        <v>20215</v>
      </c>
      <c r="S6" s="46">
        <f>+'1'!N267</f>
        <v>265</v>
      </c>
      <c r="T6" s="46">
        <f>+'1'!N265</f>
        <v>0</v>
      </c>
      <c r="U6" s="67">
        <f>+'1'!N263</f>
        <v>0</v>
      </c>
      <c r="V6" s="46">
        <f>+'1'!N266</f>
        <v>0</v>
      </c>
      <c r="W6" s="46">
        <f>+'1'!N264</f>
        <v>6175</v>
      </c>
      <c r="X6" s="46">
        <f>+R6-S6-T6-U6-V6-W6</f>
        <v>13775</v>
      </c>
      <c r="Y6" s="46">
        <f>+'1'!N269</f>
        <v>13795</v>
      </c>
      <c r="Z6" s="47">
        <f t="shared" ref="Z6:Z15" si="4">+Y6-X6</f>
        <v>20</v>
      </c>
      <c r="AA6" s="47" t="s">
        <v>1378</v>
      </c>
      <c r="AB6" s="47">
        <f t="shared" ref="AB6:AB15" si="5">+W6+Y6</f>
        <v>19970</v>
      </c>
      <c r="AC6" s="58">
        <f t="shared" ref="AC6:AC15" si="6">+W6+Y6+Z6</f>
        <v>19990</v>
      </c>
    </row>
    <row r="7" spans="1:29" x14ac:dyDescent="0.65">
      <c r="A7" s="10">
        <v>3</v>
      </c>
      <c r="B7" s="10" t="s">
        <v>1319</v>
      </c>
      <c r="C7" s="19" t="s">
        <v>299</v>
      </c>
      <c r="D7" s="10" t="s">
        <v>564</v>
      </c>
      <c r="E7" s="46">
        <f>+ยกมา!J7</f>
        <v>0</v>
      </c>
      <c r="F7" s="44">
        <f>+'30'!F7+'1'!F7+'2'!F7+'3'!F7+'4'!F7+'5'!F7+'6'!F7+'7'!F7+'8'!F7+'9'!F7+'10'!F7</f>
        <v>0</v>
      </c>
      <c r="G7" s="43">
        <f t="shared" si="1"/>
        <v>0</v>
      </c>
      <c r="H7" s="78">
        <f>+'30'!H7+'1'!H7+'2'!H7+'3'!H7+'4'!H7+'5'!H7+'6'!H7+'7'!H7+'8'!H7+'9'!H7+'10'!H7</f>
        <v>0</v>
      </c>
      <c r="I7" s="76">
        <f>+'30'!I7+'1'!I7+'2'!I7+'3'!I7+'4'!I7+'5'!I7+'6'!I7+'7'!I7+'8'!I7+'9'!I7+'10'!I7</f>
        <v>0</v>
      </c>
      <c r="J7" s="43">
        <f t="shared" si="2"/>
        <v>0</v>
      </c>
      <c r="K7" s="44">
        <f>+'30'!K7+'1'!K7+'2'!K7+'3'!K7+'4'!K7+'5'!K7+'6'!K7+'7'!K7+'8'!K7+'9'!K7+'10'!K7</f>
        <v>0</v>
      </c>
      <c r="L7" s="20">
        <v>50</v>
      </c>
      <c r="M7" s="44">
        <f>+'30'!M7+'1'!M7+'2'!M7+'3'!M7+'4'!M7+'5'!M7+'6'!M7+'7'!M7+'8'!M7+'9'!M7+'10'!M7</f>
        <v>0</v>
      </c>
      <c r="N7" s="19"/>
      <c r="O7" s="90">
        <v>26.11</v>
      </c>
      <c r="P7" s="79">
        <f t="shared" si="3"/>
        <v>0</v>
      </c>
      <c r="Q7" s="45">
        <v>2</v>
      </c>
      <c r="R7" s="46">
        <f>+'2'!N262</f>
        <v>14793</v>
      </c>
      <c r="S7" s="46">
        <f>+'2'!N267</f>
        <v>378</v>
      </c>
      <c r="T7" s="46">
        <f>+'2'!N265</f>
        <v>0</v>
      </c>
      <c r="U7" s="46">
        <f>+'2'!N263</f>
        <v>0</v>
      </c>
      <c r="V7" s="46">
        <f>+'2'!N266</f>
        <v>0</v>
      </c>
      <c r="W7" s="46">
        <f>+'2'!N264</f>
        <v>4370</v>
      </c>
      <c r="X7" s="46">
        <f>+R7-S7-T7-U7-V7-W7</f>
        <v>10045</v>
      </c>
      <c r="Y7" s="46">
        <f>+'2'!N269</f>
        <v>10025</v>
      </c>
      <c r="Z7" s="47">
        <f>+Y7-X7</f>
        <v>-20</v>
      </c>
      <c r="AA7" s="47" t="s">
        <v>1372</v>
      </c>
      <c r="AB7" s="47">
        <f>+W7+Y7</f>
        <v>14395</v>
      </c>
      <c r="AC7" s="58">
        <f t="shared" si="6"/>
        <v>14375</v>
      </c>
    </row>
    <row r="8" spans="1:29" x14ac:dyDescent="0.65">
      <c r="A8" s="10">
        <v>4</v>
      </c>
      <c r="B8" s="10" t="s">
        <v>1316</v>
      </c>
      <c r="C8" s="19" t="s">
        <v>298</v>
      </c>
      <c r="D8" s="10" t="s">
        <v>432</v>
      </c>
      <c r="E8" s="46">
        <f>+ยกมา!J8</f>
        <v>0</v>
      </c>
      <c r="F8" s="44">
        <f>+'30'!F8+'1'!F8+'2'!F8+'3'!F8+'4'!F8+'5'!F8+'6'!F8+'7'!F8+'8'!F8+'9'!F8+'10'!F8</f>
        <v>0</v>
      </c>
      <c r="G8" s="43">
        <f t="shared" si="1"/>
        <v>0</v>
      </c>
      <c r="H8" s="78">
        <f>+'30'!H8+'1'!H8+'2'!H8+'3'!H8+'4'!H8+'5'!H8+'6'!H8+'7'!H8+'8'!H8+'9'!H8+'10'!H8</f>
        <v>0</v>
      </c>
      <c r="I8" s="76">
        <f>+'30'!I8+'1'!I8+'2'!I8+'3'!I8+'4'!I8+'5'!I8+'6'!I8+'7'!I8+'8'!I8+'9'!I8+'10'!I8</f>
        <v>0</v>
      </c>
      <c r="J8" s="43">
        <f>E8+F8-H8-K8-I8</f>
        <v>0</v>
      </c>
      <c r="K8" s="44">
        <f>+'30'!K8+'1'!K8+'2'!K8+'3'!K8+'4'!K8+'5'!K8+'6'!K8+'7'!K8+'8'!K8+'9'!K8+'10'!K8</f>
        <v>0</v>
      </c>
      <c r="L8" s="20">
        <v>100</v>
      </c>
      <c r="M8" s="44">
        <f>+'30'!M8+'1'!M8+'2'!M8+'3'!M8+'4'!M8+'5'!M8+'6'!M8+'7'!M8+'8'!M8+'9'!M8+'10'!M8</f>
        <v>0</v>
      </c>
      <c r="N8" s="19"/>
      <c r="O8" s="90">
        <v>33.89</v>
      </c>
      <c r="P8" s="79">
        <f t="shared" si="3"/>
        <v>0</v>
      </c>
      <c r="Q8" s="45">
        <v>3</v>
      </c>
      <c r="R8" s="46">
        <f>+'3'!N262</f>
        <v>16346</v>
      </c>
      <c r="S8" s="46">
        <f>+'3'!N267</f>
        <v>2071</v>
      </c>
      <c r="T8" s="46">
        <f>+'3'!N265</f>
        <v>0</v>
      </c>
      <c r="U8" s="46">
        <f>+'3'!N263</f>
        <v>0</v>
      </c>
      <c r="V8" s="46">
        <f>+'3'!N266</f>
        <v>0</v>
      </c>
      <c r="W8" s="46">
        <f>+'3'!N264</f>
        <v>5335</v>
      </c>
      <c r="X8" s="46">
        <f t="shared" ref="X8" si="7">+R8-S8-T8-U8-V8-W8</f>
        <v>8940</v>
      </c>
      <c r="Y8" s="46">
        <f>+'3'!N269</f>
        <v>8945</v>
      </c>
      <c r="Z8" s="47">
        <f t="shared" si="4"/>
        <v>5</v>
      </c>
      <c r="AA8" s="47" t="s">
        <v>1373</v>
      </c>
      <c r="AB8" s="47">
        <f t="shared" si="5"/>
        <v>14280</v>
      </c>
      <c r="AC8" s="58">
        <f t="shared" si="6"/>
        <v>14285</v>
      </c>
    </row>
    <row r="9" spans="1:29" x14ac:dyDescent="0.65">
      <c r="A9" s="10">
        <v>5</v>
      </c>
      <c r="B9" s="10" t="s">
        <v>1143</v>
      </c>
      <c r="C9" s="19" t="s">
        <v>20</v>
      </c>
      <c r="D9" s="10" t="s">
        <v>564</v>
      </c>
      <c r="E9" s="46">
        <f>+ยกมา!J9</f>
        <v>0</v>
      </c>
      <c r="F9" s="44">
        <f>+'30'!F9+'1'!F9+'2'!F9+'3'!F9+'4'!F9+'5'!F9+'6'!F9+'7'!F9+'8'!F9+'9'!F9+'10'!F9</f>
        <v>250</v>
      </c>
      <c r="G9" s="43">
        <f t="shared" si="1"/>
        <v>250</v>
      </c>
      <c r="H9" s="78">
        <f>+'30'!H9+'1'!H9+'2'!H9+'3'!H9+'4'!H9+'5'!H9+'6'!H9+'7'!H9+'8'!H9+'9'!H9+'10'!H9</f>
        <v>0</v>
      </c>
      <c r="I9" s="76">
        <f>+'30'!I9+'1'!I9+'2'!I9+'3'!I9+'4'!I9+'5'!I9+'6'!I9+'7'!I9+'8'!I9+'9'!I9+'10'!I9</f>
        <v>0</v>
      </c>
      <c r="J9" s="43">
        <f t="shared" si="2"/>
        <v>0</v>
      </c>
      <c r="K9" s="44">
        <f>+'30'!K9+'1'!K9+'2'!K9+'3'!K9+'4'!K9+'5'!K9+'6'!K9+'7'!K9+'8'!K9+'9'!K9+'10'!K9</f>
        <v>250</v>
      </c>
      <c r="L9" s="20">
        <v>10</v>
      </c>
      <c r="M9" s="44">
        <f>+'30'!M9+'1'!M9+'2'!M9+'3'!M9+'4'!M9+'5'!M9+'6'!M9+'7'!M9+'8'!M9+'9'!M9+'10'!M9</f>
        <v>2500</v>
      </c>
      <c r="N9" s="19"/>
      <c r="O9" s="90">
        <v>4.5</v>
      </c>
      <c r="P9" s="79">
        <f t="shared" si="3"/>
        <v>1125</v>
      </c>
      <c r="Q9" s="45">
        <v>4</v>
      </c>
      <c r="R9" s="46">
        <f>+'4'!N262</f>
        <v>23944</v>
      </c>
      <c r="S9" s="46">
        <f>+'4'!N267</f>
        <v>2829</v>
      </c>
      <c r="T9" s="46">
        <f>+'4'!N265</f>
        <v>0</v>
      </c>
      <c r="U9" s="46">
        <f>+'4'!N263</f>
        <v>0</v>
      </c>
      <c r="V9" s="46">
        <f>+'4'!N266</f>
        <v>0</v>
      </c>
      <c r="W9" s="46">
        <f>+'4'!N264</f>
        <v>7015</v>
      </c>
      <c r="X9" s="46">
        <f t="shared" ref="X9:X15" si="8">+R9-S9-T9-U9-V9-W9</f>
        <v>14100</v>
      </c>
      <c r="Y9" s="46">
        <f>+'4'!N269</f>
        <v>13390</v>
      </c>
      <c r="Z9" s="47">
        <f t="shared" si="4"/>
        <v>-710</v>
      </c>
      <c r="AA9" s="47" t="s">
        <v>1374</v>
      </c>
      <c r="AB9" s="47">
        <f t="shared" si="5"/>
        <v>20405</v>
      </c>
      <c r="AC9" s="58">
        <f t="shared" si="6"/>
        <v>19695</v>
      </c>
    </row>
    <row r="10" spans="1:29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46">
        <f>+ยกมา!J10</f>
        <v>0</v>
      </c>
      <c r="F10" s="44">
        <f>+'30'!F10+'1'!F10+'2'!F10+'3'!F10+'4'!F10+'5'!F10+'6'!F10+'7'!F10+'8'!F10+'9'!F10+'10'!F10</f>
        <v>0</v>
      </c>
      <c r="G10" s="43">
        <f t="shared" si="1"/>
        <v>0</v>
      </c>
      <c r="H10" s="78">
        <f>+'30'!H10+'1'!H10+'2'!H10+'3'!H10+'4'!H10+'5'!H10+'6'!H10+'7'!H10+'8'!H10+'9'!H10+'10'!H10</f>
        <v>0</v>
      </c>
      <c r="I10" s="76">
        <f>+'30'!I10+'1'!I10+'2'!I10+'3'!I10+'4'!I10+'5'!I10+'6'!I10+'7'!I10+'8'!I10+'9'!I10+'10'!I10</f>
        <v>0</v>
      </c>
      <c r="J10" s="43">
        <f t="shared" si="2"/>
        <v>0</v>
      </c>
      <c r="K10" s="44">
        <f>+'30'!K10+'1'!K10+'2'!K10+'3'!K10+'4'!K10+'5'!K10+'6'!K10+'7'!K10+'8'!K10+'9'!K10+'10'!K10</f>
        <v>0</v>
      </c>
      <c r="L10" s="20">
        <v>15</v>
      </c>
      <c r="M10" s="44">
        <f>+'30'!M10+'1'!M10+'2'!M10+'3'!M10+'4'!M10+'5'!M10+'6'!M10+'7'!M10+'8'!M10+'9'!M10+'10'!M10</f>
        <v>0</v>
      </c>
      <c r="N10" s="19"/>
      <c r="O10" s="90">
        <v>4.5</v>
      </c>
      <c r="P10" s="79">
        <f t="shared" si="3"/>
        <v>0</v>
      </c>
      <c r="Q10" s="45">
        <v>5</v>
      </c>
      <c r="R10" s="46">
        <f>+'5'!N262</f>
        <v>37925</v>
      </c>
      <c r="S10" s="46">
        <f>+'5'!N267</f>
        <v>4895</v>
      </c>
      <c r="T10" s="46">
        <f>+'5'!N265</f>
        <v>0</v>
      </c>
      <c r="U10" s="46">
        <f>+'5'!N263</f>
        <v>0</v>
      </c>
      <c r="V10" s="46">
        <f>+'5'!N266</f>
        <v>0</v>
      </c>
      <c r="W10" s="46">
        <f>+'5'!N264</f>
        <v>7595</v>
      </c>
      <c r="X10" s="46">
        <f t="shared" si="8"/>
        <v>25435</v>
      </c>
      <c r="Y10" s="46">
        <f>+'5'!N269</f>
        <v>24785</v>
      </c>
      <c r="Z10" s="47">
        <f t="shared" si="4"/>
        <v>-650</v>
      </c>
      <c r="AA10" s="47" t="s">
        <v>1375</v>
      </c>
      <c r="AB10" s="47">
        <f t="shared" si="5"/>
        <v>32380</v>
      </c>
      <c r="AC10" s="58">
        <f t="shared" si="6"/>
        <v>31730</v>
      </c>
    </row>
    <row r="11" spans="1:29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46">
        <f>+ยกมา!J11</f>
        <v>0</v>
      </c>
      <c r="F11" s="44">
        <f>+'30'!F11+'1'!F11+'2'!F11+'3'!F11+'4'!F11+'5'!F11+'6'!F11+'7'!F11+'8'!F11+'9'!F11+'10'!F11</f>
        <v>90</v>
      </c>
      <c r="G11" s="43">
        <f t="shared" si="1"/>
        <v>90</v>
      </c>
      <c r="H11" s="78">
        <f>+'30'!H11+'1'!H11+'2'!H11+'3'!H11+'4'!H11+'5'!H11+'6'!H11+'7'!H11+'8'!H11+'9'!H11+'10'!H11</f>
        <v>0</v>
      </c>
      <c r="I11" s="76">
        <f>+'30'!I11+'1'!I11+'2'!I11+'3'!I11+'4'!I11+'5'!I11+'6'!I11+'7'!I11+'8'!I11+'9'!I11+'10'!I11</f>
        <v>0</v>
      </c>
      <c r="J11" s="43">
        <f t="shared" si="2"/>
        <v>12</v>
      </c>
      <c r="K11" s="44">
        <f>+'30'!K11+'1'!K11+'2'!K11+'3'!K11+'4'!K11+'5'!K11+'6'!K11+'7'!K11+'8'!K11+'9'!K11+'10'!K11</f>
        <v>78</v>
      </c>
      <c r="L11" s="20">
        <v>50</v>
      </c>
      <c r="M11" s="44">
        <f>+'30'!M11+'1'!M11+'2'!M11+'3'!M11+'4'!M11+'5'!M11+'6'!M11+'7'!M11+'8'!M11+'9'!M11+'10'!M11</f>
        <v>3900</v>
      </c>
      <c r="N11" s="19"/>
      <c r="O11" s="90">
        <v>16.940000000000001</v>
      </c>
      <c r="P11" s="79">
        <f t="shared" si="3"/>
        <v>1321.3200000000002</v>
      </c>
      <c r="Q11" s="45">
        <v>6</v>
      </c>
      <c r="R11" s="46">
        <f>+'6'!N262</f>
        <v>24381</v>
      </c>
      <c r="S11" s="46">
        <f>+'6'!N267</f>
        <v>2246</v>
      </c>
      <c r="T11" s="46">
        <f>+'6'!N265</f>
        <v>0</v>
      </c>
      <c r="U11" s="46">
        <f>+'6'!N263</f>
        <v>0</v>
      </c>
      <c r="V11" s="46">
        <f>+'6'!N266</f>
        <v>0</v>
      </c>
      <c r="W11" s="46">
        <f>+'6'!N264</f>
        <v>8855</v>
      </c>
      <c r="X11" s="46">
        <f t="shared" si="8"/>
        <v>13280</v>
      </c>
      <c r="Y11" s="46">
        <f>+'6'!N269</f>
        <v>13110</v>
      </c>
      <c r="Z11" s="47">
        <f t="shared" si="4"/>
        <v>-170</v>
      </c>
      <c r="AA11" s="98" t="s">
        <v>1376</v>
      </c>
      <c r="AB11" s="47">
        <f t="shared" si="5"/>
        <v>21965</v>
      </c>
      <c r="AC11" s="58">
        <f t="shared" si="6"/>
        <v>21795</v>
      </c>
    </row>
    <row r="12" spans="1:29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46">
        <f>+ยกมา!J12</f>
        <v>0</v>
      </c>
      <c r="F12" s="44">
        <f>+'30'!F12+'1'!F12+'2'!F12+'3'!F12+'4'!F12+'5'!F12+'6'!F12+'7'!F12+'8'!F12+'9'!F12+'10'!F12</f>
        <v>0</v>
      </c>
      <c r="G12" s="43">
        <f t="shared" si="1"/>
        <v>0</v>
      </c>
      <c r="H12" s="78">
        <f>+'30'!H12+'1'!H12+'2'!H12+'3'!H12+'4'!H12+'5'!H12+'6'!H12+'7'!H12+'8'!H12+'9'!H12+'10'!H12</f>
        <v>0</v>
      </c>
      <c r="I12" s="76">
        <f>+'30'!I12+'1'!I12+'2'!I12+'3'!I12+'4'!I12+'5'!I12+'6'!I12+'7'!I12+'8'!I12+'9'!I12+'10'!I12</f>
        <v>0</v>
      </c>
      <c r="J12" s="43">
        <f t="shared" si="2"/>
        <v>0</v>
      </c>
      <c r="K12" s="44">
        <f>+'30'!K12+'1'!K12+'2'!K12+'3'!K12+'4'!K12+'5'!K12+'6'!K12+'7'!K12+'8'!K12+'9'!K12+'10'!K12</f>
        <v>0</v>
      </c>
      <c r="L12" s="20">
        <v>50</v>
      </c>
      <c r="M12" s="44">
        <f>+'30'!M12+'1'!M12+'2'!M12+'3'!M12+'4'!M12+'5'!M12+'6'!M12+'7'!M12+'8'!M12+'9'!M12+'10'!M12</f>
        <v>0</v>
      </c>
      <c r="N12" s="19"/>
      <c r="O12" s="90">
        <v>16.5</v>
      </c>
      <c r="P12" s="79">
        <f t="shared" si="3"/>
        <v>0</v>
      </c>
      <c r="Q12" s="45">
        <v>7</v>
      </c>
      <c r="R12" s="46">
        <f>+'7'!N262</f>
        <v>38696</v>
      </c>
      <c r="S12" s="46">
        <f>+'7'!N267</f>
        <v>6471</v>
      </c>
      <c r="T12" s="46">
        <f>+'7'!N265</f>
        <v>0</v>
      </c>
      <c r="U12" s="46">
        <f>+'7'!N263</f>
        <v>0</v>
      </c>
      <c r="V12" s="46">
        <f>+'7'!N266</f>
        <v>2800</v>
      </c>
      <c r="W12" s="46">
        <f>+'7'!N264</f>
        <v>9040</v>
      </c>
      <c r="X12" s="46">
        <f t="shared" si="8"/>
        <v>20385</v>
      </c>
      <c r="Y12" s="46">
        <f>+'7'!N269</f>
        <v>20385</v>
      </c>
      <c r="Z12" s="47">
        <f t="shared" si="4"/>
        <v>0</v>
      </c>
      <c r="AA12" s="98" t="s">
        <v>1377</v>
      </c>
      <c r="AB12" s="47">
        <f t="shared" si="5"/>
        <v>29425</v>
      </c>
      <c r="AC12" s="58">
        <f t="shared" si="6"/>
        <v>29425</v>
      </c>
    </row>
    <row r="13" spans="1:29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46">
        <f>+ยกมา!J13</f>
        <v>0</v>
      </c>
      <c r="F13" s="44">
        <f>+'30'!F13+'1'!F13+'2'!F13+'3'!F13+'4'!F13+'5'!F13+'6'!F13+'7'!F13+'8'!F13+'9'!F13+'10'!F13</f>
        <v>0</v>
      </c>
      <c r="G13" s="43">
        <f t="shared" si="1"/>
        <v>0</v>
      </c>
      <c r="H13" s="78">
        <f>+'30'!H13+'1'!H13+'2'!H13+'3'!H13+'4'!H13+'5'!H13+'6'!H13+'7'!H13+'8'!H13+'9'!H13+'10'!H13</f>
        <v>0</v>
      </c>
      <c r="I13" s="76">
        <f>+'30'!I13+'1'!I13+'2'!I13+'3'!I13+'4'!I13+'5'!I13+'6'!I13+'7'!I13+'8'!I13+'9'!I13+'10'!I13</f>
        <v>0</v>
      </c>
      <c r="J13" s="43">
        <f t="shared" si="2"/>
        <v>0</v>
      </c>
      <c r="K13" s="44">
        <f>+'30'!K13+'1'!K13+'2'!K13+'3'!K13+'4'!K13+'5'!K13+'6'!K13+'7'!K13+'8'!K13+'9'!K13+'10'!K13</f>
        <v>0</v>
      </c>
      <c r="L13" s="20">
        <v>50</v>
      </c>
      <c r="M13" s="44">
        <f>+'30'!M13+'1'!M13+'2'!M13+'3'!M13+'4'!M13+'5'!M13+'6'!M13+'7'!M13+'8'!M13+'9'!M13+'10'!M13</f>
        <v>0</v>
      </c>
      <c r="N13" s="19"/>
      <c r="O13" s="90">
        <v>17.32</v>
      </c>
      <c r="P13" s="79">
        <f t="shared" si="3"/>
        <v>0</v>
      </c>
      <c r="Q13" s="45">
        <v>8</v>
      </c>
      <c r="R13" s="46">
        <f>+'8'!N262</f>
        <v>26565</v>
      </c>
      <c r="S13" s="46">
        <f>+'8'!N267</f>
        <v>4960</v>
      </c>
      <c r="T13" s="46">
        <f>+'8'!N265</f>
        <v>0</v>
      </c>
      <c r="U13" s="46">
        <f>+'8'!N263</f>
        <v>0</v>
      </c>
      <c r="V13" s="46">
        <f>+'8'!N266</f>
        <v>0</v>
      </c>
      <c r="W13" s="46">
        <f>+'8'!N264</f>
        <v>5240</v>
      </c>
      <c r="X13" s="46">
        <f>+R13-S13-T13-U13-V13-W13</f>
        <v>16365</v>
      </c>
      <c r="Y13" s="46">
        <f>+'8'!N269</f>
        <v>16165</v>
      </c>
      <c r="Z13" s="47">
        <f t="shared" si="4"/>
        <v>-200</v>
      </c>
      <c r="AA13" s="99" t="s">
        <v>1378</v>
      </c>
      <c r="AB13" s="47">
        <f t="shared" si="5"/>
        <v>21405</v>
      </c>
      <c r="AC13" s="58">
        <f t="shared" si="6"/>
        <v>21205</v>
      </c>
    </row>
    <row r="14" spans="1:29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46">
        <f>+ยกมา!J14</f>
        <v>0</v>
      </c>
      <c r="F14" s="44">
        <f>+'30'!F14+'1'!F14+'2'!F14+'3'!F14+'4'!F14+'5'!F14+'6'!F14+'7'!F14+'8'!F14+'9'!F14+'10'!F14</f>
        <v>0</v>
      </c>
      <c r="G14" s="43">
        <f t="shared" si="1"/>
        <v>0</v>
      </c>
      <c r="H14" s="78">
        <f>+'30'!H14+'1'!H14+'2'!H14+'3'!H14+'4'!H14+'5'!H14+'6'!H14+'7'!H14+'8'!H14+'9'!H14+'10'!H14</f>
        <v>0</v>
      </c>
      <c r="I14" s="76">
        <f>+'30'!I14+'1'!I14+'2'!I14+'3'!I14+'4'!I14+'5'!I14+'6'!I14+'7'!I14+'8'!I14+'9'!I14+'10'!I14</f>
        <v>0</v>
      </c>
      <c r="J14" s="43">
        <f t="shared" si="2"/>
        <v>0</v>
      </c>
      <c r="K14" s="44">
        <f>+'30'!K14+'1'!K14+'2'!K14+'3'!K14+'4'!K14+'5'!K14+'6'!K14+'7'!K14+'8'!K14+'9'!K14+'10'!K14</f>
        <v>0</v>
      </c>
      <c r="L14" s="20">
        <v>50</v>
      </c>
      <c r="M14" s="44">
        <f>+'30'!M14+'1'!M14+'2'!M14+'3'!M14+'4'!M14+'5'!M14+'6'!M14+'7'!M14+'8'!M14+'9'!M14+'10'!M14</f>
        <v>0</v>
      </c>
      <c r="N14" s="19"/>
      <c r="O14" s="90">
        <v>21.22</v>
      </c>
      <c r="P14" s="79">
        <f t="shared" si="3"/>
        <v>0</v>
      </c>
      <c r="Q14" s="45">
        <v>9</v>
      </c>
      <c r="R14" s="46">
        <f>+'9'!N262</f>
        <v>19040</v>
      </c>
      <c r="S14" s="46">
        <f>+'9'!N267</f>
        <v>3185</v>
      </c>
      <c r="T14" s="46">
        <f>+'9'!N265</f>
        <v>0</v>
      </c>
      <c r="U14" s="46">
        <f>+'9'!N263</f>
        <v>0</v>
      </c>
      <c r="V14" s="46">
        <f>+'9'!N266</f>
        <v>0</v>
      </c>
      <c r="W14" s="46">
        <f>+'9'!N264</f>
        <v>5500</v>
      </c>
      <c r="X14" s="46">
        <f t="shared" si="8"/>
        <v>10355</v>
      </c>
      <c r="Y14" s="46">
        <f>+'9'!N269</f>
        <v>10010</v>
      </c>
      <c r="Z14" s="47">
        <f t="shared" si="4"/>
        <v>-345</v>
      </c>
      <c r="AA14" s="47" t="s">
        <v>1372</v>
      </c>
      <c r="AB14" s="47">
        <f t="shared" si="5"/>
        <v>15510</v>
      </c>
      <c r="AC14" s="58">
        <f t="shared" si="6"/>
        <v>15165</v>
      </c>
    </row>
    <row r="15" spans="1:29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46">
        <f>+ยกมา!J15</f>
        <v>0</v>
      </c>
      <c r="F15" s="44">
        <f>+'30'!F15+'1'!F15+'2'!F15+'3'!F15+'4'!F15+'5'!F15+'6'!F15+'7'!F15+'8'!F15+'9'!F15+'10'!F15</f>
        <v>40</v>
      </c>
      <c r="G15" s="43">
        <f t="shared" si="1"/>
        <v>40</v>
      </c>
      <c r="H15" s="78">
        <f>+'30'!H15+'1'!H15+'2'!H15+'3'!H15+'4'!H15+'5'!H15+'6'!H15+'7'!H15+'8'!H15+'9'!H15+'10'!H15</f>
        <v>0</v>
      </c>
      <c r="I15" s="76">
        <f>+'30'!I15+'1'!I15+'2'!I15+'3'!I15+'4'!I15+'5'!I15+'6'!I15+'7'!I15+'8'!I15+'9'!I15+'10'!I15</f>
        <v>0</v>
      </c>
      <c r="J15" s="43">
        <f t="shared" si="2"/>
        <v>0</v>
      </c>
      <c r="K15" s="44">
        <f>+'30'!K15+'1'!K15+'2'!K15+'3'!K15+'4'!K15+'5'!K15+'6'!K15+'7'!K15+'8'!K15+'9'!K15+'10'!K15</f>
        <v>40</v>
      </c>
      <c r="L15" s="20">
        <v>50</v>
      </c>
      <c r="M15" s="44">
        <f>+'30'!M15+'1'!M15+'2'!M15+'3'!M15+'4'!M15+'5'!M15+'6'!M15+'7'!M15+'8'!M15+'9'!M15+'10'!M15</f>
        <v>2000</v>
      </c>
      <c r="N15" s="19"/>
      <c r="O15" s="90">
        <v>24.37</v>
      </c>
      <c r="P15" s="79">
        <f t="shared" si="3"/>
        <v>974.80000000000007</v>
      </c>
      <c r="Q15" s="45">
        <v>10</v>
      </c>
      <c r="R15" s="46">
        <f>+'10'!N262</f>
        <v>35495</v>
      </c>
      <c r="S15" s="46">
        <f>+'10'!N267</f>
        <v>10206</v>
      </c>
      <c r="T15" s="46">
        <f>+'10'!N265</f>
        <v>0</v>
      </c>
      <c r="U15" s="46">
        <f>+'10'!N263</f>
        <v>0</v>
      </c>
      <c r="V15" s="46">
        <f>+'10'!N266</f>
        <v>0</v>
      </c>
      <c r="W15" s="46">
        <f>+'10'!N264</f>
        <v>5500</v>
      </c>
      <c r="X15" s="46">
        <f t="shared" si="8"/>
        <v>19789</v>
      </c>
      <c r="Y15" s="46">
        <f>+'10'!N269</f>
        <v>18825</v>
      </c>
      <c r="Z15" s="47">
        <f t="shared" si="4"/>
        <v>-964</v>
      </c>
      <c r="AA15" s="47" t="s">
        <v>1373</v>
      </c>
      <c r="AB15" s="47">
        <f t="shared" si="5"/>
        <v>24325</v>
      </c>
      <c r="AC15" s="58">
        <f t="shared" si="6"/>
        <v>23361</v>
      </c>
    </row>
    <row r="16" spans="1:29" x14ac:dyDescent="0.65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+'30'!F16+'1'!F16+'2'!F16+'3'!F16+'4'!F16+'5'!F16+'6'!F16+'7'!F16+'8'!F16+'9'!F16+'10'!F16</f>
        <v>0</v>
      </c>
      <c r="G16" s="43">
        <f t="shared" si="1"/>
        <v>0</v>
      </c>
      <c r="H16" s="78">
        <f>+'30'!H16+'1'!H16+'2'!H16+'3'!H16+'4'!H16+'5'!H16+'6'!H16+'7'!H16+'8'!H16+'9'!H16+'10'!H16</f>
        <v>0</v>
      </c>
      <c r="I16" s="76">
        <f>+'30'!I16+'1'!I16+'2'!I16+'3'!I16+'4'!I16+'5'!I16+'6'!I16+'7'!I16+'8'!I16+'9'!I16+'10'!I16</f>
        <v>0</v>
      </c>
      <c r="J16" s="43">
        <f t="shared" si="2"/>
        <v>0</v>
      </c>
      <c r="K16" s="44">
        <f>+'30'!K16+'1'!K16+'2'!K16+'3'!K16+'4'!K16+'5'!K16+'6'!K16+'7'!K16+'8'!K16+'9'!K16+'10'!K16</f>
        <v>0</v>
      </c>
      <c r="L16" s="20">
        <v>50</v>
      </c>
      <c r="M16" s="44">
        <f>+'30'!M16+'1'!M16+'2'!M16+'3'!M16+'4'!M16+'5'!M16+'6'!M16+'7'!M16+'8'!M16+'9'!M16+'10'!M16</f>
        <v>0</v>
      </c>
      <c r="N16" s="19"/>
      <c r="O16" s="92">
        <v>0</v>
      </c>
      <c r="P16" s="79">
        <f t="shared" si="3"/>
        <v>0</v>
      </c>
      <c r="Q16" s="45"/>
      <c r="R16" s="48">
        <f t="shared" ref="R16:AB16" si="9">SUM(R5:R15)</f>
        <v>263050</v>
      </c>
      <c r="S16" s="48">
        <f t="shared" si="9"/>
        <v>37506</v>
      </c>
      <c r="T16" s="48">
        <f t="shared" si="9"/>
        <v>0</v>
      </c>
      <c r="U16" s="48">
        <f t="shared" si="9"/>
        <v>0</v>
      </c>
      <c r="V16" s="48">
        <f t="shared" si="9"/>
        <v>2800</v>
      </c>
      <c r="W16" s="48">
        <f t="shared" si="9"/>
        <v>66920</v>
      </c>
      <c r="X16" s="48">
        <f t="shared" si="9"/>
        <v>155824</v>
      </c>
      <c r="Y16" s="48">
        <f t="shared" si="9"/>
        <v>152780</v>
      </c>
      <c r="Z16" s="48">
        <f t="shared" si="9"/>
        <v>-3044</v>
      </c>
      <c r="AA16" s="48">
        <f t="shared" si="9"/>
        <v>0</v>
      </c>
      <c r="AB16" s="48">
        <f t="shared" si="9"/>
        <v>219700</v>
      </c>
      <c r="AC16" s="5"/>
    </row>
    <row r="17" spans="1:29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46">
        <f>+ยกมา!J17</f>
        <v>0</v>
      </c>
      <c r="F17" s="44">
        <f>+'30'!F17+'1'!F17+'2'!F17+'3'!F17+'4'!F17+'5'!F17+'6'!F17+'7'!F17+'8'!F17+'9'!F17+'10'!F17</f>
        <v>0</v>
      </c>
      <c r="G17" s="43">
        <f t="shared" si="1"/>
        <v>0</v>
      </c>
      <c r="H17" s="78">
        <f>+'30'!H17+'1'!H17+'2'!H17+'3'!H17+'4'!H17+'5'!H17+'6'!H17+'7'!H17+'8'!H17+'9'!H17+'10'!H17</f>
        <v>0</v>
      </c>
      <c r="I17" s="76">
        <f>+'30'!I17+'1'!I17+'2'!I17+'3'!I17+'4'!I17+'5'!I17+'6'!I17+'7'!I17+'8'!I17+'9'!I17+'10'!I17</f>
        <v>0</v>
      </c>
      <c r="J17" s="43">
        <f t="shared" si="2"/>
        <v>0</v>
      </c>
      <c r="K17" s="44">
        <f>+'30'!K17+'1'!K17+'2'!K17+'3'!K17+'4'!K17+'5'!K17+'6'!K17+'7'!K17+'8'!K17+'9'!K17+'10'!K17</f>
        <v>0</v>
      </c>
      <c r="L17" s="20">
        <v>50</v>
      </c>
      <c r="M17" s="44">
        <f>+'30'!M17+'1'!M17+'2'!M17+'3'!M17+'4'!M17+'5'!M17+'6'!M17+'7'!M17+'8'!M17+'9'!M17+'10'!M17</f>
        <v>0</v>
      </c>
      <c r="N17" s="19"/>
      <c r="O17" s="90">
        <v>15.05</v>
      </c>
      <c r="P17" s="79">
        <f t="shared" si="3"/>
        <v>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s="135" customFormat="1" ht="26.4" customHeight="1" x14ac:dyDescent="0.25">
      <c r="A18" s="120">
        <v>14</v>
      </c>
      <c r="B18" s="120" t="s">
        <v>950</v>
      </c>
      <c r="C18" s="121" t="s">
        <v>311</v>
      </c>
      <c r="D18" s="120" t="s">
        <v>432</v>
      </c>
      <c r="E18" s="124">
        <f>+ยกมา!J18</f>
        <v>0</v>
      </c>
      <c r="F18" s="136">
        <f>+'30'!F18+'1'!F18+'2'!F18+'3'!F18+'4'!F18+'5'!F18+'6'!F18+'7'!F18+'8'!F18+'9'!F18+'10'!F18</f>
        <v>40</v>
      </c>
      <c r="G18" s="134">
        <f t="shared" si="1"/>
        <v>40</v>
      </c>
      <c r="H18" s="125">
        <f>+'30'!H18+'1'!H18+'2'!H18+'3'!H18+'4'!H18+'5'!H18+'6'!H18+'7'!H18+'8'!H18+'9'!H18+'10'!H18</f>
        <v>0</v>
      </c>
      <c r="I18" s="126">
        <f>+'30'!I18+'1'!I18+'2'!I18+'3'!I18+'4'!I18+'5'!I18+'6'!I18+'7'!I18+'8'!I18+'9'!I18+'10'!I18</f>
        <v>0</v>
      </c>
      <c r="J18" s="134">
        <f t="shared" ref="J18:J22" si="10">E18+F18-H18-K18-I18</f>
        <v>0</v>
      </c>
      <c r="K18" s="136">
        <f>+'30'!K18+'1'!K18+'2'!K18+'3'!K18+'4'!K18+'5'!K18+'6'!K18+'7'!K18+'8'!K18+'9'!K18+'10'!K18</f>
        <v>40</v>
      </c>
      <c r="L18" s="128">
        <v>50</v>
      </c>
      <c r="M18" s="136">
        <f>+'30'!M18+'1'!M18+'2'!M18+'3'!M18+'4'!M18+'5'!M18+'6'!M18+'7'!M18+'8'!M18+'9'!M18+'10'!M18</f>
        <v>2000</v>
      </c>
      <c r="N18" s="121"/>
      <c r="O18" s="133">
        <v>18.77</v>
      </c>
      <c r="P18" s="137">
        <f t="shared" si="3"/>
        <v>750.8</v>
      </c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</row>
    <row r="19" spans="1:29" s="135" customFormat="1" ht="26.4" customHeight="1" x14ac:dyDescent="0.25">
      <c r="A19" s="120">
        <v>15</v>
      </c>
      <c r="B19" s="120" t="s">
        <v>964</v>
      </c>
      <c r="C19" s="121" t="s">
        <v>292</v>
      </c>
      <c r="D19" s="120" t="s">
        <v>432</v>
      </c>
      <c r="E19" s="124">
        <f>+ยกมา!J19</f>
        <v>0</v>
      </c>
      <c r="F19" s="136">
        <f>+'30'!F19+'1'!F19+'2'!F19+'3'!F19+'4'!F19+'5'!F19+'6'!F19+'7'!F19+'8'!F19+'9'!F19+'10'!F19</f>
        <v>0</v>
      </c>
      <c r="G19" s="134">
        <f t="shared" si="1"/>
        <v>0</v>
      </c>
      <c r="H19" s="125">
        <f>+'30'!H19+'1'!H19+'2'!H19+'3'!H19+'4'!H19+'5'!H19+'6'!H19+'7'!H19+'8'!H19+'9'!H19+'10'!H19</f>
        <v>0</v>
      </c>
      <c r="I19" s="126">
        <f>+'30'!I19+'1'!I19+'2'!I19+'3'!I19+'4'!I19+'5'!I19+'6'!I19+'7'!I19+'8'!I19+'9'!I19+'10'!I19</f>
        <v>0</v>
      </c>
      <c r="J19" s="134">
        <f t="shared" si="10"/>
        <v>0</v>
      </c>
      <c r="K19" s="136">
        <f>+'30'!K19+'1'!K19+'2'!K19+'3'!K19+'4'!K19+'5'!K19+'6'!K19+'7'!K19+'8'!K19+'9'!K19+'10'!K19</f>
        <v>0</v>
      </c>
      <c r="L19" s="128">
        <v>50</v>
      </c>
      <c r="M19" s="136">
        <f>+'30'!M19+'1'!M19+'2'!M19+'3'!M19+'4'!M19+'5'!M19+'6'!M19+'7'!M19+'8'!M19+'9'!M19+'10'!M19</f>
        <v>0</v>
      </c>
      <c r="N19" s="121"/>
      <c r="O19" s="133">
        <v>19.04</v>
      </c>
      <c r="P19" s="137">
        <f t="shared" si="3"/>
        <v>0</v>
      </c>
      <c r="Q19" s="138"/>
      <c r="R19" s="139"/>
      <c r="S19" s="138"/>
      <c r="T19" s="140"/>
      <c r="U19" s="138"/>
      <c r="V19" s="138"/>
      <c r="W19" s="138"/>
      <c r="X19" s="138"/>
      <c r="Y19" s="138"/>
      <c r="Z19" s="138"/>
      <c r="AA19" s="138"/>
      <c r="AB19" s="138"/>
      <c r="AC19" s="138"/>
    </row>
    <row r="20" spans="1:29" s="135" customFormat="1" ht="26.4" customHeight="1" x14ac:dyDescent="0.25">
      <c r="A20" s="120">
        <v>16</v>
      </c>
      <c r="B20" s="120" t="s">
        <v>1094</v>
      </c>
      <c r="C20" s="121" t="s">
        <v>25</v>
      </c>
      <c r="D20" s="120" t="s">
        <v>432</v>
      </c>
      <c r="E20" s="124">
        <f>+ยกมา!J20</f>
        <v>0</v>
      </c>
      <c r="F20" s="136">
        <f>+'30'!F20+'1'!F20+'2'!F20+'3'!F20+'4'!F20+'5'!F20+'6'!F20+'7'!F20+'8'!F20+'9'!F20+'10'!F20</f>
        <v>13</v>
      </c>
      <c r="G20" s="134">
        <f t="shared" si="1"/>
        <v>13</v>
      </c>
      <c r="H20" s="125">
        <f>+'30'!H20+'1'!H20+'2'!H20+'3'!H20+'4'!H20+'5'!H20+'6'!H20+'7'!H20+'8'!H20+'9'!H20+'10'!H20</f>
        <v>0</v>
      </c>
      <c r="I20" s="126">
        <f>+'30'!I20+'1'!I20+'2'!I20+'3'!I20+'4'!I20+'5'!I20+'6'!I20+'7'!I20+'8'!I20+'9'!I20+'10'!I20</f>
        <v>1</v>
      </c>
      <c r="J20" s="134">
        <f t="shared" si="10"/>
        <v>0</v>
      </c>
      <c r="K20" s="136">
        <f>+'30'!K20+'1'!K20+'2'!K20+'3'!K20+'4'!K20+'5'!K20+'6'!K20+'7'!K20+'8'!K20+'9'!K20+'10'!K20</f>
        <v>12</v>
      </c>
      <c r="L20" s="128">
        <v>65</v>
      </c>
      <c r="M20" s="136">
        <f>+'30'!M20+'1'!M20+'2'!M20+'3'!M20+'4'!M20+'5'!M20+'6'!M20+'7'!M20+'8'!M20+'9'!M20+'10'!M20</f>
        <v>780</v>
      </c>
      <c r="N20" s="121"/>
      <c r="O20" s="133">
        <v>22.25</v>
      </c>
      <c r="P20" s="137">
        <f t="shared" si="3"/>
        <v>267</v>
      </c>
      <c r="Q20" s="138"/>
      <c r="R20" s="139"/>
      <c r="S20" s="138"/>
      <c r="T20" s="140"/>
      <c r="U20" s="138"/>
      <c r="V20" s="138"/>
      <c r="W20" s="138"/>
      <c r="X20" s="138"/>
      <c r="Y20" s="138"/>
      <c r="Z20" s="138"/>
      <c r="AA20" s="138"/>
      <c r="AB20" s="138"/>
      <c r="AC20" s="138"/>
    </row>
    <row r="21" spans="1:29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46">
        <f>+ยกมา!J21</f>
        <v>0</v>
      </c>
      <c r="F21" s="44">
        <f>+'30'!F21+'1'!F21+'2'!F21+'3'!F21+'4'!F21+'5'!F21+'6'!F21+'7'!F21+'8'!F21+'9'!F21+'10'!F21</f>
        <v>5</v>
      </c>
      <c r="G21" s="43">
        <f t="shared" si="1"/>
        <v>5</v>
      </c>
      <c r="H21" s="78">
        <f>+'30'!H21+'1'!H21+'2'!H21+'3'!H21+'4'!H21+'5'!H21+'6'!H21+'7'!H21+'8'!H21+'9'!H21+'10'!H21</f>
        <v>0</v>
      </c>
      <c r="I21" s="76">
        <f>+'30'!I21+'1'!I21+'2'!I21+'3'!I21+'4'!I21+'5'!I21+'6'!I21+'7'!I21+'8'!I21+'9'!I21+'10'!I21</f>
        <v>0</v>
      </c>
      <c r="J21" s="43">
        <f t="shared" si="10"/>
        <v>0</v>
      </c>
      <c r="K21" s="44">
        <f>+'30'!K21+'1'!K21+'2'!K21+'3'!K21+'4'!K21+'5'!K21+'6'!K21+'7'!K21+'8'!K21+'9'!K21+'10'!K21</f>
        <v>5</v>
      </c>
      <c r="L21" s="20">
        <v>85</v>
      </c>
      <c r="M21" s="44">
        <f>+'30'!M21+'1'!M21+'2'!M21+'3'!M21+'4'!M21+'5'!M21+'6'!M21+'7'!M21+'8'!M21+'9'!M21+'10'!M21</f>
        <v>425</v>
      </c>
      <c r="N21" s="19"/>
      <c r="O21" s="90">
        <v>22.85</v>
      </c>
      <c r="P21" s="79">
        <f t="shared" si="3"/>
        <v>114.25</v>
      </c>
      <c r="Q21" s="5"/>
      <c r="R21" s="5"/>
      <c r="S21" s="5"/>
      <c r="T21" s="97"/>
      <c r="U21" s="5"/>
      <c r="V21" s="5"/>
      <c r="W21" s="5"/>
      <c r="X21" s="5"/>
      <c r="Y21" s="5"/>
      <c r="Z21" s="5"/>
      <c r="AA21" s="5"/>
      <c r="AB21" s="5"/>
      <c r="AC21" s="5"/>
    </row>
    <row r="22" spans="1:29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46">
        <f>+ยกมา!J22</f>
        <v>0</v>
      </c>
      <c r="F22" s="44">
        <f>+'30'!F22+'1'!F22+'2'!F22+'3'!F22+'4'!F22+'5'!F22+'6'!F22+'7'!F22+'8'!F22+'9'!F22+'10'!F22</f>
        <v>280</v>
      </c>
      <c r="G22" s="43">
        <f t="shared" si="1"/>
        <v>280</v>
      </c>
      <c r="H22" s="78">
        <f>+'30'!H22+'1'!H22+'2'!H22+'3'!H22+'4'!H22+'5'!H22+'6'!H22+'7'!H22+'8'!H22+'9'!H22+'10'!H22</f>
        <v>0</v>
      </c>
      <c r="I22" s="76">
        <f>+'30'!I22+'1'!I22+'2'!I22+'3'!I22+'4'!I22+'5'!I22+'6'!I22+'7'!I22+'8'!I22+'9'!I22+'10'!I22</f>
        <v>10</v>
      </c>
      <c r="J22" s="43">
        <f t="shared" si="10"/>
        <v>77</v>
      </c>
      <c r="K22" s="44">
        <f>+'30'!K22+'1'!K22+'2'!K22+'3'!K22+'4'!K22+'5'!K22+'6'!K22+'7'!K22+'8'!K22+'9'!K22+'10'!K22</f>
        <v>193</v>
      </c>
      <c r="L22" s="20">
        <v>100</v>
      </c>
      <c r="M22" s="44">
        <f>+'30'!M22+'1'!M22+'2'!M22+'3'!M22+'4'!M22+'5'!M22+'6'!M22+'7'!M22+'8'!M22+'9'!M22+'10'!M22</f>
        <v>19300</v>
      </c>
      <c r="N22" s="19"/>
      <c r="O22" s="90">
        <v>26.6</v>
      </c>
      <c r="P22" s="79">
        <f t="shared" si="3"/>
        <v>5133.8</v>
      </c>
      <c r="Q22" s="5"/>
      <c r="R22" s="5"/>
      <c r="S22" s="5"/>
      <c r="T22" s="97"/>
      <c r="U22" s="5"/>
      <c r="V22" s="5"/>
      <c r="W22" s="5"/>
      <c r="X22" s="5"/>
      <c r="Y22" s="5"/>
      <c r="Z22" s="5"/>
      <c r="AA22" s="5"/>
      <c r="AB22" s="5"/>
    </row>
    <row r="23" spans="1:29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46">
        <f>+ยกมา!J23</f>
        <v>0</v>
      </c>
      <c r="F23" s="44">
        <f>+'30'!F23+'1'!F23+'2'!F23+'3'!F23+'4'!F23+'5'!F23+'6'!F23+'7'!F23+'8'!F23+'9'!F23+'10'!F23</f>
        <v>0</v>
      </c>
      <c r="G23" s="43">
        <f t="shared" si="1"/>
        <v>0</v>
      </c>
      <c r="H23" s="78">
        <f>+'30'!H23+'1'!H23+'2'!H23+'3'!H23+'4'!H23+'5'!H23+'6'!H23+'7'!H23+'8'!H23+'9'!H23+'10'!H23</f>
        <v>0</v>
      </c>
      <c r="I23" s="76">
        <f>+'30'!I23+'1'!I23+'2'!I23+'3'!I23+'4'!I23+'5'!I23+'6'!I23+'7'!I23+'8'!I23+'9'!I23+'10'!I23</f>
        <v>0</v>
      </c>
      <c r="J23" s="43">
        <f t="shared" si="2"/>
        <v>0</v>
      </c>
      <c r="K23" s="44">
        <f>+'30'!K23+'1'!K23+'2'!K23+'3'!K23+'4'!K23+'5'!K23+'6'!K23+'7'!K23+'8'!K23+'9'!K23+'10'!K23</f>
        <v>0</v>
      </c>
      <c r="L23" s="20">
        <v>100</v>
      </c>
      <c r="M23" s="44">
        <f>+'30'!M23+'1'!M23+'2'!M23+'3'!M23+'4'!M23+'5'!M23+'6'!M23+'7'!M23+'8'!M23+'9'!M23+'10'!M23</f>
        <v>0</v>
      </c>
      <c r="N23" s="19"/>
      <c r="O23" s="90">
        <v>42.24</v>
      </c>
      <c r="P23" s="79">
        <f t="shared" si="3"/>
        <v>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46">
        <f>+ยกมา!J24</f>
        <v>0</v>
      </c>
      <c r="F24" s="44">
        <f>+'30'!F24+'1'!F24+'2'!F24+'3'!F24+'4'!F24+'5'!F24+'6'!F24+'7'!F24+'8'!F24+'9'!F24+'10'!F24</f>
        <v>60</v>
      </c>
      <c r="G24" s="43">
        <f t="shared" si="1"/>
        <v>60</v>
      </c>
      <c r="H24" s="78">
        <f>+'30'!H24+'1'!H24+'2'!H24+'3'!H24+'4'!H24+'5'!H24+'6'!H24+'7'!H24+'8'!H24+'9'!H24+'10'!H24</f>
        <v>0</v>
      </c>
      <c r="I24" s="76">
        <f>+'30'!I24+'1'!I24+'2'!I24+'3'!I24+'4'!I24+'5'!I24+'6'!I24+'7'!I24+'8'!I24+'9'!I24+'10'!I24</f>
        <v>0</v>
      </c>
      <c r="J24" s="43">
        <f t="shared" si="2"/>
        <v>20</v>
      </c>
      <c r="K24" s="44">
        <f>+'30'!K24+'1'!K24+'2'!K24+'3'!K24+'4'!K24+'5'!K24+'6'!K24+'7'!K24+'8'!K24+'9'!K24+'10'!K24</f>
        <v>40</v>
      </c>
      <c r="L24" s="20">
        <v>100</v>
      </c>
      <c r="M24" s="44">
        <f>+'30'!M24+'1'!M24+'2'!M24+'3'!M24+'4'!M24+'5'!M24+'6'!M24+'7'!M24+'8'!M24+'9'!M24+'10'!M24</f>
        <v>4000</v>
      </c>
      <c r="N24" s="19"/>
      <c r="O24" s="90">
        <v>40.51</v>
      </c>
      <c r="P24" s="79">
        <f t="shared" si="3"/>
        <v>1620.3999999999999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+'30'!F25+'1'!F25+'2'!F25+'3'!F25+'4'!F25+'5'!F25+'6'!F25+'7'!F25+'8'!F25+'9'!F25+'10'!F25</f>
        <v>0</v>
      </c>
      <c r="G25" s="43">
        <f t="shared" si="1"/>
        <v>0</v>
      </c>
      <c r="H25" s="78">
        <f>+'30'!H25+'1'!H25+'2'!H25+'3'!H25+'4'!H25+'5'!H25+'6'!H25+'7'!H25+'8'!H25+'9'!H25+'10'!H25</f>
        <v>0</v>
      </c>
      <c r="I25" s="76">
        <f>+'30'!I25+'1'!I25+'2'!I25+'3'!I25+'4'!I25+'5'!I25+'6'!I25+'7'!I25+'8'!I25+'9'!I25+'10'!I25</f>
        <v>0</v>
      </c>
      <c r="J25" s="43">
        <f t="shared" si="2"/>
        <v>0</v>
      </c>
      <c r="K25" s="44">
        <f>+'30'!K25+'1'!K25+'2'!K25+'3'!K25+'4'!K25+'5'!K25+'6'!K25+'7'!K25+'8'!K25+'9'!K25+'10'!K25</f>
        <v>0</v>
      </c>
      <c r="L25" s="20">
        <v>100</v>
      </c>
      <c r="M25" s="44">
        <f>+'30'!M25+'1'!M25+'2'!M25+'3'!M25+'4'!M25+'5'!M25+'6'!M25+'7'!M25+'8'!M25+'9'!M25+'10'!M25</f>
        <v>0</v>
      </c>
      <c r="N25" s="19"/>
      <c r="O25" s="90">
        <v>39.770000000000003</v>
      </c>
      <c r="P25" s="79">
        <f t="shared" si="3"/>
        <v>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9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46">
        <f>+ยกมา!J26</f>
        <v>0</v>
      </c>
      <c r="F26" s="44">
        <f>+'30'!F26+'1'!F26+'2'!F26+'3'!F26+'4'!F26+'5'!F26+'6'!F26+'7'!F26+'8'!F26+'9'!F26+'10'!F26</f>
        <v>40</v>
      </c>
      <c r="G26" s="43">
        <f t="shared" si="1"/>
        <v>40</v>
      </c>
      <c r="H26" s="78">
        <f>+'30'!H26+'1'!H26+'2'!H26+'3'!H26+'4'!H26+'5'!H26+'6'!H26+'7'!H26+'8'!H26+'9'!H26+'10'!H26</f>
        <v>0</v>
      </c>
      <c r="I26" s="76">
        <f>+'30'!I26+'1'!I26+'2'!I26+'3'!I26+'4'!I26+'5'!I26+'6'!I26+'7'!I26+'8'!I26+'9'!I26+'10'!I26</f>
        <v>0</v>
      </c>
      <c r="J26" s="43">
        <f t="shared" si="2"/>
        <v>27</v>
      </c>
      <c r="K26" s="44">
        <f>+'30'!K26+'1'!K26+'2'!K26+'3'!K26+'4'!K26+'5'!K26+'6'!K26+'7'!K26+'8'!K26+'9'!K26+'10'!K26</f>
        <v>13</v>
      </c>
      <c r="L26" s="20">
        <v>100</v>
      </c>
      <c r="M26" s="44">
        <f>+'30'!M26+'1'!M26+'2'!M26+'3'!M26+'4'!M26+'5'!M26+'6'!M26+'7'!M26+'8'!M26+'9'!M26+'10'!M26</f>
        <v>1300</v>
      </c>
      <c r="N26" s="19"/>
      <c r="O26" s="90">
        <v>35.39</v>
      </c>
      <c r="P26" s="79">
        <f t="shared" si="3"/>
        <v>460.07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9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46">
        <f>+ยกมา!J27</f>
        <v>0</v>
      </c>
      <c r="F27" s="44">
        <f>+'30'!F27+'1'!F27+'2'!F27+'3'!F27+'4'!F27+'5'!F27+'6'!F27+'7'!F27+'8'!F27+'9'!F27+'10'!F27</f>
        <v>0</v>
      </c>
      <c r="G27" s="43">
        <f t="shared" si="1"/>
        <v>0</v>
      </c>
      <c r="H27" s="78">
        <f>+'30'!H27+'1'!H27+'2'!H27+'3'!H27+'4'!H27+'5'!H27+'6'!H27+'7'!H27+'8'!H27+'9'!H27+'10'!H27</f>
        <v>0</v>
      </c>
      <c r="I27" s="76">
        <f>+'30'!I27+'1'!I27+'2'!I27+'3'!I27+'4'!I27+'5'!I27+'6'!I27+'7'!I27+'8'!I27+'9'!I27+'10'!I27</f>
        <v>0</v>
      </c>
      <c r="J27" s="43">
        <f t="shared" si="2"/>
        <v>0</v>
      </c>
      <c r="K27" s="44">
        <f>+'30'!K27+'1'!K27+'2'!K27+'3'!K27+'4'!K27+'5'!K27+'6'!K27+'7'!K27+'8'!K27+'9'!K27+'10'!K27</f>
        <v>0</v>
      </c>
      <c r="L27" s="20">
        <v>100</v>
      </c>
      <c r="M27" s="44">
        <f>+'30'!M27+'1'!M27+'2'!M27+'3'!M27+'4'!M27+'5'!M27+'6'!M27+'7'!M27+'8'!M27+'9'!M27+'10'!M27</f>
        <v>0</v>
      </c>
      <c r="N27" s="19"/>
      <c r="O27" s="90">
        <v>31.62</v>
      </c>
      <c r="P27" s="79">
        <f t="shared" si="3"/>
        <v>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9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46">
        <f>+ยกมา!J28</f>
        <v>0</v>
      </c>
      <c r="F28" s="44">
        <f>+'30'!F28+'1'!F28+'2'!F28+'3'!F28+'4'!F28+'5'!F28+'6'!F28+'7'!F28+'8'!F28+'9'!F28+'10'!F28</f>
        <v>50</v>
      </c>
      <c r="G28" s="43">
        <f t="shared" si="1"/>
        <v>50</v>
      </c>
      <c r="H28" s="78">
        <f>+'30'!H28+'1'!H28+'2'!H28+'3'!H28+'4'!H28+'5'!H28+'6'!H28+'7'!H28+'8'!H28+'9'!H28+'10'!H28</f>
        <v>0</v>
      </c>
      <c r="I28" s="76">
        <f>+'30'!I28+'1'!I28+'2'!I28+'3'!I28+'4'!I28+'5'!I28+'6'!I28+'7'!I28+'8'!I28+'9'!I28+'10'!I28</f>
        <v>2</v>
      </c>
      <c r="J28" s="43">
        <f t="shared" ref="J28:J70" si="11">E28+F28-H28-K28-I28</f>
        <v>5</v>
      </c>
      <c r="K28" s="44">
        <f>+'30'!K28+'1'!K28+'2'!K28+'3'!K28+'4'!K28+'5'!K28+'6'!K28+'7'!K28+'8'!K28+'9'!K28+'10'!K28</f>
        <v>43</v>
      </c>
      <c r="L28" s="20">
        <v>100</v>
      </c>
      <c r="M28" s="44">
        <f>+'30'!M28+'1'!M28+'2'!M28+'3'!M28+'4'!M28+'5'!M28+'6'!M28+'7'!M28+'8'!M28+'9'!M28+'10'!M28</f>
        <v>4300</v>
      </c>
      <c r="N28" s="19"/>
      <c r="O28" s="90">
        <v>31.97</v>
      </c>
      <c r="P28" s="79">
        <f t="shared" si="3"/>
        <v>1374.71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9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46">
        <f>+ยกมา!J29</f>
        <v>0</v>
      </c>
      <c r="F29" s="44">
        <f>+'30'!F29+'1'!F29+'2'!F29+'3'!F29+'4'!F29+'5'!F29+'6'!F29+'7'!F29+'8'!F29+'9'!F29+'10'!F29</f>
        <v>0</v>
      </c>
      <c r="G29" s="43">
        <f t="shared" si="1"/>
        <v>0</v>
      </c>
      <c r="H29" s="78">
        <f>+'30'!H29+'1'!H29+'2'!H29+'3'!H29+'4'!H29+'5'!H29+'6'!H29+'7'!H29+'8'!H29+'9'!H29+'10'!H29</f>
        <v>0</v>
      </c>
      <c r="I29" s="76">
        <f>+'30'!I29+'1'!I29+'2'!I29+'3'!I29+'4'!I29+'5'!I29+'6'!I29+'7'!I29+'8'!I29+'9'!I29+'10'!I29</f>
        <v>0</v>
      </c>
      <c r="J29" s="43">
        <f t="shared" si="11"/>
        <v>0</v>
      </c>
      <c r="K29" s="44">
        <f>+'30'!K29+'1'!K29+'2'!K29+'3'!K29+'4'!K29+'5'!K29+'6'!K29+'7'!K29+'8'!K29+'9'!K29+'10'!K29</f>
        <v>0</v>
      </c>
      <c r="L29" s="20">
        <v>100</v>
      </c>
      <c r="M29" s="44">
        <f>+'30'!M29+'1'!M29+'2'!M29+'3'!M29+'4'!M29+'5'!M29+'6'!M29+'7'!M29+'8'!M29+'9'!M29+'10'!M29</f>
        <v>0</v>
      </c>
      <c r="N29" s="19"/>
      <c r="O29" s="90">
        <v>21.27</v>
      </c>
      <c r="P29" s="79">
        <f t="shared" si="3"/>
        <v>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9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46">
        <f>+ยกมา!J30</f>
        <v>0</v>
      </c>
      <c r="F30" s="44">
        <f>+'30'!F30+'1'!F30+'2'!F30+'3'!F30+'4'!F30+'5'!F30+'6'!F30+'7'!F30+'8'!F30+'9'!F30+'10'!F30</f>
        <v>0</v>
      </c>
      <c r="G30" s="43">
        <f t="shared" si="1"/>
        <v>0</v>
      </c>
      <c r="H30" s="78">
        <f>+'30'!H30+'1'!H30+'2'!H30+'3'!H30+'4'!H30+'5'!H30+'6'!H30+'7'!H30+'8'!H30+'9'!H30+'10'!H30</f>
        <v>0</v>
      </c>
      <c r="I30" s="76">
        <f>+'30'!I30+'1'!I30+'2'!I30+'3'!I30+'4'!I30+'5'!I30+'6'!I30+'7'!I30+'8'!I30+'9'!I30+'10'!I30</f>
        <v>0</v>
      </c>
      <c r="J30" s="43">
        <f t="shared" si="11"/>
        <v>0</v>
      </c>
      <c r="K30" s="44">
        <f>+'30'!K30+'1'!K30+'2'!K30+'3'!K30+'4'!K30+'5'!K30+'6'!K30+'7'!K30+'8'!K30+'9'!K30+'10'!K30</f>
        <v>0</v>
      </c>
      <c r="L30" s="20">
        <v>100</v>
      </c>
      <c r="M30" s="44">
        <f>+'30'!M30+'1'!M30+'2'!M30+'3'!M30+'4'!M30+'5'!M30+'6'!M30+'7'!M30+'8'!M30+'9'!M30+'10'!M30</f>
        <v>0</v>
      </c>
      <c r="N30" s="19"/>
      <c r="O30" s="90">
        <v>34.26</v>
      </c>
      <c r="P30" s="79">
        <f t="shared" si="3"/>
        <v>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9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46">
        <f>+ยกมา!J31</f>
        <v>0</v>
      </c>
      <c r="F31" s="44">
        <f>+'30'!F31+'1'!F31+'2'!F31+'3'!F31+'4'!F31+'5'!F31+'6'!F31+'7'!F31+'8'!F31+'9'!F31+'10'!F31</f>
        <v>225</v>
      </c>
      <c r="G31" s="43">
        <f t="shared" si="1"/>
        <v>225</v>
      </c>
      <c r="H31" s="78">
        <f>+'30'!H31+'1'!H31+'2'!H31+'3'!H31+'4'!H31+'5'!H31+'6'!H31+'7'!H31+'8'!H31+'9'!H31+'10'!H31</f>
        <v>0</v>
      </c>
      <c r="I31" s="76">
        <f>+'30'!I31+'1'!I31+'2'!I31+'3'!I31+'4'!I31+'5'!I31+'6'!I31+'7'!I31+'8'!I31+'9'!I31+'10'!I31</f>
        <v>22</v>
      </c>
      <c r="J31" s="43">
        <f t="shared" si="11"/>
        <v>47</v>
      </c>
      <c r="K31" s="44">
        <f>+'30'!K31+'1'!K31+'2'!K31+'3'!K31+'4'!K31+'5'!K31+'6'!K31+'7'!K31+'8'!K31+'9'!K31+'10'!K31</f>
        <v>156</v>
      </c>
      <c r="L31" s="20">
        <v>100</v>
      </c>
      <c r="M31" s="44">
        <f>+'30'!M31+'1'!M31+'2'!M31+'3'!M31+'4'!M31+'5'!M31+'6'!M31+'7'!M31+'8'!M31+'9'!M31+'10'!M31</f>
        <v>15600</v>
      </c>
      <c r="N31" s="19"/>
      <c r="O31" s="90">
        <v>38.46</v>
      </c>
      <c r="P31" s="79">
        <f t="shared" si="3"/>
        <v>5999.76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9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46">
        <f>+ยกมา!J32</f>
        <v>0</v>
      </c>
      <c r="F32" s="44">
        <f>+'30'!F32+'1'!F32+'2'!F32+'3'!F32+'4'!F32+'5'!F32+'6'!F32+'7'!F32+'8'!F32+'9'!F32+'10'!F32</f>
        <v>17</v>
      </c>
      <c r="G32" s="43">
        <f t="shared" si="1"/>
        <v>17</v>
      </c>
      <c r="H32" s="78">
        <f>+'30'!H32+'1'!H32+'2'!H32+'3'!H32+'4'!H32+'5'!H32+'6'!H32+'7'!H32+'8'!H32+'9'!H32+'10'!H32</f>
        <v>0</v>
      </c>
      <c r="I32" s="76">
        <f>+'30'!I32+'1'!I32+'2'!I32+'3'!I32+'4'!I32+'5'!I32+'6'!I32+'7'!I32+'8'!I32+'9'!I32+'10'!I32</f>
        <v>0</v>
      </c>
      <c r="J32" s="43">
        <f t="shared" si="11"/>
        <v>8</v>
      </c>
      <c r="K32" s="44">
        <f>+'30'!K32+'1'!K32+'2'!K32+'3'!K32+'4'!K32+'5'!K32+'6'!K32+'7'!K32+'8'!K32+'9'!K32+'10'!K32</f>
        <v>9</v>
      </c>
      <c r="L32" s="20">
        <v>130</v>
      </c>
      <c r="M32" s="44">
        <f>+'30'!M32+'1'!M32+'2'!M32+'3'!M32+'4'!M32+'5'!M32+'6'!M32+'7'!M32+'8'!M32+'9'!M32+'10'!M32</f>
        <v>1170</v>
      </c>
      <c r="N32" s="19"/>
      <c r="O32" s="90">
        <v>46.37</v>
      </c>
      <c r="P32" s="79">
        <f t="shared" si="3"/>
        <v>417.33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46">
        <f>+ยกมา!J33</f>
        <v>0</v>
      </c>
      <c r="F33" s="44">
        <f>+'30'!F33+'1'!F33+'2'!F33+'3'!F33+'4'!F33+'5'!F33+'6'!F33+'7'!F33+'8'!F33+'9'!F33+'10'!F33</f>
        <v>17</v>
      </c>
      <c r="G33" s="43">
        <f t="shared" si="1"/>
        <v>17</v>
      </c>
      <c r="H33" s="78">
        <f>+'30'!H33+'1'!H33+'2'!H33+'3'!H33+'4'!H33+'5'!H33+'6'!H33+'7'!H33+'8'!H33+'9'!H33+'10'!H33</f>
        <v>0</v>
      </c>
      <c r="I33" s="76">
        <f>+'30'!I33+'1'!I33+'2'!I33+'3'!I33+'4'!I33+'5'!I33+'6'!I33+'7'!I33+'8'!I33+'9'!I33+'10'!I33</f>
        <v>0</v>
      </c>
      <c r="J33" s="43">
        <f t="shared" si="11"/>
        <v>0</v>
      </c>
      <c r="K33" s="44">
        <f>+'30'!K33+'1'!K33+'2'!K33+'3'!K33+'4'!K33+'5'!K33+'6'!K33+'7'!K33+'8'!K33+'9'!K33+'10'!K33</f>
        <v>17</v>
      </c>
      <c r="L33" s="20">
        <v>130</v>
      </c>
      <c r="M33" s="44">
        <f>+'30'!M33+'1'!M33+'2'!M33+'3'!M33+'4'!M33+'5'!M33+'6'!M33+'7'!M33+'8'!M33+'9'!M33+'10'!M33</f>
        <v>2210</v>
      </c>
      <c r="N33" s="19"/>
      <c r="O33" s="90">
        <v>38.9</v>
      </c>
      <c r="P33" s="79">
        <f t="shared" si="3"/>
        <v>661.3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46">
        <f>+ยกมา!J34</f>
        <v>0</v>
      </c>
      <c r="F34" s="44">
        <f>+'30'!F34+'1'!F34+'2'!F34+'3'!F34+'4'!F34+'5'!F34+'6'!F34+'7'!F34+'8'!F34+'9'!F34+'10'!F34</f>
        <v>0</v>
      </c>
      <c r="G34" s="43">
        <f t="shared" si="1"/>
        <v>0</v>
      </c>
      <c r="H34" s="78">
        <f>+'30'!H34+'1'!H34+'2'!H34+'3'!H34+'4'!H34+'5'!H34+'6'!H34+'7'!H34+'8'!H34+'9'!H34+'10'!H34</f>
        <v>0</v>
      </c>
      <c r="I34" s="76">
        <f>+'30'!I34+'1'!I34+'2'!I34+'3'!I34+'4'!I34+'5'!I34+'6'!I34+'7'!I34+'8'!I34+'9'!I34+'10'!I34</f>
        <v>0</v>
      </c>
      <c r="J34" s="43">
        <f t="shared" si="11"/>
        <v>0</v>
      </c>
      <c r="K34" s="44">
        <f>+'30'!K34+'1'!K34+'2'!K34+'3'!K34+'4'!K34+'5'!K34+'6'!K34+'7'!K34+'8'!K34+'9'!K34+'10'!K34</f>
        <v>0</v>
      </c>
      <c r="L34" s="20">
        <v>130</v>
      </c>
      <c r="M34" s="44">
        <f>+'30'!M34+'1'!M34+'2'!M34+'3'!M34+'4'!M34+'5'!M34+'6'!M34+'7'!M34+'8'!M34+'9'!M34+'10'!M34</f>
        <v>0</v>
      </c>
      <c r="N34" s="19"/>
      <c r="O34" s="90">
        <v>38.07</v>
      </c>
      <c r="P34" s="79">
        <f t="shared" si="3"/>
        <v>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46">
        <f>+ยกมา!J35</f>
        <v>0</v>
      </c>
      <c r="F35" s="44">
        <f>+'30'!F35+'1'!F35+'2'!F35+'3'!F35+'4'!F35+'5'!F35+'6'!F35+'7'!F35+'8'!F35+'9'!F35+'10'!F35</f>
        <v>0</v>
      </c>
      <c r="G35" s="43">
        <f t="shared" si="1"/>
        <v>0</v>
      </c>
      <c r="H35" s="78">
        <f>+'30'!H35+'1'!H35+'2'!H35+'3'!H35+'4'!H35+'5'!H35+'6'!H35+'7'!H35+'8'!H35+'9'!H35+'10'!H35</f>
        <v>0</v>
      </c>
      <c r="I35" s="76">
        <f>+'30'!I35+'1'!I35+'2'!I35+'3'!I35+'4'!I35+'5'!I35+'6'!I35+'7'!I35+'8'!I35+'9'!I35+'10'!I35</f>
        <v>0</v>
      </c>
      <c r="J35" s="43">
        <f t="shared" si="11"/>
        <v>0</v>
      </c>
      <c r="K35" s="44">
        <f>+'30'!K35+'1'!K35+'2'!K35+'3'!K35+'4'!K35+'5'!K35+'6'!K35+'7'!K35+'8'!K35+'9'!K35+'10'!K35</f>
        <v>0</v>
      </c>
      <c r="L35" s="20">
        <v>130</v>
      </c>
      <c r="M35" s="44">
        <f>+'30'!M35+'1'!M35+'2'!M35+'3'!M35+'4'!M35+'5'!M35+'6'!M35+'7'!M35+'8'!M35+'9'!M35+'10'!M35</f>
        <v>0</v>
      </c>
      <c r="N35" s="19"/>
      <c r="O35" s="90">
        <v>40.799999999999997</v>
      </c>
      <c r="P35" s="79">
        <f t="shared" si="3"/>
        <v>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46">
        <f>+ยกมา!J36</f>
        <v>0</v>
      </c>
      <c r="F36" s="44">
        <f>+'30'!F36+'1'!F36+'2'!F36+'3'!F36+'4'!F36+'5'!F36+'6'!F36+'7'!F36+'8'!F36+'9'!F36+'10'!F36</f>
        <v>0</v>
      </c>
      <c r="G36" s="43">
        <f t="shared" si="1"/>
        <v>0</v>
      </c>
      <c r="H36" s="78">
        <f>+'30'!H36+'1'!H36+'2'!H36+'3'!H36+'4'!H36+'5'!H36+'6'!H36+'7'!H36+'8'!H36+'9'!H36+'10'!H36</f>
        <v>0</v>
      </c>
      <c r="I36" s="76">
        <f>+'30'!I36+'1'!I36+'2'!I36+'3'!I36+'4'!I36+'5'!I36+'6'!I36+'7'!I36+'8'!I36+'9'!I36+'10'!I36</f>
        <v>0</v>
      </c>
      <c r="J36" s="43">
        <f t="shared" si="11"/>
        <v>0</v>
      </c>
      <c r="K36" s="44">
        <f>+'30'!K36+'1'!K36+'2'!K36+'3'!K36+'4'!K36+'5'!K36+'6'!K36+'7'!K36+'8'!K36+'9'!K36+'10'!K36</f>
        <v>0</v>
      </c>
      <c r="L36" s="20">
        <v>35</v>
      </c>
      <c r="M36" s="44">
        <f>+'30'!M36+'1'!M36+'2'!M36+'3'!M36+'4'!M36+'5'!M36+'6'!M36+'7'!M36+'8'!M36+'9'!M36+'10'!M36</f>
        <v>0</v>
      </c>
      <c r="N36" s="19"/>
      <c r="O36" s="92">
        <v>0</v>
      </c>
      <c r="P36" s="79">
        <f t="shared" si="3"/>
        <v>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46">
        <f>+ยกมา!J37</f>
        <v>0</v>
      </c>
      <c r="F37" s="44">
        <f>+'30'!F37+'1'!F37+'2'!F37+'3'!F37+'4'!F37+'5'!F37+'6'!F37+'7'!F37+'8'!F37+'9'!F37+'10'!F37</f>
        <v>0</v>
      </c>
      <c r="G37" s="43">
        <f t="shared" si="1"/>
        <v>0</v>
      </c>
      <c r="H37" s="78">
        <f>+'30'!H37+'1'!H37+'2'!H37+'3'!H37+'4'!H37+'5'!H37+'6'!H37+'7'!H37+'8'!H37+'9'!H37+'10'!H37</f>
        <v>0</v>
      </c>
      <c r="I37" s="76">
        <f>+'30'!I37+'1'!I37+'2'!I37+'3'!I37+'4'!I37+'5'!I37+'6'!I37+'7'!I37+'8'!I37+'9'!I37+'10'!I37</f>
        <v>0</v>
      </c>
      <c r="J37" s="43">
        <f t="shared" si="11"/>
        <v>0</v>
      </c>
      <c r="K37" s="44">
        <f>+'30'!K37+'1'!K37+'2'!K37+'3'!K37+'4'!K37+'5'!K37+'6'!K37+'7'!K37+'8'!K37+'9'!K37+'10'!K37</f>
        <v>0</v>
      </c>
      <c r="L37" s="20">
        <v>35</v>
      </c>
      <c r="M37" s="44">
        <f>+'30'!M37+'1'!M37+'2'!M37+'3'!M37+'4'!M37+'5'!M37+'6'!M37+'7'!M37+'8'!M37+'9'!M37+'10'!M37</f>
        <v>0</v>
      </c>
      <c r="N37" s="19"/>
      <c r="O37" s="92">
        <v>0</v>
      </c>
      <c r="P37" s="79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46">
        <f>+ยกมา!J38</f>
        <v>0</v>
      </c>
      <c r="F38" s="44">
        <f>+'30'!F38+'1'!F38+'2'!F38+'3'!F38+'4'!F38+'5'!F38+'6'!F38+'7'!F38+'8'!F38+'9'!F38+'10'!F38</f>
        <v>0</v>
      </c>
      <c r="G38" s="43">
        <f t="shared" si="1"/>
        <v>0</v>
      </c>
      <c r="H38" s="78">
        <f>+'30'!H38+'1'!H38+'2'!H38+'3'!H38+'4'!H38+'5'!H38+'6'!H38+'7'!H38+'8'!H38+'9'!H38+'10'!H38</f>
        <v>0</v>
      </c>
      <c r="I38" s="76">
        <f>+'30'!I38+'1'!I38+'2'!I38+'3'!I38+'4'!I38+'5'!I38+'6'!I38+'7'!I38+'8'!I38+'9'!I38+'10'!I38</f>
        <v>0</v>
      </c>
      <c r="J38" s="43">
        <f>E38+F38-H38-K38-I38</f>
        <v>0</v>
      </c>
      <c r="K38" s="44">
        <f>+'30'!K38+'1'!K38+'2'!K38+'3'!K38+'4'!K38+'5'!K38+'6'!K38+'7'!K38+'8'!K38+'9'!K38+'10'!K38</f>
        <v>0</v>
      </c>
      <c r="L38" s="20">
        <v>35</v>
      </c>
      <c r="M38" s="44">
        <f>+'30'!M38+'1'!M38+'2'!M38+'3'!M38+'4'!M38+'5'!M38+'6'!M38+'7'!M38+'8'!M38+'9'!M38+'10'!M38</f>
        <v>0</v>
      </c>
      <c r="N38" s="19"/>
      <c r="O38" s="116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46">
        <f>+ยกมา!J39</f>
        <v>0</v>
      </c>
      <c r="F39" s="44">
        <f>+'30'!F39+'1'!F39+'2'!F39+'3'!F39+'4'!F39+'5'!F39+'6'!F39+'7'!F39+'8'!F39+'9'!F39+'10'!F39</f>
        <v>109</v>
      </c>
      <c r="G39" s="43">
        <f t="shared" si="1"/>
        <v>109</v>
      </c>
      <c r="H39" s="78">
        <f>+'30'!H39+'1'!H39+'2'!H39+'3'!H39+'4'!H39+'5'!H39+'6'!H39+'7'!H39+'8'!H39+'9'!H39+'10'!H39</f>
        <v>0</v>
      </c>
      <c r="I39" s="76">
        <f>+'30'!I39+'1'!I39+'2'!I39+'3'!I39+'4'!I39+'5'!I39+'6'!I39+'7'!I39+'8'!I39+'9'!I39+'10'!I39</f>
        <v>2</v>
      </c>
      <c r="J39" s="43">
        <f t="shared" si="11"/>
        <v>10</v>
      </c>
      <c r="K39" s="44">
        <f>+'30'!K39+'1'!K39+'2'!K39+'3'!K39+'4'!K39+'5'!K39+'6'!K39+'7'!K39+'8'!K39+'9'!K39+'10'!K39</f>
        <v>97</v>
      </c>
      <c r="L39" s="20">
        <v>50</v>
      </c>
      <c r="M39" s="44">
        <f>+'30'!M39+'1'!M39+'2'!M39+'3'!M39+'4'!M39+'5'!M39+'6'!M39+'7'!M39+'8'!M39+'9'!M39+'10'!M39</f>
        <v>4850</v>
      </c>
      <c r="N39" s="19"/>
      <c r="O39" s="90">
        <v>27.84</v>
      </c>
      <c r="P39" s="79">
        <f t="shared" si="3"/>
        <v>2700.48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46">
        <f>+ยกมา!J40</f>
        <v>0</v>
      </c>
      <c r="F40" s="44">
        <f>+'30'!F40+'1'!F40+'2'!F40+'3'!F40+'4'!F40+'5'!F40+'6'!F40+'7'!F40+'8'!F40+'9'!F40+'10'!F40</f>
        <v>59</v>
      </c>
      <c r="G40" s="43">
        <f t="shared" si="1"/>
        <v>59</v>
      </c>
      <c r="H40" s="78">
        <f>+'30'!H40+'1'!H40+'2'!H40+'3'!H40+'4'!H40+'5'!H40+'6'!H40+'7'!H40+'8'!H40+'9'!H40+'10'!H40</f>
        <v>1</v>
      </c>
      <c r="I40" s="76">
        <f>+'30'!I40+'1'!I40+'2'!I40+'3'!I40+'4'!I40+'5'!I40+'6'!I40+'7'!I40+'8'!I40+'9'!I40+'10'!I40</f>
        <v>0</v>
      </c>
      <c r="J40" s="43">
        <f t="shared" si="11"/>
        <v>8</v>
      </c>
      <c r="K40" s="44">
        <f>+'30'!K40+'1'!K40+'2'!K40+'3'!K40+'4'!K40+'5'!K40+'6'!K40+'7'!K40+'8'!K40+'9'!K40+'10'!K40</f>
        <v>50</v>
      </c>
      <c r="L40" s="20">
        <v>50</v>
      </c>
      <c r="M40" s="44">
        <f>+'30'!M40+'1'!M40+'2'!M40+'3'!M40+'4'!M40+'5'!M40+'6'!M40+'7'!M40+'8'!M40+'9'!M40+'10'!M40</f>
        <v>2500</v>
      </c>
      <c r="N40" s="19"/>
      <c r="O40" s="90">
        <v>27.12</v>
      </c>
      <c r="P40" s="79">
        <f t="shared" si="3"/>
        <v>1356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46">
        <f>+ยกมา!J41</f>
        <v>0</v>
      </c>
      <c r="F41" s="44">
        <f>+'30'!F41+'1'!F41+'2'!F41+'3'!F41+'4'!F41+'5'!F41+'6'!F41+'7'!F41+'8'!F41+'9'!F41+'10'!F41</f>
        <v>30</v>
      </c>
      <c r="G41" s="43">
        <f t="shared" si="1"/>
        <v>30</v>
      </c>
      <c r="H41" s="78">
        <f>+'30'!H41+'1'!H41+'2'!H41+'3'!H41+'4'!H41+'5'!H41+'6'!H41+'7'!H41+'8'!H41+'9'!H41+'10'!H41</f>
        <v>0</v>
      </c>
      <c r="I41" s="76">
        <f>+'30'!I41+'1'!I41+'2'!I41+'3'!I41+'4'!I41+'5'!I41+'6'!I41+'7'!I41+'8'!I41+'9'!I41+'10'!I41</f>
        <v>0</v>
      </c>
      <c r="J41" s="43">
        <f t="shared" si="11"/>
        <v>1</v>
      </c>
      <c r="K41" s="44">
        <f>+'30'!K41+'1'!K41+'2'!K41+'3'!K41+'4'!K41+'5'!K41+'6'!K41+'7'!K41+'8'!K41+'9'!K41+'10'!K41</f>
        <v>29</v>
      </c>
      <c r="L41" s="20">
        <v>50</v>
      </c>
      <c r="M41" s="44">
        <f>+'30'!M41+'1'!M41+'2'!M41+'3'!M41+'4'!M41+'5'!M41+'6'!M41+'7'!M41+'8'!M41+'9'!M41+'10'!M41</f>
        <v>1450</v>
      </c>
      <c r="N41" s="19"/>
      <c r="O41" s="90">
        <v>15.42</v>
      </c>
      <c r="P41" s="79">
        <f t="shared" si="3"/>
        <v>447.18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46">
        <f>+ยกมา!J42</f>
        <v>0</v>
      </c>
      <c r="F42" s="44">
        <f>+'30'!F42+'1'!F42+'2'!F42+'3'!F42+'4'!F42+'5'!F42+'6'!F42+'7'!F42+'8'!F42+'9'!F42+'10'!F42</f>
        <v>5</v>
      </c>
      <c r="G42" s="43">
        <f t="shared" si="1"/>
        <v>5</v>
      </c>
      <c r="H42" s="78">
        <f>+'30'!H42+'1'!H42+'2'!H42+'3'!H42+'4'!H42+'5'!H42+'6'!H42+'7'!H42+'8'!H42+'9'!H42+'10'!H42</f>
        <v>0</v>
      </c>
      <c r="I42" s="76">
        <f>+'30'!I42+'1'!I42+'2'!I42+'3'!I42+'4'!I42+'5'!I42+'6'!I42+'7'!I42+'8'!I42+'9'!I42+'10'!I42</f>
        <v>0</v>
      </c>
      <c r="J42" s="43">
        <f t="shared" si="11"/>
        <v>0</v>
      </c>
      <c r="K42" s="44">
        <f>+'30'!K42+'1'!K42+'2'!K42+'3'!K42+'4'!K42+'5'!K42+'6'!K42+'7'!K42+'8'!K42+'9'!K42+'10'!K42</f>
        <v>5</v>
      </c>
      <c r="L42" s="20">
        <v>25</v>
      </c>
      <c r="M42" s="44">
        <f>+'30'!M42+'1'!M42+'2'!M42+'3'!M42+'4'!M42+'5'!M42+'6'!M42+'7'!M42+'8'!M42+'9'!M42+'10'!M42</f>
        <v>285</v>
      </c>
      <c r="N42" s="19"/>
      <c r="O42" s="90">
        <v>15.55</v>
      </c>
      <c r="P42" s="79">
        <f t="shared" si="3"/>
        <v>77.75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46">
        <f>+ยกมา!J43</f>
        <v>0</v>
      </c>
      <c r="F43" s="44">
        <f>+'30'!F43+'1'!F43+'2'!F43+'3'!F43+'4'!F43+'5'!F43+'6'!F43+'7'!F43+'8'!F43+'9'!F43+'10'!F43</f>
        <v>5</v>
      </c>
      <c r="G43" s="43">
        <f t="shared" si="1"/>
        <v>5</v>
      </c>
      <c r="H43" s="78">
        <f>+'30'!H43+'1'!H43+'2'!H43+'3'!H43+'4'!H43+'5'!H43+'6'!H43+'7'!H43+'8'!H43+'9'!H43+'10'!H43</f>
        <v>0</v>
      </c>
      <c r="I43" s="76">
        <f>+'30'!I43+'1'!I43+'2'!I43+'3'!I43+'4'!I43+'5'!I43+'6'!I43+'7'!I43+'8'!I43+'9'!I43+'10'!I43</f>
        <v>0</v>
      </c>
      <c r="J43" s="43">
        <f t="shared" si="11"/>
        <v>0</v>
      </c>
      <c r="K43" s="44">
        <f>+'30'!K43+'1'!K43+'2'!K43+'3'!K43+'4'!K43+'5'!K43+'6'!K43+'7'!K43+'8'!K43+'9'!K43+'10'!K43</f>
        <v>5</v>
      </c>
      <c r="L43" s="20">
        <v>65</v>
      </c>
      <c r="M43" s="44">
        <f>+'30'!M43+'1'!M43+'2'!M43+'3'!M43+'4'!M43+'5'!M43+'6'!M43+'7'!M43+'8'!M43+'9'!M43+'10'!M43</f>
        <v>325</v>
      </c>
      <c r="N43" s="19"/>
      <c r="O43" s="90">
        <v>15.31</v>
      </c>
      <c r="P43" s="79">
        <f t="shared" si="3"/>
        <v>76.55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46">
        <f>+ยกมา!J44</f>
        <v>0</v>
      </c>
      <c r="F44" s="44">
        <f>+'30'!F44+'1'!F44+'2'!F44+'3'!F44+'4'!F44+'5'!F44+'6'!F44+'7'!F44+'8'!F44+'9'!F44+'10'!F44</f>
        <v>5</v>
      </c>
      <c r="G44" s="43">
        <f t="shared" si="1"/>
        <v>5</v>
      </c>
      <c r="H44" s="78">
        <f>+'30'!H44+'1'!H44+'2'!H44+'3'!H44+'4'!H44+'5'!H44+'6'!H44+'7'!H44+'8'!H44+'9'!H44+'10'!H44</f>
        <v>0</v>
      </c>
      <c r="I44" s="76">
        <f>+'30'!I44+'1'!I44+'2'!I44+'3'!I44+'4'!I44+'5'!I44+'6'!I44+'7'!I44+'8'!I44+'9'!I44+'10'!I44</f>
        <v>0</v>
      </c>
      <c r="J44" s="43">
        <f t="shared" si="11"/>
        <v>0</v>
      </c>
      <c r="K44" s="44">
        <f>+'30'!K44+'1'!K44+'2'!K44+'3'!K44+'4'!K44+'5'!K44+'6'!K44+'7'!K44+'8'!K44+'9'!K44+'10'!K44</f>
        <v>5</v>
      </c>
      <c r="L44" s="20">
        <v>65</v>
      </c>
      <c r="M44" s="44">
        <f>+'30'!M44+'1'!M44+'2'!M44+'3'!M44+'4'!M44+'5'!M44+'6'!M44+'7'!M44+'8'!M44+'9'!M44+'10'!M44</f>
        <v>325</v>
      </c>
      <c r="N44" s="19"/>
      <c r="O44" s="90">
        <v>15.31</v>
      </c>
      <c r="P44" s="79">
        <f t="shared" si="3"/>
        <v>76.55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46">
        <f>+ยกมา!J45</f>
        <v>0</v>
      </c>
      <c r="F45" s="44">
        <f>+'30'!F45+'1'!F45+'2'!F45+'3'!F45+'4'!F45+'5'!F45+'6'!F45+'7'!F45+'8'!F45+'9'!F45+'10'!F45</f>
        <v>0</v>
      </c>
      <c r="G45" s="43">
        <f t="shared" si="1"/>
        <v>0</v>
      </c>
      <c r="H45" s="78">
        <f>+'30'!H45+'1'!H45+'2'!H45+'3'!H45+'4'!H45+'5'!H45+'6'!H45+'7'!H45+'8'!H45+'9'!H45+'10'!H45</f>
        <v>0</v>
      </c>
      <c r="I45" s="76">
        <f>+'30'!I45+'1'!I45+'2'!I45+'3'!I45+'4'!I45+'5'!I45+'6'!I45+'7'!I45+'8'!I45+'9'!I45+'10'!I45</f>
        <v>0</v>
      </c>
      <c r="J45" s="43">
        <f t="shared" si="11"/>
        <v>0</v>
      </c>
      <c r="K45" s="44">
        <f>+'30'!K45+'1'!K45+'2'!K45+'3'!K45+'4'!K45+'5'!K45+'6'!K45+'7'!K45+'8'!K45+'9'!K45+'10'!K45</f>
        <v>0</v>
      </c>
      <c r="L45" s="20">
        <v>35</v>
      </c>
      <c r="M45" s="44">
        <f>+'30'!M45+'1'!M45+'2'!M45+'3'!M45+'4'!M45+'5'!M45+'6'!M45+'7'!M45+'8'!M45+'9'!M45+'10'!M45</f>
        <v>0</v>
      </c>
      <c r="N45" s="19"/>
      <c r="O45" s="92">
        <v>0</v>
      </c>
      <c r="P45" s="79">
        <f t="shared" si="3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46">
        <f>+ยกมา!J46</f>
        <v>0</v>
      </c>
      <c r="F46" s="44">
        <f>+'30'!F46+'1'!F46+'2'!F46+'3'!F46+'4'!F46+'5'!F46+'6'!F46+'7'!F46+'8'!F46+'9'!F46+'10'!F46</f>
        <v>56</v>
      </c>
      <c r="G46" s="43">
        <f t="shared" si="1"/>
        <v>56</v>
      </c>
      <c r="H46" s="78">
        <f>+'30'!H46+'1'!H46+'2'!H46+'3'!H46+'4'!H46+'5'!H46+'6'!H46+'7'!H46+'8'!H46+'9'!H46+'10'!H46</f>
        <v>0</v>
      </c>
      <c r="I46" s="76">
        <f>+'30'!I46+'1'!I46+'2'!I46+'3'!I46+'4'!I46+'5'!I46+'6'!I46+'7'!I46+'8'!I46+'9'!I46+'10'!I46</f>
        <v>0</v>
      </c>
      <c r="J46" s="43">
        <f t="shared" si="11"/>
        <v>12</v>
      </c>
      <c r="K46" s="44">
        <f>+'30'!K46+'1'!K46+'2'!K46+'3'!K46+'4'!K46+'5'!K46+'6'!K46+'7'!K46+'8'!K46+'9'!K46+'10'!K46</f>
        <v>44</v>
      </c>
      <c r="L46" s="20">
        <v>50</v>
      </c>
      <c r="M46" s="44">
        <f>+'30'!M46+'1'!M46+'2'!M46+'3'!M46+'4'!M46+'5'!M46+'6'!M46+'7'!M46+'8'!M46+'9'!M46+'10'!M46</f>
        <v>2200</v>
      </c>
      <c r="N46" s="19"/>
      <c r="O46" s="90">
        <v>19.05</v>
      </c>
      <c r="P46" s="79">
        <f t="shared" si="3"/>
        <v>838.2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46">
        <f>+ยกมา!J47</f>
        <v>0</v>
      </c>
      <c r="F47" s="44">
        <f>+'30'!F47+'1'!F47+'2'!F47+'3'!F47+'4'!F47+'5'!F47+'6'!F47+'7'!F47+'8'!F47+'9'!F47+'10'!F47</f>
        <v>57</v>
      </c>
      <c r="G47" s="43">
        <f t="shared" si="1"/>
        <v>57</v>
      </c>
      <c r="H47" s="78">
        <f>+'30'!H47+'1'!H47+'2'!H47+'3'!H47+'4'!H47+'5'!H47+'6'!H47+'7'!H47+'8'!H47+'9'!H47+'10'!H47</f>
        <v>0</v>
      </c>
      <c r="I47" s="76">
        <f>+'30'!I47+'1'!I47+'2'!I47+'3'!I47+'4'!I47+'5'!I47+'6'!I47+'7'!I47+'8'!I47+'9'!I47+'10'!I47</f>
        <v>0</v>
      </c>
      <c r="J47" s="43">
        <f t="shared" si="11"/>
        <v>9</v>
      </c>
      <c r="K47" s="44">
        <f>+'30'!K47+'1'!K47+'2'!K47+'3'!K47+'4'!K47+'5'!K47+'6'!K47+'7'!K47+'8'!K47+'9'!K47+'10'!K47</f>
        <v>48</v>
      </c>
      <c r="L47" s="20">
        <v>50</v>
      </c>
      <c r="M47" s="44">
        <f>+'30'!M47+'1'!M47+'2'!M47+'3'!M47+'4'!M47+'5'!M47+'6'!M47+'7'!M47+'8'!M47+'9'!M47+'10'!M47</f>
        <v>2400</v>
      </c>
      <c r="N47" s="19"/>
      <c r="O47" s="90">
        <v>19.21</v>
      </c>
      <c r="P47" s="79">
        <f t="shared" si="3"/>
        <v>922.08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46">
        <f>+ยกมา!J48</f>
        <v>0</v>
      </c>
      <c r="F48" s="44">
        <f>+'30'!F48+'1'!F48+'2'!F48+'3'!F48+'4'!F48+'5'!F48+'6'!F48+'7'!F48+'8'!F48+'9'!F48+'10'!F48</f>
        <v>57</v>
      </c>
      <c r="G48" s="43">
        <f t="shared" si="1"/>
        <v>57</v>
      </c>
      <c r="H48" s="78">
        <f>+'30'!H48+'1'!H48+'2'!H48+'3'!H48+'4'!H48+'5'!H48+'6'!H48+'7'!H48+'8'!H48+'9'!H48+'10'!H48</f>
        <v>0</v>
      </c>
      <c r="I48" s="76">
        <f>+'30'!I48+'1'!I48+'2'!I48+'3'!I48+'4'!I48+'5'!I48+'6'!I48+'7'!I48+'8'!I48+'9'!I48+'10'!I48</f>
        <v>0</v>
      </c>
      <c r="J48" s="43">
        <f t="shared" si="11"/>
        <v>0</v>
      </c>
      <c r="K48" s="44">
        <f>+'30'!K48+'1'!K48+'2'!K48+'3'!K48+'4'!K48+'5'!K48+'6'!K48+'7'!K48+'8'!K48+'9'!K48+'10'!K48</f>
        <v>57</v>
      </c>
      <c r="L48" s="20">
        <v>50</v>
      </c>
      <c r="M48" s="44">
        <f>+'30'!M48+'1'!M48+'2'!M48+'3'!M48+'4'!M48+'5'!M48+'6'!M48+'7'!M48+'8'!M48+'9'!M48+'10'!M48</f>
        <v>2850</v>
      </c>
      <c r="N48" s="19"/>
      <c r="O48" s="90">
        <v>18.88</v>
      </c>
      <c r="P48" s="79">
        <f t="shared" si="3"/>
        <v>1076.1599999999999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46">
        <f>+ยกมา!J49</f>
        <v>0</v>
      </c>
      <c r="F49" s="44">
        <f>+'30'!F49+'1'!F49+'2'!F49+'3'!F49+'4'!F49+'5'!F49+'6'!F49+'7'!F49+'8'!F49+'9'!F49+'10'!F49</f>
        <v>58</v>
      </c>
      <c r="G49" s="43">
        <f t="shared" si="1"/>
        <v>58</v>
      </c>
      <c r="H49" s="78">
        <f>+'30'!H49+'1'!H49+'2'!H49+'3'!H49+'4'!H49+'5'!H49+'6'!H49+'7'!H49+'8'!H49+'9'!H49+'10'!H49</f>
        <v>0</v>
      </c>
      <c r="I49" s="76">
        <f>+'30'!I49+'1'!I49+'2'!I49+'3'!I49+'4'!I49+'5'!I49+'6'!I49+'7'!I49+'8'!I49+'9'!I49+'10'!I49</f>
        <v>0</v>
      </c>
      <c r="J49" s="43">
        <f t="shared" si="11"/>
        <v>18</v>
      </c>
      <c r="K49" s="44">
        <f>+'30'!K49+'1'!K49+'2'!K49+'3'!K49+'4'!K49+'5'!K49+'6'!K49+'7'!K49+'8'!K49+'9'!K49+'10'!K49</f>
        <v>40</v>
      </c>
      <c r="L49" s="20">
        <v>50</v>
      </c>
      <c r="M49" s="44">
        <f>+'30'!M49+'1'!M49+'2'!M49+'3'!M49+'4'!M49+'5'!M49+'6'!M49+'7'!M49+'8'!M49+'9'!M49+'10'!M49</f>
        <v>2000</v>
      </c>
      <c r="N49" s="19"/>
      <c r="O49" s="90">
        <v>20.43</v>
      </c>
      <c r="P49" s="79">
        <f t="shared" si="3"/>
        <v>817.2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46">
        <f>+ยกมา!J50</f>
        <v>0</v>
      </c>
      <c r="F50" s="44">
        <f>+'30'!F50+'1'!F50+'2'!F50+'3'!F50+'4'!F50+'5'!F50+'6'!F50+'7'!F50+'8'!F50+'9'!F50+'10'!F50</f>
        <v>56</v>
      </c>
      <c r="G50" s="43">
        <f t="shared" si="1"/>
        <v>56</v>
      </c>
      <c r="H50" s="78">
        <f>+'30'!H50+'1'!H50+'2'!H50+'3'!H50+'4'!H50+'5'!H50+'6'!H50+'7'!H50+'8'!H50+'9'!H50+'10'!H50</f>
        <v>0</v>
      </c>
      <c r="I50" s="76">
        <f>+'30'!I50+'1'!I50+'2'!I50+'3'!I50+'4'!I50+'5'!I50+'6'!I50+'7'!I50+'8'!I50+'9'!I50+'10'!I50</f>
        <v>0</v>
      </c>
      <c r="J50" s="43">
        <f t="shared" si="11"/>
        <v>6</v>
      </c>
      <c r="K50" s="44">
        <f>+'30'!K50+'1'!K50+'2'!K50+'3'!K50+'4'!K50+'5'!K50+'6'!K50+'7'!K50+'8'!K50+'9'!K50+'10'!K50</f>
        <v>50</v>
      </c>
      <c r="L50" s="20">
        <v>50</v>
      </c>
      <c r="M50" s="44">
        <f>+'30'!M50+'1'!M50+'2'!M50+'3'!M50+'4'!M50+'5'!M50+'6'!M50+'7'!M50+'8'!M50+'9'!M50+'10'!M50</f>
        <v>2500</v>
      </c>
      <c r="N50" s="19"/>
      <c r="O50" s="90">
        <v>21.81</v>
      </c>
      <c r="P50" s="79">
        <f t="shared" si="3"/>
        <v>1090.5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46">
        <f>+ยกมา!J51</f>
        <v>0</v>
      </c>
      <c r="F51" s="44">
        <f>+'30'!F51+'1'!F51+'2'!F51+'3'!F51+'4'!F51+'5'!F51+'6'!F51+'7'!F51+'8'!F51+'9'!F51+'10'!F51</f>
        <v>58</v>
      </c>
      <c r="G51" s="43">
        <f t="shared" si="1"/>
        <v>58</v>
      </c>
      <c r="H51" s="78">
        <f>+'30'!H51+'1'!H51+'2'!H51+'3'!H51+'4'!H51+'5'!H51+'6'!H51+'7'!H51+'8'!H51+'9'!H51+'10'!H51</f>
        <v>0</v>
      </c>
      <c r="I51" s="76">
        <f>+'30'!I51+'1'!I51+'2'!I51+'3'!I51+'4'!I51+'5'!I51+'6'!I51+'7'!I51+'8'!I51+'9'!I51+'10'!I51</f>
        <v>0</v>
      </c>
      <c r="J51" s="43">
        <f t="shared" si="11"/>
        <v>13</v>
      </c>
      <c r="K51" s="44">
        <f>+'30'!K51+'1'!K51+'2'!K51+'3'!K51+'4'!K51+'5'!K51+'6'!K51+'7'!K51+'8'!K51+'9'!K51+'10'!K51</f>
        <v>45</v>
      </c>
      <c r="L51" s="20">
        <v>50</v>
      </c>
      <c r="M51" s="44">
        <f>+'30'!M51+'1'!M51+'2'!M51+'3'!M51+'4'!M51+'5'!M51+'6'!M51+'7'!M51+'8'!M51+'9'!M51+'10'!M51</f>
        <v>2250</v>
      </c>
      <c r="N51" s="19"/>
      <c r="O51" s="90">
        <v>14.65</v>
      </c>
      <c r="P51" s="79">
        <f t="shared" si="3"/>
        <v>659.25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46">
        <f>+ยกมา!J52</f>
        <v>0</v>
      </c>
      <c r="F52" s="44">
        <f>+'30'!F52+'1'!F52+'2'!F52+'3'!F52+'4'!F52+'5'!F52+'6'!F52+'7'!F52+'8'!F52+'9'!F52+'10'!F52</f>
        <v>0</v>
      </c>
      <c r="G52" s="43">
        <f t="shared" si="1"/>
        <v>0</v>
      </c>
      <c r="H52" s="78">
        <f>+'30'!H52+'1'!H52+'2'!H52+'3'!H52+'4'!H52+'5'!H52+'6'!H52+'7'!H52+'8'!H52+'9'!H52+'10'!H52</f>
        <v>0</v>
      </c>
      <c r="I52" s="76">
        <f>+'30'!I52+'1'!I52+'2'!I52+'3'!I52+'4'!I52+'5'!I52+'6'!I52+'7'!I52+'8'!I52+'9'!I52+'10'!I52</f>
        <v>0</v>
      </c>
      <c r="J52" s="43">
        <f t="shared" si="11"/>
        <v>0</v>
      </c>
      <c r="K52" s="44">
        <f>+'30'!K52+'1'!K52+'2'!K52+'3'!K52+'4'!K52+'5'!K52+'6'!K52+'7'!K52+'8'!K52+'9'!K52+'10'!K52</f>
        <v>0</v>
      </c>
      <c r="L52" s="20">
        <v>50</v>
      </c>
      <c r="M52" s="44">
        <f>+'30'!M52+'1'!M52+'2'!M52+'3'!M52+'4'!M52+'5'!M52+'6'!M52+'7'!M52+'8'!M52+'9'!M52+'10'!M52</f>
        <v>0</v>
      </c>
      <c r="N52" s="19"/>
      <c r="O52" s="90">
        <v>18.36</v>
      </c>
      <c r="P52" s="79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46">
        <f>+ยกมา!J53</f>
        <v>0</v>
      </c>
      <c r="F53" s="44">
        <f>+'30'!F53+'1'!F53+'2'!F53+'3'!F53+'4'!F53+'5'!F53+'6'!F53+'7'!F53+'8'!F53+'9'!F53+'10'!F53</f>
        <v>56</v>
      </c>
      <c r="G53" s="43">
        <f t="shared" si="1"/>
        <v>56</v>
      </c>
      <c r="H53" s="78">
        <f>+'30'!H53+'1'!H53+'2'!H53+'3'!H53+'4'!H53+'5'!H53+'6'!H53+'7'!H53+'8'!H53+'9'!H53+'10'!H53</f>
        <v>0</v>
      </c>
      <c r="I53" s="76">
        <f>+'30'!I53+'1'!I53+'2'!I53+'3'!I53+'4'!I53+'5'!I53+'6'!I53+'7'!I53+'8'!I53+'9'!I53+'10'!I53</f>
        <v>0</v>
      </c>
      <c r="J53" s="43">
        <f t="shared" si="11"/>
        <v>0</v>
      </c>
      <c r="K53" s="44">
        <f>+'30'!K53+'1'!K53+'2'!K53+'3'!K53+'4'!K53+'5'!K53+'6'!K53+'7'!K53+'8'!K53+'9'!K53+'10'!K53</f>
        <v>56</v>
      </c>
      <c r="L53" s="20">
        <v>50</v>
      </c>
      <c r="M53" s="44">
        <f>+'30'!M53+'1'!M53+'2'!M53+'3'!M53+'4'!M53+'5'!M53+'6'!M53+'7'!M53+'8'!M53+'9'!M53+'10'!M53</f>
        <v>2800</v>
      </c>
      <c r="N53" s="19"/>
      <c r="O53" s="90">
        <v>17.53</v>
      </c>
      <c r="P53" s="79">
        <f t="shared" si="3"/>
        <v>981.68000000000006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46">
        <f>+ยกมา!J54</f>
        <v>0</v>
      </c>
      <c r="F54" s="44">
        <f>+'30'!F54+'1'!F54+'2'!F54+'3'!F54+'4'!F54+'5'!F54+'6'!F54+'7'!F54+'8'!F54+'9'!F54+'10'!F54</f>
        <v>0</v>
      </c>
      <c r="G54" s="43">
        <f t="shared" si="1"/>
        <v>0</v>
      </c>
      <c r="H54" s="78">
        <f>+'30'!H54+'1'!H54+'2'!H54+'3'!H54+'4'!H54+'5'!H54+'6'!H54+'7'!H54+'8'!H54+'9'!H54+'10'!H54</f>
        <v>0</v>
      </c>
      <c r="I54" s="76">
        <f>+'30'!I54+'1'!I54+'2'!I54+'3'!I54+'4'!I54+'5'!I54+'6'!I54+'7'!I54+'8'!I54+'9'!I54+'10'!I54</f>
        <v>0</v>
      </c>
      <c r="J54" s="43">
        <f t="shared" si="11"/>
        <v>0</v>
      </c>
      <c r="K54" s="44">
        <f>+'30'!K54+'1'!K54+'2'!K54+'3'!K54+'4'!K54+'5'!K54+'6'!K54+'7'!K54+'8'!K54+'9'!K54+'10'!K54</f>
        <v>0</v>
      </c>
      <c r="L54" s="20">
        <v>50</v>
      </c>
      <c r="M54" s="44">
        <f>+'30'!M54+'1'!M54+'2'!M54+'3'!M54+'4'!M54+'5'!M54+'6'!M54+'7'!M54+'8'!M54+'9'!M54+'10'!M54</f>
        <v>0</v>
      </c>
      <c r="N54" s="19"/>
      <c r="O54" s="90">
        <v>14.38</v>
      </c>
      <c r="P54" s="79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46">
        <f>+ยกมา!J55</f>
        <v>0</v>
      </c>
      <c r="F55" s="44">
        <f>+'30'!F55+'1'!F55+'2'!F55+'3'!F55+'4'!F55+'5'!F55+'6'!F55+'7'!F55+'8'!F55+'9'!F55+'10'!F55</f>
        <v>8</v>
      </c>
      <c r="G55" s="43">
        <f t="shared" si="1"/>
        <v>8</v>
      </c>
      <c r="H55" s="78">
        <f>+'30'!H55+'1'!H55+'2'!H55+'3'!H55+'4'!H55+'5'!H55+'6'!H55+'7'!H55+'8'!H55+'9'!H55+'10'!H55</f>
        <v>0</v>
      </c>
      <c r="I55" s="76">
        <f>+'30'!I55+'1'!I55+'2'!I55+'3'!I55+'4'!I55+'5'!I55+'6'!I55+'7'!I55+'8'!I55+'9'!I55+'10'!I55</f>
        <v>0</v>
      </c>
      <c r="J55" s="43">
        <f t="shared" si="11"/>
        <v>5</v>
      </c>
      <c r="K55" s="44">
        <f>+'30'!K55+'1'!K55+'2'!K55+'3'!K55+'4'!K55+'5'!K55+'6'!K55+'7'!K55+'8'!K55+'9'!K55+'10'!K55</f>
        <v>3</v>
      </c>
      <c r="L55" s="20">
        <v>120</v>
      </c>
      <c r="M55" s="44">
        <f>+'30'!M55+'1'!M55+'2'!M55+'3'!M55+'4'!M55+'5'!M55+'6'!M55+'7'!M55+'8'!M55+'9'!M55+'10'!M55</f>
        <v>360</v>
      </c>
      <c r="N55" s="19"/>
      <c r="O55" s="90">
        <v>29.34</v>
      </c>
      <c r="P55" s="79">
        <f t="shared" si="3"/>
        <v>88.02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46">
        <f>+ยกมา!J56</f>
        <v>0</v>
      </c>
      <c r="F56" s="44">
        <f>+'30'!F56+'1'!F56+'2'!F56+'3'!F56+'4'!F56+'5'!F56+'6'!F56+'7'!F56+'8'!F56+'9'!F56+'10'!F56</f>
        <v>8</v>
      </c>
      <c r="G56" s="43">
        <f t="shared" si="1"/>
        <v>8</v>
      </c>
      <c r="H56" s="78">
        <f>+'30'!H56+'1'!H56+'2'!H56+'3'!H56+'4'!H56+'5'!H56+'6'!H56+'7'!H56+'8'!H56+'9'!H56+'10'!H56</f>
        <v>0</v>
      </c>
      <c r="I56" s="76">
        <f>+'30'!I56+'1'!I56+'2'!I56+'3'!I56+'4'!I56+'5'!I56+'6'!I56+'7'!I56+'8'!I56+'9'!I56+'10'!I56</f>
        <v>0</v>
      </c>
      <c r="J56" s="43">
        <f t="shared" si="11"/>
        <v>0</v>
      </c>
      <c r="K56" s="44">
        <f>+'30'!K56+'1'!K56+'2'!K56+'3'!K56+'4'!K56+'5'!K56+'6'!K56+'7'!K56+'8'!K56+'9'!K56+'10'!K56</f>
        <v>8</v>
      </c>
      <c r="L56" s="20">
        <v>120</v>
      </c>
      <c r="M56" s="44">
        <f>+'30'!M56+'1'!M56+'2'!M56+'3'!M56+'4'!M56+'5'!M56+'6'!M56+'7'!M56+'8'!M56+'9'!M56+'10'!M56</f>
        <v>960</v>
      </c>
      <c r="N56" s="19"/>
      <c r="O56" s="90">
        <v>33.409999999999997</v>
      </c>
      <c r="P56" s="79">
        <f t="shared" si="3"/>
        <v>267.27999999999997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46">
        <f>+ยกมา!J57</f>
        <v>0</v>
      </c>
      <c r="F57" s="44">
        <f>+'30'!F57+'1'!F57+'2'!F57+'3'!F57+'4'!F57+'5'!F57+'6'!F57+'7'!F57+'8'!F57+'9'!F57+'10'!F57</f>
        <v>6</v>
      </c>
      <c r="G57" s="43">
        <f t="shared" si="1"/>
        <v>6</v>
      </c>
      <c r="H57" s="78">
        <f>+'30'!H57+'1'!H57+'2'!H57+'3'!H57+'4'!H57+'5'!H57+'6'!H57+'7'!H57+'8'!H57+'9'!H57+'10'!H57</f>
        <v>0</v>
      </c>
      <c r="I57" s="76">
        <f>+'30'!I57+'1'!I57+'2'!I57+'3'!I57+'4'!I57+'5'!I57+'6'!I57+'7'!I57+'8'!I57+'9'!I57+'10'!I57</f>
        <v>2</v>
      </c>
      <c r="J57" s="43">
        <f t="shared" si="11"/>
        <v>0</v>
      </c>
      <c r="K57" s="44">
        <f>+'30'!K57+'1'!K57+'2'!K57+'3'!K57+'4'!K57+'5'!K57+'6'!K57+'7'!K57+'8'!K57+'9'!K57+'10'!K57</f>
        <v>4</v>
      </c>
      <c r="L57" s="20">
        <v>120</v>
      </c>
      <c r="M57" s="44">
        <f>+'30'!M57+'1'!M57+'2'!M57+'3'!M57+'4'!M57+'5'!M57+'6'!M57+'7'!M57+'8'!M57+'9'!M57+'10'!M57</f>
        <v>480</v>
      </c>
      <c r="N57" s="19"/>
      <c r="O57" s="90">
        <v>31.46</v>
      </c>
      <c r="P57" s="79">
        <f t="shared" si="3"/>
        <v>125.84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46">
        <f>+ยกมา!J58</f>
        <v>0</v>
      </c>
      <c r="F58" s="44">
        <f>+'30'!F58+'1'!F58+'2'!F58+'3'!F58+'4'!F58+'5'!F58+'6'!F58+'7'!F58+'8'!F58+'9'!F58+'10'!F58</f>
        <v>5</v>
      </c>
      <c r="G58" s="43">
        <f t="shared" si="1"/>
        <v>5</v>
      </c>
      <c r="H58" s="78">
        <f>+'30'!H58+'1'!H58+'2'!H58+'3'!H58+'4'!H58+'5'!H58+'6'!H58+'7'!H58+'8'!H58+'9'!H58+'10'!H58</f>
        <v>0</v>
      </c>
      <c r="I58" s="76">
        <f>+'30'!I58+'1'!I58+'2'!I58+'3'!I58+'4'!I58+'5'!I58+'6'!I58+'7'!I58+'8'!I58+'9'!I58+'10'!I58</f>
        <v>0</v>
      </c>
      <c r="J58" s="43">
        <f t="shared" si="11"/>
        <v>0</v>
      </c>
      <c r="K58" s="44">
        <f>+'30'!K58+'1'!K58+'2'!K58+'3'!K58+'4'!K58+'5'!K58+'6'!K58+'7'!K58+'8'!K58+'9'!K58+'10'!K58</f>
        <v>5</v>
      </c>
      <c r="L58" s="20">
        <v>120</v>
      </c>
      <c r="M58" s="44">
        <f>+'30'!M58+'1'!M58+'2'!M58+'3'!M58+'4'!M58+'5'!M58+'6'!M58+'7'!M58+'8'!M58+'9'!M58+'10'!M58</f>
        <v>600</v>
      </c>
      <c r="N58" s="19"/>
      <c r="O58" s="90">
        <v>34.56</v>
      </c>
      <c r="P58" s="79">
        <f t="shared" si="3"/>
        <v>172.8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46">
        <f>+ยกมา!J59</f>
        <v>0</v>
      </c>
      <c r="F59" s="44">
        <f>+'30'!F59+'1'!F59+'2'!F59+'3'!F59+'4'!F59+'5'!F59+'6'!F59+'7'!F59+'8'!F59+'9'!F59+'10'!F59</f>
        <v>11</v>
      </c>
      <c r="G59" s="43">
        <f t="shared" si="1"/>
        <v>11</v>
      </c>
      <c r="H59" s="78">
        <f>+'30'!H59+'1'!H59+'2'!H59+'3'!H59+'4'!H59+'5'!H59+'6'!H59+'7'!H59+'8'!H59+'9'!H59+'10'!H59</f>
        <v>0</v>
      </c>
      <c r="I59" s="76">
        <f>+'30'!I59+'1'!I59+'2'!I59+'3'!I59+'4'!I59+'5'!I59+'6'!I59+'7'!I59+'8'!I59+'9'!I59+'10'!I59</f>
        <v>0</v>
      </c>
      <c r="J59" s="43">
        <f t="shared" si="11"/>
        <v>1</v>
      </c>
      <c r="K59" s="44">
        <f>+'30'!K59+'1'!K59+'2'!K59+'3'!K59+'4'!K59+'5'!K59+'6'!K59+'7'!K59+'8'!K59+'9'!K59+'10'!K59</f>
        <v>10</v>
      </c>
      <c r="L59" s="20">
        <v>120</v>
      </c>
      <c r="M59" s="44">
        <f>+'30'!M59+'1'!M59+'2'!M59+'3'!M59+'4'!M59+'5'!M59+'6'!M59+'7'!M59+'8'!M59+'9'!M59+'10'!M59</f>
        <v>1200</v>
      </c>
      <c r="N59" s="19"/>
      <c r="O59" s="90">
        <v>32.96</v>
      </c>
      <c r="P59" s="79">
        <f t="shared" si="3"/>
        <v>329.6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46">
        <f>+ยกมา!J60</f>
        <v>0</v>
      </c>
      <c r="F60" s="44">
        <f>+'30'!F60+'1'!F60+'2'!F60+'3'!F60+'4'!F60+'5'!F60+'6'!F60+'7'!F60+'8'!F60+'9'!F60+'10'!F60</f>
        <v>2</v>
      </c>
      <c r="G60" s="43">
        <f t="shared" si="1"/>
        <v>2</v>
      </c>
      <c r="H60" s="78">
        <f>+'30'!H60+'1'!H60+'2'!H60+'3'!H60+'4'!H60+'5'!H60+'6'!H60+'7'!H60+'8'!H60+'9'!H60+'10'!H60</f>
        <v>0</v>
      </c>
      <c r="I60" s="76">
        <f>+'30'!I60+'1'!I60+'2'!I60+'3'!I60+'4'!I60+'5'!I60+'6'!I60+'7'!I60+'8'!I60+'9'!I60+'10'!I60</f>
        <v>0</v>
      </c>
      <c r="J60" s="43">
        <f t="shared" si="11"/>
        <v>0</v>
      </c>
      <c r="K60" s="44">
        <f>+'30'!K60+'1'!K60+'2'!K60+'3'!K60+'4'!K60+'5'!K60+'6'!K60+'7'!K60+'8'!K60+'9'!K60+'10'!K60</f>
        <v>2</v>
      </c>
      <c r="L60" s="20">
        <v>120</v>
      </c>
      <c r="M60" s="44">
        <f>+'30'!M60+'1'!M60+'2'!M60+'3'!M60+'4'!M60+'5'!M60+'6'!M60+'7'!M60+'8'!M60+'9'!M60+'10'!M60</f>
        <v>240</v>
      </c>
      <c r="N60" s="19"/>
      <c r="O60" s="90">
        <v>27.25</v>
      </c>
      <c r="P60" s="79">
        <f t="shared" si="3"/>
        <v>54.5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46">
        <f>+ยกมา!J61</f>
        <v>0</v>
      </c>
      <c r="F61" s="44">
        <f>+'30'!F61+'1'!F61+'2'!F61+'3'!F61+'4'!F61+'5'!F61+'6'!F61+'7'!F61+'8'!F61+'9'!F61+'10'!F61</f>
        <v>0</v>
      </c>
      <c r="G61" s="43">
        <f t="shared" si="1"/>
        <v>0</v>
      </c>
      <c r="H61" s="78">
        <f>+'30'!H61+'1'!H61+'2'!H61+'3'!H61+'4'!H61+'5'!H61+'6'!H61+'7'!H61+'8'!H61+'9'!H61+'10'!H61</f>
        <v>0</v>
      </c>
      <c r="I61" s="76">
        <f>+'30'!I61+'1'!I61+'2'!I61+'3'!I61+'4'!I61+'5'!I61+'6'!I61+'7'!I61+'8'!I61+'9'!I61+'10'!I61</f>
        <v>0</v>
      </c>
      <c r="J61" s="43">
        <f t="shared" si="11"/>
        <v>0</v>
      </c>
      <c r="K61" s="44">
        <f>+'30'!K61+'1'!K61+'2'!K61+'3'!K61+'4'!K61+'5'!K61+'6'!K61+'7'!K61+'8'!K61+'9'!K61+'10'!K61</f>
        <v>0</v>
      </c>
      <c r="L61" s="20">
        <v>120</v>
      </c>
      <c r="M61" s="44">
        <f>+'30'!M61+'1'!M61+'2'!M61+'3'!M61+'4'!M61+'5'!M61+'6'!M61+'7'!M61+'8'!M61+'9'!M61+'10'!M61</f>
        <v>0</v>
      </c>
      <c r="N61" s="19"/>
      <c r="O61" s="90">
        <v>24.82</v>
      </c>
      <c r="P61" s="79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46">
        <f>+ยกมา!J62</f>
        <v>0</v>
      </c>
      <c r="F62" s="44">
        <f>+'30'!F62+'1'!F62+'2'!F62+'3'!F62+'4'!F62+'5'!F62+'6'!F62+'7'!F62+'8'!F62+'9'!F62+'10'!F62</f>
        <v>6</v>
      </c>
      <c r="G62" s="43">
        <f t="shared" si="1"/>
        <v>6</v>
      </c>
      <c r="H62" s="78">
        <f>+'30'!H62+'1'!H62+'2'!H62+'3'!H62+'4'!H62+'5'!H62+'6'!H62+'7'!H62+'8'!H62+'9'!H62+'10'!H62</f>
        <v>0</v>
      </c>
      <c r="I62" s="76">
        <f>+'30'!I62+'1'!I62+'2'!I62+'3'!I62+'4'!I62+'5'!I62+'6'!I62+'7'!I62+'8'!I62+'9'!I62+'10'!I62</f>
        <v>0</v>
      </c>
      <c r="J62" s="43">
        <f t="shared" si="11"/>
        <v>0</v>
      </c>
      <c r="K62" s="44">
        <f>+'30'!K62+'1'!K62+'2'!K62+'3'!K62+'4'!K62+'5'!K62+'6'!K62+'7'!K62+'8'!K62+'9'!K62+'10'!K62</f>
        <v>6</v>
      </c>
      <c r="L62" s="20">
        <v>120</v>
      </c>
      <c r="M62" s="44">
        <f>+'30'!M62+'1'!M62+'2'!M62+'3'!M62+'4'!M62+'5'!M62+'6'!M62+'7'!M62+'8'!M62+'9'!M62+'10'!M62</f>
        <v>720</v>
      </c>
      <c r="N62" s="19"/>
      <c r="O62" s="90">
        <v>29.82</v>
      </c>
      <c r="P62" s="79">
        <f t="shared" si="3"/>
        <v>178.92000000000002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46">
        <f>+ยกมา!J63</f>
        <v>0</v>
      </c>
      <c r="F63" s="44">
        <f>+'30'!F63+'1'!F63+'2'!F63+'3'!F63+'4'!F63+'5'!F63+'6'!F63+'7'!F63+'8'!F63+'9'!F63+'10'!F63</f>
        <v>0</v>
      </c>
      <c r="G63" s="43">
        <f t="shared" si="1"/>
        <v>0</v>
      </c>
      <c r="H63" s="78">
        <f>+'30'!H63+'1'!H63+'2'!H63+'3'!H63+'4'!H63+'5'!H63+'6'!H63+'7'!H63+'8'!H63+'9'!H63+'10'!H63</f>
        <v>0</v>
      </c>
      <c r="I63" s="76">
        <f>+'30'!I63+'1'!I63+'2'!I63+'3'!I63+'4'!I63+'5'!I63+'6'!I63+'7'!I63+'8'!I63+'9'!I63+'10'!I63</f>
        <v>0</v>
      </c>
      <c r="J63" s="43">
        <f t="shared" si="11"/>
        <v>0</v>
      </c>
      <c r="K63" s="44">
        <f>+'30'!K63+'1'!K63+'2'!K63+'3'!K63+'4'!K63+'5'!K63+'6'!K63+'7'!K63+'8'!K63+'9'!K63+'10'!K63</f>
        <v>0</v>
      </c>
      <c r="L63" s="20">
        <v>120</v>
      </c>
      <c r="M63" s="44">
        <f>+'30'!M63+'1'!M63+'2'!M63+'3'!M63+'4'!M63+'5'!M63+'6'!M63+'7'!M63+'8'!M63+'9'!M63+'10'!M63</f>
        <v>0</v>
      </c>
      <c r="N63" s="19"/>
      <c r="O63" s="90">
        <v>27.72</v>
      </c>
      <c r="P63" s="79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46">
        <f>+ยกมา!J64</f>
        <v>0</v>
      </c>
      <c r="F64" s="44">
        <f>+'30'!F64+'1'!F64+'2'!F64+'3'!F64+'4'!F64+'5'!F64+'6'!F64+'7'!F64+'8'!F64+'9'!F64+'10'!F64</f>
        <v>15</v>
      </c>
      <c r="G64" s="43">
        <f t="shared" si="1"/>
        <v>15</v>
      </c>
      <c r="H64" s="78">
        <f>+'30'!H64+'1'!H64+'2'!H64+'3'!H64+'4'!H64+'5'!H64+'6'!H64+'7'!H64+'8'!H64+'9'!H64+'10'!H64</f>
        <v>0</v>
      </c>
      <c r="I64" s="76">
        <f>+'30'!I64+'1'!I64+'2'!I64+'3'!I64+'4'!I64+'5'!I64+'6'!I64+'7'!I64+'8'!I64+'9'!I64+'10'!I64</f>
        <v>0</v>
      </c>
      <c r="J64" s="43">
        <f t="shared" si="11"/>
        <v>1</v>
      </c>
      <c r="K64" s="44">
        <f>+'30'!K64+'1'!K64+'2'!K64+'3'!K64+'4'!K64+'5'!K64+'6'!K64+'7'!K64+'8'!K64+'9'!K64+'10'!K64</f>
        <v>14</v>
      </c>
      <c r="L64" s="20">
        <v>50</v>
      </c>
      <c r="M64" s="44">
        <f>+'30'!M64+'1'!M64+'2'!M64+'3'!M64+'4'!M64+'5'!M64+'6'!M64+'7'!M64+'8'!M64+'9'!M64+'10'!M64</f>
        <v>700</v>
      </c>
      <c r="N64" s="19"/>
      <c r="O64" s="90">
        <v>23.69</v>
      </c>
      <c r="P64" s="79">
        <f t="shared" si="3"/>
        <v>331.66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46">
        <f>+ยกมา!J65</f>
        <v>0</v>
      </c>
      <c r="F65" s="44">
        <f>+'30'!F65+'1'!F65+'2'!F65+'3'!F65+'4'!F65+'5'!F65+'6'!F65+'7'!F65+'8'!F65+'9'!F65+'10'!F65</f>
        <v>10</v>
      </c>
      <c r="G65" s="43">
        <f t="shared" si="1"/>
        <v>10</v>
      </c>
      <c r="H65" s="78">
        <f>+'30'!H65+'1'!H65+'2'!H65+'3'!H65+'4'!H65+'5'!H65+'6'!H65+'7'!H65+'8'!H65+'9'!H65+'10'!H65</f>
        <v>0</v>
      </c>
      <c r="I65" s="76">
        <f>+'30'!I65+'1'!I65+'2'!I65+'3'!I65+'4'!I65+'5'!I65+'6'!I65+'7'!I65+'8'!I65+'9'!I65+'10'!I65</f>
        <v>1</v>
      </c>
      <c r="J65" s="43">
        <f t="shared" si="11"/>
        <v>0</v>
      </c>
      <c r="K65" s="44">
        <f>+'30'!K65+'1'!K65+'2'!K65+'3'!K65+'4'!K65+'5'!K65+'6'!K65+'7'!K65+'8'!K65+'9'!K65+'10'!K65</f>
        <v>9</v>
      </c>
      <c r="L65" s="20">
        <v>50</v>
      </c>
      <c r="M65" s="44">
        <f>+'30'!M65+'1'!M65+'2'!M65+'3'!M65+'4'!M65+'5'!M65+'6'!M65+'7'!M65+'8'!M65+'9'!M65+'10'!M65</f>
        <v>450</v>
      </c>
      <c r="N65" s="19"/>
      <c r="O65" s="90">
        <v>22.49</v>
      </c>
      <c r="P65" s="79">
        <f t="shared" si="3"/>
        <v>202.41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46">
        <f>+ยกมา!J66</f>
        <v>0</v>
      </c>
      <c r="F66" s="44">
        <f>+'30'!F66+'1'!F66+'2'!F66+'3'!F66+'4'!F66+'5'!F66+'6'!F66+'7'!F66+'8'!F66+'9'!F66+'10'!F66</f>
        <v>15</v>
      </c>
      <c r="G66" s="43">
        <f t="shared" si="1"/>
        <v>15</v>
      </c>
      <c r="H66" s="78">
        <f>+'30'!H66+'1'!H66+'2'!H66+'3'!H66+'4'!H66+'5'!H66+'6'!H66+'7'!H66+'8'!H66+'9'!H66+'10'!H66</f>
        <v>0</v>
      </c>
      <c r="I66" s="76">
        <f>+'30'!I66+'1'!I66+'2'!I66+'3'!I66+'4'!I66+'5'!I66+'6'!I66+'7'!I66+'8'!I66+'9'!I66+'10'!I66</f>
        <v>1</v>
      </c>
      <c r="J66" s="43">
        <f t="shared" si="11"/>
        <v>0</v>
      </c>
      <c r="K66" s="44">
        <f>+'30'!K66+'1'!K66+'2'!K66+'3'!K66+'4'!K66+'5'!K66+'6'!K66+'7'!K66+'8'!K66+'9'!K66+'10'!K66</f>
        <v>14</v>
      </c>
      <c r="L66" s="20">
        <v>50</v>
      </c>
      <c r="M66" s="44">
        <f>+'30'!M66+'1'!M66+'2'!M66+'3'!M66+'4'!M66+'5'!M66+'6'!M66+'7'!M66+'8'!M66+'9'!M66+'10'!M66</f>
        <v>700</v>
      </c>
      <c r="N66" s="19"/>
      <c r="O66" s="90">
        <v>23.12</v>
      </c>
      <c r="P66" s="79">
        <f t="shared" si="3"/>
        <v>323.68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46">
        <f>+ยกมา!J67</f>
        <v>0</v>
      </c>
      <c r="F67" s="44">
        <f>+'30'!F67+'1'!F67+'2'!F67+'3'!F67+'4'!F67+'5'!F67+'6'!F67+'7'!F67+'8'!F67+'9'!F67+'10'!F67</f>
        <v>0</v>
      </c>
      <c r="G67" s="43">
        <f t="shared" si="1"/>
        <v>0</v>
      </c>
      <c r="H67" s="78">
        <f>+'30'!H67+'1'!H67+'2'!H67+'3'!H67+'4'!H67+'5'!H67+'6'!H67+'7'!H67+'8'!H67+'9'!H67+'10'!H67</f>
        <v>0</v>
      </c>
      <c r="I67" s="76">
        <f>+'30'!I67+'1'!I67+'2'!I67+'3'!I67+'4'!I67+'5'!I67+'6'!I67+'7'!I67+'8'!I67+'9'!I67+'10'!I67</f>
        <v>0</v>
      </c>
      <c r="J67" s="43">
        <f t="shared" si="11"/>
        <v>0</v>
      </c>
      <c r="K67" s="44">
        <f>+'30'!K67+'1'!K67+'2'!K67+'3'!K67+'4'!K67+'5'!K67+'6'!K67+'7'!K67+'8'!K67+'9'!K67+'10'!K67</f>
        <v>0</v>
      </c>
      <c r="L67" s="20">
        <v>70</v>
      </c>
      <c r="M67" s="44">
        <f>+'30'!M67+'1'!M67+'2'!M67+'3'!M67+'4'!M67+'5'!M67+'6'!M67+'7'!M67+'8'!M67+'9'!M67+'10'!M67</f>
        <v>0</v>
      </c>
      <c r="N67" s="19"/>
      <c r="O67" s="90">
        <v>40</v>
      </c>
      <c r="P67" s="79">
        <f t="shared" si="3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46">
        <f>+ยกมา!J68</f>
        <v>0</v>
      </c>
      <c r="F68" s="44">
        <f>+'30'!F68+'1'!F68+'2'!F68+'3'!F68+'4'!F68+'5'!F68+'6'!F68+'7'!F68+'8'!F68+'9'!F68+'10'!F68</f>
        <v>0</v>
      </c>
      <c r="G68" s="43">
        <f t="shared" si="1"/>
        <v>0</v>
      </c>
      <c r="H68" s="78">
        <f>+'30'!H68+'1'!H68+'2'!H68+'3'!H68+'4'!H68+'5'!H68+'6'!H68+'7'!H68+'8'!H68+'9'!H68+'10'!H68</f>
        <v>0</v>
      </c>
      <c r="I68" s="76">
        <f>+'30'!I68+'1'!I68+'2'!I68+'3'!I68+'4'!I68+'5'!I68+'6'!I68+'7'!I68+'8'!I68+'9'!I68+'10'!I68</f>
        <v>0</v>
      </c>
      <c r="J68" s="43">
        <f t="shared" si="11"/>
        <v>0</v>
      </c>
      <c r="K68" s="44">
        <f>+'30'!K68+'1'!K68+'2'!K68+'3'!K68+'4'!K68+'5'!K68+'6'!K68+'7'!K68+'8'!K68+'9'!K68+'10'!K68</f>
        <v>0</v>
      </c>
      <c r="L68" s="20">
        <v>80</v>
      </c>
      <c r="M68" s="44">
        <f>+'30'!M68+'1'!M68+'2'!M68+'3'!M68+'4'!M68+'5'!M68+'6'!M68+'7'!M68+'8'!M68+'9'!M68+'10'!M68</f>
        <v>0</v>
      </c>
      <c r="N68" s="19"/>
      <c r="O68" s="90">
        <v>50</v>
      </c>
      <c r="P68" s="79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46">
        <f>+ยกมา!J69</f>
        <v>0</v>
      </c>
      <c r="F69" s="44">
        <f>+'30'!F69+'1'!F69+'2'!F69+'3'!F69+'4'!F69+'5'!F69+'6'!F69+'7'!F69+'8'!F69+'9'!F69+'10'!F69</f>
        <v>3</v>
      </c>
      <c r="G69" s="43">
        <f t="shared" si="1"/>
        <v>3</v>
      </c>
      <c r="H69" s="78">
        <f>+'30'!H69+'1'!H69+'2'!H69+'3'!H69+'4'!H69+'5'!H69+'6'!H69+'7'!H69+'8'!H69+'9'!H69+'10'!H69</f>
        <v>0</v>
      </c>
      <c r="I69" s="76">
        <f>+'30'!I69+'1'!I69+'2'!I69+'3'!I69+'4'!I69+'5'!I69+'6'!I69+'7'!I69+'8'!I69+'9'!I69+'10'!I69</f>
        <v>0</v>
      </c>
      <c r="J69" s="43">
        <f t="shared" si="11"/>
        <v>0</v>
      </c>
      <c r="K69" s="44">
        <f>+'30'!K69+'1'!K69+'2'!K69+'3'!K69+'4'!K69+'5'!K69+'6'!K69+'7'!K69+'8'!K69+'9'!K69+'10'!K69</f>
        <v>3</v>
      </c>
      <c r="L69" s="20">
        <v>150</v>
      </c>
      <c r="M69" s="44">
        <f>+'30'!M69+'1'!M69+'2'!M69+'3'!M69+'4'!M69+'5'!M69+'6'!M69+'7'!M69+'8'!M69+'9'!M69+'10'!M69</f>
        <v>450</v>
      </c>
      <c r="N69" s="19"/>
      <c r="O69" s="90">
        <v>67.790000000000006</v>
      </c>
      <c r="P69" s="79">
        <f t="shared" si="3"/>
        <v>203.37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46">
        <f>+ยกมา!J70</f>
        <v>0</v>
      </c>
      <c r="F70" s="44">
        <f>+'30'!F70+'1'!F70+'2'!F70+'3'!F70+'4'!F70+'5'!F70+'6'!F70+'7'!F70+'8'!F70+'9'!F70+'10'!F70</f>
        <v>3</v>
      </c>
      <c r="G70" s="43">
        <f t="shared" ref="G70:G133" si="12">+E70+F70</f>
        <v>3</v>
      </c>
      <c r="H70" s="78">
        <f>+'30'!H70+'1'!H70+'2'!H70+'3'!H70+'4'!H70+'5'!H70+'6'!H70+'7'!H70+'8'!H70+'9'!H70+'10'!H70</f>
        <v>0</v>
      </c>
      <c r="I70" s="76">
        <f>+'30'!I70+'1'!I70+'2'!I70+'3'!I70+'4'!I70+'5'!I70+'6'!I70+'7'!I70+'8'!I70+'9'!I70+'10'!I70</f>
        <v>0</v>
      </c>
      <c r="J70" s="43">
        <f t="shared" si="11"/>
        <v>1</v>
      </c>
      <c r="K70" s="44">
        <f>+'30'!K70+'1'!K70+'2'!K70+'3'!K70+'4'!K70+'5'!K70+'6'!K70+'7'!K70+'8'!K70+'9'!K70+'10'!K70</f>
        <v>2</v>
      </c>
      <c r="L70" s="20">
        <v>150</v>
      </c>
      <c r="M70" s="44">
        <f>+'30'!M70+'1'!M70+'2'!M70+'3'!M70+'4'!M70+'5'!M70+'6'!M70+'7'!M70+'8'!M70+'9'!M70+'10'!M70</f>
        <v>300</v>
      </c>
      <c r="N70" s="19"/>
      <c r="O70" s="90">
        <v>68.37</v>
      </c>
      <c r="P70" s="79">
        <f t="shared" si="3"/>
        <v>136.74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46">
        <f>+ยกมา!J71</f>
        <v>0</v>
      </c>
      <c r="F71" s="44">
        <f>+'30'!F71+'1'!F71+'2'!F71+'3'!F71+'4'!F71+'5'!F71+'6'!F71+'7'!F71+'8'!F71+'9'!F71+'10'!F71</f>
        <v>3</v>
      </c>
      <c r="G71" s="43">
        <f t="shared" si="12"/>
        <v>3</v>
      </c>
      <c r="H71" s="78">
        <f>+'30'!H71+'1'!H71+'2'!H71+'3'!H71+'4'!H71+'5'!H71+'6'!H71+'7'!H71+'8'!H71+'9'!H71+'10'!H71</f>
        <v>0</v>
      </c>
      <c r="I71" s="76">
        <f>+'30'!I71+'1'!I71+'2'!I71+'3'!I71+'4'!I71+'5'!I71+'6'!I71+'7'!I71+'8'!I71+'9'!I71+'10'!I71</f>
        <v>0</v>
      </c>
      <c r="J71" s="43">
        <f t="shared" ref="J71:J152" si="13">E71+F71-H71-K71-I71</f>
        <v>0</v>
      </c>
      <c r="K71" s="44">
        <f>+'30'!K71+'1'!K71+'2'!K71+'3'!K71+'4'!K71+'5'!K71+'6'!K71+'7'!K71+'8'!K71+'9'!K71+'10'!K71</f>
        <v>3</v>
      </c>
      <c r="L71" s="20">
        <v>150</v>
      </c>
      <c r="M71" s="44">
        <f>+'30'!M71+'1'!M71+'2'!M71+'3'!M71+'4'!M71+'5'!M71+'6'!M71+'7'!M71+'8'!M71+'9'!M71+'10'!M71</f>
        <v>450</v>
      </c>
      <c r="N71" s="19"/>
      <c r="O71" s="90">
        <v>67.17</v>
      </c>
      <c r="P71" s="79">
        <f t="shared" ref="P71:P152" si="14">+K71*O71</f>
        <v>201.51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46">
        <f>+ยกมา!J72</f>
        <v>0</v>
      </c>
      <c r="F72" s="44">
        <f>+'30'!F72+'1'!F72+'2'!F72+'3'!F72+'4'!F72+'5'!F72+'6'!F72+'7'!F72+'8'!F72+'9'!F72+'10'!F72</f>
        <v>5</v>
      </c>
      <c r="G72" s="43">
        <f t="shared" si="12"/>
        <v>5</v>
      </c>
      <c r="H72" s="78">
        <f>+'30'!H72+'1'!H72+'2'!H72+'3'!H72+'4'!H72+'5'!H72+'6'!H72+'7'!H72+'8'!H72+'9'!H72+'10'!H72</f>
        <v>0</v>
      </c>
      <c r="I72" s="76">
        <f>+'30'!I72+'1'!I72+'2'!I72+'3'!I72+'4'!I72+'5'!I72+'6'!I72+'7'!I72+'8'!I72+'9'!I72+'10'!I72</f>
        <v>0</v>
      </c>
      <c r="J72" s="43">
        <f t="shared" si="13"/>
        <v>0</v>
      </c>
      <c r="K72" s="44">
        <f>+'30'!K72+'1'!K72+'2'!K72+'3'!K72+'4'!K72+'5'!K72+'6'!K72+'7'!K72+'8'!K72+'9'!K72+'10'!K72</f>
        <v>5</v>
      </c>
      <c r="L72" s="20">
        <v>50</v>
      </c>
      <c r="M72" s="44">
        <f>+'30'!M72+'1'!M72+'2'!M72+'3'!M72+'4'!M72+'5'!M72+'6'!M72+'7'!M72+'8'!M72+'9'!M72+'10'!M72</f>
        <v>250</v>
      </c>
      <c r="N72" s="19"/>
      <c r="O72" s="90">
        <v>13.48</v>
      </c>
      <c r="P72" s="79">
        <f t="shared" si="14"/>
        <v>67.400000000000006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46">
        <f>+ยกมา!J73</f>
        <v>0</v>
      </c>
      <c r="F73" s="44">
        <f>+'30'!F73+'1'!F73+'2'!F73+'3'!F73+'4'!F73+'5'!F73+'6'!F73+'7'!F73+'8'!F73+'9'!F73+'10'!F73</f>
        <v>0</v>
      </c>
      <c r="G73" s="43">
        <f t="shared" si="12"/>
        <v>0</v>
      </c>
      <c r="H73" s="78">
        <f>+'30'!H73+'1'!H73+'2'!H73+'3'!H73+'4'!H73+'5'!H73+'6'!H73+'7'!H73+'8'!H73+'9'!H73+'10'!H73</f>
        <v>0</v>
      </c>
      <c r="I73" s="76">
        <f>+'30'!I73+'1'!I73+'2'!I73+'3'!I73+'4'!I73+'5'!I73+'6'!I73+'7'!I73+'8'!I73+'9'!I73+'10'!I73</f>
        <v>0</v>
      </c>
      <c r="J73" s="43">
        <f t="shared" si="13"/>
        <v>0</v>
      </c>
      <c r="K73" s="44">
        <f>+'30'!K73+'1'!K73+'2'!K73+'3'!K73+'4'!K73+'5'!K73+'6'!K73+'7'!K73+'8'!K73+'9'!K73+'10'!K73</f>
        <v>0</v>
      </c>
      <c r="L73" s="20">
        <v>120</v>
      </c>
      <c r="M73" s="44">
        <f>+'30'!M73+'1'!M73+'2'!M73+'3'!M73+'4'!M73+'5'!M73+'6'!M73+'7'!M73+'8'!M73+'9'!M73+'10'!M73</f>
        <v>0</v>
      </c>
      <c r="N73" s="19"/>
      <c r="O73" s="90">
        <v>15.4</v>
      </c>
      <c r="P73" s="79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46">
        <f>+ยกมา!J74</f>
        <v>0</v>
      </c>
      <c r="F74" s="44">
        <f>+'30'!F74+'1'!F74+'2'!F74+'3'!F74+'4'!F74+'5'!F74+'6'!F74+'7'!F74+'8'!F74+'9'!F74+'10'!F74</f>
        <v>45</v>
      </c>
      <c r="G74" s="43">
        <f t="shared" si="12"/>
        <v>45</v>
      </c>
      <c r="H74" s="78">
        <f>+'30'!H74+'1'!H74+'2'!H74+'3'!H74+'4'!H74+'5'!H74+'6'!H74+'7'!H74+'8'!H74+'9'!H74+'10'!H74</f>
        <v>0</v>
      </c>
      <c r="I74" s="76">
        <f>+'30'!I74+'1'!I74+'2'!I74+'3'!I74+'4'!I74+'5'!I74+'6'!I74+'7'!I74+'8'!I74+'9'!I74+'10'!I74</f>
        <v>0</v>
      </c>
      <c r="J74" s="43">
        <f t="shared" si="13"/>
        <v>0</v>
      </c>
      <c r="K74" s="44">
        <f>+'30'!K74+'1'!K74+'2'!K74+'3'!K74+'4'!K74+'5'!K74+'6'!K74+'7'!K74+'8'!K74+'9'!K74+'10'!K74</f>
        <v>45</v>
      </c>
      <c r="L74" s="20">
        <v>50</v>
      </c>
      <c r="M74" s="44">
        <f>+'30'!M74+'1'!M74+'2'!M74+'3'!M74+'4'!M74+'5'!M74+'6'!M74+'7'!M74+'8'!M74+'9'!M74+'10'!M74</f>
        <v>2250</v>
      </c>
      <c r="N74" s="19"/>
      <c r="O74" s="90">
        <v>17.09</v>
      </c>
      <c r="P74" s="79">
        <f t="shared" si="14"/>
        <v>769.05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46">
        <f>+ยกมา!J75</f>
        <v>0</v>
      </c>
      <c r="F75" s="44">
        <f>+'30'!F75+'1'!F75+'2'!F75+'3'!F75+'4'!F75+'5'!F75+'6'!F75+'7'!F75+'8'!F75+'9'!F75+'10'!F75</f>
        <v>0</v>
      </c>
      <c r="G75" s="43">
        <f t="shared" si="12"/>
        <v>0</v>
      </c>
      <c r="H75" s="78">
        <f>+'30'!H75+'1'!H75+'2'!H75+'3'!H75+'4'!H75+'5'!H75+'6'!H75+'7'!H75+'8'!H75+'9'!H75+'10'!H75</f>
        <v>0</v>
      </c>
      <c r="I75" s="76">
        <f>+'30'!I75+'1'!I75+'2'!I75+'3'!I75+'4'!I75+'5'!I75+'6'!I75+'7'!I75+'8'!I75+'9'!I75+'10'!I75</f>
        <v>0</v>
      </c>
      <c r="J75" s="43">
        <f t="shared" si="13"/>
        <v>0</v>
      </c>
      <c r="K75" s="44">
        <f>+'30'!K75+'1'!K75+'2'!K75+'3'!K75+'4'!K75+'5'!K75+'6'!K75+'7'!K75+'8'!K75+'9'!K75+'10'!K75</f>
        <v>0</v>
      </c>
      <c r="L75" s="20">
        <v>120</v>
      </c>
      <c r="M75" s="44">
        <f>+'30'!M75+'1'!M75+'2'!M75+'3'!M75+'4'!M75+'5'!M75+'6'!M75+'7'!M75+'8'!M75+'9'!M75+'10'!M75</f>
        <v>0</v>
      </c>
      <c r="N75" s="19"/>
      <c r="O75" s="90">
        <v>22.51</v>
      </c>
      <c r="P75" s="79">
        <f t="shared" si="14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46">
        <v>0</v>
      </c>
      <c r="F76" s="44">
        <f>+'30'!F76+'1'!F76+'2'!F76+'3'!F76+'4'!F76+'5'!F76+'6'!F76+'7'!F76+'8'!F76+'9'!F76+'10'!F76</f>
        <v>30</v>
      </c>
      <c r="G76" s="43">
        <f t="shared" si="12"/>
        <v>30</v>
      </c>
      <c r="H76" s="78">
        <f>+'30'!H76+'1'!H76+'2'!H76+'3'!H76+'4'!H76+'5'!H76+'6'!H76+'7'!H76+'8'!H76+'9'!H76+'10'!H76</f>
        <v>0</v>
      </c>
      <c r="I76" s="76">
        <f>+'30'!I76+'1'!I76+'2'!I76+'3'!I76+'4'!I76+'5'!I76+'6'!I76+'7'!I76+'8'!I76+'9'!I76+'10'!I76</f>
        <v>0</v>
      </c>
      <c r="J76" s="43">
        <f>E76+F76-H76-K76-I76</f>
        <v>12</v>
      </c>
      <c r="K76" s="44">
        <f>+'30'!K76+'1'!K76+'2'!K76+'3'!K76+'4'!K76+'5'!K76+'6'!K76+'7'!K76+'8'!K76+'9'!K76+'10'!K76</f>
        <v>18</v>
      </c>
      <c r="L76" s="20">
        <v>39</v>
      </c>
      <c r="M76" s="44">
        <f>+'30'!M76+'1'!M76+'2'!M76+'3'!M76+'4'!M76+'5'!M76+'6'!M76+'7'!M76+'8'!M76+'9'!M76+'10'!M76</f>
        <v>779</v>
      </c>
      <c r="N76" s="19"/>
      <c r="O76" s="90">
        <v>9.91</v>
      </c>
      <c r="P76" s="79">
        <f>+K76*O76</f>
        <v>178.38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46">
        <f>+ยกมา!J77</f>
        <v>0</v>
      </c>
      <c r="F77" s="44">
        <f>+'30'!F77+'1'!F77+'2'!F77+'3'!F77+'4'!F77+'5'!F77+'6'!F77+'7'!F77+'8'!F77+'9'!F77+'10'!F77</f>
        <v>60</v>
      </c>
      <c r="G77" s="43">
        <f t="shared" si="12"/>
        <v>60</v>
      </c>
      <c r="H77" s="78">
        <f>+'30'!H77+'1'!H77+'2'!H77+'3'!H77+'4'!H77+'5'!H77+'6'!H77+'7'!H77+'8'!H77+'9'!H77+'10'!H77</f>
        <v>11</v>
      </c>
      <c r="I77" s="76">
        <f>+'30'!I77+'1'!I77+'2'!I77+'3'!I77+'4'!I77+'5'!I77+'6'!I77+'7'!I77+'8'!I77+'9'!I77+'10'!I77</f>
        <v>0</v>
      </c>
      <c r="J77" s="43">
        <f t="shared" si="13"/>
        <v>0</v>
      </c>
      <c r="K77" s="44">
        <f>+'30'!K77+'1'!K77+'2'!K77+'3'!K77+'4'!K77+'5'!K77+'6'!K77+'7'!K77+'8'!K77+'9'!K77+'10'!K77</f>
        <v>49</v>
      </c>
      <c r="L77" s="20">
        <v>50</v>
      </c>
      <c r="M77" s="44">
        <f>+'30'!M77+'1'!M77+'2'!M77+'3'!M77+'4'!M77+'5'!M77+'6'!M77+'7'!M77+'8'!M77+'9'!M77+'10'!M77</f>
        <v>2450</v>
      </c>
      <c r="N77" s="19"/>
      <c r="O77" s="90">
        <v>25.15</v>
      </c>
      <c r="P77" s="79">
        <f t="shared" si="14"/>
        <v>1232.3499999999999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46">
        <f>+ยกมา!J78</f>
        <v>0</v>
      </c>
      <c r="F78" s="44">
        <f>+'30'!F78+'1'!F78+'2'!F78+'3'!F78+'4'!F78+'5'!F78+'6'!F78+'7'!F78+'8'!F78+'9'!F78+'10'!F78</f>
        <v>0</v>
      </c>
      <c r="G78" s="43">
        <f t="shared" si="12"/>
        <v>0</v>
      </c>
      <c r="H78" s="78">
        <f>+'30'!H78+'1'!H78+'2'!H78+'3'!H78+'4'!H78+'5'!H78+'6'!H78+'7'!H78+'8'!H78+'9'!H78+'10'!H78</f>
        <v>0</v>
      </c>
      <c r="I78" s="76">
        <f>+'30'!I78+'1'!I78+'2'!I78+'3'!I78+'4'!I78+'5'!I78+'6'!I78+'7'!I78+'8'!I78+'9'!I78+'10'!I78</f>
        <v>0</v>
      </c>
      <c r="J78" s="43">
        <f t="shared" si="13"/>
        <v>0</v>
      </c>
      <c r="K78" s="44">
        <f>+'30'!K78+'1'!K78+'2'!K78+'3'!K78+'4'!K78+'5'!K78+'6'!K78+'7'!K78+'8'!K78+'9'!K78+'10'!K78</f>
        <v>0</v>
      </c>
      <c r="L78" s="20">
        <v>45</v>
      </c>
      <c r="M78" s="44">
        <f>+'30'!M78+'1'!M78+'2'!M78+'3'!M78+'4'!M78+'5'!M78+'6'!M78+'7'!M78+'8'!M78+'9'!M78+'10'!M78</f>
        <v>0</v>
      </c>
      <c r="N78" s="19"/>
      <c r="O78" s="92">
        <v>0</v>
      </c>
      <c r="P78" s="79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46">
        <f>+ยกมา!J79</f>
        <v>0</v>
      </c>
      <c r="F79" s="44">
        <f>+'30'!F79+'1'!F79+'2'!F79+'3'!F79+'4'!F79+'5'!F79+'6'!F79+'7'!F79+'8'!F79+'9'!F79+'10'!F79</f>
        <v>5</v>
      </c>
      <c r="G79" s="43">
        <f t="shared" si="12"/>
        <v>5</v>
      </c>
      <c r="H79" s="78">
        <f>+'30'!H79+'1'!H79+'2'!H79+'3'!H79+'4'!H79+'5'!H79+'6'!H79+'7'!H79+'8'!H79+'9'!H79+'10'!H79</f>
        <v>0</v>
      </c>
      <c r="I79" s="76">
        <f>+'30'!I79+'1'!I79+'2'!I79+'3'!I79+'4'!I79+'5'!I79+'6'!I79+'7'!I79+'8'!I79+'9'!I79+'10'!I79</f>
        <v>0</v>
      </c>
      <c r="J79" s="43">
        <f t="shared" si="13"/>
        <v>0</v>
      </c>
      <c r="K79" s="44">
        <f>+'30'!K79+'1'!K79+'2'!K79+'3'!K79+'4'!K79+'5'!K79+'6'!K79+'7'!K79+'8'!K79+'9'!K79+'10'!K79</f>
        <v>5</v>
      </c>
      <c r="L79" s="20">
        <v>35</v>
      </c>
      <c r="M79" s="44">
        <f>+'30'!M79+'1'!M79+'2'!M79+'3'!M79+'4'!M79+'5'!M79+'6'!M79+'7'!M79+'8'!M79+'9'!M79+'10'!M79</f>
        <v>175</v>
      </c>
      <c r="N79" s="19"/>
      <c r="O79" s="90">
        <v>30.84</v>
      </c>
      <c r="P79" s="79">
        <f t="shared" si="14"/>
        <v>154.19999999999999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46">
        <f>+ยกมา!J80</f>
        <v>0</v>
      </c>
      <c r="F80" s="44">
        <f>+'30'!F80+'1'!F80+'2'!F80+'3'!F80+'4'!F80+'5'!F80+'6'!F80+'7'!F80+'8'!F80+'9'!F80+'10'!F80</f>
        <v>10</v>
      </c>
      <c r="G80" s="43">
        <f t="shared" si="12"/>
        <v>10</v>
      </c>
      <c r="H80" s="78">
        <f>+'30'!H80+'1'!H80+'2'!H80+'3'!H80+'4'!H80+'5'!H80+'6'!H80+'7'!H80+'8'!H80+'9'!H80+'10'!H80</f>
        <v>0</v>
      </c>
      <c r="I80" s="76">
        <f>+'30'!I80+'1'!I80+'2'!I80+'3'!I80+'4'!I80+'5'!I80+'6'!I80+'7'!I80+'8'!I80+'9'!I80+'10'!I80</f>
        <v>0</v>
      </c>
      <c r="J80" s="43">
        <f t="shared" si="13"/>
        <v>0</v>
      </c>
      <c r="K80" s="44">
        <f>+'30'!K80+'1'!K80+'2'!K80+'3'!K80+'4'!K80+'5'!K80+'6'!K80+'7'!K80+'8'!K80+'9'!K80+'10'!K80</f>
        <v>10</v>
      </c>
      <c r="L80" s="20">
        <v>55</v>
      </c>
      <c r="M80" s="44">
        <f>+'30'!M80+'1'!M80+'2'!M80+'3'!M80+'4'!M80+'5'!M80+'6'!M80+'7'!M80+'8'!M80+'9'!M80+'10'!M80</f>
        <v>550</v>
      </c>
      <c r="N80" s="19"/>
      <c r="O80" s="90">
        <v>14.35</v>
      </c>
      <c r="P80" s="79">
        <f t="shared" si="14"/>
        <v>143.5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46">
        <f>+ยกมา!J81</f>
        <v>0</v>
      </c>
      <c r="F81" s="44">
        <f>+'30'!F81+'1'!F81+'2'!F81+'3'!F81+'4'!F81+'5'!F81+'6'!F81+'7'!F81+'8'!F81+'9'!F81+'10'!F81</f>
        <v>5</v>
      </c>
      <c r="G81" s="43">
        <f t="shared" si="12"/>
        <v>5</v>
      </c>
      <c r="H81" s="78">
        <f>+'30'!H81+'1'!H81+'2'!H81+'3'!H81+'4'!H81+'5'!H81+'6'!H81+'7'!H81+'8'!H81+'9'!H81+'10'!H81</f>
        <v>0</v>
      </c>
      <c r="I81" s="76">
        <f>+'30'!I81+'1'!I81+'2'!I81+'3'!I81+'4'!I81+'5'!I81+'6'!I81+'7'!I81+'8'!I81+'9'!I81+'10'!I81</f>
        <v>0</v>
      </c>
      <c r="J81" s="43">
        <f t="shared" si="13"/>
        <v>0</v>
      </c>
      <c r="K81" s="44">
        <f>+'30'!K81+'1'!K81+'2'!K81+'3'!K81+'4'!K81+'5'!K81+'6'!K81+'7'!K81+'8'!K81+'9'!K81+'10'!K81</f>
        <v>5</v>
      </c>
      <c r="L81" s="20">
        <v>55</v>
      </c>
      <c r="M81" s="44">
        <f>+'30'!M81+'1'!M81+'2'!M81+'3'!M81+'4'!M81+'5'!M81+'6'!M81+'7'!M81+'8'!M81+'9'!M81+'10'!M81</f>
        <v>275</v>
      </c>
      <c r="N81" s="19"/>
      <c r="O81" s="90">
        <v>11.58</v>
      </c>
      <c r="P81" s="79">
        <f t="shared" si="14"/>
        <v>57.9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46">
        <f>+ยกมา!J82</f>
        <v>0</v>
      </c>
      <c r="F82" s="44">
        <f>+'30'!F82+'1'!F82+'2'!F82+'3'!F82+'4'!F82+'5'!F82+'6'!F82+'7'!F82+'8'!F82+'9'!F82+'10'!F82</f>
        <v>0</v>
      </c>
      <c r="G82" s="43">
        <f t="shared" si="12"/>
        <v>0</v>
      </c>
      <c r="H82" s="78">
        <f>+'30'!H82+'1'!H82+'2'!H82+'3'!H82+'4'!H82+'5'!H82+'6'!H82+'7'!H82+'8'!H82+'9'!H82+'10'!H82</f>
        <v>0</v>
      </c>
      <c r="I82" s="76">
        <f>+'30'!I82+'1'!I82+'2'!I82+'3'!I82+'4'!I82+'5'!I82+'6'!I82+'7'!I82+'8'!I82+'9'!I82+'10'!I82</f>
        <v>0</v>
      </c>
      <c r="J82" s="43">
        <f>E82+F82-H82-K82-I82</f>
        <v>0</v>
      </c>
      <c r="K82" s="44">
        <f>+'30'!K82+'1'!K82+'2'!K82+'3'!K82+'4'!K82+'5'!K82+'6'!K82+'7'!K82+'8'!K82+'9'!K82+'10'!K82</f>
        <v>0</v>
      </c>
      <c r="L82" s="20">
        <v>55</v>
      </c>
      <c r="M82" s="44">
        <f>+'30'!M82+'1'!M82+'2'!M82+'3'!M82+'4'!M82+'5'!M82+'6'!M82+'7'!M82+'8'!M82+'9'!M82+'10'!M82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46">
        <f>+ยกมา!J83</f>
        <v>0</v>
      </c>
      <c r="F83" s="44">
        <f>+'30'!F83+'1'!F83+'2'!F83+'3'!F83+'4'!F83+'5'!F83+'6'!F83+'7'!F83+'8'!F83+'9'!F83+'10'!F83</f>
        <v>5</v>
      </c>
      <c r="G83" s="43">
        <f t="shared" si="12"/>
        <v>5</v>
      </c>
      <c r="H83" s="78">
        <f>+'30'!H83+'1'!H83+'2'!H83+'3'!H83+'4'!H83+'5'!H83+'6'!H83+'7'!H83+'8'!H83+'9'!H83+'10'!H83</f>
        <v>0</v>
      </c>
      <c r="I83" s="76">
        <f>+'30'!I83+'1'!I83+'2'!I83+'3'!I83+'4'!I83+'5'!I83+'6'!I83+'7'!I83+'8'!I83+'9'!I83+'10'!I83</f>
        <v>1</v>
      </c>
      <c r="J83" s="43">
        <f t="shared" si="13"/>
        <v>0</v>
      </c>
      <c r="K83" s="44">
        <f>+'30'!K83+'1'!K83+'2'!K83+'3'!K83+'4'!K83+'5'!K83+'6'!K83+'7'!K83+'8'!K83+'9'!K83+'10'!K83</f>
        <v>4</v>
      </c>
      <c r="L83" s="20">
        <v>50</v>
      </c>
      <c r="M83" s="44">
        <f>+'30'!M83+'1'!M83+'2'!M83+'3'!M83+'4'!M83+'5'!M83+'6'!M83+'7'!M83+'8'!M83+'9'!M83+'10'!M83</f>
        <v>200</v>
      </c>
      <c r="N83" s="19"/>
      <c r="O83" s="90">
        <v>18.14</v>
      </c>
      <c r="P83" s="79">
        <f t="shared" si="14"/>
        <v>72.56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46">
        <f>+ยกมา!J84</f>
        <v>0</v>
      </c>
      <c r="F84" s="44">
        <f>+'30'!F84+'1'!F84+'2'!F84+'3'!F84+'4'!F84+'5'!F84+'6'!F84+'7'!F84+'8'!F84+'9'!F84+'10'!F84</f>
        <v>5</v>
      </c>
      <c r="G84" s="43">
        <f t="shared" si="12"/>
        <v>5</v>
      </c>
      <c r="H84" s="78">
        <f>+'30'!H84+'1'!H84+'2'!H84+'3'!H84+'4'!H84+'5'!H84+'6'!H84+'7'!H84+'8'!H84+'9'!H84+'10'!H84</f>
        <v>0</v>
      </c>
      <c r="I84" s="76">
        <f>+'30'!I84+'1'!I84+'2'!I84+'3'!I84+'4'!I84+'5'!I84+'6'!I84+'7'!I84+'8'!I84+'9'!I84+'10'!I84</f>
        <v>0</v>
      </c>
      <c r="J84" s="43">
        <f t="shared" si="13"/>
        <v>0</v>
      </c>
      <c r="K84" s="44">
        <f>+'30'!K84+'1'!K84+'2'!K84+'3'!K84+'4'!K84+'5'!K84+'6'!K84+'7'!K84+'8'!K84+'9'!K84+'10'!K84</f>
        <v>5</v>
      </c>
      <c r="L84" s="20">
        <v>50</v>
      </c>
      <c r="M84" s="44">
        <f>+'30'!M84+'1'!M84+'2'!M84+'3'!M84+'4'!M84+'5'!M84+'6'!M84+'7'!M84+'8'!M84+'9'!M84+'10'!M84</f>
        <v>250</v>
      </c>
      <c r="N84" s="19"/>
      <c r="O84" s="90">
        <v>12.94</v>
      </c>
      <c r="P84" s="79">
        <f t="shared" si="14"/>
        <v>64.7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46">
        <f>+ยกมา!J85</f>
        <v>0</v>
      </c>
      <c r="F85" s="44">
        <f>+'30'!F85+'1'!F85+'2'!F85+'3'!F85+'4'!F85+'5'!F85+'6'!F85+'7'!F85+'8'!F85+'9'!F85+'10'!F85</f>
        <v>0</v>
      </c>
      <c r="G85" s="43">
        <f t="shared" si="12"/>
        <v>0</v>
      </c>
      <c r="H85" s="78">
        <f>+'30'!H85+'1'!H85+'2'!H85+'3'!H85+'4'!H85+'5'!H85+'6'!H85+'7'!H85+'8'!H85+'9'!H85+'10'!H85</f>
        <v>0</v>
      </c>
      <c r="I85" s="76">
        <f>+'30'!I85+'1'!I85+'2'!I85+'3'!I85+'4'!I85+'5'!I85+'6'!I85+'7'!I85+'8'!I85+'9'!I85+'10'!I85</f>
        <v>0</v>
      </c>
      <c r="J85" s="43">
        <f t="shared" si="13"/>
        <v>0</v>
      </c>
      <c r="K85" s="44">
        <f>+'30'!K85+'1'!K85+'2'!K85+'3'!K85+'4'!K85+'5'!K85+'6'!K85+'7'!K85+'8'!K85+'9'!K85+'10'!K85</f>
        <v>0</v>
      </c>
      <c r="L85" s="20">
        <v>35</v>
      </c>
      <c r="M85" s="44">
        <f>+'30'!M85+'1'!M85+'2'!M85+'3'!M85+'4'!M85+'5'!M85+'6'!M85+'7'!M85+'8'!M85+'9'!M85+'10'!M85</f>
        <v>0</v>
      </c>
      <c r="N85" s="19"/>
      <c r="O85" s="92">
        <v>0</v>
      </c>
      <c r="P85" s="79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46">
        <f>+ยกมา!J86</f>
        <v>0</v>
      </c>
      <c r="F86" s="44">
        <f>+'30'!F86+'1'!F86+'2'!F86+'3'!F86+'4'!F86+'5'!F86+'6'!F86+'7'!F86+'8'!F86+'9'!F86+'10'!F86</f>
        <v>0</v>
      </c>
      <c r="G86" s="43">
        <f t="shared" si="12"/>
        <v>0</v>
      </c>
      <c r="H86" s="78">
        <f>+'30'!H86+'1'!H86+'2'!H86+'3'!H86+'4'!H86+'5'!H86+'6'!H86+'7'!H86+'8'!H86+'9'!H86+'10'!H86</f>
        <v>0</v>
      </c>
      <c r="I86" s="76">
        <f>+'30'!I86+'1'!I86+'2'!I86+'3'!I86+'4'!I86+'5'!I86+'6'!I86+'7'!I86+'8'!I86+'9'!I86+'10'!I86</f>
        <v>0</v>
      </c>
      <c r="J86" s="43">
        <f t="shared" ref="J86:J87" si="15">E86+F86-H86-K86-I86</f>
        <v>0</v>
      </c>
      <c r="K86" s="44">
        <f>+'30'!K86+'1'!K86+'2'!K86+'3'!K86+'4'!K86+'5'!K86+'6'!K86+'7'!K86+'8'!K86+'9'!K86+'10'!K86</f>
        <v>0</v>
      </c>
      <c r="L86" s="20">
        <v>35</v>
      </c>
      <c r="M86" s="44">
        <f>+'30'!M86+'1'!M86+'2'!M86+'3'!M86+'4'!M86+'5'!M86+'6'!M86+'7'!M86+'8'!M86+'9'!M86+'10'!M86</f>
        <v>0</v>
      </c>
      <c r="N86" s="19"/>
      <c r="O86" s="92">
        <v>0</v>
      </c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46">
        <f>+ยกมา!J86</f>
        <v>0</v>
      </c>
      <c r="F87" s="44">
        <f>+'30'!F87+'1'!F87+'2'!F87+'3'!F87+'4'!F87+'5'!F87+'6'!F87+'7'!F87+'8'!F87+'9'!F87+'10'!F87</f>
        <v>84</v>
      </c>
      <c r="G87" s="43">
        <f t="shared" si="12"/>
        <v>84</v>
      </c>
      <c r="H87" s="78">
        <f>+'30'!H87+'1'!H87+'2'!H87+'3'!H87+'4'!H87+'5'!H87+'6'!H87+'7'!H87+'8'!H87+'9'!H87+'10'!H87</f>
        <v>0</v>
      </c>
      <c r="I87" s="76">
        <f>+'30'!I87+'1'!I87+'2'!I87+'3'!I87+'4'!I87+'5'!I87+'6'!I87+'7'!I87+'8'!I87+'9'!I87+'10'!I87</f>
        <v>0</v>
      </c>
      <c r="J87" s="43">
        <f t="shared" si="15"/>
        <v>0</v>
      </c>
      <c r="K87" s="44">
        <f>+'30'!K87+'1'!K87+'2'!K87+'3'!K87+'4'!K87+'5'!K87+'6'!K87+'7'!K87+'8'!K87+'9'!K87+'10'!K87</f>
        <v>84</v>
      </c>
      <c r="L87" s="20">
        <v>45</v>
      </c>
      <c r="M87" s="44">
        <f>+'30'!M87+'1'!M87+'2'!M87+'3'!M87+'4'!M87+'5'!M87+'6'!M87+'7'!M87+'8'!M87+'9'!M87+'10'!M87</f>
        <v>3780</v>
      </c>
      <c r="N87" s="19"/>
      <c r="O87" s="90">
        <v>27.01</v>
      </c>
      <c r="P87" s="79">
        <f t="shared" ref="P87" si="16">+K87*O87</f>
        <v>2268.84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46">
        <f>+ยกมา!J87</f>
        <v>0</v>
      </c>
      <c r="F88" s="44">
        <f>+'30'!F88+'1'!F88+'2'!F88+'3'!F88+'4'!F88+'5'!F88+'6'!F88+'7'!F88+'8'!F88+'9'!F88+'10'!F88</f>
        <v>129</v>
      </c>
      <c r="G88" s="43">
        <f t="shared" si="12"/>
        <v>129</v>
      </c>
      <c r="H88" s="78">
        <f>+'30'!H88+'1'!H88+'2'!H88+'3'!H88+'4'!H88+'5'!H88+'6'!H88+'7'!H88+'8'!H88+'9'!H88+'10'!H88</f>
        <v>0</v>
      </c>
      <c r="I88" s="76">
        <f>+'30'!I88+'1'!I88+'2'!I88+'3'!I88+'4'!I88+'5'!I88+'6'!I88+'7'!I88+'8'!I88+'9'!I88+'10'!I88</f>
        <v>1</v>
      </c>
      <c r="J88" s="43">
        <f t="shared" ref="J88" si="17">E88+F88-H88-K88-I88</f>
        <v>17</v>
      </c>
      <c r="K88" s="44">
        <f>+'30'!K88+'1'!K88+'2'!K88+'3'!K88+'4'!K88+'5'!K88+'6'!K88+'7'!K88+'8'!K88+'9'!K88+'10'!K88</f>
        <v>111</v>
      </c>
      <c r="L88" s="20">
        <v>49</v>
      </c>
      <c r="M88" s="44">
        <f>+'30'!M88+'1'!M88+'2'!M88+'3'!M88+'4'!M88+'5'!M88+'6'!M88+'7'!M88+'8'!M88+'9'!M88+'10'!M88</f>
        <v>5439</v>
      </c>
      <c r="N88" s="19"/>
      <c r="O88" s="90">
        <v>31.94</v>
      </c>
      <c r="P88" s="79">
        <f t="shared" ref="P88" si="18">+K88*O88</f>
        <v>3545.34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46">
        <f>+ยกมา!J89</f>
        <v>0</v>
      </c>
      <c r="F89" s="44">
        <f>+'30'!F89+'1'!F89+'2'!F89+'3'!F89+'4'!F89+'5'!F89+'6'!F89+'7'!F89+'8'!F89+'9'!F89+'10'!F89</f>
        <v>0</v>
      </c>
      <c r="G89" s="43">
        <f t="shared" si="12"/>
        <v>0</v>
      </c>
      <c r="H89" s="78">
        <f>+'30'!H89+'1'!H89+'2'!H89+'3'!H89+'4'!H89+'5'!H89+'6'!H89+'7'!H89+'8'!H89+'9'!H89+'10'!H89</f>
        <v>0</v>
      </c>
      <c r="I89" s="76">
        <f>+'30'!I89+'1'!I89+'2'!I89+'3'!I89+'4'!I89+'5'!I89+'6'!I89+'7'!I89+'8'!I89+'9'!I89+'10'!I89</f>
        <v>0</v>
      </c>
      <c r="J89" s="43">
        <f>E89+F89-H89-K89-I89</f>
        <v>0</v>
      </c>
      <c r="K89" s="44">
        <f>+'30'!K89+'1'!K89+'2'!K89+'3'!K89+'4'!K89+'5'!K89+'6'!K89+'7'!K89+'8'!K89+'9'!K89+'10'!K89</f>
        <v>0</v>
      </c>
      <c r="L89" s="20">
        <v>35</v>
      </c>
      <c r="M89" s="44">
        <f>+'30'!M89+'1'!M89+'2'!M89+'3'!M89+'4'!M89+'5'!M89+'6'!M89+'7'!M89+'8'!M89+'9'!M89+'10'!M89</f>
        <v>0</v>
      </c>
      <c r="N89" s="19"/>
      <c r="O89" s="116">
        <v>21.45</v>
      </c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46">
        <f>+ยกมา!J90</f>
        <v>0</v>
      </c>
      <c r="F90" s="44">
        <f>+'30'!F90+'1'!F90+'2'!F90+'3'!F90+'4'!F90+'5'!F90+'6'!F90+'7'!F90+'8'!F90+'9'!F90+'10'!F90</f>
        <v>0</v>
      </c>
      <c r="G90" s="43">
        <f t="shared" si="12"/>
        <v>0</v>
      </c>
      <c r="H90" s="78">
        <f>+'30'!H90+'1'!H90+'2'!H90+'3'!H90+'4'!H90+'5'!H90+'6'!H90+'7'!H90+'8'!H90+'9'!H90+'10'!H90</f>
        <v>0</v>
      </c>
      <c r="I90" s="76">
        <f>+'30'!I90+'1'!I90+'2'!I90+'3'!I90+'4'!I90+'5'!I90+'6'!I90+'7'!I90+'8'!I90+'9'!I90+'10'!I90</f>
        <v>0</v>
      </c>
      <c r="J90" s="43">
        <f>E90+F90-H90-K90-I90</f>
        <v>0</v>
      </c>
      <c r="K90" s="44">
        <f>+'30'!K90+'1'!K90+'2'!K90+'3'!K90+'4'!K90+'5'!K90+'6'!K90+'7'!K90+'8'!K90+'9'!K90+'10'!K90</f>
        <v>0</v>
      </c>
      <c r="L90" s="20">
        <v>35</v>
      </c>
      <c r="M90" s="44">
        <f>+'30'!M90+'1'!M90+'2'!M90+'3'!M90+'4'!M90+'5'!M90+'6'!M90+'7'!M90+'8'!M90+'9'!M90+'10'!M90</f>
        <v>0</v>
      </c>
      <c r="N90" s="19"/>
      <c r="O90" s="116">
        <v>17.829999999999998</v>
      </c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46">
        <f>+ยกมา!J91</f>
        <v>0</v>
      </c>
      <c r="F91" s="44">
        <f>+'30'!F91+'1'!F91+'2'!F91+'3'!F91+'4'!F91+'5'!F91+'6'!F91+'7'!F91+'8'!F91+'9'!F91+'10'!F91</f>
        <v>0</v>
      </c>
      <c r="G91" s="43">
        <f t="shared" si="12"/>
        <v>0</v>
      </c>
      <c r="H91" s="78">
        <f>+'30'!H91+'1'!H91+'2'!H91+'3'!H91+'4'!H91+'5'!H91+'6'!H91+'7'!H91+'8'!H91+'9'!H91+'10'!H91</f>
        <v>0</v>
      </c>
      <c r="I91" s="76">
        <f>+'30'!I91+'1'!I91+'2'!I91+'3'!I91+'4'!I91+'5'!I91+'6'!I91+'7'!I91+'8'!I91+'9'!I91+'10'!I91</f>
        <v>0</v>
      </c>
      <c r="J91" s="43">
        <f t="shared" si="13"/>
        <v>0</v>
      </c>
      <c r="K91" s="44">
        <f>+'30'!K91+'1'!K91+'2'!K91+'3'!K91+'4'!K91+'5'!K91+'6'!K91+'7'!K91+'8'!K91+'9'!K91+'10'!K91</f>
        <v>0</v>
      </c>
      <c r="L91" s="20">
        <v>45</v>
      </c>
      <c r="M91" s="44">
        <f>+'30'!M91+'1'!M91+'2'!M91+'3'!M91+'4'!M91+'5'!M91+'6'!M91+'7'!M91+'8'!M91+'9'!M91+'10'!M91</f>
        <v>0</v>
      </c>
      <c r="N91" s="19"/>
      <c r="O91" s="90">
        <v>30.25</v>
      </c>
      <c r="P91" s="79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46">
        <f>+ยกมา!J92</f>
        <v>0</v>
      </c>
      <c r="F92" s="44">
        <f>+'30'!F92+'1'!F92+'2'!F92+'3'!F92+'4'!F92+'5'!F92+'6'!F92+'7'!F92+'8'!F92+'9'!F92+'10'!F92</f>
        <v>0</v>
      </c>
      <c r="G92" s="43">
        <f t="shared" si="12"/>
        <v>0</v>
      </c>
      <c r="H92" s="78">
        <f>+'30'!H92+'1'!H92+'2'!H92+'3'!H92+'4'!H92+'5'!H92+'6'!H92+'7'!H92+'8'!H92+'9'!H92+'10'!H92</f>
        <v>0</v>
      </c>
      <c r="I92" s="76">
        <f>+'30'!I92+'1'!I92+'2'!I92+'3'!I92+'4'!I92+'5'!I92+'6'!I92+'7'!I92+'8'!I92+'9'!I92+'10'!I92</f>
        <v>0</v>
      </c>
      <c r="J92" s="43">
        <f t="shared" si="13"/>
        <v>0</v>
      </c>
      <c r="K92" s="44">
        <f>+'30'!K92+'1'!K92+'2'!K92+'3'!K92+'4'!K92+'5'!K92+'6'!K92+'7'!K92+'8'!K92+'9'!K92+'10'!K92</f>
        <v>0</v>
      </c>
      <c r="L92" s="20">
        <v>45</v>
      </c>
      <c r="M92" s="44">
        <f>+'30'!M92+'1'!M92+'2'!M92+'3'!M92+'4'!M92+'5'!M92+'6'!M92+'7'!M92+'8'!M92+'9'!M92+'10'!M92</f>
        <v>0</v>
      </c>
      <c r="N92" s="19"/>
      <c r="O92" s="90">
        <v>18.28</v>
      </c>
      <c r="P92" s="79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46">
        <f>+ยกมา!J93</f>
        <v>0</v>
      </c>
      <c r="F93" s="44">
        <f>+'30'!F93+'1'!F93+'2'!F93+'3'!F93+'4'!F93+'5'!F93+'6'!F93+'7'!F93+'8'!F93+'9'!F93+'10'!F93</f>
        <v>155</v>
      </c>
      <c r="G93" s="43">
        <f t="shared" si="12"/>
        <v>155</v>
      </c>
      <c r="H93" s="78">
        <f>+'30'!H93+'1'!H93+'2'!H93+'3'!H93+'4'!H93+'5'!H93+'6'!H93+'7'!H93+'8'!H93+'9'!H93+'10'!H93</f>
        <v>0</v>
      </c>
      <c r="I93" s="76">
        <f>+'30'!I93+'1'!I93+'2'!I93+'3'!I93+'4'!I93+'5'!I93+'6'!I93+'7'!I93+'8'!I93+'9'!I93+'10'!I93</f>
        <v>1</v>
      </c>
      <c r="J93" s="43">
        <f t="shared" si="13"/>
        <v>21</v>
      </c>
      <c r="K93" s="44">
        <f>+'30'!K93+'1'!K93+'2'!K93+'3'!K93+'4'!K93+'5'!K93+'6'!K93+'7'!K93+'8'!K93+'9'!K93+'10'!K93</f>
        <v>133</v>
      </c>
      <c r="L93" s="20">
        <v>35</v>
      </c>
      <c r="M93" s="44">
        <f>+'30'!M93+'1'!M93+'2'!M93+'3'!M93+'4'!M93+'5'!M93+'6'!M93+'7'!M93+'8'!M93+'9'!M93+'10'!M93</f>
        <v>4655</v>
      </c>
      <c r="N93" s="19"/>
      <c r="O93" s="90">
        <v>18.63</v>
      </c>
      <c r="P93" s="79">
        <f t="shared" si="14"/>
        <v>2477.79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46">
        <f>+ยกมา!J94</f>
        <v>0</v>
      </c>
      <c r="F94" s="44">
        <f>+'30'!F94+'1'!F94+'2'!F94+'3'!F94+'4'!F94+'5'!F94+'6'!F94+'7'!F94+'8'!F94+'9'!F94+'10'!F94</f>
        <v>0</v>
      </c>
      <c r="G94" s="43">
        <f t="shared" si="12"/>
        <v>0</v>
      </c>
      <c r="H94" s="78">
        <f>+'30'!H94+'1'!H94+'2'!H94+'3'!H94+'4'!H94+'5'!H94+'6'!H94+'7'!H94+'8'!H94+'9'!H94+'10'!H94</f>
        <v>0</v>
      </c>
      <c r="I94" s="76">
        <f>+'30'!I94+'1'!I94+'2'!I94+'3'!I94+'4'!I94+'5'!I94+'6'!I94+'7'!I94+'8'!I94+'9'!I94+'10'!I94</f>
        <v>0</v>
      </c>
      <c r="J94" s="43">
        <f t="shared" si="13"/>
        <v>0</v>
      </c>
      <c r="K94" s="44">
        <f>+'30'!K94+'1'!K94+'2'!K94+'3'!K94+'4'!K94+'5'!K94+'6'!K94+'7'!K94+'8'!K94+'9'!K94+'10'!K94</f>
        <v>0</v>
      </c>
      <c r="L94" s="20"/>
      <c r="M94" s="44">
        <f>+'30'!M94+'1'!M94+'2'!M94+'3'!M94+'4'!M94+'5'!M94+'6'!M94+'7'!M94+'8'!M94+'9'!M94+'10'!M94</f>
        <v>0</v>
      </c>
      <c r="N94" s="19"/>
      <c r="O94" s="90">
        <v>0</v>
      </c>
      <c r="P94" s="79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46">
        <f>+ยกมา!J95</f>
        <v>0</v>
      </c>
      <c r="F95" s="44">
        <f>+'30'!F95+'1'!F95+'2'!F95+'3'!F95+'4'!F95+'5'!F95+'6'!F95+'7'!F95+'8'!F95+'9'!F95+'10'!F95</f>
        <v>0</v>
      </c>
      <c r="G95" s="43">
        <f t="shared" si="12"/>
        <v>0</v>
      </c>
      <c r="H95" s="78">
        <f>+'30'!H95+'1'!H95+'2'!H95+'3'!H95+'4'!H95+'5'!H95+'6'!H95+'7'!H95+'8'!H95+'9'!H95+'10'!H95</f>
        <v>0</v>
      </c>
      <c r="I95" s="76">
        <f>+'30'!I95+'1'!I95+'2'!I95+'3'!I95+'4'!I95+'5'!I95+'6'!I95+'7'!I95+'8'!I95+'9'!I95+'10'!I95</f>
        <v>0</v>
      </c>
      <c r="J95" s="43">
        <f t="shared" si="13"/>
        <v>0</v>
      </c>
      <c r="K95" s="44">
        <f>+'30'!K95+'1'!K95+'2'!K95+'3'!K95+'4'!K95+'5'!K95+'6'!K95+'7'!K95+'8'!K95+'9'!K95+'10'!K95</f>
        <v>0</v>
      </c>
      <c r="L95" s="20">
        <v>120</v>
      </c>
      <c r="M95" s="44">
        <f>+'30'!M95+'1'!M95+'2'!M95+'3'!M95+'4'!M95+'5'!M95+'6'!M95+'7'!M95+'8'!M95+'9'!M95+'10'!M95</f>
        <v>0</v>
      </c>
      <c r="N95" s="19"/>
      <c r="O95" s="90">
        <v>0</v>
      </c>
      <c r="P95" s="79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46">
        <f>+ยกมา!J96</f>
        <v>0</v>
      </c>
      <c r="F96" s="44">
        <f>+'30'!F96+'1'!F96+'2'!F96+'3'!F96+'4'!F96+'5'!F96+'6'!F96+'7'!F96+'8'!F96+'9'!F96+'10'!F96</f>
        <v>50</v>
      </c>
      <c r="G96" s="43">
        <f t="shared" si="12"/>
        <v>50</v>
      </c>
      <c r="H96" s="78">
        <f>+'30'!H96+'1'!H96+'2'!H96+'3'!H96+'4'!H96+'5'!H96+'6'!H96+'7'!H96+'8'!H96+'9'!H96+'10'!H96</f>
        <v>1</v>
      </c>
      <c r="I96" s="76">
        <f>+'30'!I96+'1'!I96+'2'!I96+'3'!I96+'4'!I96+'5'!I96+'6'!I96+'7'!I96+'8'!I96+'9'!I96+'10'!I96</f>
        <v>1</v>
      </c>
      <c r="J96" s="43">
        <f t="shared" si="13"/>
        <v>0</v>
      </c>
      <c r="K96" s="44">
        <f>+'30'!K96+'1'!K96+'2'!K96+'3'!K96+'4'!K96+'5'!K96+'6'!K96+'7'!K96+'8'!K96+'9'!K96+'10'!K96</f>
        <v>48</v>
      </c>
      <c r="L96" s="20">
        <v>45</v>
      </c>
      <c r="M96" s="44">
        <f>+'30'!M96+'1'!M96+'2'!M96+'3'!M96+'4'!M96+'5'!M96+'6'!M96+'7'!M96+'8'!M96+'9'!M96+'10'!M96</f>
        <v>2160</v>
      </c>
      <c r="N96" s="19"/>
      <c r="O96" s="90">
        <v>21.91</v>
      </c>
      <c r="P96" s="79">
        <f t="shared" si="14"/>
        <v>1051.68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46">
        <f>+ยกมา!J97</f>
        <v>0</v>
      </c>
      <c r="F97" s="44">
        <f>+'30'!F97+'1'!F97+'2'!F97+'3'!F97+'4'!F97+'5'!F97+'6'!F97+'7'!F97+'8'!F97+'9'!F97+'10'!F97</f>
        <v>0</v>
      </c>
      <c r="G97" s="43">
        <f t="shared" si="12"/>
        <v>0</v>
      </c>
      <c r="H97" s="78">
        <f>+'30'!H97+'1'!H97+'2'!H97+'3'!H97+'4'!H97+'5'!H97+'6'!H97+'7'!H97+'8'!H97+'9'!H97+'10'!H97</f>
        <v>0</v>
      </c>
      <c r="I97" s="76">
        <f>+'30'!I97+'1'!I97+'2'!I97+'3'!I97+'4'!I97+'5'!I97+'6'!I97+'7'!I97+'8'!I97+'9'!I97+'10'!I97</f>
        <v>0</v>
      </c>
      <c r="J97" s="43">
        <f t="shared" si="13"/>
        <v>0</v>
      </c>
      <c r="K97" s="44">
        <f>+'30'!K97+'1'!K97+'2'!K97+'3'!K97+'4'!K97+'5'!K97+'6'!K97+'7'!K97+'8'!K97+'9'!K97+'10'!K97</f>
        <v>0</v>
      </c>
      <c r="L97" s="20">
        <v>35</v>
      </c>
      <c r="M97" s="44">
        <f>+'30'!M97+'1'!M97+'2'!M97+'3'!M97+'4'!M97+'5'!M97+'6'!M97+'7'!M97+'8'!M97+'9'!M97+'10'!M97</f>
        <v>0</v>
      </c>
      <c r="N97" s="19"/>
      <c r="O97" s="90">
        <v>18.09</v>
      </c>
      <c r="P97" s="79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46">
        <f>+ยกมา!J98</f>
        <v>0</v>
      </c>
      <c r="F98" s="44">
        <f>+'30'!F98+'1'!F98+'2'!F98+'3'!F98+'4'!F98+'5'!F98+'6'!F98+'7'!F98+'8'!F98+'9'!F98+'10'!F98</f>
        <v>0</v>
      </c>
      <c r="G98" s="43">
        <f t="shared" si="12"/>
        <v>0</v>
      </c>
      <c r="H98" s="78">
        <f>+'30'!H98+'1'!H98+'2'!H98+'3'!H98+'4'!H98+'5'!H98+'6'!H98+'7'!H98+'8'!H98+'9'!H98+'10'!H98</f>
        <v>0</v>
      </c>
      <c r="I98" s="76">
        <f>+'30'!I98+'1'!I98+'2'!I98+'3'!I98+'4'!I98+'5'!I98+'6'!I98+'7'!I98+'8'!I98+'9'!I98+'10'!I98</f>
        <v>0</v>
      </c>
      <c r="J98" s="43">
        <f t="shared" si="13"/>
        <v>0</v>
      </c>
      <c r="K98" s="44">
        <f>+'30'!K98+'1'!K98+'2'!K98+'3'!K98+'4'!K98+'5'!K98+'6'!K98+'7'!K98+'8'!K98+'9'!K98+'10'!K98</f>
        <v>0</v>
      </c>
      <c r="L98" s="20">
        <v>35</v>
      </c>
      <c r="M98" s="44">
        <f>+'30'!M98+'1'!M98+'2'!M98+'3'!M98+'4'!M98+'5'!M98+'6'!M98+'7'!M98+'8'!M98+'9'!M98+'10'!M98</f>
        <v>0</v>
      </c>
      <c r="N98" s="19"/>
      <c r="O98" s="90">
        <v>15.4</v>
      </c>
      <c r="P98" s="79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46">
        <f>+ยกมา!J99</f>
        <v>0</v>
      </c>
      <c r="F99" s="44">
        <f>+'30'!F99+'1'!F99+'2'!F99+'3'!F99+'4'!F99+'5'!F99+'6'!F99+'7'!F99+'8'!F99+'9'!F99+'10'!F99</f>
        <v>49</v>
      </c>
      <c r="G99" s="43">
        <f t="shared" si="12"/>
        <v>49</v>
      </c>
      <c r="H99" s="78">
        <f>+'30'!H99+'1'!H99+'2'!H99+'3'!H99+'4'!H99+'5'!H99+'6'!H99+'7'!H99+'8'!H99+'9'!H99+'10'!H99</f>
        <v>0</v>
      </c>
      <c r="I99" s="76">
        <f>+'30'!I99+'1'!I99+'2'!I99+'3'!I99+'4'!I99+'5'!I99+'6'!I99+'7'!I99+'8'!I99+'9'!I99+'10'!I99</f>
        <v>1</v>
      </c>
      <c r="J99" s="43">
        <f t="shared" ref="J99:J105" si="19">E99+F99-H99-K99-I99</f>
        <v>17</v>
      </c>
      <c r="K99" s="44">
        <f>+'30'!K99+'1'!K99+'2'!K99+'3'!K99+'4'!K99+'5'!K99+'6'!K99+'7'!K99+'8'!K99+'9'!K99+'10'!K99</f>
        <v>31</v>
      </c>
      <c r="L99" s="20">
        <v>45</v>
      </c>
      <c r="M99" s="44">
        <f>+'30'!M99+'1'!M99+'2'!M99+'3'!M99+'4'!M99+'5'!M99+'6'!M99+'7'!M99+'8'!M99+'9'!M99+'10'!M99</f>
        <v>1395</v>
      </c>
      <c r="N99" s="19"/>
      <c r="O99" s="116">
        <v>20.350000000000001</v>
      </c>
      <c r="P99" s="79">
        <f t="shared" ref="P99:P105" si="20">+K99*O99</f>
        <v>630.85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46">
        <f>+ยกมา!J100</f>
        <v>0</v>
      </c>
      <c r="F100" s="44">
        <f>+'30'!F100+'1'!F100+'2'!F100+'3'!F100+'4'!F100+'5'!F100+'6'!F100+'7'!F100+'8'!F100+'9'!F100+'10'!F100</f>
        <v>0</v>
      </c>
      <c r="G100" s="43">
        <f t="shared" si="12"/>
        <v>0</v>
      </c>
      <c r="H100" s="78">
        <f>+'30'!H100+'1'!H100+'2'!H100+'3'!H100+'4'!H100+'5'!H100+'6'!H100+'7'!H100+'8'!H100+'9'!H100+'10'!H100</f>
        <v>0</v>
      </c>
      <c r="I100" s="76">
        <f>+'30'!I100+'1'!I100+'2'!I100+'3'!I100+'4'!I100+'5'!I100+'6'!I100+'7'!I100+'8'!I100+'9'!I100+'10'!I100</f>
        <v>0</v>
      </c>
      <c r="J100" s="43">
        <f t="shared" si="19"/>
        <v>0</v>
      </c>
      <c r="K100" s="44">
        <f>+'30'!K100+'1'!K100+'2'!K100+'3'!K100+'4'!K100+'5'!K100+'6'!K100+'7'!K100+'8'!K100+'9'!K100+'10'!K100</f>
        <v>0</v>
      </c>
      <c r="L100" s="20">
        <v>35</v>
      </c>
      <c r="M100" s="44">
        <f>+'30'!M100+'1'!M100+'2'!M100+'3'!M100+'4'!M100+'5'!M100+'6'!M100+'7'!M100+'8'!M100+'9'!M100+'10'!M100</f>
        <v>0</v>
      </c>
      <c r="N100" s="19"/>
      <c r="O100" s="116">
        <v>16.47</v>
      </c>
      <c r="P100" s="79">
        <f t="shared" si="20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46">
        <f>+ยกมา!J101</f>
        <v>0</v>
      </c>
      <c r="F101" s="44">
        <f>+'30'!F101+'1'!F101+'2'!F101+'3'!F101+'4'!F101+'5'!F101+'6'!F101+'7'!F101+'8'!F101+'9'!F101+'10'!F101</f>
        <v>0</v>
      </c>
      <c r="G101" s="43">
        <f t="shared" si="12"/>
        <v>0</v>
      </c>
      <c r="H101" s="78">
        <f>+'30'!H101+'1'!H101+'2'!H101+'3'!H101+'4'!H101+'5'!H101+'6'!H101+'7'!H101+'8'!H101+'9'!H101+'10'!H101</f>
        <v>0</v>
      </c>
      <c r="I101" s="76">
        <f>+'30'!I101+'1'!I101+'2'!I101+'3'!I101+'4'!I101+'5'!I101+'6'!I101+'7'!I101+'8'!I101+'9'!I101+'10'!I101</f>
        <v>0</v>
      </c>
      <c r="J101" s="43">
        <f t="shared" si="19"/>
        <v>0</v>
      </c>
      <c r="K101" s="44">
        <f>+'30'!K101+'1'!K101+'2'!K101+'3'!K101+'4'!K101+'5'!K101+'6'!K101+'7'!K101+'8'!K101+'9'!K101+'10'!K101</f>
        <v>0</v>
      </c>
      <c r="L101" s="20">
        <v>35</v>
      </c>
      <c r="M101" s="44">
        <f>+'30'!M101+'1'!M101+'2'!M101+'3'!M101+'4'!M101+'5'!M101+'6'!M101+'7'!M101+'8'!M101+'9'!M101+'10'!M101</f>
        <v>0</v>
      </c>
      <c r="N101" s="19"/>
      <c r="O101" s="116">
        <v>14.06</v>
      </c>
      <c r="P101" s="79">
        <f t="shared" si="20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46">
        <f>+ยกมา!J103</f>
        <v>0</v>
      </c>
      <c r="F102" s="44">
        <f>+'30'!F102+'1'!F102+'2'!F102+'3'!F102+'4'!F102+'5'!F102+'6'!F102+'7'!F102+'8'!F102+'9'!F102+'10'!F102</f>
        <v>550</v>
      </c>
      <c r="G102" s="43">
        <f t="shared" si="12"/>
        <v>550</v>
      </c>
      <c r="H102" s="78">
        <f>+'30'!H102+'1'!H102+'2'!H102+'3'!H102+'4'!H102+'5'!H102+'6'!H102+'7'!H102+'8'!H102+'9'!H102+'10'!H102</f>
        <v>0</v>
      </c>
      <c r="I102" s="76">
        <f>+'30'!I102+'1'!I102+'2'!I102+'3'!I102+'4'!I102+'5'!I102+'6'!I102+'7'!I102+'8'!I102+'9'!I102+'10'!I102</f>
        <v>4</v>
      </c>
      <c r="J102" s="43">
        <f t="shared" si="19"/>
        <v>0</v>
      </c>
      <c r="K102" s="44">
        <f>+'30'!K102+'1'!K102+'2'!K102+'3'!K102+'4'!K102+'5'!K102+'6'!K102+'7'!K102+'8'!K102+'9'!K102+'10'!K102</f>
        <v>546</v>
      </c>
      <c r="L102" s="20">
        <v>49</v>
      </c>
      <c r="M102" s="44">
        <f>+'30'!M102+'1'!M102+'2'!M102+'3'!M102+'4'!M102+'5'!M102+'6'!M102+'7'!M102+'8'!M102+'9'!M102+'10'!M102</f>
        <v>26754</v>
      </c>
      <c r="N102" s="19"/>
      <c r="O102" s="116">
        <v>30.82</v>
      </c>
      <c r="P102" s="79">
        <f t="shared" si="20"/>
        <v>16827.72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8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46">
        <f>+ยกมา!J103</f>
        <v>0</v>
      </c>
      <c r="F103" s="44">
        <f>+'30'!F103+'1'!F103+'2'!F103+'3'!F103+'4'!F103+'5'!F103+'6'!F103+'7'!F103+'8'!F103+'9'!F103+'10'!F103</f>
        <v>0</v>
      </c>
      <c r="G103" s="43">
        <f t="shared" si="12"/>
        <v>0</v>
      </c>
      <c r="H103" s="78">
        <f>+'30'!H103+'1'!H103+'2'!H103+'3'!H103+'4'!H103+'5'!H103+'6'!H103+'7'!H103+'8'!H103+'9'!H103+'10'!H103</f>
        <v>0</v>
      </c>
      <c r="I103" s="76">
        <f>+'30'!I103+'1'!I103+'2'!I103+'3'!I103+'4'!I103+'5'!I103+'6'!I103+'7'!I103+'8'!I103+'9'!I103+'10'!I103</f>
        <v>0</v>
      </c>
      <c r="J103" s="43">
        <f t="shared" si="19"/>
        <v>0</v>
      </c>
      <c r="K103" s="44">
        <f>+'30'!K103+'1'!K103+'2'!K103+'3'!K103+'4'!K103+'5'!K103+'6'!K103+'7'!K103+'8'!K103+'9'!K103+'10'!K103</f>
        <v>0</v>
      </c>
      <c r="L103" s="20">
        <v>139</v>
      </c>
      <c r="M103" s="44">
        <f>+'30'!M103+'1'!M103+'2'!M103+'3'!M103+'4'!M103+'5'!M103+'6'!M103+'7'!M103+'8'!M103+'9'!M103+'10'!M103</f>
        <v>0</v>
      </c>
      <c r="N103" s="19"/>
      <c r="O103" s="90">
        <v>47.7</v>
      </c>
      <c r="P103" s="79">
        <f t="shared" si="20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46">
        <f>+ยกมา!J104</f>
        <v>0</v>
      </c>
      <c r="F104" s="44">
        <f>+'30'!F104+'1'!F104+'2'!F104+'3'!F104+'4'!F104+'5'!F104+'6'!F104+'7'!F104+'8'!F104+'9'!F104+'10'!F104</f>
        <v>0</v>
      </c>
      <c r="G104" s="43">
        <f t="shared" si="12"/>
        <v>0</v>
      </c>
      <c r="H104" s="78">
        <f>+'30'!H104+'1'!H104+'2'!H104+'3'!H104+'4'!H104+'5'!H104+'6'!H104+'7'!H104+'8'!H104+'9'!H104+'10'!H104</f>
        <v>0</v>
      </c>
      <c r="I104" s="76">
        <f>+'30'!I104+'1'!I104+'2'!I104+'3'!I104+'4'!I104+'5'!I104+'6'!I104+'7'!I104+'8'!I104+'9'!I104+'10'!I104</f>
        <v>0</v>
      </c>
      <c r="J104" s="43">
        <f t="shared" si="19"/>
        <v>0</v>
      </c>
      <c r="K104" s="44">
        <f>+'30'!K104+'1'!K104+'2'!K104+'3'!K104+'4'!K104+'5'!K104+'6'!K104+'7'!K104+'8'!K104+'9'!K104+'10'!K104</f>
        <v>0</v>
      </c>
      <c r="L104" s="20">
        <v>89</v>
      </c>
      <c r="M104" s="44">
        <f>+'30'!M104+'1'!M104+'2'!M104+'3'!M104+'4'!M104+'5'!M104+'6'!M104+'7'!M104+'8'!M104+'9'!M104+'10'!M104</f>
        <v>0</v>
      </c>
      <c r="N104" s="19"/>
      <c r="O104" s="90">
        <v>41.66</v>
      </c>
      <c r="P104" s="79">
        <f t="shared" si="20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46">
        <v>0</v>
      </c>
      <c r="F105" s="44">
        <f>+'30'!F105+'1'!F105+'2'!F105+'3'!F105+'4'!F105+'5'!F105+'6'!F105+'7'!F105+'8'!F105+'9'!F105+'10'!F105</f>
        <v>0</v>
      </c>
      <c r="G105" s="43">
        <f t="shared" si="12"/>
        <v>0</v>
      </c>
      <c r="H105" s="78">
        <f>+'30'!H105+'1'!H105+'2'!H105+'3'!H105+'4'!H105+'5'!H105+'6'!H105+'7'!H105+'8'!H105+'9'!H105+'10'!H105</f>
        <v>0</v>
      </c>
      <c r="I105" s="76">
        <f>+'30'!I105+'1'!I105+'2'!I105+'3'!I105+'4'!I105+'5'!I105+'6'!I105+'7'!I105+'8'!I105+'9'!I105+'10'!I105</f>
        <v>0</v>
      </c>
      <c r="J105" s="43">
        <f t="shared" si="19"/>
        <v>0</v>
      </c>
      <c r="K105" s="44">
        <f>+'30'!K105+'1'!K105+'2'!K105+'3'!K105+'4'!K105+'5'!K105+'6'!K105+'7'!K105+'8'!K105+'9'!K105+'10'!K105</f>
        <v>0</v>
      </c>
      <c r="L105" s="20">
        <v>72</v>
      </c>
      <c r="M105" s="44">
        <f>+'30'!M105+'1'!M105+'2'!M105+'3'!M105+'4'!M105+'5'!M105+'6'!M105+'7'!M105+'8'!M105+'9'!M105+'10'!M105</f>
        <v>0</v>
      </c>
      <c r="N105" s="19"/>
      <c r="O105" s="90">
        <v>25.74</v>
      </c>
      <c r="P105" s="79">
        <f t="shared" si="20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46">
        <f>+ยกมา!J106</f>
        <v>0</v>
      </c>
      <c r="F106" s="44">
        <f>+'30'!F106+'1'!F106+'2'!F106+'3'!F106+'4'!F106+'5'!F106+'6'!F106+'7'!F106+'8'!F106+'9'!F106+'10'!F106</f>
        <v>0</v>
      </c>
      <c r="G106" s="43">
        <f t="shared" si="12"/>
        <v>0</v>
      </c>
      <c r="H106" s="78">
        <f>+'30'!H106+'1'!H106+'2'!H106+'3'!H106+'4'!H106+'5'!H106+'6'!H106+'7'!H106+'8'!H106+'9'!H106+'10'!H106</f>
        <v>0</v>
      </c>
      <c r="I106" s="76">
        <f>+'30'!I106+'1'!I106+'2'!I106+'3'!I106+'4'!I106+'5'!I106+'6'!I106+'7'!I106+'8'!I106+'9'!I106+'10'!I106</f>
        <v>0</v>
      </c>
      <c r="J106" s="43">
        <f t="shared" si="13"/>
        <v>0</v>
      </c>
      <c r="K106" s="44">
        <f>+'30'!K106+'1'!K106+'2'!K106+'3'!K106+'4'!K106+'5'!K106+'6'!K106+'7'!K106+'8'!K106+'9'!K106+'10'!K106</f>
        <v>0</v>
      </c>
      <c r="L106" s="20">
        <v>35</v>
      </c>
      <c r="M106" s="44">
        <f>+'30'!M106+'1'!M106+'2'!M106+'3'!M106+'4'!M106+'5'!M106+'6'!M106+'7'!M106+'8'!M106+'9'!M106+'10'!M106</f>
        <v>0</v>
      </c>
      <c r="N106" s="19"/>
      <c r="O106" s="90">
        <v>10.98</v>
      </c>
      <c r="P106" s="79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46">
        <f>+ยกมา!J107</f>
        <v>0</v>
      </c>
      <c r="F107" s="44">
        <f>+'30'!F107+'1'!F107+'2'!F107+'3'!F107+'4'!F107+'5'!F107+'6'!F107+'7'!F107+'8'!F107+'9'!F107+'10'!F107</f>
        <v>0</v>
      </c>
      <c r="G107" s="43">
        <f t="shared" si="12"/>
        <v>0</v>
      </c>
      <c r="H107" s="78">
        <f>+'30'!H107+'1'!H107+'2'!H107+'3'!H107+'4'!H107+'5'!H107+'6'!H107+'7'!H107+'8'!H107+'9'!H107+'10'!H107</f>
        <v>0</v>
      </c>
      <c r="I107" s="76">
        <f>+'30'!I107+'1'!I107+'2'!I107+'3'!I107+'4'!I107+'5'!I107+'6'!I107+'7'!I107+'8'!I107+'9'!I107+'10'!I107</f>
        <v>0</v>
      </c>
      <c r="J107" s="43">
        <f t="shared" si="13"/>
        <v>0</v>
      </c>
      <c r="K107" s="44">
        <f>+'30'!K107+'1'!K107+'2'!K107+'3'!K107+'4'!K107+'5'!K107+'6'!K107+'7'!K107+'8'!K107+'9'!K107+'10'!K107</f>
        <v>0</v>
      </c>
      <c r="L107" s="20">
        <v>35</v>
      </c>
      <c r="M107" s="44">
        <f>+'30'!M107+'1'!M107+'2'!M107+'3'!M107+'4'!M107+'5'!M107+'6'!M107+'7'!M107+'8'!M107+'9'!M107+'10'!M107</f>
        <v>0</v>
      </c>
      <c r="N107" s="19"/>
      <c r="O107" s="92">
        <v>0</v>
      </c>
      <c r="P107" s="79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46">
        <f>+ยกมา!J108</f>
        <v>0</v>
      </c>
      <c r="F108" s="44">
        <f>+'30'!F108+'1'!F108+'2'!F108+'3'!F108+'4'!F108+'5'!F108+'6'!F108+'7'!F108+'8'!F108+'9'!F108+'10'!F108</f>
        <v>0</v>
      </c>
      <c r="G108" s="43">
        <f t="shared" si="12"/>
        <v>0</v>
      </c>
      <c r="H108" s="78">
        <f>+'30'!H108+'1'!H108+'2'!H108+'3'!H108+'4'!H108+'5'!H108+'6'!H108+'7'!H108+'8'!H108+'9'!H108+'10'!H108</f>
        <v>0</v>
      </c>
      <c r="I108" s="76">
        <f>+'30'!I108+'1'!I108+'2'!I108+'3'!I108+'4'!I108+'5'!I108+'6'!I108+'7'!I108+'8'!I108+'9'!I108+'10'!I108</f>
        <v>0</v>
      </c>
      <c r="J108" s="43">
        <f t="shared" si="13"/>
        <v>0</v>
      </c>
      <c r="K108" s="44">
        <f>+'30'!K108+'1'!K108+'2'!K108+'3'!K108+'4'!K108+'5'!K108+'6'!K108+'7'!K108+'8'!K108+'9'!K108+'10'!K108</f>
        <v>0</v>
      </c>
      <c r="L108" s="20">
        <v>100</v>
      </c>
      <c r="M108" s="44">
        <f>+'30'!M108+'1'!M108+'2'!M108+'3'!M108+'4'!M108+'5'!M108+'6'!M108+'7'!M108+'8'!M108+'9'!M108+'10'!M108</f>
        <v>0</v>
      </c>
      <c r="N108" s="19"/>
      <c r="O108" s="92">
        <v>0</v>
      </c>
      <c r="P108" s="79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46">
        <f>+ยกมา!J109</f>
        <v>0</v>
      </c>
      <c r="F109" s="44">
        <f>+'30'!F109+'1'!F109+'2'!F109+'3'!F109+'4'!F109+'5'!F109+'6'!F109+'7'!F109+'8'!F109+'9'!F109+'10'!F109</f>
        <v>0</v>
      </c>
      <c r="G109" s="43">
        <f t="shared" si="12"/>
        <v>0</v>
      </c>
      <c r="H109" s="78">
        <f>+'30'!H109+'1'!H109+'2'!H109+'3'!H109+'4'!H109+'5'!H109+'6'!H109+'7'!H109+'8'!H109+'9'!H109+'10'!H109</f>
        <v>0</v>
      </c>
      <c r="I109" s="76">
        <f>+'30'!I109+'1'!I109+'2'!I109+'3'!I109+'4'!I109+'5'!I109+'6'!I109+'7'!I109+'8'!I109+'9'!I109+'10'!I109</f>
        <v>0</v>
      </c>
      <c r="J109" s="43">
        <f t="shared" si="13"/>
        <v>0</v>
      </c>
      <c r="K109" s="44">
        <f>+'30'!K109+'1'!K109+'2'!K109+'3'!K109+'4'!K109+'5'!K109+'6'!K109+'7'!K109+'8'!K109+'9'!K109+'10'!K109</f>
        <v>0</v>
      </c>
      <c r="L109" s="20">
        <v>250</v>
      </c>
      <c r="M109" s="44">
        <f>+'30'!M109+'1'!M109+'2'!M109+'3'!M109+'4'!M109+'5'!M109+'6'!M109+'7'!M109+'8'!M109+'9'!M109+'10'!M109</f>
        <v>0</v>
      </c>
      <c r="N109" s="19"/>
      <c r="O109" s="92">
        <v>0</v>
      </c>
      <c r="P109" s="79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46">
        <f>+ยกมา!J110</f>
        <v>0</v>
      </c>
      <c r="F110" s="44">
        <f>+'30'!F110+'1'!F110+'2'!F110+'3'!F110+'4'!F110+'5'!F110+'6'!F110+'7'!F110+'8'!F110+'9'!F110+'10'!F110</f>
        <v>0</v>
      </c>
      <c r="G110" s="43">
        <f t="shared" si="12"/>
        <v>0</v>
      </c>
      <c r="H110" s="78">
        <f>+'30'!H110+'1'!H110+'2'!H110+'3'!H110+'4'!H110+'5'!H110+'6'!H110+'7'!H110+'8'!H110+'9'!H110+'10'!H110</f>
        <v>0</v>
      </c>
      <c r="I110" s="76">
        <f>+'30'!I110+'1'!I110+'2'!I110+'3'!I110+'4'!I110+'5'!I110+'6'!I110+'7'!I110+'8'!I110+'9'!I110+'10'!I110</f>
        <v>0</v>
      </c>
      <c r="J110" s="43">
        <f t="shared" si="13"/>
        <v>0</v>
      </c>
      <c r="K110" s="44">
        <f>+'30'!K110+'1'!K110+'2'!K110+'3'!K110+'4'!K110+'5'!K110+'6'!K110+'7'!K110+'8'!K110+'9'!K110+'10'!K110</f>
        <v>0</v>
      </c>
      <c r="L110" s="20">
        <v>120</v>
      </c>
      <c r="M110" s="44">
        <f>+'30'!M110+'1'!M110+'2'!M110+'3'!M110+'4'!M110+'5'!M110+'6'!M110+'7'!M110+'8'!M110+'9'!M110+'10'!M110</f>
        <v>0</v>
      </c>
      <c r="N110" s="19"/>
      <c r="O110" s="92">
        <v>0</v>
      </c>
      <c r="P110" s="79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46">
        <f>+ยกมา!J111</f>
        <v>0</v>
      </c>
      <c r="F111" s="44">
        <f>+'30'!F111+'1'!F111+'2'!F111+'3'!F111+'4'!F111+'5'!F111+'6'!F111+'7'!F111+'8'!F111+'9'!F111+'10'!F111</f>
        <v>0</v>
      </c>
      <c r="G111" s="43">
        <f t="shared" si="12"/>
        <v>0</v>
      </c>
      <c r="H111" s="78">
        <f>+'30'!H111+'1'!H111+'2'!H111+'3'!H111+'4'!H111+'5'!H111+'6'!H111+'7'!H111+'8'!H111+'9'!H111+'10'!H111</f>
        <v>0</v>
      </c>
      <c r="I111" s="76">
        <f>+'30'!I111+'1'!I111+'2'!I111+'3'!I111+'4'!I111+'5'!I111+'6'!I111+'7'!I111+'8'!I111+'9'!I111+'10'!I111</f>
        <v>0</v>
      </c>
      <c r="J111" s="43">
        <f t="shared" si="13"/>
        <v>0</v>
      </c>
      <c r="K111" s="44">
        <f>+'30'!K111+'1'!K111+'2'!K111+'3'!K111+'4'!K111+'5'!K111+'6'!K111+'7'!K111+'8'!K111+'9'!K111+'10'!K111</f>
        <v>0</v>
      </c>
      <c r="L111" s="20">
        <v>250</v>
      </c>
      <c r="M111" s="44">
        <f>+'30'!M111+'1'!M111+'2'!M111+'3'!M111+'4'!M111+'5'!M111+'6'!M111+'7'!M111+'8'!M111+'9'!M111+'10'!M111</f>
        <v>0</v>
      </c>
      <c r="N111" s="19"/>
      <c r="O111" s="92">
        <v>0</v>
      </c>
      <c r="P111" s="79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46">
        <f>+ยกมา!J112</f>
        <v>0</v>
      </c>
      <c r="F112" s="44">
        <f>+'30'!F112+'1'!F112+'2'!F112+'3'!F112+'4'!F112+'5'!F112+'6'!F112+'7'!F112+'8'!F112+'9'!F112+'10'!F112</f>
        <v>50</v>
      </c>
      <c r="G112" s="43">
        <f t="shared" si="12"/>
        <v>50</v>
      </c>
      <c r="H112" s="78">
        <f>+'30'!H112+'1'!H112+'2'!H112+'3'!H112+'4'!H112+'5'!H112+'6'!H112+'7'!H112+'8'!H112+'9'!H112+'10'!H112</f>
        <v>0</v>
      </c>
      <c r="I112" s="76">
        <f>+'30'!I112+'1'!I112+'2'!I112+'3'!I112+'4'!I112+'5'!I112+'6'!I112+'7'!I112+'8'!I112+'9'!I112+'10'!I112</f>
        <v>0</v>
      </c>
      <c r="J112" s="43">
        <f t="shared" si="13"/>
        <v>12</v>
      </c>
      <c r="K112" s="44">
        <f>+'30'!K112+'1'!K112+'2'!K112+'3'!K112+'4'!K112+'5'!K112+'6'!K112+'7'!K112+'8'!K112+'9'!K112+'10'!K112</f>
        <v>38</v>
      </c>
      <c r="L112" s="20">
        <v>100</v>
      </c>
      <c r="M112" s="44">
        <f>+'30'!M112+'1'!M112+'2'!M112+'3'!M112+'4'!M112+'5'!M112+'6'!M112+'7'!M112+'8'!M112+'9'!M112+'10'!M112</f>
        <v>3800</v>
      </c>
      <c r="N112" s="19"/>
      <c r="O112" s="90">
        <v>30.3</v>
      </c>
      <c r="P112" s="79">
        <f t="shared" si="14"/>
        <v>1151.4000000000001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46">
        <f>+ยกมา!J113</f>
        <v>0</v>
      </c>
      <c r="F113" s="44">
        <f>+'30'!F113+'1'!F113+'2'!F113+'3'!F113+'4'!F113+'5'!F113+'6'!F113+'7'!F113+'8'!F113+'9'!F113+'10'!F113</f>
        <v>30</v>
      </c>
      <c r="G113" s="43">
        <f t="shared" si="12"/>
        <v>30</v>
      </c>
      <c r="H113" s="78">
        <f>+'30'!H113+'1'!H113+'2'!H113+'3'!H113+'4'!H113+'5'!H113+'6'!H113+'7'!H113+'8'!H113+'9'!H113+'10'!H113</f>
        <v>0</v>
      </c>
      <c r="I113" s="76">
        <f>+'30'!I113+'1'!I113+'2'!I113+'3'!I113+'4'!I113+'5'!I113+'6'!I113+'7'!I113+'8'!I113+'9'!I113+'10'!I113</f>
        <v>0</v>
      </c>
      <c r="J113" s="43">
        <f t="shared" si="13"/>
        <v>5</v>
      </c>
      <c r="K113" s="44">
        <f>+'30'!K113+'1'!K113+'2'!K113+'3'!K113+'4'!K113+'5'!K113+'6'!K113+'7'!K113+'8'!K113+'9'!K113+'10'!K113</f>
        <v>25</v>
      </c>
      <c r="L113" s="20">
        <v>55</v>
      </c>
      <c r="M113" s="44">
        <f>+'30'!M113+'1'!M113+'2'!M113+'3'!M113+'4'!M113+'5'!M113+'6'!M113+'7'!M113+'8'!M113+'9'!M113+'10'!M113</f>
        <v>1375</v>
      </c>
      <c r="N113" s="19"/>
      <c r="O113" s="90">
        <v>20.58</v>
      </c>
      <c r="P113" s="79">
        <f t="shared" si="14"/>
        <v>514.5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46">
        <f>+ยกมา!J114</f>
        <v>0</v>
      </c>
      <c r="F114" s="44">
        <f>+'30'!F114+'1'!F114+'2'!F114+'3'!F114+'4'!F114+'5'!F114+'6'!F114+'7'!F114+'8'!F114+'9'!F114+'10'!F114</f>
        <v>0</v>
      </c>
      <c r="G114" s="43">
        <f t="shared" si="12"/>
        <v>0</v>
      </c>
      <c r="H114" s="78">
        <f>+'30'!H114+'1'!H114+'2'!H114+'3'!H114+'4'!H114+'5'!H114+'6'!H114+'7'!H114+'8'!H114+'9'!H114+'10'!H114</f>
        <v>0</v>
      </c>
      <c r="I114" s="76">
        <f>+'30'!I114+'1'!I114+'2'!I114+'3'!I114+'4'!I114+'5'!I114+'6'!I114+'7'!I114+'8'!I114+'9'!I114+'10'!I114</f>
        <v>0</v>
      </c>
      <c r="J114" s="43">
        <f t="shared" si="13"/>
        <v>0</v>
      </c>
      <c r="K114" s="44">
        <f>+'30'!K114+'1'!K114+'2'!K114+'3'!K114+'4'!K114+'5'!K114+'6'!K114+'7'!K114+'8'!K114+'9'!K114+'10'!K114</f>
        <v>0</v>
      </c>
      <c r="L114" s="20">
        <v>200</v>
      </c>
      <c r="M114" s="44">
        <f>+'30'!M114+'1'!M114+'2'!M114+'3'!M114+'4'!M114+'5'!M114+'6'!M114+'7'!M114+'8'!M114+'9'!M114+'10'!M114</f>
        <v>0</v>
      </c>
      <c r="N114" s="19"/>
      <c r="O114" s="90">
        <v>185</v>
      </c>
      <c r="P114" s="79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46">
        <f>+ยกมา!J115</f>
        <v>0</v>
      </c>
      <c r="F115" s="44">
        <f>+'30'!F115+'1'!F115+'2'!F115+'3'!F115+'4'!F115+'5'!F115+'6'!F115+'7'!F115+'8'!F115+'9'!F115+'10'!F115</f>
        <v>30</v>
      </c>
      <c r="G115" s="43">
        <f t="shared" si="12"/>
        <v>30</v>
      </c>
      <c r="H115" s="78">
        <f>+'30'!H115+'1'!H115+'2'!H115+'3'!H115+'4'!H115+'5'!H115+'6'!H115+'7'!H115+'8'!H115+'9'!H115+'10'!H115</f>
        <v>0</v>
      </c>
      <c r="I115" s="76">
        <f>+'30'!I115+'1'!I115+'2'!I115+'3'!I115+'4'!I115+'5'!I115+'6'!I115+'7'!I115+'8'!I115+'9'!I115+'10'!I115</f>
        <v>0</v>
      </c>
      <c r="J115" s="43">
        <f t="shared" si="13"/>
        <v>2</v>
      </c>
      <c r="K115" s="44">
        <f>+'30'!K115+'1'!K115+'2'!K115+'3'!K115+'4'!K115+'5'!K115+'6'!K115+'7'!K115+'8'!K115+'9'!K115+'10'!K115</f>
        <v>28</v>
      </c>
      <c r="L115" s="20">
        <v>60</v>
      </c>
      <c r="M115" s="44">
        <f>+'30'!M115+'1'!M115+'2'!M115+'3'!M115+'4'!M115+'5'!M115+'6'!M115+'7'!M115+'8'!M115+'9'!M115+'10'!M115</f>
        <v>1680</v>
      </c>
      <c r="N115" s="19"/>
      <c r="O115" s="90">
        <v>23.61</v>
      </c>
      <c r="P115" s="79">
        <f t="shared" si="14"/>
        <v>661.07999999999993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46">
        <f>+ยกมา!J116</f>
        <v>0</v>
      </c>
      <c r="F116" s="44">
        <f>+'30'!F116+'1'!F116+'2'!F116+'3'!F116+'4'!F116+'5'!F116+'6'!F116+'7'!F116+'8'!F116+'9'!F116+'10'!F116</f>
        <v>30</v>
      </c>
      <c r="G116" s="43">
        <f t="shared" si="12"/>
        <v>30</v>
      </c>
      <c r="H116" s="78">
        <f>+'30'!H116+'1'!H116+'2'!H116+'3'!H116+'4'!H116+'5'!H116+'6'!H116+'7'!H116+'8'!H116+'9'!H116+'10'!H116</f>
        <v>0</v>
      </c>
      <c r="I116" s="76">
        <f>+'30'!I116+'1'!I116+'2'!I116+'3'!I116+'4'!I116+'5'!I116+'6'!I116+'7'!I116+'8'!I116+'9'!I116+'10'!I116</f>
        <v>0</v>
      </c>
      <c r="J116" s="43">
        <f t="shared" si="13"/>
        <v>3</v>
      </c>
      <c r="K116" s="44">
        <f>+'30'!K116+'1'!K116+'2'!K116+'3'!K116+'4'!K116+'5'!K116+'6'!K116+'7'!K116+'8'!K116+'9'!K116+'10'!K116</f>
        <v>27</v>
      </c>
      <c r="L116" s="20">
        <v>100</v>
      </c>
      <c r="M116" s="44">
        <f>+'30'!M116+'1'!M116+'2'!M116+'3'!M116+'4'!M116+'5'!M116+'6'!M116+'7'!M116+'8'!M116+'9'!M116+'10'!M116</f>
        <v>2700</v>
      </c>
      <c r="N116" s="19"/>
      <c r="O116" s="90">
        <v>13.03</v>
      </c>
      <c r="P116" s="79">
        <f t="shared" si="14"/>
        <v>351.81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46">
        <f>+ยกมา!J117</f>
        <v>0</v>
      </c>
      <c r="F117" s="44">
        <f>+'30'!F117+'1'!F117+'2'!F117+'3'!F117+'4'!F117+'5'!F117+'6'!F117+'7'!F117+'8'!F117+'9'!F117+'10'!F117</f>
        <v>10</v>
      </c>
      <c r="G117" s="43">
        <f t="shared" si="12"/>
        <v>10</v>
      </c>
      <c r="H117" s="78">
        <f>+'30'!H117+'1'!H117+'2'!H117+'3'!H117+'4'!H117+'5'!H117+'6'!H117+'7'!H117+'8'!H117+'9'!H117+'10'!H117</f>
        <v>0</v>
      </c>
      <c r="I117" s="76">
        <f>+'30'!I117+'1'!I117+'2'!I117+'3'!I117+'4'!I117+'5'!I117+'6'!I117+'7'!I117+'8'!I117+'9'!I117+'10'!I117</f>
        <v>0</v>
      </c>
      <c r="J117" s="43">
        <f t="shared" si="13"/>
        <v>2</v>
      </c>
      <c r="K117" s="44">
        <f>+'30'!K117+'1'!K117+'2'!K117+'3'!K117+'4'!K117+'5'!K117+'6'!K117+'7'!K117+'8'!K117+'9'!K117+'10'!K117</f>
        <v>8</v>
      </c>
      <c r="L117" s="20">
        <v>55</v>
      </c>
      <c r="M117" s="44">
        <f>+'30'!M117+'1'!M117+'2'!M117+'3'!M117+'4'!M117+'5'!M117+'6'!M117+'7'!M117+'8'!M117+'9'!M117+'10'!M117</f>
        <v>440</v>
      </c>
      <c r="N117" s="19"/>
      <c r="O117" s="90">
        <v>11.91</v>
      </c>
      <c r="P117" s="79">
        <f t="shared" si="14"/>
        <v>95.28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46">
        <f>+ยกมา!J118</f>
        <v>0</v>
      </c>
      <c r="F118" s="44">
        <f>+'30'!F118+'1'!F118+'2'!F118+'3'!F118+'4'!F118+'5'!F118+'6'!F118+'7'!F118+'8'!F118+'9'!F118+'10'!F118</f>
        <v>0</v>
      </c>
      <c r="G118" s="43">
        <f t="shared" si="12"/>
        <v>0</v>
      </c>
      <c r="H118" s="78">
        <f>+'30'!H118+'1'!H118+'2'!H118+'3'!H118+'4'!H118+'5'!H118+'6'!H118+'7'!H118+'8'!H118+'9'!H118+'10'!H118</f>
        <v>0</v>
      </c>
      <c r="I118" s="76">
        <f>+'30'!I118+'1'!I118+'2'!I118+'3'!I118+'4'!I118+'5'!I118+'6'!I118+'7'!I118+'8'!I118+'9'!I118+'10'!I118</f>
        <v>0</v>
      </c>
      <c r="J118" s="43">
        <f t="shared" si="13"/>
        <v>0</v>
      </c>
      <c r="K118" s="44">
        <f>+'30'!K118+'1'!K118+'2'!K118+'3'!K118+'4'!K118+'5'!K118+'6'!K118+'7'!K118+'8'!K118+'9'!K118+'10'!K118</f>
        <v>0</v>
      </c>
      <c r="L118" s="20">
        <v>40</v>
      </c>
      <c r="M118" s="44">
        <f>+'30'!M118+'1'!M118+'2'!M118+'3'!M118+'4'!M118+'5'!M118+'6'!M118+'7'!M118+'8'!M118+'9'!M118+'10'!M118</f>
        <v>0</v>
      </c>
      <c r="N118" s="19"/>
      <c r="O118" s="90">
        <v>30</v>
      </c>
      <c r="P118" s="79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46">
        <f>+ยกมา!J119</f>
        <v>0</v>
      </c>
      <c r="F119" s="44">
        <f>+'30'!F119+'1'!F119+'2'!F119+'3'!F119+'4'!F119+'5'!F119+'6'!F119+'7'!F119+'8'!F119+'9'!F119+'10'!F119</f>
        <v>0</v>
      </c>
      <c r="G119" s="43">
        <f t="shared" si="12"/>
        <v>0</v>
      </c>
      <c r="H119" s="78">
        <f>+'30'!H119+'1'!H119+'2'!H119+'3'!H119+'4'!H119+'5'!H119+'6'!H119+'7'!H119+'8'!H119+'9'!H119+'10'!H119</f>
        <v>0</v>
      </c>
      <c r="I119" s="76">
        <f>+'30'!I119+'1'!I119+'2'!I119+'3'!I119+'4'!I119+'5'!I119+'6'!I119+'7'!I119+'8'!I119+'9'!I119+'10'!I119</f>
        <v>0</v>
      </c>
      <c r="J119" s="43">
        <f t="shared" si="13"/>
        <v>0</v>
      </c>
      <c r="K119" s="44">
        <f>+'30'!K119+'1'!K119+'2'!K119+'3'!K119+'4'!K119+'5'!K119+'6'!K119+'7'!K119+'8'!K119+'9'!K119+'10'!K119</f>
        <v>0</v>
      </c>
      <c r="L119" s="20">
        <v>40</v>
      </c>
      <c r="M119" s="44">
        <f>+'30'!M119+'1'!M119+'2'!M119+'3'!M119+'4'!M119+'5'!M119+'6'!M119+'7'!M119+'8'!M119+'9'!M119+'10'!M119</f>
        <v>0</v>
      </c>
      <c r="N119" s="19"/>
      <c r="O119" s="90">
        <v>30</v>
      </c>
      <c r="P119" s="79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46">
        <f>+ยกมา!J120</f>
        <v>0</v>
      </c>
      <c r="F120" s="44">
        <f>+'30'!F120+'1'!F120+'2'!F120+'3'!F120+'4'!F120+'5'!F120+'6'!F120+'7'!F120+'8'!F120+'9'!F120+'10'!F120</f>
        <v>0</v>
      </c>
      <c r="G120" s="43">
        <f t="shared" si="12"/>
        <v>0</v>
      </c>
      <c r="H120" s="78">
        <f>+'30'!H120+'1'!H120+'2'!H120+'3'!H120+'4'!H120+'5'!H120+'6'!H120+'7'!H120+'8'!H120+'9'!H120+'10'!H120</f>
        <v>0</v>
      </c>
      <c r="I120" s="76">
        <f>+'30'!I120+'1'!I120+'2'!I120+'3'!I120+'4'!I120+'5'!I120+'6'!I120+'7'!I120+'8'!I120+'9'!I120+'10'!I120</f>
        <v>0</v>
      </c>
      <c r="J120" s="43">
        <f t="shared" si="13"/>
        <v>0</v>
      </c>
      <c r="K120" s="44">
        <f>+'30'!K120+'1'!K120+'2'!K120+'3'!K120+'4'!K120+'5'!K120+'6'!K120+'7'!K120+'8'!K120+'9'!K120+'10'!K120</f>
        <v>0</v>
      </c>
      <c r="L120" s="20">
        <v>40</v>
      </c>
      <c r="M120" s="44">
        <f>+'30'!M120+'1'!M120+'2'!M120+'3'!M120+'4'!M120+'5'!M120+'6'!M120+'7'!M120+'8'!M120+'9'!M120+'10'!M120</f>
        <v>0</v>
      </c>
      <c r="N120" s="19"/>
      <c r="O120" s="90">
        <v>30</v>
      </c>
      <c r="P120" s="79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46">
        <f>+ยกมา!J121</f>
        <v>0</v>
      </c>
      <c r="F121" s="44">
        <f>+'30'!F121+'1'!F121+'2'!F121+'3'!F121+'4'!F121+'5'!F121+'6'!F121+'7'!F121+'8'!F121+'9'!F121+'10'!F121</f>
        <v>0</v>
      </c>
      <c r="G121" s="43">
        <f t="shared" si="12"/>
        <v>0</v>
      </c>
      <c r="H121" s="78">
        <f>+'30'!H121+'1'!H121+'2'!H121+'3'!H121+'4'!H121+'5'!H121+'6'!H121+'7'!H121+'8'!H121+'9'!H121+'10'!H121</f>
        <v>0</v>
      </c>
      <c r="I121" s="76">
        <f>+'30'!I121+'1'!I121+'2'!I121+'3'!I121+'4'!I121+'5'!I121+'6'!I121+'7'!I121+'8'!I121+'9'!I121+'10'!I121</f>
        <v>0</v>
      </c>
      <c r="J121" s="43">
        <f t="shared" si="13"/>
        <v>0</v>
      </c>
      <c r="K121" s="44">
        <f>+'30'!K121+'1'!K121+'2'!K121+'3'!K121+'4'!K121+'5'!K121+'6'!K121+'7'!K121+'8'!K121+'9'!K121+'10'!K121</f>
        <v>0</v>
      </c>
      <c r="L121" s="20">
        <v>40</v>
      </c>
      <c r="M121" s="44">
        <f>+'30'!M121+'1'!M121+'2'!M121+'3'!M121+'4'!M121+'5'!M121+'6'!M121+'7'!M121+'8'!M121+'9'!M121+'10'!M121</f>
        <v>0</v>
      </c>
      <c r="N121" s="19"/>
      <c r="O121" s="90">
        <v>30</v>
      </c>
      <c r="P121" s="79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46">
        <f>+ยกมา!J122</f>
        <v>0</v>
      </c>
      <c r="F122" s="44">
        <f>+'30'!F122+'1'!F122+'2'!F122+'3'!F122+'4'!F122+'5'!F122+'6'!F122+'7'!F122+'8'!F122+'9'!F122+'10'!F122</f>
        <v>0</v>
      </c>
      <c r="G122" s="43">
        <f t="shared" si="12"/>
        <v>0</v>
      </c>
      <c r="H122" s="78">
        <f>+'30'!H122+'1'!H122+'2'!H122+'3'!H122+'4'!H122+'5'!H122+'6'!H122+'7'!H122+'8'!H122+'9'!H122+'10'!H122</f>
        <v>0</v>
      </c>
      <c r="I122" s="76">
        <f>+'30'!I122+'1'!I122+'2'!I122+'3'!I122+'4'!I122+'5'!I122+'6'!I122+'7'!I122+'8'!I122+'9'!I122+'10'!I122</f>
        <v>0</v>
      </c>
      <c r="J122" s="43">
        <f t="shared" si="13"/>
        <v>0</v>
      </c>
      <c r="K122" s="44">
        <f>+'30'!K122+'1'!K122+'2'!K122+'3'!K122+'4'!K122+'5'!K122+'6'!K122+'7'!K122+'8'!K122+'9'!K122+'10'!K122</f>
        <v>0</v>
      </c>
      <c r="L122" s="20">
        <v>55</v>
      </c>
      <c r="M122" s="44">
        <f>+'30'!M122+'1'!M122+'2'!M122+'3'!M122+'4'!M122+'5'!M122+'6'!M122+'7'!M122+'8'!M122+'9'!M122+'10'!M122</f>
        <v>0</v>
      </c>
      <c r="N122" s="19"/>
      <c r="O122" s="90">
        <v>30</v>
      </c>
      <c r="P122" s="79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46">
        <f>+ยกมา!J123</f>
        <v>0</v>
      </c>
      <c r="F123" s="44">
        <f>+'30'!F123+'1'!F123+'2'!F123+'3'!F123+'4'!F123+'5'!F123+'6'!F123+'7'!F123+'8'!F123+'9'!F123+'10'!F123</f>
        <v>0</v>
      </c>
      <c r="G123" s="43">
        <f t="shared" si="12"/>
        <v>0</v>
      </c>
      <c r="H123" s="78">
        <f>+'30'!H123+'1'!H123+'2'!H123+'3'!H123+'4'!H123+'5'!H123+'6'!H123+'7'!H123+'8'!H123+'9'!H123+'10'!H123</f>
        <v>0</v>
      </c>
      <c r="I123" s="76">
        <f>+'30'!I123+'1'!I123+'2'!I123+'3'!I123+'4'!I123+'5'!I123+'6'!I123+'7'!I123+'8'!I123+'9'!I123+'10'!I123</f>
        <v>0</v>
      </c>
      <c r="J123" s="43">
        <f t="shared" si="13"/>
        <v>0</v>
      </c>
      <c r="K123" s="44">
        <f>+'30'!K123+'1'!K123+'2'!K123+'3'!K123+'4'!K123+'5'!K123+'6'!K123+'7'!K123+'8'!K123+'9'!K123+'10'!K123</f>
        <v>0</v>
      </c>
      <c r="L123" s="20">
        <v>60</v>
      </c>
      <c r="M123" s="44">
        <f>+'30'!M123+'1'!M123+'2'!M123+'3'!M123+'4'!M123+'5'!M123+'6'!M123+'7'!M123+'8'!M123+'9'!M123+'10'!M123</f>
        <v>0</v>
      </c>
      <c r="N123" s="19"/>
      <c r="O123" s="90">
        <v>30</v>
      </c>
      <c r="P123" s="79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46">
        <f>+ยกมา!J124</f>
        <v>0</v>
      </c>
      <c r="F124" s="44">
        <f>+'30'!F124+'1'!F124+'2'!F124+'3'!F124+'4'!F124+'5'!F124+'6'!F124+'7'!F124+'8'!F124+'9'!F124+'10'!F124</f>
        <v>0</v>
      </c>
      <c r="G124" s="43">
        <f t="shared" si="12"/>
        <v>0</v>
      </c>
      <c r="H124" s="78">
        <f>+'30'!H124+'1'!H124+'2'!H124+'3'!H124+'4'!H124+'5'!H124+'6'!H124+'7'!H124+'8'!H124+'9'!H124+'10'!H124</f>
        <v>0</v>
      </c>
      <c r="I124" s="76">
        <f>+'30'!I124+'1'!I124+'2'!I124+'3'!I124+'4'!I124+'5'!I124+'6'!I124+'7'!I124+'8'!I124+'9'!I124+'10'!I124</f>
        <v>0</v>
      </c>
      <c r="J124" s="43">
        <f>E124+F124-H124-K124-I124</f>
        <v>0</v>
      </c>
      <c r="K124" s="44">
        <f>+'30'!K124+'1'!K124+'2'!K124+'3'!K124+'4'!K124+'5'!K124+'6'!K124+'7'!K124+'8'!K124+'9'!K124+'10'!K124</f>
        <v>0</v>
      </c>
      <c r="L124" s="20">
        <v>40</v>
      </c>
      <c r="M124" s="44">
        <f>+'30'!M124+'1'!M124+'2'!M124+'3'!M124+'4'!M124+'5'!M124+'6'!M124+'7'!M124+'8'!M124+'9'!M124+'10'!M124</f>
        <v>0</v>
      </c>
      <c r="N124" s="19"/>
      <c r="O124" s="116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46">
        <f>+ยกมา!J125</f>
        <v>0</v>
      </c>
      <c r="F125" s="44">
        <f>+'30'!F125+'1'!F125+'2'!F125+'3'!F125+'4'!F125+'5'!F125+'6'!F125+'7'!F125+'8'!F125+'9'!F125+'10'!F125</f>
        <v>0</v>
      </c>
      <c r="G125" s="43">
        <f t="shared" si="12"/>
        <v>0</v>
      </c>
      <c r="H125" s="78">
        <f>+'30'!H125+'1'!H125+'2'!H125+'3'!H125+'4'!H125+'5'!H125+'6'!H125+'7'!H125+'8'!H125+'9'!H125+'10'!H125</f>
        <v>0</v>
      </c>
      <c r="I125" s="76">
        <f>+'30'!I125+'1'!I125+'2'!I125+'3'!I125+'4'!I125+'5'!I125+'6'!I125+'7'!I125+'8'!I125+'9'!I125+'10'!I125</f>
        <v>0</v>
      </c>
      <c r="J125" s="43">
        <f t="shared" si="13"/>
        <v>0</v>
      </c>
      <c r="K125" s="44">
        <f>+'30'!K125+'1'!K125+'2'!K125+'3'!K125+'4'!K125+'5'!K125+'6'!K125+'7'!K125+'8'!K125+'9'!K125+'10'!K125</f>
        <v>0</v>
      </c>
      <c r="L125" s="20">
        <v>50</v>
      </c>
      <c r="M125" s="44">
        <f>+'30'!M125+'1'!M125+'2'!M125+'3'!M125+'4'!M125+'5'!M125+'6'!M125+'7'!M125+'8'!M125+'9'!M125+'10'!M125</f>
        <v>0</v>
      </c>
      <c r="N125" s="19"/>
      <c r="O125" s="90">
        <v>33</v>
      </c>
      <c r="P125" s="79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46">
        <f>+ยกมา!J126</f>
        <v>0</v>
      </c>
      <c r="F126" s="44">
        <f>+'30'!F126+'1'!F126+'2'!F126+'3'!F126+'4'!F126+'5'!F126+'6'!F126+'7'!F126+'8'!F126+'9'!F126+'10'!F126</f>
        <v>0</v>
      </c>
      <c r="G126" s="43">
        <f t="shared" si="12"/>
        <v>0</v>
      </c>
      <c r="H126" s="78">
        <f>+'30'!H126+'1'!H126+'2'!H126+'3'!H126+'4'!H126+'5'!H126+'6'!H126+'7'!H126+'8'!H126+'9'!H126+'10'!H126</f>
        <v>0</v>
      </c>
      <c r="I126" s="76">
        <f>+'30'!I126+'1'!I126+'2'!I126+'3'!I126+'4'!I126+'5'!I126+'6'!I126+'7'!I126+'8'!I126+'9'!I126+'10'!I126</f>
        <v>0</v>
      </c>
      <c r="J126" s="43">
        <f t="shared" si="13"/>
        <v>0</v>
      </c>
      <c r="K126" s="44">
        <f>+'30'!K126+'1'!K126+'2'!K126+'3'!K126+'4'!K126+'5'!K126+'6'!K126+'7'!K126+'8'!K126+'9'!K126+'10'!K126</f>
        <v>0</v>
      </c>
      <c r="L126" s="20">
        <v>100</v>
      </c>
      <c r="M126" s="44">
        <f>+'30'!M126+'1'!M126+'2'!M126+'3'!M126+'4'!M126+'5'!M126+'6'!M126+'7'!M126+'8'!M126+'9'!M126+'10'!M126</f>
        <v>0</v>
      </c>
      <c r="N126" s="19"/>
      <c r="O126" s="90">
        <v>68</v>
      </c>
      <c r="P126" s="79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46">
        <f>+ยกมา!J127</f>
        <v>0</v>
      </c>
      <c r="F127" s="44">
        <f>+'30'!F127+'1'!F127+'2'!F127+'3'!F127+'4'!F127+'5'!F127+'6'!F127+'7'!F127+'8'!F127+'9'!F127+'10'!F127</f>
        <v>0</v>
      </c>
      <c r="G127" s="43">
        <f t="shared" si="12"/>
        <v>0</v>
      </c>
      <c r="H127" s="78">
        <f>+'30'!H127+'1'!H127+'2'!H127+'3'!H127+'4'!H127+'5'!H127+'6'!H127+'7'!H127+'8'!H127+'9'!H127+'10'!H127</f>
        <v>0</v>
      </c>
      <c r="I127" s="76">
        <f>+'30'!I127+'1'!I127+'2'!I127+'3'!I127+'4'!I127+'5'!I127+'6'!I127+'7'!I127+'8'!I127+'9'!I127+'10'!I127</f>
        <v>0</v>
      </c>
      <c r="J127" s="43">
        <f t="shared" si="13"/>
        <v>0</v>
      </c>
      <c r="K127" s="44">
        <f>+'30'!K127+'1'!K127+'2'!K127+'3'!K127+'4'!K127+'5'!K127+'6'!K127+'7'!K127+'8'!K127+'9'!K127+'10'!K127</f>
        <v>0</v>
      </c>
      <c r="L127" s="20">
        <v>39</v>
      </c>
      <c r="M127" s="44">
        <f>+'30'!M127+'1'!M127+'2'!M127+'3'!M127+'4'!M127+'5'!M127+'6'!M127+'7'!M127+'8'!M127+'9'!M127+'10'!M127</f>
        <v>0</v>
      </c>
      <c r="N127" s="19"/>
      <c r="O127" s="90">
        <v>13.67</v>
      </c>
      <c r="P127" s="79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46">
        <f>+ยกมา!J128</f>
        <v>0</v>
      </c>
      <c r="F128" s="44">
        <f>+'30'!F128+'1'!F128+'2'!F128+'3'!F128+'4'!F128+'5'!F128+'6'!F128+'7'!F128+'8'!F128+'9'!F128+'10'!F128</f>
        <v>0</v>
      </c>
      <c r="G128" s="43">
        <f t="shared" si="12"/>
        <v>0</v>
      </c>
      <c r="H128" s="78">
        <f>+'30'!H128+'1'!H128+'2'!H128+'3'!H128+'4'!H128+'5'!H128+'6'!H128+'7'!H128+'8'!H128+'9'!H128+'10'!H128</f>
        <v>0</v>
      </c>
      <c r="I128" s="76">
        <f>+'30'!I128+'1'!I128+'2'!I128+'3'!I128+'4'!I128+'5'!I128+'6'!I128+'7'!I128+'8'!I128+'9'!I128+'10'!I128</f>
        <v>0</v>
      </c>
      <c r="J128" s="43">
        <f t="shared" si="13"/>
        <v>0</v>
      </c>
      <c r="K128" s="44">
        <f>+'30'!K128+'1'!K128+'2'!K128+'3'!K128+'4'!K128+'5'!K128+'6'!K128+'7'!K128+'8'!K128+'9'!K128+'10'!K128</f>
        <v>0</v>
      </c>
      <c r="L128" s="20">
        <v>35</v>
      </c>
      <c r="M128" s="44">
        <f>+'30'!M128+'1'!M128+'2'!M128+'3'!M128+'4'!M128+'5'!M128+'6'!M128+'7'!M128+'8'!M128+'9'!M128+'10'!M128</f>
        <v>0</v>
      </c>
      <c r="N128" s="19"/>
      <c r="O128" s="90">
        <v>11.48</v>
      </c>
      <c r="P128" s="79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46">
        <f>+ยกมา!J129</f>
        <v>0</v>
      </c>
      <c r="F129" s="44">
        <f>+'30'!F129+'1'!F129+'2'!F129+'3'!F129+'4'!F129+'5'!F129+'6'!F129+'7'!F129+'8'!F129+'9'!F129+'10'!F129</f>
        <v>0</v>
      </c>
      <c r="G129" s="43">
        <f t="shared" si="12"/>
        <v>0</v>
      </c>
      <c r="H129" s="78">
        <f>+'30'!H129+'1'!H129+'2'!H129+'3'!H129+'4'!H129+'5'!H129+'6'!H129+'7'!H129+'8'!H129+'9'!H129+'10'!H129</f>
        <v>0</v>
      </c>
      <c r="I129" s="76">
        <f>+'30'!I129+'1'!I129+'2'!I129+'3'!I129+'4'!I129+'5'!I129+'6'!I129+'7'!I129+'8'!I129+'9'!I129+'10'!I129</f>
        <v>0</v>
      </c>
      <c r="J129" s="43">
        <f t="shared" si="13"/>
        <v>0</v>
      </c>
      <c r="K129" s="44">
        <f>+'30'!K129+'1'!K129+'2'!K129+'3'!K129+'4'!K129+'5'!K129+'6'!K129+'7'!K129+'8'!K129+'9'!K129+'10'!K129</f>
        <v>0</v>
      </c>
      <c r="L129" s="20">
        <v>25</v>
      </c>
      <c r="M129" s="44">
        <f>+'30'!M129+'1'!M129+'2'!M129+'3'!M129+'4'!M129+'5'!M129+'6'!M129+'7'!M129+'8'!M129+'9'!M129+'10'!M129</f>
        <v>0</v>
      </c>
      <c r="N129" s="19"/>
      <c r="O129" s="90">
        <v>5.86</v>
      </c>
      <c r="P129" s="79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46">
        <f>+ยกมา!J130</f>
        <v>0</v>
      </c>
      <c r="F130" s="44">
        <f>+'30'!F130+'1'!F130+'2'!F130+'3'!F130+'4'!F130+'5'!F130+'6'!F130+'7'!F130+'8'!F130+'9'!F130+'10'!F130</f>
        <v>30</v>
      </c>
      <c r="G130" s="43">
        <f t="shared" si="12"/>
        <v>30</v>
      </c>
      <c r="H130" s="78">
        <f>+'30'!H130+'1'!H130+'2'!H130+'3'!H130+'4'!H130+'5'!H130+'6'!H130+'7'!H130+'8'!H130+'9'!H130+'10'!H130</f>
        <v>0</v>
      </c>
      <c r="I130" s="76">
        <f>+'30'!I130+'1'!I130+'2'!I130+'3'!I130+'4'!I130+'5'!I130+'6'!I130+'7'!I130+'8'!I130+'9'!I130+'10'!I130</f>
        <v>0</v>
      </c>
      <c r="J130" s="43">
        <f t="shared" si="13"/>
        <v>0</v>
      </c>
      <c r="K130" s="44">
        <f>+'30'!K130+'1'!K130+'2'!K130+'3'!K130+'4'!K130+'5'!K130+'6'!K130+'7'!K130+'8'!K130+'9'!K130+'10'!K130</f>
        <v>30</v>
      </c>
      <c r="L130" s="20">
        <v>40</v>
      </c>
      <c r="M130" s="44">
        <f>+'30'!M130+'1'!M130+'2'!M130+'3'!M130+'4'!M130+'5'!M130+'6'!M130+'7'!M130+'8'!M130+'9'!M130+'10'!M130</f>
        <v>1085</v>
      </c>
      <c r="N130" s="19"/>
      <c r="O130" s="90">
        <v>11.12</v>
      </c>
      <c r="P130" s="79">
        <f t="shared" si="14"/>
        <v>333.59999999999997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46">
        <f>+ยกมา!J131</f>
        <v>0</v>
      </c>
      <c r="F131" s="44">
        <f>+'30'!F131+'1'!F131+'2'!F131+'3'!F131+'4'!F131+'5'!F131+'6'!F131+'7'!F131+'8'!F131+'9'!F131+'10'!F131</f>
        <v>0</v>
      </c>
      <c r="G131" s="43">
        <f t="shared" si="12"/>
        <v>0</v>
      </c>
      <c r="H131" s="78">
        <f>+'30'!H131+'1'!H131+'2'!H131+'3'!H131+'4'!H131+'5'!H131+'6'!H131+'7'!H131+'8'!H131+'9'!H131+'10'!H131</f>
        <v>0</v>
      </c>
      <c r="I131" s="76">
        <f>+'30'!I131+'1'!I131+'2'!I131+'3'!I131+'4'!I131+'5'!I131+'6'!I131+'7'!I131+'8'!I131+'9'!I131+'10'!I131</f>
        <v>0</v>
      </c>
      <c r="J131" s="43">
        <f t="shared" si="13"/>
        <v>0</v>
      </c>
      <c r="K131" s="44">
        <f>+'30'!K131+'1'!K131+'2'!K131+'3'!K131+'4'!K131+'5'!K131+'6'!K131+'7'!K131+'8'!K131+'9'!K131+'10'!K131</f>
        <v>0</v>
      </c>
      <c r="L131" s="20">
        <v>50</v>
      </c>
      <c r="M131" s="44">
        <f>+'30'!M131+'1'!M131+'2'!M131+'3'!M131+'4'!M131+'5'!M131+'6'!M131+'7'!M131+'8'!M131+'9'!M131+'10'!M131</f>
        <v>0</v>
      </c>
      <c r="N131" s="19"/>
      <c r="O131" s="90">
        <v>9.91</v>
      </c>
      <c r="P131" s="79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46">
        <f>+ยกมา!J132</f>
        <v>0</v>
      </c>
      <c r="F132" s="44">
        <f>+'30'!F132+'1'!F132+'2'!F132+'3'!F132+'4'!F132+'5'!F132+'6'!F132+'7'!F132+'8'!F132+'9'!F132+'10'!F132</f>
        <v>5</v>
      </c>
      <c r="G132" s="43">
        <f t="shared" si="12"/>
        <v>5</v>
      </c>
      <c r="H132" s="78">
        <f>+'30'!H132+'1'!H132+'2'!H132+'3'!H132+'4'!H132+'5'!H132+'6'!H132+'7'!H132+'8'!H132+'9'!H132+'10'!H132</f>
        <v>0</v>
      </c>
      <c r="I132" s="76">
        <f>+'30'!I132+'1'!I132+'2'!I132+'3'!I132+'4'!I132+'5'!I132+'6'!I132+'7'!I132+'8'!I132+'9'!I132+'10'!I132</f>
        <v>0</v>
      </c>
      <c r="J132" s="43">
        <f t="shared" si="13"/>
        <v>0</v>
      </c>
      <c r="K132" s="44">
        <f>+'30'!K132+'1'!K132+'2'!K132+'3'!K132+'4'!K132+'5'!K132+'6'!K132+'7'!K132+'8'!K132+'9'!K132+'10'!K132</f>
        <v>5</v>
      </c>
      <c r="L132" s="20">
        <v>60</v>
      </c>
      <c r="M132" s="44">
        <f>+'30'!M132+'1'!M132+'2'!M132+'3'!M132+'4'!M132+'5'!M132+'6'!M132+'7'!M132+'8'!M132+'9'!M132+'10'!M132</f>
        <v>300</v>
      </c>
      <c r="N132" s="19"/>
      <c r="O132" s="90">
        <v>16.690000000000001</v>
      </c>
      <c r="P132" s="79">
        <f t="shared" si="14"/>
        <v>83.45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46">
        <f>+ยกมา!J133</f>
        <v>0</v>
      </c>
      <c r="F133" s="44">
        <f>+'30'!F133+'1'!F133+'2'!F133+'3'!F133+'4'!F133+'5'!F133+'6'!F133+'7'!F133+'8'!F133+'9'!F133+'10'!F133</f>
        <v>55</v>
      </c>
      <c r="G133" s="43">
        <f t="shared" si="12"/>
        <v>55</v>
      </c>
      <c r="H133" s="78">
        <f>+'30'!H133+'1'!H133+'2'!H133+'3'!H133+'4'!H133+'5'!H133+'6'!H133+'7'!H133+'8'!H133+'9'!H133+'10'!H133</f>
        <v>0</v>
      </c>
      <c r="I133" s="76">
        <f>+'30'!I133+'1'!I133+'2'!I133+'3'!I133+'4'!I133+'5'!I133+'6'!I133+'7'!I133+'8'!I133+'9'!I133+'10'!I133</f>
        <v>0</v>
      </c>
      <c r="J133" s="43">
        <f t="shared" si="13"/>
        <v>22</v>
      </c>
      <c r="K133" s="44">
        <f>+'30'!K133+'1'!K133+'2'!K133+'3'!K133+'4'!K133+'5'!K133+'6'!K133+'7'!K133+'8'!K133+'9'!K133+'10'!K133</f>
        <v>33</v>
      </c>
      <c r="L133" s="20">
        <v>50</v>
      </c>
      <c r="M133" s="44">
        <f>+'30'!M133+'1'!M133+'2'!M133+'3'!M133+'4'!M133+'5'!M133+'6'!M133+'7'!M133+'8'!M133+'9'!M133+'10'!M133</f>
        <v>1650</v>
      </c>
      <c r="N133" s="19"/>
      <c r="O133" s="90">
        <v>24.21</v>
      </c>
      <c r="P133" s="79">
        <f t="shared" si="14"/>
        <v>798.93000000000006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46">
        <f>+ยกมา!J134</f>
        <v>0</v>
      </c>
      <c r="F134" s="44">
        <f>+'30'!F134+'1'!F134+'2'!F134+'3'!F134+'4'!F134+'5'!F134+'6'!F134+'7'!F134+'8'!F134+'9'!F134+'10'!F134</f>
        <v>10</v>
      </c>
      <c r="G134" s="43">
        <f t="shared" ref="G134:G197" si="21">+E134+F134</f>
        <v>10</v>
      </c>
      <c r="H134" s="78">
        <f>+'30'!H134+'1'!H134+'2'!H134+'3'!H134+'4'!H134+'5'!H134+'6'!H134+'7'!H134+'8'!H134+'9'!H134+'10'!H134</f>
        <v>0</v>
      </c>
      <c r="I134" s="76">
        <f>+'30'!I134+'1'!I134+'2'!I134+'3'!I134+'4'!I134+'5'!I134+'6'!I134+'7'!I134+'8'!I134+'9'!I134+'10'!I134</f>
        <v>0</v>
      </c>
      <c r="J134" s="43">
        <f t="shared" si="13"/>
        <v>0</v>
      </c>
      <c r="K134" s="44">
        <f>+'30'!K134+'1'!K134+'2'!K134+'3'!K134+'4'!K134+'5'!K134+'6'!K134+'7'!K134+'8'!K134+'9'!K134+'10'!K134</f>
        <v>10</v>
      </c>
      <c r="L134" s="20">
        <v>35</v>
      </c>
      <c r="M134" s="44">
        <f>+'30'!M134+'1'!M134+'2'!M134+'3'!M134+'4'!M134+'5'!M134+'6'!M134+'7'!M134+'8'!M134+'9'!M134+'10'!M134</f>
        <v>350</v>
      </c>
      <c r="N134" s="19"/>
      <c r="O134" s="116">
        <v>16.59</v>
      </c>
      <c r="P134" s="79">
        <f t="shared" si="14"/>
        <v>165.9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46">
        <f>+ยกมา!J135</f>
        <v>0</v>
      </c>
      <c r="F135" s="44">
        <f>+'30'!F135+'1'!F135+'2'!F135+'3'!F135+'4'!F135+'5'!F135+'6'!F135+'7'!F135+'8'!F135+'9'!F135+'10'!F135</f>
        <v>0</v>
      </c>
      <c r="G135" s="43">
        <f t="shared" si="21"/>
        <v>0</v>
      </c>
      <c r="H135" s="78">
        <f>+'30'!H135+'1'!H135+'2'!H135+'3'!H135+'4'!H135+'5'!H135+'6'!H135+'7'!H135+'8'!H135+'9'!H135+'10'!H135</f>
        <v>0</v>
      </c>
      <c r="I135" s="76">
        <f>+'30'!I135+'1'!I135+'2'!I135+'3'!I135+'4'!I135+'5'!I135+'6'!I135+'7'!I135+'8'!I135+'9'!I135+'10'!I135</f>
        <v>0</v>
      </c>
      <c r="J135" s="43">
        <f t="shared" si="13"/>
        <v>0</v>
      </c>
      <c r="K135" s="44">
        <f>+'30'!K135+'1'!K135+'2'!K135+'3'!K135+'4'!K135+'5'!K135+'6'!K135+'7'!K135+'8'!K135+'9'!K135+'10'!K135</f>
        <v>0</v>
      </c>
      <c r="L135" s="20">
        <v>35</v>
      </c>
      <c r="M135" s="44">
        <f>+'30'!M135+'1'!M135+'2'!M135+'3'!M135+'4'!M135+'5'!M135+'6'!M135+'7'!M135+'8'!M135+'9'!M135+'10'!M135</f>
        <v>0</v>
      </c>
      <c r="N135" s="19"/>
      <c r="O135" s="144">
        <v>0</v>
      </c>
      <c r="P135" s="79">
        <f t="shared" si="14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46">
        <f>+ยกมา!J136</f>
        <v>0</v>
      </c>
      <c r="F136" s="44">
        <f>+'30'!F136+'1'!F136+'2'!F136+'3'!F136+'4'!F136+'5'!F136+'6'!F136+'7'!F136+'8'!F136+'9'!F136+'10'!F136</f>
        <v>0</v>
      </c>
      <c r="G136" s="43">
        <f t="shared" si="21"/>
        <v>0</v>
      </c>
      <c r="H136" s="78">
        <f>+'30'!H136+'1'!H136+'2'!H136+'3'!H136+'4'!H136+'5'!H136+'6'!H136+'7'!H136+'8'!H136+'9'!H136+'10'!H136</f>
        <v>0</v>
      </c>
      <c r="I136" s="76">
        <f>+'30'!I136+'1'!I136+'2'!I136+'3'!I136+'4'!I136+'5'!I136+'6'!I136+'7'!I136+'8'!I136+'9'!I136+'10'!I136</f>
        <v>0</v>
      </c>
      <c r="J136" s="43">
        <f t="shared" si="13"/>
        <v>0</v>
      </c>
      <c r="K136" s="44">
        <f>+'30'!K136+'1'!K136+'2'!K136+'3'!K136+'4'!K136+'5'!K136+'6'!K136+'7'!K136+'8'!K136+'9'!K136+'10'!K136</f>
        <v>0</v>
      </c>
      <c r="L136" s="20">
        <v>35</v>
      </c>
      <c r="M136" s="44">
        <f>+'30'!M136+'1'!M136+'2'!M136+'3'!M136+'4'!M136+'5'!M136+'6'!M136+'7'!M136+'8'!M136+'9'!M136+'10'!M136</f>
        <v>0</v>
      </c>
      <c r="N136" s="19"/>
      <c r="O136" s="144">
        <v>0</v>
      </c>
      <c r="P136" s="79">
        <f t="shared" si="14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46">
        <f>+ยกมา!J137</f>
        <v>0</v>
      </c>
      <c r="F137" s="44">
        <f>+'30'!F137+'1'!F137+'2'!F137+'3'!F137+'4'!F137+'5'!F137+'6'!F137+'7'!F137+'8'!F137+'9'!F137+'10'!F137</f>
        <v>0</v>
      </c>
      <c r="G137" s="43">
        <f t="shared" si="21"/>
        <v>0</v>
      </c>
      <c r="H137" s="78">
        <f>+'30'!H137+'1'!H137+'2'!H137+'3'!H137+'4'!H137+'5'!H137+'6'!H137+'7'!H137+'8'!H137+'9'!H137+'10'!H137</f>
        <v>0</v>
      </c>
      <c r="I137" s="76">
        <f>+'30'!I137+'1'!I137+'2'!I137+'3'!I137+'4'!I137+'5'!I137+'6'!I137+'7'!I137+'8'!I137+'9'!I137+'10'!I137</f>
        <v>0</v>
      </c>
      <c r="J137" s="43">
        <f>E137+F137-H137-K137-I137</f>
        <v>0</v>
      </c>
      <c r="K137" s="44">
        <f>+'30'!K137+'1'!K137+'2'!K137+'3'!K137+'4'!K137+'5'!K137+'6'!K137+'7'!K137+'8'!K137+'9'!K137+'10'!K137</f>
        <v>0</v>
      </c>
      <c r="L137" s="20">
        <v>35</v>
      </c>
      <c r="M137" s="44">
        <f>+'30'!M137+'1'!M137+'2'!M137+'3'!M137+'4'!M137+'5'!M137+'6'!M137+'7'!M137+'8'!M137+'9'!M137+'10'!M137</f>
        <v>0</v>
      </c>
      <c r="N137" s="19"/>
      <c r="O137" s="144">
        <v>0</v>
      </c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46">
        <f>+ยกมา!J138</f>
        <v>0</v>
      </c>
      <c r="F138" s="44">
        <f>+'30'!F138+'1'!F138+'2'!F138+'3'!F138+'4'!F138+'5'!F138+'6'!F138+'7'!F138+'8'!F138+'9'!F138+'10'!F138</f>
        <v>0</v>
      </c>
      <c r="G138" s="43">
        <f t="shared" si="21"/>
        <v>0</v>
      </c>
      <c r="H138" s="78">
        <f>+'30'!H138+'1'!H138+'2'!H138+'3'!H138+'4'!H138+'5'!H138+'6'!H138+'7'!H138+'8'!H138+'9'!H138+'10'!H138</f>
        <v>0</v>
      </c>
      <c r="I138" s="76">
        <f>+'30'!I138+'1'!I138+'2'!I138+'3'!I138+'4'!I138+'5'!I138+'6'!I138+'7'!I138+'8'!I138+'9'!I138+'10'!I138</f>
        <v>0</v>
      </c>
      <c r="J138" s="43">
        <f t="shared" si="13"/>
        <v>0</v>
      </c>
      <c r="K138" s="44">
        <f>+'30'!K138+'1'!K138+'2'!K138+'3'!K138+'4'!K138+'5'!K138+'6'!K138+'7'!K138+'8'!K138+'9'!K138+'10'!K138</f>
        <v>0</v>
      </c>
      <c r="L138" s="20">
        <v>50</v>
      </c>
      <c r="M138" s="44">
        <f>+'30'!M138+'1'!M138+'2'!M138+'3'!M138+'4'!M138+'5'!M138+'6'!M138+'7'!M138+'8'!M138+'9'!M138+'10'!M138</f>
        <v>0</v>
      </c>
      <c r="N138" s="19"/>
      <c r="O138" s="90">
        <v>22.91</v>
      </c>
      <c r="P138" s="79">
        <f t="shared" si="14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46">
        <f>+ยกมา!J139</f>
        <v>0</v>
      </c>
      <c r="F139" s="44">
        <f>+'30'!F139+'1'!F139+'2'!F139+'3'!F139+'4'!F139+'5'!F139+'6'!F139+'7'!F139+'8'!F139+'9'!F139+'10'!F139</f>
        <v>0</v>
      </c>
      <c r="G139" s="43">
        <f t="shared" si="21"/>
        <v>0</v>
      </c>
      <c r="H139" s="78">
        <f>+'30'!H139+'1'!H139+'2'!H139+'3'!H139+'4'!H139+'5'!H139+'6'!H139+'7'!H139+'8'!H139+'9'!H139+'10'!H139</f>
        <v>0</v>
      </c>
      <c r="I139" s="76">
        <f>+'30'!I139+'1'!I139+'2'!I139+'3'!I139+'4'!I139+'5'!I139+'6'!I139+'7'!I139+'8'!I139+'9'!I139+'10'!I139</f>
        <v>0</v>
      </c>
      <c r="J139" s="43">
        <f t="shared" si="13"/>
        <v>0</v>
      </c>
      <c r="K139" s="44">
        <f>+'30'!K139+'1'!K139+'2'!K139+'3'!K139+'4'!K139+'5'!K139+'6'!K139+'7'!K139+'8'!K139+'9'!K139+'10'!K139</f>
        <v>0</v>
      </c>
      <c r="L139" s="20">
        <v>35</v>
      </c>
      <c r="M139" s="44">
        <f>+'30'!M139+'1'!M139+'2'!M139+'3'!M139+'4'!M139+'5'!M139+'6'!M139+'7'!M139+'8'!M139+'9'!M139+'10'!M139</f>
        <v>0</v>
      </c>
      <c r="N139" s="19"/>
      <c r="O139" s="90">
        <v>3.8</v>
      </c>
      <c r="P139" s="79">
        <f t="shared" si="14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46">
        <f>+ยกมา!J140</f>
        <v>0</v>
      </c>
      <c r="F140" s="44">
        <f>+'30'!F140+'1'!F140+'2'!F140+'3'!F140+'4'!F140+'5'!F140+'6'!F140+'7'!F140+'8'!F140+'9'!F140+'10'!F140</f>
        <v>0</v>
      </c>
      <c r="G140" s="43">
        <f t="shared" si="21"/>
        <v>0</v>
      </c>
      <c r="H140" s="78">
        <f>+'30'!H140+'1'!H140+'2'!H140+'3'!H140+'4'!H140+'5'!H140+'6'!H140+'7'!H140+'8'!H140+'9'!H140+'10'!H140</f>
        <v>0</v>
      </c>
      <c r="I140" s="76">
        <f>+'30'!I140+'1'!I140+'2'!I140+'3'!I140+'4'!I140+'5'!I140+'6'!I140+'7'!I140+'8'!I140+'9'!I140+'10'!I140</f>
        <v>0</v>
      </c>
      <c r="J140" s="43">
        <f t="shared" si="13"/>
        <v>0</v>
      </c>
      <c r="K140" s="44">
        <f>+'30'!K140+'1'!K140+'2'!K140+'3'!K140+'4'!K140+'5'!K140+'6'!K140+'7'!K140+'8'!K140+'9'!K140+'10'!K140</f>
        <v>0</v>
      </c>
      <c r="L140" s="20">
        <v>10</v>
      </c>
      <c r="M140" s="44">
        <f>+'30'!M140+'1'!M140+'2'!M140+'3'!M140+'4'!M140+'5'!M140+'6'!M140+'7'!M140+'8'!M140+'9'!M140+'10'!M140</f>
        <v>0</v>
      </c>
      <c r="N140" s="19"/>
      <c r="O140" s="90">
        <v>2.2200000000000002</v>
      </c>
      <c r="P140" s="79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46">
        <f>+ยกมา!J141</f>
        <v>0</v>
      </c>
      <c r="F141" s="44">
        <f>+'30'!F141+'1'!F141+'2'!F141+'3'!F141+'4'!F141+'5'!F141+'6'!F141+'7'!F141+'8'!F141+'9'!F141+'10'!F141</f>
        <v>0</v>
      </c>
      <c r="G141" s="43">
        <f t="shared" si="21"/>
        <v>0</v>
      </c>
      <c r="H141" s="78">
        <f>+'30'!H141+'1'!H141+'2'!H141+'3'!H141+'4'!H141+'5'!H141+'6'!H141+'7'!H141+'8'!H141+'9'!H141+'10'!H141</f>
        <v>0</v>
      </c>
      <c r="I141" s="76">
        <f>+'30'!I141+'1'!I141+'2'!I141+'3'!I141+'4'!I141+'5'!I141+'6'!I141+'7'!I141+'8'!I141+'9'!I141+'10'!I141</f>
        <v>0</v>
      </c>
      <c r="J141" s="43">
        <f t="shared" si="13"/>
        <v>0</v>
      </c>
      <c r="K141" s="44">
        <f>+'30'!K141+'1'!K141+'2'!K141+'3'!K141+'4'!K141+'5'!K141+'6'!K141+'7'!K141+'8'!K141+'9'!K141+'10'!K141</f>
        <v>0</v>
      </c>
      <c r="L141" s="20">
        <v>10</v>
      </c>
      <c r="M141" s="44">
        <f>+'30'!M141+'1'!M141+'2'!M141+'3'!M141+'4'!M141+'5'!M141+'6'!M141+'7'!M141+'8'!M141+'9'!M141+'10'!M141</f>
        <v>0</v>
      </c>
      <c r="N141" s="19"/>
      <c r="O141" s="90">
        <v>2.2200000000000002</v>
      </c>
      <c r="P141" s="79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46">
        <f>+ยกมา!J142</f>
        <v>0</v>
      </c>
      <c r="F142" s="44">
        <f>+'30'!F142+'1'!F142+'2'!F142+'3'!F142+'4'!F142+'5'!F142+'6'!F142+'7'!F142+'8'!F142+'9'!F142+'10'!F142</f>
        <v>20</v>
      </c>
      <c r="G142" s="43">
        <f t="shared" si="21"/>
        <v>20</v>
      </c>
      <c r="H142" s="78">
        <f>+'30'!H142+'1'!H142+'2'!H142+'3'!H142+'4'!H142+'5'!H142+'6'!H142+'7'!H142+'8'!H142+'9'!H142+'10'!H142</f>
        <v>3</v>
      </c>
      <c r="I142" s="76">
        <f>+'30'!I142+'1'!I142+'2'!I142+'3'!I142+'4'!I142+'5'!I142+'6'!I142+'7'!I142+'8'!I142+'9'!I142+'10'!I142</f>
        <v>0</v>
      </c>
      <c r="J142" s="43">
        <f t="shared" si="13"/>
        <v>0</v>
      </c>
      <c r="K142" s="44">
        <f>+'30'!K142+'1'!K142+'2'!K142+'3'!K142+'4'!K142+'5'!K142+'6'!K142+'7'!K142+'8'!K142+'9'!K142+'10'!K142</f>
        <v>17</v>
      </c>
      <c r="L142" s="20">
        <v>10</v>
      </c>
      <c r="M142" s="44">
        <f>+'30'!M142+'1'!M142+'2'!M142+'3'!M142+'4'!M142+'5'!M142+'6'!M142+'7'!M142+'8'!M142+'9'!M142+'10'!M142</f>
        <v>170</v>
      </c>
      <c r="N142" s="19"/>
      <c r="O142" s="90">
        <v>2.17</v>
      </c>
      <c r="P142" s="79">
        <f t="shared" si="14"/>
        <v>36.89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46">
        <f>+ยกมา!J143</f>
        <v>0</v>
      </c>
      <c r="F143" s="44">
        <f>+'30'!F143+'1'!F143+'2'!F143+'3'!F143+'4'!F143+'5'!F143+'6'!F143+'7'!F143+'8'!F143+'9'!F143+'10'!F143</f>
        <v>20</v>
      </c>
      <c r="G143" s="43">
        <f t="shared" si="21"/>
        <v>20</v>
      </c>
      <c r="H143" s="78">
        <f>+'30'!H143+'1'!H143+'2'!H143+'3'!H143+'4'!H143+'5'!H143+'6'!H143+'7'!H143+'8'!H143+'9'!H143+'10'!H143</f>
        <v>5</v>
      </c>
      <c r="I143" s="76">
        <f>+'30'!I143+'1'!I143+'2'!I143+'3'!I143+'4'!I143+'5'!I143+'6'!I143+'7'!I143+'8'!I143+'9'!I143+'10'!I143</f>
        <v>0</v>
      </c>
      <c r="J143" s="43">
        <f t="shared" si="13"/>
        <v>0</v>
      </c>
      <c r="K143" s="44">
        <f>+'30'!K143+'1'!K143+'2'!K143+'3'!K143+'4'!K143+'5'!K143+'6'!K143+'7'!K143+'8'!K143+'9'!K143+'10'!K143</f>
        <v>15</v>
      </c>
      <c r="L143" s="20">
        <v>10</v>
      </c>
      <c r="M143" s="44">
        <f>+'30'!M143+'1'!M143+'2'!M143+'3'!M143+'4'!M143+'5'!M143+'6'!M143+'7'!M143+'8'!M143+'9'!M143+'10'!M143</f>
        <v>150</v>
      </c>
      <c r="N143" s="19"/>
      <c r="O143" s="90">
        <v>2.35</v>
      </c>
      <c r="P143" s="79">
        <f t="shared" si="14"/>
        <v>35.25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46">
        <f>+ยกมา!J144</f>
        <v>0</v>
      </c>
      <c r="F144" s="44">
        <f>+'30'!F144+'1'!F144+'2'!F144+'3'!F144+'4'!F144+'5'!F144+'6'!F144+'7'!F144+'8'!F144+'9'!F144+'10'!F144</f>
        <v>20</v>
      </c>
      <c r="G144" s="43">
        <f t="shared" si="21"/>
        <v>20</v>
      </c>
      <c r="H144" s="78">
        <f>+'30'!H144+'1'!H144+'2'!H144+'3'!H144+'4'!H144+'5'!H144+'6'!H144+'7'!H144+'8'!H144+'9'!H144+'10'!H144</f>
        <v>5</v>
      </c>
      <c r="I144" s="76">
        <f>+'30'!I144+'1'!I144+'2'!I144+'3'!I144+'4'!I144+'5'!I144+'6'!I144+'7'!I144+'8'!I144+'9'!I144+'10'!I144</f>
        <v>0</v>
      </c>
      <c r="J144" s="43">
        <f t="shared" si="13"/>
        <v>0</v>
      </c>
      <c r="K144" s="44">
        <f>+'30'!K144+'1'!K144+'2'!K144+'3'!K144+'4'!K144+'5'!K144+'6'!K144+'7'!K144+'8'!K144+'9'!K144+'10'!K144</f>
        <v>15</v>
      </c>
      <c r="L144" s="20">
        <v>10</v>
      </c>
      <c r="M144" s="44">
        <f>+'30'!M144+'1'!M144+'2'!M144+'3'!M144+'4'!M144+'5'!M144+'6'!M144+'7'!M144+'8'!M144+'9'!M144+'10'!M144</f>
        <v>150</v>
      </c>
      <c r="N144" s="19"/>
      <c r="O144" s="90">
        <v>2.12</v>
      </c>
      <c r="P144" s="79">
        <f t="shared" si="14"/>
        <v>31.8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46">
        <f>+ยกมา!J145</f>
        <v>0</v>
      </c>
      <c r="F145" s="44">
        <f>+'30'!F145+'1'!F145+'2'!F145+'3'!F145+'4'!F145+'5'!F145+'6'!F145+'7'!F145+'8'!F145+'9'!F145+'10'!F145</f>
        <v>20</v>
      </c>
      <c r="G145" s="43">
        <f t="shared" si="21"/>
        <v>20</v>
      </c>
      <c r="H145" s="78">
        <f>+'30'!H145+'1'!H145+'2'!H145+'3'!H145+'4'!H145+'5'!H145+'6'!H145+'7'!H145+'8'!H145+'9'!H145+'10'!H145</f>
        <v>10</v>
      </c>
      <c r="I145" s="76">
        <f>+'30'!I145+'1'!I145+'2'!I145+'3'!I145+'4'!I145+'5'!I145+'6'!I145+'7'!I145+'8'!I145+'9'!I145+'10'!I145</f>
        <v>0</v>
      </c>
      <c r="J145" s="43">
        <f t="shared" si="13"/>
        <v>0</v>
      </c>
      <c r="K145" s="44">
        <f>+'30'!K145+'1'!K145+'2'!K145+'3'!K145+'4'!K145+'5'!K145+'6'!K145+'7'!K145+'8'!K145+'9'!K145+'10'!K145</f>
        <v>10</v>
      </c>
      <c r="L145" s="20">
        <v>10</v>
      </c>
      <c r="M145" s="44">
        <f>+'30'!M145+'1'!M145+'2'!M145+'3'!M145+'4'!M145+'5'!M145+'6'!M145+'7'!M145+'8'!M145+'9'!M145+'10'!M145</f>
        <v>100</v>
      </c>
      <c r="N145" s="19"/>
      <c r="O145" s="90">
        <v>2.17</v>
      </c>
      <c r="P145" s="79">
        <f t="shared" si="14"/>
        <v>21.7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46">
        <f>+ยกมา!J146</f>
        <v>0</v>
      </c>
      <c r="F146" s="44">
        <f>+'30'!F146+'1'!F146+'2'!F146+'3'!F146+'4'!F146+'5'!F146+'6'!F146+'7'!F146+'8'!F146+'9'!F146+'10'!F146</f>
        <v>20</v>
      </c>
      <c r="G146" s="43">
        <f t="shared" si="21"/>
        <v>20</v>
      </c>
      <c r="H146" s="78">
        <f>+'30'!H146+'1'!H146+'2'!H146+'3'!H146+'4'!H146+'5'!H146+'6'!H146+'7'!H146+'8'!H146+'9'!H146+'10'!H146</f>
        <v>5</v>
      </c>
      <c r="I146" s="76">
        <f>+'30'!I146+'1'!I146+'2'!I146+'3'!I146+'4'!I146+'5'!I146+'6'!I146+'7'!I146+'8'!I146+'9'!I146+'10'!I146</f>
        <v>0</v>
      </c>
      <c r="J146" s="43">
        <f t="shared" si="13"/>
        <v>0</v>
      </c>
      <c r="K146" s="44">
        <f>+'30'!K146+'1'!K146+'2'!K146+'3'!K146+'4'!K146+'5'!K146+'6'!K146+'7'!K146+'8'!K146+'9'!K146+'10'!K146</f>
        <v>15</v>
      </c>
      <c r="L146" s="20">
        <v>10</v>
      </c>
      <c r="M146" s="44">
        <f>+'30'!M146+'1'!M146+'2'!M146+'3'!M146+'4'!M146+'5'!M146+'6'!M146+'7'!M146+'8'!M146+'9'!M146+'10'!M146</f>
        <v>150</v>
      </c>
      <c r="N146" s="19"/>
      <c r="O146" s="90">
        <v>2.17</v>
      </c>
      <c r="P146" s="79">
        <f t="shared" si="14"/>
        <v>32.549999999999997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46">
        <f>+ยกมา!J147</f>
        <v>0</v>
      </c>
      <c r="F147" s="44">
        <f>+'30'!F147+'1'!F147+'2'!F147+'3'!F147+'4'!F147+'5'!F147+'6'!F147+'7'!F147+'8'!F147+'9'!F147+'10'!F147</f>
        <v>0</v>
      </c>
      <c r="G147" s="43">
        <f t="shared" si="21"/>
        <v>0</v>
      </c>
      <c r="H147" s="78">
        <f>+'30'!H147+'1'!H147+'2'!H147+'3'!H147+'4'!H147+'5'!H147+'6'!H147+'7'!H147+'8'!H147+'9'!H147+'10'!H147</f>
        <v>0</v>
      </c>
      <c r="I147" s="76">
        <f>+'30'!I147+'1'!I147+'2'!I147+'3'!I147+'4'!I147+'5'!I147+'6'!I147+'7'!I147+'8'!I147+'9'!I147+'10'!I147</f>
        <v>0</v>
      </c>
      <c r="J147" s="43">
        <f t="shared" si="13"/>
        <v>0</v>
      </c>
      <c r="K147" s="44">
        <f>+'30'!K147+'1'!K147+'2'!K147+'3'!K147+'4'!K147+'5'!K147+'6'!K147+'7'!K147+'8'!K147+'9'!K147+'10'!K147</f>
        <v>0</v>
      </c>
      <c r="L147" s="20">
        <v>10</v>
      </c>
      <c r="M147" s="44">
        <f>+'30'!M147+'1'!M147+'2'!M147+'3'!M147+'4'!M147+'5'!M147+'6'!M147+'7'!M147+'8'!M147+'9'!M147+'10'!M147</f>
        <v>0</v>
      </c>
      <c r="N147" s="19"/>
      <c r="O147" s="90">
        <v>2.2200000000000002</v>
      </c>
      <c r="P147" s="79">
        <f t="shared" si="14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46">
        <f>+ยกมา!J148</f>
        <v>0</v>
      </c>
      <c r="F148" s="44">
        <f>+'30'!F148+'1'!F148+'2'!F148+'3'!F148+'4'!F148+'5'!F148+'6'!F148+'7'!F148+'8'!F148+'9'!F148+'10'!F148</f>
        <v>0</v>
      </c>
      <c r="G148" s="43">
        <f t="shared" si="21"/>
        <v>0</v>
      </c>
      <c r="H148" s="78">
        <f>+'30'!H148+'1'!H148+'2'!H148+'3'!H148+'4'!H148+'5'!H148+'6'!H148+'7'!H148+'8'!H148+'9'!H148+'10'!H148</f>
        <v>0</v>
      </c>
      <c r="I148" s="76">
        <f>+'30'!I148+'1'!I148+'2'!I148+'3'!I148+'4'!I148+'5'!I148+'6'!I148+'7'!I148+'8'!I148+'9'!I148+'10'!I148</f>
        <v>0</v>
      </c>
      <c r="J148" s="43">
        <f t="shared" si="13"/>
        <v>0</v>
      </c>
      <c r="K148" s="44">
        <f>+'30'!K148+'1'!K148+'2'!K148+'3'!K148+'4'!K148+'5'!K148+'6'!K148+'7'!K148+'8'!K148+'9'!K148+'10'!K148</f>
        <v>0</v>
      </c>
      <c r="L148" s="20">
        <v>40</v>
      </c>
      <c r="M148" s="44">
        <f>+'30'!M148+'1'!M148+'2'!M148+'3'!M148+'4'!M148+'5'!M148+'6'!M148+'7'!M148+'8'!M148+'9'!M148+'10'!M148</f>
        <v>0</v>
      </c>
      <c r="N148" s="19"/>
      <c r="O148" s="92">
        <v>0</v>
      </c>
      <c r="P148" s="79">
        <f t="shared" si="14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46">
        <f>+ยกมา!J149</f>
        <v>0</v>
      </c>
      <c r="F149" s="44">
        <f>+'30'!F149+'1'!F149+'2'!F149+'3'!F149+'4'!F149+'5'!F149+'6'!F149+'7'!F149+'8'!F149+'9'!F149+'10'!F149</f>
        <v>0</v>
      </c>
      <c r="G149" s="43">
        <f t="shared" si="21"/>
        <v>0</v>
      </c>
      <c r="H149" s="78">
        <f>+'30'!H149+'1'!H149+'2'!H149+'3'!H149+'4'!H149+'5'!H149+'6'!H149+'7'!H149+'8'!H149+'9'!H149+'10'!H149</f>
        <v>0</v>
      </c>
      <c r="I149" s="76">
        <f>+'30'!I149+'1'!I149+'2'!I149+'3'!I149+'4'!I149+'5'!I149+'6'!I149+'7'!I149+'8'!I149+'9'!I149+'10'!I149</f>
        <v>0</v>
      </c>
      <c r="J149" s="43">
        <f t="shared" si="13"/>
        <v>0</v>
      </c>
      <c r="K149" s="44">
        <f>+'30'!K149+'1'!K149+'2'!K149+'3'!K149+'4'!K149+'5'!K149+'6'!K149+'7'!K149+'8'!K149+'9'!K149+'10'!K149</f>
        <v>0</v>
      </c>
      <c r="L149" s="20">
        <v>50</v>
      </c>
      <c r="M149" s="44">
        <f>+'30'!M149+'1'!M149+'2'!M149+'3'!M149+'4'!M149+'5'!M149+'6'!M149+'7'!M149+'8'!M149+'9'!M149+'10'!M149</f>
        <v>0</v>
      </c>
      <c r="N149" s="19"/>
      <c r="O149" s="90">
        <v>10.48</v>
      </c>
      <c r="P149" s="79">
        <f t="shared" si="14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46">
        <f>+ยกมา!J150</f>
        <v>0</v>
      </c>
      <c r="F150" s="44">
        <f>+'30'!F150+'1'!F150+'2'!F150+'3'!F150+'4'!F150+'5'!F150+'6'!F150+'7'!F150+'8'!F150+'9'!F150+'10'!F150</f>
        <v>5</v>
      </c>
      <c r="G150" s="43">
        <f t="shared" si="21"/>
        <v>5</v>
      </c>
      <c r="H150" s="78">
        <f>+'30'!H150+'1'!H150+'2'!H150+'3'!H150+'4'!H150+'5'!H150+'6'!H150+'7'!H150+'8'!H150+'9'!H150+'10'!H150</f>
        <v>1</v>
      </c>
      <c r="I150" s="76">
        <f>+'30'!I150+'1'!I150+'2'!I150+'3'!I150+'4'!I150+'5'!I150+'6'!I150+'7'!I150+'8'!I150+'9'!I150+'10'!I150</f>
        <v>0</v>
      </c>
      <c r="J150" s="43">
        <f t="shared" si="13"/>
        <v>0</v>
      </c>
      <c r="K150" s="44">
        <f>+'30'!K150+'1'!K150+'2'!K150+'3'!K150+'4'!K150+'5'!K150+'6'!K150+'7'!K150+'8'!K150+'9'!K150+'10'!K150</f>
        <v>4</v>
      </c>
      <c r="L150" s="20">
        <v>55</v>
      </c>
      <c r="M150" s="44">
        <f>+'30'!M150+'1'!M150+'2'!M150+'3'!M150+'4'!M150+'5'!M150+'6'!M150+'7'!M150+'8'!M150+'9'!M150+'10'!M150</f>
        <v>220</v>
      </c>
      <c r="N150" s="19"/>
      <c r="O150" s="90">
        <v>15.28</v>
      </c>
      <c r="P150" s="79">
        <f t="shared" si="14"/>
        <v>61.12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46">
        <f>+ยกมา!J151</f>
        <v>0</v>
      </c>
      <c r="F151" s="44">
        <f>+'30'!F151+'1'!F151+'2'!F151+'3'!F151+'4'!F151+'5'!F151+'6'!F151+'7'!F151+'8'!F151+'9'!F151+'10'!F151</f>
        <v>0</v>
      </c>
      <c r="G151" s="43">
        <f t="shared" si="21"/>
        <v>0</v>
      </c>
      <c r="H151" s="78">
        <f>+'30'!H151+'1'!H151+'2'!H151+'3'!H151+'4'!H151+'5'!H151+'6'!H151+'7'!H151+'8'!H151+'9'!H151+'10'!H151</f>
        <v>0</v>
      </c>
      <c r="I151" s="76">
        <f>+'30'!I151+'1'!I151+'2'!I151+'3'!I151+'4'!I151+'5'!I151+'6'!I151+'7'!I151+'8'!I151+'9'!I151+'10'!I151</f>
        <v>0</v>
      </c>
      <c r="J151" s="43">
        <f t="shared" si="13"/>
        <v>0</v>
      </c>
      <c r="K151" s="44">
        <f>+'30'!K151+'1'!K151+'2'!K151+'3'!K151+'4'!K151+'5'!K151+'6'!K151+'7'!K151+'8'!K151+'9'!K151+'10'!K151</f>
        <v>0</v>
      </c>
      <c r="L151" s="20">
        <v>55</v>
      </c>
      <c r="M151" s="44">
        <f>+'30'!M151+'1'!M151+'2'!M151+'3'!M151+'4'!M151+'5'!M151+'6'!M151+'7'!M151+'8'!M151+'9'!M151+'10'!M151</f>
        <v>0</v>
      </c>
      <c r="N151" s="19"/>
      <c r="O151" s="90">
        <v>15.28</v>
      </c>
      <c r="P151" s="79">
        <f t="shared" si="14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46">
        <f>+ยกมา!J152</f>
        <v>0</v>
      </c>
      <c r="F152" s="44">
        <f>+'30'!F152+'1'!F152+'2'!F152+'3'!F152+'4'!F152+'5'!F152+'6'!F152+'7'!F152+'8'!F152+'9'!F152+'10'!F152</f>
        <v>0</v>
      </c>
      <c r="G152" s="43">
        <f t="shared" si="21"/>
        <v>0</v>
      </c>
      <c r="H152" s="78">
        <f>+'30'!H152+'1'!H152+'2'!H152+'3'!H152+'4'!H152+'5'!H152+'6'!H152+'7'!H152+'8'!H152+'9'!H152+'10'!H152</f>
        <v>0</v>
      </c>
      <c r="I152" s="76">
        <f>+'30'!I152+'1'!I152+'2'!I152+'3'!I152+'4'!I152+'5'!I152+'6'!I152+'7'!I152+'8'!I152+'9'!I152+'10'!I152</f>
        <v>0</v>
      </c>
      <c r="J152" s="43">
        <f t="shared" si="13"/>
        <v>0</v>
      </c>
      <c r="K152" s="44">
        <f>+'30'!K152+'1'!K152+'2'!K152+'3'!K152+'4'!K152+'5'!K152+'6'!K152+'7'!K152+'8'!K152+'9'!K152+'10'!K152</f>
        <v>0</v>
      </c>
      <c r="L152" s="20">
        <v>55</v>
      </c>
      <c r="M152" s="44">
        <f>+'30'!M152+'1'!M152+'2'!M152+'3'!M152+'4'!M152+'5'!M152+'6'!M152+'7'!M152+'8'!M152+'9'!M152+'10'!M152</f>
        <v>0</v>
      </c>
      <c r="N152" s="19"/>
      <c r="O152" s="90">
        <v>10.55</v>
      </c>
      <c r="P152" s="79">
        <f t="shared" si="14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46">
        <f>+ยกมา!J153</f>
        <v>0</v>
      </c>
      <c r="F153" s="44">
        <f>+'30'!F153+'1'!F153+'2'!F153+'3'!F153+'4'!F153+'5'!F153+'6'!F153+'7'!F153+'8'!F153+'9'!F153+'10'!F153</f>
        <v>0</v>
      </c>
      <c r="G153" s="43">
        <f t="shared" si="21"/>
        <v>0</v>
      </c>
      <c r="H153" s="78">
        <f>+'30'!H153+'1'!H153+'2'!H153+'3'!H153+'4'!H153+'5'!H153+'6'!H153+'7'!H153+'8'!H153+'9'!H153+'10'!H153</f>
        <v>0</v>
      </c>
      <c r="I153" s="76">
        <f>+'30'!I153+'1'!I153+'2'!I153+'3'!I153+'4'!I153+'5'!I153+'6'!I153+'7'!I153+'8'!I153+'9'!I153+'10'!I153</f>
        <v>0</v>
      </c>
      <c r="J153" s="43">
        <f t="shared" ref="J153:J225" si="22">E153+F153-H153-K153-I153</f>
        <v>0</v>
      </c>
      <c r="K153" s="44">
        <f>+'30'!K153+'1'!K153+'2'!K153+'3'!K153+'4'!K153+'5'!K153+'6'!K153+'7'!K153+'8'!K153+'9'!K153+'10'!K153</f>
        <v>0</v>
      </c>
      <c r="L153" s="20">
        <v>30</v>
      </c>
      <c r="M153" s="44">
        <f>+'30'!M153+'1'!M153+'2'!M153+'3'!M153+'4'!M153+'5'!M153+'6'!M153+'7'!M153+'8'!M153+'9'!M153+'10'!M153</f>
        <v>0</v>
      </c>
      <c r="N153" s="19"/>
      <c r="O153" s="90">
        <v>18.5</v>
      </c>
      <c r="P153" s="79">
        <f t="shared" ref="P153:P224" si="23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46">
        <f>+ยกมา!J154</f>
        <v>0</v>
      </c>
      <c r="F154" s="44">
        <f>+'30'!F154+'1'!F154+'2'!F154+'3'!F154+'4'!F154+'5'!F154+'6'!F154+'7'!F154+'8'!F154+'9'!F154+'10'!F154</f>
        <v>30</v>
      </c>
      <c r="G154" s="43">
        <f t="shared" si="21"/>
        <v>30</v>
      </c>
      <c r="H154" s="78">
        <f>+'30'!H154+'1'!H154+'2'!H154+'3'!H154+'4'!H154+'5'!H154+'6'!H154+'7'!H154+'8'!H154+'9'!H154+'10'!H154</f>
        <v>0</v>
      </c>
      <c r="I154" s="76">
        <f>+'30'!I154+'1'!I154+'2'!I154+'3'!I154+'4'!I154+'5'!I154+'6'!I154+'7'!I154+'8'!I154+'9'!I154+'10'!I154</f>
        <v>0</v>
      </c>
      <c r="J154" s="43">
        <f t="shared" si="22"/>
        <v>0</v>
      </c>
      <c r="K154" s="44">
        <f>+'30'!K154+'1'!K154+'2'!K154+'3'!K154+'4'!K154+'5'!K154+'6'!K154+'7'!K154+'8'!K154+'9'!K154+'10'!K154</f>
        <v>30</v>
      </c>
      <c r="L154" s="20">
        <v>25</v>
      </c>
      <c r="M154" s="44">
        <f>+'30'!M154+'1'!M154+'2'!M154+'3'!M154+'4'!M154+'5'!M154+'6'!M154+'7'!M154+'8'!M154+'9'!M154+'10'!M154</f>
        <v>750</v>
      </c>
      <c r="N154" s="19"/>
      <c r="O154" s="90">
        <v>16.16</v>
      </c>
      <c r="P154" s="79">
        <f t="shared" si="23"/>
        <v>484.8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46">
        <f>+ยกมา!J155</f>
        <v>0</v>
      </c>
      <c r="F155" s="44">
        <f>+'30'!F155+'1'!F155+'2'!F155+'3'!F155+'4'!F155+'5'!F155+'6'!F155+'7'!F155+'8'!F155+'9'!F155+'10'!F155</f>
        <v>80</v>
      </c>
      <c r="G155" s="43">
        <f t="shared" si="21"/>
        <v>80</v>
      </c>
      <c r="H155" s="78">
        <f>+'30'!H155+'1'!H155+'2'!H155+'3'!H155+'4'!H155+'5'!H155+'6'!H155+'7'!H155+'8'!H155+'9'!H155+'10'!H155</f>
        <v>4</v>
      </c>
      <c r="I155" s="76">
        <f>+'30'!I155+'1'!I155+'2'!I155+'3'!I155+'4'!I155+'5'!I155+'6'!I155+'7'!I155+'8'!I155+'9'!I155+'10'!I155</f>
        <v>0</v>
      </c>
      <c r="J155" s="43">
        <f t="shared" si="22"/>
        <v>31</v>
      </c>
      <c r="K155" s="44">
        <f>+'30'!K155+'1'!K155+'2'!K155+'3'!K155+'4'!K155+'5'!K155+'6'!K155+'7'!K155+'8'!K155+'9'!K155+'10'!K155</f>
        <v>45</v>
      </c>
      <c r="L155" s="20">
        <v>25</v>
      </c>
      <c r="M155" s="44">
        <f>+'30'!M155+'1'!M155+'2'!M155+'3'!M155+'4'!M155+'5'!M155+'6'!M155+'7'!M155+'8'!M155+'9'!M155+'10'!M155</f>
        <v>1125</v>
      </c>
      <c r="N155" s="19"/>
      <c r="O155" s="90">
        <v>18.63</v>
      </c>
      <c r="P155" s="79">
        <f t="shared" si="23"/>
        <v>838.34999999999991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46">
        <f>+ยกมา!J156</f>
        <v>0</v>
      </c>
      <c r="F156" s="44">
        <f>+'30'!F156+'1'!F156+'2'!F156+'3'!F156+'4'!F156+'5'!F156+'6'!F156+'7'!F156+'8'!F156+'9'!F156+'10'!F156</f>
        <v>0</v>
      </c>
      <c r="G156" s="43">
        <f t="shared" si="21"/>
        <v>0</v>
      </c>
      <c r="H156" s="78">
        <f>+'30'!H156+'1'!H156+'2'!H156+'3'!H156+'4'!H156+'5'!H156+'6'!H156+'7'!H156+'8'!H156+'9'!H156+'10'!H156</f>
        <v>0</v>
      </c>
      <c r="I156" s="76">
        <f>+'30'!I156+'1'!I156+'2'!I156+'3'!I156+'4'!I156+'5'!I156+'6'!I156+'7'!I156+'8'!I156+'9'!I156+'10'!I156</f>
        <v>0</v>
      </c>
      <c r="J156" s="43">
        <f t="shared" si="22"/>
        <v>0</v>
      </c>
      <c r="K156" s="44">
        <f>+'30'!K156+'1'!K156+'2'!K156+'3'!K156+'4'!K156+'5'!K156+'6'!K156+'7'!K156+'8'!K156+'9'!K156+'10'!K156</f>
        <v>0</v>
      </c>
      <c r="L156" s="20">
        <v>55</v>
      </c>
      <c r="M156" s="44">
        <f>+'30'!M156+'1'!M156+'2'!M156+'3'!M156+'4'!M156+'5'!M156+'6'!M156+'7'!M156+'8'!M156+'9'!M156+'10'!M156</f>
        <v>0</v>
      </c>
      <c r="N156" s="19"/>
      <c r="O156" s="90">
        <v>11.39</v>
      </c>
      <c r="P156" s="79">
        <f t="shared" si="23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46">
        <f>+ยกมา!J157</f>
        <v>0</v>
      </c>
      <c r="F157" s="44">
        <f>+'30'!F157+'1'!F157+'2'!F157+'3'!F157+'4'!F157+'5'!F157+'6'!F157+'7'!F157+'8'!F157+'9'!F157+'10'!F157</f>
        <v>0</v>
      </c>
      <c r="G157" s="43">
        <f t="shared" si="21"/>
        <v>0</v>
      </c>
      <c r="H157" s="78">
        <f>+'30'!H157+'1'!H157+'2'!H157+'3'!H157+'4'!H157+'5'!H157+'6'!H157+'7'!H157+'8'!H157+'9'!H157+'10'!H157</f>
        <v>0</v>
      </c>
      <c r="I157" s="76">
        <f>+'30'!I157+'1'!I157+'2'!I157+'3'!I157+'4'!I157+'5'!I157+'6'!I157+'7'!I157+'8'!I157+'9'!I157+'10'!I157</f>
        <v>0</v>
      </c>
      <c r="J157" s="43">
        <f t="shared" si="22"/>
        <v>0</v>
      </c>
      <c r="K157" s="44">
        <f>+'30'!K157+'1'!K157+'2'!K157+'3'!K157+'4'!K157+'5'!K157+'6'!K157+'7'!K157+'8'!K157+'9'!K157+'10'!K157</f>
        <v>0</v>
      </c>
      <c r="L157" s="20">
        <v>50</v>
      </c>
      <c r="M157" s="44">
        <f>+'30'!M157+'1'!M157+'2'!M157+'3'!M157+'4'!M157+'5'!M157+'6'!M157+'7'!M157+'8'!M157+'9'!M157+'10'!M157</f>
        <v>0</v>
      </c>
      <c r="N157" s="19"/>
      <c r="O157" s="90">
        <v>15.6</v>
      </c>
      <c r="P157" s="79">
        <f t="shared" si="23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46">
        <f>+ยกมา!J158</f>
        <v>0</v>
      </c>
      <c r="F158" s="44">
        <f>+'30'!F158+'1'!F158+'2'!F158+'3'!F158+'4'!F158+'5'!F158+'6'!F158+'7'!F158+'8'!F158+'9'!F158+'10'!F158</f>
        <v>0</v>
      </c>
      <c r="G158" s="43">
        <f t="shared" si="21"/>
        <v>0</v>
      </c>
      <c r="H158" s="78">
        <f>+'30'!H158+'1'!H158+'2'!H158+'3'!H158+'4'!H158+'5'!H158+'6'!H158+'7'!H158+'8'!H158+'9'!H158+'10'!H158</f>
        <v>0</v>
      </c>
      <c r="I158" s="76">
        <f>+'30'!I158+'1'!I158+'2'!I158+'3'!I158+'4'!I158+'5'!I158+'6'!I158+'7'!I158+'8'!I158+'9'!I158+'10'!I158</f>
        <v>0</v>
      </c>
      <c r="J158" s="43">
        <f t="shared" si="22"/>
        <v>0</v>
      </c>
      <c r="K158" s="44">
        <f>+'30'!K158+'1'!K158+'2'!K158+'3'!K158+'4'!K158+'5'!K158+'6'!K158+'7'!K158+'8'!K158+'9'!K158+'10'!K158</f>
        <v>0</v>
      </c>
      <c r="L158" s="20">
        <v>65</v>
      </c>
      <c r="M158" s="44">
        <f>+'30'!M158+'1'!M158+'2'!M158+'3'!M158+'4'!M158+'5'!M158+'6'!M158+'7'!M158+'8'!M158+'9'!M158+'10'!M158</f>
        <v>0</v>
      </c>
      <c r="N158" s="19"/>
      <c r="O158" s="90">
        <v>23.53</v>
      </c>
      <c r="P158" s="79">
        <f t="shared" si="23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46">
        <f>+ยกมา!J159</f>
        <v>0</v>
      </c>
      <c r="F159" s="44">
        <f>+'30'!F159+'1'!F159+'2'!F159+'3'!F159+'4'!F159+'5'!F159+'6'!F159+'7'!F159+'8'!F159+'9'!F159+'10'!F159</f>
        <v>0</v>
      </c>
      <c r="G159" s="43">
        <f t="shared" si="21"/>
        <v>0</v>
      </c>
      <c r="H159" s="78">
        <f>+'30'!H159+'1'!H159+'2'!H159+'3'!H159+'4'!H159+'5'!H159+'6'!H159+'7'!H159+'8'!H159+'9'!H159+'10'!H159</f>
        <v>0</v>
      </c>
      <c r="I159" s="76">
        <f>+'30'!I159+'1'!I159+'2'!I159+'3'!I159+'4'!I159+'5'!I159+'6'!I159+'7'!I159+'8'!I159+'9'!I159+'10'!I159</f>
        <v>0</v>
      </c>
      <c r="J159" s="43">
        <f t="shared" si="22"/>
        <v>0</v>
      </c>
      <c r="K159" s="44">
        <f>+'30'!K159+'1'!K159+'2'!K159+'3'!K159+'4'!K159+'5'!K159+'6'!K159+'7'!K159+'8'!K159+'9'!K159+'10'!K159</f>
        <v>0</v>
      </c>
      <c r="L159" s="20">
        <v>50</v>
      </c>
      <c r="M159" s="44">
        <f>+'30'!M159+'1'!M159+'2'!M159+'3'!M159+'4'!M159+'5'!M159+'6'!M159+'7'!M159+'8'!M159+'9'!M159+'10'!M159</f>
        <v>0</v>
      </c>
      <c r="N159" s="19"/>
      <c r="O159" s="92">
        <v>0</v>
      </c>
      <c r="P159" s="79">
        <f t="shared" si="23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46">
        <f>+ยกมา!J160</f>
        <v>0</v>
      </c>
      <c r="F160" s="44">
        <f>+'30'!F160+'1'!F160+'2'!F160+'3'!F160+'4'!F160+'5'!F160+'6'!F160+'7'!F160+'8'!F160+'9'!F160+'10'!F160</f>
        <v>0</v>
      </c>
      <c r="G160" s="43">
        <f t="shared" si="21"/>
        <v>0</v>
      </c>
      <c r="H160" s="78">
        <f>+'30'!H160+'1'!H160+'2'!H160+'3'!H160+'4'!H160+'5'!H160+'6'!H160+'7'!H160+'8'!H160+'9'!H160+'10'!H160</f>
        <v>0</v>
      </c>
      <c r="I160" s="76">
        <f>+'30'!I160+'1'!I160+'2'!I160+'3'!I160+'4'!I160+'5'!I160+'6'!I160+'7'!I160+'8'!I160+'9'!I160+'10'!I160</f>
        <v>0</v>
      </c>
      <c r="J160" s="43">
        <f t="shared" si="22"/>
        <v>0</v>
      </c>
      <c r="K160" s="44">
        <f>+'30'!K160+'1'!K160+'2'!K160+'3'!K160+'4'!K160+'5'!K160+'6'!K160+'7'!K160+'8'!K160+'9'!K160+'10'!K160</f>
        <v>0</v>
      </c>
      <c r="L160" s="20">
        <v>50</v>
      </c>
      <c r="M160" s="44">
        <f>+'30'!M160+'1'!M160+'2'!M160+'3'!M160+'4'!M160+'5'!M160+'6'!M160+'7'!M160+'8'!M160+'9'!M160+'10'!M160</f>
        <v>0</v>
      </c>
      <c r="N160" s="19"/>
      <c r="O160" s="92">
        <v>0</v>
      </c>
      <c r="P160" s="79">
        <f t="shared" si="23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46">
        <f>+ยกมา!J161</f>
        <v>0</v>
      </c>
      <c r="F161" s="44">
        <f>+'30'!F161+'1'!F161+'2'!F161+'3'!F161+'4'!F161+'5'!F161+'6'!F161+'7'!F161+'8'!F161+'9'!F161+'10'!F161</f>
        <v>0</v>
      </c>
      <c r="G161" s="43">
        <f t="shared" si="21"/>
        <v>0</v>
      </c>
      <c r="H161" s="78">
        <f>+'30'!H161+'1'!H161+'2'!H161+'3'!H161+'4'!H161+'5'!H161+'6'!H161+'7'!H161+'8'!H161+'9'!H161+'10'!H161</f>
        <v>0</v>
      </c>
      <c r="I161" s="76">
        <f>+'30'!I161+'1'!I161+'2'!I161+'3'!I161+'4'!I161+'5'!I161+'6'!I161+'7'!I161+'8'!I161+'9'!I161+'10'!I161</f>
        <v>0</v>
      </c>
      <c r="J161" s="43">
        <f t="shared" si="22"/>
        <v>0</v>
      </c>
      <c r="K161" s="44">
        <f>+'30'!K161+'1'!K161+'2'!K161+'3'!K161+'4'!K161+'5'!K161+'6'!K161+'7'!K161+'8'!K161+'9'!K161+'10'!K161</f>
        <v>0</v>
      </c>
      <c r="L161" s="20">
        <v>60</v>
      </c>
      <c r="M161" s="44">
        <f>+'30'!M161+'1'!M161+'2'!M161+'3'!M161+'4'!M161+'5'!M161+'6'!M161+'7'!M161+'8'!M161+'9'!M161+'10'!M161</f>
        <v>0</v>
      </c>
      <c r="N161" s="19"/>
      <c r="O161" s="92">
        <v>0</v>
      </c>
      <c r="P161" s="79">
        <f t="shared" si="23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46">
        <f>+ยกมา!J162</f>
        <v>0</v>
      </c>
      <c r="F162" s="44">
        <f>+'30'!F162+'1'!F162+'2'!F162+'3'!F162+'4'!F162+'5'!F162+'6'!F162+'7'!F162+'8'!F162+'9'!F162+'10'!F162</f>
        <v>0</v>
      </c>
      <c r="G162" s="43">
        <f t="shared" si="21"/>
        <v>0</v>
      </c>
      <c r="H162" s="78">
        <f>+'30'!H162+'1'!H162+'2'!H162+'3'!H162+'4'!H162+'5'!H162+'6'!H162+'7'!H162+'8'!H162+'9'!H162+'10'!H162</f>
        <v>0</v>
      </c>
      <c r="I162" s="76">
        <f>+'30'!I162+'1'!I162+'2'!I162+'3'!I162+'4'!I162+'5'!I162+'6'!I162+'7'!I162+'8'!I162+'9'!I162+'10'!I162</f>
        <v>0</v>
      </c>
      <c r="J162" s="43">
        <f t="shared" si="22"/>
        <v>0</v>
      </c>
      <c r="K162" s="44">
        <f>+'30'!K162+'1'!K162+'2'!K162+'3'!K162+'4'!K162+'5'!K162+'6'!K162+'7'!K162+'8'!K162+'9'!K162+'10'!K162</f>
        <v>0</v>
      </c>
      <c r="L162" s="20">
        <v>60</v>
      </c>
      <c r="M162" s="44">
        <f>+'30'!M162+'1'!M162+'2'!M162+'3'!M162+'4'!M162+'5'!M162+'6'!M162+'7'!M162+'8'!M162+'9'!M162+'10'!M162</f>
        <v>0</v>
      </c>
      <c r="N162" s="19"/>
      <c r="O162" s="92">
        <v>0</v>
      </c>
      <c r="P162" s="79">
        <f t="shared" si="23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46">
        <f>+ยกมา!J163</f>
        <v>0</v>
      </c>
      <c r="F163" s="44">
        <f>+'30'!F163+'1'!F163+'2'!F163+'3'!F163+'4'!F163+'5'!F163+'6'!F163+'7'!F163+'8'!F163+'9'!F163+'10'!F163</f>
        <v>60</v>
      </c>
      <c r="G163" s="43">
        <f t="shared" si="21"/>
        <v>60</v>
      </c>
      <c r="H163" s="78">
        <f>+'30'!H163+'1'!H163+'2'!H163+'3'!H163+'4'!H163+'5'!H163+'6'!H163+'7'!H163+'8'!H163+'9'!H163+'10'!H163</f>
        <v>0</v>
      </c>
      <c r="I163" s="76">
        <f>+'30'!I163+'1'!I163+'2'!I163+'3'!I163+'4'!I163+'5'!I163+'6'!I163+'7'!I163+'8'!I163+'9'!I163+'10'!I163</f>
        <v>0</v>
      </c>
      <c r="J163" s="43">
        <f t="shared" si="22"/>
        <v>0</v>
      </c>
      <c r="K163" s="44">
        <f>+'30'!K163+'1'!K163+'2'!K163+'3'!K163+'4'!K163+'5'!K163+'6'!K163+'7'!K163+'8'!K163+'9'!K163+'10'!K163</f>
        <v>60</v>
      </c>
      <c r="L163" s="20">
        <v>25</v>
      </c>
      <c r="M163" s="44">
        <f>+'30'!M163+'1'!M163+'2'!M163+'3'!M163+'4'!M163+'5'!M163+'6'!M163+'7'!M163+'8'!M163+'9'!M163+'10'!M163</f>
        <v>1500</v>
      </c>
      <c r="N163" s="19"/>
      <c r="O163" s="90">
        <v>10.69</v>
      </c>
      <c r="P163" s="79">
        <f t="shared" si="23"/>
        <v>641.4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46">
        <f>+ยกมา!J164</f>
        <v>0</v>
      </c>
      <c r="F164" s="44">
        <f>+'30'!F164+'1'!F164+'2'!F164+'3'!F164+'4'!F164+'5'!F164+'6'!F164+'7'!F164+'8'!F164+'9'!F164+'10'!F164</f>
        <v>0</v>
      </c>
      <c r="G164" s="43">
        <f t="shared" si="21"/>
        <v>0</v>
      </c>
      <c r="H164" s="78">
        <f>+'30'!H164+'1'!H164+'2'!H164+'3'!H164+'4'!H164+'5'!H164+'6'!H164+'7'!H164+'8'!H164+'9'!H164+'10'!H164</f>
        <v>0</v>
      </c>
      <c r="I164" s="76">
        <f>+'30'!I164+'1'!I164+'2'!I164+'3'!I164+'4'!I164+'5'!I164+'6'!I164+'7'!I164+'8'!I164+'9'!I164+'10'!I164</f>
        <v>0</v>
      </c>
      <c r="J164" s="43">
        <f t="shared" si="22"/>
        <v>0</v>
      </c>
      <c r="K164" s="44">
        <f>+'30'!K164+'1'!K164+'2'!K164+'3'!K164+'4'!K164+'5'!K164+'6'!K164+'7'!K164+'8'!K164+'9'!K164+'10'!K164</f>
        <v>0</v>
      </c>
      <c r="L164" s="20">
        <v>45</v>
      </c>
      <c r="M164" s="44">
        <f>+'30'!M164+'1'!M164+'2'!M164+'3'!M164+'4'!M164+'5'!M164+'6'!M164+'7'!M164+'8'!M164+'9'!M164+'10'!M164</f>
        <v>0</v>
      </c>
      <c r="N164" s="19"/>
      <c r="O164" s="90">
        <v>12.95</v>
      </c>
      <c r="P164" s="79">
        <f t="shared" si="23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46">
        <f>+ยกมา!J165</f>
        <v>0</v>
      </c>
      <c r="F165" s="44">
        <f>+'30'!F165+'1'!F165+'2'!F165+'3'!F165+'4'!F165+'5'!F165+'6'!F165+'7'!F165+'8'!F165+'9'!F165+'10'!F165</f>
        <v>0</v>
      </c>
      <c r="G165" s="43">
        <f t="shared" si="21"/>
        <v>0</v>
      </c>
      <c r="H165" s="78">
        <f>+'30'!H165+'1'!H165+'2'!H165+'3'!H165+'4'!H165+'5'!H165+'6'!H165+'7'!H165+'8'!H165+'9'!H165+'10'!H165</f>
        <v>0</v>
      </c>
      <c r="I165" s="76">
        <f>+'30'!I165+'1'!I165+'2'!I165+'3'!I165+'4'!I165+'5'!I165+'6'!I165+'7'!I165+'8'!I165+'9'!I165+'10'!I165</f>
        <v>0</v>
      </c>
      <c r="J165" s="43">
        <f t="shared" si="22"/>
        <v>0</v>
      </c>
      <c r="K165" s="44">
        <f>+'30'!K165+'1'!K165+'2'!K165+'3'!K165+'4'!K165+'5'!K165+'6'!K165+'7'!K165+'8'!K165+'9'!K165+'10'!K165</f>
        <v>0</v>
      </c>
      <c r="L165" s="20">
        <v>45</v>
      </c>
      <c r="M165" s="44">
        <f>+'30'!M165+'1'!M165+'2'!M165+'3'!M165+'4'!M165+'5'!M165+'6'!M165+'7'!M165+'8'!M165+'9'!M165+'10'!M165</f>
        <v>0</v>
      </c>
      <c r="N165" s="19"/>
      <c r="O165" s="90">
        <v>10.61</v>
      </c>
      <c r="P165" s="79">
        <f t="shared" si="23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46">
        <f>+ยกมา!J166</f>
        <v>0</v>
      </c>
      <c r="F166" s="44">
        <f>+'30'!F166+'1'!F166+'2'!F166+'3'!F166+'4'!F166+'5'!F166+'6'!F166+'7'!F166+'8'!F166+'9'!F166+'10'!F166</f>
        <v>0</v>
      </c>
      <c r="G166" s="43">
        <f t="shared" si="21"/>
        <v>0</v>
      </c>
      <c r="H166" s="78">
        <f>+'30'!H166+'1'!H166+'2'!H166+'3'!H166+'4'!H166+'5'!H166+'6'!H166+'7'!H166+'8'!H166+'9'!H166+'10'!H166</f>
        <v>0</v>
      </c>
      <c r="I166" s="76">
        <f>+'30'!I166+'1'!I166+'2'!I166+'3'!I166+'4'!I166+'5'!I166+'6'!I166+'7'!I166+'8'!I166+'9'!I166+'10'!I166</f>
        <v>0</v>
      </c>
      <c r="J166" s="43">
        <f t="shared" si="22"/>
        <v>0</v>
      </c>
      <c r="K166" s="44">
        <f>+'30'!K166+'1'!K166+'2'!K166+'3'!K166+'4'!K166+'5'!K166+'6'!K166+'7'!K166+'8'!K166+'9'!K166+'10'!K166</f>
        <v>0</v>
      </c>
      <c r="L166" s="20">
        <v>45</v>
      </c>
      <c r="M166" s="44">
        <f>+'30'!M166+'1'!M166+'2'!M166+'3'!M166+'4'!M166+'5'!M166+'6'!M166+'7'!M166+'8'!M166+'9'!M166+'10'!M166</f>
        <v>0</v>
      </c>
      <c r="N166" s="19"/>
      <c r="O166" s="90">
        <v>11.97</v>
      </c>
      <c r="P166" s="79">
        <f t="shared" si="23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46">
        <f>+ยกมา!J167</f>
        <v>0</v>
      </c>
      <c r="F167" s="44">
        <f>+'30'!F167+'1'!F167+'2'!F167+'3'!F167+'4'!F167+'5'!F167+'6'!F167+'7'!F167+'8'!F167+'9'!F167+'10'!F167</f>
        <v>0</v>
      </c>
      <c r="G167" s="43">
        <f t="shared" si="21"/>
        <v>0</v>
      </c>
      <c r="H167" s="78">
        <f>+'30'!H167+'1'!H167+'2'!H167+'3'!H167+'4'!H167+'5'!H167+'6'!H167+'7'!H167+'8'!H167+'9'!H167+'10'!H167</f>
        <v>0</v>
      </c>
      <c r="I167" s="76">
        <f>+'30'!I167+'1'!I167+'2'!I167+'3'!I167+'4'!I167+'5'!I167+'6'!I167+'7'!I167+'8'!I167+'9'!I167+'10'!I167</f>
        <v>0</v>
      </c>
      <c r="J167" s="43">
        <f t="shared" si="22"/>
        <v>0</v>
      </c>
      <c r="K167" s="44">
        <f>+'30'!K167+'1'!K167+'2'!K167+'3'!K167+'4'!K167+'5'!K167+'6'!K167+'7'!K167+'8'!K167+'9'!K167+'10'!K167</f>
        <v>0</v>
      </c>
      <c r="L167" s="20">
        <v>45</v>
      </c>
      <c r="M167" s="44">
        <f>+'30'!M167+'1'!M167+'2'!M167+'3'!M167+'4'!M167+'5'!M167+'6'!M167+'7'!M167+'8'!M167+'9'!M167+'10'!M167</f>
        <v>0</v>
      </c>
      <c r="N167" s="19"/>
      <c r="O167" s="90">
        <v>12.21</v>
      </c>
      <c r="P167" s="79">
        <f t="shared" si="23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46">
        <f>+ยกมา!J168</f>
        <v>0</v>
      </c>
      <c r="F168" s="44">
        <f>+'30'!F168+'1'!F168+'2'!F168+'3'!F168+'4'!F168+'5'!F168+'6'!F168+'7'!F168+'8'!F168+'9'!F168+'10'!F168</f>
        <v>0</v>
      </c>
      <c r="G168" s="43">
        <f t="shared" si="21"/>
        <v>0</v>
      </c>
      <c r="H168" s="78">
        <f>+'30'!H168+'1'!H168+'2'!H168+'3'!H168+'4'!H168+'5'!H168+'6'!H168+'7'!H168+'8'!H168+'9'!H168+'10'!H168</f>
        <v>0</v>
      </c>
      <c r="I168" s="76">
        <f>+'30'!I168+'1'!I168+'2'!I168+'3'!I168+'4'!I168+'5'!I168+'6'!I168+'7'!I168+'8'!I168+'9'!I168+'10'!I168</f>
        <v>0</v>
      </c>
      <c r="J168" s="43">
        <f t="shared" si="22"/>
        <v>0</v>
      </c>
      <c r="K168" s="44">
        <f>+'30'!K168+'1'!K168+'2'!K168+'3'!K168+'4'!K168+'5'!K168+'6'!K168+'7'!K168+'8'!K168+'9'!K168+'10'!K168</f>
        <v>0</v>
      </c>
      <c r="L168" s="20">
        <v>45</v>
      </c>
      <c r="M168" s="44">
        <f>+'30'!M168+'1'!M168+'2'!M168+'3'!M168+'4'!M168+'5'!M168+'6'!M168+'7'!M168+'8'!M168+'9'!M168+'10'!M168</f>
        <v>0</v>
      </c>
      <c r="N168" s="19"/>
      <c r="O168" s="90">
        <v>14.27</v>
      </c>
      <c r="P168" s="79">
        <f t="shared" si="23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46">
        <f>+ยกมา!J169</f>
        <v>0</v>
      </c>
      <c r="F169" s="44">
        <f>+'30'!F169+'1'!F169+'2'!F169+'3'!F169+'4'!F169+'5'!F169+'6'!F169+'7'!F169+'8'!F169+'9'!F169+'10'!F169</f>
        <v>0</v>
      </c>
      <c r="G169" s="43">
        <f t="shared" si="21"/>
        <v>0</v>
      </c>
      <c r="H169" s="78">
        <f>+'30'!H169+'1'!H169+'2'!H169+'3'!H169+'4'!H169+'5'!H169+'6'!H169+'7'!H169+'8'!H169+'9'!H169+'10'!H169</f>
        <v>0</v>
      </c>
      <c r="I169" s="76">
        <f>+'30'!I169+'1'!I169+'2'!I169+'3'!I169+'4'!I169+'5'!I169+'6'!I169+'7'!I169+'8'!I169+'9'!I169+'10'!I169</f>
        <v>0</v>
      </c>
      <c r="J169" s="43">
        <f t="shared" si="22"/>
        <v>0</v>
      </c>
      <c r="K169" s="44">
        <f>+'30'!K169+'1'!K169+'2'!K169+'3'!K169+'4'!K169+'5'!K169+'6'!K169+'7'!K169+'8'!K169+'9'!K169+'10'!K169</f>
        <v>0</v>
      </c>
      <c r="L169" s="20">
        <v>45</v>
      </c>
      <c r="M169" s="44">
        <f>+'30'!M169+'1'!M169+'2'!M169+'3'!M169+'4'!M169+'5'!M169+'6'!M169+'7'!M169+'8'!M169+'9'!M169+'10'!M169</f>
        <v>0</v>
      </c>
      <c r="N169" s="19"/>
      <c r="O169" s="90">
        <v>14.95</v>
      </c>
      <c r="P169" s="79">
        <f t="shared" si="23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46">
        <f>+ยกมา!J170</f>
        <v>0</v>
      </c>
      <c r="F170" s="44">
        <f>+'30'!F170+'1'!F170+'2'!F170+'3'!F170+'4'!F170+'5'!F170+'6'!F170+'7'!F170+'8'!F170+'9'!F170+'10'!F170</f>
        <v>110</v>
      </c>
      <c r="G170" s="43">
        <f t="shared" si="21"/>
        <v>110</v>
      </c>
      <c r="H170" s="78">
        <f>+'30'!H170+'1'!H170+'2'!H170+'3'!H170+'4'!H170+'5'!H170+'6'!H170+'7'!H170+'8'!H170+'9'!H170+'10'!H170</f>
        <v>0</v>
      </c>
      <c r="I170" s="76">
        <f>+'30'!I170+'1'!I170+'2'!I170+'3'!I170+'4'!I170+'5'!I170+'6'!I170+'7'!I170+'8'!I170+'9'!I170+'10'!I170</f>
        <v>0</v>
      </c>
      <c r="J170" s="43">
        <f t="shared" si="22"/>
        <v>59</v>
      </c>
      <c r="K170" s="44">
        <f>+'30'!K170+'1'!K170+'2'!K170+'3'!K170+'4'!K170+'5'!K170+'6'!K170+'7'!K170+'8'!K170+'9'!K170+'10'!K170</f>
        <v>51</v>
      </c>
      <c r="L170" s="20">
        <v>35</v>
      </c>
      <c r="M170" s="44">
        <f>+'30'!M170+'1'!M170+'2'!M170+'3'!M170+'4'!M170+'5'!M170+'6'!M170+'7'!M170+'8'!M170+'9'!M170+'10'!M170</f>
        <v>1785</v>
      </c>
      <c r="N170" s="19"/>
      <c r="O170" s="90">
        <v>17.36</v>
      </c>
      <c r="P170" s="79">
        <f t="shared" si="23"/>
        <v>885.36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46">
        <f>+ยกมา!J171</f>
        <v>0</v>
      </c>
      <c r="F171" s="44">
        <f>+'30'!F171+'1'!F171+'2'!F171+'3'!F171+'4'!F171+'5'!F171+'6'!F171+'7'!F171+'8'!F171+'9'!F171+'10'!F171</f>
        <v>0</v>
      </c>
      <c r="G171" s="43">
        <f t="shared" si="21"/>
        <v>0</v>
      </c>
      <c r="H171" s="78">
        <f>+'30'!H171+'1'!H171+'2'!H171+'3'!H171+'4'!H171+'5'!H171+'6'!H171+'7'!H171+'8'!H171+'9'!H171+'10'!H171</f>
        <v>0</v>
      </c>
      <c r="I171" s="76">
        <f>+'30'!I171+'1'!I171+'2'!I171+'3'!I171+'4'!I171+'5'!I171+'6'!I171+'7'!I171+'8'!I171+'9'!I171+'10'!I171</f>
        <v>0</v>
      </c>
      <c r="J171" s="43">
        <f t="shared" si="22"/>
        <v>0</v>
      </c>
      <c r="K171" s="44">
        <f>+'30'!K171+'1'!K171+'2'!K171+'3'!K171+'4'!K171+'5'!K171+'6'!K171+'7'!K171+'8'!K171+'9'!K171+'10'!K171</f>
        <v>0</v>
      </c>
      <c r="L171" s="20">
        <v>25</v>
      </c>
      <c r="M171" s="44">
        <f>+'30'!M171+'1'!M171+'2'!M171+'3'!M171+'4'!M171+'5'!M171+'6'!M171+'7'!M171+'8'!M171+'9'!M171+'10'!M171</f>
        <v>0</v>
      </c>
      <c r="N171" s="19"/>
      <c r="O171" s="92">
        <v>0</v>
      </c>
      <c r="P171" s="79">
        <f t="shared" si="23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46">
        <f>+ยกมา!J172</f>
        <v>0</v>
      </c>
      <c r="F172" s="44">
        <f>+'30'!F172+'1'!F172+'2'!F172+'3'!F172+'4'!F172+'5'!F172+'6'!F172+'7'!F172+'8'!F172+'9'!F172+'10'!F172</f>
        <v>0</v>
      </c>
      <c r="G172" s="43">
        <f t="shared" si="21"/>
        <v>0</v>
      </c>
      <c r="H172" s="78">
        <f>+'30'!H172+'1'!H172+'2'!H172+'3'!H172+'4'!H172+'5'!H172+'6'!H172+'7'!H172+'8'!H172+'9'!H172+'10'!H172</f>
        <v>0</v>
      </c>
      <c r="I172" s="76">
        <f>+'30'!I172+'1'!I172+'2'!I172+'3'!I172+'4'!I172+'5'!I172+'6'!I172+'7'!I172+'8'!I172+'9'!I172+'10'!I172</f>
        <v>0</v>
      </c>
      <c r="J172" s="43">
        <f t="shared" si="22"/>
        <v>0</v>
      </c>
      <c r="K172" s="44">
        <f>+'30'!K172+'1'!K172+'2'!K172+'3'!K172+'4'!K172+'5'!K172+'6'!K172+'7'!K172+'8'!K172+'9'!K172+'10'!K172</f>
        <v>0</v>
      </c>
      <c r="L172" s="20">
        <v>100</v>
      </c>
      <c r="M172" s="44">
        <f>+'30'!M172+'1'!M172+'2'!M172+'3'!M172+'4'!M172+'5'!M172+'6'!M172+'7'!M172+'8'!M172+'9'!M172+'10'!M172</f>
        <v>0</v>
      </c>
      <c r="N172" s="19"/>
      <c r="O172" s="92">
        <v>0</v>
      </c>
      <c r="P172" s="79">
        <f t="shared" si="23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46">
        <f>+ยกมา!J173</f>
        <v>0</v>
      </c>
      <c r="F173" s="44">
        <f>+'30'!F173+'1'!F173+'2'!F173+'3'!F173+'4'!F173+'5'!F173+'6'!F173+'7'!F173+'8'!F173+'9'!F173+'10'!F173</f>
        <v>186</v>
      </c>
      <c r="G173" s="43">
        <f t="shared" si="21"/>
        <v>186</v>
      </c>
      <c r="H173" s="78">
        <f>+'30'!H173+'1'!H173+'2'!H173+'3'!H173+'4'!H173+'5'!H173+'6'!H173+'7'!H173+'8'!H173+'9'!H173+'10'!H173</f>
        <v>0</v>
      </c>
      <c r="I173" s="76">
        <f>+'30'!I173+'1'!I173+'2'!I173+'3'!I173+'4'!I173+'5'!I173+'6'!I173+'7'!I173+'8'!I173+'9'!I173+'10'!I173</f>
        <v>0</v>
      </c>
      <c r="J173" s="43">
        <f>E173+F173-H173-K173-I173</f>
        <v>5</v>
      </c>
      <c r="K173" s="44">
        <f>+'30'!K173+'1'!K173+'2'!K173+'3'!K173+'4'!K173+'5'!K173+'6'!K173+'7'!K173+'8'!K173+'9'!K173+'10'!K173</f>
        <v>181</v>
      </c>
      <c r="L173" s="20">
        <v>35</v>
      </c>
      <c r="M173" s="44">
        <f>+'30'!M173+'1'!M173+'2'!M173+'3'!M173+'4'!M173+'5'!M173+'6'!M173+'7'!M173+'8'!M173+'9'!M173+'10'!M173</f>
        <v>6335</v>
      </c>
      <c r="N173" s="19"/>
      <c r="O173" s="90">
        <v>16.22</v>
      </c>
      <c r="P173" s="79">
        <f>+K173*O173</f>
        <v>2935.8199999999997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46">
        <f>+ยกมา!J173</f>
        <v>0</v>
      </c>
      <c r="F174" s="44">
        <f>+'30'!F174+'1'!F174+'2'!F174+'3'!F174+'4'!F174+'5'!F174+'6'!F174+'7'!F174+'8'!F174+'9'!F174+'10'!F174</f>
        <v>0</v>
      </c>
      <c r="G174" s="43">
        <f t="shared" si="21"/>
        <v>0</v>
      </c>
      <c r="H174" s="78">
        <f>+'30'!H174+'1'!H174+'2'!H174+'3'!H174+'4'!H174+'5'!H174+'6'!H174+'7'!H174+'8'!H174+'9'!H174+'10'!H174</f>
        <v>0</v>
      </c>
      <c r="I174" s="76">
        <f>+'30'!I174+'1'!I174+'2'!I174+'3'!I174+'4'!I174+'5'!I174+'6'!I174+'7'!I174+'8'!I174+'9'!I174+'10'!I174</f>
        <v>0</v>
      </c>
      <c r="J174" s="43">
        <f t="shared" ref="J174" si="24">E174+F174-H174-K174-I174</f>
        <v>0</v>
      </c>
      <c r="K174" s="44">
        <f>+'30'!K174+'1'!K174+'2'!K174+'3'!K174+'4'!K174+'5'!K174+'6'!K174+'7'!K174+'8'!K174+'9'!K174+'10'!K174</f>
        <v>0</v>
      </c>
      <c r="L174" s="20">
        <v>65</v>
      </c>
      <c r="M174" s="44">
        <f>+'30'!M174+'1'!M174+'2'!M174+'3'!M174+'4'!M174+'5'!M174+'6'!M174+'7'!M174+'8'!M174+'9'!M174+'10'!M174</f>
        <v>0</v>
      </c>
      <c r="N174" s="19"/>
      <c r="O174" s="90">
        <v>29.96</v>
      </c>
      <c r="P174" s="79">
        <f t="shared" ref="P174" si="25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46">
        <f>+ยกมา!J175</f>
        <v>0</v>
      </c>
      <c r="F175" s="44">
        <f>+'30'!F175+'1'!F175+'2'!F175+'3'!F175+'4'!F175+'5'!F175+'6'!F175+'7'!F175+'8'!F175+'9'!F175+'10'!F175</f>
        <v>35</v>
      </c>
      <c r="G175" s="43">
        <f t="shared" si="21"/>
        <v>35</v>
      </c>
      <c r="H175" s="78">
        <f>+'30'!H175+'1'!H175+'2'!H175+'3'!H175+'4'!H175+'5'!H175+'6'!H175+'7'!H175+'8'!H175+'9'!H175+'10'!H175</f>
        <v>0</v>
      </c>
      <c r="I175" s="76">
        <f>+'30'!I175+'1'!I175+'2'!I175+'3'!I175+'4'!I175+'5'!I175+'6'!I175+'7'!I175+'8'!I175+'9'!I175+'10'!I175</f>
        <v>0</v>
      </c>
      <c r="J175" s="43">
        <f t="shared" si="22"/>
        <v>0</v>
      </c>
      <c r="K175" s="44">
        <f>+'30'!K175+'1'!K175+'2'!K175+'3'!K175+'4'!K175+'5'!K175+'6'!K175+'7'!K175+'8'!K175+'9'!K175+'10'!K175</f>
        <v>35</v>
      </c>
      <c r="L175" s="20">
        <v>50</v>
      </c>
      <c r="M175" s="44">
        <f>+'30'!M175+'1'!M175+'2'!M175+'3'!M175+'4'!M175+'5'!M175+'6'!M175+'7'!M175+'8'!M175+'9'!M175+'10'!M175</f>
        <v>1750</v>
      </c>
      <c r="N175" s="19"/>
      <c r="O175" s="90">
        <v>29.96</v>
      </c>
      <c r="P175" s="79">
        <f t="shared" si="23"/>
        <v>1048.6000000000001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46">
        <f>+ยกมา!J176</f>
        <v>0</v>
      </c>
      <c r="F176" s="44">
        <f>+'30'!F176+'1'!F176+'2'!F176+'3'!F176+'4'!F176+'5'!F176+'6'!F176+'7'!F176+'8'!F176+'9'!F176+'10'!F176</f>
        <v>0</v>
      </c>
      <c r="G176" s="43">
        <f t="shared" si="21"/>
        <v>0</v>
      </c>
      <c r="H176" s="78">
        <f>+'30'!H176+'1'!H176+'2'!H176+'3'!H176+'4'!H176+'5'!H176+'6'!H176+'7'!H176+'8'!H176+'9'!H176+'10'!H176</f>
        <v>0</v>
      </c>
      <c r="I176" s="76">
        <f>+'30'!I176+'1'!I176+'2'!I176+'3'!I176+'4'!I176+'5'!I176+'6'!I176+'7'!I176+'8'!I176+'9'!I176+'10'!I176</f>
        <v>0</v>
      </c>
      <c r="J176" s="43">
        <f>E176+F176-H176-K176-I176</f>
        <v>0</v>
      </c>
      <c r="K176" s="44">
        <f>+'30'!K176+'1'!K176+'2'!K176+'3'!K176+'4'!K176+'5'!K176+'6'!K176+'7'!K176+'8'!K176+'9'!K176+'10'!K176</f>
        <v>0</v>
      </c>
      <c r="L176" s="20">
        <v>35</v>
      </c>
      <c r="M176" s="44">
        <f>+'30'!M176+'1'!M176+'2'!M176+'3'!M176+'4'!M176+'5'!M176+'6'!M176+'7'!M176+'8'!M176+'9'!M176+'10'!M176</f>
        <v>0</v>
      </c>
      <c r="N176" s="19"/>
      <c r="O176" s="116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46">
        <f>+ยกมา!J177</f>
        <v>0</v>
      </c>
      <c r="F177" s="44">
        <f>+'30'!F177+'1'!F177+'2'!F177+'3'!F177+'4'!F177+'5'!F177+'6'!F177+'7'!F177+'8'!F177+'9'!F177+'10'!F177</f>
        <v>0</v>
      </c>
      <c r="G177" s="43">
        <f t="shared" si="21"/>
        <v>0</v>
      </c>
      <c r="H177" s="78">
        <f>+'30'!H177+'1'!H177+'2'!H177+'3'!H177+'4'!H177+'5'!H177+'6'!H177+'7'!H177+'8'!H177+'9'!H177+'10'!H177</f>
        <v>0</v>
      </c>
      <c r="I177" s="76">
        <f>+'30'!I177+'1'!I177+'2'!I177+'3'!I177+'4'!I177+'5'!I177+'6'!I177+'7'!I177+'8'!I177+'9'!I177+'10'!I177</f>
        <v>0</v>
      </c>
      <c r="J177" s="43">
        <f t="shared" si="22"/>
        <v>0</v>
      </c>
      <c r="K177" s="44">
        <f>+'30'!K177+'1'!K177+'2'!K177+'3'!K177+'4'!K177+'5'!K177+'6'!K177+'7'!K177+'8'!K177+'9'!K177+'10'!K177</f>
        <v>0</v>
      </c>
      <c r="L177" s="20">
        <v>55</v>
      </c>
      <c r="M177" s="44">
        <f>+'30'!M177+'1'!M177+'2'!M177+'3'!M177+'4'!M177+'5'!M177+'6'!M177+'7'!M177+'8'!M177+'9'!M177+'10'!M177</f>
        <v>0</v>
      </c>
      <c r="N177" s="19"/>
      <c r="O177" s="90"/>
      <c r="P177" s="79">
        <f t="shared" si="23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46">
        <f>+ยกมา!J178</f>
        <v>0</v>
      </c>
      <c r="F178" s="44">
        <f>+'30'!F178+'1'!F178+'2'!F178+'3'!F178+'4'!F178+'5'!F178+'6'!F178+'7'!F178+'8'!F178+'9'!F178+'10'!F178</f>
        <v>0</v>
      </c>
      <c r="G178" s="43">
        <f t="shared" si="21"/>
        <v>0</v>
      </c>
      <c r="H178" s="78">
        <f>+'30'!H178+'1'!H178+'2'!H178+'3'!H178+'4'!H178+'5'!H178+'6'!H178+'7'!H178+'8'!H178+'9'!H178+'10'!H178</f>
        <v>0</v>
      </c>
      <c r="I178" s="76">
        <f>+'30'!I178+'1'!I178+'2'!I178+'3'!I178+'4'!I178+'5'!I178+'6'!I178+'7'!I178+'8'!I178+'9'!I178+'10'!I178</f>
        <v>0</v>
      </c>
      <c r="J178" s="43">
        <f t="shared" si="22"/>
        <v>0</v>
      </c>
      <c r="K178" s="44">
        <f>+'30'!K178+'1'!K178+'2'!K178+'3'!K178+'4'!K178+'5'!K178+'6'!K178+'7'!K178+'8'!K178+'9'!K178+'10'!K178</f>
        <v>0</v>
      </c>
      <c r="L178" s="20">
        <v>55</v>
      </c>
      <c r="M178" s="44">
        <f>+'30'!M178+'1'!M178+'2'!M178+'3'!M178+'4'!M178+'5'!M178+'6'!M178+'7'!M178+'8'!M178+'9'!M178+'10'!M178</f>
        <v>0</v>
      </c>
      <c r="N178" s="19"/>
      <c r="O178" s="90">
        <v>38</v>
      </c>
      <c r="P178" s="79">
        <f t="shared" si="23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46">
        <f>+ยกมา!J179</f>
        <v>0</v>
      </c>
      <c r="F179" s="44">
        <f>+'30'!F179+'1'!F179+'2'!F179+'3'!F179+'4'!F179+'5'!F179+'6'!F179+'7'!F179+'8'!F179+'9'!F179+'10'!F179</f>
        <v>0</v>
      </c>
      <c r="G179" s="43">
        <f t="shared" si="21"/>
        <v>0</v>
      </c>
      <c r="H179" s="78">
        <f>+'30'!H179+'1'!H179+'2'!H179+'3'!H179+'4'!H179+'5'!H179+'6'!H179+'7'!H179+'8'!H179+'9'!H179+'10'!H179</f>
        <v>0</v>
      </c>
      <c r="I179" s="76">
        <f>+'30'!I179+'1'!I179+'2'!I179+'3'!I179+'4'!I179+'5'!I179+'6'!I179+'7'!I179+'8'!I179+'9'!I179+'10'!I179</f>
        <v>0</v>
      </c>
      <c r="J179" s="43">
        <f t="shared" si="22"/>
        <v>0</v>
      </c>
      <c r="K179" s="44">
        <f>+'30'!K179+'1'!K179+'2'!K179+'3'!K179+'4'!K179+'5'!K179+'6'!K179+'7'!K179+'8'!K179+'9'!K179+'10'!K179</f>
        <v>0</v>
      </c>
      <c r="L179" s="20">
        <v>10</v>
      </c>
      <c r="M179" s="44">
        <f>+'30'!M179+'1'!M179+'2'!M179+'3'!M179+'4'!M179+'5'!M179+'6'!M179+'7'!M179+'8'!M179+'9'!M179+'10'!M179</f>
        <v>0</v>
      </c>
      <c r="N179" s="19"/>
      <c r="O179" s="90">
        <v>6.82</v>
      </c>
      <c r="P179" s="79">
        <f t="shared" si="23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46">
        <f>+ยกมา!J180</f>
        <v>0</v>
      </c>
      <c r="F180" s="44">
        <f>+'30'!F180+'1'!F180+'2'!F180+'3'!F180+'4'!F180+'5'!F180+'6'!F180+'7'!F180+'8'!F180+'9'!F180+'10'!F180</f>
        <v>10</v>
      </c>
      <c r="G180" s="43">
        <f t="shared" si="21"/>
        <v>10</v>
      </c>
      <c r="H180" s="78">
        <f>+'30'!H180+'1'!H180+'2'!H180+'3'!H180+'4'!H180+'5'!H180+'6'!H180+'7'!H180+'8'!H180+'9'!H180+'10'!H180</f>
        <v>0</v>
      </c>
      <c r="I180" s="76">
        <f>+'30'!I180+'1'!I180+'2'!I180+'3'!I180+'4'!I180+'5'!I180+'6'!I180+'7'!I180+'8'!I180+'9'!I180+'10'!I180</f>
        <v>0</v>
      </c>
      <c r="J180" s="43">
        <f t="shared" si="22"/>
        <v>0</v>
      </c>
      <c r="K180" s="44">
        <f>+'30'!K180+'1'!K180+'2'!K180+'3'!K180+'4'!K180+'5'!K180+'6'!K180+'7'!K180+'8'!K180+'9'!K180+'10'!K180</f>
        <v>10</v>
      </c>
      <c r="L180" s="20">
        <v>35</v>
      </c>
      <c r="M180" s="44">
        <f>+'30'!M180+'1'!M180+'2'!M180+'3'!M180+'4'!M180+'5'!M180+'6'!M180+'7'!M180+'8'!M180+'9'!M180+'10'!M180</f>
        <v>350</v>
      </c>
      <c r="N180" s="19"/>
      <c r="O180" s="90">
        <v>17.5</v>
      </c>
      <c r="P180" s="79">
        <f t="shared" si="23"/>
        <v>175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46">
        <f>+ยกมา!J181</f>
        <v>0</v>
      </c>
      <c r="F181" s="44">
        <f>+'30'!F181+'1'!F181+'2'!F181+'3'!F181+'4'!F181+'5'!F181+'6'!F181+'7'!F181+'8'!F181+'9'!F181+'10'!F181</f>
        <v>0</v>
      </c>
      <c r="G181" s="43">
        <f t="shared" si="21"/>
        <v>0</v>
      </c>
      <c r="H181" s="78">
        <f>+'30'!H181+'1'!H181+'2'!H181+'3'!H181+'4'!H181+'5'!H181+'6'!H181+'7'!H181+'8'!H181+'9'!H181+'10'!H181</f>
        <v>0</v>
      </c>
      <c r="I181" s="76">
        <f>+'30'!I181+'1'!I181+'2'!I181+'3'!I181+'4'!I181+'5'!I181+'6'!I181+'7'!I181+'8'!I181+'9'!I181+'10'!I181</f>
        <v>0</v>
      </c>
      <c r="J181" s="43">
        <f t="shared" si="22"/>
        <v>0</v>
      </c>
      <c r="K181" s="44">
        <f>+'30'!K181+'1'!K181+'2'!K181+'3'!K181+'4'!K181+'5'!K181+'6'!K181+'7'!K181+'8'!K181+'9'!K181+'10'!K181</f>
        <v>0</v>
      </c>
      <c r="L181" s="20">
        <v>50</v>
      </c>
      <c r="M181" s="44">
        <f>+'30'!M181+'1'!M181+'2'!M181+'3'!M181+'4'!M181+'5'!M181+'6'!M181+'7'!M181+'8'!M181+'9'!M181+'10'!M181</f>
        <v>0</v>
      </c>
      <c r="N181" s="19"/>
      <c r="O181" s="90">
        <v>28.14</v>
      </c>
      <c r="P181" s="79">
        <f t="shared" si="23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46">
        <f>+ยกมา!J182</f>
        <v>0</v>
      </c>
      <c r="F182" s="44">
        <f>+'30'!F182+'1'!F182+'2'!F182+'3'!F182+'4'!F182+'5'!F182+'6'!F182+'7'!F182+'8'!F182+'9'!F182+'10'!F182</f>
        <v>0</v>
      </c>
      <c r="G182" s="43">
        <f t="shared" si="21"/>
        <v>0</v>
      </c>
      <c r="H182" s="78">
        <f>+'30'!H182+'1'!H182+'2'!H182+'3'!H182+'4'!H182+'5'!H182+'6'!H182+'7'!H182+'8'!H182+'9'!H182+'10'!H182</f>
        <v>0</v>
      </c>
      <c r="I182" s="76">
        <f>+'30'!I182+'1'!I182+'2'!I182+'3'!I182+'4'!I182+'5'!I182+'6'!I182+'7'!I182+'8'!I182+'9'!I182+'10'!I182</f>
        <v>0</v>
      </c>
      <c r="J182" s="43">
        <f t="shared" si="22"/>
        <v>0</v>
      </c>
      <c r="K182" s="44">
        <f>+'30'!K182+'1'!K182+'2'!K182+'3'!K182+'4'!K182+'5'!K182+'6'!K182+'7'!K182+'8'!K182+'9'!K182+'10'!K182</f>
        <v>0</v>
      </c>
      <c r="L182" s="20">
        <v>40</v>
      </c>
      <c r="M182" s="44">
        <f>+'30'!M182+'1'!M182+'2'!M182+'3'!M182+'4'!M182+'5'!M182+'6'!M182+'7'!M182+'8'!M182+'9'!M182+'10'!M182</f>
        <v>0</v>
      </c>
      <c r="N182" s="19"/>
      <c r="O182" s="90">
        <v>20</v>
      </c>
      <c r="P182" s="79">
        <f t="shared" si="23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46">
        <f>+ยกมา!J183</f>
        <v>0</v>
      </c>
      <c r="F183" s="44">
        <f>+'30'!F183+'1'!F183+'2'!F183+'3'!F183+'4'!F183+'5'!F183+'6'!F183+'7'!F183+'8'!F183+'9'!F183+'10'!F183</f>
        <v>0</v>
      </c>
      <c r="G183" s="43">
        <f t="shared" si="21"/>
        <v>0</v>
      </c>
      <c r="H183" s="78">
        <f>+'30'!H183+'1'!H183+'2'!H183+'3'!H183+'4'!H183+'5'!H183+'6'!H183+'7'!H183+'8'!H183+'9'!H183+'10'!H183</f>
        <v>0</v>
      </c>
      <c r="I183" s="76">
        <f>+'30'!I183+'1'!I183+'2'!I183+'3'!I183+'4'!I183+'5'!I183+'6'!I183+'7'!I183+'8'!I183+'9'!I183+'10'!I183</f>
        <v>0</v>
      </c>
      <c r="J183" s="43">
        <f t="shared" si="22"/>
        <v>0</v>
      </c>
      <c r="K183" s="44">
        <f>+'30'!K183+'1'!K183+'2'!K183+'3'!K183+'4'!K183+'5'!K183+'6'!K183+'7'!K183+'8'!K183+'9'!K183+'10'!K183</f>
        <v>0</v>
      </c>
      <c r="L183" s="20">
        <v>65</v>
      </c>
      <c r="M183" s="44">
        <f>+'30'!M183+'1'!M183+'2'!M183+'3'!M183+'4'!M183+'5'!M183+'6'!M183+'7'!M183+'8'!M183+'9'!M183+'10'!M183</f>
        <v>0</v>
      </c>
      <c r="N183" s="19"/>
      <c r="O183" s="90">
        <v>44</v>
      </c>
      <c r="P183" s="79">
        <f t="shared" si="23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46">
        <f>+ยกมา!J184</f>
        <v>0</v>
      </c>
      <c r="F184" s="44">
        <f>+'30'!F184+'1'!F184+'2'!F184+'3'!F184+'4'!F184+'5'!F184+'6'!F184+'7'!F184+'8'!F184+'9'!F184+'10'!F184</f>
        <v>0</v>
      </c>
      <c r="G184" s="43">
        <f t="shared" si="21"/>
        <v>0</v>
      </c>
      <c r="H184" s="78">
        <f>+'30'!H184+'1'!H184+'2'!H184+'3'!H184+'4'!H184+'5'!H184+'6'!H184+'7'!H184+'8'!H184+'9'!H184+'10'!H184</f>
        <v>0</v>
      </c>
      <c r="I184" s="76">
        <f>+'30'!I184+'1'!I184+'2'!I184+'3'!I184+'4'!I184+'5'!I184+'6'!I184+'7'!I184+'8'!I184+'9'!I184+'10'!I184</f>
        <v>0</v>
      </c>
      <c r="J184" s="43">
        <f t="shared" si="22"/>
        <v>0</v>
      </c>
      <c r="K184" s="44">
        <f>+'30'!K184+'1'!K184+'2'!K184+'3'!K184+'4'!K184+'5'!K184+'6'!K184+'7'!K184+'8'!K184+'9'!K184+'10'!K184</f>
        <v>0</v>
      </c>
      <c r="L184" s="20">
        <v>50</v>
      </c>
      <c r="M184" s="44">
        <f>+'30'!M184+'1'!M184+'2'!M184+'3'!M184+'4'!M184+'5'!M184+'6'!M184+'7'!M184+'8'!M184+'9'!M184+'10'!M184</f>
        <v>0</v>
      </c>
      <c r="N184" s="19"/>
      <c r="O184" s="90">
        <v>24.99</v>
      </c>
      <c r="P184" s="79">
        <f t="shared" si="23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46">
        <f>+ยกมา!J185</f>
        <v>0</v>
      </c>
      <c r="F185" s="44">
        <f>+'30'!F185+'1'!F185+'2'!F185+'3'!F185+'4'!F185+'5'!F185+'6'!F185+'7'!F185+'8'!F185+'9'!F185+'10'!F185</f>
        <v>0</v>
      </c>
      <c r="G185" s="43">
        <f t="shared" si="21"/>
        <v>0</v>
      </c>
      <c r="H185" s="78">
        <f>+'30'!H185+'1'!H185+'2'!H185+'3'!H185+'4'!H185+'5'!H185+'6'!H185+'7'!H185+'8'!H185+'9'!H185+'10'!H185</f>
        <v>0</v>
      </c>
      <c r="I185" s="76">
        <f>+'30'!I185+'1'!I185+'2'!I185+'3'!I185+'4'!I185+'5'!I185+'6'!I185+'7'!I185+'8'!I185+'9'!I185+'10'!I185</f>
        <v>0</v>
      </c>
      <c r="J185" s="43">
        <f t="shared" si="22"/>
        <v>0</v>
      </c>
      <c r="K185" s="44">
        <f>+'30'!K185+'1'!K185+'2'!K185+'3'!K185+'4'!K185+'5'!K185+'6'!K185+'7'!K185+'8'!K185+'9'!K185+'10'!K185</f>
        <v>0</v>
      </c>
      <c r="L185" s="20">
        <v>80</v>
      </c>
      <c r="M185" s="44">
        <f>+'30'!M185+'1'!M185+'2'!M185+'3'!M185+'4'!M185+'5'!M185+'6'!M185+'7'!M185+'8'!M185+'9'!M185+'10'!M185</f>
        <v>0</v>
      </c>
      <c r="N185" s="19"/>
      <c r="O185" s="90">
        <v>63</v>
      </c>
      <c r="P185" s="79">
        <f t="shared" si="23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/>
      <c r="C186" s="19" t="s">
        <v>1383</v>
      </c>
      <c r="D186" s="10" t="s">
        <v>564</v>
      </c>
      <c r="E186" s="46">
        <f>+ยกมา!J186</f>
        <v>0</v>
      </c>
      <c r="F186" s="44">
        <f>+'30'!F186+'1'!F186+'2'!F186+'3'!F186+'4'!F186+'5'!F186+'6'!F186+'7'!F186+'8'!F186+'9'!F186+'10'!F186</f>
        <v>0</v>
      </c>
      <c r="G186" s="43">
        <f t="shared" si="21"/>
        <v>0</v>
      </c>
      <c r="H186" s="78">
        <f>+'30'!H186+'1'!H186+'2'!H186+'3'!H186+'4'!H186+'5'!H186+'6'!H186+'7'!H186+'8'!H186+'9'!H186+'10'!H186</f>
        <v>0</v>
      </c>
      <c r="I186" s="76">
        <f>+'30'!I186+'1'!I186+'2'!I186+'3'!I186+'4'!I186+'5'!I186+'6'!I186+'7'!I186+'8'!I186+'9'!I186+'10'!I186</f>
        <v>0</v>
      </c>
      <c r="J186" s="43">
        <f t="shared" ref="J186" si="26">E186+F186-H186-K186-I186</f>
        <v>0</v>
      </c>
      <c r="K186" s="44">
        <f>+'30'!K186+'1'!K186+'2'!K186+'3'!K186+'4'!K186+'5'!K186+'6'!K186+'7'!K186+'8'!K186+'9'!K186+'10'!K186</f>
        <v>0</v>
      </c>
      <c r="L186" s="20">
        <v>15</v>
      </c>
      <c r="M186" s="44">
        <f>+'30'!M186+'1'!M186+'2'!M186+'3'!M186+'4'!M186+'5'!M186+'6'!M186+'7'!M186+'8'!M186+'9'!M186+'10'!M186</f>
        <v>0</v>
      </c>
      <c r="N186" s="19"/>
      <c r="O186" s="90">
        <v>3.5</v>
      </c>
      <c r="P186" s="79">
        <f t="shared" ref="P186" si="2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46">
        <f>+ยกมา!J187</f>
        <v>0</v>
      </c>
      <c r="F187" s="44">
        <f>+'30'!F187+'1'!F187+'2'!F187+'3'!F187+'4'!F187+'5'!F187+'6'!F187+'7'!F187+'8'!F187+'9'!F187+'10'!F187</f>
        <v>23</v>
      </c>
      <c r="G187" s="43">
        <f t="shared" si="21"/>
        <v>23</v>
      </c>
      <c r="H187" s="78">
        <f>+'30'!H187+'1'!H187+'2'!H187+'3'!H187+'4'!H187+'5'!H187+'6'!H187+'7'!H187+'8'!H187+'9'!H187+'10'!H187</f>
        <v>0</v>
      </c>
      <c r="I187" s="76">
        <f>+'30'!I187+'1'!I187+'2'!I187+'3'!I187+'4'!I187+'5'!I187+'6'!I187+'7'!I187+'8'!I187+'9'!I187+'10'!I187</f>
        <v>0</v>
      </c>
      <c r="J187" s="43">
        <f t="shared" ref="J187:J189" si="28">E187+F187-H187-K187-I187</f>
        <v>11</v>
      </c>
      <c r="K187" s="44">
        <f>+'30'!K187+'1'!K187+'2'!K187+'3'!K187+'4'!K187+'5'!K187+'6'!K187+'7'!K187+'8'!K187+'9'!K187+'10'!K187</f>
        <v>12</v>
      </c>
      <c r="L187" s="20">
        <v>15</v>
      </c>
      <c r="M187" s="44">
        <f>+'30'!M187+'1'!M187+'2'!M187+'3'!M187+'4'!M187+'5'!M187+'6'!M187+'7'!M187+'8'!M187+'9'!M187+'10'!M187</f>
        <v>180</v>
      </c>
      <c r="N187" s="19"/>
      <c r="O187" s="90">
        <v>3.5</v>
      </c>
      <c r="P187" s="79">
        <f>+K187*O187</f>
        <v>42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46">
        <f>+ยกมา!J188</f>
        <v>0</v>
      </c>
      <c r="F188" s="44">
        <f>+'30'!F188+'1'!F188+'2'!F188+'3'!F188+'4'!F188+'5'!F188+'6'!F188+'7'!F188+'8'!F188+'9'!F188+'10'!F188</f>
        <v>20</v>
      </c>
      <c r="G188" s="43">
        <f t="shared" si="21"/>
        <v>20</v>
      </c>
      <c r="H188" s="78">
        <f>+'30'!H188+'1'!H188+'2'!H188+'3'!H188+'4'!H188+'5'!H188+'6'!H188+'7'!H188+'8'!H188+'9'!H188+'10'!H188</f>
        <v>0</v>
      </c>
      <c r="I188" s="76">
        <f>+'30'!I188+'1'!I188+'2'!I188+'3'!I188+'4'!I188+'5'!I188+'6'!I188+'7'!I188+'8'!I188+'9'!I188+'10'!I188</f>
        <v>0</v>
      </c>
      <c r="J188" s="43">
        <f t="shared" si="28"/>
        <v>11</v>
      </c>
      <c r="K188" s="44">
        <f>+'30'!K188+'1'!K188+'2'!K188+'3'!K188+'4'!K188+'5'!K188+'6'!K188+'7'!K188+'8'!K188+'9'!K188+'10'!K188</f>
        <v>9</v>
      </c>
      <c r="L188" s="20">
        <v>15</v>
      </c>
      <c r="M188" s="44">
        <f>+'30'!M188+'1'!M188+'2'!M188+'3'!M188+'4'!M188+'5'!M188+'6'!M188+'7'!M188+'8'!M188+'9'!M188+'10'!M188</f>
        <v>135</v>
      </c>
      <c r="N188" s="19"/>
      <c r="O188" s="90">
        <v>3.5</v>
      </c>
      <c r="P188" s="79">
        <f>+K188*O188</f>
        <v>31.5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46">
        <f>+ยกมา!J189</f>
        <v>0</v>
      </c>
      <c r="F189" s="44">
        <f>+'30'!F189+'1'!F189+'2'!F189+'3'!F189+'4'!F189+'5'!F189+'6'!F189+'7'!F189+'8'!F189+'9'!F189+'10'!F189</f>
        <v>19</v>
      </c>
      <c r="G189" s="43">
        <f t="shared" si="21"/>
        <v>19</v>
      </c>
      <c r="H189" s="78">
        <f>+'30'!H189+'1'!H189+'2'!H189+'3'!H189+'4'!H189+'5'!H189+'6'!H189+'7'!H189+'8'!H189+'9'!H189+'10'!H189</f>
        <v>0</v>
      </c>
      <c r="I189" s="76">
        <f>+'30'!I189+'1'!I189+'2'!I189+'3'!I189+'4'!I189+'5'!I189+'6'!I189+'7'!I189+'8'!I189+'9'!I189+'10'!I189</f>
        <v>0</v>
      </c>
      <c r="J189" s="43">
        <f t="shared" si="28"/>
        <v>7</v>
      </c>
      <c r="K189" s="44">
        <f>+'30'!K189+'1'!K189+'2'!K189+'3'!K189+'4'!K189+'5'!K189+'6'!K189+'7'!K189+'8'!K189+'9'!K189+'10'!K189</f>
        <v>12</v>
      </c>
      <c r="L189" s="20">
        <v>15</v>
      </c>
      <c r="M189" s="44">
        <f>+'30'!M189+'1'!M189+'2'!M189+'3'!M189+'4'!M189+'5'!M189+'6'!M189+'7'!M189+'8'!M189+'9'!M189+'10'!M189</f>
        <v>180</v>
      </c>
      <c r="N189" s="19"/>
      <c r="O189" s="90">
        <v>3.5</v>
      </c>
      <c r="P189" s="79">
        <f>+K189*O189</f>
        <v>42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46">
        <f>+ยกมา!J190</f>
        <v>0</v>
      </c>
      <c r="F190" s="44">
        <f>+'30'!F190+'1'!F190+'2'!F190+'3'!F190+'4'!F190+'5'!F190+'6'!F190+'7'!F190+'8'!F190+'9'!F190+'10'!F190</f>
        <v>0</v>
      </c>
      <c r="G190" s="43">
        <f t="shared" si="21"/>
        <v>0</v>
      </c>
      <c r="H190" s="78">
        <f>+'30'!H190+'1'!H190+'2'!H190+'3'!H190+'4'!H190+'5'!H190+'6'!H190+'7'!H190+'8'!H190+'9'!H190+'10'!H190</f>
        <v>0</v>
      </c>
      <c r="I190" s="76">
        <f>+'30'!I190+'1'!I190+'2'!I190+'3'!I190+'4'!I190+'5'!I190+'6'!I190+'7'!I190+'8'!I190+'9'!I190+'10'!I190</f>
        <v>0</v>
      </c>
      <c r="J190" s="43">
        <f t="shared" ref="J190" si="29">E190+F190-H190-K190-I190</f>
        <v>0</v>
      </c>
      <c r="K190" s="44">
        <f>+'30'!K190+'1'!K190+'2'!K190+'3'!K190+'4'!K190+'5'!K190+'6'!K190+'7'!K190+'8'!K190+'9'!K190+'10'!K190</f>
        <v>0</v>
      </c>
      <c r="L190" s="20">
        <v>80</v>
      </c>
      <c r="M190" s="44">
        <f>+'30'!M190+'1'!M190+'2'!M190+'3'!M190+'4'!M190+'5'!M190+'6'!M190+'7'!M190+'8'!M190+'9'!M190+'10'!M190</f>
        <v>0</v>
      </c>
      <c r="N190" s="19"/>
      <c r="O190" s="92">
        <v>0</v>
      </c>
      <c r="P190" s="79">
        <f t="shared" ref="P190" si="30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46">
        <f>+ยกมา!J191</f>
        <v>0</v>
      </c>
      <c r="F191" s="44">
        <f>+'30'!F191+'1'!F191+'2'!F191+'3'!F191+'4'!F191+'5'!F191+'6'!F191+'7'!F191+'8'!F191+'9'!F191+'10'!F191</f>
        <v>0</v>
      </c>
      <c r="G191" s="43">
        <f t="shared" si="21"/>
        <v>0</v>
      </c>
      <c r="H191" s="78">
        <f>+'30'!H191+'1'!H191+'2'!H191+'3'!H191+'4'!H191+'5'!H191+'6'!H191+'7'!H191+'8'!H191+'9'!H191+'10'!H191</f>
        <v>0</v>
      </c>
      <c r="I191" s="76">
        <f>+'30'!I191+'1'!I191+'2'!I191+'3'!I191+'4'!I191+'5'!I191+'6'!I191+'7'!I191+'8'!I191+'9'!I191+'10'!I191</f>
        <v>0</v>
      </c>
      <c r="J191" s="43">
        <f t="shared" si="22"/>
        <v>0</v>
      </c>
      <c r="K191" s="44">
        <f>+'30'!K191+'1'!K191+'2'!K191+'3'!K191+'4'!K191+'5'!K191+'6'!K191+'7'!K191+'8'!K191+'9'!K191+'10'!K191</f>
        <v>0</v>
      </c>
      <c r="L191" s="20">
        <v>35</v>
      </c>
      <c r="M191" s="44">
        <f>+'30'!M191+'1'!M191+'2'!M191+'3'!M191+'4'!M191+'5'!M191+'6'!M191+'7'!M191+'8'!M191+'9'!M191+'10'!M191</f>
        <v>0</v>
      </c>
      <c r="N191" s="19"/>
      <c r="O191" s="90">
        <v>40.28</v>
      </c>
      <c r="P191" s="79">
        <f t="shared" si="23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46">
        <f>+ยกมา!J192</f>
        <v>0</v>
      </c>
      <c r="F192" s="44">
        <f>+'30'!F192+'1'!F192+'2'!F192+'3'!F192+'4'!F192+'5'!F192+'6'!F192+'7'!F192+'8'!F192+'9'!F192+'10'!F192</f>
        <v>0</v>
      </c>
      <c r="G192" s="43">
        <f t="shared" si="21"/>
        <v>0</v>
      </c>
      <c r="H192" s="78">
        <f>+'30'!H192+'1'!H192+'2'!H192+'3'!H192+'4'!H192+'5'!H192+'6'!H192+'7'!H192+'8'!H192+'9'!H192+'10'!H192</f>
        <v>0</v>
      </c>
      <c r="I192" s="76">
        <f>+'30'!I192+'1'!I192+'2'!I192+'3'!I192+'4'!I192+'5'!I192+'6'!I192+'7'!I192+'8'!I192+'9'!I192+'10'!I192</f>
        <v>0</v>
      </c>
      <c r="J192" s="43">
        <f t="shared" si="22"/>
        <v>0</v>
      </c>
      <c r="K192" s="44">
        <f>+'30'!K192+'1'!K192+'2'!K192+'3'!K192+'4'!K192+'5'!K192+'6'!K192+'7'!K192+'8'!K192+'9'!K192+'10'!K192</f>
        <v>0</v>
      </c>
      <c r="L192" s="20">
        <v>35</v>
      </c>
      <c r="M192" s="44">
        <f>+'30'!M192+'1'!M192+'2'!M192+'3'!M192+'4'!M192+'5'!M192+'6'!M192+'7'!M192+'8'!M192+'9'!M192+'10'!M192</f>
        <v>0</v>
      </c>
      <c r="N192" s="19"/>
      <c r="O192" s="92">
        <v>0</v>
      </c>
      <c r="P192" s="79">
        <f t="shared" si="23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46">
        <f>+ยกมา!J193</f>
        <v>0</v>
      </c>
      <c r="F193" s="44">
        <f>+'30'!F193+'1'!F193+'2'!F193+'3'!F193+'4'!F193+'5'!F193+'6'!F193+'7'!F193+'8'!F193+'9'!F193+'10'!F193</f>
        <v>0</v>
      </c>
      <c r="G193" s="43">
        <f t="shared" si="21"/>
        <v>0</v>
      </c>
      <c r="H193" s="78">
        <f>+'30'!H193+'1'!H193+'2'!H193+'3'!H193+'4'!H193+'5'!H193+'6'!H193+'7'!H193+'8'!H193+'9'!H193+'10'!H193</f>
        <v>0</v>
      </c>
      <c r="I193" s="76">
        <f>+'30'!I193+'1'!I193+'2'!I193+'3'!I193+'4'!I193+'5'!I193+'6'!I193+'7'!I193+'8'!I193+'9'!I193+'10'!I193</f>
        <v>0</v>
      </c>
      <c r="J193" s="43">
        <f t="shared" si="22"/>
        <v>0</v>
      </c>
      <c r="K193" s="44">
        <f>+'30'!K193+'1'!K193+'2'!K193+'3'!K193+'4'!K193+'5'!K193+'6'!K193+'7'!K193+'8'!K193+'9'!K193+'10'!K193</f>
        <v>0</v>
      </c>
      <c r="L193" s="20">
        <v>60</v>
      </c>
      <c r="M193" s="44">
        <f>+'30'!M193+'1'!M193+'2'!M193+'3'!M193+'4'!M193+'5'!M193+'6'!M193+'7'!M193+'8'!M193+'9'!M193+'10'!M193</f>
        <v>0</v>
      </c>
      <c r="N193" s="19"/>
      <c r="O193" s="90">
        <v>38</v>
      </c>
      <c r="P193" s="79">
        <f t="shared" si="23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46">
        <f>+ยกมา!J194</f>
        <v>0</v>
      </c>
      <c r="F194" s="44">
        <f>+'30'!F194+'1'!F194+'2'!F194+'3'!F194+'4'!F194+'5'!F194+'6'!F194+'7'!F194+'8'!F194+'9'!F194+'10'!F194</f>
        <v>0</v>
      </c>
      <c r="G194" s="43">
        <f t="shared" si="21"/>
        <v>0</v>
      </c>
      <c r="H194" s="78">
        <f>+'30'!H194+'1'!H194+'2'!H194+'3'!H194+'4'!H194+'5'!H194+'6'!H194+'7'!H194+'8'!H194+'9'!H194+'10'!H194</f>
        <v>0</v>
      </c>
      <c r="I194" s="76">
        <f>+'30'!I194+'1'!I194+'2'!I194+'3'!I194+'4'!I194+'5'!I194+'6'!I194+'7'!I194+'8'!I194+'9'!I194+'10'!I194</f>
        <v>0</v>
      </c>
      <c r="J194" s="43">
        <f t="shared" si="22"/>
        <v>0</v>
      </c>
      <c r="K194" s="44">
        <f>+'30'!K194+'1'!K194+'2'!K194+'3'!K194+'4'!K194+'5'!K194+'6'!K194+'7'!K194+'8'!K194+'9'!K194+'10'!K194</f>
        <v>0</v>
      </c>
      <c r="L194" s="20">
        <v>120</v>
      </c>
      <c r="M194" s="44">
        <f>+'30'!M194+'1'!M194+'2'!M194+'3'!M194+'4'!M194+'5'!M194+'6'!M194+'7'!M194+'8'!M194+'9'!M194+'10'!M194</f>
        <v>0</v>
      </c>
      <c r="N194" s="19"/>
      <c r="O194" s="90">
        <v>73</v>
      </c>
      <c r="P194" s="79">
        <f t="shared" si="23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46">
        <f>+ยกมา!J195</f>
        <v>0</v>
      </c>
      <c r="F195" s="44">
        <f>+'30'!F195+'1'!F195+'2'!F195+'3'!F195+'4'!F195+'5'!F195+'6'!F195+'7'!F195+'8'!F195+'9'!F195+'10'!F195</f>
        <v>0</v>
      </c>
      <c r="G195" s="43">
        <f t="shared" si="21"/>
        <v>0</v>
      </c>
      <c r="H195" s="78">
        <f>+'30'!H195+'1'!H195+'2'!H195+'3'!H195+'4'!H195+'5'!H195+'6'!H195+'7'!H195+'8'!H195+'9'!H195+'10'!H195</f>
        <v>0</v>
      </c>
      <c r="I195" s="76">
        <f>+'30'!I195+'1'!I195+'2'!I195+'3'!I195+'4'!I195+'5'!I195+'6'!I195+'7'!I195+'8'!I195+'9'!I195+'10'!I195</f>
        <v>0</v>
      </c>
      <c r="J195" s="43">
        <f t="shared" si="22"/>
        <v>0</v>
      </c>
      <c r="K195" s="44">
        <f>+'30'!K195+'1'!K195+'2'!K195+'3'!K195+'4'!K195+'5'!K195+'6'!K195+'7'!K195+'8'!K195+'9'!K195+'10'!K195</f>
        <v>0</v>
      </c>
      <c r="L195" s="20">
        <v>60</v>
      </c>
      <c r="M195" s="44">
        <f>+'30'!M195+'1'!M195+'2'!M195+'3'!M195+'4'!M195+'5'!M195+'6'!M195+'7'!M195+'8'!M195+'9'!M195+'10'!M195</f>
        <v>0</v>
      </c>
      <c r="N195" s="19"/>
      <c r="O195" s="90">
        <v>38</v>
      </c>
      <c r="P195" s="79">
        <f t="shared" si="23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46">
        <f>+ยกมา!J196</f>
        <v>0</v>
      </c>
      <c r="F196" s="44">
        <f>+'30'!F196+'1'!F196+'2'!F196+'3'!F196+'4'!F196+'5'!F196+'6'!F196+'7'!F196+'8'!F196+'9'!F196+'10'!F196</f>
        <v>0</v>
      </c>
      <c r="G196" s="43">
        <f t="shared" si="21"/>
        <v>0</v>
      </c>
      <c r="H196" s="78">
        <f>+'30'!H196+'1'!H196+'2'!H196+'3'!H196+'4'!H196+'5'!H196+'6'!H196+'7'!H196+'8'!H196+'9'!H196+'10'!H196</f>
        <v>0</v>
      </c>
      <c r="I196" s="76">
        <f>+'30'!I196+'1'!I196+'2'!I196+'3'!I196+'4'!I196+'5'!I196+'6'!I196+'7'!I196+'8'!I196+'9'!I196+'10'!I196</f>
        <v>0</v>
      </c>
      <c r="J196" s="43">
        <f t="shared" si="22"/>
        <v>0</v>
      </c>
      <c r="K196" s="44">
        <f>+'30'!K196+'1'!K196+'2'!K196+'3'!K196+'4'!K196+'5'!K196+'6'!K196+'7'!K196+'8'!K196+'9'!K196+'10'!K196</f>
        <v>0</v>
      </c>
      <c r="L196" s="20">
        <v>120</v>
      </c>
      <c r="M196" s="44">
        <f>+'30'!M196+'1'!M196+'2'!M196+'3'!M196+'4'!M196+'5'!M196+'6'!M196+'7'!M196+'8'!M196+'9'!M196+'10'!M196</f>
        <v>0</v>
      </c>
      <c r="N196" s="19"/>
      <c r="O196" s="90">
        <v>73</v>
      </c>
      <c r="P196" s="79">
        <f t="shared" si="23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46">
        <f>+ยกมา!J197</f>
        <v>0</v>
      </c>
      <c r="F197" s="44">
        <f>+'30'!F197+'1'!F197+'2'!F197+'3'!F197+'4'!F197+'5'!F197+'6'!F197+'7'!F197+'8'!F197+'9'!F197+'10'!F197</f>
        <v>0</v>
      </c>
      <c r="G197" s="43">
        <f t="shared" si="21"/>
        <v>0</v>
      </c>
      <c r="H197" s="78">
        <f>+'30'!H197+'1'!H197+'2'!H197+'3'!H197+'4'!H197+'5'!H197+'6'!H197+'7'!H197+'8'!H197+'9'!H197+'10'!H197</f>
        <v>0</v>
      </c>
      <c r="I197" s="76">
        <f>+'30'!I197+'1'!I197+'2'!I197+'3'!I197+'4'!I197+'5'!I197+'6'!I197+'7'!I197+'8'!I197+'9'!I197+'10'!I197</f>
        <v>0</v>
      </c>
      <c r="J197" s="43">
        <f t="shared" si="22"/>
        <v>0</v>
      </c>
      <c r="K197" s="44">
        <f>+'30'!K197+'1'!K197+'2'!K197+'3'!K197+'4'!K197+'5'!K197+'6'!K197+'7'!K197+'8'!K197+'9'!K197+'10'!K197</f>
        <v>0</v>
      </c>
      <c r="L197" s="20">
        <v>50</v>
      </c>
      <c r="M197" s="44">
        <f>+'30'!M197+'1'!M197+'2'!M197+'3'!M197+'4'!M197+'5'!M197+'6'!M197+'7'!M197+'8'!M197+'9'!M197+'10'!M197</f>
        <v>0</v>
      </c>
      <c r="N197" s="19"/>
      <c r="O197" s="90">
        <v>23.74</v>
      </c>
      <c r="P197" s="79">
        <f t="shared" si="23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46">
        <f>+ยกมา!J198</f>
        <v>0</v>
      </c>
      <c r="F198" s="44">
        <f>+'30'!F198+'1'!F198+'2'!F198+'3'!F198+'4'!F198+'5'!F198+'6'!F198+'7'!F198+'8'!F198+'9'!F198+'10'!F198</f>
        <v>245</v>
      </c>
      <c r="G198" s="43">
        <f t="shared" ref="G198:G259" si="31">+E198+F198</f>
        <v>245</v>
      </c>
      <c r="H198" s="78">
        <f>+'30'!H198+'1'!H198+'2'!H198+'3'!H198+'4'!H198+'5'!H198+'6'!H198+'7'!H198+'8'!H198+'9'!H198+'10'!H198</f>
        <v>0</v>
      </c>
      <c r="I198" s="76">
        <f>+'30'!I198+'1'!I198+'2'!I198+'3'!I198+'4'!I198+'5'!I198+'6'!I198+'7'!I198+'8'!I198+'9'!I198+'10'!I198</f>
        <v>7</v>
      </c>
      <c r="J198" s="43">
        <f t="shared" si="22"/>
        <v>0</v>
      </c>
      <c r="K198" s="44">
        <f>+'30'!K198+'1'!K198+'2'!K198+'3'!K198+'4'!K198+'5'!K198+'6'!K198+'7'!K198+'8'!K198+'9'!K198+'10'!K198</f>
        <v>238</v>
      </c>
      <c r="L198" s="20">
        <v>150</v>
      </c>
      <c r="M198" s="44">
        <f>+'30'!M198+'1'!M198+'2'!M198+'3'!M198+'4'!M198+'5'!M198+'6'!M198+'7'!M198+'8'!M198+'9'!M198+'10'!M198</f>
        <v>35700</v>
      </c>
      <c r="N198" s="19"/>
      <c r="O198" s="90">
        <v>64.38</v>
      </c>
      <c r="P198" s="79">
        <f t="shared" si="23"/>
        <v>15322.439999999999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46">
        <f>+ยกมา!J199</f>
        <v>0</v>
      </c>
      <c r="F199" s="44">
        <f>+'30'!F199+'1'!F199+'2'!F199+'3'!F199+'4'!F199+'5'!F199+'6'!F199+'7'!F199+'8'!F199+'9'!F199+'10'!F199</f>
        <v>0</v>
      </c>
      <c r="G199" s="43">
        <f t="shared" si="31"/>
        <v>0</v>
      </c>
      <c r="H199" s="78">
        <f>+'30'!H199+'1'!H199+'2'!H199+'3'!H199+'4'!H199+'5'!H199+'6'!H199+'7'!H199+'8'!H199+'9'!H199+'10'!H199</f>
        <v>0</v>
      </c>
      <c r="I199" s="76">
        <f>+'30'!I199+'1'!I199+'2'!I199+'3'!I199+'4'!I199+'5'!I199+'6'!I199+'7'!I199+'8'!I199+'9'!I199+'10'!I199</f>
        <v>0</v>
      </c>
      <c r="J199" s="43">
        <f t="shared" si="22"/>
        <v>0</v>
      </c>
      <c r="K199" s="44">
        <f>+'30'!K199+'1'!K199+'2'!K199+'3'!K199+'4'!K199+'5'!K199+'6'!K199+'7'!K199+'8'!K199+'9'!K199+'10'!K199</f>
        <v>0</v>
      </c>
      <c r="L199" s="20">
        <v>135</v>
      </c>
      <c r="M199" s="44">
        <f>+'30'!M199+'1'!M199+'2'!M199+'3'!M199+'4'!M199+'5'!M199+'6'!M199+'7'!M199+'8'!M199+'9'!M199+'10'!M199</f>
        <v>0</v>
      </c>
      <c r="N199" s="19"/>
      <c r="O199" s="90">
        <v>105</v>
      </c>
      <c r="P199" s="79">
        <f t="shared" si="23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46">
        <f>+ยกมา!J200</f>
        <v>0</v>
      </c>
      <c r="F200" s="44">
        <f>+'30'!F200+'1'!F200+'2'!F200+'3'!F200+'4'!F200+'5'!F200+'6'!F200+'7'!F200+'8'!F200+'9'!F200+'10'!F200</f>
        <v>0</v>
      </c>
      <c r="G200" s="43">
        <f t="shared" si="31"/>
        <v>0</v>
      </c>
      <c r="H200" s="78">
        <f>+'30'!H200+'1'!H200+'2'!H200+'3'!H200+'4'!H200+'5'!H200+'6'!H200+'7'!H200+'8'!H200+'9'!H200+'10'!H200</f>
        <v>0</v>
      </c>
      <c r="I200" s="76">
        <f>+'30'!I200+'1'!I200+'2'!I200+'3'!I200+'4'!I200+'5'!I200+'6'!I200+'7'!I200+'8'!I200+'9'!I200+'10'!I200</f>
        <v>0</v>
      </c>
      <c r="J200" s="43">
        <f t="shared" si="22"/>
        <v>0</v>
      </c>
      <c r="K200" s="44">
        <f>+'30'!K200+'1'!K200+'2'!K200+'3'!K200+'4'!K200+'5'!K200+'6'!K200+'7'!K200+'8'!K200+'9'!K200+'10'!K200</f>
        <v>0</v>
      </c>
      <c r="L200" s="20">
        <v>100</v>
      </c>
      <c r="M200" s="44">
        <f>+'30'!M200+'1'!M200+'2'!M200+'3'!M200+'4'!M200+'5'!M200+'6'!M200+'7'!M200+'8'!M200+'9'!M200+'10'!M200</f>
        <v>0</v>
      </c>
      <c r="N200" s="19"/>
      <c r="O200" s="90">
        <v>73</v>
      </c>
      <c r="P200" s="79">
        <f t="shared" si="23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46">
        <f>+ยกมา!J201</f>
        <v>0</v>
      </c>
      <c r="F201" s="44">
        <f>+'30'!F201+'1'!F201+'2'!F201+'3'!F201+'4'!F201+'5'!F201+'6'!F201+'7'!F201+'8'!F201+'9'!F201+'10'!F201</f>
        <v>0</v>
      </c>
      <c r="G201" s="43">
        <f t="shared" si="31"/>
        <v>0</v>
      </c>
      <c r="H201" s="78">
        <f>+'30'!H201+'1'!H201+'2'!H201+'3'!H201+'4'!H201+'5'!H201+'6'!H201+'7'!H201+'8'!H201+'9'!H201+'10'!H201</f>
        <v>0</v>
      </c>
      <c r="I201" s="76">
        <f>+'30'!I201+'1'!I201+'2'!I201+'3'!I201+'4'!I201+'5'!I201+'6'!I201+'7'!I201+'8'!I201+'9'!I201+'10'!I201</f>
        <v>0</v>
      </c>
      <c r="J201" s="43">
        <f t="shared" si="22"/>
        <v>0</v>
      </c>
      <c r="K201" s="44">
        <f>+'30'!K201+'1'!K201+'2'!K201+'3'!K201+'4'!K201+'5'!K201+'6'!K201+'7'!K201+'8'!K201+'9'!K201+'10'!K201</f>
        <v>0</v>
      </c>
      <c r="L201" s="20">
        <v>90</v>
      </c>
      <c r="M201" s="44">
        <f>+'30'!M201+'1'!M201+'2'!M201+'3'!M201+'4'!M201+'5'!M201+'6'!M201+'7'!M201+'8'!M201+'9'!M201+'10'!M201</f>
        <v>0</v>
      </c>
      <c r="N201" s="19"/>
      <c r="O201" s="90">
        <v>60</v>
      </c>
      <c r="P201" s="79">
        <f t="shared" si="23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46">
        <f>+ยกมา!J202</f>
        <v>0</v>
      </c>
      <c r="F202" s="44">
        <f>+'30'!F202+'1'!F202+'2'!F202+'3'!F202+'4'!F202+'5'!F202+'6'!F202+'7'!F202+'8'!F202+'9'!F202+'10'!F202</f>
        <v>0</v>
      </c>
      <c r="G202" s="43">
        <f t="shared" si="31"/>
        <v>0</v>
      </c>
      <c r="H202" s="78">
        <f>+'30'!H202+'1'!H202+'2'!H202+'3'!H202+'4'!H202+'5'!H202+'6'!H202+'7'!H202+'8'!H202+'9'!H202+'10'!H202</f>
        <v>0</v>
      </c>
      <c r="I202" s="76">
        <f>+'30'!I202+'1'!I202+'2'!I202+'3'!I202+'4'!I202+'5'!I202+'6'!I202+'7'!I202+'8'!I202+'9'!I202+'10'!I202</f>
        <v>0</v>
      </c>
      <c r="J202" s="43">
        <f t="shared" si="22"/>
        <v>0</v>
      </c>
      <c r="K202" s="44">
        <f>+'30'!K202+'1'!K202+'2'!K202+'3'!K202+'4'!K202+'5'!K202+'6'!K202+'7'!K202+'8'!K202+'9'!K202+'10'!K202</f>
        <v>0</v>
      </c>
      <c r="L202" s="20">
        <v>90</v>
      </c>
      <c r="M202" s="44">
        <f>+'30'!M202+'1'!M202+'2'!M202+'3'!M202+'4'!M202+'5'!M202+'6'!M202+'7'!M202+'8'!M202+'9'!M202+'10'!M202</f>
        <v>0</v>
      </c>
      <c r="N202" s="19"/>
      <c r="O202" s="90">
        <v>60</v>
      </c>
      <c r="P202" s="79">
        <f t="shared" si="23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46">
        <f>+ยกมา!J203</f>
        <v>0</v>
      </c>
      <c r="F203" s="44">
        <f>+'30'!F203+'1'!F203+'2'!F203+'3'!F203+'4'!F203+'5'!F203+'6'!F203+'7'!F203+'8'!F203+'9'!F203+'10'!F203</f>
        <v>0</v>
      </c>
      <c r="G203" s="43">
        <f t="shared" si="31"/>
        <v>0</v>
      </c>
      <c r="H203" s="78">
        <f>+'30'!H203+'1'!H203+'2'!H203+'3'!H203+'4'!H203+'5'!H203+'6'!H203+'7'!H203+'8'!H203+'9'!H203+'10'!H203</f>
        <v>0</v>
      </c>
      <c r="I203" s="76">
        <f>+'30'!I203+'1'!I203+'2'!I203+'3'!I203+'4'!I203+'5'!I203+'6'!I203+'7'!I203+'8'!I203+'9'!I203+'10'!I203</f>
        <v>0</v>
      </c>
      <c r="J203" s="43">
        <f t="shared" si="22"/>
        <v>0</v>
      </c>
      <c r="K203" s="44">
        <f>+'30'!K203+'1'!K203+'2'!K203+'3'!K203+'4'!K203+'5'!K203+'6'!K203+'7'!K203+'8'!K203+'9'!K203+'10'!K203</f>
        <v>0</v>
      </c>
      <c r="L203" s="20">
        <v>90</v>
      </c>
      <c r="M203" s="44">
        <f>+'30'!M203+'1'!M203+'2'!M203+'3'!M203+'4'!M203+'5'!M203+'6'!M203+'7'!M203+'8'!M203+'9'!M203+'10'!M203</f>
        <v>0</v>
      </c>
      <c r="N203" s="19"/>
      <c r="O203" s="90">
        <v>60</v>
      </c>
      <c r="P203" s="79">
        <f t="shared" si="23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46">
        <f>+ยกมา!J204</f>
        <v>0</v>
      </c>
      <c r="F204" s="44">
        <f>+'30'!F204+'1'!F204+'2'!F204+'3'!F204+'4'!F204+'5'!F204+'6'!F204+'7'!F204+'8'!F204+'9'!F204+'10'!F204</f>
        <v>0</v>
      </c>
      <c r="G204" s="43">
        <f t="shared" si="31"/>
        <v>0</v>
      </c>
      <c r="H204" s="78">
        <f>+'30'!H204+'1'!H204+'2'!H204+'3'!H204+'4'!H204+'5'!H204+'6'!H204+'7'!H204+'8'!H204+'9'!H204+'10'!H204</f>
        <v>0</v>
      </c>
      <c r="I204" s="76">
        <f>+'30'!I204+'1'!I204+'2'!I204+'3'!I204+'4'!I204+'5'!I204+'6'!I204+'7'!I204+'8'!I204+'9'!I204+'10'!I204</f>
        <v>0</v>
      </c>
      <c r="J204" s="43">
        <f t="shared" si="22"/>
        <v>0</v>
      </c>
      <c r="K204" s="44">
        <f>+'30'!K204+'1'!K204+'2'!K204+'3'!K204+'4'!K204+'5'!K204+'6'!K204+'7'!K204+'8'!K204+'9'!K204+'10'!K204</f>
        <v>0</v>
      </c>
      <c r="L204" s="20">
        <v>90</v>
      </c>
      <c r="M204" s="44">
        <f>+'30'!M204+'1'!M204+'2'!M204+'3'!M204+'4'!M204+'5'!M204+'6'!M204+'7'!M204+'8'!M204+'9'!M204+'10'!M204</f>
        <v>0</v>
      </c>
      <c r="N204" s="19"/>
      <c r="O204" s="90">
        <v>60</v>
      </c>
      <c r="P204" s="79">
        <f t="shared" si="23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46">
        <f>+ยกมา!J205</f>
        <v>0</v>
      </c>
      <c r="F205" s="44">
        <f>+'30'!F205+'1'!F205+'2'!F205+'3'!F205+'4'!F205+'5'!F205+'6'!F205+'7'!F205+'8'!F205+'9'!F205+'10'!F205</f>
        <v>0</v>
      </c>
      <c r="G205" s="43">
        <f t="shared" si="31"/>
        <v>0</v>
      </c>
      <c r="H205" s="78">
        <f>+'30'!H205+'1'!H205+'2'!H205+'3'!H205+'4'!H205+'5'!H205+'6'!H205+'7'!H205+'8'!H205+'9'!H205+'10'!H205</f>
        <v>0</v>
      </c>
      <c r="I205" s="76">
        <f>+'30'!I205+'1'!I205+'2'!I205+'3'!I205+'4'!I205+'5'!I205+'6'!I205+'7'!I205+'8'!I205+'9'!I205+'10'!I205</f>
        <v>0</v>
      </c>
      <c r="J205" s="43">
        <f t="shared" si="22"/>
        <v>0</v>
      </c>
      <c r="K205" s="44">
        <f>+'30'!K205+'1'!K205+'2'!K205+'3'!K205+'4'!K205+'5'!K205+'6'!K205+'7'!K205+'8'!K205+'9'!K205+'10'!K205</f>
        <v>0</v>
      </c>
      <c r="L205" s="20">
        <v>55</v>
      </c>
      <c r="M205" s="44">
        <f>+'30'!M205+'1'!M205+'2'!M205+'3'!M205+'4'!M205+'5'!M205+'6'!M205+'7'!M205+'8'!M205+'9'!M205+'10'!M205</f>
        <v>0</v>
      </c>
      <c r="N205" s="19"/>
      <c r="O205" s="90">
        <v>40</v>
      </c>
      <c r="P205" s="79">
        <f t="shared" si="23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46">
        <f>+ยกมา!J206</f>
        <v>0</v>
      </c>
      <c r="F206" s="44">
        <f>+'30'!F206+'1'!F206+'2'!F206+'3'!F206+'4'!F206+'5'!F206+'6'!F206+'7'!F206+'8'!F206+'9'!F206+'10'!F206</f>
        <v>0</v>
      </c>
      <c r="G206" s="43">
        <f t="shared" si="31"/>
        <v>0</v>
      </c>
      <c r="H206" s="78">
        <f>+'30'!H206+'1'!H206+'2'!H206+'3'!H206+'4'!H206+'5'!H206+'6'!H206+'7'!H206+'8'!H206+'9'!H206+'10'!H206</f>
        <v>0</v>
      </c>
      <c r="I206" s="76">
        <f>+'30'!I206+'1'!I206+'2'!I206+'3'!I206+'4'!I206+'5'!I206+'6'!I206+'7'!I206+'8'!I206+'9'!I206+'10'!I206</f>
        <v>0</v>
      </c>
      <c r="J206" s="43">
        <f t="shared" si="22"/>
        <v>0</v>
      </c>
      <c r="K206" s="44">
        <f>+'30'!K206+'1'!K206+'2'!K206+'3'!K206+'4'!K206+'5'!K206+'6'!K206+'7'!K206+'8'!K206+'9'!K206+'10'!K206</f>
        <v>0</v>
      </c>
      <c r="L206" s="20">
        <v>85</v>
      </c>
      <c r="M206" s="44">
        <f>+'30'!M206+'1'!M206+'2'!M206+'3'!M206+'4'!M206+'5'!M206+'6'!M206+'7'!M206+'8'!M206+'9'!M206+'10'!M206</f>
        <v>0</v>
      </c>
      <c r="N206" s="19"/>
      <c r="O206" s="90">
        <v>60</v>
      </c>
      <c r="P206" s="79">
        <f t="shared" si="23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46">
        <v>0</v>
      </c>
      <c r="F207" s="44">
        <f>+'30'!F207+'1'!F207+'2'!F207+'3'!F207+'4'!F207+'5'!F207+'6'!F207+'7'!F207+'8'!F207+'9'!F207+'10'!F207</f>
        <v>100</v>
      </c>
      <c r="G207" s="43">
        <f t="shared" si="31"/>
        <v>100</v>
      </c>
      <c r="H207" s="78">
        <f>+'30'!H207+'1'!H207+'2'!H207+'3'!H207+'4'!H207+'5'!H207+'6'!H207+'7'!H207+'8'!H207+'9'!H207+'10'!H207</f>
        <v>0</v>
      </c>
      <c r="I207" s="76">
        <f>+'30'!I207+'1'!I207+'2'!I207+'3'!I207+'4'!I207+'5'!I207+'6'!I207+'7'!I207+'8'!I207+'9'!I207+'10'!I207</f>
        <v>0</v>
      </c>
      <c r="J207" s="43">
        <f t="shared" ref="J207" si="32">E207+F207-H207-K207-I207</f>
        <v>1</v>
      </c>
      <c r="K207" s="44">
        <f>+'30'!K207+'1'!K207+'2'!K207+'3'!K207+'4'!K207+'5'!K207+'6'!K207+'7'!K207+'8'!K207+'9'!K207+'10'!K207</f>
        <v>99</v>
      </c>
      <c r="L207" s="20">
        <v>50</v>
      </c>
      <c r="M207" s="44">
        <f>+'30'!M207+'1'!M207+'2'!M207+'3'!M207+'4'!M207+'5'!M207+'6'!M207+'7'!M207+'8'!M207+'9'!M207+'10'!M207</f>
        <v>4950</v>
      </c>
      <c r="N207" s="19"/>
      <c r="O207" s="90">
        <v>21.34</v>
      </c>
      <c r="P207" s="79">
        <f t="shared" ref="P207" si="33">+K207*O207</f>
        <v>2112.66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46">
        <f>+ยกมา!J208</f>
        <v>0</v>
      </c>
      <c r="F208" s="44">
        <f>+'30'!F208+'1'!F208+'2'!F208+'3'!F208+'4'!F208+'5'!F208+'6'!F208+'7'!F208+'8'!F208+'9'!F208+'10'!F208</f>
        <v>0</v>
      </c>
      <c r="G208" s="43">
        <f t="shared" si="31"/>
        <v>0</v>
      </c>
      <c r="H208" s="78">
        <f>+'30'!H208+'1'!H208+'2'!H208+'3'!H208+'4'!H208+'5'!H208+'6'!H208+'7'!H208+'8'!H208+'9'!H208+'10'!H208</f>
        <v>0</v>
      </c>
      <c r="I208" s="76">
        <f>+'30'!I208+'1'!I208+'2'!I208+'3'!I208+'4'!I208+'5'!I208+'6'!I208+'7'!I208+'8'!I208+'9'!I208+'10'!I208</f>
        <v>0</v>
      </c>
      <c r="J208" s="43">
        <f t="shared" si="22"/>
        <v>0</v>
      </c>
      <c r="K208" s="44">
        <f>+'30'!K208+'1'!K208+'2'!K208+'3'!K208+'4'!K208+'5'!K208+'6'!K208+'7'!K208+'8'!K208+'9'!K208+'10'!K208</f>
        <v>0</v>
      </c>
      <c r="L208" s="20">
        <v>50</v>
      </c>
      <c r="M208" s="44">
        <f>+'30'!M208+'1'!M208+'2'!M208+'3'!M208+'4'!M208+'5'!M208+'6'!M208+'7'!M208+'8'!M208+'9'!M208+'10'!M208</f>
        <v>0</v>
      </c>
      <c r="N208" s="19"/>
      <c r="O208" s="90">
        <v>33</v>
      </c>
      <c r="P208" s="79">
        <f t="shared" si="23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46">
        <f>+ยกมา!J209</f>
        <v>0</v>
      </c>
      <c r="F209" s="44">
        <f>+'30'!F209+'1'!F209+'2'!F209+'3'!F209+'4'!F209+'5'!F209+'6'!F209+'7'!F209+'8'!F209+'9'!F209+'10'!F209</f>
        <v>0</v>
      </c>
      <c r="G209" s="43">
        <f t="shared" si="31"/>
        <v>0</v>
      </c>
      <c r="H209" s="78">
        <f>+'30'!H209+'1'!H209+'2'!H209+'3'!H209+'4'!H209+'5'!H209+'6'!H209+'7'!H209+'8'!H209+'9'!H209+'10'!H209</f>
        <v>0</v>
      </c>
      <c r="I209" s="76">
        <f>+'30'!I209+'1'!I209+'2'!I209+'3'!I209+'4'!I209+'5'!I209+'6'!I209+'7'!I209+'8'!I209+'9'!I209+'10'!I209</f>
        <v>0</v>
      </c>
      <c r="J209" s="43">
        <f t="shared" si="22"/>
        <v>0</v>
      </c>
      <c r="K209" s="44">
        <f>+'30'!K209+'1'!K209+'2'!K209+'3'!K209+'4'!K209+'5'!K209+'6'!K209+'7'!K209+'8'!K209+'9'!K209+'10'!K209</f>
        <v>0</v>
      </c>
      <c r="L209" s="20">
        <v>120</v>
      </c>
      <c r="M209" s="44">
        <f>+'30'!M209+'1'!M209+'2'!M209+'3'!M209+'4'!M209+'5'!M209+'6'!M209+'7'!M209+'8'!M209+'9'!M209+'10'!M209</f>
        <v>0</v>
      </c>
      <c r="N209" s="19"/>
      <c r="O209" s="90">
        <v>83</v>
      </c>
      <c r="P209" s="79">
        <f t="shared" si="23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46">
        <f>+ยกมา!J210</f>
        <v>0</v>
      </c>
      <c r="F210" s="44">
        <f>+'30'!F210+'1'!F210+'2'!F210+'3'!F210+'4'!F210+'5'!F210+'6'!F210+'7'!F210+'8'!F210+'9'!F210+'10'!F210</f>
        <v>0</v>
      </c>
      <c r="G210" s="43">
        <f t="shared" si="31"/>
        <v>0</v>
      </c>
      <c r="H210" s="78">
        <f>+'30'!H210+'1'!H210+'2'!H210+'3'!H210+'4'!H210+'5'!H210+'6'!H210+'7'!H210+'8'!H210+'9'!H210+'10'!H210</f>
        <v>0</v>
      </c>
      <c r="I210" s="76">
        <f>+'30'!I210+'1'!I210+'2'!I210+'3'!I210+'4'!I210+'5'!I210+'6'!I210+'7'!I210+'8'!I210+'9'!I210+'10'!I210</f>
        <v>0</v>
      </c>
      <c r="J210" s="43">
        <f t="shared" si="22"/>
        <v>0</v>
      </c>
      <c r="K210" s="44">
        <f>+'30'!K210+'1'!K210+'2'!K210+'3'!K210+'4'!K210+'5'!K210+'6'!K210+'7'!K210+'8'!K210+'9'!K210+'10'!K210</f>
        <v>0</v>
      </c>
      <c r="L210" s="20">
        <v>25</v>
      </c>
      <c r="M210" s="44">
        <f>+'30'!M210+'1'!M210+'2'!M210+'3'!M210+'4'!M210+'5'!M210+'6'!M210+'7'!M210+'8'!M210+'9'!M210+'10'!M210</f>
        <v>0</v>
      </c>
      <c r="N210" s="19"/>
      <c r="O210" s="90">
        <v>15</v>
      </c>
      <c r="P210" s="79">
        <f t="shared" si="23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46">
        <f>+ยกมา!J211</f>
        <v>0</v>
      </c>
      <c r="F211" s="44">
        <f>+'30'!F211+'1'!F211+'2'!F211+'3'!F211+'4'!F211+'5'!F211+'6'!F211+'7'!F211+'8'!F211+'9'!F211+'10'!F211</f>
        <v>0</v>
      </c>
      <c r="G211" s="43">
        <f t="shared" si="31"/>
        <v>0</v>
      </c>
      <c r="H211" s="78">
        <f>+'30'!H211+'1'!H211+'2'!H211+'3'!H211+'4'!H211+'5'!H211+'6'!H211+'7'!H211+'8'!H211+'9'!H211+'10'!H211</f>
        <v>0</v>
      </c>
      <c r="I211" s="76">
        <f>+'30'!I211+'1'!I211+'2'!I211+'3'!I211+'4'!I211+'5'!I211+'6'!I211+'7'!I211+'8'!I211+'9'!I211+'10'!I211</f>
        <v>0</v>
      </c>
      <c r="J211" s="43">
        <f t="shared" si="22"/>
        <v>0</v>
      </c>
      <c r="K211" s="44">
        <f>+'30'!K211+'1'!K211+'2'!K211+'3'!K211+'4'!K211+'5'!K211+'6'!K211+'7'!K211+'8'!K211+'9'!K211+'10'!K211</f>
        <v>0</v>
      </c>
      <c r="L211" s="20">
        <v>25</v>
      </c>
      <c r="M211" s="44">
        <f>+'30'!M211+'1'!M211+'2'!M211+'3'!M211+'4'!M211+'5'!M211+'6'!M211+'7'!M211+'8'!M211+'9'!M211+'10'!M211</f>
        <v>0</v>
      </c>
      <c r="N211" s="19"/>
      <c r="O211" s="90">
        <v>15</v>
      </c>
      <c r="P211" s="79">
        <f t="shared" si="23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46">
        <f>+ยกมา!J212</f>
        <v>0</v>
      </c>
      <c r="F212" s="44">
        <f>+'30'!F212+'1'!F212+'2'!F212+'3'!F212+'4'!F212+'5'!F212+'6'!F212+'7'!F212+'8'!F212+'9'!F212+'10'!F212</f>
        <v>0</v>
      </c>
      <c r="G212" s="43">
        <f t="shared" si="31"/>
        <v>0</v>
      </c>
      <c r="H212" s="78">
        <f>+'30'!H212+'1'!H212+'2'!H212+'3'!H212+'4'!H212+'5'!H212+'6'!H212+'7'!H212+'8'!H212+'9'!H212+'10'!H212</f>
        <v>0</v>
      </c>
      <c r="I212" s="76">
        <f>+'30'!I212+'1'!I212+'2'!I212+'3'!I212+'4'!I212+'5'!I212+'6'!I212+'7'!I212+'8'!I212+'9'!I212+'10'!I212</f>
        <v>0</v>
      </c>
      <c r="J212" s="43">
        <f t="shared" si="22"/>
        <v>0</v>
      </c>
      <c r="K212" s="44">
        <f>+'30'!K212+'1'!K212+'2'!K212+'3'!K212+'4'!K212+'5'!K212+'6'!K212+'7'!K212+'8'!K212+'9'!K212+'10'!K212</f>
        <v>0</v>
      </c>
      <c r="L212" s="20">
        <v>25</v>
      </c>
      <c r="M212" s="44">
        <f>+'30'!M212+'1'!M212+'2'!M212+'3'!M212+'4'!M212+'5'!M212+'6'!M212+'7'!M212+'8'!M212+'9'!M212+'10'!M212</f>
        <v>0</v>
      </c>
      <c r="N212" s="19"/>
      <c r="O212" s="90">
        <v>15</v>
      </c>
      <c r="P212" s="79">
        <f t="shared" si="23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46">
        <f>+ยกมา!J213</f>
        <v>0</v>
      </c>
      <c r="F213" s="44">
        <f>+'30'!F213+'1'!F213+'2'!F213+'3'!F213+'4'!F213+'5'!F213+'6'!F213+'7'!F213+'8'!F213+'9'!F213+'10'!F213</f>
        <v>0</v>
      </c>
      <c r="G213" s="43">
        <f t="shared" si="31"/>
        <v>0</v>
      </c>
      <c r="H213" s="78">
        <f>+'30'!H213+'1'!H213+'2'!H213+'3'!H213+'4'!H213+'5'!H213+'6'!H213+'7'!H213+'8'!H213+'9'!H213+'10'!H213</f>
        <v>0</v>
      </c>
      <c r="I213" s="76">
        <f>+'30'!I213+'1'!I213+'2'!I213+'3'!I213+'4'!I213+'5'!I213+'6'!I213+'7'!I213+'8'!I213+'9'!I213+'10'!I213</f>
        <v>0</v>
      </c>
      <c r="J213" s="43">
        <f t="shared" si="22"/>
        <v>0</v>
      </c>
      <c r="K213" s="44">
        <f>+'30'!K213+'1'!K213+'2'!K213+'3'!K213+'4'!K213+'5'!K213+'6'!K213+'7'!K213+'8'!K213+'9'!K213+'10'!K213</f>
        <v>0</v>
      </c>
      <c r="L213" s="20">
        <v>25</v>
      </c>
      <c r="M213" s="44">
        <f>+'30'!M213+'1'!M213+'2'!M213+'3'!M213+'4'!M213+'5'!M213+'6'!M213+'7'!M213+'8'!M213+'9'!M213+'10'!M213</f>
        <v>0</v>
      </c>
      <c r="N213" s="19"/>
      <c r="O213" s="90">
        <v>15</v>
      </c>
      <c r="P213" s="79">
        <f t="shared" si="23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46">
        <f>+ยกมา!J214</f>
        <v>0</v>
      </c>
      <c r="F214" s="44">
        <f>+'30'!F214+'1'!F214+'2'!F214+'3'!F214+'4'!F214+'5'!F214+'6'!F214+'7'!F214+'8'!F214+'9'!F214+'10'!F214</f>
        <v>0</v>
      </c>
      <c r="G214" s="43">
        <f t="shared" si="31"/>
        <v>0</v>
      </c>
      <c r="H214" s="78">
        <f>+'30'!H214+'1'!H214+'2'!H214+'3'!H214+'4'!H214+'5'!H214+'6'!H214+'7'!H214+'8'!H214+'9'!H214+'10'!H214</f>
        <v>0</v>
      </c>
      <c r="I214" s="76">
        <f>+'30'!I214+'1'!I214+'2'!I214+'3'!I214+'4'!I214+'5'!I214+'6'!I214+'7'!I214+'8'!I214+'9'!I214+'10'!I214</f>
        <v>0</v>
      </c>
      <c r="J214" s="43">
        <f t="shared" si="22"/>
        <v>0</v>
      </c>
      <c r="K214" s="44">
        <f>+'30'!K214+'1'!K214+'2'!K214+'3'!K214+'4'!K214+'5'!K214+'6'!K214+'7'!K214+'8'!K214+'9'!K214+'10'!K214</f>
        <v>0</v>
      </c>
      <c r="L214" s="20">
        <v>25</v>
      </c>
      <c r="M214" s="44">
        <f>+'30'!M214+'1'!M214+'2'!M214+'3'!M214+'4'!M214+'5'!M214+'6'!M214+'7'!M214+'8'!M214+'9'!M214+'10'!M214</f>
        <v>0</v>
      </c>
      <c r="N214" s="19"/>
      <c r="O214" s="90">
        <v>15</v>
      </c>
      <c r="P214" s="79">
        <f t="shared" si="23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46">
        <f>+ยกมา!J215</f>
        <v>0</v>
      </c>
      <c r="F215" s="44">
        <f>+'30'!F215+'1'!F215+'2'!F215+'3'!F215+'4'!F215+'5'!F215+'6'!F215+'7'!F215+'8'!F215+'9'!F215+'10'!F215</f>
        <v>0</v>
      </c>
      <c r="G215" s="43">
        <f t="shared" si="31"/>
        <v>0</v>
      </c>
      <c r="H215" s="78">
        <f>+'30'!H215+'1'!H215+'2'!H215+'3'!H215+'4'!H215+'5'!H215+'6'!H215+'7'!H215+'8'!H215+'9'!H215+'10'!H215</f>
        <v>0</v>
      </c>
      <c r="I215" s="76">
        <f>+'30'!I215+'1'!I215+'2'!I215+'3'!I215+'4'!I215+'5'!I215+'6'!I215+'7'!I215+'8'!I215+'9'!I215+'10'!I215</f>
        <v>0</v>
      </c>
      <c r="J215" s="43">
        <f t="shared" si="22"/>
        <v>0</v>
      </c>
      <c r="K215" s="44">
        <f>+'30'!K215+'1'!K215+'2'!K215+'3'!K215+'4'!K215+'5'!K215+'6'!K215+'7'!K215+'8'!K215+'9'!K215+'10'!K215</f>
        <v>0</v>
      </c>
      <c r="L215" s="20">
        <v>10</v>
      </c>
      <c r="M215" s="44">
        <f>+'30'!M215+'1'!M215+'2'!M215+'3'!M215+'4'!M215+'5'!M215+'6'!M215+'7'!M215+'8'!M215+'9'!M215+'10'!M215</f>
        <v>0</v>
      </c>
      <c r="N215" s="19"/>
      <c r="O215" s="90">
        <v>10.4</v>
      </c>
      <c r="P215" s="79">
        <f t="shared" si="23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46">
        <f>+ยกมา!J216</f>
        <v>0</v>
      </c>
      <c r="F216" s="44">
        <f>+'30'!F216+'1'!F216+'2'!F216+'3'!F216+'4'!F216+'5'!F216+'6'!F216+'7'!F216+'8'!F216+'9'!F216+'10'!F216</f>
        <v>0</v>
      </c>
      <c r="G216" s="43">
        <f t="shared" si="31"/>
        <v>0</v>
      </c>
      <c r="H216" s="78">
        <f>+'30'!H216+'1'!H216+'2'!H216+'3'!H216+'4'!H216+'5'!H216+'6'!H216+'7'!H216+'8'!H216+'9'!H216+'10'!H216</f>
        <v>0</v>
      </c>
      <c r="I216" s="76">
        <f>+'30'!I216+'1'!I216+'2'!I216+'3'!I216+'4'!I216+'5'!I216+'6'!I216+'7'!I216+'8'!I216+'9'!I216+'10'!I216</f>
        <v>0</v>
      </c>
      <c r="J216" s="43">
        <f t="shared" si="22"/>
        <v>0</v>
      </c>
      <c r="K216" s="44">
        <f>+'30'!K216+'1'!K216+'2'!K216+'3'!K216+'4'!K216+'5'!K216+'6'!K216+'7'!K216+'8'!K216+'9'!K216+'10'!K216</f>
        <v>0</v>
      </c>
      <c r="L216" s="20">
        <v>10</v>
      </c>
      <c r="M216" s="44">
        <f>+'30'!M216+'1'!M216+'2'!M216+'3'!M216+'4'!M216+'5'!M216+'6'!M216+'7'!M216+'8'!M216+'9'!M216+'10'!M216</f>
        <v>0</v>
      </c>
      <c r="N216" s="19"/>
      <c r="O216" s="90">
        <v>9</v>
      </c>
      <c r="P216" s="79">
        <f t="shared" si="23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46">
        <f>+ยกมา!J217</f>
        <v>0</v>
      </c>
      <c r="F217" s="44">
        <f>+'30'!F217+'1'!F217+'2'!F217+'3'!F217+'4'!F217+'5'!F217+'6'!F217+'7'!F217+'8'!F217+'9'!F217+'10'!F217</f>
        <v>0</v>
      </c>
      <c r="G217" s="43">
        <f t="shared" si="31"/>
        <v>0</v>
      </c>
      <c r="H217" s="78">
        <f>+'30'!H217+'1'!H217+'2'!H217+'3'!H217+'4'!H217+'5'!H217+'6'!H217+'7'!H217+'8'!H217+'9'!H217+'10'!H217</f>
        <v>0</v>
      </c>
      <c r="I217" s="76">
        <f>+'30'!I217+'1'!I217+'2'!I217+'3'!I217+'4'!I217+'5'!I217+'6'!I217+'7'!I217+'8'!I217+'9'!I217+'10'!I217</f>
        <v>0</v>
      </c>
      <c r="J217" s="43">
        <f t="shared" si="22"/>
        <v>0</v>
      </c>
      <c r="K217" s="44">
        <f>+'30'!K217+'1'!K217+'2'!K217+'3'!K217+'4'!K217+'5'!K217+'6'!K217+'7'!K217+'8'!K217+'9'!K217+'10'!K217</f>
        <v>0</v>
      </c>
      <c r="L217" s="20">
        <v>10</v>
      </c>
      <c r="M217" s="44">
        <f>+'30'!M217+'1'!M217+'2'!M217+'3'!M217+'4'!M217+'5'!M217+'6'!M217+'7'!M217+'8'!M217+'9'!M217+'10'!M217</f>
        <v>0</v>
      </c>
      <c r="N217" s="19"/>
      <c r="O217" s="90">
        <v>10</v>
      </c>
      <c r="P217" s="79">
        <f t="shared" si="23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46">
        <f>+ยกมา!J218</f>
        <v>0</v>
      </c>
      <c r="F218" s="44">
        <f>+'30'!F218+'1'!F218+'2'!F218+'3'!F218+'4'!F218+'5'!F218+'6'!F218+'7'!F218+'8'!F218+'9'!F218+'10'!F218</f>
        <v>0</v>
      </c>
      <c r="G218" s="43">
        <f t="shared" si="31"/>
        <v>0</v>
      </c>
      <c r="H218" s="78">
        <f>+'30'!H218+'1'!H218+'2'!H218+'3'!H218+'4'!H218+'5'!H218+'6'!H218+'7'!H218+'8'!H218+'9'!H218+'10'!H218</f>
        <v>0</v>
      </c>
      <c r="I218" s="76">
        <f>+'30'!I218+'1'!I218+'2'!I218+'3'!I218+'4'!I218+'5'!I218+'6'!I218+'7'!I218+'8'!I218+'9'!I218+'10'!I218</f>
        <v>0</v>
      </c>
      <c r="J218" s="43">
        <f>E218+F218-H218-K218-I218</f>
        <v>0</v>
      </c>
      <c r="K218" s="44">
        <f>+'30'!K218+'1'!K218+'2'!K218+'3'!K218+'4'!K218+'5'!K218+'6'!K218+'7'!K218+'8'!K218+'9'!K218+'10'!K218</f>
        <v>0</v>
      </c>
      <c r="L218" s="20">
        <v>20</v>
      </c>
      <c r="M218" s="44">
        <f>+'30'!M218+'1'!M218+'2'!M218+'3'!M218+'4'!M218+'5'!M218+'6'!M218+'7'!M218+'8'!M218+'9'!M218+'10'!M218</f>
        <v>0</v>
      </c>
      <c r="N218" s="19"/>
      <c r="O218" s="90">
        <v>16.670000000000002</v>
      </c>
      <c r="P218" s="79">
        <f t="shared" si="23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/>
      <c r="C219" s="19" t="s">
        <v>282</v>
      </c>
      <c r="D219" s="10" t="s">
        <v>439</v>
      </c>
      <c r="E219" s="46">
        <f>+ยกมา!J219</f>
        <v>0</v>
      </c>
      <c r="F219" s="44">
        <f>+'30'!F219+'1'!F219+'2'!F219+'3'!F219+'4'!F219+'5'!F219+'6'!F219+'7'!F219+'8'!F219+'9'!F219+'10'!F219</f>
        <v>0</v>
      </c>
      <c r="G219" s="43">
        <f t="shared" si="31"/>
        <v>0</v>
      </c>
      <c r="H219" s="78">
        <f>+'30'!H219+'1'!H219+'2'!H219+'3'!H219+'4'!H219+'5'!H219+'6'!H219+'7'!H219+'8'!H219+'9'!H219+'10'!H219</f>
        <v>0</v>
      </c>
      <c r="I219" s="76">
        <f>+'30'!I219+'1'!I219+'2'!I219+'3'!I219+'4'!I219+'5'!I219+'6'!I219+'7'!I219+'8'!I219+'9'!I219+'10'!I219</f>
        <v>0</v>
      </c>
      <c r="J219" s="43">
        <f t="shared" si="22"/>
        <v>0</v>
      </c>
      <c r="K219" s="44">
        <f>+'30'!K219+'1'!K219+'2'!K219+'3'!K219+'4'!K219+'5'!K219+'6'!K219+'7'!K219+'8'!K219+'9'!K219+'10'!K219</f>
        <v>0</v>
      </c>
      <c r="L219" s="20">
        <v>800</v>
      </c>
      <c r="M219" s="44">
        <f>+'30'!M219+'1'!M219+'2'!M219+'3'!M219+'4'!M219+'5'!M219+'6'!M219+'7'!M219+'8'!M219+'9'!M219+'10'!M219</f>
        <v>0</v>
      </c>
      <c r="N219" s="19"/>
      <c r="O219" s="92">
        <v>0</v>
      </c>
      <c r="P219" s="79">
        <f t="shared" si="23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46">
        <f>+ยกมา!J220</f>
        <v>0</v>
      </c>
      <c r="F220" s="44">
        <f>+'30'!F220+'1'!F220+'2'!F220+'3'!F220+'4'!F220+'5'!F220+'6'!F220+'7'!F220+'8'!F220+'9'!F220+'10'!F220</f>
        <v>0</v>
      </c>
      <c r="G220" s="43">
        <f t="shared" si="31"/>
        <v>0</v>
      </c>
      <c r="H220" s="78">
        <f>+'30'!H220+'1'!H220+'2'!H220+'3'!H220+'4'!H220+'5'!H220+'6'!H220+'7'!H220+'8'!H220+'9'!H220+'10'!H220</f>
        <v>0</v>
      </c>
      <c r="I220" s="76">
        <f>+'30'!I220+'1'!I220+'2'!I220+'3'!I220+'4'!I220+'5'!I220+'6'!I220+'7'!I220+'8'!I220+'9'!I220+'10'!I220</f>
        <v>0</v>
      </c>
      <c r="J220" s="43">
        <f t="shared" si="22"/>
        <v>0</v>
      </c>
      <c r="K220" s="44">
        <f>+'30'!K220+'1'!K220+'2'!K220+'3'!K220+'4'!K220+'5'!K220+'6'!K220+'7'!K220+'8'!K220+'9'!K220+'10'!K220</f>
        <v>0</v>
      </c>
      <c r="L220" s="20">
        <v>150</v>
      </c>
      <c r="M220" s="44">
        <f>+'30'!M220+'1'!M220+'2'!M220+'3'!M220+'4'!M220+'5'!M220+'6'!M220+'7'!M220+'8'!M220+'9'!M220+'10'!M220</f>
        <v>0</v>
      </c>
      <c r="N220" s="19"/>
      <c r="O220" s="90">
        <v>85</v>
      </c>
      <c r="P220" s="79">
        <f t="shared" si="23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46">
        <f>+ยกมา!J221</f>
        <v>0</v>
      </c>
      <c r="F221" s="44">
        <f>+'30'!F221+'1'!F221+'2'!F221+'3'!F221+'4'!F221+'5'!F221+'6'!F221+'7'!F221+'8'!F221+'9'!F221+'10'!F221</f>
        <v>0</v>
      </c>
      <c r="G221" s="43">
        <f t="shared" si="31"/>
        <v>0</v>
      </c>
      <c r="H221" s="78">
        <f>+'30'!H221+'1'!H221+'2'!H221+'3'!H221+'4'!H221+'5'!H221+'6'!H221+'7'!H221+'8'!H221+'9'!H221+'10'!H221</f>
        <v>0</v>
      </c>
      <c r="I221" s="76">
        <f>+'30'!I221+'1'!I221+'2'!I221+'3'!I221+'4'!I221+'5'!I221+'6'!I221+'7'!I221+'8'!I221+'9'!I221+'10'!I221</f>
        <v>0</v>
      </c>
      <c r="J221" s="43">
        <f t="shared" si="22"/>
        <v>0</v>
      </c>
      <c r="K221" s="44">
        <f>+'30'!K221+'1'!K221+'2'!K221+'3'!K221+'4'!K221+'5'!K221+'6'!K221+'7'!K221+'8'!K221+'9'!K221+'10'!K221</f>
        <v>0</v>
      </c>
      <c r="L221" s="20">
        <v>200</v>
      </c>
      <c r="M221" s="44">
        <f>+'30'!M221+'1'!M221+'2'!M221+'3'!M221+'4'!M221+'5'!M221+'6'!M221+'7'!M221+'8'!M221+'9'!M221+'10'!M221</f>
        <v>0</v>
      </c>
      <c r="N221" s="19"/>
      <c r="O221" s="90">
        <v>100</v>
      </c>
      <c r="P221" s="79">
        <f t="shared" si="23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46">
        <f>+ยกมา!J222</f>
        <v>0</v>
      </c>
      <c r="F222" s="44">
        <f>+'30'!F222+'1'!F222+'2'!F222+'3'!F222+'4'!F222+'5'!F222+'6'!F222+'7'!F222+'8'!F222+'9'!F222+'10'!F222</f>
        <v>0</v>
      </c>
      <c r="G222" s="43">
        <f t="shared" si="31"/>
        <v>0</v>
      </c>
      <c r="H222" s="78">
        <f>+'30'!H222+'1'!H222+'2'!H222+'3'!H222+'4'!H222+'5'!H222+'6'!H222+'7'!H222+'8'!H222+'9'!H222+'10'!H222</f>
        <v>0</v>
      </c>
      <c r="I222" s="76">
        <f>+'30'!I222+'1'!I222+'2'!I222+'3'!I222+'4'!I222+'5'!I222+'6'!I222+'7'!I222+'8'!I222+'9'!I222+'10'!I222</f>
        <v>0</v>
      </c>
      <c r="J222" s="43">
        <f t="shared" si="22"/>
        <v>0</v>
      </c>
      <c r="K222" s="44">
        <f>+'30'!K222+'1'!K222+'2'!K222+'3'!K222+'4'!K222+'5'!K222+'6'!K222+'7'!K222+'8'!K222+'9'!K222+'10'!K222</f>
        <v>0</v>
      </c>
      <c r="L222" s="20">
        <v>250</v>
      </c>
      <c r="M222" s="44">
        <f>+'30'!M222+'1'!M222+'2'!M222+'3'!M222+'4'!M222+'5'!M222+'6'!M222+'7'!M222+'8'!M222+'9'!M222+'10'!M222</f>
        <v>0</v>
      </c>
      <c r="N222" s="19"/>
      <c r="O222" s="90">
        <v>250</v>
      </c>
      <c r="P222" s="79">
        <f t="shared" si="23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46">
        <f>+ยกมา!J223</f>
        <v>0</v>
      </c>
      <c r="F223" s="44">
        <f>+'30'!F223+'1'!F223+'2'!F223+'3'!F223+'4'!F223+'5'!F223+'6'!F223+'7'!F223+'8'!F223+'9'!F223+'10'!F223</f>
        <v>0</v>
      </c>
      <c r="G223" s="43">
        <f t="shared" si="31"/>
        <v>0</v>
      </c>
      <c r="H223" s="78">
        <f>+'30'!H223+'1'!H223+'2'!H223+'3'!H223+'4'!H223+'5'!H223+'6'!H223+'7'!H223+'8'!H223+'9'!H223+'10'!H223</f>
        <v>0</v>
      </c>
      <c r="I223" s="76">
        <f>+'30'!I223+'1'!I223+'2'!I223+'3'!I223+'4'!I223+'5'!I223+'6'!I223+'7'!I223+'8'!I223+'9'!I223+'10'!I223</f>
        <v>0</v>
      </c>
      <c r="J223" s="43">
        <f t="shared" si="22"/>
        <v>0</v>
      </c>
      <c r="K223" s="44">
        <f>+'30'!K223+'1'!K223+'2'!K223+'3'!K223+'4'!K223+'5'!K223+'6'!K223+'7'!K223+'8'!K223+'9'!K223+'10'!K223</f>
        <v>0</v>
      </c>
      <c r="L223" s="20">
        <v>50</v>
      </c>
      <c r="M223" s="44">
        <f>+'30'!M223+'1'!M223+'2'!M223+'3'!M223+'4'!M223+'5'!M223+'6'!M223+'7'!M223+'8'!M223+'9'!M223+'10'!M223</f>
        <v>0</v>
      </c>
      <c r="N223" s="19"/>
      <c r="O223" s="92">
        <v>0</v>
      </c>
      <c r="P223" s="79">
        <f t="shared" si="23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46">
        <f>+ยกมา!J224</f>
        <v>0</v>
      </c>
      <c r="F224" s="44">
        <f>+'30'!F224+'1'!F224+'2'!F224+'3'!F224+'4'!F224+'5'!F224+'6'!F224+'7'!F224+'8'!F224+'9'!F224+'10'!F224</f>
        <v>0</v>
      </c>
      <c r="G224" s="43">
        <f t="shared" si="31"/>
        <v>0</v>
      </c>
      <c r="H224" s="78">
        <f>+'30'!H224+'1'!H224+'2'!H224+'3'!H224+'4'!H224+'5'!H224+'6'!H224+'7'!H224+'8'!H224+'9'!H224+'10'!H224</f>
        <v>0</v>
      </c>
      <c r="I224" s="76">
        <f>+'30'!I224+'1'!I224+'2'!I224+'3'!I224+'4'!I224+'5'!I224+'6'!I224+'7'!I224+'8'!I224+'9'!I224+'10'!I224</f>
        <v>0</v>
      </c>
      <c r="J224" s="43">
        <f t="shared" si="22"/>
        <v>0</v>
      </c>
      <c r="K224" s="44">
        <f>+'30'!K224+'1'!K224+'2'!K224+'3'!K224+'4'!K224+'5'!K224+'6'!K224+'7'!K224+'8'!K224+'9'!K224+'10'!K224</f>
        <v>0</v>
      </c>
      <c r="L224" s="20">
        <v>0</v>
      </c>
      <c r="M224" s="44">
        <f>+'30'!M224+'1'!M224+'2'!M224+'3'!M224+'4'!M224+'5'!M224+'6'!M224+'7'!M224+'8'!M224+'9'!M224+'10'!M224</f>
        <v>0</v>
      </c>
      <c r="N224" s="19"/>
      <c r="O224" s="92">
        <v>0</v>
      </c>
      <c r="P224" s="79">
        <f t="shared" si="23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46">
        <f>+ยกมา!J225</f>
        <v>0</v>
      </c>
      <c r="F225" s="44">
        <f>+'30'!F225+'1'!F225+'2'!F225+'3'!F225+'4'!F225+'5'!F225+'6'!F225+'7'!F225+'8'!F225+'9'!F225+'10'!F225</f>
        <v>0</v>
      </c>
      <c r="G225" s="43">
        <f t="shared" si="31"/>
        <v>0</v>
      </c>
      <c r="H225" s="78">
        <f>+'30'!H225+'1'!H225+'2'!H225+'3'!H225+'4'!H225+'5'!H225+'6'!H225+'7'!H225+'8'!H225+'9'!H225+'10'!H225</f>
        <v>0</v>
      </c>
      <c r="I225" s="76">
        <f>+'30'!I225+'1'!I225+'2'!I225+'3'!I225+'4'!I225+'5'!I225+'6'!I225+'7'!I225+'8'!I225+'9'!I225+'10'!I225</f>
        <v>0</v>
      </c>
      <c r="J225" s="43">
        <f t="shared" si="22"/>
        <v>0</v>
      </c>
      <c r="K225" s="44">
        <f>+'30'!K225+'1'!K225+'2'!K225+'3'!K225+'4'!K225+'5'!K225+'6'!K225+'7'!K225+'8'!K225+'9'!K225+'10'!K225</f>
        <v>0</v>
      </c>
      <c r="L225" s="20">
        <v>45</v>
      </c>
      <c r="M225" s="44">
        <f>+'30'!M225+'1'!M225+'2'!M225+'3'!M225+'4'!M225+'5'!M225+'6'!M225+'7'!M225+'8'!M225+'9'!M225+'10'!M225</f>
        <v>0</v>
      </c>
      <c r="N225" s="19"/>
      <c r="O225" s="90">
        <v>28.59</v>
      </c>
      <c r="P225" s="79">
        <f t="shared" ref="P225:P259" si="34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46">
        <f>+ยกมา!J226</f>
        <v>0</v>
      </c>
      <c r="F226" s="44">
        <f>+'30'!F226+'1'!F226+'2'!F226+'3'!F226+'4'!F226+'5'!F226+'6'!F226+'7'!F226+'8'!F226+'9'!F226+'10'!F226</f>
        <v>0</v>
      </c>
      <c r="G226" s="43">
        <f t="shared" si="31"/>
        <v>0</v>
      </c>
      <c r="H226" s="78">
        <f>+'30'!H226+'1'!H226+'2'!H226+'3'!H226+'4'!H226+'5'!H226+'6'!H226+'7'!H226+'8'!H226+'9'!H226+'10'!H226</f>
        <v>0</v>
      </c>
      <c r="I226" s="76">
        <f>+'30'!I226+'1'!I226+'2'!I226+'3'!I226+'4'!I226+'5'!I226+'6'!I226+'7'!I226+'8'!I226+'9'!I226+'10'!I226</f>
        <v>0</v>
      </c>
      <c r="J226" s="43">
        <f t="shared" ref="J226:J234" si="35">E226+F226-H226-K226-I226</f>
        <v>0</v>
      </c>
      <c r="K226" s="44">
        <f>+'30'!K226+'1'!K226+'2'!K226+'3'!K226+'4'!K226+'5'!K226+'6'!K226+'7'!K226+'8'!K226+'9'!K226+'10'!K226</f>
        <v>0</v>
      </c>
      <c r="L226" s="20">
        <v>35</v>
      </c>
      <c r="M226" s="44">
        <f>+'30'!M226+'1'!M226+'2'!M226+'3'!M226+'4'!M226+'5'!M226+'6'!M226+'7'!M226+'8'!M226+'9'!M226+'10'!M226</f>
        <v>0</v>
      </c>
      <c r="N226" s="19"/>
      <c r="O226" s="90">
        <v>23.7</v>
      </c>
      <c r="P226" s="79">
        <f t="shared" si="34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46">
        <f>+ยกมา!J227</f>
        <v>0</v>
      </c>
      <c r="F227" s="44">
        <f>+'30'!F227+'1'!F227+'2'!F227+'3'!F227+'4'!F227+'5'!F227+'6'!F227+'7'!F227+'8'!F227+'9'!F227+'10'!F227</f>
        <v>0</v>
      </c>
      <c r="G227" s="43">
        <f t="shared" si="31"/>
        <v>0</v>
      </c>
      <c r="H227" s="78">
        <f>+'30'!H227+'1'!H227+'2'!H227+'3'!H227+'4'!H227+'5'!H227+'6'!H227+'7'!H227+'8'!H227+'9'!H227+'10'!H227</f>
        <v>0</v>
      </c>
      <c r="I227" s="76">
        <f>+'30'!I227+'1'!I227+'2'!I227+'3'!I227+'4'!I227+'5'!I227+'6'!I227+'7'!I227+'8'!I227+'9'!I227+'10'!I227</f>
        <v>0</v>
      </c>
      <c r="J227" s="43">
        <f t="shared" si="35"/>
        <v>0</v>
      </c>
      <c r="K227" s="44">
        <f>+'30'!K227+'1'!K227+'2'!K227+'3'!K227+'4'!K227+'5'!K227+'6'!K227+'7'!K227+'8'!K227+'9'!K227+'10'!K227</f>
        <v>0</v>
      </c>
      <c r="L227" s="20">
        <v>25</v>
      </c>
      <c r="M227" s="44">
        <f>+'30'!M227+'1'!M227+'2'!M227+'3'!M227+'4'!M227+'5'!M227+'6'!M227+'7'!M227+'8'!M227+'9'!M227+'10'!M227</f>
        <v>0</v>
      </c>
      <c r="N227" s="19"/>
      <c r="O227" s="90">
        <v>20.36</v>
      </c>
      <c r="P227" s="79">
        <f t="shared" si="34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46">
        <f>+ยกมา!J228</f>
        <v>0</v>
      </c>
      <c r="F228" s="44">
        <f>+'30'!F228+'1'!F228+'2'!F228+'3'!F228+'4'!F228+'5'!F228+'6'!F228+'7'!F228+'8'!F228+'9'!F228+'10'!F228</f>
        <v>0</v>
      </c>
      <c r="G228" s="43">
        <f t="shared" si="31"/>
        <v>0</v>
      </c>
      <c r="H228" s="78">
        <f>+'30'!H228+'1'!H228+'2'!H228+'3'!H228+'4'!H228+'5'!H228+'6'!H228+'7'!H228+'8'!H228+'9'!H228+'10'!H228</f>
        <v>0</v>
      </c>
      <c r="I228" s="76">
        <f>+'30'!I228+'1'!I228+'2'!I228+'3'!I228+'4'!I228+'5'!I228+'6'!I228+'7'!I228+'8'!I228+'9'!I228+'10'!I228</f>
        <v>0</v>
      </c>
      <c r="J228" s="43">
        <f t="shared" si="35"/>
        <v>0</v>
      </c>
      <c r="K228" s="44">
        <f>+'30'!K228+'1'!K228+'2'!K228+'3'!K228+'4'!K228+'5'!K228+'6'!K228+'7'!K228+'8'!K228+'9'!K228+'10'!K228</f>
        <v>0</v>
      </c>
      <c r="L228" s="20">
        <v>50</v>
      </c>
      <c r="M228" s="44">
        <f>+'30'!M228+'1'!M228+'2'!M228+'3'!M228+'4'!M228+'5'!M228+'6'!M228+'7'!M228+'8'!M228+'9'!M228+'10'!M228</f>
        <v>0</v>
      </c>
      <c r="N228" s="19"/>
      <c r="O228" s="90">
        <v>0</v>
      </c>
      <c r="P228" s="79">
        <f t="shared" si="34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46">
        <f>+ยกมา!J229</f>
        <v>0</v>
      </c>
      <c r="F229" s="44">
        <f>+'30'!F229+'1'!F229+'2'!F229+'3'!F229+'4'!F229+'5'!F229+'6'!F229+'7'!F229+'8'!F229+'9'!F229+'10'!F229</f>
        <v>0</v>
      </c>
      <c r="G229" s="43">
        <f t="shared" si="31"/>
        <v>0</v>
      </c>
      <c r="H229" s="78">
        <f>+'30'!H229+'1'!H229+'2'!H229+'3'!H229+'4'!H229+'5'!H229+'6'!H229+'7'!H229+'8'!H229+'9'!H229+'10'!H229</f>
        <v>0</v>
      </c>
      <c r="I229" s="76">
        <f>+'30'!I229+'1'!I229+'2'!I229+'3'!I229+'4'!I229+'5'!I229+'6'!I229+'7'!I229+'8'!I229+'9'!I229+'10'!I229</f>
        <v>0</v>
      </c>
      <c r="J229" s="43">
        <f t="shared" si="35"/>
        <v>0</v>
      </c>
      <c r="K229" s="44">
        <f>+'30'!K229+'1'!K229+'2'!K229+'3'!K229+'4'!K229+'5'!K229+'6'!K229+'7'!K229+'8'!K229+'9'!K229+'10'!K229</f>
        <v>0</v>
      </c>
      <c r="L229" s="20">
        <v>60</v>
      </c>
      <c r="M229" s="44">
        <f>+'30'!M229+'1'!M229+'2'!M229+'3'!M229+'4'!M229+'5'!M229+'6'!M229+'7'!M229+'8'!M229+'9'!M229+'10'!M229</f>
        <v>0</v>
      </c>
      <c r="N229" s="19"/>
      <c r="O229" s="90">
        <v>0</v>
      </c>
      <c r="P229" s="79">
        <f t="shared" si="34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46">
        <f>+ยกมา!J230</f>
        <v>0</v>
      </c>
      <c r="F230" s="44">
        <f>+'30'!F230+'1'!F230+'2'!F230+'3'!F230+'4'!F230+'5'!F230+'6'!F230+'7'!F230+'8'!F230+'9'!F230+'10'!F230</f>
        <v>0</v>
      </c>
      <c r="G230" s="43">
        <f t="shared" si="31"/>
        <v>0</v>
      </c>
      <c r="H230" s="78">
        <f>+'30'!H230+'1'!H230+'2'!H230+'3'!H230+'4'!H230+'5'!H230+'6'!H230+'7'!H230+'8'!H230+'9'!H230+'10'!H230</f>
        <v>0</v>
      </c>
      <c r="I230" s="76">
        <f>+'30'!I230+'1'!I230+'2'!I230+'3'!I230+'4'!I230+'5'!I230+'6'!I230+'7'!I230+'8'!I230+'9'!I230+'10'!I230</f>
        <v>0</v>
      </c>
      <c r="J230" s="43">
        <f t="shared" si="35"/>
        <v>0</v>
      </c>
      <c r="K230" s="44">
        <f>+'30'!K230+'1'!K230+'2'!K230+'3'!K230+'4'!K230+'5'!K230+'6'!K230+'7'!K230+'8'!K230+'9'!K230+'10'!K230</f>
        <v>0</v>
      </c>
      <c r="L230" s="20">
        <v>250</v>
      </c>
      <c r="M230" s="44">
        <f>+'30'!M230+'1'!M230+'2'!M230+'3'!M230+'4'!M230+'5'!M230+'6'!M230+'7'!M230+'8'!M230+'9'!M230+'10'!M230</f>
        <v>0</v>
      </c>
      <c r="N230" s="19"/>
      <c r="O230" s="90">
        <v>0</v>
      </c>
      <c r="P230" s="79">
        <f t="shared" si="34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46">
        <f>+ยกมา!J231</f>
        <v>0</v>
      </c>
      <c r="F231" s="44">
        <f>+'30'!F231+'1'!F231+'2'!F231+'3'!F231+'4'!F231+'5'!F231+'6'!F231+'7'!F231+'8'!F231+'9'!F231+'10'!F231</f>
        <v>0</v>
      </c>
      <c r="G231" s="43">
        <f t="shared" si="31"/>
        <v>0</v>
      </c>
      <c r="H231" s="78">
        <f>+'30'!H231+'1'!H231+'2'!H231+'3'!H231+'4'!H231+'5'!H231+'6'!H231+'7'!H231+'8'!H231+'9'!H231+'10'!H231</f>
        <v>0</v>
      </c>
      <c r="I231" s="76">
        <f>+'30'!I231+'1'!I231+'2'!I231+'3'!I231+'4'!I231+'5'!I231+'6'!I231+'7'!I231+'8'!I231+'9'!I231+'10'!I231</f>
        <v>0</v>
      </c>
      <c r="J231" s="43">
        <f t="shared" si="35"/>
        <v>0</v>
      </c>
      <c r="K231" s="44">
        <f>+'30'!K231+'1'!K231+'2'!K231+'3'!K231+'4'!K231+'5'!K231+'6'!K231+'7'!K231+'8'!K231+'9'!K231+'10'!K231</f>
        <v>0</v>
      </c>
      <c r="L231" s="20">
        <v>100</v>
      </c>
      <c r="M231" s="44">
        <f>+'30'!M231+'1'!M231+'2'!M231+'3'!M231+'4'!M231+'5'!M231+'6'!M231+'7'!M231+'8'!M231+'9'!M231+'10'!M231</f>
        <v>0</v>
      </c>
      <c r="N231" s="19"/>
      <c r="O231" s="90">
        <v>0</v>
      </c>
      <c r="P231" s="79">
        <f t="shared" si="34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46">
        <f>+ยกมา!J232</f>
        <v>0</v>
      </c>
      <c r="F232" s="44">
        <f>+'30'!F232+'1'!F232+'2'!F232+'3'!F232+'4'!F232+'5'!F232+'6'!F232+'7'!F232+'8'!F232+'9'!F232+'10'!F232</f>
        <v>0</v>
      </c>
      <c r="G232" s="43">
        <f t="shared" si="31"/>
        <v>0</v>
      </c>
      <c r="H232" s="78">
        <f>+'30'!H232+'1'!H232+'2'!H232+'3'!H232+'4'!H232+'5'!H232+'6'!H232+'7'!H232+'8'!H232+'9'!H232+'10'!H232</f>
        <v>0</v>
      </c>
      <c r="I232" s="76">
        <f>+'30'!I232+'1'!I232+'2'!I232+'3'!I232+'4'!I232+'5'!I232+'6'!I232+'7'!I232+'8'!I232+'9'!I232+'10'!I232</f>
        <v>0</v>
      </c>
      <c r="J232" s="43">
        <f t="shared" si="35"/>
        <v>0</v>
      </c>
      <c r="K232" s="44">
        <f>+'30'!K232+'1'!K232+'2'!K232+'3'!K232+'4'!K232+'5'!K232+'6'!K232+'7'!K232+'8'!K232+'9'!K232+'10'!K232</f>
        <v>0</v>
      </c>
      <c r="L232" s="20">
        <v>350</v>
      </c>
      <c r="M232" s="44">
        <f>+'30'!M232+'1'!M232+'2'!M232+'3'!M232+'4'!M232+'5'!M232+'6'!M232+'7'!M232+'8'!M232+'9'!M232+'10'!M232</f>
        <v>0</v>
      </c>
      <c r="N232" s="19"/>
      <c r="O232" s="90">
        <v>0</v>
      </c>
      <c r="P232" s="79">
        <f t="shared" si="34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46">
        <f>+ยกมา!J233</f>
        <v>0</v>
      </c>
      <c r="F233" s="44">
        <f>+'30'!F233+'1'!F233+'2'!F233+'3'!F233+'4'!F233+'5'!F233+'6'!F233+'7'!F233+'8'!F233+'9'!F233+'10'!F233</f>
        <v>0</v>
      </c>
      <c r="G233" s="43">
        <f t="shared" si="31"/>
        <v>0</v>
      </c>
      <c r="H233" s="78">
        <f>+'30'!H233+'1'!H233+'2'!H233+'3'!H233+'4'!H233+'5'!H233+'6'!H233+'7'!H233+'8'!H233+'9'!H233+'10'!H233</f>
        <v>0</v>
      </c>
      <c r="I233" s="76">
        <f>+'30'!I233+'1'!I233+'2'!I233+'3'!I233+'4'!I233+'5'!I233+'6'!I233+'7'!I233+'8'!I233+'9'!I233+'10'!I233</f>
        <v>0</v>
      </c>
      <c r="J233" s="43">
        <f t="shared" si="35"/>
        <v>0</v>
      </c>
      <c r="K233" s="44">
        <f>+'30'!K233+'1'!K233+'2'!K233+'3'!K233+'4'!K233+'5'!K233+'6'!K233+'7'!K233+'8'!K233+'9'!K233+'10'!K233</f>
        <v>0</v>
      </c>
      <c r="L233" s="20">
        <v>60</v>
      </c>
      <c r="M233" s="44">
        <f>+'30'!M233+'1'!M233+'2'!M233+'3'!M233+'4'!M233+'5'!M233+'6'!M233+'7'!M233+'8'!M233+'9'!M233+'10'!M233</f>
        <v>0</v>
      </c>
      <c r="N233" s="19"/>
      <c r="O233" s="90">
        <v>0</v>
      </c>
      <c r="P233" s="79">
        <f t="shared" si="34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46">
        <f>+ยกมา!J234</f>
        <v>0</v>
      </c>
      <c r="F234" s="44">
        <f>+'30'!F234+'1'!F234+'2'!F234+'3'!F234+'4'!F234+'5'!F234+'6'!F234+'7'!F234+'8'!F234+'9'!F234+'10'!F234</f>
        <v>0</v>
      </c>
      <c r="G234" s="43">
        <f t="shared" si="31"/>
        <v>0</v>
      </c>
      <c r="H234" s="78">
        <f>+'30'!H234+'1'!H234+'2'!H234+'3'!H234+'4'!H234+'5'!H234+'6'!H234+'7'!H234+'8'!H234+'9'!H234+'10'!H234</f>
        <v>0</v>
      </c>
      <c r="I234" s="76">
        <f>+'30'!I234+'1'!I234+'2'!I234+'3'!I234+'4'!I234+'5'!I234+'6'!I234+'7'!I234+'8'!I234+'9'!I234+'10'!I234</f>
        <v>0</v>
      </c>
      <c r="J234" s="43">
        <f t="shared" si="35"/>
        <v>0</v>
      </c>
      <c r="K234" s="44">
        <f>+'30'!K234+'1'!K234+'2'!K234+'3'!K234+'4'!K234+'5'!K234+'6'!K234+'7'!K234+'8'!K234+'9'!K234+'10'!K234</f>
        <v>0</v>
      </c>
      <c r="L234" s="20">
        <v>50</v>
      </c>
      <c r="M234" s="44">
        <f>+'30'!M234+'1'!M234+'2'!M234+'3'!M234+'4'!M234+'5'!M234+'6'!M234+'7'!M234+'8'!M234+'9'!M234+'10'!M234</f>
        <v>0</v>
      </c>
      <c r="N234" s="19"/>
      <c r="O234" s="90">
        <v>0</v>
      </c>
      <c r="P234" s="79">
        <f t="shared" si="34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46">
        <f>+ยกมา!J227</f>
        <v>0</v>
      </c>
      <c r="F235" s="44">
        <f>+'30'!F235+'1'!F235+'2'!F235+'3'!F235+'4'!F235+'5'!F235+'6'!F235+'7'!F235+'8'!F235+'9'!F235+'10'!F235</f>
        <v>0</v>
      </c>
      <c r="G235" s="43">
        <f t="shared" si="31"/>
        <v>0</v>
      </c>
      <c r="H235" s="78">
        <f>+'30'!H235+'1'!H235+'2'!H235+'3'!H235+'4'!H235+'5'!H235+'6'!H235+'7'!H235+'8'!H235+'9'!H235+'10'!H235</f>
        <v>0</v>
      </c>
      <c r="I235" s="76">
        <f>+'30'!I235+'1'!I235+'2'!I235+'3'!I235+'4'!I235+'5'!I235+'6'!I235+'7'!I235+'8'!I235+'9'!I235+'10'!I235</f>
        <v>0</v>
      </c>
      <c r="J235" s="43">
        <f t="shared" ref="J235:J247" si="36">E235+F235-H235-K235-I235</f>
        <v>0</v>
      </c>
      <c r="K235" s="44">
        <f>+'30'!K235+'1'!K235+'2'!K235+'3'!K235+'4'!K235+'5'!K235+'6'!K235+'7'!K235+'8'!K235+'9'!K235+'10'!K235</f>
        <v>0</v>
      </c>
      <c r="L235" s="20">
        <v>100</v>
      </c>
      <c r="M235" s="44">
        <f>+'30'!M235+'1'!M235+'2'!M235+'3'!M235+'4'!M235+'5'!M235+'6'!M235+'7'!M235+'8'!M235+'9'!M235+'10'!M235</f>
        <v>0</v>
      </c>
      <c r="N235" s="19"/>
      <c r="O235" s="90">
        <v>0</v>
      </c>
      <c r="P235" s="79">
        <f t="shared" ref="P235:P247" si="3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46">
        <f>+ยกมา!J228</f>
        <v>0</v>
      </c>
      <c r="F236" s="44">
        <f>+'30'!F236+'1'!F236+'2'!F236+'3'!F236+'4'!F236+'5'!F236+'6'!F236+'7'!F236+'8'!F236+'9'!F236+'10'!F236</f>
        <v>0</v>
      </c>
      <c r="G236" s="43">
        <f t="shared" si="31"/>
        <v>0</v>
      </c>
      <c r="H236" s="78">
        <f>+'30'!H236+'1'!H236+'2'!H236+'3'!H236+'4'!H236+'5'!H236+'6'!H236+'7'!H236+'8'!H236+'9'!H236+'10'!H236</f>
        <v>0</v>
      </c>
      <c r="I236" s="76">
        <f>+'30'!I236+'1'!I236+'2'!I236+'3'!I236+'4'!I236+'5'!I236+'6'!I236+'7'!I236+'8'!I236+'9'!I236+'10'!I236</f>
        <v>0</v>
      </c>
      <c r="J236" s="43">
        <f t="shared" si="36"/>
        <v>0</v>
      </c>
      <c r="K236" s="44">
        <f>+'30'!K236+'1'!K236+'2'!K236+'3'!K236+'4'!K236+'5'!K236+'6'!K236+'7'!K236+'8'!K236+'9'!K236+'10'!K236</f>
        <v>0</v>
      </c>
      <c r="L236" s="20">
        <v>120</v>
      </c>
      <c r="M236" s="44">
        <f>+'30'!M236+'1'!M236+'2'!M236+'3'!M236+'4'!M236+'5'!M236+'6'!M236+'7'!M236+'8'!M236+'9'!M236+'10'!M236</f>
        <v>0</v>
      </c>
      <c r="N236" s="19"/>
      <c r="O236" s="90">
        <v>0</v>
      </c>
      <c r="P236" s="79">
        <f t="shared" si="3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46">
        <f>+ยกมา!J229</f>
        <v>0</v>
      </c>
      <c r="F237" s="44">
        <f>+'30'!F237+'1'!F237+'2'!F237+'3'!F237+'4'!F237+'5'!F237+'6'!F237+'7'!F237+'8'!F237+'9'!F237+'10'!F237</f>
        <v>0</v>
      </c>
      <c r="G237" s="43">
        <f t="shared" si="31"/>
        <v>0</v>
      </c>
      <c r="H237" s="78">
        <f>+'30'!H237+'1'!H237+'2'!H237+'3'!H237+'4'!H237+'5'!H237+'6'!H237+'7'!H237+'8'!H237+'9'!H237+'10'!H237</f>
        <v>0</v>
      </c>
      <c r="I237" s="76">
        <f>+'30'!I237+'1'!I237+'2'!I237+'3'!I237+'4'!I237+'5'!I237+'6'!I237+'7'!I237+'8'!I237+'9'!I237+'10'!I237</f>
        <v>0</v>
      </c>
      <c r="J237" s="43">
        <f t="shared" si="36"/>
        <v>0</v>
      </c>
      <c r="K237" s="44">
        <f>+'30'!K237+'1'!K237+'2'!K237+'3'!K237+'4'!K237+'5'!K237+'6'!K237+'7'!K237+'8'!K237+'9'!K237+'10'!K237</f>
        <v>0</v>
      </c>
      <c r="L237" s="20">
        <v>60</v>
      </c>
      <c r="M237" s="44">
        <f>+'30'!M237+'1'!M237+'2'!M237+'3'!M237+'4'!M237+'5'!M237+'6'!M237+'7'!M237+'8'!M237+'9'!M237+'10'!M237</f>
        <v>0</v>
      </c>
      <c r="N237" s="19"/>
      <c r="O237" s="90">
        <v>0</v>
      </c>
      <c r="P237" s="79">
        <f t="shared" si="3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46">
        <f>+ยกมา!J230</f>
        <v>0</v>
      </c>
      <c r="F238" s="44">
        <f>+'30'!F238+'1'!F238+'2'!F238+'3'!F238+'4'!F238+'5'!F238+'6'!F238+'7'!F238+'8'!F238+'9'!F238+'10'!F238</f>
        <v>0</v>
      </c>
      <c r="G238" s="43">
        <f t="shared" si="31"/>
        <v>0</v>
      </c>
      <c r="H238" s="78">
        <f>+'30'!H238+'1'!H238+'2'!H238+'3'!H238+'4'!H238+'5'!H238+'6'!H238+'7'!H238+'8'!H238+'9'!H238+'10'!H238</f>
        <v>0</v>
      </c>
      <c r="I238" s="76">
        <f>+'30'!I238+'1'!I238+'2'!I238+'3'!I238+'4'!I238+'5'!I238+'6'!I238+'7'!I238+'8'!I238+'9'!I238+'10'!I238</f>
        <v>0</v>
      </c>
      <c r="J238" s="43">
        <f t="shared" si="36"/>
        <v>0</v>
      </c>
      <c r="K238" s="44">
        <f>+'30'!K238+'1'!K238+'2'!K238+'3'!K238+'4'!K238+'5'!K238+'6'!K238+'7'!K238+'8'!K238+'9'!K238+'10'!K238</f>
        <v>0</v>
      </c>
      <c r="L238" s="20">
        <v>150</v>
      </c>
      <c r="M238" s="44">
        <f>+'30'!M238+'1'!M238+'2'!M238+'3'!M238+'4'!M238+'5'!M238+'6'!M238+'7'!M238+'8'!M238+'9'!M238+'10'!M238</f>
        <v>0</v>
      </c>
      <c r="N238" s="19"/>
      <c r="O238" s="90">
        <v>0</v>
      </c>
      <c r="P238" s="79">
        <f t="shared" si="3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46">
        <f>+ยกมา!J231</f>
        <v>0</v>
      </c>
      <c r="F239" s="44">
        <f>+'30'!F239+'1'!F239+'2'!F239+'3'!F239+'4'!F239+'5'!F239+'6'!F239+'7'!F239+'8'!F239+'9'!F239+'10'!F239</f>
        <v>0</v>
      </c>
      <c r="G239" s="43">
        <f t="shared" si="31"/>
        <v>0</v>
      </c>
      <c r="H239" s="78">
        <f>+'30'!H239+'1'!H239+'2'!H239+'3'!H239+'4'!H239+'5'!H239+'6'!H239+'7'!H239+'8'!H239+'9'!H239+'10'!H239</f>
        <v>0</v>
      </c>
      <c r="I239" s="76">
        <f>+'30'!I239+'1'!I239+'2'!I239+'3'!I239+'4'!I239+'5'!I239+'6'!I239+'7'!I239+'8'!I239+'9'!I239+'10'!I239</f>
        <v>0</v>
      </c>
      <c r="J239" s="43">
        <f t="shared" si="36"/>
        <v>0</v>
      </c>
      <c r="K239" s="44">
        <f>+'30'!K239+'1'!K239+'2'!K239+'3'!K239+'4'!K239+'5'!K239+'6'!K239+'7'!K239+'8'!K239+'9'!K239+'10'!K239</f>
        <v>0</v>
      </c>
      <c r="L239" s="20">
        <v>150</v>
      </c>
      <c r="M239" s="44">
        <f>+'30'!M239+'1'!M239+'2'!M239+'3'!M239+'4'!M239+'5'!M239+'6'!M239+'7'!M239+'8'!M239+'9'!M239+'10'!M239</f>
        <v>0</v>
      </c>
      <c r="N239" s="19"/>
      <c r="O239" s="90">
        <v>0</v>
      </c>
      <c r="P239" s="79">
        <f t="shared" si="3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ht="24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46">
        <f>+ยกมา!J232</f>
        <v>0</v>
      </c>
      <c r="F240" s="44">
        <f>+'30'!F240+'1'!F240+'2'!F240+'3'!F240+'4'!F240+'5'!F240+'6'!F240+'7'!F240+'8'!F240+'9'!F240+'10'!F240</f>
        <v>0</v>
      </c>
      <c r="G240" s="43">
        <f t="shared" si="31"/>
        <v>0</v>
      </c>
      <c r="H240" s="78">
        <f>+'30'!H240+'1'!H240+'2'!H240+'3'!H240+'4'!H240+'5'!H240+'6'!H240+'7'!H240+'8'!H240+'9'!H240+'10'!H240</f>
        <v>0</v>
      </c>
      <c r="I240" s="76">
        <f>+'30'!I240+'1'!I240+'2'!I240+'3'!I240+'4'!I240+'5'!I240+'6'!I240+'7'!I240+'8'!I240+'9'!I240+'10'!I240</f>
        <v>0</v>
      </c>
      <c r="J240" s="43">
        <f t="shared" si="36"/>
        <v>0</v>
      </c>
      <c r="K240" s="44">
        <f>+'30'!K240+'1'!K240+'2'!K240+'3'!K240+'4'!K240+'5'!K240+'6'!K240+'7'!K240+'8'!K240+'9'!K240+'10'!K240</f>
        <v>0</v>
      </c>
      <c r="L240" s="20">
        <v>200</v>
      </c>
      <c r="M240" s="44">
        <f>+'30'!M240+'1'!M240+'2'!M240+'3'!M240+'4'!M240+'5'!M240+'6'!M240+'7'!M240+'8'!M240+'9'!M240+'10'!M240</f>
        <v>0</v>
      </c>
      <c r="N240" s="19"/>
      <c r="O240" s="90">
        <v>0</v>
      </c>
      <c r="P240" s="79">
        <f t="shared" si="37"/>
        <v>0</v>
      </c>
      <c r="Q240" s="50"/>
      <c r="R240" s="58"/>
      <c r="S240" s="5"/>
      <c r="T240" s="5"/>
      <c r="U240" s="5"/>
      <c r="V240" s="5"/>
      <c r="W240" s="5"/>
      <c r="X240" s="5"/>
      <c r="Y240" s="5"/>
      <c r="AC240" s="50"/>
    </row>
    <row r="241" spans="1:29" ht="24" customHeight="1" x14ac:dyDescent="0.65">
      <c r="A241" s="10">
        <v>237</v>
      </c>
      <c r="B241" s="10"/>
      <c r="C241" s="19" t="s">
        <v>270</v>
      </c>
      <c r="D241" s="10"/>
      <c r="E241" s="46">
        <f>+ยกมา!J232</f>
        <v>0</v>
      </c>
      <c r="F241" s="44">
        <f>+'30'!F241+'1'!F241+'2'!F241+'3'!F241+'4'!F241+'5'!F241+'6'!F241+'7'!F241+'8'!F241+'9'!F241+'10'!F241</f>
        <v>0</v>
      </c>
      <c r="G241" s="43">
        <f t="shared" si="31"/>
        <v>0</v>
      </c>
      <c r="H241" s="78">
        <f>+'30'!H241+'1'!H241+'2'!H241+'3'!H241+'4'!H241+'5'!H241+'6'!H241+'7'!H241+'8'!H241+'9'!H241+'10'!H241</f>
        <v>0</v>
      </c>
      <c r="I241" s="76">
        <f>+'30'!I241+'1'!I241+'2'!I241+'3'!I241+'4'!I241+'5'!I241+'6'!I241+'7'!I241+'8'!I241+'9'!I241+'10'!I241</f>
        <v>0</v>
      </c>
      <c r="J241" s="43">
        <f t="shared" si="36"/>
        <v>0</v>
      </c>
      <c r="K241" s="44">
        <f>+'30'!K241+'1'!K241+'2'!K241+'3'!K241+'4'!K241+'5'!K241+'6'!K241+'7'!K241+'8'!K241+'9'!K241+'10'!K241</f>
        <v>0</v>
      </c>
      <c r="L241" s="20"/>
      <c r="M241" s="44">
        <f>+'30'!M241+'1'!M241+'2'!M241+'3'!M241+'4'!M241+'5'!M241+'6'!M241+'7'!M241+'8'!M241+'9'!M241+'10'!M241</f>
        <v>0</v>
      </c>
      <c r="N241" s="19"/>
      <c r="O241" s="90">
        <v>0</v>
      </c>
      <c r="P241" s="79">
        <f t="shared" si="37"/>
        <v>0</v>
      </c>
      <c r="AC241" s="50"/>
    </row>
    <row r="242" spans="1:29" x14ac:dyDescent="0.65">
      <c r="A242" s="10">
        <v>238</v>
      </c>
      <c r="B242" s="10"/>
      <c r="C242" s="19" t="s">
        <v>1436</v>
      </c>
      <c r="D242" s="10" t="s">
        <v>564</v>
      </c>
      <c r="E242" s="46">
        <f>+ยกมา!J247</f>
        <v>0</v>
      </c>
      <c r="F242" s="44">
        <f>+'30'!F242+'1'!F242+'2'!F242+'3'!F242+'4'!F242+'5'!F242+'6'!F242+'7'!F242+'8'!F242+'9'!F242+'10'!F242</f>
        <v>50</v>
      </c>
      <c r="G242" s="43">
        <f t="shared" si="31"/>
        <v>50</v>
      </c>
      <c r="H242" s="78">
        <f>+'30'!H242+'1'!H242+'2'!H242+'3'!H242+'4'!H242+'5'!H242+'6'!H242+'7'!H242+'8'!H242+'9'!H242+'10'!H242</f>
        <v>7</v>
      </c>
      <c r="I242" s="76">
        <f>+'30'!I242+'1'!I242+'2'!I242+'3'!I242+'4'!I242+'5'!I242+'6'!I242+'7'!I242+'8'!I242+'9'!I242+'10'!I242</f>
        <v>0</v>
      </c>
      <c r="J242" s="43">
        <f t="shared" si="36"/>
        <v>0</v>
      </c>
      <c r="K242" s="44">
        <f>+'30'!K242+'1'!K242+'2'!K242+'3'!K242+'4'!K242+'5'!K242+'6'!K242+'7'!K242+'8'!K242+'9'!K242+'10'!K242</f>
        <v>43</v>
      </c>
      <c r="L242" s="20">
        <v>35</v>
      </c>
      <c r="M242" s="44">
        <f>+'30'!M242+'1'!M242+'2'!M242+'3'!M242+'4'!M242+'5'!M242+'6'!M242+'7'!M242+'8'!M242+'9'!M242+'10'!M242</f>
        <v>1505</v>
      </c>
      <c r="N242" s="19"/>
      <c r="O242" s="90">
        <v>13.64</v>
      </c>
      <c r="P242" s="79">
        <f t="shared" si="37"/>
        <v>586.52</v>
      </c>
      <c r="AC242" s="50"/>
    </row>
    <row r="243" spans="1:29" x14ac:dyDescent="0.65">
      <c r="A243" s="10">
        <v>239</v>
      </c>
      <c r="B243" s="10"/>
      <c r="C243" s="19" t="s">
        <v>1449</v>
      </c>
      <c r="D243" s="10" t="s">
        <v>564</v>
      </c>
      <c r="E243" s="46">
        <f>+ยกมา!J235</f>
        <v>0</v>
      </c>
      <c r="F243" s="44">
        <f>+'30'!F243+'1'!F243+'2'!F243+'3'!F243+'4'!F243+'5'!F243+'6'!F243+'7'!F243+'8'!F243+'9'!F243+'10'!F243</f>
        <v>100</v>
      </c>
      <c r="G243" s="43">
        <f t="shared" si="31"/>
        <v>100</v>
      </c>
      <c r="H243" s="78">
        <f>+'30'!H243+'1'!H243+'2'!H243+'3'!H243+'4'!H243+'5'!H243+'6'!H243+'7'!H243+'8'!H243+'9'!H243+'10'!H243</f>
        <v>0</v>
      </c>
      <c r="I243" s="76">
        <f>+'30'!I243+'1'!I243+'2'!I243+'3'!I243+'4'!I243+'5'!I243+'6'!I243+'7'!I243+'8'!I243+'9'!I243+'10'!I243</f>
        <v>1</v>
      </c>
      <c r="J243" s="43">
        <f t="shared" ref="J243:J246" si="38">E243+F243-H243-K243-I243</f>
        <v>42</v>
      </c>
      <c r="K243" s="44">
        <f>+'30'!K243+'1'!K243+'2'!K243+'3'!K243+'4'!K243+'5'!K243+'6'!K243+'7'!K243+'8'!K243+'9'!K243+'10'!K243</f>
        <v>57</v>
      </c>
      <c r="L243" s="20">
        <v>49</v>
      </c>
      <c r="M243" s="44">
        <f>+'30'!M243+'1'!M243+'2'!M243+'3'!M243+'4'!M243+'5'!M243+'6'!M243+'7'!M243+'8'!M243+'9'!M243+'10'!M243</f>
        <v>2793</v>
      </c>
      <c r="N243" s="19"/>
      <c r="O243" s="90">
        <v>26.22</v>
      </c>
      <c r="P243" s="79">
        <f t="shared" ref="P243:P246" si="39">+K243*O243</f>
        <v>1494.54</v>
      </c>
      <c r="AC243" s="50"/>
    </row>
    <row r="244" spans="1:29" x14ac:dyDescent="0.65">
      <c r="A244" s="10">
        <v>240</v>
      </c>
      <c r="B244" s="10"/>
      <c r="C244" s="19"/>
      <c r="D244" s="10"/>
      <c r="E244" s="46">
        <f>+ยกมา!J236</f>
        <v>0</v>
      </c>
      <c r="F244" s="44">
        <f>+'30'!F244+'1'!F244+'2'!F244+'3'!F244+'4'!F244+'5'!F244+'6'!F244+'7'!F244+'8'!F244+'9'!F244+'10'!F244</f>
        <v>0</v>
      </c>
      <c r="G244" s="43">
        <f t="shared" si="31"/>
        <v>0</v>
      </c>
      <c r="H244" s="78">
        <f>+'30'!H244+'1'!H244+'2'!H244+'3'!H244+'4'!H244+'5'!H244+'6'!H244+'7'!H244+'8'!H244+'9'!H244+'10'!H244</f>
        <v>0</v>
      </c>
      <c r="I244" s="76">
        <f>+'30'!I244+'1'!I244+'2'!I244+'3'!I244+'4'!I244+'5'!I244+'6'!I244+'7'!I244+'8'!I244+'9'!I244+'10'!I244</f>
        <v>0</v>
      </c>
      <c r="J244" s="43">
        <f t="shared" si="38"/>
        <v>0</v>
      </c>
      <c r="K244" s="44">
        <f>+'30'!K244+'1'!K244+'2'!K244+'3'!K244+'4'!K244+'5'!K244+'6'!K244+'7'!K244+'8'!K244+'9'!K244+'10'!K244</f>
        <v>0</v>
      </c>
      <c r="L244" s="20"/>
      <c r="M244" s="44">
        <f>+'30'!M244+'1'!M244+'2'!M244+'3'!M244+'4'!M244+'5'!M244+'6'!M244+'7'!M244+'8'!M244+'9'!M244+'10'!M244</f>
        <v>0</v>
      </c>
      <c r="N244" s="19"/>
      <c r="O244" s="90"/>
      <c r="P244" s="79">
        <f t="shared" si="39"/>
        <v>0</v>
      </c>
      <c r="AC244" s="50"/>
    </row>
    <row r="245" spans="1:29" x14ac:dyDescent="0.65">
      <c r="A245" s="10">
        <v>241</v>
      </c>
      <c r="B245" s="10"/>
      <c r="C245" s="19"/>
      <c r="D245" s="10"/>
      <c r="E245" s="46">
        <f>+ยกมา!J237</f>
        <v>0</v>
      </c>
      <c r="F245" s="44">
        <f>+'30'!F245+'1'!F245+'2'!F245+'3'!F245+'4'!F245+'5'!F245+'6'!F245+'7'!F245+'8'!F245+'9'!F245+'10'!F245</f>
        <v>0</v>
      </c>
      <c r="G245" s="43">
        <f t="shared" si="31"/>
        <v>0</v>
      </c>
      <c r="H245" s="78">
        <f>+'30'!H245+'1'!H245+'2'!H245+'3'!H245+'4'!H245+'5'!H245+'6'!H245+'7'!H245+'8'!H245+'9'!H245+'10'!H245</f>
        <v>0</v>
      </c>
      <c r="I245" s="76">
        <f>+'30'!I245+'1'!I245+'2'!I245+'3'!I245+'4'!I245+'5'!I245+'6'!I245+'7'!I245+'8'!I245+'9'!I245+'10'!I245</f>
        <v>0</v>
      </c>
      <c r="J245" s="43">
        <f t="shared" si="38"/>
        <v>0</v>
      </c>
      <c r="K245" s="44">
        <f>+'30'!K245+'1'!K245+'2'!K245+'3'!K245+'4'!K245+'5'!K245+'6'!K245+'7'!K245+'8'!K245+'9'!K245+'10'!K245</f>
        <v>0</v>
      </c>
      <c r="L245" s="20"/>
      <c r="M245" s="44">
        <f>+'30'!M245+'1'!M245+'2'!M245+'3'!M245+'4'!M245+'5'!M245+'6'!M245+'7'!M245+'8'!M245+'9'!M245+'10'!M245</f>
        <v>0</v>
      </c>
      <c r="N245" s="19"/>
      <c r="O245" s="90"/>
      <c r="P245" s="79">
        <f t="shared" si="39"/>
        <v>0</v>
      </c>
      <c r="AC245" s="50"/>
    </row>
    <row r="246" spans="1:29" x14ac:dyDescent="0.65">
      <c r="A246" s="10">
        <v>242</v>
      </c>
      <c r="B246" s="10"/>
      <c r="C246" s="19"/>
      <c r="D246" s="10"/>
      <c r="E246" s="46">
        <f>+ยกมา!J238</f>
        <v>0</v>
      </c>
      <c r="F246" s="44">
        <f>+'30'!F246+'1'!F246+'2'!F246+'3'!F246+'4'!F246+'5'!F246+'6'!F246+'7'!F246+'8'!F246+'9'!F246+'10'!F246</f>
        <v>0</v>
      </c>
      <c r="G246" s="43">
        <f t="shared" si="31"/>
        <v>0</v>
      </c>
      <c r="H246" s="78">
        <f>+'30'!H246+'1'!H246+'2'!H246+'3'!H246+'4'!H246+'5'!H246+'6'!H246+'7'!H246+'8'!H246+'9'!H246+'10'!H246</f>
        <v>0</v>
      </c>
      <c r="I246" s="76">
        <f>+'30'!I246+'1'!I246+'2'!I246+'3'!I246+'4'!I246+'5'!I246+'6'!I246+'7'!I246+'8'!I246+'9'!I246+'10'!I246</f>
        <v>0</v>
      </c>
      <c r="J246" s="43">
        <f t="shared" si="38"/>
        <v>0</v>
      </c>
      <c r="K246" s="44">
        <f>+'30'!K246+'1'!K246+'2'!K246+'3'!K246+'4'!K246+'5'!K246+'6'!K246+'7'!K246+'8'!K246+'9'!K246+'10'!K246</f>
        <v>0</v>
      </c>
      <c r="L246" s="20"/>
      <c r="M246" s="44">
        <f>+'30'!M246+'1'!M246+'2'!M246+'3'!M246+'4'!M246+'5'!M246+'6'!M246+'7'!M246+'8'!M246+'9'!M246+'10'!M246</f>
        <v>0</v>
      </c>
      <c r="N246" s="19"/>
      <c r="O246" s="90"/>
      <c r="P246" s="79">
        <f t="shared" si="39"/>
        <v>0</v>
      </c>
    </row>
    <row r="247" spans="1:29" ht="24" customHeight="1" x14ac:dyDescent="0.65">
      <c r="A247" s="10">
        <v>243</v>
      </c>
      <c r="B247" s="10"/>
      <c r="C247" s="19"/>
      <c r="D247" s="10"/>
      <c r="E247" s="46">
        <f>+ยกมา!J234</f>
        <v>0</v>
      </c>
      <c r="F247" s="44">
        <f>+'30'!F247+'1'!F247+'2'!F247+'3'!F247+'4'!F247+'5'!F247+'6'!F247+'7'!F247+'8'!F247+'9'!F247+'10'!F247</f>
        <v>0</v>
      </c>
      <c r="G247" s="43">
        <f t="shared" si="31"/>
        <v>0</v>
      </c>
      <c r="H247" s="78">
        <f>+'30'!H247+'1'!H247+'2'!H247+'3'!H247+'4'!H247+'5'!H247+'6'!H247+'7'!H247+'8'!H247+'9'!H247+'10'!H247</f>
        <v>0</v>
      </c>
      <c r="I247" s="76">
        <f>+'30'!I247+'1'!I247+'2'!I247+'3'!I247+'4'!I247+'5'!I247+'6'!I247+'7'!I247+'8'!I247+'9'!I247+'10'!I247</f>
        <v>0</v>
      </c>
      <c r="J247" s="43">
        <f t="shared" si="36"/>
        <v>0</v>
      </c>
      <c r="K247" s="44">
        <f>+'30'!K247+'1'!K247+'2'!K247+'3'!K247+'4'!K247+'5'!K247+'6'!K247+'7'!K247+'8'!K247+'9'!K247+'10'!K247</f>
        <v>0</v>
      </c>
      <c r="L247" s="20"/>
      <c r="M247" s="44">
        <f>+'30'!M247+'1'!M247+'2'!M247+'3'!M247+'4'!M247+'5'!M247+'6'!M247+'7'!M247+'8'!M247+'9'!M247+'10'!M247</f>
        <v>0</v>
      </c>
      <c r="N247" s="19"/>
      <c r="O247" s="90"/>
      <c r="P247" s="79">
        <f t="shared" si="37"/>
        <v>0</v>
      </c>
    </row>
    <row r="248" spans="1:29" x14ac:dyDescent="0.65">
      <c r="A248" s="10">
        <v>244</v>
      </c>
      <c r="B248" s="10"/>
      <c r="C248" s="19"/>
      <c r="D248" s="10"/>
      <c r="E248" s="46">
        <f>+ยกมา!J235</f>
        <v>0</v>
      </c>
      <c r="F248" s="44">
        <f>+'30'!F248+'1'!F248+'2'!F248+'3'!F248+'4'!F248+'5'!F248+'6'!F248+'7'!F248+'8'!F248+'9'!F248+'10'!F248</f>
        <v>0</v>
      </c>
      <c r="G248" s="43">
        <f t="shared" si="31"/>
        <v>0</v>
      </c>
      <c r="H248" s="78">
        <f>+'30'!H248+'1'!H248+'2'!H248+'3'!H248+'4'!H248+'5'!H248+'6'!H248+'7'!H248+'8'!H248+'9'!H248+'10'!H248</f>
        <v>0</v>
      </c>
      <c r="I248" s="76">
        <f>+'30'!I248+'1'!I248+'2'!I248+'3'!I248+'4'!I248+'5'!I248+'6'!I248+'7'!I248+'8'!I248+'9'!I248+'10'!I248</f>
        <v>0</v>
      </c>
      <c r="J248" s="43">
        <f t="shared" ref="J248:J259" si="40">E248+F248-H248-K248-I248</f>
        <v>0</v>
      </c>
      <c r="K248" s="44">
        <f>+'30'!K248+'1'!K248+'2'!K248+'3'!K248+'4'!K248+'5'!K248+'6'!K248+'7'!K248+'8'!K248+'9'!K248+'10'!K248</f>
        <v>0</v>
      </c>
      <c r="L248" s="20"/>
      <c r="M248" s="44">
        <f>+'30'!M248+'1'!M248+'2'!M248+'3'!M248+'4'!M248+'5'!M248+'6'!M248+'7'!M248+'8'!M248+'9'!M248+'10'!M248</f>
        <v>0</v>
      </c>
      <c r="N248" s="19"/>
      <c r="O248" s="90"/>
      <c r="P248" s="79">
        <f t="shared" si="34"/>
        <v>0</v>
      </c>
    </row>
    <row r="249" spans="1:29" x14ac:dyDescent="0.65">
      <c r="A249" s="10">
        <v>245</v>
      </c>
      <c r="B249" s="10"/>
      <c r="C249" s="19"/>
      <c r="D249" s="10"/>
      <c r="E249" s="46">
        <f>+ยกมา!J236</f>
        <v>0</v>
      </c>
      <c r="F249" s="44">
        <f>+'30'!F249+'1'!F249+'2'!F249+'3'!F249+'4'!F249+'5'!F249+'6'!F249+'7'!F249+'8'!F249+'9'!F249+'10'!F249</f>
        <v>0</v>
      </c>
      <c r="G249" s="43">
        <f t="shared" si="31"/>
        <v>0</v>
      </c>
      <c r="H249" s="78">
        <f>+'30'!H249+'1'!H249+'2'!H249+'3'!H249+'4'!H249+'5'!H249+'6'!H249+'7'!H249+'8'!H249+'9'!H249+'10'!H249</f>
        <v>0</v>
      </c>
      <c r="I249" s="76">
        <f>+'30'!I249+'1'!I249+'2'!I249+'3'!I249+'4'!I249+'5'!I249+'6'!I249+'7'!I249+'8'!I249+'9'!I249+'10'!I249</f>
        <v>0</v>
      </c>
      <c r="J249" s="43">
        <f t="shared" si="40"/>
        <v>0</v>
      </c>
      <c r="K249" s="44">
        <f>+'30'!K249+'1'!K249+'2'!K249+'3'!K249+'4'!K249+'5'!K249+'6'!K249+'7'!K249+'8'!K249+'9'!K249+'10'!K249</f>
        <v>0</v>
      </c>
      <c r="L249" s="20"/>
      <c r="M249" s="44">
        <f>+'30'!M249+'1'!M249+'2'!M249+'3'!M249+'4'!M249+'5'!M249+'6'!M249+'7'!M249+'8'!M249+'9'!M249+'10'!M249</f>
        <v>0</v>
      </c>
      <c r="N249" s="19"/>
      <c r="O249" s="90"/>
      <c r="P249" s="79">
        <f t="shared" si="34"/>
        <v>0</v>
      </c>
    </row>
    <row r="250" spans="1:29" x14ac:dyDescent="0.65">
      <c r="A250" s="10">
        <v>246</v>
      </c>
      <c r="B250" s="10"/>
      <c r="C250" s="19"/>
      <c r="D250" s="10"/>
      <c r="E250" s="46">
        <f>+ยกมา!J237</f>
        <v>0</v>
      </c>
      <c r="F250" s="44">
        <f>+'30'!F250+'1'!F250+'2'!F250+'3'!F250+'4'!F250+'5'!F250+'6'!F250+'7'!F250+'8'!F250+'9'!F250+'10'!F250</f>
        <v>0</v>
      </c>
      <c r="G250" s="43">
        <f t="shared" si="31"/>
        <v>0</v>
      </c>
      <c r="H250" s="78">
        <f>+'30'!H250+'1'!H250+'2'!H250+'3'!H250+'4'!H250+'5'!H250+'6'!H250+'7'!H250+'8'!H250+'9'!H250+'10'!H250</f>
        <v>0</v>
      </c>
      <c r="I250" s="76">
        <f>+'30'!I250+'1'!I250+'2'!I250+'3'!I250+'4'!I250+'5'!I250+'6'!I250+'7'!I250+'8'!I250+'9'!I250+'10'!I250</f>
        <v>0</v>
      </c>
      <c r="J250" s="43">
        <f t="shared" si="40"/>
        <v>0</v>
      </c>
      <c r="K250" s="44">
        <f>+'30'!K250+'1'!K250+'2'!K250+'3'!K250+'4'!K250+'5'!K250+'6'!K250+'7'!K250+'8'!K250+'9'!K250+'10'!K250</f>
        <v>0</v>
      </c>
      <c r="L250" s="20"/>
      <c r="M250" s="44">
        <f>+'30'!M250+'1'!M250+'2'!M250+'3'!M250+'4'!M250+'5'!M250+'6'!M250+'7'!M250+'8'!M250+'9'!M250+'10'!M250</f>
        <v>0</v>
      </c>
      <c r="N250" s="19"/>
      <c r="O250" s="90"/>
      <c r="P250" s="79">
        <f t="shared" si="34"/>
        <v>0</v>
      </c>
    </row>
    <row r="251" spans="1:29" x14ac:dyDescent="0.65">
      <c r="A251" s="10">
        <v>247</v>
      </c>
      <c r="B251" s="10"/>
      <c r="C251" s="19"/>
      <c r="D251" s="10"/>
      <c r="E251" s="46">
        <f>+ยกมา!J238</f>
        <v>0</v>
      </c>
      <c r="F251" s="44">
        <f>+'30'!F251+'1'!F251+'2'!F251+'3'!F251+'4'!F251+'5'!F251+'6'!F251+'7'!F251+'8'!F251+'9'!F251+'10'!F251</f>
        <v>0</v>
      </c>
      <c r="G251" s="43">
        <f t="shared" si="31"/>
        <v>0</v>
      </c>
      <c r="H251" s="78">
        <f>+'30'!H251+'1'!H251+'2'!H251+'3'!H251+'4'!H251+'5'!H251+'6'!H251+'7'!H251+'8'!H251+'9'!H251+'10'!H251</f>
        <v>0</v>
      </c>
      <c r="I251" s="76">
        <f>+'30'!I251+'1'!I251+'2'!I251+'3'!I251+'4'!I251+'5'!I251+'6'!I251+'7'!I251+'8'!I251+'9'!I251+'10'!I251</f>
        <v>0</v>
      </c>
      <c r="J251" s="43">
        <f t="shared" si="40"/>
        <v>0</v>
      </c>
      <c r="K251" s="44">
        <f>+'30'!K251+'1'!K251+'2'!K251+'3'!K251+'4'!K251+'5'!K251+'6'!K251+'7'!K251+'8'!K251+'9'!K251+'10'!K251</f>
        <v>0</v>
      </c>
      <c r="L251" s="20"/>
      <c r="M251" s="44">
        <f>+'30'!M251+'1'!M251+'2'!M251+'3'!M251+'4'!M251+'5'!M251+'6'!M251+'7'!M251+'8'!M251+'9'!M251+'10'!M251</f>
        <v>0</v>
      </c>
      <c r="N251" s="19"/>
      <c r="O251" s="90"/>
      <c r="P251" s="79">
        <f t="shared" si="34"/>
        <v>0</v>
      </c>
    </row>
    <row r="252" spans="1:29" ht="24" customHeight="1" x14ac:dyDescent="0.65">
      <c r="A252" s="10">
        <v>248</v>
      </c>
      <c r="B252" s="10"/>
      <c r="C252" s="19"/>
      <c r="D252" s="10"/>
      <c r="E252" s="46">
        <f>+ยกมา!J239</f>
        <v>0</v>
      </c>
      <c r="F252" s="44">
        <f>+'30'!F252+'1'!F252+'2'!F252+'3'!F252+'4'!F252+'5'!F252+'6'!F252+'7'!F252+'8'!F252+'9'!F252+'10'!F252</f>
        <v>0</v>
      </c>
      <c r="G252" s="43">
        <f t="shared" si="31"/>
        <v>0</v>
      </c>
      <c r="H252" s="78">
        <f>+'30'!H252+'1'!H252+'2'!H252+'3'!H252+'4'!H252+'5'!H252+'6'!H252+'7'!H252+'8'!H252+'9'!H252+'10'!H252</f>
        <v>0</v>
      </c>
      <c r="I252" s="76">
        <f>+'30'!I252+'1'!I252+'2'!I252+'3'!I252+'4'!I252+'5'!I252+'6'!I252+'7'!I252+'8'!I252+'9'!I252+'10'!I252</f>
        <v>0</v>
      </c>
      <c r="J252" s="43">
        <f t="shared" si="40"/>
        <v>0</v>
      </c>
      <c r="K252" s="44">
        <f>+'30'!K252+'1'!K252+'2'!K252+'3'!K252+'4'!K252+'5'!K252+'6'!K252+'7'!K252+'8'!K252+'9'!K252+'10'!K252</f>
        <v>0</v>
      </c>
      <c r="L252" s="20"/>
      <c r="M252" s="44">
        <f>+'30'!M252+'1'!M252+'2'!M252+'3'!M252+'4'!M252+'5'!M252+'6'!M252+'7'!M252+'8'!M252+'9'!M252+'10'!M252</f>
        <v>0</v>
      </c>
      <c r="N252" s="19"/>
      <c r="O252" s="90"/>
      <c r="P252" s="79">
        <f t="shared" si="34"/>
        <v>0</v>
      </c>
    </row>
    <row r="253" spans="1:29" x14ac:dyDescent="0.65">
      <c r="A253" s="10">
        <v>249</v>
      </c>
      <c r="B253" s="10"/>
      <c r="C253" s="19"/>
      <c r="D253" s="10"/>
      <c r="E253" s="46">
        <f>+ยกมา!J240</f>
        <v>0</v>
      </c>
      <c r="F253" s="44">
        <f>+'30'!F253+'1'!F253+'2'!F253+'3'!F253+'4'!F253+'5'!F253+'6'!F253+'7'!F253+'8'!F253+'9'!F253+'10'!F253</f>
        <v>0</v>
      </c>
      <c r="G253" s="43">
        <f t="shared" si="31"/>
        <v>0</v>
      </c>
      <c r="H253" s="78">
        <f>+'30'!H253+'1'!H253+'2'!H253+'3'!H253+'4'!H253+'5'!H253+'6'!H253+'7'!H253+'8'!H253+'9'!H253+'10'!H253</f>
        <v>0</v>
      </c>
      <c r="I253" s="76">
        <f>+'30'!I253+'1'!I253+'2'!I253+'3'!I253+'4'!I253+'5'!I253+'6'!I253+'7'!I253+'8'!I253+'9'!I253+'10'!I253</f>
        <v>0</v>
      </c>
      <c r="J253" s="43">
        <f t="shared" si="40"/>
        <v>0</v>
      </c>
      <c r="K253" s="44">
        <f>+'30'!K253+'1'!K253+'2'!K253+'3'!K253+'4'!K253+'5'!K253+'6'!K253+'7'!K253+'8'!K253+'9'!K253+'10'!K253</f>
        <v>0</v>
      </c>
      <c r="L253" s="20"/>
      <c r="M253" s="44">
        <f>+'30'!M253+'1'!M253+'2'!M253+'3'!M253+'4'!M253+'5'!M253+'6'!M253+'7'!M253+'8'!M253+'9'!M253+'10'!M253</f>
        <v>0</v>
      </c>
      <c r="N253" s="19"/>
      <c r="O253" s="90"/>
      <c r="P253" s="79">
        <f t="shared" ref="P253" si="41">+K253*O253</f>
        <v>0</v>
      </c>
    </row>
    <row r="254" spans="1:29" x14ac:dyDescent="0.65">
      <c r="A254" s="10">
        <v>250</v>
      </c>
      <c r="B254" s="10"/>
      <c r="C254" s="19"/>
      <c r="D254" s="10"/>
      <c r="E254" s="46">
        <f>+ยกมา!J241</f>
        <v>0</v>
      </c>
      <c r="F254" s="44">
        <f>+'30'!F254+'1'!F254+'2'!F254+'3'!F254+'4'!F254+'5'!F254+'6'!F254+'7'!F254+'8'!F254+'9'!F254+'10'!F254</f>
        <v>0</v>
      </c>
      <c r="G254" s="43">
        <f t="shared" si="31"/>
        <v>0</v>
      </c>
      <c r="H254" s="78">
        <f>+'30'!H254+'1'!H254+'2'!H254+'3'!H254+'4'!H254+'5'!H254+'6'!H254+'7'!H254+'8'!H254+'9'!H254+'10'!H254</f>
        <v>0</v>
      </c>
      <c r="I254" s="76">
        <f>+'30'!I254+'1'!I254+'2'!I254+'3'!I254+'4'!I254+'5'!I254+'6'!I254+'7'!I254+'8'!I254+'9'!I254+'10'!I254</f>
        <v>0</v>
      </c>
      <c r="J254" s="43">
        <f t="shared" si="40"/>
        <v>0</v>
      </c>
      <c r="K254" s="44">
        <f>+'30'!K254+'1'!K254+'2'!K254+'3'!K254+'4'!K254+'5'!K254+'6'!K254+'7'!K254+'8'!K254+'9'!K254+'10'!K254</f>
        <v>0</v>
      </c>
      <c r="L254" s="20"/>
      <c r="M254" s="44">
        <f>+'30'!M254+'1'!M254+'2'!M254+'3'!M254+'4'!M254+'5'!M254+'6'!M254+'7'!M254+'8'!M254+'9'!M254+'10'!M254</f>
        <v>0</v>
      </c>
      <c r="N254" s="19"/>
      <c r="O254" s="90"/>
      <c r="P254" s="79">
        <f t="shared" si="34"/>
        <v>0</v>
      </c>
    </row>
    <row r="255" spans="1:29" x14ac:dyDescent="0.65">
      <c r="A255" s="10">
        <v>251</v>
      </c>
      <c r="B255" s="10"/>
      <c r="C255" s="19"/>
      <c r="D255" s="10"/>
      <c r="E255" s="46">
        <f>+ยกมา!J242</f>
        <v>0</v>
      </c>
      <c r="F255" s="44">
        <f>+'30'!F255+'1'!F255+'2'!F255+'3'!F255+'4'!F255+'5'!F255+'6'!F255+'7'!F255+'8'!F255+'9'!F255+'10'!F255</f>
        <v>0</v>
      </c>
      <c r="G255" s="43">
        <f t="shared" si="31"/>
        <v>0</v>
      </c>
      <c r="H255" s="78">
        <f>+'30'!H255+'1'!H255+'2'!H255+'3'!H255+'4'!H255+'5'!H255+'6'!H255+'7'!H255+'8'!H255+'9'!H255+'10'!H255</f>
        <v>0</v>
      </c>
      <c r="I255" s="76">
        <f>+'30'!I255+'1'!I255+'2'!I255+'3'!I255+'4'!I255+'5'!I255+'6'!I255+'7'!I255+'8'!I255+'9'!I255+'10'!I255</f>
        <v>0</v>
      </c>
      <c r="J255" s="43">
        <f t="shared" si="40"/>
        <v>0</v>
      </c>
      <c r="K255" s="44">
        <f>+'30'!K255+'1'!K255+'2'!K255+'3'!K255+'4'!K255+'5'!K255+'6'!K255+'7'!K255+'8'!K255+'9'!K255+'10'!K255</f>
        <v>0</v>
      </c>
      <c r="L255" s="20"/>
      <c r="M255" s="44">
        <f>+'30'!M255+'1'!M255+'2'!M255+'3'!M255+'4'!M255+'5'!M255+'6'!M255+'7'!M255+'8'!M255+'9'!M255+'10'!M255</f>
        <v>0</v>
      </c>
      <c r="N255" s="19"/>
      <c r="O255" s="90"/>
      <c r="P255" s="79">
        <f t="shared" si="34"/>
        <v>0</v>
      </c>
    </row>
    <row r="256" spans="1:29" x14ac:dyDescent="0.65">
      <c r="A256" s="10">
        <v>252</v>
      </c>
      <c r="B256" s="10"/>
      <c r="C256" s="19"/>
      <c r="D256" s="10"/>
      <c r="E256" s="46">
        <f>+ยกมา!J243</f>
        <v>0</v>
      </c>
      <c r="F256" s="44">
        <f>+'30'!F256+'1'!F256+'2'!F256+'3'!F256+'4'!F256+'5'!F256+'6'!F256+'7'!F256+'8'!F256+'9'!F256+'10'!F256</f>
        <v>0</v>
      </c>
      <c r="G256" s="43">
        <f t="shared" si="31"/>
        <v>0</v>
      </c>
      <c r="H256" s="78">
        <f>+'30'!H256+'1'!H256+'2'!H256+'3'!H256+'4'!H256+'5'!H256+'6'!H256+'7'!H256+'8'!H256+'9'!H256+'10'!H256</f>
        <v>0</v>
      </c>
      <c r="I256" s="76">
        <f>+'30'!I256+'1'!I256+'2'!I256+'3'!I256+'4'!I256+'5'!I256+'6'!I256+'7'!I256+'8'!I256+'9'!I256+'10'!I256</f>
        <v>0</v>
      </c>
      <c r="J256" s="43">
        <f t="shared" si="40"/>
        <v>0</v>
      </c>
      <c r="K256" s="44">
        <f>+'30'!K256+'1'!K256+'2'!K256+'3'!K256+'4'!K256+'5'!K256+'6'!K256+'7'!K256+'8'!K256+'9'!K256+'10'!K256</f>
        <v>0</v>
      </c>
      <c r="L256" s="20"/>
      <c r="M256" s="44">
        <f>+'30'!M256+'1'!M256+'2'!M256+'3'!M256+'4'!M256+'5'!M256+'6'!M256+'7'!M256+'8'!M256+'9'!M256+'10'!M256</f>
        <v>0</v>
      </c>
      <c r="N256" s="19"/>
      <c r="O256" s="90"/>
      <c r="P256" s="79">
        <f t="shared" si="34"/>
        <v>0</v>
      </c>
    </row>
    <row r="257" spans="1:29" x14ac:dyDescent="0.65">
      <c r="A257" s="10">
        <v>253</v>
      </c>
      <c r="B257" s="10"/>
      <c r="C257" s="19"/>
      <c r="D257" s="10"/>
      <c r="E257" s="46">
        <f>+ยกมา!J244</f>
        <v>0</v>
      </c>
      <c r="F257" s="44">
        <f>+'30'!F257+'1'!F257+'2'!F257+'3'!F257+'4'!F257+'5'!F257+'6'!F257+'7'!F257+'8'!F257+'9'!F257+'10'!F257</f>
        <v>0</v>
      </c>
      <c r="G257" s="43">
        <f t="shared" si="31"/>
        <v>0</v>
      </c>
      <c r="H257" s="78">
        <f>+'30'!H257+'1'!H257+'2'!H257+'3'!H257+'4'!H257+'5'!H257+'6'!H257+'7'!H257+'8'!H257+'9'!H257+'10'!H257</f>
        <v>0</v>
      </c>
      <c r="I257" s="76">
        <f>+'30'!I257+'1'!I257+'2'!I257+'3'!I257+'4'!I257+'5'!I257+'6'!I257+'7'!I257+'8'!I257+'9'!I257+'10'!I257</f>
        <v>0</v>
      </c>
      <c r="J257" s="43">
        <f t="shared" si="40"/>
        <v>0</v>
      </c>
      <c r="K257" s="44">
        <f>+'30'!K257+'1'!K257+'2'!K257+'3'!K257+'4'!K257+'5'!K257+'6'!K257+'7'!K257+'8'!K257+'9'!K257+'10'!K257</f>
        <v>0</v>
      </c>
      <c r="L257" s="20"/>
      <c r="M257" s="44">
        <f>+'30'!M257+'1'!M257+'2'!M257+'3'!M257+'4'!M257+'5'!M257+'6'!M257+'7'!M257+'8'!M257+'9'!M257+'10'!M257</f>
        <v>0</v>
      </c>
      <c r="N257" s="19"/>
      <c r="O257" s="90"/>
      <c r="P257" s="79">
        <f t="shared" ref="P257" si="42">+K257*O257</f>
        <v>0</v>
      </c>
    </row>
    <row r="258" spans="1:29" x14ac:dyDescent="0.65">
      <c r="A258" s="10">
        <v>254</v>
      </c>
      <c r="B258" s="10"/>
      <c r="C258" s="19"/>
      <c r="D258" s="10"/>
      <c r="E258" s="46">
        <f>+ยกมา!J245</f>
        <v>0</v>
      </c>
      <c r="F258" s="44">
        <f>+'30'!F258+'1'!F258+'2'!F258+'3'!F258+'4'!F258+'5'!F258+'6'!F258+'7'!F258+'8'!F258+'9'!F258+'10'!F258</f>
        <v>0</v>
      </c>
      <c r="G258" s="43">
        <f t="shared" si="31"/>
        <v>0</v>
      </c>
      <c r="H258" s="78">
        <f>+'30'!H258+'1'!H258+'2'!H258+'3'!H258+'4'!H258+'5'!H258+'6'!H258+'7'!H258+'8'!H258+'9'!H258+'10'!H258</f>
        <v>0</v>
      </c>
      <c r="I258" s="76">
        <f>+'30'!I258+'1'!I258+'2'!I258+'3'!I258+'4'!I258+'5'!I258+'6'!I258+'7'!I258+'8'!I258+'9'!I258+'10'!I258</f>
        <v>0</v>
      </c>
      <c r="J258" s="43">
        <f t="shared" si="40"/>
        <v>0</v>
      </c>
      <c r="K258" s="44">
        <f>+'30'!K258+'1'!K258+'2'!K258+'3'!K258+'4'!K258+'5'!K258+'6'!K258+'7'!K258+'8'!K258+'9'!K258+'10'!K258</f>
        <v>0</v>
      </c>
      <c r="L258" s="20"/>
      <c r="M258" s="44">
        <f>+'30'!M258+'1'!M258+'2'!M258+'3'!M258+'4'!M258+'5'!M258+'6'!M258+'7'!M258+'8'!M258+'9'!M258+'10'!M258</f>
        <v>0</v>
      </c>
      <c r="N258" s="19"/>
      <c r="O258" s="90"/>
      <c r="P258" s="79">
        <f t="shared" si="34"/>
        <v>0</v>
      </c>
    </row>
    <row r="259" spans="1:29" ht="24" customHeight="1" x14ac:dyDescent="0.65">
      <c r="A259" s="10">
        <v>255</v>
      </c>
      <c r="B259" s="10"/>
      <c r="C259" s="19"/>
      <c r="D259" s="10"/>
      <c r="E259" s="46">
        <f>+ยกมา!J246</f>
        <v>0</v>
      </c>
      <c r="F259" s="44">
        <f>+'30'!F259+'1'!F259+'2'!F259+'3'!F259+'4'!F259+'5'!F259+'6'!F259+'7'!F259+'8'!F259+'9'!F259+'10'!F259</f>
        <v>0</v>
      </c>
      <c r="G259" s="43">
        <f t="shared" si="31"/>
        <v>0</v>
      </c>
      <c r="H259" s="78">
        <f>+'30'!H259+'1'!H259+'2'!H259+'3'!H259+'4'!H259+'5'!H259+'6'!H259+'7'!H259+'8'!H259+'9'!H259+'10'!H259</f>
        <v>0</v>
      </c>
      <c r="I259" s="76">
        <f>+'30'!I259+'1'!I259+'2'!I259+'3'!I259+'4'!I259+'5'!I259+'6'!I259+'7'!I259+'8'!I259+'9'!I259+'10'!I259</f>
        <v>0</v>
      </c>
      <c r="J259" s="43">
        <f t="shared" si="40"/>
        <v>0</v>
      </c>
      <c r="K259" s="44">
        <f>+'30'!K259+'1'!K259+'2'!K259+'3'!K259+'4'!K259+'5'!K259+'6'!K259+'7'!K259+'8'!K259+'9'!K259+'10'!K259</f>
        <v>0</v>
      </c>
      <c r="L259" s="20"/>
      <c r="M259" s="44">
        <f>+'30'!M259+'1'!M259+'2'!M259+'3'!M259+'4'!M259+'5'!M259+'6'!M259+'7'!M259+'8'!M259+'9'!M259+'10'!M259</f>
        <v>0</v>
      </c>
      <c r="N259" s="19"/>
      <c r="O259" s="90"/>
      <c r="P259" s="79">
        <f t="shared" si="34"/>
        <v>0</v>
      </c>
    </row>
    <row r="260" spans="1:29" s="49" customFormat="1" ht="25.5" customHeight="1" x14ac:dyDescent="0.7">
      <c r="A260" s="185" t="s">
        <v>222</v>
      </c>
      <c r="B260" s="186"/>
      <c r="C260" s="186"/>
      <c r="D260" s="187"/>
      <c r="E260" s="194" t="s">
        <v>238</v>
      </c>
      <c r="F260" s="195"/>
      <c r="G260" s="188" t="s">
        <v>223</v>
      </c>
      <c r="H260" s="189"/>
      <c r="I260" s="190"/>
      <c r="J260" s="196" t="s">
        <v>224</v>
      </c>
      <c r="K260" s="196"/>
      <c r="L260" s="196"/>
      <c r="M260" s="51">
        <f>SUM(M5:M259)</f>
        <v>263050</v>
      </c>
      <c r="N260" s="52" t="s">
        <v>219</v>
      </c>
      <c r="O260" s="2"/>
      <c r="P260" s="23">
        <f>SUM(P5:P259)</f>
        <v>112418.59</v>
      </c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  <c r="AC260" s="2"/>
    </row>
    <row r="261" spans="1:29" s="50" customFormat="1" ht="24.75" customHeight="1" x14ac:dyDescent="0.65">
      <c r="A261" s="197" t="s">
        <v>225</v>
      </c>
      <c r="B261" s="198"/>
      <c r="C261" s="203">
        <f>+M263</f>
        <v>263050</v>
      </c>
      <c r="D261" s="204"/>
      <c r="E261" s="53" t="s">
        <v>226</v>
      </c>
      <c r="F261" s="54">
        <f>+M260</f>
        <v>263050</v>
      </c>
      <c r="G261" s="55" t="s">
        <v>217</v>
      </c>
      <c r="H261" s="212">
        <f>SUM(U16)</f>
        <v>0</v>
      </c>
      <c r="I261" s="213"/>
      <c r="J261" s="208"/>
      <c r="K261" s="208"/>
      <c r="L261" s="208"/>
      <c r="M261" s="57"/>
      <c r="N261" s="57">
        <f>+W16</f>
        <v>66920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s="50" customFormat="1" ht="24.75" customHeight="1" x14ac:dyDescent="0.65">
      <c r="A262" s="197"/>
      <c r="B262" s="198"/>
      <c r="C262" s="203"/>
      <c r="D262" s="204"/>
      <c r="E262" s="53" t="s">
        <v>227</v>
      </c>
      <c r="F262" s="54">
        <f>N263</f>
        <v>37506</v>
      </c>
      <c r="G262" s="55"/>
      <c r="H262" s="212">
        <v>0</v>
      </c>
      <c r="I262" s="213"/>
      <c r="J262" s="208" t="s">
        <v>228</v>
      </c>
      <c r="K262" s="208"/>
      <c r="L262" s="208"/>
      <c r="M262" s="57">
        <f>-T16</f>
        <v>0</v>
      </c>
      <c r="N262" s="57" t="s">
        <v>227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  <c r="AC262" s="2"/>
    </row>
    <row r="263" spans="1:29" s="50" customFormat="1" ht="24.75" customHeight="1" x14ac:dyDescent="0.65">
      <c r="A263" s="199" t="s">
        <v>10</v>
      </c>
      <c r="B263" s="200"/>
      <c r="C263" s="203">
        <f>+F262</f>
        <v>37506</v>
      </c>
      <c r="D263" s="204"/>
      <c r="E263" s="53"/>
      <c r="F263" s="54"/>
      <c r="G263" s="55" t="s">
        <v>229</v>
      </c>
      <c r="H263" s="212">
        <f>+V16</f>
        <v>2800</v>
      </c>
      <c r="I263" s="213"/>
      <c r="J263" s="209" t="s">
        <v>230</v>
      </c>
      <c r="K263" s="210"/>
      <c r="L263" s="211"/>
      <c r="M263" s="57">
        <f>+M260-M261</f>
        <v>263050</v>
      </c>
      <c r="N263" s="59">
        <f>+S16</f>
        <v>37506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  <c r="AC263" s="2"/>
    </row>
    <row r="264" spans="1:29" s="50" customFormat="1" ht="24.75" customHeight="1" x14ac:dyDescent="0.65">
      <c r="A264" s="201" t="s">
        <v>231</v>
      </c>
      <c r="B264" s="202"/>
      <c r="C264" s="203">
        <f>+C261-C263</f>
        <v>225544</v>
      </c>
      <c r="D264" s="204"/>
      <c r="E264" s="53" t="s">
        <v>231</v>
      </c>
      <c r="F264" s="54">
        <f>+F261-F262</f>
        <v>225544</v>
      </c>
      <c r="G264" s="55" t="s">
        <v>232</v>
      </c>
      <c r="H264" s="212">
        <f>SUM(H261:H263)</f>
        <v>2800</v>
      </c>
      <c r="I264" s="213"/>
      <c r="J264" s="208" t="s">
        <v>206</v>
      </c>
      <c r="K264" s="208"/>
      <c r="L264" s="208"/>
      <c r="M264" s="57">
        <f>H264</f>
        <v>2800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  <c r="AC264" s="2"/>
    </row>
    <row r="265" spans="1:29" s="50" customFormat="1" ht="24.75" customHeight="1" x14ac:dyDescent="0.65">
      <c r="A265" s="60"/>
      <c r="B265" s="115"/>
      <c r="C265" s="60"/>
      <c r="D265" s="60"/>
      <c r="E265" s="53" t="s">
        <v>233</v>
      </c>
      <c r="F265" s="54">
        <v>100000</v>
      </c>
      <c r="J265" s="191" t="s">
        <v>208</v>
      </c>
      <c r="K265" s="192"/>
      <c r="L265" s="193"/>
      <c r="M265" s="57">
        <f>M263-M264-N261-N263</f>
        <v>155824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  <c r="AC265" s="2"/>
    </row>
    <row r="266" spans="1:29" s="50" customFormat="1" ht="24.75" customHeight="1" x14ac:dyDescent="0.65">
      <c r="A266" s="60"/>
      <c r="B266" s="115"/>
      <c r="C266" s="60"/>
      <c r="D266" s="60"/>
      <c r="E266" s="53" t="s">
        <v>234</v>
      </c>
      <c r="F266" s="54">
        <f>F264-F265</f>
        <v>125544</v>
      </c>
      <c r="J266" s="191" t="s">
        <v>209</v>
      </c>
      <c r="K266" s="192"/>
      <c r="L266" s="193"/>
      <c r="M266" s="57">
        <f>+Y16</f>
        <v>152780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65">
      <c r="A267" s="60"/>
      <c r="B267" s="115"/>
      <c r="C267" s="60"/>
      <c r="D267" s="60"/>
      <c r="E267" s="53" t="s">
        <v>235</v>
      </c>
      <c r="F267" s="54">
        <v>0</v>
      </c>
      <c r="J267" s="191" t="s">
        <v>210</v>
      </c>
      <c r="K267" s="192"/>
      <c r="L267" s="19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7">
      <c r="A268" s="60"/>
      <c r="B268" s="115"/>
      <c r="C268" s="60"/>
      <c r="D268" s="60"/>
      <c r="E268" s="100" t="s">
        <v>1379</v>
      </c>
      <c r="F268" s="101">
        <v>0</v>
      </c>
      <c r="J268" s="214" t="s">
        <v>211</v>
      </c>
      <c r="K268" s="214"/>
      <c r="L268" s="214"/>
      <c r="M268" s="61">
        <f>+M266-M265</f>
        <v>-3044</v>
      </c>
      <c r="N268" s="66"/>
    </row>
    <row r="269" spans="1:29" ht="24.75" customHeight="1" thickBot="1" x14ac:dyDescent="0.7">
      <c r="H269" s="205" t="s">
        <v>236</v>
      </c>
      <c r="I269" s="206"/>
      <c r="J269" s="206"/>
      <c r="K269" s="206"/>
      <c r="L269" s="206"/>
      <c r="M269" s="206"/>
      <c r="N269" s="207"/>
    </row>
    <row r="270" spans="1:29" x14ac:dyDescent="0.65">
      <c r="F270" s="23"/>
    </row>
  </sheetData>
  <autoFilter ref="A4:AC269" xr:uid="{C258BCB2-AD6B-4EC8-A3B2-59814A6857B7}"/>
  <mergeCells count="52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E28B-5D42-42D9-B67E-E925A2086639}">
  <sheetPr>
    <tabColor rgb="FFFFFF00"/>
  </sheetPr>
  <dimension ref="A1:R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8" sqref="A1:H8"/>
    </sheetView>
  </sheetViews>
  <sheetFormatPr defaultRowHeight="23.4" x14ac:dyDescent="0.6"/>
  <cols>
    <col min="1" max="1" width="8.796875" style="158"/>
    <col min="2" max="2" width="21.8984375" style="156" bestFit="1" customWidth="1"/>
    <col min="3" max="3" width="11.296875" style="156" bestFit="1" customWidth="1"/>
    <col min="4" max="5" width="8.796875" style="156"/>
    <col min="6" max="6" width="11.3984375" style="156" bestFit="1" customWidth="1"/>
    <col min="7" max="7" width="11.296875" style="156" bestFit="1" customWidth="1"/>
    <col min="8" max="8" width="8.796875" style="156"/>
    <col min="9" max="9" width="9.19921875" style="156" bestFit="1" customWidth="1"/>
    <col min="10" max="16384" width="8.796875" style="156"/>
  </cols>
  <sheetData>
    <row r="1" spans="1:18" s="3" customFormat="1" ht="28.8" x14ac:dyDescent="0.75">
      <c r="A1" s="160" t="s">
        <v>1450</v>
      </c>
    </row>
    <row r="2" spans="1:18" s="159" customFormat="1" ht="26.4" x14ac:dyDescent="0.7">
      <c r="A2" s="165" t="s">
        <v>1451</v>
      </c>
      <c r="B2" s="165" t="s">
        <v>2</v>
      </c>
      <c r="C2" s="165" t="s">
        <v>215</v>
      </c>
      <c r="D2" s="165" t="s">
        <v>9</v>
      </c>
      <c r="F2" s="162" t="s">
        <v>1474</v>
      </c>
      <c r="G2" s="163">
        <f>+สรุป!AB16</f>
        <v>219700</v>
      </c>
      <c r="H2" s="162" t="s">
        <v>1471</v>
      </c>
    </row>
    <row r="3" spans="1:18" x14ac:dyDescent="0.6">
      <c r="A3" s="158">
        <v>1</v>
      </c>
      <c r="B3" s="156" t="s">
        <v>1452</v>
      </c>
      <c r="C3" s="157">
        <f>+สรุป!P260</f>
        <v>112418.59</v>
      </c>
      <c r="F3" s="162" t="s">
        <v>1475</v>
      </c>
      <c r="G3" s="164">
        <f>+C8</f>
        <v>186418.59</v>
      </c>
      <c r="H3" s="162" t="s">
        <v>1471</v>
      </c>
    </row>
    <row r="4" spans="1:18" x14ac:dyDescent="0.6">
      <c r="A4" s="158">
        <v>2</v>
      </c>
      <c r="B4" s="156" t="s">
        <v>1453</v>
      </c>
      <c r="C4" s="157">
        <f>+ค่าแรงพนักงาน!C6</f>
        <v>15200</v>
      </c>
      <c r="F4" s="162" t="s">
        <v>1476</v>
      </c>
      <c r="G4" s="164">
        <f>+G2-G3</f>
        <v>33281.410000000003</v>
      </c>
      <c r="H4" s="162" t="s">
        <v>1471</v>
      </c>
    </row>
    <row r="5" spans="1:18" x14ac:dyDescent="0.6">
      <c r="A5" s="158">
        <v>3</v>
      </c>
      <c r="B5" s="156" t="s">
        <v>1477</v>
      </c>
      <c r="C5" s="157">
        <v>45000</v>
      </c>
    </row>
    <row r="6" spans="1:18" x14ac:dyDescent="0.6">
      <c r="A6" s="158">
        <v>4</v>
      </c>
      <c r="B6" s="156" t="s">
        <v>1448</v>
      </c>
      <c r="C6" s="157">
        <v>2800</v>
      </c>
    </row>
    <row r="7" spans="1:18" x14ac:dyDescent="0.6">
      <c r="A7" s="158">
        <v>5</v>
      </c>
      <c r="B7" s="156" t="s">
        <v>1454</v>
      </c>
      <c r="C7" s="157">
        <f>7000+4000</f>
        <v>11000</v>
      </c>
      <c r="I7" s="161"/>
    </row>
    <row r="8" spans="1:18" ht="27" thickBot="1" x14ac:dyDescent="0.75">
      <c r="A8" s="156"/>
      <c r="C8" s="168">
        <f>SUM(C3:C7)</f>
        <v>186418.59</v>
      </c>
    </row>
    <row r="9" spans="1:18" ht="24" thickTop="1" x14ac:dyDescent="0.6">
      <c r="A9" s="156"/>
    </row>
    <row r="10" spans="1:18" x14ac:dyDescent="0.6">
      <c r="C10" s="157"/>
    </row>
    <row r="11" spans="1:18" x14ac:dyDescent="0.6">
      <c r="C11" s="173">
        <v>7</v>
      </c>
      <c r="D11" s="173">
        <v>8</v>
      </c>
      <c r="E11" s="173">
        <v>9</v>
      </c>
      <c r="F11" s="173">
        <v>10</v>
      </c>
      <c r="G11" s="173">
        <v>11</v>
      </c>
      <c r="H11" s="173">
        <v>12</v>
      </c>
      <c r="I11" s="173">
        <v>13</v>
      </c>
      <c r="J11" s="173">
        <v>14</v>
      </c>
      <c r="K11" s="173">
        <v>15</v>
      </c>
      <c r="L11" s="173">
        <v>16</v>
      </c>
      <c r="M11" s="173">
        <v>17</v>
      </c>
      <c r="N11" s="173">
        <v>18</v>
      </c>
      <c r="O11" s="173">
        <v>19</v>
      </c>
      <c r="P11" s="173">
        <v>20</v>
      </c>
      <c r="Q11" s="173">
        <v>21</v>
      </c>
      <c r="R11" s="173">
        <v>22</v>
      </c>
    </row>
    <row r="12" spans="1:18" x14ac:dyDescent="0.6">
      <c r="C12" s="174"/>
      <c r="D12" s="174"/>
      <c r="E12" s="174"/>
      <c r="F12" s="174"/>
      <c r="G12" s="174"/>
      <c r="H12" s="174"/>
      <c r="I12" s="174"/>
      <c r="J12" s="174"/>
      <c r="K12" s="175"/>
      <c r="L12" s="175"/>
      <c r="M12" s="175"/>
      <c r="N12" s="175"/>
      <c r="O12" s="175"/>
      <c r="P12" s="175"/>
      <c r="Q12" s="172"/>
      <c r="R12" s="172"/>
    </row>
  </sheetData>
  <phoneticPr fontId="2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2B39-53FA-4A97-976F-1AFB1074F5A7}">
  <sheetPr>
    <tabColor rgb="FF7030A0"/>
  </sheetPr>
  <dimension ref="A1:J16"/>
  <sheetViews>
    <sheetView tabSelected="1"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A15" sqref="A1:J15"/>
    </sheetView>
  </sheetViews>
  <sheetFormatPr defaultRowHeight="23.4" x14ac:dyDescent="0.6"/>
  <cols>
    <col min="1" max="1" width="5.3984375" style="145" customWidth="1"/>
    <col min="2" max="2" width="26.09765625" style="145" bestFit="1" customWidth="1"/>
    <col min="3" max="3" width="10.3984375" style="145" bestFit="1" customWidth="1"/>
    <col min="4" max="4" width="11.296875" style="145" bestFit="1" customWidth="1"/>
    <col min="5" max="5" width="10.3984375" style="145" bestFit="1" customWidth="1"/>
    <col min="6" max="7" width="8.796875" style="145"/>
    <col min="8" max="8" width="14.296875" style="145" bestFit="1" customWidth="1"/>
    <col min="9" max="9" width="10.09765625" style="145" bestFit="1" customWidth="1"/>
    <col min="10" max="16384" width="8.796875" style="145"/>
  </cols>
  <sheetData>
    <row r="1" spans="1:10" s="167" customFormat="1" ht="28.8" x14ac:dyDescent="0.75">
      <c r="A1" s="150" t="s">
        <v>1482</v>
      </c>
    </row>
    <row r="2" spans="1:10" s="148" customFormat="1" ht="26.4" x14ac:dyDescent="0.7">
      <c r="A2" s="166" t="s">
        <v>1451</v>
      </c>
      <c r="B2" s="166" t="s">
        <v>2</v>
      </c>
      <c r="C2" s="166" t="s">
        <v>1478</v>
      </c>
      <c r="D2" s="166" t="s">
        <v>1479</v>
      </c>
      <c r="E2" s="169" t="s">
        <v>1480</v>
      </c>
      <c r="F2" s="166" t="s">
        <v>9</v>
      </c>
      <c r="G2" s="149"/>
      <c r="H2" s="162" t="s">
        <v>1485</v>
      </c>
      <c r="I2" s="163">
        <f>+C8+C15</f>
        <v>125870</v>
      </c>
      <c r="J2" s="162" t="s">
        <v>1471</v>
      </c>
    </row>
    <row r="3" spans="1:10" x14ac:dyDescent="0.6">
      <c r="A3" s="151">
        <v>1</v>
      </c>
      <c r="B3" s="145" t="s">
        <v>1457</v>
      </c>
      <c r="C3" s="152">
        <v>16500</v>
      </c>
      <c r="D3" s="152">
        <v>28000</v>
      </c>
      <c r="E3" s="170">
        <f>+D3-C3</f>
        <v>11500</v>
      </c>
      <c r="H3" s="162" t="s">
        <v>1486</v>
      </c>
      <c r="I3" s="164">
        <f>+D8</f>
        <v>158000</v>
      </c>
      <c r="J3" s="162" t="s">
        <v>1471</v>
      </c>
    </row>
    <row r="4" spans="1:10" x14ac:dyDescent="0.6">
      <c r="A4" s="151">
        <v>2</v>
      </c>
      <c r="B4" s="145" t="s">
        <v>1458</v>
      </c>
      <c r="C4" s="152">
        <v>16500</v>
      </c>
      <c r="D4" s="152">
        <v>25000</v>
      </c>
      <c r="E4" s="170">
        <f t="shared" ref="E4:E7" si="0">+D4-C4</f>
        <v>8500</v>
      </c>
      <c r="H4" s="162" t="s">
        <v>1487</v>
      </c>
      <c r="I4" s="164">
        <f>+I3-I2</f>
        <v>32130</v>
      </c>
      <c r="J4" s="162" t="s">
        <v>1471</v>
      </c>
    </row>
    <row r="5" spans="1:10" ht="22.8" customHeight="1" x14ac:dyDescent="0.6">
      <c r="A5" s="151">
        <v>3</v>
      </c>
      <c r="B5" s="145" t="s">
        <v>1459</v>
      </c>
      <c r="C5" s="152">
        <v>16500</v>
      </c>
      <c r="D5" s="152">
        <v>27000</v>
      </c>
      <c r="E5" s="170">
        <f t="shared" si="0"/>
        <v>10500</v>
      </c>
    </row>
    <row r="6" spans="1:10" x14ac:dyDescent="0.6">
      <c r="A6" s="151">
        <v>4</v>
      </c>
      <c r="B6" s="145" t="s">
        <v>1460</v>
      </c>
      <c r="C6" s="152">
        <v>16500</v>
      </c>
      <c r="D6" s="152">
        <v>28000</v>
      </c>
      <c r="E6" s="170">
        <f t="shared" si="0"/>
        <v>11500</v>
      </c>
    </row>
    <row r="7" spans="1:10" x14ac:dyDescent="0.6">
      <c r="A7" s="151">
        <v>5</v>
      </c>
      <c r="B7" s="145" t="s">
        <v>1461</v>
      </c>
      <c r="C7" s="152">
        <v>24000</v>
      </c>
      <c r="D7" s="152">
        <v>50000</v>
      </c>
      <c r="E7" s="170">
        <f t="shared" si="0"/>
        <v>26000</v>
      </c>
      <c r="F7" s="146" t="s">
        <v>1481</v>
      </c>
    </row>
    <row r="8" spans="1:10" s="147" customFormat="1" ht="27" thickBot="1" x14ac:dyDescent="0.75">
      <c r="B8" s="153" t="s">
        <v>1472</v>
      </c>
      <c r="C8" s="168">
        <f>SUM(C3:C7)</f>
        <v>90000</v>
      </c>
      <c r="D8" s="168">
        <f t="shared" ref="D8:E8" si="1">SUM(D3:D7)</f>
        <v>158000</v>
      </c>
      <c r="E8" s="171">
        <f t="shared" si="1"/>
        <v>68000</v>
      </c>
      <c r="F8" s="147" t="s">
        <v>1471</v>
      </c>
    </row>
    <row r="9" spans="1:10" ht="24" thickTop="1" x14ac:dyDescent="0.6"/>
    <row r="10" spans="1:10" ht="28.8" x14ac:dyDescent="0.75">
      <c r="A10" s="150" t="s">
        <v>1483</v>
      </c>
    </row>
    <row r="11" spans="1:10" x14ac:dyDescent="0.6">
      <c r="A11" s="151">
        <v>1</v>
      </c>
      <c r="B11" s="145" t="s">
        <v>1455</v>
      </c>
      <c r="C11" s="152">
        <v>22800</v>
      </c>
      <c r="D11" s="145">
        <f>+C11/19</f>
        <v>1200</v>
      </c>
    </row>
    <row r="12" spans="1:10" x14ac:dyDescent="0.6">
      <c r="A12" s="151">
        <v>2</v>
      </c>
      <c r="B12" s="145" t="s">
        <v>1456</v>
      </c>
      <c r="C12" s="152">
        <v>1000</v>
      </c>
    </row>
    <row r="13" spans="1:10" x14ac:dyDescent="0.6">
      <c r="A13" s="151">
        <v>3</v>
      </c>
      <c r="B13" s="145" t="s">
        <v>1448</v>
      </c>
      <c r="C13" s="152">
        <v>2570</v>
      </c>
    </row>
    <row r="14" spans="1:10" x14ac:dyDescent="0.6">
      <c r="A14" s="151">
        <v>4</v>
      </c>
      <c r="B14" s="145" t="s">
        <v>1484</v>
      </c>
      <c r="C14" s="152">
        <f>500*19</f>
        <v>9500</v>
      </c>
    </row>
    <row r="15" spans="1:10" ht="27" thickBot="1" x14ac:dyDescent="0.75">
      <c r="B15" s="151"/>
      <c r="C15" s="168">
        <f>SUM(C11:C14)</f>
        <v>35870</v>
      </c>
    </row>
    <row r="16" spans="1:10" ht="24" thickTop="1" x14ac:dyDescent="0.6">
      <c r="B16" s="151"/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1458-5AA3-482B-AF87-A99EEACD394E}">
  <sheetPr>
    <tabColor rgb="FF00B0F0"/>
  </sheetPr>
  <dimension ref="A1:D7"/>
  <sheetViews>
    <sheetView workbookViewId="0">
      <selection activeCell="F10" sqref="F10"/>
    </sheetView>
  </sheetViews>
  <sheetFormatPr defaultRowHeight="23.4" x14ac:dyDescent="0.6"/>
  <cols>
    <col min="1" max="2" width="8.796875" style="145"/>
    <col min="3" max="3" width="10.296875" style="145" bestFit="1" customWidth="1"/>
    <col min="4" max="4" width="19.59765625" style="145" bestFit="1" customWidth="1"/>
    <col min="5" max="16384" width="8.796875" style="145"/>
  </cols>
  <sheetData>
    <row r="1" spans="1:4" s="150" customFormat="1" ht="28.8" x14ac:dyDescent="0.75">
      <c r="A1" s="150" t="s">
        <v>1473</v>
      </c>
    </row>
    <row r="2" spans="1:4" s="149" customFormat="1" ht="26.4" x14ac:dyDescent="0.7">
      <c r="A2" s="155" t="s">
        <v>1465</v>
      </c>
      <c r="B2" s="155" t="s">
        <v>1466</v>
      </c>
      <c r="C2" s="155" t="s">
        <v>1467</v>
      </c>
      <c r="D2" s="155" t="s">
        <v>9</v>
      </c>
    </row>
    <row r="3" spans="1:4" x14ac:dyDescent="0.6">
      <c r="A3" s="151">
        <v>1</v>
      </c>
      <c r="B3" s="151" t="s">
        <v>1462</v>
      </c>
      <c r="C3" s="151">
        <f>600*11</f>
        <v>6600</v>
      </c>
      <c r="D3" s="151" t="s">
        <v>1468</v>
      </c>
    </row>
    <row r="4" spans="1:4" x14ac:dyDescent="0.6">
      <c r="A4" s="151">
        <v>2</v>
      </c>
      <c r="B4" s="151" t="s">
        <v>1463</v>
      </c>
      <c r="C4" s="151">
        <f>600*7</f>
        <v>4200</v>
      </c>
      <c r="D4" s="151" t="s">
        <v>1470</v>
      </c>
    </row>
    <row r="5" spans="1:4" x14ac:dyDescent="0.6">
      <c r="A5" s="151">
        <v>3</v>
      </c>
      <c r="B5" s="151" t="s">
        <v>1464</v>
      </c>
      <c r="C5" s="151">
        <f>400*11</f>
        <v>4400</v>
      </c>
      <c r="D5" s="151" t="s">
        <v>1469</v>
      </c>
    </row>
    <row r="6" spans="1:4" ht="27" thickBot="1" x14ac:dyDescent="0.75">
      <c r="B6" s="153" t="s">
        <v>1472</v>
      </c>
      <c r="C6" s="154">
        <f>SUM(C3:C5)</f>
        <v>15200</v>
      </c>
      <c r="D6" s="147" t="s">
        <v>1471</v>
      </c>
    </row>
    <row r="7" spans="1:4" ht="24" thickTop="1" x14ac:dyDescent="0.6"/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  <pageSetUpPr fitToPage="1"/>
  </sheetPr>
  <dimension ref="A1:S346"/>
  <sheetViews>
    <sheetView zoomScale="85" zoomScaleNormal="85" workbookViewId="0">
      <pane xSplit="10" ySplit="4" topLeftCell="K251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111" t="s">
        <v>1</v>
      </c>
      <c r="B3" s="111" t="s">
        <v>1366</v>
      </c>
      <c r="C3" s="111" t="s">
        <v>2</v>
      </c>
      <c r="D3" s="111" t="s">
        <v>1367</v>
      </c>
      <c r="E3" s="113" t="s">
        <v>3</v>
      </c>
      <c r="F3" s="113" t="s">
        <v>4</v>
      </c>
      <c r="G3" s="113" t="s">
        <v>5</v>
      </c>
      <c r="H3" s="77" t="s">
        <v>6</v>
      </c>
      <c r="I3" s="102" t="s">
        <v>272</v>
      </c>
      <c r="J3" s="113" t="s">
        <v>7</v>
      </c>
      <c r="K3" s="69" t="s">
        <v>8</v>
      </c>
      <c r="L3" s="69"/>
      <c r="M3" s="69"/>
      <c r="N3" s="113" t="s">
        <v>9</v>
      </c>
      <c r="O3" s="110" t="s">
        <v>10</v>
      </c>
      <c r="Q3" s="106" t="s">
        <v>273</v>
      </c>
      <c r="R3" s="108" t="s">
        <v>274</v>
      </c>
    </row>
    <row r="4" spans="1:18" s="5" customFormat="1" ht="26.4" x14ac:dyDescent="0.7">
      <c r="A4" s="112"/>
      <c r="B4" s="112"/>
      <c r="C4" s="112"/>
      <c r="D4" s="112"/>
      <c r="E4" s="113"/>
      <c r="F4" s="113"/>
      <c r="G4" s="113"/>
      <c r="H4" s="77" t="s">
        <v>11</v>
      </c>
      <c r="I4" s="103"/>
      <c r="J4" s="113"/>
      <c r="K4" s="69" t="s">
        <v>12</v>
      </c>
      <c r="L4" s="70" t="s">
        <v>13</v>
      </c>
      <c r="M4" s="69" t="s">
        <v>14</v>
      </c>
      <c r="N4" s="113"/>
      <c r="O4" s="110"/>
      <c r="Q4" s="107"/>
      <c r="R4" s="109"/>
    </row>
    <row r="5" spans="1:18" ht="24.6" x14ac:dyDescent="0.65">
      <c r="A5" s="10">
        <v>1</v>
      </c>
      <c r="B5" s="114" t="s">
        <v>1063</v>
      </c>
      <c r="C5" s="19" t="s">
        <v>1064</v>
      </c>
      <c r="D5" s="10" t="s">
        <v>432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4.6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4.6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4.6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4.6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303</v>
      </c>
      <c r="D16" s="10" t="s">
        <v>432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4.6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4.6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4.6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4.6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/>
      <c r="R42" s="43">
        <f t="shared" si="6"/>
        <v>0</v>
      </c>
    </row>
    <row r="43" spans="1:18" ht="24.6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65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65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4.6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4.6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4.6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4.6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4.6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4.6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4.6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4.6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4.6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4.6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4.6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4.6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4.6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4.6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4.6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4.6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4.6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4.6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4.6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45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4.6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4.6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4.6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8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4.6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4.6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4.6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4.6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4.6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4.6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4.6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4.6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4.6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4.6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4.6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4.6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4.6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4.6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4.6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4.6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4.6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4.6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4.6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4.6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4.6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4.6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4.6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4.6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4.6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4.6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4.6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4.6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4.6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4.6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4.6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4.6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4.6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4.6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4.6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4.6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4.6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4.6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4.6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4.6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4.6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4.6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4.6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4.6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4.6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4.6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4.6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4.6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4.6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4.6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4.6" x14ac:dyDescent="0.65">
      <c r="A186" s="10">
        <v>182</v>
      </c>
      <c r="B186" s="10"/>
      <c r="C186" s="19" t="s">
        <v>1383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4.6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4.6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4.6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4.6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4.6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4.6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4.6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4.6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4.6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4.6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4.6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4.6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4.6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4.6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4.6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4.6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4.6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4.6" x14ac:dyDescent="0.65">
      <c r="A219" s="10">
        <v>215</v>
      </c>
      <c r="B219" s="10"/>
      <c r="C219" s="19" t="s">
        <v>282</v>
      </c>
      <c r="D219" s="10" t="s">
        <v>439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4.6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4.6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4.6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4.6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4.6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4.6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4.6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4.6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4.6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4.6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4.6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4.6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4.6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4.6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4.6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4.6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4.6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4.6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4.6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65">
      <c r="A241" s="10">
        <v>237</v>
      </c>
      <c r="B241" s="10"/>
      <c r="C241" s="19" t="s">
        <v>270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564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4.6" x14ac:dyDescent="0.65">
      <c r="A243" s="10">
        <v>239</v>
      </c>
      <c r="B243" s="10"/>
      <c r="C243" s="19" t="s">
        <v>1449</v>
      </c>
      <c r="D243" s="10" t="s">
        <v>564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49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4.6" x14ac:dyDescent="0.65">
      <c r="A244" s="10">
        <v>240</v>
      </c>
      <c r="B244" s="10"/>
      <c r="C244" s="19"/>
      <c r="D244" s="10"/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/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4.6" x14ac:dyDescent="0.65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6">
      <c r="A261" s="1"/>
      <c r="E261" s="24"/>
      <c r="F261" s="25"/>
      <c r="G261" s="24"/>
      <c r="H261" s="25"/>
      <c r="I261" s="25"/>
      <c r="J261" s="24"/>
      <c r="K261" s="104" t="s">
        <v>212</v>
      </c>
      <c r="L261" s="105"/>
      <c r="M261" s="30">
        <f>+O260</f>
        <v>0</v>
      </c>
      <c r="N261" s="27"/>
      <c r="O261" s="29"/>
    </row>
    <row r="262" spans="1:19" ht="24.6" x14ac:dyDescent="0.65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4.6" x14ac:dyDescent="0.65">
      <c r="A263" s="1"/>
      <c r="E263" s="3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4.6" x14ac:dyDescent="0.65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3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4.6" x14ac:dyDescent="0.65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4.6" x14ac:dyDescent="0.65">
      <c r="A269" s="1"/>
      <c r="E269" s="31"/>
      <c r="G269" s="31"/>
      <c r="J269" s="31"/>
      <c r="L269" s="34" t="s">
        <v>209</v>
      </c>
      <c r="M269" s="35"/>
      <c r="N269" s="37"/>
    </row>
    <row r="270" spans="1:19" ht="24.6" x14ac:dyDescent="0.65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25" right="0.25" top="0.75" bottom="0.75" header="0.3" footer="0.3"/>
  <pageSetup paperSize="9" scale="4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  <pageSetUpPr fitToPage="1"/>
  </sheetPr>
  <dimension ref="A1:S346"/>
  <sheetViews>
    <sheetView zoomScale="85" zoomScaleNormal="85" workbookViewId="0">
      <pane xSplit="10" ySplit="4" topLeftCell="K40" activePane="bottomRight" state="frozen"/>
      <selection activeCell="L247" sqref="L247"/>
      <selection pane="topRight" activeCell="L247" sqref="L247"/>
      <selection pane="bottomLeft" activeCell="L247" sqref="L247"/>
      <selection pane="bottomRight" activeCell="F175" sqref="C5:F175"/>
    </sheetView>
  </sheetViews>
  <sheetFormatPr defaultColWidth="9" defaultRowHeight="24" x14ac:dyDescent="0.6"/>
  <cols>
    <col min="1" max="1" width="6.69921875" style="2" customWidth="1"/>
    <col min="2" max="2" width="19.3984375" style="1" hidden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7.39843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93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181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182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/>
      <c r="F5" s="71">
        <v>50</v>
      </c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48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0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/>
      <c r="F6" s="71">
        <v>100</v>
      </c>
      <c r="G6" s="46">
        <f t="shared" si="0"/>
        <v>100</v>
      </c>
      <c r="H6" s="78">
        <v>0</v>
      </c>
      <c r="I6" s="76">
        <v>0</v>
      </c>
      <c r="J6" s="46">
        <f t="shared" si="1"/>
        <v>92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23">
        <f>SUM(M6-O6)</f>
        <v>800</v>
      </c>
      <c r="Q6" s="90">
        <v>39.29</v>
      </c>
      <c r="R6" s="43">
        <f t="shared" ref="R6:R80" si="3">+K6*Q6</f>
        <v>314.32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4.6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/>
      <c r="F11" s="71">
        <v>20</v>
      </c>
      <c r="G11" s="46">
        <f t="shared" si="0"/>
        <v>20</v>
      </c>
      <c r="H11" s="78">
        <v>0</v>
      </c>
      <c r="I11" s="76">
        <v>0</v>
      </c>
      <c r="J11" s="46">
        <f t="shared" si="1"/>
        <v>15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23">
        <f t="shared" si="4"/>
        <v>250</v>
      </c>
      <c r="Q11" s="90">
        <v>16.940000000000001</v>
      </c>
      <c r="R11" s="43">
        <f t="shared" si="3"/>
        <v>84.7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4.6" hidden="1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4.6" hidden="1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/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4"/>
        <v>65</v>
      </c>
      <c r="Q20" s="90">
        <v>22.25</v>
      </c>
      <c r="R20" s="43">
        <f t="shared" si="3"/>
        <v>22.25</v>
      </c>
    </row>
    <row r="21" spans="1:18" ht="24.6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/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23">
        <f t="shared" si="4"/>
        <v>85</v>
      </c>
      <c r="Q21" s="90">
        <v>22.85</v>
      </c>
      <c r="R21" s="43">
        <f t="shared" si="3"/>
        <v>22.85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/>
      <c r="F22" s="71">
        <v>50</v>
      </c>
      <c r="G22" s="46">
        <f t="shared" si="0"/>
        <v>50</v>
      </c>
      <c r="H22" s="78">
        <v>0</v>
      </c>
      <c r="I22" s="76">
        <v>0</v>
      </c>
      <c r="J22" s="46">
        <f t="shared" si="1"/>
        <v>46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23">
        <f t="shared" si="4"/>
        <v>400</v>
      </c>
      <c r="Q22" s="90">
        <v>26.6</v>
      </c>
      <c r="R22" s="43">
        <f t="shared" si="3"/>
        <v>106.4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4.6" hidden="1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4.6" hidden="1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4.6" hidden="1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/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23">
        <f t="shared" si="4"/>
        <v>400</v>
      </c>
      <c r="Q31" s="90">
        <v>38.46</v>
      </c>
      <c r="R31" s="43">
        <f t="shared" si="3"/>
        <v>153.84</v>
      </c>
    </row>
    <row r="32" spans="1:18" ht="24.6" hidden="1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/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4.6" hidden="1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/>
      <c r="F33" s="71">
        <v>10</v>
      </c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/>
      <c r="F39" s="71">
        <v>20</v>
      </c>
      <c r="G39" s="46">
        <f t="shared" si="5"/>
        <v>20</v>
      </c>
      <c r="H39" s="78">
        <v>0</v>
      </c>
      <c r="I39" s="76">
        <v>0</v>
      </c>
      <c r="J39" s="46">
        <f t="shared" si="6"/>
        <v>16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23">
        <f t="shared" si="4"/>
        <v>200</v>
      </c>
      <c r="Q39" s="90">
        <v>27.84</v>
      </c>
      <c r="R39" s="43">
        <f t="shared" si="3"/>
        <v>111.36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/>
      <c r="F40" s="71">
        <v>15</v>
      </c>
      <c r="G40" s="46">
        <f t="shared" si="5"/>
        <v>15</v>
      </c>
      <c r="H40" s="78">
        <v>0</v>
      </c>
      <c r="I40" s="76">
        <v>0</v>
      </c>
      <c r="J40" s="46">
        <f t="shared" si="6"/>
        <v>13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23">
        <f t="shared" si="4"/>
        <v>100</v>
      </c>
      <c r="Q40" s="90">
        <v>27.12</v>
      </c>
      <c r="R40" s="43">
        <f t="shared" si="3"/>
        <v>54.24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/>
      <c r="F41" s="71">
        <v>15</v>
      </c>
      <c r="G41" s="46">
        <f t="shared" si="5"/>
        <v>15</v>
      </c>
      <c r="H41" s="78">
        <v>0</v>
      </c>
      <c r="I41" s="76">
        <v>0</v>
      </c>
      <c r="J41" s="46">
        <f t="shared" si="6"/>
        <v>14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4"/>
        <v>50</v>
      </c>
      <c r="Q41" s="90">
        <v>15.42</v>
      </c>
      <c r="R41" s="43">
        <f t="shared" si="3"/>
        <v>15.42</v>
      </c>
    </row>
    <row r="42" spans="1:18" ht="24.6" hidden="1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/>
      <c r="F42" s="71">
        <v>5</v>
      </c>
      <c r="G42" s="46">
        <f t="shared" si="5"/>
        <v>5</v>
      </c>
      <c r="H42" s="78">
        <v>0</v>
      </c>
      <c r="I42" s="76">
        <v>0</v>
      </c>
      <c r="J42" s="46">
        <f t="shared" si="6"/>
        <v>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/>
      <c r="R42" s="43">
        <f t="shared" si="3"/>
        <v>0</v>
      </c>
    </row>
    <row r="43" spans="1:18" ht="24.6" hidden="1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/>
      <c r="F43" s="71">
        <v>5</v>
      </c>
      <c r="G43" s="46">
        <f t="shared" si="5"/>
        <v>5</v>
      </c>
      <c r="H43" s="78">
        <v>0</v>
      </c>
      <c r="I43" s="76">
        <v>0</v>
      </c>
      <c r="J43" s="46">
        <f t="shared" si="6"/>
        <v>5</v>
      </c>
      <c r="K43" s="72"/>
      <c r="L43" s="15">
        <v>65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hidden="1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/>
      <c r="F44" s="71">
        <v>5</v>
      </c>
      <c r="G44" s="46">
        <f t="shared" si="5"/>
        <v>5</v>
      </c>
      <c r="H44" s="78">
        <v>0</v>
      </c>
      <c r="I44" s="76">
        <v>0</v>
      </c>
      <c r="J44" s="46">
        <f t="shared" si="6"/>
        <v>5</v>
      </c>
      <c r="K44" s="72"/>
      <c r="L44" s="15">
        <v>65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/>
      <c r="R44" s="43">
        <f t="shared" si="3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/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4"/>
        <v>50</v>
      </c>
      <c r="Q46" s="90">
        <v>19.05</v>
      </c>
      <c r="R46" s="43">
        <f t="shared" si="3"/>
        <v>19.05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/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4"/>
        <v>50</v>
      </c>
      <c r="Q47" s="90">
        <v>19.21</v>
      </c>
      <c r="R47" s="43">
        <f t="shared" si="3"/>
        <v>19.21</v>
      </c>
    </row>
    <row r="48" spans="1:18" ht="24.6" hidden="1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/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/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/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4"/>
        <v>50</v>
      </c>
      <c r="Q50" s="90">
        <v>21.81</v>
      </c>
      <c r="R50" s="43">
        <f t="shared" si="3"/>
        <v>21.81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/>
      <c r="F51" s="71">
        <v>5</v>
      </c>
      <c r="G51" s="46">
        <f t="shared" si="5"/>
        <v>5</v>
      </c>
      <c r="H51" s="78">
        <v>0</v>
      </c>
      <c r="I51" s="76">
        <v>0</v>
      </c>
      <c r="J51" s="46">
        <f t="shared" si="6"/>
        <v>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0">
        <v>14.65</v>
      </c>
      <c r="R51" s="43">
        <f>+K51*Q51</f>
        <v>29.3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/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0">
        <v>17.53</v>
      </c>
      <c r="R53" s="43">
        <f>+K53*Q53</f>
        <v>35.06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4.6" hidden="1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/>
      <c r="F55" s="71">
        <v>5</v>
      </c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/>
      <c r="F56" s="71">
        <v>5</v>
      </c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/>
      <c r="F57" s="71">
        <v>5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4.6" hidden="1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/>
      <c r="F58" s="71">
        <v>5</v>
      </c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4.6" hidden="1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/>
      <c r="F59" s="71">
        <v>5</v>
      </c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4.6" hidden="1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/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/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4"/>
        <v>50</v>
      </c>
      <c r="Q64" s="90">
        <v>23.69</v>
      </c>
      <c r="R64" s="43">
        <f t="shared" si="3"/>
        <v>23.69</v>
      </c>
    </row>
    <row r="65" spans="1:18" ht="24.6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/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23">
        <f t="shared" si="4"/>
        <v>50</v>
      </c>
      <c r="Q65" s="90">
        <v>22.49</v>
      </c>
      <c r="R65" s="43">
        <f t="shared" si="3"/>
        <v>22.49</v>
      </c>
    </row>
    <row r="66" spans="1:18" ht="24.6" hidden="1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/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4.6" hidden="1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/>
      <c r="F69" s="71">
        <v>3</v>
      </c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4.6" hidden="1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/>
      <c r="F70" s="71">
        <v>3</v>
      </c>
      <c r="G70" s="46">
        <f t="shared" si="5"/>
        <v>3</v>
      </c>
      <c r="H70" s="78">
        <v>0</v>
      </c>
      <c r="I70" s="76">
        <v>0</v>
      </c>
      <c r="J70" s="46">
        <f t="shared" si="6"/>
        <v>3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4.6" hidden="1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/>
      <c r="F71" s="71">
        <v>3</v>
      </c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4.6" hidden="1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/>
      <c r="F72" s="71">
        <v>5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/>
      <c r="F74" s="71">
        <v>10</v>
      </c>
      <c r="G74" s="46">
        <f t="shared" si="5"/>
        <v>10</v>
      </c>
      <c r="H74" s="78">
        <v>0</v>
      </c>
      <c r="I74" s="76">
        <v>0</v>
      </c>
      <c r="J74" s="46">
        <f t="shared" si="6"/>
        <v>7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23">
        <f t="shared" si="4"/>
        <v>150</v>
      </c>
      <c r="Q74" s="90">
        <v>17.09</v>
      </c>
      <c r="R74" s="43">
        <f t="shared" si="3"/>
        <v>51.269999999999996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hidden="1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/>
      <c r="F77" s="71">
        <v>20</v>
      </c>
      <c r="G77" s="46">
        <f t="shared" si="5"/>
        <v>20</v>
      </c>
      <c r="H77" s="78">
        <v>0</v>
      </c>
      <c r="I77" s="76">
        <v>0</v>
      </c>
      <c r="J77" s="46">
        <f t="shared" si="6"/>
        <v>14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/>
      <c r="P77" s="23">
        <f t="shared" si="4"/>
        <v>300</v>
      </c>
      <c r="Q77" s="90">
        <v>25.15</v>
      </c>
      <c r="R77" s="43">
        <f t="shared" si="3"/>
        <v>150.89999999999998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4.6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/>
      <c r="F79" s="71">
        <v>5</v>
      </c>
      <c r="G79" s="46">
        <f t="shared" si="5"/>
        <v>5</v>
      </c>
      <c r="H79" s="78">
        <v>0</v>
      </c>
      <c r="I79" s="76">
        <v>0</v>
      </c>
      <c r="J79" s="46">
        <f t="shared" si="6"/>
        <v>4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23">
        <f t="shared" si="4"/>
        <v>35</v>
      </c>
      <c r="Q79" s="90">
        <v>30.84</v>
      </c>
      <c r="R79" s="43">
        <f t="shared" si="3"/>
        <v>30.84</v>
      </c>
    </row>
    <row r="80" spans="1:18" ht="24.6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/>
      <c r="F80" s="71">
        <v>5</v>
      </c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23">
        <f t="shared" si="4"/>
        <v>110</v>
      </c>
      <c r="Q80" s="90">
        <v>14.35</v>
      </c>
      <c r="R80" s="43">
        <f t="shared" si="3"/>
        <v>28.7</v>
      </c>
    </row>
    <row r="81" spans="1:18" ht="24.6" hidden="1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/>
      <c r="F81" s="71">
        <v>5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hidden="1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/>
      <c r="F83" s="71">
        <v>5</v>
      </c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hidden="1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/>
      <c r="F84" s="71">
        <v>5</v>
      </c>
      <c r="G84" s="46">
        <f t="shared" si="5"/>
        <v>5</v>
      </c>
      <c r="H84" s="78">
        <v>0</v>
      </c>
      <c r="I84" s="76">
        <v>0</v>
      </c>
      <c r="J84" s="46">
        <f t="shared" si="6"/>
        <v>5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4.6" hidden="1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hidden="1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/>
      <c r="F93" s="71">
        <v>30</v>
      </c>
      <c r="G93" s="46">
        <f t="shared" si="5"/>
        <v>30</v>
      </c>
      <c r="H93" s="78">
        <v>0</v>
      </c>
      <c r="I93" s="76">
        <v>1</v>
      </c>
      <c r="J93" s="46">
        <f>+G93-H93-K93-I93</f>
        <v>28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23">
        <f t="shared" si="8"/>
        <v>35</v>
      </c>
      <c r="Q93" s="90">
        <v>18.63</v>
      </c>
      <c r="R93" s="43">
        <f t="shared" si="9"/>
        <v>18.63</v>
      </c>
    </row>
    <row r="94" spans="1:18" ht="24.6" hidden="1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/>
      <c r="F96" s="71">
        <v>50</v>
      </c>
      <c r="G96" s="46">
        <f t="shared" si="23"/>
        <v>50</v>
      </c>
      <c r="H96" s="78">
        <v>0</v>
      </c>
      <c r="I96" s="76">
        <v>1</v>
      </c>
      <c r="J96" s="46">
        <f t="shared" si="24"/>
        <v>45</v>
      </c>
      <c r="K96" s="72">
        <v>4</v>
      </c>
      <c r="L96" s="20">
        <v>45</v>
      </c>
      <c r="M96" s="65">
        <f t="shared" si="7"/>
        <v>180</v>
      </c>
      <c r="N96" s="17" t="s">
        <v>16</v>
      </c>
      <c r="O96" s="18"/>
      <c r="P96" s="23">
        <f t="shared" si="8"/>
        <v>180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hidden="1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/>
      <c r="F99" s="71">
        <v>15</v>
      </c>
      <c r="G99" s="46">
        <f t="shared" si="23"/>
        <v>15</v>
      </c>
      <c r="H99" s="78">
        <v>0</v>
      </c>
      <c r="I99" s="76">
        <v>0</v>
      </c>
      <c r="J99" s="46">
        <f t="shared" si="24"/>
        <v>15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4.6" hidden="1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/>
      <c r="F112" s="71">
        <v>10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23">
        <f>SUM(M112-O112)</f>
        <v>200</v>
      </c>
      <c r="Q112" s="90">
        <v>30.3</v>
      </c>
      <c r="R112" s="43">
        <f>+K112*Q112</f>
        <v>60.6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/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23">
        <f t="shared" si="8"/>
        <v>110</v>
      </c>
      <c r="Q113" s="90">
        <v>20.58</v>
      </c>
      <c r="R113" s="43">
        <f t="shared" si="9"/>
        <v>41.16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/>
      <c r="F115" s="71">
        <v>20</v>
      </c>
      <c r="G115" s="46">
        <f t="shared" si="23"/>
        <v>20</v>
      </c>
      <c r="H115" s="78">
        <v>0</v>
      </c>
      <c r="I115" s="76">
        <v>0</v>
      </c>
      <c r="J115" s="46">
        <f t="shared" si="24"/>
        <v>18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23">
        <f t="shared" si="8"/>
        <v>120</v>
      </c>
      <c r="Q115" s="90">
        <v>23.61</v>
      </c>
      <c r="R115" s="43">
        <f t="shared" si="9"/>
        <v>47.22</v>
      </c>
    </row>
    <row r="116" spans="1:18" ht="24.6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/>
      <c r="F116" s="71">
        <v>20</v>
      </c>
      <c r="G116" s="46">
        <f t="shared" si="23"/>
        <v>20</v>
      </c>
      <c r="H116" s="78">
        <v>0</v>
      </c>
      <c r="I116" s="76">
        <v>0</v>
      </c>
      <c r="J116" s="46">
        <f t="shared" si="24"/>
        <v>19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23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/>
      <c r="F117" s="71">
        <v>10</v>
      </c>
      <c r="G117" s="46">
        <f t="shared" si="23"/>
        <v>10</v>
      </c>
      <c r="H117" s="78">
        <v>0</v>
      </c>
      <c r="I117" s="76">
        <v>0</v>
      </c>
      <c r="J117" s="46">
        <f t="shared" si="24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23">
        <f t="shared" si="8"/>
        <v>55</v>
      </c>
      <c r="Q117" s="90">
        <v>11.91</v>
      </c>
      <c r="R117" s="43">
        <f t="shared" si="9"/>
        <v>11.91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/>
      <c r="F130" s="71">
        <v>10</v>
      </c>
      <c r="G130" s="46">
        <f t="shared" si="23"/>
        <v>10</v>
      </c>
      <c r="H130" s="78">
        <v>0</v>
      </c>
      <c r="I130" s="76">
        <v>0</v>
      </c>
      <c r="J130" s="46">
        <f t="shared" si="24"/>
        <v>9</v>
      </c>
      <c r="K130" s="72">
        <v>1</v>
      </c>
      <c r="L130" s="22">
        <v>40</v>
      </c>
      <c r="M130" s="65">
        <f t="shared" si="7"/>
        <v>40</v>
      </c>
      <c r="N130" s="17" t="s">
        <v>16</v>
      </c>
      <c r="O130" s="18"/>
      <c r="P130" s="23">
        <f t="shared" si="8"/>
        <v>40</v>
      </c>
      <c r="Q130" s="90">
        <v>11.12</v>
      </c>
      <c r="R130" s="43">
        <f t="shared" si="9"/>
        <v>11.12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/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hidden="1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/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/>
      <c r="F134" s="71">
        <v>10</v>
      </c>
      <c r="G134" s="46">
        <f t="shared" si="23"/>
        <v>10</v>
      </c>
      <c r="H134" s="78">
        <v>0</v>
      </c>
      <c r="I134" s="76">
        <v>0</v>
      </c>
      <c r="J134" s="46">
        <f t="shared" si="24"/>
        <v>9</v>
      </c>
      <c r="K134" s="72">
        <v>1</v>
      </c>
      <c r="L134" s="20">
        <v>35</v>
      </c>
      <c r="M134" s="65">
        <f t="shared" si="7"/>
        <v>35</v>
      </c>
      <c r="N134" s="17" t="s">
        <v>16</v>
      </c>
      <c r="O134" s="18"/>
      <c r="P134" s="23">
        <f t="shared" si="8"/>
        <v>35</v>
      </c>
      <c r="Q134" s="116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/>
      <c r="F142" s="71">
        <v>10</v>
      </c>
      <c r="G142" s="46">
        <f t="shared" si="23"/>
        <v>10</v>
      </c>
      <c r="H142" s="78">
        <v>0</v>
      </c>
      <c r="I142" s="76">
        <v>0</v>
      </c>
      <c r="J142" s="46">
        <f t="shared" si="24"/>
        <v>5</v>
      </c>
      <c r="K142" s="72">
        <v>5</v>
      </c>
      <c r="L142" s="20">
        <v>10</v>
      </c>
      <c r="M142" s="65">
        <f t="shared" si="7"/>
        <v>50</v>
      </c>
      <c r="N142" s="17" t="s">
        <v>16</v>
      </c>
      <c r="O142" s="18"/>
      <c r="P142" s="23">
        <f t="shared" si="8"/>
        <v>50</v>
      </c>
      <c r="Q142" s="90">
        <v>2.17</v>
      </c>
      <c r="R142" s="43">
        <f t="shared" si="9"/>
        <v>10.85</v>
      </c>
    </row>
    <row r="143" spans="1:18" ht="24.6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/>
      <c r="F143" s="71">
        <v>10</v>
      </c>
      <c r="G143" s="46">
        <f t="shared" si="23"/>
        <v>10</v>
      </c>
      <c r="H143" s="78">
        <v>0</v>
      </c>
      <c r="I143" s="76">
        <v>0</v>
      </c>
      <c r="J143" s="46">
        <f t="shared" si="24"/>
        <v>3</v>
      </c>
      <c r="K143" s="72">
        <v>7</v>
      </c>
      <c r="L143" s="22">
        <v>10</v>
      </c>
      <c r="M143" s="65">
        <f t="shared" si="7"/>
        <v>70</v>
      </c>
      <c r="N143" s="17" t="s">
        <v>16</v>
      </c>
      <c r="O143" s="18"/>
      <c r="P143" s="23">
        <f t="shared" si="8"/>
        <v>70</v>
      </c>
      <c r="Q143" s="90">
        <v>2.35</v>
      </c>
      <c r="R143" s="43">
        <f t="shared" si="9"/>
        <v>16.45</v>
      </c>
    </row>
    <row r="144" spans="1:18" ht="24.6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/>
      <c r="F144" s="71">
        <v>10</v>
      </c>
      <c r="G144" s="46">
        <f t="shared" si="23"/>
        <v>10</v>
      </c>
      <c r="H144" s="78">
        <v>0</v>
      </c>
      <c r="I144" s="76">
        <v>0</v>
      </c>
      <c r="J144" s="46">
        <f t="shared" si="24"/>
        <v>3</v>
      </c>
      <c r="K144" s="72">
        <v>7</v>
      </c>
      <c r="L144" s="22">
        <v>10</v>
      </c>
      <c r="M144" s="65">
        <f t="shared" si="7"/>
        <v>70</v>
      </c>
      <c r="N144" s="17" t="s">
        <v>16</v>
      </c>
      <c r="O144" s="18"/>
      <c r="P144" s="23">
        <f t="shared" si="8"/>
        <v>70</v>
      </c>
      <c r="Q144" s="90">
        <v>2.12</v>
      </c>
      <c r="R144" s="43">
        <f t="shared" si="9"/>
        <v>14.84</v>
      </c>
    </row>
    <row r="145" spans="1:18" ht="24.6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/>
      <c r="F145" s="71">
        <v>10</v>
      </c>
      <c r="G145" s="46">
        <f t="shared" si="23"/>
        <v>10</v>
      </c>
      <c r="H145" s="78">
        <v>0</v>
      </c>
      <c r="I145" s="76">
        <v>0</v>
      </c>
      <c r="J145" s="46">
        <f t="shared" si="24"/>
        <v>6</v>
      </c>
      <c r="K145" s="72">
        <v>4</v>
      </c>
      <c r="L145" s="20">
        <v>10</v>
      </c>
      <c r="M145" s="65">
        <f t="shared" si="7"/>
        <v>40</v>
      </c>
      <c r="N145" s="17" t="s">
        <v>16</v>
      </c>
      <c r="O145" s="18"/>
      <c r="P145" s="23">
        <f t="shared" si="8"/>
        <v>40</v>
      </c>
      <c r="Q145" s="90">
        <v>2.17</v>
      </c>
      <c r="R145" s="43">
        <f t="shared" si="9"/>
        <v>8.68</v>
      </c>
    </row>
    <row r="146" spans="1:18" ht="24.6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/>
      <c r="F146" s="71">
        <v>10</v>
      </c>
      <c r="G146" s="46">
        <f t="shared" si="23"/>
        <v>10</v>
      </c>
      <c r="H146" s="78">
        <v>0</v>
      </c>
      <c r="I146" s="76">
        <v>0</v>
      </c>
      <c r="J146" s="46">
        <f t="shared" si="24"/>
        <v>5</v>
      </c>
      <c r="K146" s="72">
        <v>5</v>
      </c>
      <c r="L146" s="20">
        <v>10</v>
      </c>
      <c r="M146" s="65">
        <f t="shared" si="7"/>
        <v>50</v>
      </c>
      <c r="N146" s="17" t="s">
        <v>16</v>
      </c>
      <c r="O146" s="18"/>
      <c r="P146" s="23">
        <f t="shared" si="8"/>
        <v>50</v>
      </c>
      <c r="Q146" s="90">
        <v>2.17</v>
      </c>
      <c r="R146" s="43">
        <f t="shared" si="9"/>
        <v>10.85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/>
      <c r="F150" s="71">
        <v>5</v>
      </c>
      <c r="G150" s="46">
        <f t="shared" si="23"/>
        <v>5</v>
      </c>
      <c r="H150" s="78">
        <v>0</v>
      </c>
      <c r="I150" s="76">
        <v>0</v>
      </c>
      <c r="J150" s="46">
        <f t="shared" si="24"/>
        <v>3</v>
      </c>
      <c r="K150" s="72">
        <v>2</v>
      </c>
      <c r="L150" s="20">
        <v>55</v>
      </c>
      <c r="M150" s="65">
        <f t="shared" si="7"/>
        <v>110</v>
      </c>
      <c r="N150" s="17" t="s">
        <v>16</v>
      </c>
      <c r="O150" s="18"/>
      <c r="P150" s="23">
        <f t="shared" si="8"/>
        <v>110</v>
      </c>
      <c r="Q150" s="90">
        <v>15.28</v>
      </c>
      <c r="R150" s="43">
        <f t="shared" si="9"/>
        <v>30.56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/>
      <c r="F154" s="71">
        <v>10</v>
      </c>
      <c r="G154" s="46">
        <f t="shared" si="23"/>
        <v>10</v>
      </c>
      <c r="H154" s="78">
        <v>0</v>
      </c>
      <c r="I154" s="76">
        <v>0</v>
      </c>
      <c r="J154" s="46">
        <f t="shared" si="24"/>
        <v>4</v>
      </c>
      <c r="K154" s="72">
        <v>6</v>
      </c>
      <c r="L154" s="20">
        <v>25</v>
      </c>
      <c r="M154" s="65">
        <f>+L154*K154</f>
        <v>150</v>
      </c>
      <c r="N154" s="17" t="s">
        <v>16</v>
      </c>
      <c r="O154" s="18"/>
      <c r="P154" s="23">
        <f>SUM(M154-O154)</f>
        <v>150</v>
      </c>
      <c r="Q154" s="90">
        <v>16.16</v>
      </c>
      <c r="R154" s="43">
        <f>+K154*Q154</f>
        <v>96.960000000000008</v>
      </c>
    </row>
    <row r="155" spans="1:18" ht="24.6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/>
      <c r="F155" s="71">
        <v>10</v>
      </c>
      <c r="G155" s="46">
        <f t="shared" si="23"/>
        <v>10</v>
      </c>
      <c r="H155" s="78">
        <v>0</v>
      </c>
      <c r="I155" s="76">
        <v>0</v>
      </c>
      <c r="J155" s="46">
        <f t="shared" si="24"/>
        <v>8</v>
      </c>
      <c r="K155" s="72">
        <v>2</v>
      </c>
      <c r="L155" s="20">
        <v>25</v>
      </c>
      <c r="M155" s="65">
        <f t="shared" si="7"/>
        <v>50</v>
      </c>
      <c r="N155" s="17" t="s">
        <v>16</v>
      </c>
      <c r="O155" s="18"/>
      <c r="P155" s="23">
        <f t="shared" si="8"/>
        <v>50</v>
      </c>
      <c r="Q155" s="90">
        <v>18.63</v>
      </c>
      <c r="R155" s="43">
        <f t="shared" si="9"/>
        <v>37.26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/>
      <c r="F163" s="71">
        <v>10</v>
      </c>
      <c r="G163" s="46">
        <f t="shared" si="30"/>
        <v>10</v>
      </c>
      <c r="H163" s="78">
        <v>0</v>
      </c>
      <c r="I163" s="76">
        <v>0</v>
      </c>
      <c r="J163" s="46">
        <f t="shared" si="31"/>
        <v>7</v>
      </c>
      <c r="K163" s="72">
        <v>3</v>
      </c>
      <c r="L163" s="20">
        <v>25</v>
      </c>
      <c r="M163" s="65">
        <f t="shared" si="7"/>
        <v>75</v>
      </c>
      <c r="N163" s="17" t="s">
        <v>16</v>
      </c>
      <c r="O163" s="18"/>
      <c r="P163" s="23">
        <f t="shared" si="8"/>
        <v>75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/>
      <c r="F173" s="71">
        <v>20</v>
      </c>
      <c r="G173" s="46">
        <f>E173+F173</f>
        <v>20</v>
      </c>
      <c r="H173" s="78">
        <v>0</v>
      </c>
      <c r="I173" s="76">
        <v>0</v>
      </c>
      <c r="J173" s="46">
        <f>+G173-H173-K173-I173</f>
        <v>11</v>
      </c>
      <c r="K173" s="72">
        <v>9</v>
      </c>
      <c r="L173" s="20">
        <v>35</v>
      </c>
      <c r="M173" s="65">
        <f>+L173*K173</f>
        <v>315</v>
      </c>
      <c r="N173" s="17" t="s">
        <v>16</v>
      </c>
      <c r="O173" s="18"/>
      <c r="P173" s="23">
        <f>SUM(M173-O173)</f>
        <v>315</v>
      </c>
      <c r="Q173" s="90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/>
      <c r="F175" s="71">
        <v>20</v>
      </c>
      <c r="G175" s="46">
        <f t="shared" si="30"/>
        <v>20</v>
      </c>
      <c r="H175" s="78">
        <v>0</v>
      </c>
      <c r="I175" s="76">
        <v>0</v>
      </c>
      <c r="J175" s="46">
        <f t="shared" si="31"/>
        <v>15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23">
        <f>SUM(M175-O175)</f>
        <v>250</v>
      </c>
      <c r="Q175" s="90">
        <v>29.96</v>
      </c>
      <c r="R175" s="43">
        <f>+K175*Q175</f>
        <v>149.80000000000001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hidden="1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hidden="1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/>
      <c r="F187" s="71">
        <v>23</v>
      </c>
      <c r="G187" s="46">
        <f>E187+F187</f>
        <v>23</v>
      </c>
      <c r="H187" s="78">
        <v>0</v>
      </c>
      <c r="I187" s="76">
        <v>0</v>
      </c>
      <c r="J187" s="46">
        <f>+G187-H187-K187-I187</f>
        <v>23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hidden="1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/>
      <c r="F188" s="71">
        <v>20</v>
      </c>
      <c r="G188" s="46">
        <f>E188+F188</f>
        <v>20</v>
      </c>
      <c r="H188" s="78">
        <v>0</v>
      </c>
      <c r="I188" s="76">
        <v>0</v>
      </c>
      <c r="J188" s="46">
        <f>+G188-H188-K188-I188</f>
        <v>20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hidden="1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/>
      <c r="F189" s="71">
        <v>19</v>
      </c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hidden="1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/>
      <c r="F198" s="71">
        <v>45</v>
      </c>
      <c r="G198" s="46">
        <f t="shared" si="30"/>
        <v>45</v>
      </c>
      <c r="H198" s="78">
        <v>0</v>
      </c>
      <c r="I198" s="76">
        <v>1</v>
      </c>
      <c r="J198" s="46">
        <f t="shared" si="31"/>
        <v>44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hidden="1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/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/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/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/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/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4.6" hidden="1" x14ac:dyDescent="0.65">
      <c r="A242" s="10">
        <v>238</v>
      </c>
      <c r="B242" s="10"/>
      <c r="C242" s="19" t="s">
        <v>1436</v>
      </c>
      <c r="D242" s="10" t="s">
        <v>564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49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/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4.6" hidden="1" x14ac:dyDescent="0.65">
      <c r="A245" s="10">
        <v>241</v>
      </c>
      <c r="B245" s="10"/>
      <c r="C245" s="19"/>
      <c r="D245" s="10"/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4.6" hidden="1" x14ac:dyDescent="0.65">
      <c r="A246" s="10">
        <v>242</v>
      </c>
      <c r="B246" s="10"/>
      <c r="C246" s="19"/>
      <c r="D246" s="10"/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4.6" hidden="1" x14ac:dyDescent="0.65">
      <c r="A248" s="10">
        <v>244</v>
      </c>
      <c r="B248" s="10"/>
      <c r="C248" s="19"/>
      <c r="D248" s="10"/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1963.0099999999995</v>
      </c>
      <c r="S260" s="75"/>
    </row>
    <row r="261" spans="1:19" ht="25.5" hidden="1" customHeight="1" x14ac:dyDescent="0.6">
      <c r="A261" s="1"/>
      <c r="E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224" t="s">
        <v>202</v>
      </c>
      <c r="M262" s="225"/>
      <c r="N262" s="33">
        <f>SUM(M5:M261)</f>
        <v>5650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>
        <v>0</v>
      </c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SUM(O264:AL264)</f>
        <v>2295</v>
      </c>
      <c r="O264" s="2">
        <v>2295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3355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3345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-10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-10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7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L262:M262"/>
    <mergeCell ref="Q3:Q4"/>
    <mergeCell ref="R3:R4"/>
    <mergeCell ref="K261:L261"/>
  </mergeCells>
  <pageMargins left="0.25" right="0.25" top="0.75" bottom="0.26" header="0.3" footer="0.3"/>
  <pageSetup paperSize="9" scale="3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  <pageSetUpPr fitToPage="1"/>
  </sheetPr>
  <dimension ref="A1:S346"/>
  <sheetViews>
    <sheetView zoomScale="85" zoomScaleNormal="85" workbookViewId="0">
      <pane xSplit="10" ySplit="4" topLeftCell="K198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+'30'!J5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35</v>
      </c>
      <c r="K5" s="72">
        <v>13</v>
      </c>
      <c r="L5" s="15">
        <v>50</v>
      </c>
      <c r="M5" s="65">
        <f>+L5*K5</f>
        <v>650</v>
      </c>
      <c r="N5" s="17" t="s">
        <v>1446</v>
      </c>
      <c r="O5" s="18">
        <v>50</v>
      </c>
      <c r="P5" s="23">
        <f>SUM(M5-O5)</f>
        <v>600</v>
      </c>
      <c r="Q5" s="90">
        <v>22.48</v>
      </c>
      <c r="R5" s="43">
        <f>+K5*Q5</f>
        <v>292.24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+'30'!J6</f>
        <v>92</v>
      </c>
      <c r="F6" s="71"/>
      <c r="G6" s="46">
        <f t="shared" si="0"/>
        <v>92</v>
      </c>
      <c r="H6" s="78">
        <v>0</v>
      </c>
      <c r="I6" s="76">
        <v>0</v>
      </c>
      <c r="J6" s="46">
        <f t="shared" si="1"/>
        <v>58</v>
      </c>
      <c r="K6" s="72">
        <v>34</v>
      </c>
      <c r="L6" s="15">
        <v>100</v>
      </c>
      <c r="M6" s="65">
        <f t="shared" ref="M6:M80" si="2">+L6*K6</f>
        <v>3400</v>
      </c>
      <c r="N6" s="17" t="s">
        <v>16</v>
      </c>
      <c r="O6" s="18"/>
      <c r="P6" s="23">
        <f t="shared" ref="P6:P80" si="3">SUM(M6-O6)</f>
        <v>3400</v>
      </c>
      <c r="Q6" s="90">
        <v>39.29</v>
      </c>
      <c r="R6" s="43">
        <f t="shared" ref="R6:R80" si="4">+K6*Q6</f>
        <v>1335.86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+'30'!J11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0</v>
      </c>
      <c r="K11" s="72">
        <v>15</v>
      </c>
      <c r="L11" s="15">
        <v>50</v>
      </c>
      <c r="M11" s="65">
        <f t="shared" si="2"/>
        <v>750</v>
      </c>
      <c r="N11" s="17" t="s">
        <v>16</v>
      </c>
      <c r="O11" s="18"/>
      <c r="P11" s="23">
        <f t="shared" si="3"/>
        <v>750</v>
      </c>
      <c r="Q11" s="90">
        <v>16.940000000000001</v>
      </c>
      <c r="R11" s="43">
        <f t="shared" si="4"/>
        <v>254.10000000000002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hidden="1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hidden="1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+'30'!J20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+'30'!J21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23">
        <f t="shared" si="3"/>
        <v>170</v>
      </c>
      <c r="Q21" s="90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+'30'!J22</f>
        <v>46</v>
      </c>
      <c r="F22" s="71"/>
      <c r="G22" s="46">
        <f t="shared" si="0"/>
        <v>46</v>
      </c>
      <c r="H22" s="78">
        <v>0</v>
      </c>
      <c r="I22" s="76">
        <v>0</v>
      </c>
      <c r="J22" s="46">
        <f t="shared" si="1"/>
        <v>12</v>
      </c>
      <c r="K22" s="72">
        <v>34</v>
      </c>
      <c r="L22" s="20">
        <v>100</v>
      </c>
      <c r="M22" s="65">
        <f t="shared" si="2"/>
        <v>3400</v>
      </c>
      <c r="N22" s="17" t="s">
        <v>16</v>
      </c>
      <c r="O22" s="18"/>
      <c r="P22" s="23">
        <f t="shared" si="3"/>
        <v>3400</v>
      </c>
      <c r="Q22" s="90">
        <v>26.6</v>
      </c>
      <c r="R22" s="43">
        <f t="shared" si="4"/>
        <v>904.40000000000009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hidden="1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hidden="1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hidden="1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+'30'!J31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0</v>
      </c>
      <c r="K31" s="72">
        <v>16</v>
      </c>
      <c r="L31" s="15">
        <v>100</v>
      </c>
      <c r="M31" s="65">
        <f t="shared" si="2"/>
        <v>1600</v>
      </c>
      <c r="N31" s="17" t="s">
        <v>16</v>
      </c>
      <c r="O31" s="18"/>
      <c r="P31" s="23">
        <f t="shared" si="3"/>
        <v>1600</v>
      </c>
      <c r="Q31" s="90">
        <v>38.46</v>
      </c>
      <c r="R31" s="43">
        <f t="shared" si="4"/>
        <v>615.36</v>
      </c>
    </row>
    <row r="32" spans="1:18" ht="24.6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+'30'!J32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23">
        <f t="shared" si="3"/>
        <v>260</v>
      </c>
      <c r="Q32" s="90">
        <v>46.37</v>
      </c>
      <c r="R32" s="43">
        <f t="shared" si="4"/>
        <v>92.74</v>
      </c>
    </row>
    <row r="33" spans="1:18" ht="24.6" hidden="1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+'30'!J33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+'30'!J39</f>
        <v>16</v>
      </c>
      <c r="F39" s="71"/>
      <c r="G39" s="46">
        <f t="shared" si="5"/>
        <v>16</v>
      </c>
      <c r="H39" s="78">
        <v>0</v>
      </c>
      <c r="I39" s="76">
        <v>2</v>
      </c>
      <c r="J39" s="46">
        <f t="shared" si="6"/>
        <v>3</v>
      </c>
      <c r="K39" s="72">
        <v>11</v>
      </c>
      <c r="L39" s="15">
        <v>50</v>
      </c>
      <c r="M39" s="65">
        <f t="shared" si="2"/>
        <v>550</v>
      </c>
      <c r="N39" s="17" t="s">
        <v>16</v>
      </c>
      <c r="O39" s="18"/>
      <c r="P39" s="23">
        <f t="shared" si="3"/>
        <v>550</v>
      </c>
      <c r="Q39" s="90">
        <v>27.84</v>
      </c>
      <c r="R39" s="43">
        <f t="shared" si="4"/>
        <v>306.24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+'30'!J40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6</v>
      </c>
      <c r="K40" s="72">
        <v>7</v>
      </c>
      <c r="L40" s="15">
        <v>50</v>
      </c>
      <c r="M40" s="65">
        <f t="shared" si="2"/>
        <v>350</v>
      </c>
      <c r="N40" s="17" t="s">
        <v>16</v>
      </c>
      <c r="O40" s="18"/>
      <c r="P40" s="23">
        <f t="shared" si="3"/>
        <v>350</v>
      </c>
      <c r="Q40" s="90">
        <v>27.12</v>
      </c>
      <c r="R40" s="43">
        <f t="shared" si="4"/>
        <v>189.84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+'30'!J41</f>
        <v>14</v>
      </c>
      <c r="F41" s="71"/>
      <c r="G41" s="46">
        <f t="shared" si="5"/>
        <v>14</v>
      </c>
      <c r="H41" s="78">
        <v>0</v>
      </c>
      <c r="I41" s="76">
        <v>0</v>
      </c>
      <c r="J41" s="46">
        <f t="shared" si="6"/>
        <v>10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/>
      <c r="P41" s="23">
        <f t="shared" si="3"/>
        <v>200</v>
      </c>
      <c r="Q41" s="90">
        <v>15.42</v>
      </c>
      <c r="R41" s="43">
        <f t="shared" si="4"/>
        <v>61.68</v>
      </c>
    </row>
    <row r="42" spans="1:18" ht="24.6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+'30'!J42</f>
        <v>5</v>
      </c>
      <c r="F42" s="71"/>
      <c r="G42" s="46">
        <f t="shared" si="5"/>
        <v>5</v>
      </c>
      <c r="H42" s="78">
        <v>0</v>
      </c>
      <c r="I42" s="76">
        <v>0</v>
      </c>
      <c r="J42" s="46">
        <f t="shared" si="6"/>
        <v>4</v>
      </c>
      <c r="K42" s="72">
        <v>1</v>
      </c>
      <c r="L42" s="15">
        <v>25</v>
      </c>
      <c r="M42" s="65">
        <f t="shared" si="2"/>
        <v>25</v>
      </c>
      <c r="N42" s="17" t="s">
        <v>16</v>
      </c>
      <c r="O42" s="18"/>
      <c r="P42" s="23">
        <f t="shared" si="3"/>
        <v>25</v>
      </c>
      <c r="Q42" s="90"/>
      <c r="R42" s="43">
        <f t="shared" si="4"/>
        <v>0</v>
      </c>
    </row>
    <row r="43" spans="1:18" ht="24.6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+'30'!J43</f>
        <v>5</v>
      </c>
      <c r="F43" s="71"/>
      <c r="G43" s="46">
        <f t="shared" si="5"/>
        <v>5</v>
      </c>
      <c r="H43" s="78">
        <v>0</v>
      </c>
      <c r="I43" s="76">
        <v>0</v>
      </c>
      <c r="J43" s="46">
        <f t="shared" si="6"/>
        <v>3</v>
      </c>
      <c r="K43" s="72">
        <v>2</v>
      </c>
      <c r="L43" s="15">
        <v>65</v>
      </c>
      <c r="M43" s="65">
        <f>+L43*K43</f>
        <v>130</v>
      </c>
      <c r="N43" s="17" t="s">
        <v>16</v>
      </c>
      <c r="O43" s="18"/>
      <c r="P43" s="23">
        <f>SUM(M43-O43)</f>
        <v>130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+'30'!J44</f>
        <v>5</v>
      </c>
      <c r="F44" s="71"/>
      <c r="G44" s="46">
        <f t="shared" si="5"/>
        <v>5</v>
      </c>
      <c r="H44" s="78">
        <v>0</v>
      </c>
      <c r="I44" s="76">
        <v>0</v>
      </c>
      <c r="J44" s="46">
        <f t="shared" si="6"/>
        <v>4</v>
      </c>
      <c r="K44" s="72">
        <v>1</v>
      </c>
      <c r="L44" s="15">
        <v>65</v>
      </c>
      <c r="M44" s="65">
        <f t="shared" si="2"/>
        <v>65</v>
      </c>
      <c r="N44" s="17" t="s">
        <v>16</v>
      </c>
      <c r="O44" s="18"/>
      <c r="P44" s="23">
        <f t="shared" si="3"/>
        <v>65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>
        <f t="shared" si="4"/>
        <v>0</v>
      </c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+'30'!J46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0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23">
        <f t="shared" si="3"/>
        <v>200</v>
      </c>
      <c r="Q46" s="90">
        <v>19.05</v>
      </c>
      <c r="R46" s="43">
        <f t="shared" si="4"/>
        <v>76.2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0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23">
        <f t="shared" si="3"/>
        <v>200</v>
      </c>
      <c r="Q47" s="90">
        <v>19.21</v>
      </c>
      <c r="R47" s="43">
        <f t="shared" si="4"/>
        <v>76.84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+'30'!J48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23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+'30'!J49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0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23">
        <f>SUM(M49-O49)</f>
        <v>200</v>
      </c>
      <c r="Q49" s="90">
        <v>20.43</v>
      </c>
      <c r="R49" s="43">
        <f>+K49*Q49</f>
        <v>81.72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+'30'!J50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0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23">
        <f t="shared" si="3"/>
        <v>200</v>
      </c>
      <c r="Q50" s="90">
        <v>21.81</v>
      </c>
      <c r="R50" s="43">
        <f t="shared" si="4"/>
        <v>87.24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+'30'!J51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0">
        <v>14.65</v>
      </c>
      <c r="R51" s="43">
        <f>+K51*Q51</f>
        <v>14.65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+'30'!J53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0">
        <v>17.53</v>
      </c>
      <c r="R53" s="43">
        <f>+K53*Q53</f>
        <v>52.59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hidden="1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+'30'!J55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+'30'!J56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+'30'!J57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2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/>
      <c r="P57" s="23">
        <f t="shared" si="3"/>
        <v>360</v>
      </c>
      <c r="Q57" s="90">
        <v>31.46</v>
      </c>
      <c r="R57" s="43">
        <f t="shared" si="4"/>
        <v>94.38</v>
      </c>
    </row>
    <row r="58" spans="1:18" ht="24.6" hidden="1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+'30'!J58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+'30'!J59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3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23">
        <f t="shared" si="3"/>
        <v>240</v>
      </c>
      <c r="Q59" s="90">
        <v>32.96</v>
      </c>
      <c r="R59" s="43">
        <f t="shared" si="4"/>
        <v>65.92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+'30'!J62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2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/>
      <c r="P62" s="23">
        <f t="shared" si="3"/>
        <v>360</v>
      </c>
      <c r="Q62" s="90">
        <v>29.82</v>
      </c>
      <c r="R62" s="43">
        <f t="shared" si="4"/>
        <v>89.460000000000008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+'30'!J64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23">
        <f t="shared" si="3"/>
        <v>100</v>
      </c>
      <c r="Q64" s="90">
        <v>23.69</v>
      </c>
      <c r="R64" s="43">
        <f t="shared" si="4"/>
        <v>47.38</v>
      </c>
    </row>
    <row r="65" spans="1:18" ht="24.6" hidden="1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+'30'!J65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+'30'!J66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0">
        <v>23.12</v>
      </c>
      <c r="R66" s="43">
        <f t="shared" si="4"/>
        <v>23.12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hidden="1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+'30'!J69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+'30'!J70</f>
        <v>3</v>
      </c>
      <c r="F70" s="71"/>
      <c r="G70" s="46">
        <f t="shared" si="5"/>
        <v>3</v>
      </c>
      <c r="H70" s="78">
        <v>0</v>
      </c>
      <c r="I70" s="76">
        <v>0</v>
      </c>
      <c r="J70" s="46">
        <f t="shared" si="6"/>
        <v>2</v>
      </c>
      <c r="K70" s="72">
        <v>1</v>
      </c>
      <c r="L70" s="15">
        <v>150</v>
      </c>
      <c r="M70" s="65">
        <f t="shared" si="2"/>
        <v>150</v>
      </c>
      <c r="N70" s="17" t="s">
        <v>16</v>
      </c>
      <c r="O70" s="18"/>
      <c r="P70" s="23">
        <f t="shared" si="3"/>
        <v>150</v>
      </c>
      <c r="Q70" s="90">
        <v>68.37</v>
      </c>
      <c r="R70" s="43">
        <f t="shared" si="4"/>
        <v>68.37</v>
      </c>
    </row>
    <row r="71" spans="1:18" ht="24.6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+'30'!J71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2</v>
      </c>
      <c r="K71" s="72">
        <v>1</v>
      </c>
      <c r="L71" s="15">
        <v>150</v>
      </c>
      <c r="M71" s="65">
        <f t="shared" si="2"/>
        <v>150</v>
      </c>
      <c r="N71" s="17" t="s">
        <v>16</v>
      </c>
      <c r="O71" s="18"/>
      <c r="P71" s="23">
        <f t="shared" si="3"/>
        <v>150</v>
      </c>
      <c r="Q71" s="90">
        <v>67.17</v>
      </c>
      <c r="R71" s="43">
        <f t="shared" si="4"/>
        <v>67.17</v>
      </c>
    </row>
    <row r="72" spans="1:18" ht="24.6" hidden="1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+'30'!J72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+'30'!J74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1</v>
      </c>
      <c r="K74" s="72">
        <v>6</v>
      </c>
      <c r="L74" s="21">
        <v>50</v>
      </c>
      <c r="M74" s="65">
        <f t="shared" si="2"/>
        <v>300</v>
      </c>
      <c r="N74" s="17" t="s">
        <v>16</v>
      </c>
      <c r="O74" s="18"/>
      <c r="P74" s="23">
        <f t="shared" si="3"/>
        <v>300</v>
      </c>
      <c r="Q74" s="90">
        <v>17.09</v>
      </c>
      <c r="R74" s="43">
        <f t="shared" si="4"/>
        <v>102.53999999999999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+'30'!J77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6</v>
      </c>
      <c r="K77" s="72">
        <v>8</v>
      </c>
      <c r="L77" s="21">
        <v>50</v>
      </c>
      <c r="M77" s="65">
        <f t="shared" si="2"/>
        <v>400</v>
      </c>
      <c r="N77" s="17" t="s">
        <v>16</v>
      </c>
      <c r="O77" s="18"/>
      <c r="P77" s="23">
        <f t="shared" si="3"/>
        <v>400</v>
      </c>
      <c r="Q77" s="90">
        <v>17.329999999999998</v>
      </c>
      <c r="R77" s="43">
        <f t="shared" si="4"/>
        <v>138.63999999999999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+'30'!J79</f>
        <v>4</v>
      </c>
      <c r="F79" s="71"/>
      <c r="G79" s="46">
        <f>E79+F79</f>
        <v>4</v>
      </c>
      <c r="H79" s="78">
        <v>0</v>
      </c>
      <c r="I79" s="76">
        <v>0</v>
      </c>
      <c r="J79" s="46">
        <f t="shared" si="6"/>
        <v>2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23">
        <f t="shared" si="3"/>
        <v>70</v>
      </c>
      <c r="Q79" s="90"/>
      <c r="R79" s="43">
        <f t="shared" si="4"/>
        <v>0</v>
      </c>
    </row>
    <row r="80" spans="1:18" ht="24.6" hidden="1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+'30'!J80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hidden="1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+'30'!J81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+'30'!J83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4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23">
        <f t="shared" ref="P83:P91" si="11">SUM(M83-O83)</f>
        <v>50</v>
      </c>
      <c r="Q83" s="90">
        <v>18.14</v>
      </c>
      <c r="R83" s="43">
        <f t="shared" ref="R83:R91" si="12">+K83*Q83</f>
        <v>18.14</v>
      </c>
    </row>
    <row r="84" spans="1:18" ht="24.6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+'30'!J84</f>
        <v>5</v>
      </c>
      <c r="F84" s="71"/>
      <c r="G84" s="46">
        <f t="shared" si="5"/>
        <v>5</v>
      </c>
      <c r="H84" s="78">
        <v>0</v>
      </c>
      <c r="I84" s="76">
        <v>0</v>
      </c>
      <c r="J84" s="46">
        <f t="shared" si="6"/>
        <v>4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23">
        <f t="shared" si="11"/>
        <v>50</v>
      </c>
      <c r="Q84" s="90">
        <v>12.94</v>
      </c>
      <c r="R84" s="43">
        <f t="shared" si="12"/>
        <v>12.94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hidden="1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hidden="1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>
        <f>+'30'!J93</f>
        <v>28</v>
      </c>
      <c r="F93" s="71"/>
      <c r="G93" s="46">
        <f t="shared" si="5"/>
        <v>28</v>
      </c>
      <c r="H93" s="78">
        <v>0</v>
      </c>
      <c r="I93" s="76">
        <v>0</v>
      </c>
      <c r="J93" s="46">
        <f t="shared" si="6"/>
        <v>19</v>
      </c>
      <c r="K93" s="72">
        <v>9</v>
      </c>
      <c r="L93" s="21">
        <v>35</v>
      </c>
      <c r="M93" s="65">
        <f t="shared" si="7"/>
        <v>315</v>
      </c>
      <c r="N93" s="17" t="s">
        <v>16</v>
      </c>
      <c r="O93" s="18"/>
      <c r="P93" s="23">
        <f t="shared" si="8"/>
        <v>315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+'30'!J96</f>
        <v>45</v>
      </c>
      <c r="F96" s="71"/>
      <c r="G96" s="46">
        <f t="shared" si="23"/>
        <v>45</v>
      </c>
      <c r="H96" s="78">
        <v>0</v>
      </c>
      <c r="I96" s="76">
        <v>0</v>
      </c>
      <c r="J96" s="46">
        <f t="shared" si="24"/>
        <v>38</v>
      </c>
      <c r="K96" s="72">
        <v>7</v>
      </c>
      <c r="L96" s="20">
        <v>45</v>
      </c>
      <c r="M96" s="65">
        <f t="shared" si="7"/>
        <v>315</v>
      </c>
      <c r="N96" s="17" t="s">
        <v>1429</v>
      </c>
      <c r="O96" s="18">
        <f>60+45</f>
        <v>105</v>
      </c>
      <c r="P96" s="23">
        <f t="shared" si="8"/>
        <v>210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+'30'!J99</f>
        <v>15</v>
      </c>
      <c r="F99" s="71"/>
      <c r="G99" s="46">
        <f t="shared" si="23"/>
        <v>15</v>
      </c>
      <c r="H99" s="78">
        <v>0</v>
      </c>
      <c r="I99" s="76">
        <v>1</v>
      </c>
      <c r="J99" s="46">
        <f t="shared" si="24"/>
        <v>8</v>
      </c>
      <c r="K99" s="72">
        <v>6</v>
      </c>
      <c r="L99" s="20">
        <v>45</v>
      </c>
      <c r="M99" s="65">
        <f t="shared" ref="M99:M105" si="25">+L99*K99</f>
        <v>270</v>
      </c>
      <c r="N99" s="17" t="s">
        <v>16</v>
      </c>
      <c r="O99" s="18"/>
      <c r="P99" s="23">
        <f t="shared" ref="P99:P105" si="26">SUM(M99-O99)</f>
        <v>270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hidden="1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+'30'!J102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+'30'!J112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23">
        <f>SUM(M112-O112)</f>
        <v>300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+'30'!J113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23">
        <f t="shared" si="8"/>
        <v>110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+'30'!J115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23">
        <f t="shared" si="8"/>
        <v>180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+'30'!J116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13</v>
      </c>
      <c r="K116" s="72">
        <v>6</v>
      </c>
      <c r="L116" s="22">
        <v>100</v>
      </c>
      <c r="M116" s="65">
        <f t="shared" si="7"/>
        <v>600</v>
      </c>
      <c r="N116" s="17" t="s">
        <v>16</v>
      </c>
      <c r="O116" s="18"/>
      <c r="P116" s="23">
        <f t="shared" si="8"/>
        <v>600</v>
      </c>
      <c r="Q116" s="90">
        <v>13.03</v>
      </c>
      <c r="R116" s="43">
        <f t="shared" si="9"/>
        <v>78.179999999999993</v>
      </c>
    </row>
    <row r="117" spans="1:18" ht="24.6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+'30'!J117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8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23">
        <f t="shared" si="8"/>
        <v>55</v>
      </c>
      <c r="Q117" s="90">
        <v>11.91</v>
      </c>
      <c r="R117" s="43">
        <f t="shared" si="9"/>
        <v>11.91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+'30'!J130</f>
        <v>9</v>
      </c>
      <c r="F130" s="71"/>
      <c r="G130" s="46">
        <f t="shared" si="23"/>
        <v>9</v>
      </c>
      <c r="H130" s="78">
        <v>0</v>
      </c>
      <c r="I130" s="76">
        <v>0</v>
      </c>
      <c r="J130" s="46">
        <f t="shared" si="24"/>
        <v>3</v>
      </c>
      <c r="K130" s="72">
        <v>6</v>
      </c>
      <c r="L130" s="22">
        <v>40</v>
      </c>
      <c r="M130" s="65">
        <f t="shared" si="7"/>
        <v>240</v>
      </c>
      <c r="N130" s="17" t="s">
        <v>16</v>
      </c>
      <c r="O130" s="18"/>
      <c r="P130" s="23">
        <f t="shared" si="8"/>
        <v>240</v>
      </c>
      <c r="Q130" s="90">
        <v>11.12</v>
      </c>
      <c r="R130" s="43">
        <f t="shared" si="9"/>
        <v>66.72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+'30'!J131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+'30'!J132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2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23">
        <f t="shared" si="8"/>
        <v>180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+'30'!J133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6</v>
      </c>
      <c r="K133" s="72">
        <v>4</v>
      </c>
      <c r="L133" s="20">
        <v>50</v>
      </c>
      <c r="M133" s="65">
        <f t="shared" si="7"/>
        <v>200</v>
      </c>
      <c r="N133" s="17" t="s">
        <v>1445</v>
      </c>
      <c r="O133" s="18">
        <v>50</v>
      </c>
      <c r="P133" s="23">
        <f t="shared" si="8"/>
        <v>150</v>
      </c>
      <c r="Q133" s="90">
        <v>21.75</v>
      </c>
      <c r="R133" s="43">
        <f t="shared" si="9"/>
        <v>87</v>
      </c>
    </row>
    <row r="134" spans="1:18" ht="24.6" hidden="1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+'30'!J134</f>
        <v>9</v>
      </c>
      <c r="F134" s="71"/>
      <c r="G134" s="46">
        <f t="shared" si="23"/>
        <v>9</v>
      </c>
      <c r="H134" s="78">
        <v>0</v>
      </c>
      <c r="I134" s="76">
        <v>0</v>
      </c>
      <c r="J134" s="46">
        <f t="shared" si="24"/>
        <v>9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+'30'!J142</f>
        <v>5</v>
      </c>
      <c r="F142" s="71"/>
      <c r="G142" s="46">
        <f t="shared" si="23"/>
        <v>5</v>
      </c>
      <c r="H142" s="78">
        <v>0</v>
      </c>
      <c r="I142" s="76">
        <v>0</v>
      </c>
      <c r="J142" s="46">
        <f t="shared" si="24"/>
        <v>0</v>
      </c>
      <c r="K142" s="72">
        <v>5</v>
      </c>
      <c r="L142" s="20">
        <v>10</v>
      </c>
      <c r="M142" s="65">
        <f t="shared" si="7"/>
        <v>50</v>
      </c>
      <c r="N142" s="17" t="s">
        <v>16</v>
      </c>
      <c r="O142" s="18"/>
      <c r="P142" s="23">
        <f t="shared" si="8"/>
        <v>50</v>
      </c>
      <c r="Q142" s="90">
        <v>2.17</v>
      </c>
      <c r="R142" s="43">
        <f t="shared" si="9"/>
        <v>10.85</v>
      </c>
    </row>
    <row r="143" spans="1:18" ht="24.6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+'30'!J143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0</v>
      </c>
      <c r="K143" s="72">
        <v>3</v>
      </c>
      <c r="L143" s="22">
        <v>10</v>
      </c>
      <c r="M143" s="65">
        <f t="shared" si="7"/>
        <v>30</v>
      </c>
      <c r="N143" s="17" t="s">
        <v>16</v>
      </c>
      <c r="O143" s="18"/>
      <c r="P143" s="23">
        <f t="shared" si="8"/>
        <v>30</v>
      </c>
      <c r="Q143" s="90">
        <v>2.35</v>
      </c>
      <c r="R143" s="43">
        <f t="shared" si="9"/>
        <v>7.0500000000000007</v>
      </c>
    </row>
    <row r="144" spans="1:18" ht="24.6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+'30'!J144</f>
        <v>3</v>
      </c>
      <c r="F144" s="71"/>
      <c r="G144" s="46">
        <f t="shared" si="23"/>
        <v>3</v>
      </c>
      <c r="H144" s="78">
        <v>0</v>
      </c>
      <c r="I144" s="76">
        <v>0</v>
      </c>
      <c r="J144" s="46">
        <f t="shared" si="24"/>
        <v>2</v>
      </c>
      <c r="K144" s="72">
        <v>1</v>
      </c>
      <c r="L144" s="22">
        <v>10</v>
      </c>
      <c r="M144" s="65">
        <f t="shared" si="7"/>
        <v>10</v>
      </c>
      <c r="N144" s="17" t="s">
        <v>16</v>
      </c>
      <c r="O144" s="18"/>
      <c r="P144" s="23">
        <f t="shared" si="8"/>
        <v>10</v>
      </c>
      <c r="Q144" s="90">
        <v>2.12</v>
      </c>
      <c r="R144" s="43">
        <f t="shared" si="9"/>
        <v>2.12</v>
      </c>
    </row>
    <row r="145" spans="1:18" ht="24.6" hidden="1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+'30'!J145</f>
        <v>6</v>
      </c>
      <c r="F145" s="71"/>
      <c r="G145" s="46">
        <f t="shared" si="23"/>
        <v>6</v>
      </c>
      <c r="H145" s="78">
        <v>0</v>
      </c>
      <c r="I145" s="76">
        <v>0</v>
      </c>
      <c r="J145" s="46">
        <f t="shared" si="24"/>
        <v>6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+'30'!J146</f>
        <v>5</v>
      </c>
      <c r="F146" s="71"/>
      <c r="G146" s="46">
        <f t="shared" si="23"/>
        <v>5</v>
      </c>
      <c r="H146" s="78">
        <v>0</v>
      </c>
      <c r="I146" s="76">
        <v>0</v>
      </c>
      <c r="J146" s="46">
        <f t="shared" si="24"/>
        <v>1</v>
      </c>
      <c r="K146" s="72">
        <v>4</v>
      </c>
      <c r="L146" s="20">
        <v>10</v>
      </c>
      <c r="M146" s="65">
        <f t="shared" si="7"/>
        <v>40</v>
      </c>
      <c r="N146" s="17" t="s">
        <v>16</v>
      </c>
      <c r="O146" s="18"/>
      <c r="P146" s="23">
        <f t="shared" si="8"/>
        <v>40</v>
      </c>
      <c r="Q146" s="90">
        <v>2.17</v>
      </c>
      <c r="R146" s="43">
        <f t="shared" si="9"/>
        <v>8.68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+'30'!J150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+'30'!J154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1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23">
        <f>SUM(M154-O154)</f>
        <v>75</v>
      </c>
      <c r="Q154" s="90">
        <v>16.16</v>
      </c>
      <c r="R154" s="43">
        <f>+K154*Q154</f>
        <v>48.480000000000004</v>
      </c>
    </row>
    <row r="155" spans="1:18" ht="24.6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+'30'!J155</f>
        <v>8</v>
      </c>
      <c r="F155" s="71"/>
      <c r="G155" s="46">
        <f t="shared" si="23"/>
        <v>8</v>
      </c>
      <c r="H155" s="78">
        <v>0</v>
      </c>
      <c r="I155" s="76">
        <v>0</v>
      </c>
      <c r="J155" s="46">
        <f t="shared" si="24"/>
        <v>3</v>
      </c>
      <c r="K155" s="72">
        <v>5</v>
      </c>
      <c r="L155" s="20">
        <v>25</v>
      </c>
      <c r="M155" s="65">
        <f t="shared" si="7"/>
        <v>125</v>
      </c>
      <c r="N155" s="17" t="s">
        <v>16</v>
      </c>
      <c r="O155" s="18"/>
      <c r="P155" s="23">
        <f t="shared" si="8"/>
        <v>125</v>
      </c>
      <c r="Q155" s="90">
        <v>18.63</v>
      </c>
      <c r="R155" s="43">
        <f t="shared" si="9"/>
        <v>93.149999999999991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+'30'!J163</f>
        <v>7</v>
      </c>
      <c r="F163" s="71"/>
      <c r="G163" s="46">
        <f t="shared" si="30"/>
        <v>7</v>
      </c>
      <c r="H163" s="78">
        <v>0</v>
      </c>
      <c r="I163" s="76">
        <v>0</v>
      </c>
      <c r="J163" s="46">
        <f t="shared" si="31"/>
        <v>1</v>
      </c>
      <c r="K163" s="72">
        <v>6</v>
      </c>
      <c r="L163" s="20">
        <v>25</v>
      </c>
      <c r="M163" s="65">
        <f t="shared" si="7"/>
        <v>150</v>
      </c>
      <c r="N163" s="17" t="s">
        <v>16</v>
      </c>
      <c r="O163" s="18"/>
      <c r="P163" s="23">
        <f t="shared" si="8"/>
        <v>150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>
        <f>+'30'!J173</f>
        <v>11</v>
      </c>
      <c r="F173" s="71"/>
      <c r="G173" s="46">
        <f>E173+F173</f>
        <v>11</v>
      </c>
      <c r="H173" s="78">
        <v>0</v>
      </c>
      <c r="I173" s="76">
        <v>0</v>
      </c>
      <c r="J173" s="46">
        <f>+G173-H173-K173-I173</f>
        <v>0</v>
      </c>
      <c r="K173" s="72">
        <v>11</v>
      </c>
      <c r="L173" s="20">
        <v>35</v>
      </c>
      <c r="M173" s="65">
        <f>+L173*K173</f>
        <v>385</v>
      </c>
      <c r="N173" s="17" t="s">
        <v>16</v>
      </c>
      <c r="O173" s="18"/>
      <c r="P173" s="23">
        <f>SUM(M173-O173)</f>
        <v>385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+'30'!J175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12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23">
        <f>SUM(M175-O175)</f>
        <v>150</v>
      </c>
      <c r="Q175" s="90">
        <v>29.96</v>
      </c>
      <c r="R175" s="43">
        <f>+K175*Q175</f>
        <v>89.88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+'30'!J180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+'30'!J185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+'30'!J187</f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f>+G187-H187-K187-I187</f>
        <v>20</v>
      </c>
      <c r="K187" s="72">
        <v>3</v>
      </c>
      <c r="L187" s="20">
        <v>15</v>
      </c>
      <c r="M187" s="65">
        <f>+L187*K187</f>
        <v>45</v>
      </c>
      <c r="N187" s="17" t="s">
        <v>1442</v>
      </c>
      <c r="O187" s="18">
        <v>30</v>
      </c>
      <c r="P187" s="23">
        <f>SUM(M187-O187)</f>
        <v>15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+'30'!J188</f>
        <v>20</v>
      </c>
      <c r="F188" s="71"/>
      <c r="G188" s="46">
        <f>E188+F188</f>
        <v>20</v>
      </c>
      <c r="H188" s="78">
        <v>0</v>
      </c>
      <c r="I188" s="76">
        <v>0</v>
      </c>
      <c r="J188" s="46">
        <f>+G188-H188-K188-I188</f>
        <v>19</v>
      </c>
      <c r="K188" s="72">
        <v>1</v>
      </c>
      <c r="L188" s="20">
        <v>15</v>
      </c>
      <c r="M188" s="65">
        <f>+L188*K188</f>
        <v>15</v>
      </c>
      <c r="N188" s="17" t="s">
        <v>1446</v>
      </c>
      <c r="O188" s="18">
        <v>15</v>
      </c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+'30'!J189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17</v>
      </c>
      <c r="K189" s="72">
        <v>2</v>
      </c>
      <c r="L189" s="20">
        <v>15</v>
      </c>
      <c r="M189" s="65">
        <f>+L189*K189</f>
        <v>30</v>
      </c>
      <c r="N189" s="17" t="s">
        <v>1446</v>
      </c>
      <c r="O189" s="18">
        <v>15</v>
      </c>
      <c r="P189" s="23">
        <f>SUM(M189-O189)</f>
        <v>15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+'30'!J193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+'30'!J194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>
        <f>+'30'!J198</f>
        <v>44</v>
      </c>
      <c r="F198" s="71"/>
      <c r="G198" s="46">
        <f t="shared" si="30"/>
        <v>44</v>
      </c>
      <c r="H198" s="78">
        <v>0</v>
      </c>
      <c r="I198" s="76">
        <v>3</v>
      </c>
      <c r="J198" s="46">
        <f t="shared" si="31"/>
        <v>33</v>
      </c>
      <c r="K198" s="72">
        <v>8</v>
      </c>
      <c r="L198" s="20">
        <v>150</v>
      </c>
      <c r="M198" s="65">
        <f t="shared" si="34"/>
        <v>1200</v>
      </c>
      <c r="N198" s="17" t="s">
        <v>16</v>
      </c>
      <c r="O198" s="18"/>
      <c r="P198" s="23">
        <f t="shared" si="35"/>
        <v>1200</v>
      </c>
      <c r="Q198" s="90">
        <v>64.38</v>
      </c>
      <c r="R198" s="43">
        <f t="shared" si="36"/>
        <v>515.04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+'30'!J205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hidden="1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+'30'!J209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+'30'!J234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hidden="1" x14ac:dyDescent="0.65">
      <c r="A242" s="10">
        <v>238</v>
      </c>
      <c r="B242" s="10"/>
      <c r="C242" s="19" t="s">
        <v>1436</v>
      </c>
      <c r="D242" s="10" t="s">
        <v>564</v>
      </c>
      <c r="E242" s="64">
        <f>+'30'!J242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+'30'!J259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6351.170000000001</v>
      </c>
      <c r="S260" s="75"/>
    </row>
    <row r="261" spans="1:19" ht="25.5" hidden="1" customHeight="1" x14ac:dyDescent="0.6">
      <c r="A261" s="1"/>
      <c r="E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224" t="s">
        <v>202</v>
      </c>
      <c r="M262" s="225"/>
      <c r="N262" s="33">
        <f>SUM(M5:M261)</f>
        <v>20215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>
        <v>0</v>
      </c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SUBTOTAL(9,O264:AS264)</f>
        <v>6175</v>
      </c>
      <c r="O264" s="2">
        <v>6175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13775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13795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20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20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,200.00"/>
        <filter val="1,600.00"/>
        <filter val="10.00"/>
        <filter val="100.00"/>
        <filter val="110.00"/>
        <filter val="125.00"/>
        <filter val="130.00"/>
        <filter val="15.00"/>
        <filter val="150.00"/>
        <filter val="170.00"/>
        <filter val="180.00"/>
        <filter val="200.00"/>
        <filter val="240.00"/>
        <filter val="25.00"/>
        <filter val="250.00"/>
        <filter val="260.00"/>
        <filter val="270.00"/>
        <filter val="3,400.00"/>
        <filter val="30.00"/>
        <filter val="300.00"/>
        <filter val="315.00"/>
        <filter val="350.00"/>
        <filter val="360.00"/>
        <filter val="385.00"/>
        <filter val="40.00"/>
        <filter val="400.00"/>
        <filter val="45.00"/>
        <filter val="50.00"/>
        <filter val="55.00"/>
        <filter val="550.00"/>
        <filter val="600.00"/>
        <filter val="65.00"/>
        <filter val="650.00"/>
        <filter val="70.00"/>
        <filter val="75.00"/>
        <filter val="750.00"/>
        <filter val="เป็นเงิน"/>
      </filters>
    </filterColumn>
  </autoFilter>
  <mergeCells count="17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L262:M262"/>
    <mergeCell ref="Q3:Q4"/>
    <mergeCell ref="R3:R4"/>
    <mergeCell ref="K261:L261"/>
  </mergeCells>
  <pageMargins left="0.52" right="0.12" top="0.75" bottom="0.16" header="0.3" footer="0.13"/>
  <pageSetup paperSize="9" scale="40" fitToWidth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  <pageSetUpPr fitToPage="1"/>
  </sheetPr>
  <dimension ref="A1:S346"/>
  <sheetViews>
    <sheetView zoomScale="70" zoomScaleNormal="70" workbookViewId="0">
      <pane xSplit="10" ySplit="4" topLeftCell="K173" activePane="bottomRight" state="frozen"/>
      <selection activeCell="L247" sqref="L247"/>
      <selection pane="topRight" activeCell="L247" sqref="L247"/>
      <selection pane="bottomLeft" activeCell="L247" sqref="L247"/>
      <selection pane="bottomRight" activeCell="P267" sqref="P267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+'1'!J5</f>
        <v>35</v>
      </c>
      <c r="F5" s="71">
        <v>20</v>
      </c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45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19">
        <f>SUM(M5-O5)</f>
        <v>500</v>
      </c>
      <c r="Q5" s="90">
        <v>22.48</v>
      </c>
      <c r="R5" s="43">
        <f>+K5*Q5</f>
        <v>224.8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+'1'!J6</f>
        <v>58</v>
      </c>
      <c r="F6" s="71">
        <v>50</v>
      </c>
      <c r="G6" s="46">
        <f t="shared" si="0"/>
        <v>108</v>
      </c>
      <c r="H6" s="78">
        <v>0</v>
      </c>
      <c r="I6" s="76">
        <v>0</v>
      </c>
      <c r="J6" s="46">
        <f t="shared" si="1"/>
        <v>87</v>
      </c>
      <c r="K6" s="72">
        <v>21</v>
      </c>
      <c r="L6" s="15">
        <v>100</v>
      </c>
      <c r="M6" s="65">
        <f t="shared" ref="M6:M80" si="2">+L6*K6</f>
        <v>2100</v>
      </c>
      <c r="N6" s="17" t="s">
        <v>16</v>
      </c>
      <c r="O6" s="18"/>
      <c r="P6" s="119">
        <f t="shared" ref="P6:P80" si="3">SUM(M6-O6)</f>
        <v>2100</v>
      </c>
      <c r="Q6" s="90">
        <v>39.29</v>
      </c>
      <c r="R6" s="43">
        <f t="shared" ref="R6:R80" si="4">+K6*Q6</f>
        <v>825.09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+'1'!J11</f>
        <v>0</v>
      </c>
      <c r="F11" s="71">
        <v>20</v>
      </c>
      <c r="G11" s="46">
        <f t="shared" si="0"/>
        <v>20</v>
      </c>
      <c r="H11" s="78">
        <v>0</v>
      </c>
      <c r="I11" s="76">
        <v>0</v>
      </c>
      <c r="J11" s="46">
        <f t="shared" si="1"/>
        <v>16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19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+'1'!J15</f>
        <v>0</v>
      </c>
      <c r="F15" s="71">
        <v>20</v>
      </c>
      <c r="G15" s="46">
        <f t="shared" si="0"/>
        <v>20</v>
      </c>
      <c r="H15" s="78">
        <v>0</v>
      </c>
      <c r="I15" s="76">
        <v>0</v>
      </c>
      <c r="J15" s="46">
        <f t="shared" si="1"/>
        <v>16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/>
      <c r="P15" s="119">
        <f t="shared" si="3"/>
        <v>200</v>
      </c>
      <c r="Q15" s="90">
        <v>24.37</v>
      </c>
      <c r="R15" s="43">
        <f t="shared" si="4"/>
        <v>97.48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+'1'!J18</f>
        <v>0</v>
      </c>
      <c r="F18" s="71">
        <v>20</v>
      </c>
      <c r="G18" s="46">
        <f t="shared" si="0"/>
        <v>20</v>
      </c>
      <c r="H18" s="78">
        <v>0</v>
      </c>
      <c r="I18" s="76">
        <v>0</v>
      </c>
      <c r="J18" s="46">
        <f t="shared" si="1"/>
        <v>13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19">
        <f t="shared" si="3"/>
        <v>350</v>
      </c>
      <c r="Q18" s="90">
        <v>18.77</v>
      </c>
      <c r="R18" s="43">
        <f t="shared" si="4"/>
        <v>131.38999999999999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+'1'!J20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5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19">
        <f t="shared" si="3"/>
        <v>195</v>
      </c>
      <c r="Q20" s="90">
        <v>22.25</v>
      </c>
      <c r="R20" s="43">
        <f t="shared" si="4"/>
        <v>66.75</v>
      </c>
    </row>
    <row r="21" spans="1:18" ht="24.6" hidden="1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+'1'!J22</f>
        <v>12</v>
      </c>
      <c r="F22" s="71">
        <v>30</v>
      </c>
      <c r="G22" s="46">
        <f t="shared" si="0"/>
        <v>42</v>
      </c>
      <c r="H22" s="78">
        <v>0</v>
      </c>
      <c r="I22" s="76">
        <v>0</v>
      </c>
      <c r="J22" s="46">
        <f t="shared" si="1"/>
        <v>20</v>
      </c>
      <c r="K22" s="72">
        <v>22</v>
      </c>
      <c r="L22" s="20">
        <v>100</v>
      </c>
      <c r="M22" s="65">
        <f t="shared" si="2"/>
        <v>2200</v>
      </c>
      <c r="N22" s="17" t="s">
        <v>16</v>
      </c>
      <c r="O22" s="18"/>
      <c r="P22" s="119">
        <f t="shared" si="3"/>
        <v>2200</v>
      </c>
      <c r="Q22" s="90">
        <v>26.6</v>
      </c>
      <c r="R22" s="43">
        <f t="shared" si="4"/>
        <v>585.20000000000005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+'1'!J24</f>
        <v>0</v>
      </c>
      <c r="F24" s="71">
        <v>50</v>
      </c>
      <c r="G24" s="46">
        <f t="shared" si="0"/>
        <v>50</v>
      </c>
      <c r="H24" s="78">
        <v>0</v>
      </c>
      <c r="I24" s="76">
        <v>0</v>
      </c>
      <c r="J24" s="46">
        <f t="shared" si="1"/>
        <v>47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19">
        <f t="shared" si="3"/>
        <v>300</v>
      </c>
      <c r="Q24" s="90">
        <v>40.51</v>
      </c>
      <c r="R24" s="43">
        <f t="shared" si="4"/>
        <v>121.53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+'1'!J26</f>
        <v>0</v>
      </c>
      <c r="F26" s="71">
        <v>20</v>
      </c>
      <c r="G26" s="46">
        <f t="shared" si="0"/>
        <v>20</v>
      </c>
      <c r="H26" s="78">
        <v>0</v>
      </c>
      <c r="I26" s="76">
        <v>0</v>
      </c>
      <c r="J26" s="46">
        <f t="shared" si="1"/>
        <v>19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19">
        <f t="shared" si="3"/>
        <v>100</v>
      </c>
      <c r="Q26" s="90">
        <v>35.39</v>
      </c>
      <c r="R26" s="43">
        <f t="shared" si="4"/>
        <v>35.39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+'1'!J28</f>
        <v>0</v>
      </c>
      <c r="F28" s="71">
        <v>30</v>
      </c>
      <c r="G28" s="46">
        <f t="shared" si="5"/>
        <v>30</v>
      </c>
      <c r="H28" s="78">
        <v>0</v>
      </c>
      <c r="I28" s="76">
        <v>0</v>
      </c>
      <c r="J28" s="46">
        <f t="shared" si="6"/>
        <v>28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19">
        <f t="shared" si="3"/>
        <v>200</v>
      </c>
      <c r="Q28" s="90">
        <v>31.97</v>
      </c>
      <c r="R28" s="43">
        <f t="shared" si="4"/>
        <v>63.94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+'1'!J31</f>
        <v>0</v>
      </c>
      <c r="F31" s="71">
        <v>50</v>
      </c>
      <c r="G31" s="46">
        <f t="shared" si="5"/>
        <v>50</v>
      </c>
      <c r="H31" s="78">
        <v>0</v>
      </c>
      <c r="I31" s="76">
        <v>0</v>
      </c>
      <c r="J31" s="46">
        <f t="shared" si="6"/>
        <v>46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19">
        <f t="shared" si="3"/>
        <v>400</v>
      </c>
      <c r="Q31" s="90">
        <v>38.46</v>
      </c>
      <c r="R31" s="43">
        <f t="shared" si="4"/>
        <v>153.84</v>
      </c>
    </row>
    <row r="32" spans="1:18" ht="24.6" hidden="1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+'1'!J33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8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19">
        <f t="shared" si="3"/>
        <v>260</v>
      </c>
      <c r="Q33" s="90">
        <v>38.9</v>
      </c>
      <c r="R33" s="43">
        <f t="shared" si="4"/>
        <v>77.8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+'1'!J39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2</v>
      </c>
      <c r="K39" s="72">
        <v>6</v>
      </c>
      <c r="L39" s="15">
        <v>50</v>
      </c>
      <c r="M39" s="65">
        <f t="shared" si="2"/>
        <v>300</v>
      </c>
      <c r="N39" s="17" t="s">
        <v>16</v>
      </c>
      <c r="O39" s="18"/>
      <c r="P39" s="119">
        <f t="shared" si="3"/>
        <v>300</v>
      </c>
      <c r="Q39" s="90">
        <v>27.84</v>
      </c>
      <c r="R39" s="43">
        <f t="shared" si="4"/>
        <v>167.04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+'1'!J40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6"/>
        <v>9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19">
        <f t="shared" si="3"/>
        <v>100</v>
      </c>
      <c r="Q40" s="90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+'1'!J41</f>
        <v>10</v>
      </c>
      <c r="F41" s="71">
        <v>5</v>
      </c>
      <c r="G41" s="46">
        <f t="shared" si="5"/>
        <v>15</v>
      </c>
      <c r="H41" s="78">
        <v>0</v>
      </c>
      <c r="I41" s="76">
        <v>0</v>
      </c>
      <c r="J41" s="46">
        <f t="shared" si="6"/>
        <v>11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/>
      <c r="P41" s="119">
        <f t="shared" si="3"/>
        <v>200</v>
      </c>
      <c r="Q41" s="90">
        <v>15.42</v>
      </c>
      <c r="R41" s="43">
        <f t="shared" si="4"/>
        <v>61.68</v>
      </c>
    </row>
    <row r="42" spans="1:18" ht="24.6" hidden="1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+'1'!J42</f>
        <v>4</v>
      </c>
      <c r="F42" s="71"/>
      <c r="G42" s="46">
        <f t="shared" si="5"/>
        <v>4</v>
      </c>
      <c r="H42" s="78">
        <v>0</v>
      </c>
      <c r="I42" s="76">
        <v>0</v>
      </c>
      <c r="J42" s="46">
        <f t="shared" si="6"/>
        <v>4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/>
      <c r="R42" s="43">
        <f t="shared" si="4"/>
        <v>0</v>
      </c>
    </row>
    <row r="43" spans="1:18" ht="24.6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+'1'!J43</f>
        <v>3</v>
      </c>
      <c r="F43" s="71"/>
      <c r="G43" s="46">
        <f t="shared" si="5"/>
        <v>3</v>
      </c>
      <c r="H43" s="78">
        <v>0</v>
      </c>
      <c r="I43" s="76">
        <v>0</v>
      </c>
      <c r="J43" s="46">
        <f t="shared" si="6"/>
        <v>2</v>
      </c>
      <c r="K43" s="72">
        <v>1</v>
      </c>
      <c r="L43" s="15">
        <v>65</v>
      </c>
      <c r="M43" s="65">
        <f>+L43*K43</f>
        <v>65</v>
      </c>
      <c r="N43" s="17" t="s">
        <v>16</v>
      </c>
      <c r="O43" s="18"/>
      <c r="P43" s="119">
        <f>SUM(M43-O43)</f>
        <v>65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+'1'!J44</f>
        <v>4</v>
      </c>
      <c r="F44" s="71"/>
      <c r="G44" s="46">
        <f t="shared" si="5"/>
        <v>4</v>
      </c>
      <c r="H44" s="78">
        <v>0</v>
      </c>
      <c r="I44" s="76">
        <v>0</v>
      </c>
      <c r="J44" s="46">
        <f t="shared" si="6"/>
        <v>3</v>
      </c>
      <c r="K44" s="72">
        <v>1</v>
      </c>
      <c r="L44" s="15">
        <v>65</v>
      </c>
      <c r="M44" s="65">
        <f t="shared" si="2"/>
        <v>65</v>
      </c>
      <c r="N44" s="17" t="s">
        <v>16</v>
      </c>
      <c r="O44" s="18"/>
      <c r="P44" s="119">
        <f t="shared" si="3"/>
        <v>65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+'1'!J46</f>
        <v>0</v>
      </c>
      <c r="F46" s="71">
        <v>10</v>
      </c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19">
        <f t="shared" si="3"/>
        <v>100</v>
      </c>
      <c r="Q46" s="90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+'1'!J47</f>
        <v>0</v>
      </c>
      <c r="F47" s="71">
        <v>10</v>
      </c>
      <c r="G47" s="46">
        <f t="shared" si="5"/>
        <v>10</v>
      </c>
      <c r="H47" s="78">
        <v>0</v>
      </c>
      <c r="I47" s="76">
        <v>0</v>
      </c>
      <c r="J47" s="46">
        <f t="shared" si="6"/>
        <v>7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19">
        <f t="shared" si="3"/>
        <v>150</v>
      </c>
      <c r="Q47" s="90">
        <v>19.21</v>
      </c>
      <c r="R47" s="43">
        <f t="shared" si="4"/>
        <v>57.63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+'1'!J48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6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19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+'1'!J49</f>
        <v>0</v>
      </c>
      <c r="F49" s="71">
        <v>10</v>
      </c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19">
        <f>SUM(M49-O49)</f>
        <v>100</v>
      </c>
      <c r="Q49" s="90">
        <v>20.43</v>
      </c>
      <c r="R49" s="43">
        <f>+K49*Q49</f>
        <v>40.86</v>
      </c>
    </row>
    <row r="50" spans="1:18" ht="24.6" hidden="1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+'1'!J50</f>
        <v>0</v>
      </c>
      <c r="F50" s="71">
        <v>10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+'1'!J51</f>
        <v>2</v>
      </c>
      <c r="F51" s="71">
        <v>10</v>
      </c>
      <c r="G51" s="46">
        <f t="shared" si="5"/>
        <v>12</v>
      </c>
      <c r="H51" s="78">
        <v>0</v>
      </c>
      <c r="I51" s="76">
        <v>0</v>
      </c>
      <c r="J51" s="46">
        <f t="shared" si="6"/>
        <v>8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19">
        <f>SUM(M51-O51)</f>
        <v>200</v>
      </c>
      <c r="Q51" s="90">
        <v>14.65</v>
      </c>
      <c r="R51" s="43">
        <f>+K51*Q51</f>
        <v>58.6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+'1'!J53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19">
        <f>SUM(M53-O53)</f>
        <v>200</v>
      </c>
      <c r="Q53" s="90">
        <v>17.53</v>
      </c>
      <c r="R53" s="43">
        <f>+K53*Q53</f>
        <v>70.12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hidden="1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+'1'!J55</f>
        <v>5</v>
      </c>
      <c r="F55" s="71">
        <v>1</v>
      </c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+'1'!J56</f>
        <v>5</v>
      </c>
      <c r="F56" s="71">
        <v>1</v>
      </c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+'1'!J57</f>
        <v>2</v>
      </c>
      <c r="F57" s="71">
        <v>1</v>
      </c>
      <c r="G57" s="46">
        <f t="shared" si="5"/>
        <v>3</v>
      </c>
      <c r="H57" s="78">
        <v>0</v>
      </c>
      <c r="I57" s="76">
        <v>0</v>
      </c>
      <c r="J57" s="118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hidden="1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hidden="1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+'1'!J60</f>
        <v>0</v>
      </c>
      <c r="F60" s="71">
        <v>1</v>
      </c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+'1'!J62</f>
        <v>2</v>
      </c>
      <c r="F62" s="71">
        <v>1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hidden="1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+'1'!J64</f>
        <v>2</v>
      </c>
      <c r="F64" s="71">
        <v>5</v>
      </c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+'1'!J65</f>
        <v>4</v>
      </c>
      <c r="F65" s="71">
        <v>5</v>
      </c>
      <c r="G65" s="46">
        <f t="shared" si="5"/>
        <v>9</v>
      </c>
      <c r="H65" s="78">
        <v>0</v>
      </c>
      <c r="I65" s="76">
        <v>1</v>
      </c>
      <c r="J65" s="46">
        <f t="shared" si="6"/>
        <v>4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/>
      <c r="P65" s="119">
        <f t="shared" si="3"/>
        <v>200</v>
      </c>
      <c r="Q65" s="90">
        <v>22.49</v>
      </c>
      <c r="R65" s="43">
        <f t="shared" si="4"/>
        <v>89.96</v>
      </c>
    </row>
    <row r="66" spans="1:18" ht="24.6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+'1'!J66</f>
        <v>4</v>
      </c>
      <c r="F66" s="71">
        <v>5</v>
      </c>
      <c r="G66" s="46">
        <f t="shared" si="5"/>
        <v>9</v>
      </c>
      <c r="H66" s="78">
        <v>0</v>
      </c>
      <c r="I66" s="76">
        <v>1</v>
      </c>
      <c r="J66" s="46">
        <f t="shared" si="6"/>
        <v>7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19">
        <f t="shared" si="3"/>
        <v>50</v>
      </c>
      <c r="Q66" s="90">
        <v>23.12</v>
      </c>
      <c r="R66" s="43">
        <f t="shared" si="4"/>
        <v>23.12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hidden="1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+'1'!J69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hidden="1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+'1'!J70</f>
        <v>2</v>
      </c>
      <c r="F70" s="71"/>
      <c r="G70" s="46">
        <f t="shared" si="5"/>
        <v>2</v>
      </c>
      <c r="H70" s="78">
        <v>0</v>
      </c>
      <c r="I70" s="76">
        <v>0</v>
      </c>
      <c r="J70" s="46">
        <f t="shared" si="6"/>
        <v>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hidden="1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+'1'!J71</f>
        <v>2</v>
      </c>
      <c r="F71" s="71"/>
      <c r="G71" s="46">
        <f t="shared" si="5"/>
        <v>2</v>
      </c>
      <c r="H71" s="78">
        <v>0</v>
      </c>
      <c r="I71" s="76">
        <v>0</v>
      </c>
      <c r="J71" s="46">
        <f t="shared" si="6"/>
        <v>2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+'1'!J72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19">
        <f t="shared" si="3"/>
        <v>100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+'1'!J74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1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19">
        <f t="shared" si="3"/>
        <v>250</v>
      </c>
      <c r="Q74" s="90">
        <v>17.09</v>
      </c>
      <c r="R74" s="43">
        <f t="shared" si="4"/>
        <v>85.45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+'1'!J77</f>
        <v>6</v>
      </c>
      <c r="F77" s="71">
        <v>20</v>
      </c>
      <c r="G77" s="46">
        <f t="shared" si="5"/>
        <v>26</v>
      </c>
      <c r="H77" s="78">
        <v>0</v>
      </c>
      <c r="I77" s="76">
        <v>0</v>
      </c>
      <c r="J77" s="46">
        <f t="shared" si="6"/>
        <v>25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19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+'1'!J79</f>
        <v>2</v>
      </c>
      <c r="F79" s="71"/>
      <c r="G79" s="46">
        <f t="shared" si="5"/>
        <v>2</v>
      </c>
      <c r="H79" s="78">
        <v>0</v>
      </c>
      <c r="I79" s="76">
        <v>0</v>
      </c>
      <c r="J79" s="46">
        <f t="shared" si="6"/>
        <v>0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19">
        <f t="shared" si="3"/>
        <v>70</v>
      </c>
      <c r="Q79" s="90"/>
      <c r="R79" s="43">
        <f t="shared" si="4"/>
        <v>0</v>
      </c>
    </row>
    <row r="80" spans="1:18" ht="24.6" hidden="1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+'1'!J80</f>
        <v>3</v>
      </c>
      <c r="F80" s="71">
        <v>5</v>
      </c>
      <c r="G80" s="46">
        <f t="shared" si="5"/>
        <v>8</v>
      </c>
      <c r="H80" s="78">
        <v>0</v>
      </c>
      <c r="I80" s="76">
        <v>0</v>
      </c>
      <c r="J80" s="46">
        <f t="shared" si="6"/>
        <v>8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hidden="1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4.6" hidden="1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+'1'!J83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119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+'1'!J84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3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23">
        <f t="shared" si="11"/>
        <v>50</v>
      </c>
      <c r="Q84" s="90">
        <v>12.94</v>
      </c>
      <c r="R84" s="43">
        <f t="shared" si="12"/>
        <v>12.94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+'1'!J87</f>
        <v>0</v>
      </c>
      <c r="F87" s="71">
        <v>84</v>
      </c>
      <c r="G87" s="46">
        <f t="shared" ref="G87" si="13">E87+F87</f>
        <v>84</v>
      </c>
      <c r="H87" s="78">
        <v>0</v>
      </c>
      <c r="I87" s="76">
        <v>0</v>
      </c>
      <c r="J87" s="46">
        <f t="shared" ref="J87" si="14">+G87-H87-K87-I87</f>
        <v>67</v>
      </c>
      <c r="K87" s="72">
        <v>17</v>
      </c>
      <c r="L87" s="20">
        <v>45</v>
      </c>
      <c r="M87" s="65">
        <f t="shared" ref="M87" si="15">+L87*K87</f>
        <v>765</v>
      </c>
      <c r="N87" s="17" t="s">
        <v>1441</v>
      </c>
      <c r="O87" s="18">
        <f>765-595</f>
        <v>170</v>
      </c>
      <c r="P87" s="119">
        <f t="shared" ref="P87" si="16">SUM(M87-O87)</f>
        <v>595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>
        <f>+'1'!J88</f>
        <v>0</v>
      </c>
      <c r="F88" s="71">
        <v>29</v>
      </c>
      <c r="G88" s="46">
        <f t="shared" ref="G88" si="18">E88+F88</f>
        <v>29</v>
      </c>
      <c r="H88" s="78">
        <v>0</v>
      </c>
      <c r="I88" s="76">
        <v>0</v>
      </c>
      <c r="J88" s="46">
        <f t="shared" ref="J88" si="19">+G88-H88-K88-I88</f>
        <v>22</v>
      </c>
      <c r="K88" s="72">
        <v>7</v>
      </c>
      <c r="L88" s="20">
        <v>49</v>
      </c>
      <c r="M88" s="65">
        <f t="shared" ref="M88" si="20">+L88*K88</f>
        <v>343</v>
      </c>
      <c r="N88" s="17" t="s">
        <v>1441</v>
      </c>
      <c r="O88" s="18">
        <f>343-245</f>
        <v>98</v>
      </c>
      <c r="P88" s="119">
        <f t="shared" ref="P88" si="21">SUM(M88-O88)</f>
        <v>245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>
        <f>+'1'!J93</f>
        <v>19</v>
      </c>
      <c r="F93" s="71"/>
      <c r="G93" s="46">
        <f t="shared" si="5"/>
        <v>19</v>
      </c>
      <c r="H93" s="78">
        <v>0</v>
      </c>
      <c r="I93" s="76">
        <v>0</v>
      </c>
      <c r="J93" s="46">
        <f t="shared" si="6"/>
        <v>4</v>
      </c>
      <c r="K93" s="72">
        <v>15</v>
      </c>
      <c r="L93" s="21">
        <v>35</v>
      </c>
      <c r="M93" s="65">
        <f t="shared" si="7"/>
        <v>525</v>
      </c>
      <c r="N93" s="17" t="s">
        <v>16</v>
      </c>
      <c r="O93" s="18"/>
      <c r="P93" s="119">
        <f t="shared" si="8"/>
        <v>525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+'1'!J96</f>
        <v>38</v>
      </c>
      <c r="F96" s="71"/>
      <c r="G96" s="46">
        <f t="shared" si="23"/>
        <v>38</v>
      </c>
      <c r="H96" s="78">
        <v>0</v>
      </c>
      <c r="I96" s="76">
        <v>0</v>
      </c>
      <c r="J96" s="118">
        <f t="shared" si="24"/>
        <v>30</v>
      </c>
      <c r="K96" s="72">
        <v>8</v>
      </c>
      <c r="L96" s="20">
        <v>45</v>
      </c>
      <c r="M96" s="65">
        <f t="shared" si="7"/>
        <v>360</v>
      </c>
      <c r="N96" s="17" t="s">
        <v>1441</v>
      </c>
      <c r="O96" s="18">
        <f>360-280</f>
        <v>80</v>
      </c>
      <c r="P96" s="119">
        <f t="shared" si="8"/>
        <v>280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+'1'!J99</f>
        <v>8</v>
      </c>
      <c r="F99" s="71">
        <v>10</v>
      </c>
      <c r="G99" s="46">
        <f t="shared" si="23"/>
        <v>18</v>
      </c>
      <c r="H99" s="78">
        <v>0</v>
      </c>
      <c r="I99" s="76">
        <v>0</v>
      </c>
      <c r="J99" s="46">
        <f t="shared" si="24"/>
        <v>13</v>
      </c>
      <c r="K99" s="72">
        <v>5</v>
      </c>
      <c r="L99" s="20">
        <v>45</v>
      </c>
      <c r="M99" s="65">
        <f t="shared" ref="M99:M105" si="25">+L99*K99</f>
        <v>225</v>
      </c>
      <c r="N99" s="17" t="s">
        <v>16</v>
      </c>
      <c r="O99" s="18"/>
      <c r="P99" s="119">
        <f>SUM(M99-O99)</f>
        <v>225</v>
      </c>
      <c r="Q99" s="90"/>
      <c r="R99" s="43">
        <f t="shared" ref="R99:R105" si="26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ref="P100:P105" si="27">SUM(M100-O100)</f>
        <v>0</v>
      </c>
      <c r="Q100" s="90"/>
      <c r="R100" s="43">
        <f t="shared" si="26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6"/>
        <v>0</v>
      </c>
    </row>
    <row r="102" spans="1:18" ht="24.6" hidden="1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6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6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6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6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+'1'!J112</f>
        <v>5</v>
      </c>
      <c r="F112" s="71">
        <v>20</v>
      </c>
      <c r="G112" s="46">
        <f t="shared" si="23"/>
        <v>25</v>
      </c>
      <c r="H112" s="78">
        <v>0</v>
      </c>
      <c r="I112" s="76">
        <v>0</v>
      </c>
      <c r="J112" s="46">
        <f t="shared" si="24"/>
        <v>22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19">
        <f>SUM(M112-O112)</f>
        <v>300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+'1'!J113</f>
        <v>6</v>
      </c>
      <c r="F113" s="71">
        <v>10</v>
      </c>
      <c r="G113" s="46">
        <f t="shared" si="23"/>
        <v>16</v>
      </c>
      <c r="H113" s="78">
        <v>0</v>
      </c>
      <c r="I113" s="76">
        <v>0</v>
      </c>
      <c r="J113" s="46">
        <f t="shared" si="24"/>
        <v>15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19">
        <f t="shared" si="8"/>
        <v>55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+'1'!J115</f>
        <v>15</v>
      </c>
      <c r="F115" s="71">
        <v>10</v>
      </c>
      <c r="G115" s="46">
        <f t="shared" si="23"/>
        <v>25</v>
      </c>
      <c r="H115" s="78">
        <v>0</v>
      </c>
      <c r="I115" s="76">
        <v>0</v>
      </c>
      <c r="J115" s="46">
        <f t="shared" si="24"/>
        <v>24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19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9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19">
        <f t="shared" si="8"/>
        <v>400</v>
      </c>
      <c r="Q116" s="90">
        <v>13.03</v>
      </c>
      <c r="R116" s="43">
        <f t="shared" si="9"/>
        <v>52.12</v>
      </c>
    </row>
    <row r="117" spans="1:18" ht="24.6" hidden="1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+'1'!J130</f>
        <v>3</v>
      </c>
      <c r="F130" s="71">
        <v>10</v>
      </c>
      <c r="G130" s="46">
        <f t="shared" si="23"/>
        <v>13</v>
      </c>
      <c r="H130" s="78">
        <v>0</v>
      </c>
      <c r="I130" s="76">
        <v>0</v>
      </c>
      <c r="J130" s="46">
        <f t="shared" si="24"/>
        <v>8</v>
      </c>
      <c r="K130" s="72">
        <v>5</v>
      </c>
      <c r="L130" s="22">
        <v>35</v>
      </c>
      <c r="M130" s="65">
        <f t="shared" si="7"/>
        <v>175</v>
      </c>
      <c r="N130" s="17"/>
      <c r="O130" s="18"/>
      <c r="P130" s="119">
        <f t="shared" si="8"/>
        <v>175</v>
      </c>
      <c r="Q130" s="90">
        <v>11.12</v>
      </c>
      <c r="R130" s="43">
        <f t="shared" si="9"/>
        <v>55.599999999999994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19">
        <f t="shared" si="8"/>
        <v>60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+'1'!J133</f>
        <v>6</v>
      </c>
      <c r="F133" s="71">
        <v>10</v>
      </c>
      <c r="G133" s="46">
        <f t="shared" si="23"/>
        <v>16</v>
      </c>
      <c r="H133" s="78">
        <v>0</v>
      </c>
      <c r="I133" s="76">
        <v>0</v>
      </c>
      <c r="J133" s="46">
        <f t="shared" si="24"/>
        <v>14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19">
        <f t="shared" si="8"/>
        <v>100</v>
      </c>
      <c r="Q133" s="90">
        <v>21.75</v>
      </c>
      <c r="R133" s="43">
        <f t="shared" si="9"/>
        <v>43.5</v>
      </c>
    </row>
    <row r="134" spans="1:18" ht="24.6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+'1'!J134</f>
        <v>9</v>
      </c>
      <c r="F134" s="71"/>
      <c r="G134" s="46">
        <f t="shared" si="23"/>
        <v>9</v>
      </c>
      <c r="H134" s="78">
        <v>0</v>
      </c>
      <c r="I134" s="76">
        <v>0</v>
      </c>
      <c r="J134" s="46">
        <f t="shared" si="24"/>
        <v>5</v>
      </c>
      <c r="K134" s="72">
        <v>4</v>
      </c>
      <c r="L134" s="20">
        <v>35</v>
      </c>
      <c r="M134" s="65">
        <f t="shared" si="7"/>
        <v>140</v>
      </c>
      <c r="N134" s="17" t="s">
        <v>16</v>
      </c>
      <c r="O134" s="18"/>
      <c r="P134" s="119">
        <f t="shared" si="8"/>
        <v>140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+'1'!J142</f>
        <v>0</v>
      </c>
      <c r="F142" s="71">
        <v>10</v>
      </c>
      <c r="G142" s="46">
        <f t="shared" si="23"/>
        <v>10</v>
      </c>
      <c r="H142" s="78">
        <v>0</v>
      </c>
      <c r="I142" s="76">
        <v>0</v>
      </c>
      <c r="J142" s="46">
        <f t="shared" si="24"/>
        <v>8</v>
      </c>
      <c r="K142" s="72">
        <v>2</v>
      </c>
      <c r="L142" s="20">
        <v>10</v>
      </c>
      <c r="M142" s="65">
        <f t="shared" si="7"/>
        <v>20</v>
      </c>
      <c r="N142" s="17" t="s">
        <v>16</v>
      </c>
      <c r="O142" s="18"/>
      <c r="P142" s="119">
        <f t="shared" si="8"/>
        <v>20</v>
      </c>
      <c r="Q142" s="90">
        <v>2.17</v>
      </c>
      <c r="R142" s="43">
        <f t="shared" si="9"/>
        <v>4.34</v>
      </c>
    </row>
    <row r="143" spans="1:18" ht="24.6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+'1'!J143</f>
        <v>0</v>
      </c>
      <c r="F143" s="71">
        <v>10</v>
      </c>
      <c r="G143" s="46">
        <f t="shared" si="23"/>
        <v>10</v>
      </c>
      <c r="H143" s="78">
        <v>0</v>
      </c>
      <c r="I143" s="76">
        <v>0</v>
      </c>
      <c r="J143" s="46">
        <f t="shared" si="24"/>
        <v>8</v>
      </c>
      <c r="K143" s="72">
        <v>2</v>
      </c>
      <c r="L143" s="22">
        <v>10</v>
      </c>
      <c r="M143" s="65">
        <f t="shared" si="7"/>
        <v>20</v>
      </c>
      <c r="N143" s="17" t="s">
        <v>16</v>
      </c>
      <c r="O143" s="18"/>
      <c r="P143" s="119">
        <f t="shared" si="8"/>
        <v>20</v>
      </c>
      <c r="Q143" s="90">
        <v>2.35</v>
      </c>
      <c r="R143" s="43">
        <f t="shared" si="9"/>
        <v>4.7</v>
      </c>
    </row>
    <row r="144" spans="1:18" ht="24.6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+'1'!J144</f>
        <v>2</v>
      </c>
      <c r="F144" s="71">
        <v>10</v>
      </c>
      <c r="G144" s="46">
        <f t="shared" si="23"/>
        <v>12</v>
      </c>
      <c r="H144" s="78">
        <v>0</v>
      </c>
      <c r="I144" s="76">
        <v>0</v>
      </c>
      <c r="J144" s="46">
        <f t="shared" si="24"/>
        <v>8</v>
      </c>
      <c r="K144" s="72">
        <v>4</v>
      </c>
      <c r="L144" s="22">
        <v>10</v>
      </c>
      <c r="M144" s="65">
        <f t="shared" si="7"/>
        <v>40</v>
      </c>
      <c r="N144" s="17" t="s">
        <v>16</v>
      </c>
      <c r="O144" s="18"/>
      <c r="P144" s="119">
        <f t="shared" si="8"/>
        <v>40</v>
      </c>
      <c r="Q144" s="90">
        <v>2.12</v>
      </c>
      <c r="R144" s="43">
        <f t="shared" si="9"/>
        <v>8.48</v>
      </c>
    </row>
    <row r="145" spans="1:18" ht="24.6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+'1'!J145</f>
        <v>6</v>
      </c>
      <c r="F145" s="71">
        <v>10</v>
      </c>
      <c r="G145" s="46">
        <f t="shared" si="23"/>
        <v>16</v>
      </c>
      <c r="H145" s="78">
        <v>0</v>
      </c>
      <c r="I145" s="76">
        <v>0</v>
      </c>
      <c r="J145" s="46">
        <f t="shared" si="24"/>
        <v>13</v>
      </c>
      <c r="K145" s="72">
        <v>3</v>
      </c>
      <c r="L145" s="20">
        <v>10</v>
      </c>
      <c r="M145" s="65">
        <f t="shared" si="7"/>
        <v>30</v>
      </c>
      <c r="N145" s="17" t="s">
        <v>16</v>
      </c>
      <c r="O145" s="18"/>
      <c r="P145" s="119">
        <f t="shared" si="8"/>
        <v>30</v>
      </c>
      <c r="Q145" s="90">
        <v>2.17</v>
      </c>
      <c r="R145" s="43">
        <f t="shared" si="9"/>
        <v>6.51</v>
      </c>
    </row>
    <row r="146" spans="1:18" ht="24.6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+'1'!J146</f>
        <v>1</v>
      </c>
      <c r="F146" s="71">
        <v>10</v>
      </c>
      <c r="G146" s="46">
        <f t="shared" si="23"/>
        <v>11</v>
      </c>
      <c r="H146" s="78">
        <v>0</v>
      </c>
      <c r="I146" s="76">
        <v>0</v>
      </c>
      <c r="J146" s="46">
        <f t="shared" si="24"/>
        <v>10</v>
      </c>
      <c r="K146" s="72">
        <v>1</v>
      </c>
      <c r="L146" s="20">
        <v>10</v>
      </c>
      <c r="M146" s="65">
        <f t="shared" si="7"/>
        <v>10</v>
      </c>
      <c r="N146" s="17" t="s">
        <v>16</v>
      </c>
      <c r="O146" s="18"/>
      <c r="P146" s="119">
        <f t="shared" si="8"/>
        <v>10</v>
      </c>
      <c r="Q146" s="90">
        <v>2.17</v>
      </c>
      <c r="R146" s="43">
        <f t="shared" si="9"/>
        <v>2.17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+'1'!J150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+'1'!J154</f>
        <v>1</v>
      </c>
      <c r="F154" s="71">
        <v>10</v>
      </c>
      <c r="G154" s="46">
        <f t="shared" si="23"/>
        <v>11</v>
      </c>
      <c r="H154" s="78">
        <v>0</v>
      </c>
      <c r="I154" s="76">
        <v>0</v>
      </c>
      <c r="J154" s="46">
        <f t="shared" si="24"/>
        <v>9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19">
        <f>SUM(M154-O154)</f>
        <v>50</v>
      </c>
      <c r="Q154" s="90">
        <v>16.16</v>
      </c>
      <c r="R154" s="43">
        <f>+K154*Q154</f>
        <v>32.32</v>
      </c>
    </row>
    <row r="155" spans="1:18" ht="24.6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+'1'!J155</f>
        <v>3</v>
      </c>
      <c r="F155" s="71">
        <v>10</v>
      </c>
      <c r="G155" s="46">
        <f t="shared" si="23"/>
        <v>13</v>
      </c>
      <c r="H155" s="78">
        <v>0</v>
      </c>
      <c r="I155" s="76">
        <v>0</v>
      </c>
      <c r="J155" s="46">
        <f t="shared" si="24"/>
        <v>12</v>
      </c>
      <c r="K155" s="72">
        <v>1</v>
      </c>
      <c r="L155" s="20">
        <v>25</v>
      </c>
      <c r="M155" s="65">
        <f t="shared" si="7"/>
        <v>25</v>
      </c>
      <c r="N155" s="17" t="s">
        <v>16</v>
      </c>
      <c r="O155" s="18"/>
      <c r="P155" s="119">
        <f t="shared" si="8"/>
        <v>25</v>
      </c>
      <c r="Q155" s="90">
        <v>18.63</v>
      </c>
      <c r="R155" s="43">
        <f t="shared" si="9"/>
        <v>18.63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+'1'!J163</f>
        <v>1</v>
      </c>
      <c r="F163" s="71">
        <v>10</v>
      </c>
      <c r="G163" s="46">
        <f t="shared" si="30"/>
        <v>11</v>
      </c>
      <c r="H163" s="78">
        <v>0</v>
      </c>
      <c r="I163" s="76">
        <v>0</v>
      </c>
      <c r="J163" s="46">
        <f t="shared" si="31"/>
        <v>5</v>
      </c>
      <c r="K163" s="72">
        <v>6</v>
      </c>
      <c r="L163" s="20">
        <v>25</v>
      </c>
      <c r="M163" s="65">
        <f t="shared" si="7"/>
        <v>150</v>
      </c>
      <c r="N163" s="17" t="s">
        <v>1444</v>
      </c>
      <c r="O163" s="18">
        <v>30</v>
      </c>
      <c r="P163" s="119">
        <f t="shared" si="8"/>
        <v>120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>
        <f>+'1'!J173</f>
        <v>0</v>
      </c>
      <c r="F173" s="71">
        <v>20</v>
      </c>
      <c r="G173" s="46">
        <f>E173+F173</f>
        <v>20</v>
      </c>
      <c r="H173" s="78">
        <v>0</v>
      </c>
      <c r="I173" s="76">
        <v>0</v>
      </c>
      <c r="J173" s="46">
        <f>+G173-H173-K173-I173</f>
        <v>1</v>
      </c>
      <c r="K173" s="72">
        <v>19</v>
      </c>
      <c r="L173" s="20">
        <v>35</v>
      </c>
      <c r="M173" s="65">
        <f>+L173*K173</f>
        <v>665</v>
      </c>
      <c r="N173" s="17" t="s">
        <v>16</v>
      </c>
      <c r="O173" s="18"/>
      <c r="P173" s="119">
        <f>SUM(M173-O173)</f>
        <v>665</v>
      </c>
      <c r="Q173" s="90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+'1'!J175</f>
        <v>12</v>
      </c>
      <c r="F175" s="71">
        <v>15</v>
      </c>
      <c r="G175" s="46">
        <f t="shared" si="30"/>
        <v>27</v>
      </c>
      <c r="H175" s="78">
        <v>0</v>
      </c>
      <c r="I175" s="76">
        <v>0</v>
      </c>
      <c r="J175" s="46">
        <f t="shared" si="31"/>
        <v>21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19">
        <f>SUM(M175-O175)</f>
        <v>300</v>
      </c>
      <c r="Q175" s="90">
        <v>29.96</v>
      </c>
      <c r="R175" s="43">
        <f>+K175*Q175</f>
        <v>179.76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+'1'!J180</f>
        <v>0</v>
      </c>
      <c r="F180" s="71">
        <v>10</v>
      </c>
      <c r="G180" s="46">
        <f t="shared" si="30"/>
        <v>10</v>
      </c>
      <c r="H180" s="78">
        <v>0</v>
      </c>
      <c r="I180" s="76">
        <v>0</v>
      </c>
      <c r="J180" s="46">
        <f t="shared" si="31"/>
        <v>8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19">
        <f t="shared" si="35"/>
        <v>70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hidden="1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+'1'!J187</f>
        <v>20</v>
      </c>
      <c r="F187" s="71"/>
      <c r="G187" s="46">
        <f>E187+F187</f>
        <v>20</v>
      </c>
      <c r="H187" s="78">
        <v>0</v>
      </c>
      <c r="I187" s="76">
        <v>0</v>
      </c>
      <c r="J187" s="46">
        <f>+G187-H187-K187-I187</f>
        <v>20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" hidden="1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+'1'!J188</f>
        <v>19</v>
      </c>
      <c r="F188" s="71"/>
      <c r="G188" s="46">
        <f>E188+F188</f>
        <v>19</v>
      </c>
      <c r="H188" s="78">
        <v>0</v>
      </c>
      <c r="I188" s="76">
        <v>0</v>
      </c>
      <c r="J188" s="46">
        <f>+G188-H188-K188-I188</f>
        <v>19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" hidden="1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+'1'!J189</f>
        <v>17</v>
      </c>
      <c r="F189" s="71"/>
      <c r="G189" s="46">
        <f>E189+F189</f>
        <v>17</v>
      </c>
      <c r="H189" s="78">
        <v>0</v>
      </c>
      <c r="I189" s="76">
        <v>0</v>
      </c>
      <c r="J189" s="46">
        <f>+G189-H189-K189-I189</f>
        <v>17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>
        <f>+'1'!J198</f>
        <v>33</v>
      </c>
      <c r="F198" s="71"/>
      <c r="G198" s="46">
        <f t="shared" si="30"/>
        <v>33</v>
      </c>
      <c r="H198" s="78">
        <v>0</v>
      </c>
      <c r="I198" s="76">
        <v>0</v>
      </c>
      <c r="J198" s="46">
        <f t="shared" si="31"/>
        <v>30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19">
        <f t="shared" si="35"/>
        <v>450</v>
      </c>
      <c r="Q198" s="90">
        <v>64.38</v>
      </c>
      <c r="R198" s="43">
        <f t="shared" si="36"/>
        <v>193.14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" hidden="1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hidden="1" x14ac:dyDescent="0.65">
      <c r="A242" s="10">
        <v>238</v>
      </c>
      <c r="B242" s="10"/>
      <c r="C242" s="19" t="s">
        <v>1436</v>
      </c>
      <c r="D242" s="10" t="s">
        <v>564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>
        <f>+'1'!J243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 x14ac:dyDescent="0.65">
      <c r="A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3904.8299999999995</v>
      </c>
      <c r="S260" s="75"/>
    </row>
    <row r="261" spans="1:19" ht="25.5" hidden="1" customHeight="1" x14ac:dyDescent="0.6">
      <c r="A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F262" s="1"/>
      <c r="G262" s="31"/>
      <c r="J262" s="31"/>
      <c r="K262" s="32"/>
      <c r="L262" s="34" t="s">
        <v>202</v>
      </c>
      <c r="M262" s="35"/>
      <c r="N262" s="33">
        <f>SUM(M5:M261)</f>
        <v>14793</v>
      </c>
    </row>
    <row r="263" spans="1:19" ht="24.6" x14ac:dyDescent="0.65">
      <c r="A263" s="1"/>
      <c r="F263" s="1"/>
      <c r="G263" s="31"/>
      <c r="J263" s="31"/>
      <c r="L263" s="34" t="s">
        <v>203</v>
      </c>
      <c r="M263" s="35"/>
      <c r="N263" s="36">
        <v>0</v>
      </c>
    </row>
    <row r="264" spans="1:19" ht="24.6" x14ac:dyDescent="0.65">
      <c r="A264" s="1"/>
      <c r="F264" s="1"/>
      <c r="G264" s="31"/>
      <c r="J264" s="31"/>
      <c r="L264" s="34" t="s">
        <v>204</v>
      </c>
      <c r="M264" s="35"/>
      <c r="N264" s="36">
        <f>SUM(O264:CI264)</f>
        <v>4370</v>
      </c>
      <c r="O264" s="2">
        <v>4370</v>
      </c>
    </row>
    <row r="265" spans="1:19" ht="24.6" x14ac:dyDescent="0.65">
      <c r="A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F266" s="1"/>
      <c r="G266" s="31"/>
      <c r="J266" s="31"/>
      <c r="L266" s="34" t="s">
        <v>206</v>
      </c>
      <c r="M266" s="35"/>
      <c r="N266" s="36">
        <v>0</v>
      </c>
    </row>
    <row r="267" spans="1:19" ht="24.6" x14ac:dyDescent="0.65">
      <c r="A267" s="1"/>
      <c r="F267" s="1"/>
      <c r="G267" s="31"/>
      <c r="J267" s="31"/>
      <c r="L267" s="34" t="s">
        <v>207</v>
      </c>
      <c r="M267" s="35"/>
      <c r="N267" s="37">
        <f>SUM(O5:O260)</f>
        <v>378</v>
      </c>
    </row>
    <row r="268" spans="1:19" ht="24.6" x14ac:dyDescent="0.65">
      <c r="A268" s="1"/>
      <c r="F268" s="1"/>
      <c r="G268" s="31"/>
      <c r="J268" s="31"/>
      <c r="L268" s="34" t="s">
        <v>208</v>
      </c>
      <c r="M268" s="35"/>
      <c r="N268" s="33">
        <f>N262-N263-N264-N266-N267</f>
        <v>10045</v>
      </c>
    </row>
    <row r="269" spans="1:19" ht="24.6" x14ac:dyDescent="0.65">
      <c r="A269" s="1"/>
      <c r="F269" s="1"/>
      <c r="G269" s="31"/>
      <c r="J269" s="31"/>
      <c r="L269" s="34" t="s">
        <v>209</v>
      </c>
      <c r="M269" s="35"/>
      <c r="N269" s="37">
        <v>10025</v>
      </c>
    </row>
    <row r="270" spans="1:19" ht="24.6" x14ac:dyDescent="0.65">
      <c r="A270" s="1"/>
      <c r="F270" s="1"/>
      <c r="G270" s="31"/>
      <c r="J270" s="31"/>
      <c r="L270" s="34" t="s">
        <v>210</v>
      </c>
      <c r="M270" s="35"/>
      <c r="N270" s="33">
        <f>+N269-N268</f>
        <v>-20</v>
      </c>
    </row>
    <row r="271" spans="1:19" ht="24.6" x14ac:dyDescent="0.65">
      <c r="F271" s="1"/>
      <c r="J271" s="2"/>
      <c r="L271" s="34" t="s">
        <v>211</v>
      </c>
      <c r="M271" s="35"/>
      <c r="N271" s="33">
        <f>+N269-N268</f>
        <v>-20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  <c r="M274" s="2" t="s">
        <v>1432</v>
      </c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0.00"/>
        <filter val="100.00"/>
        <filter val="140.00"/>
        <filter val="150.00"/>
        <filter val="195.00"/>
        <filter val="2,100.00"/>
        <filter val="2,200.00"/>
        <filter val="20.00"/>
        <filter val="200.00"/>
        <filter val="225.00"/>
        <filter val="25.00"/>
        <filter val="250.00"/>
        <filter val="260.00"/>
        <filter val="30.00"/>
        <filter val="300.00"/>
        <filter val="343.00"/>
        <filter val="350.00"/>
        <filter val="360.00"/>
        <filter val="40.00"/>
        <filter val="400.00"/>
        <filter val="450.00"/>
        <filter val="50.00"/>
        <filter val="500.00"/>
        <filter val="525.00"/>
        <filter val="55.00"/>
        <filter val="60.00"/>
        <filter val="65.00"/>
        <filter val="665.00"/>
        <filter val="70.00"/>
        <filter val="765.00"/>
        <filter val="เป็นเงิ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26" header="0.3" footer="0.3"/>
  <pageSetup paperSize="9" scale="40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  <pageSetUpPr fitToPage="1"/>
  </sheetPr>
  <dimension ref="A1:S346"/>
  <sheetViews>
    <sheetView zoomScale="70" zoomScaleNormal="70" workbookViewId="0">
      <pane xSplit="10" ySplit="4" topLeftCell="K87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1.796875" style="2" bestFit="1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+'2'!J5</f>
        <v>45</v>
      </c>
      <c r="F5" s="71"/>
      <c r="G5" s="46">
        <f t="shared" ref="G5:G26" si="0">E5+F5</f>
        <v>45</v>
      </c>
      <c r="H5" s="78">
        <v>0</v>
      </c>
      <c r="I5" s="76">
        <v>0</v>
      </c>
      <c r="J5" s="46">
        <f t="shared" ref="J5:J26" si="1">+G5-H5-K5-I5</f>
        <v>39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19">
        <f>SUM(M5-O5)</f>
        <v>300</v>
      </c>
      <c r="Q5" s="90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+'2'!J6</f>
        <v>87</v>
      </c>
      <c r="F6" s="71"/>
      <c r="G6" s="46">
        <f t="shared" si="0"/>
        <v>87</v>
      </c>
      <c r="H6" s="78">
        <v>0</v>
      </c>
      <c r="I6" s="76">
        <v>2</v>
      </c>
      <c r="J6" s="46">
        <f t="shared" si="1"/>
        <v>68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/>
      <c r="P6" s="119">
        <f t="shared" ref="P6:P80" si="3">SUM(M6-O6)</f>
        <v>1700</v>
      </c>
      <c r="Q6" s="90">
        <v>39.29</v>
      </c>
      <c r="R6" s="43">
        <f t="shared" ref="R6:R80" si="4">+K6*Q6</f>
        <v>667.93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+'2'!J11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10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19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hidden="1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+'2'!J15</f>
        <v>16</v>
      </c>
      <c r="F15" s="71"/>
      <c r="G15" s="46">
        <f t="shared" si="0"/>
        <v>16</v>
      </c>
      <c r="H15" s="78">
        <v>0</v>
      </c>
      <c r="I15" s="76">
        <v>0</v>
      </c>
      <c r="J15" s="46">
        <f t="shared" si="1"/>
        <v>16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+'2'!J18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7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/>
      <c r="P18" s="119">
        <f t="shared" si="3"/>
        <v>300</v>
      </c>
      <c r="Q18" s="90">
        <v>18.77</v>
      </c>
      <c r="R18" s="43">
        <f t="shared" si="4"/>
        <v>112.62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hidden="1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19">
        <f t="shared" si="3"/>
        <v>85</v>
      </c>
      <c r="Q21" s="90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+'2'!J22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7</v>
      </c>
      <c r="K22" s="72">
        <v>13</v>
      </c>
      <c r="L22" s="20">
        <v>100</v>
      </c>
      <c r="M22" s="65">
        <f t="shared" si="2"/>
        <v>1300</v>
      </c>
      <c r="N22" s="17" t="s">
        <v>16</v>
      </c>
      <c r="O22" s="18"/>
      <c r="P22" s="119">
        <f t="shared" si="3"/>
        <v>1300</v>
      </c>
      <c r="Q22" s="90">
        <v>26.6</v>
      </c>
      <c r="R22" s="43">
        <f t="shared" si="4"/>
        <v>345.8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+'2'!J24</f>
        <v>47</v>
      </c>
      <c r="F24" s="71"/>
      <c r="G24" s="46">
        <f t="shared" si="0"/>
        <v>47</v>
      </c>
      <c r="H24" s="78">
        <v>0</v>
      </c>
      <c r="I24" s="76">
        <v>0</v>
      </c>
      <c r="J24" s="46">
        <f t="shared" si="1"/>
        <v>46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19">
        <f t="shared" si="3"/>
        <v>100</v>
      </c>
      <c r="Q24" s="90">
        <v>40.51</v>
      </c>
      <c r="R24" s="43">
        <f t="shared" si="4"/>
        <v>40.51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hidden="1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+'2'!J26</f>
        <v>19</v>
      </c>
      <c r="F26" s="71"/>
      <c r="G26" s="46">
        <f t="shared" si="0"/>
        <v>19</v>
      </c>
      <c r="H26" s="78">
        <v>0</v>
      </c>
      <c r="I26" s="76">
        <v>0</v>
      </c>
      <c r="J26" s="46">
        <f t="shared" si="1"/>
        <v>19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+'2'!J28</f>
        <v>28</v>
      </c>
      <c r="F28" s="71"/>
      <c r="G28" s="46">
        <f t="shared" si="5"/>
        <v>28</v>
      </c>
      <c r="H28" s="78">
        <v>0</v>
      </c>
      <c r="I28" s="76">
        <v>2</v>
      </c>
      <c r="J28" s="46">
        <f t="shared" si="6"/>
        <v>24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19">
        <f t="shared" si="3"/>
        <v>200</v>
      </c>
      <c r="Q28" s="90">
        <v>31.97</v>
      </c>
      <c r="R28" s="43">
        <f t="shared" si="4"/>
        <v>63.94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+'2'!J31</f>
        <v>46</v>
      </c>
      <c r="F31" s="71"/>
      <c r="G31" s="46">
        <f t="shared" si="5"/>
        <v>46</v>
      </c>
      <c r="H31" s="78">
        <v>0</v>
      </c>
      <c r="I31" s="76">
        <v>2</v>
      </c>
      <c r="J31" s="46">
        <f t="shared" si="6"/>
        <v>32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/>
      <c r="P31" s="119">
        <f t="shared" si="3"/>
        <v>1200</v>
      </c>
      <c r="Q31" s="90">
        <v>38.46</v>
      </c>
      <c r="R31" s="43">
        <f t="shared" si="4"/>
        <v>461.52</v>
      </c>
    </row>
    <row r="32" spans="1:18" ht="24.6" hidden="1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+'2'!J33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19">
        <f t="shared" si="3"/>
        <v>130</v>
      </c>
      <c r="Q33" s="90">
        <v>38.9</v>
      </c>
      <c r="R33" s="43">
        <f t="shared" si="4"/>
        <v>38.9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19">
        <f t="shared" si="3"/>
        <v>100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+'2'!J40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5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19">
        <f t="shared" si="3"/>
        <v>200</v>
      </c>
      <c r="Q40" s="90">
        <v>27.12</v>
      </c>
      <c r="R40" s="43">
        <f t="shared" si="4"/>
        <v>108.48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+'2'!J41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7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/>
      <c r="P41" s="119">
        <f t="shared" si="3"/>
        <v>200</v>
      </c>
      <c r="Q41" s="90">
        <v>15.42</v>
      </c>
      <c r="R41" s="43">
        <f t="shared" si="4"/>
        <v>61.68</v>
      </c>
    </row>
    <row r="42" spans="1:18" ht="24.6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+'2'!J42</f>
        <v>4</v>
      </c>
      <c r="F42" s="71"/>
      <c r="G42" s="46">
        <f t="shared" si="5"/>
        <v>4</v>
      </c>
      <c r="H42" s="78">
        <v>0</v>
      </c>
      <c r="I42" s="76">
        <v>0</v>
      </c>
      <c r="J42" s="46">
        <f t="shared" si="6"/>
        <v>2</v>
      </c>
      <c r="K42" s="72">
        <v>2</v>
      </c>
      <c r="L42" s="15">
        <v>65</v>
      </c>
      <c r="M42" s="65">
        <f t="shared" si="2"/>
        <v>130</v>
      </c>
      <c r="N42" s="17" t="s">
        <v>16</v>
      </c>
      <c r="O42" s="18"/>
      <c r="P42" s="119">
        <f t="shared" si="3"/>
        <v>130</v>
      </c>
      <c r="Q42" s="90"/>
      <c r="R42" s="43">
        <f t="shared" si="4"/>
        <v>0</v>
      </c>
    </row>
    <row r="43" spans="1:18" ht="24.6" hidden="1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+'2'!J43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65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hidden="1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+'2'!J44</f>
        <v>3</v>
      </c>
      <c r="F44" s="71"/>
      <c r="G44" s="46">
        <f t="shared" si="5"/>
        <v>3</v>
      </c>
      <c r="H44" s="78">
        <v>0</v>
      </c>
      <c r="I44" s="76">
        <v>0</v>
      </c>
      <c r="J44" s="46">
        <f t="shared" si="6"/>
        <v>3</v>
      </c>
      <c r="K44" s="72"/>
      <c r="L44" s="15">
        <v>65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>
        <f t="shared" si="4"/>
        <v>0</v>
      </c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4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19">
        <f t="shared" si="3"/>
        <v>200</v>
      </c>
      <c r="Q46" s="90">
        <v>19.05</v>
      </c>
      <c r="R46" s="43">
        <f t="shared" si="4"/>
        <v>76.2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19">
        <f t="shared" si="3"/>
        <v>150</v>
      </c>
      <c r="Q47" s="90">
        <v>19.21</v>
      </c>
      <c r="R47" s="43">
        <f t="shared" si="4"/>
        <v>57.63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2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19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19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6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19">
        <f t="shared" si="3"/>
        <v>200</v>
      </c>
      <c r="Q50" s="90">
        <v>21.81</v>
      </c>
      <c r="R50" s="43">
        <f t="shared" si="4"/>
        <v>87.24</v>
      </c>
    </row>
    <row r="51" spans="1:18" ht="24.6" hidden="1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+'2'!J51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+'2'!J53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19">
        <f>SUM(M53-O53)</f>
        <v>100</v>
      </c>
      <c r="Q53" s="90">
        <v>17.53</v>
      </c>
      <c r="R53" s="43">
        <f>+K53*Q53</f>
        <v>35.06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+'2'!J55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19">
        <f>SUM(M55-O55)</f>
        <v>120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+'2'!J56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5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19">
        <f>SUM(M56-O56)</f>
        <v>120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+'2'!J57</f>
        <v>3</v>
      </c>
      <c r="F57" s="71"/>
      <c r="G57" s="46">
        <f t="shared" si="5"/>
        <v>3</v>
      </c>
      <c r="H57" s="78">
        <v>0</v>
      </c>
      <c r="I57" s="76">
        <v>2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19">
        <f t="shared" si="3"/>
        <v>120</v>
      </c>
      <c r="Q57" s="90">
        <v>31.46</v>
      </c>
      <c r="R57" s="43">
        <f t="shared" si="4"/>
        <v>31.46</v>
      </c>
    </row>
    <row r="58" spans="1:18" ht="24.6" hidden="1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hidden="1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+'2'!J60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19">
        <f t="shared" si="3"/>
        <v>240</v>
      </c>
      <c r="Q62" s="90">
        <v>29.82</v>
      </c>
      <c r="R62" s="43">
        <f t="shared" si="4"/>
        <v>59.64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+'2'!J64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6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19">
        <f t="shared" si="3"/>
        <v>50</v>
      </c>
      <c r="Q64" s="90">
        <v>23.69</v>
      </c>
      <c r="R64" s="43">
        <f t="shared" si="4"/>
        <v>23.69</v>
      </c>
    </row>
    <row r="65" spans="1:18" ht="24.6" hidden="1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+'2'!J66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19">
        <f t="shared" si="3"/>
        <v>50</v>
      </c>
      <c r="Q66" s="90">
        <v>23.12</v>
      </c>
      <c r="R66" s="43">
        <f t="shared" si="4"/>
        <v>23.12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hidden="1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+'2'!J69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hidden="1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+'2'!J70</f>
        <v>2</v>
      </c>
      <c r="F70" s="71"/>
      <c r="G70" s="46">
        <f t="shared" si="5"/>
        <v>2</v>
      </c>
      <c r="H70" s="78">
        <v>0</v>
      </c>
      <c r="I70" s="76">
        <v>0</v>
      </c>
      <c r="J70" s="46">
        <f t="shared" si="6"/>
        <v>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hidden="1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+'2'!J71</f>
        <v>2</v>
      </c>
      <c r="F71" s="71"/>
      <c r="G71" s="46">
        <f t="shared" si="5"/>
        <v>2</v>
      </c>
      <c r="H71" s="78">
        <v>0</v>
      </c>
      <c r="I71" s="76">
        <v>0</v>
      </c>
      <c r="J71" s="46">
        <f t="shared" si="6"/>
        <v>2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19">
        <f t="shared" si="3"/>
        <v>50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hidden="1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+'2'!J77</f>
        <v>25</v>
      </c>
      <c r="F77" s="71"/>
      <c r="G77" s="46">
        <f t="shared" si="5"/>
        <v>25</v>
      </c>
      <c r="H77" s="78">
        <v>0</v>
      </c>
      <c r="I77" s="76">
        <v>0</v>
      </c>
      <c r="J77" s="46">
        <f t="shared" si="6"/>
        <v>23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19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+'2'!J80</f>
        <v>8</v>
      </c>
      <c r="F80" s="71"/>
      <c r="G80" s="46">
        <f t="shared" si="5"/>
        <v>8</v>
      </c>
      <c r="H80" s="78">
        <v>0</v>
      </c>
      <c r="I80" s="76">
        <v>0</v>
      </c>
      <c r="J80" s="46">
        <f t="shared" si="6"/>
        <v>7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19">
        <f t="shared" si="3"/>
        <v>55</v>
      </c>
      <c r="Q80" s="90">
        <v>14.35</v>
      </c>
      <c r="R80" s="43">
        <f t="shared" si="4"/>
        <v>14.35</v>
      </c>
    </row>
    <row r="81" spans="1:18" ht="24.6" hidden="1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hidden="1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+'2'!J83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119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+'2'!J84</f>
        <v>3</v>
      </c>
      <c r="F84" s="71"/>
      <c r="G84" s="46">
        <f t="shared" si="5"/>
        <v>3</v>
      </c>
      <c r="H84" s="78">
        <v>0</v>
      </c>
      <c r="I84" s="76">
        <v>0</v>
      </c>
      <c r="J84" s="46">
        <f t="shared" si="6"/>
        <v>2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23">
        <f t="shared" si="11"/>
        <v>50</v>
      </c>
      <c r="Q84" s="90">
        <v>12.94</v>
      </c>
      <c r="R84" s="43">
        <f t="shared" si="12"/>
        <v>12.94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+'2'!J87</f>
        <v>67</v>
      </c>
      <c r="F87" s="71"/>
      <c r="G87" s="46">
        <f t="shared" ref="G87" si="13">E87+F87</f>
        <v>67</v>
      </c>
      <c r="H87" s="78">
        <v>0</v>
      </c>
      <c r="I87" s="76">
        <v>0</v>
      </c>
      <c r="J87" s="46">
        <f t="shared" ref="J87" si="14">+G87-H87-K87-I87</f>
        <v>40</v>
      </c>
      <c r="K87" s="72">
        <v>27</v>
      </c>
      <c r="L87" s="20">
        <v>45</v>
      </c>
      <c r="M87" s="65">
        <f t="shared" ref="M87" si="15">+L87*K87</f>
        <v>1215</v>
      </c>
      <c r="N87" s="17" t="s">
        <v>1441</v>
      </c>
      <c r="O87" s="18">
        <f>1170-910</f>
        <v>260</v>
      </c>
      <c r="P87" s="119">
        <f t="shared" ref="P87" si="16">SUM(M87-O87)</f>
        <v>955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>
        <f>+'2'!J88</f>
        <v>22</v>
      </c>
      <c r="F88" s="71"/>
      <c r="G88" s="46">
        <f t="shared" ref="G88" si="18">E88+F88</f>
        <v>22</v>
      </c>
      <c r="H88" s="78">
        <v>0</v>
      </c>
      <c r="I88" s="76">
        <v>0</v>
      </c>
      <c r="J88" s="46">
        <f t="shared" ref="J88" si="19">+G88-H88-K88-I88</f>
        <v>7</v>
      </c>
      <c r="K88" s="72">
        <v>15</v>
      </c>
      <c r="L88" s="20">
        <v>49</v>
      </c>
      <c r="M88" s="65">
        <f t="shared" ref="M88" si="20">+L88*K88</f>
        <v>735</v>
      </c>
      <c r="N88" s="17" t="s">
        <v>1441</v>
      </c>
      <c r="O88" s="18">
        <f>735-525</f>
        <v>210</v>
      </c>
      <c r="P88" s="119">
        <f t="shared" ref="P88" si="21">SUM(M88-O88)</f>
        <v>525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>
        <f>+'2'!J93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0</v>
      </c>
      <c r="K93" s="72">
        <v>4</v>
      </c>
      <c r="L93" s="21">
        <v>35</v>
      </c>
      <c r="M93" s="65">
        <f t="shared" si="7"/>
        <v>140</v>
      </c>
      <c r="N93" s="17" t="s">
        <v>16</v>
      </c>
      <c r="O93" s="18"/>
      <c r="P93" s="119">
        <f t="shared" si="8"/>
        <v>140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19">
        <f t="shared" si="8"/>
        <v>0</v>
      </c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+'2'!J96</f>
        <v>30</v>
      </c>
      <c r="F96" s="71"/>
      <c r="G96" s="46">
        <f t="shared" si="23"/>
        <v>30</v>
      </c>
      <c r="H96" s="78">
        <v>0</v>
      </c>
      <c r="I96" s="76">
        <v>0</v>
      </c>
      <c r="J96" s="46">
        <f t="shared" si="24"/>
        <v>25</v>
      </c>
      <c r="K96" s="72">
        <v>5</v>
      </c>
      <c r="L96" s="20">
        <v>45</v>
      </c>
      <c r="M96" s="65">
        <f t="shared" si="7"/>
        <v>225</v>
      </c>
      <c r="N96" s="17" t="s">
        <v>1441</v>
      </c>
      <c r="O96" s="18">
        <f>225-175</f>
        <v>50</v>
      </c>
      <c r="P96" s="119">
        <f t="shared" si="8"/>
        <v>175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+'2'!J99</f>
        <v>13</v>
      </c>
      <c r="F99" s="71"/>
      <c r="G99" s="46">
        <f t="shared" si="23"/>
        <v>13</v>
      </c>
      <c r="H99" s="78">
        <v>0</v>
      </c>
      <c r="I99" s="76">
        <v>0</v>
      </c>
      <c r="J99" s="46">
        <f t="shared" si="24"/>
        <v>12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19">
        <f t="shared" ref="P99:P105" si="26">SUM(M99-O99)</f>
        <v>45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+'2'!J102</f>
        <v>0</v>
      </c>
      <c r="F102" s="71">
        <v>50</v>
      </c>
      <c r="G102" s="46">
        <f t="shared" ref="G102" si="28">E102+F102</f>
        <v>50</v>
      </c>
      <c r="H102" s="78">
        <v>0</v>
      </c>
      <c r="I102" s="76">
        <v>1</v>
      </c>
      <c r="J102" s="46">
        <f t="shared" ref="J102" si="29">+G102-H102-K102-I102</f>
        <v>10</v>
      </c>
      <c r="K102" s="72">
        <v>39</v>
      </c>
      <c r="L102" s="20">
        <v>49</v>
      </c>
      <c r="M102" s="65">
        <f t="shared" si="25"/>
        <v>1911</v>
      </c>
      <c r="N102" s="17" t="s">
        <v>1441</v>
      </c>
      <c r="O102" s="18">
        <f>1911-1365</f>
        <v>546</v>
      </c>
      <c r="P102" s="119">
        <f t="shared" si="26"/>
        <v>1365</v>
      </c>
      <c r="Q102" s="90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+'2'!J112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19">
        <f>SUM(M112-O112)</f>
        <v>200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+'2'!J113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19">
        <f t="shared" si="8"/>
        <v>55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hidden="1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+'2'!J115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5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19">
        <f t="shared" si="8"/>
        <v>400</v>
      </c>
      <c r="Q116" s="90">
        <v>13.03</v>
      </c>
      <c r="R116" s="43">
        <f t="shared" si="9"/>
        <v>52.12</v>
      </c>
    </row>
    <row r="117" spans="1:18" ht="24.6" hidden="1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+'2'!J117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+'2'!J130</f>
        <v>8</v>
      </c>
      <c r="F130" s="71"/>
      <c r="G130" s="46">
        <f t="shared" si="23"/>
        <v>8</v>
      </c>
      <c r="H130" s="78">
        <v>0</v>
      </c>
      <c r="I130" s="76">
        <v>0</v>
      </c>
      <c r="J130" s="46">
        <f t="shared" si="24"/>
        <v>4</v>
      </c>
      <c r="K130" s="72">
        <v>4</v>
      </c>
      <c r="L130" s="22">
        <v>35</v>
      </c>
      <c r="M130" s="65">
        <f t="shared" si="7"/>
        <v>140</v>
      </c>
      <c r="N130" s="17" t="s">
        <v>16</v>
      </c>
      <c r="O130" s="18"/>
      <c r="P130" s="119">
        <f t="shared" si="8"/>
        <v>140</v>
      </c>
      <c r="Q130" s="90">
        <v>11.12</v>
      </c>
      <c r="R130" s="43">
        <f t="shared" si="9"/>
        <v>44.48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+'2'!J132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+'2'!J133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19">
        <f t="shared" si="8"/>
        <v>100</v>
      </c>
      <c r="Q133" s="90">
        <v>21.75</v>
      </c>
      <c r="R133" s="43">
        <f t="shared" si="9"/>
        <v>43.5</v>
      </c>
    </row>
    <row r="134" spans="1:18" ht="24.6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+'2'!J134</f>
        <v>5</v>
      </c>
      <c r="F134" s="71"/>
      <c r="G134" s="46">
        <f t="shared" si="23"/>
        <v>5</v>
      </c>
      <c r="H134" s="78">
        <v>0</v>
      </c>
      <c r="I134" s="76">
        <v>0</v>
      </c>
      <c r="J134" s="46">
        <f t="shared" si="24"/>
        <v>4</v>
      </c>
      <c r="K134" s="72">
        <v>1</v>
      </c>
      <c r="L134" s="20">
        <v>35</v>
      </c>
      <c r="M134" s="65">
        <f t="shared" si="7"/>
        <v>35</v>
      </c>
      <c r="N134" s="17" t="s">
        <v>16</v>
      </c>
      <c r="O134" s="18"/>
      <c r="P134" s="119">
        <f t="shared" si="8"/>
        <v>35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hidden="1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+'2'!J142</f>
        <v>8</v>
      </c>
      <c r="F142" s="71"/>
      <c r="G142" s="46">
        <f t="shared" si="23"/>
        <v>8</v>
      </c>
      <c r="H142" s="78">
        <v>0</v>
      </c>
      <c r="I142" s="76">
        <v>0</v>
      </c>
      <c r="J142" s="46">
        <f t="shared" si="24"/>
        <v>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hidden="1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+'2'!J143</f>
        <v>8</v>
      </c>
      <c r="F143" s="71"/>
      <c r="G143" s="46">
        <f t="shared" si="23"/>
        <v>8</v>
      </c>
      <c r="H143" s="78">
        <v>0</v>
      </c>
      <c r="I143" s="76">
        <v>0</v>
      </c>
      <c r="J143" s="46">
        <f t="shared" si="24"/>
        <v>8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hidden="1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+'2'!J144</f>
        <v>8</v>
      </c>
      <c r="F144" s="71"/>
      <c r="G144" s="46">
        <f t="shared" si="23"/>
        <v>8</v>
      </c>
      <c r="H144" s="78">
        <v>0</v>
      </c>
      <c r="I144" s="76">
        <v>0</v>
      </c>
      <c r="J144" s="46">
        <f t="shared" si="24"/>
        <v>8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hidden="1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+'2'!J145</f>
        <v>13</v>
      </c>
      <c r="F145" s="71"/>
      <c r="G145" s="46">
        <f t="shared" si="23"/>
        <v>13</v>
      </c>
      <c r="H145" s="78">
        <v>0</v>
      </c>
      <c r="I145" s="76">
        <v>0</v>
      </c>
      <c r="J145" s="46">
        <f t="shared" si="24"/>
        <v>13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hidden="1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+'2'!J146</f>
        <v>10</v>
      </c>
      <c r="F146" s="71"/>
      <c r="G146" s="46">
        <f t="shared" si="23"/>
        <v>10</v>
      </c>
      <c r="H146" s="78">
        <v>0</v>
      </c>
      <c r="I146" s="76">
        <v>0</v>
      </c>
      <c r="J146" s="46">
        <f t="shared" si="24"/>
        <v>10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+'2'!J150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+'2'!J154</f>
        <v>9</v>
      </c>
      <c r="F154" s="71"/>
      <c r="G154" s="46">
        <f t="shared" si="23"/>
        <v>9</v>
      </c>
      <c r="H154" s="78">
        <v>0</v>
      </c>
      <c r="I154" s="76">
        <v>0</v>
      </c>
      <c r="J154" s="46">
        <f t="shared" si="24"/>
        <v>4</v>
      </c>
      <c r="K154" s="72">
        <v>5</v>
      </c>
      <c r="L154" s="20">
        <v>25</v>
      </c>
      <c r="M154" s="65">
        <f>+L154*K154</f>
        <v>125</v>
      </c>
      <c r="N154" s="17" t="s">
        <v>16</v>
      </c>
      <c r="O154" s="18"/>
      <c r="P154" s="119">
        <f>SUM(M154-O154)</f>
        <v>125</v>
      </c>
      <c r="Q154" s="90">
        <v>16.16</v>
      </c>
      <c r="R154" s="43">
        <f>+K154*Q154</f>
        <v>80.8</v>
      </c>
    </row>
    <row r="155" spans="1:18" ht="24.6" hidden="1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+'2'!J155</f>
        <v>12</v>
      </c>
      <c r="F155" s="71"/>
      <c r="G155" s="46">
        <f t="shared" si="23"/>
        <v>12</v>
      </c>
      <c r="H155" s="78">
        <v>0</v>
      </c>
      <c r="I155" s="76">
        <v>0</v>
      </c>
      <c r="J155" s="46">
        <f t="shared" si="24"/>
        <v>12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+'2'!J163</f>
        <v>5</v>
      </c>
      <c r="F163" s="71"/>
      <c r="G163" s="46">
        <f t="shared" si="30"/>
        <v>5</v>
      </c>
      <c r="H163" s="78">
        <v>0</v>
      </c>
      <c r="I163" s="76">
        <v>0</v>
      </c>
      <c r="J163" s="46">
        <f t="shared" si="31"/>
        <v>4</v>
      </c>
      <c r="K163" s="72">
        <v>1</v>
      </c>
      <c r="L163" s="20">
        <v>25</v>
      </c>
      <c r="M163" s="65">
        <f t="shared" si="7"/>
        <v>25</v>
      </c>
      <c r="N163" s="17" t="s">
        <v>1443</v>
      </c>
      <c r="O163" s="18">
        <v>5</v>
      </c>
      <c r="P163" s="119">
        <f t="shared" si="8"/>
        <v>20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>
        <f>+'2'!J173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19">
        <f>SUM(M173-O173)</f>
        <v>35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+'2'!J175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20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19">
        <f>SUM(M175-O175)</f>
        <v>50</v>
      </c>
      <c r="Q175" s="90">
        <v>29.96</v>
      </c>
      <c r="R175" s="43">
        <f>+K175*Q175</f>
        <v>29.96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+'2'!J180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19">
        <f t="shared" si="35"/>
        <v>35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+'2'!J187</f>
        <v>20</v>
      </c>
      <c r="F187" s="71"/>
      <c r="G187" s="46">
        <f>E187+F187</f>
        <v>20</v>
      </c>
      <c r="H187" s="78">
        <v>0</v>
      </c>
      <c r="I187" s="76">
        <v>0</v>
      </c>
      <c r="J187" s="46">
        <f>+G187-H187-K187-I187</f>
        <v>15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/>
      <c r="P187" s="119">
        <f>SUM(M187-O187)</f>
        <v>75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+'2'!J188</f>
        <v>19</v>
      </c>
      <c r="F188" s="71"/>
      <c r="G188" s="46">
        <f>E188+F188</f>
        <v>19</v>
      </c>
      <c r="H188" s="78">
        <v>0</v>
      </c>
      <c r="I188" s="76">
        <v>0</v>
      </c>
      <c r="J188" s="46">
        <f>+G188-H188-K188-I188</f>
        <v>14</v>
      </c>
      <c r="K188" s="72">
        <v>5</v>
      </c>
      <c r="L188" s="20">
        <v>15</v>
      </c>
      <c r="M188" s="65">
        <f>+L188*K188</f>
        <v>75</v>
      </c>
      <c r="N188" s="17" t="s">
        <v>16</v>
      </c>
      <c r="O188" s="18"/>
      <c r="P188" s="119">
        <f>SUM(M188-O188)</f>
        <v>75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+'2'!J189</f>
        <v>17</v>
      </c>
      <c r="F189" s="71"/>
      <c r="G189" s="46">
        <f>E189+F189</f>
        <v>17</v>
      </c>
      <c r="H189" s="78">
        <v>0</v>
      </c>
      <c r="I189" s="76">
        <v>0</v>
      </c>
      <c r="J189" s="46">
        <f>+G189-H189-K189-I189</f>
        <v>12</v>
      </c>
      <c r="K189" s="72">
        <v>5</v>
      </c>
      <c r="L189" s="20">
        <v>15</v>
      </c>
      <c r="M189" s="65">
        <f>+L189*K189</f>
        <v>75</v>
      </c>
      <c r="N189" s="17" t="s">
        <v>16</v>
      </c>
      <c r="O189" s="18"/>
      <c r="P189" s="119">
        <f>SUM(M189-O189)</f>
        <v>75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>
        <f>+'2'!J198</f>
        <v>30</v>
      </c>
      <c r="F198" s="71"/>
      <c r="G198" s="46">
        <f t="shared" si="30"/>
        <v>30</v>
      </c>
      <c r="H198" s="78">
        <v>0</v>
      </c>
      <c r="I198" s="76">
        <v>0</v>
      </c>
      <c r="J198" s="46">
        <f t="shared" si="31"/>
        <v>13</v>
      </c>
      <c r="K198" s="72">
        <v>17</v>
      </c>
      <c r="L198" s="20">
        <v>150</v>
      </c>
      <c r="M198" s="65">
        <f t="shared" si="34"/>
        <v>2550</v>
      </c>
      <c r="N198" s="17" t="s">
        <v>1433</v>
      </c>
      <c r="O198" s="18">
        <v>1000</v>
      </c>
      <c r="P198" s="119">
        <f t="shared" si="35"/>
        <v>1550</v>
      </c>
      <c r="Q198" s="90">
        <v>64.38</v>
      </c>
      <c r="R198" s="43">
        <f t="shared" si="36"/>
        <v>1094.46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hidden="1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hidden="1" x14ac:dyDescent="0.65">
      <c r="A242" s="10">
        <v>238</v>
      </c>
      <c r="B242" s="10"/>
      <c r="C242" s="19" t="s">
        <v>1436</v>
      </c>
      <c r="D242" s="10" t="s">
        <v>564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>
        <f>+'2'!J243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4176.4399999999987</v>
      </c>
      <c r="S260" s="75"/>
    </row>
    <row r="261" spans="1:19" ht="25.5" hidden="1" customHeight="1" x14ac:dyDescent="0.6">
      <c r="A261" s="1"/>
      <c r="E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16346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>
        <v>0</v>
      </c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5335</v>
      </c>
      <c r="O264" s="2">
        <v>5335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2071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8940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8945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5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5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,200.00"/>
        <filter val="1,215.00"/>
        <filter val="1,300.00"/>
        <filter val="1,700.00"/>
        <filter val="1,911.00"/>
        <filter val="100.00"/>
        <filter val="120.00"/>
        <filter val="125.00"/>
        <filter val="130.00"/>
        <filter val="140.00"/>
        <filter val="150.00"/>
        <filter val="2,550.00"/>
        <filter val="200.00"/>
        <filter val="225.00"/>
        <filter val="240.00"/>
        <filter val="25.00"/>
        <filter val="300.00"/>
        <filter val="35.00"/>
        <filter val="400.00"/>
        <filter val="45.00"/>
        <filter val="50.00"/>
        <filter val="55.00"/>
        <filter val="735.00"/>
        <filter val="75.00"/>
        <filter val="85.00"/>
        <filter val="เป็นเงิ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49" right="0.25" top="0.75" bottom="0.21" header="0.3" footer="0.3"/>
  <pageSetup paperSize="9" scale="43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  <pageSetUpPr fitToPage="1"/>
  </sheetPr>
  <dimension ref="A1:S346"/>
  <sheetViews>
    <sheetView zoomScale="55" zoomScaleNormal="55" workbookViewId="0">
      <pane xSplit="10" ySplit="4" topLeftCell="K134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" x14ac:dyDescent="0.6"/>
  <cols>
    <col min="1" max="1" width="6.69921875" style="2" customWidth="1"/>
    <col min="2" max="2" width="19.3984375" style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+'3'!J5</f>
        <v>39</v>
      </c>
      <c r="F5" s="71">
        <v>50</v>
      </c>
      <c r="G5" s="46">
        <f t="shared" ref="G5:G26" si="0">E5+F5</f>
        <v>89</v>
      </c>
      <c r="H5" s="78">
        <v>0</v>
      </c>
      <c r="I5" s="76">
        <v>0</v>
      </c>
      <c r="J5" s="46">
        <f t="shared" ref="J5:J26" si="1">+G5-H5-K5-I5</f>
        <v>74</v>
      </c>
      <c r="K5" s="72">
        <v>15</v>
      </c>
      <c r="L5" s="15">
        <v>50</v>
      </c>
      <c r="M5" s="65">
        <f>+L5*K5</f>
        <v>750</v>
      </c>
      <c r="N5" s="17" t="s">
        <v>16</v>
      </c>
      <c r="O5" s="18"/>
      <c r="P5" s="119">
        <f>SUM(M5-O5)</f>
        <v>750</v>
      </c>
      <c r="Q5" s="90">
        <v>22.48</v>
      </c>
      <c r="R5" s="43">
        <f>+K5*Q5</f>
        <v>337.2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+'3'!J6</f>
        <v>68</v>
      </c>
      <c r="F6" s="71">
        <v>20</v>
      </c>
      <c r="G6" s="46">
        <f t="shared" si="0"/>
        <v>88</v>
      </c>
      <c r="H6" s="78">
        <v>0</v>
      </c>
      <c r="I6" s="76">
        <v>0</v>
      </c>
      <c r="J6" s="46">
        <f t="shared" si="1"/>
        <v>54</v>
      </c>
      <c r="K6" s="72">
        <v>34</v>
      </c>
      <c r="L6" s="15">
        <v>100</v>
      </c>
      <c r="M6" s="65">
        <f t="shared" ref="M6:M80" si="2">+L6*K6</f>
        <v>3400</v>
      </c>
      <c r="N6" s="17" t="s">
        <v>1442</v>
      </c>
      <c r="O6" s="18">
        <v>200</v>
      </c>
      <c r="P6" s="119">
        <f t="shared" ref="P6:P80" si="3">SUM(M6-O6)</f>
        <v>3200</v>
      </c>
      <c r="Q6" s="90">
        <v>39.29</v>
      </c>
      <c r="R6" s="43">
        <f t="shared" ref="R6:R80" si="4">+K6*Q6</f>
        <v>1335.86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+'3'!J11</f>
        <v>10</v>
      </c>
      <c r="F11" s="71">
        <v>30</v>
      </c>
      <c r="G11" s="46">
        <f t="shared" si="0"/>
        <v>40</v>
      </c>
      <c r="H11" s="78">
        <v>0</v>
      </c>
      <c r="I11" s="76">
        <v>0</v>
      </c>
      <c r="J11" s="46">
        <f t="shared" si="1"/>
        <v>33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19">
        <f t="shared" si="3"/>
        <v>350</v>
      </c>
      <c r="Q11" s="90">
        <v>16.940000000000001</v>
      </c>
      <c r="R11" s="43">
        <f t="shared" si="4"/>
        <v>118.58000000000001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+'3'!J15</f>
        <v>16</v>
      </c>
      <c r="F15" s="71">
        <v>20</v>
      </c>
      <c r="G15" s="46">
        <f t="shared" si="0"/>
        <v>36</v>
      </c>
      <c r="H15" s="78">
        <v>0</v>
      </c>
      <c r="I15" s="76">
        <v>0</v>
      </c>
      <c r="J15" s="46">
        <f t="shared" si="1"/>
        <v>32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/>
      <c r="P15" s="119">
        <f t="shared" si="3"/>
        <v>200</v>
      </c>
      <c r="Q15" s="90">
        <v>24.37</v>
      </c>
      <c r="R15" s="43">
        <f t="shared" si="4"/>
        <v>97.48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+'3'!J18</f>
        <v>7</v>
      </c>
      <c r="F18" s="71">
        <v>20</v>
      </c>
      <c r="G18" s="46">
        <f t="shared" si="0"/>
        <v>27</v>
      </c>
      <c r="H18" s="78">
        <v>0</v>
      </c>
      <c r="I18" s="76">
        <v>0</v>
      </c>
      <c r="J18" s="46">
        <f t="shared" si="1"/>
        <v>14</v>
      </c>
      <c r="K18" s="72">
        <v>13</v>
      </c>
      <c r="L18" s="15">
        <v>50</v>
      </c>
      <c r="M18" s="65">
        <f t="shared" si="2"/>
        <v>650</v>
      </c>
      <c r="N18" s="17" t="s">
        <v>16</v>
      </c>
      <c r="O18" s="18"/>
      <c r="P18" s="119">
        <f t="shared" si="3"/>
        <v>650</v>
      </c>
      <c r="Q18" s="90">
        <v>18.77</v>
      </c>
      <c r="R18" s="43">
        <f t="shared" si="4"/>
        <v>244.01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hidden="1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hidden="1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+'3'!J22</f>
        <v>7</v>
      </c>
      <c r="F22" s="71">
        <v>100</v>
      </c>
      <c r="G22" s="46">
        <f t="shared" si="0"/>
        <v>107</v>
      </c>
      <c r="H22" s="78">
        <v>0</v>
      </c>
      <c r="I22" s="76">
        <v>0</v>
      </c>
      <c r="J22" s="46">
        <f t="shared" si="1"/>
        <v>98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19">
        <f t="shared" si="3"/>
        <v>900</v>
      </c>
      <c r="Q22" s="90">
        <v>26.6</v>
      </c>
      <c r="R22" s="43">
        <f t="shared" si="4"/>
        <v>239.4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+'3'!J24</f>
        <v>46</v>
      </c>
      <c r="F24" s="71">
        <v>10</v>
      </c>
      <c r="G24" s="46">
        <f t="shared" si="0"/>
        <v>56</v>
      </c>
      <c r="H24" s="78">
        <v>0</v>
      </c>
      <c r="I24" s="76">
        <v>0</v>
      </c>
      <c r="J24" s="46">
        <f t="shared" si="1"/>
        <v>51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19">
        <f t="shared" si="3"/>
        <v>500</v>
      </c>
      <c r="Q24" s="90">
        <v>40.51</v>
      </c>
      <c r="R24" s="43">
        <f t="shared" si="4"/>
        <v>202.54999999999998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hidden="1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+'3'!J26</f>
        <v>19</v>
      </c>
      <c r="F26" s="71">
        <v>20</v>
      </c>
      <c r="G26" s="46">
        <f t="shared" si="0"/>
        <v>39</v>
      </c>
      <c r="H26" s="78">
        <v>0</v>
      </c>
      <c r="I26" s="76">
        <v>0</v>
      </c>
      <c r="J26" s="46">
        <f t="shared" si="1"/>
        <v>39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+'3'!J28</f>
        <v>24</v>
      </c>
      <c r="F28" s="71">
        <v>20</v>
      </c>
      <c r="G28" s="46">
        <f t="shared" si="5"/>
        <v>44</v>
      </c>
      <c r="H28" s="78">
        <v>0</v>
      </c>
      <c r="I28" s="76">
        <v>0</v>
      </c>
      <c r="J28" s="46">
        <f t="shared" si="6"/>
        <v>38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19">
        <f t="shared" si="3"/>
        <v>600</v>
      </c>
      <c r="Q28" s="90">
        <v>31.97</v>
      </c>
      <c r="R28" s="43">
        <f t="shared" si="4"/>
        <v>191.82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+'3'!J31</f>
        <v>32</v>
      </c>
      <c r="F31" s="71">
        <v>50</v>
      </c>
      <c r="G31" s="46">
        <f t="shared" si="5"/>
        <v>82</v>
      </c>
      <c r="H31" s="78">
        <v>0</v>
      </c>
      <c r="I31" s="76">
        <v>0</v>
      </c>
      <c r="J31" s="46">
        <f t="shared" si="6"/>
        <v>65</v>
      </c>
      <c r="K31" s="72">
        <v>17</v>
      </c>
      <c r="L31" s="15">
        <v>100</v>
      </c>
      <c r="M31" s="65">
        <f t="shared" si="2"/>
        <v>1700</v>
      </c>
      <c r="N31" s="17" t="s">
        <v>16</v>
      </c>
      <c r="O31" s="18"/>
      <c r="P31" s="119">
        <f t="shared" si="3"/>
        <v>1700</v>
      </c>
      <c r="Q31" s="90">
        <v>38.46</v>
      </c>
      <c r="R31" s="43">
        <f t="shared" si="4"/>
        <v>653.82000000000005</v>
      </c>
    </row>
    <row r="32" spans="1:18" ht="24.6" hidden="1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+'3'!J33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2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/>
      <c r="P33" s="119">
        <f t="shared" si="3"/>
        <v>650</v>
      </c>
      <c r="Q33" s="90">
        <v>38.9</v>
      </c>
      <c r="R33" s="43">
        <f t="shared" si="4"/>
        <v>194.5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+'3'!J39</f>
        <v>0</v>
      </c>
      <c r="F39" s="71">
        <v>15</v>
      </c>
      <c r="G39" s="46">
        <f t="shared" si="5"/>
        <v>15</v>
      </c>
      <c r="H39" s="78">
        <v>0</v>
      </c>
      <c r="I39" s="76">
        <v>0</v>
      </c>
      <c r="J39" s="46">
        <f t="shared" si="6"/>
        <v>8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/>
      <c r="P39" s="119">
        <f t="shared" si="3"/>
        <v>350</v>
      </c>
      <c r="Q39" s="90">
        <v>27.84</v>
      </c>
      <c r="R39" s="43">
        <f t="shared" si="4"/>
        <v>194.88</v>
      </c>
    </row>
    <row r="40" spans="1:18" ht="24.6" hidden="1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+'3'!J40</f>
        <v>5</v>
      </c>
      <c r="F40" s="71">
        <v>5</v>
      </c>
      <c r="G40" s="46">
        <f t="shared" si="5"/>
        <v>10</v>
      </c>
      <c r="H40" s="78">
        <v>1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+'3'!J41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19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+'3'!J42</f>
        <v>2</v>
      </c>
      <c r="F42" s="71"/>
      <c r="G42" s="46">
        <f t="shared" si="5"/>
        <v>2</v>
      </c>
      <c r="H42" s="78">
        <v>0</v>
      </c>
      <c r="I42" s="76">
        <v>0</v>
      </c>
      <c r="J42" s="46">
        <f t="shared" si="6"/>
        <v>0</v>
      </c>
      <c r="K42" s="72">
        <v>2</v>
      </c>
      <c r="L42" s="15">
        <v>65</v>
      </c>
      <c r="M42" s="65">
        <f t="shared" si="2"/>
        <v>130</v>
      </c>
      <c r="N42" s="17" t="s">
        <v>16</v>
      </c>
      <c r="O42" s="18"/>
      <c r="P42" s="119">
        <f t="shared" si="3"/>
        <v>130</v>
      </c>
      <c r="Q42" s="90"/>
      <c r="R42" s="43">
        <f t="shared" si="4"/>
        <v>0</v>
      </c>
    </row>
    <row r="43" spans="1:18" ht="24.6" hidden="1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+'3'!J43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65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hidden="1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+'3'!J44</f>
        <v>3</v>
      </c>
      <c r="F44" s="71"/>
      <c r="G44" s="46">
        <f t="shared" si="5"/>
        <v>3</v>
      </c>
      <c r="H44" s="78">
        <v>0</v>
      </c>
      <c r="I44" s="76">
        <v>0</v>
      </c>
      <c r="J44" s="46">
        <f t="shared" si="6"/>
        <v>3</v>
      </c>
      <c r="K44" s="72"/>
      <c r="L44" s="15">
        <v>65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+'3'!J46</f>
        <v>4</v>
      </c>
      <c r="F46" s="71">
        <v>20</v>
      </c>
      <c r="G46" s="46">
        <f t="shared" si="5"/>
        <v>24</v>
      </c>
      <c r="H46" s="78">
        <v>0</v>
      </c>
      <c r="I46" s="76">
        <v>0</v>
      </c>
      <c r="J46" s="46">
        <f t="shared" si="6"/>
        <v>23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+'3'!J47</f>
        <v>4</v>
      </c>
      <c r="F47" s="71">
        <v>20</v>
      </c>
      <c r="G47" s="46">
        <f t="shared" si="5"/>
        <v>24</v>
      </c>
      <c r="H47" s="78">
        <v>0</v>
      </c>
      <c r="I47" s="76">
        <v>0</v>
      </c>
      <c r="J47" s="46">
        <f t="shared" si="6"/>
        <v>22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19">
        <f t="shared" si="3"/>
        <v>100</v>
      </c>
      <c r="Q47" s="90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+'3'!J48</f>
        <v>2</v>
      </c>
      <c r="F48" s="71">
        <v>20</v>
      </c>
      <c r="G48" s="46">
        <f t="shared" si="5"/>
        <v>22</v>
      </c>
      <c r="H48" s="78">
        <v>0</v>
      </c>
      <c r="I48" s="76">
        <v>0</v>
      </c>
      <c r="J48" s="46">
        <f t="shared" si="6"/>
        <v>16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19">
        <f>SUM(M48-O48)</f>
        <v>300</v>
      </c>
      <c r="Q48" s="90">
        <v>18.88</v>
      </c>
      <c r="R48" s="43">
        <f>+K48*Q48</f>
        <v>113.28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+'3'!J49</f>
        <v>7</v>
      </c>
      <c r="F49" s="71">
        <v>20</v>
      </c>
      <c r="G49" s="46">
        <f t="shared" si="5"/>
        <v>27</v>
      </c>
      <c r="H49" s="78">
        <v>0</v>
      </c>
      <c r="I49" s="76">
        <v>0</v>
      </c>
      <c r="J49" s="46">
        <f t="shared" si="6"/>
        <v>25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19">
        <f>SUM(M49-O49)</f>
        <v>100</v>
      </c>
      <c r="Q49" s="90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+'3'!J50</f>
        <v>6</v>
      </c>
      <c r="F50" s="71">
        <v>20</v>
      </c>
      <c r="G50" s="46">
        <f t="shared" si="5"/>
        <v>26</v>
      </c>
      <c r="H50" s="78">
        <v>0</v>
      </c>
      <c r="I50" s="76">
        <v>0</v>
      </c>
      <c r="J50" s="46">
        <f t="shared" si="6"/>
        <v>25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19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+'3'!J51</f>
        <v>8</v>
      </c>
      <c r="F51" s="71">
        <v>20</v>
      </c>
      <c r="G51" s="46">
        <f t="shared" si="5"/>
        <v>28</v>
      </c>
      <c r="H51" s="78">
        <v>0</v>
      </c>
      <c r="I51" s="76">
        <v>0</v>
      </c>
      <c r="J51" s="46">
        <f t="shared" si="6"/>
        <v>23</v>
      </c>
      <c r="K51" s="72">
        <v>5</v>
      </c>
      <c r="L51" s="15">
        <v>50</v>
      </c>
      <c r="M51" s="65">
        <f>+L51*K51</f>
        <v>250</v>
      </c>
      <c r="N51" s="17" t="s">
        <v>16</v>
      </c>
      <c r="O51" s="18"/>
      <c r="P51" s="119">
        <f>SUM(M51-O51)</f>
        <v>250</v>
      </c>
      <c r="Q51" s="90">
        <v>14.65</v>
      </c>
      <c r="R51" s="43">
        <f>+K51*Q51</f>
        <v>73.25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+'3'!J53</f>
        <v>4</v>
      </c>
      <c r="F53" s="71">
        <v>20</v>
      </c>
      <c r="G53" s="46">
        <f t="shared" si="5"/>
        <v>24</v>
      </c>
      <c r="H53" s="78">
        <v>0</v>
      </c>
      <c r="I53" s="76">
        <v>0</v>
      </c>
      <c r="J53" s="46">
        <f t="shared" si="6"/>
        <v>15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/>
      <c r="P53" s="119">
        <f>SUM(M53-O53)</f>
        <v>450</v>
      </c>
      <c r="Q53" s="90">
        <v>17.53</v>
      </c>
      <c r="R53" s="43">
        <f>+K53*Q53</f>
        <v>157.77000000000001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hidden="1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+'3'!J55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+'3'!J56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hidden="1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hidden="1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+'3'!J60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19">
        <f t="shared" si="3"/>
        <v>120</v>
      </c>
      <c r="Q62" s="90">
        <v>29.82</v>
      </c>
      <c r="R62" s="43">
        <f t="shared" si="4"/>
        <v>29.82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hidden="1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+'3'!J64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hidden="1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+'3'!J66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19">
        <f t="shared" si="3"/>
        <v>100</v>
      </c>
      <c r="Q66" s="90">
        <v>23.12</v>
      </c>
      <c r="R66" s="43">
        <f t="shared" si="4"/>
        <v>46.24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hidden="1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+'3'!J69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hidden="1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+'3'!J70</f>
        <v>2</v>
      </c>
      <c r="F70" s="71"/>
      <c r="G70" s="46">
        <f t="shared" si="5"/>
        <v>2</v>
      </c>
      <c r="H70" s="78">
        <v>0</v>
      </c>
      <c r="I70" s="76">
        <v>0</v>
      </c>
      <c r="J70" s="46">
        <f t="shared" si="6"/>
        <v>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+'3'!J71</f>
        <v>2</v>
      </c>
      <c r="F71" s="71"/>
      <c r="G71" s="46">
        <f t="shared" si="5"/>
        <v>2</v>
      </c>
      <c r="H71" s="78">
        <v>0</v>
      </c>
      <c r="I71" s="76">
        <v>0</v>
      </c>
      <c r="J71" s="46">
        <f t="shared" si="6"/>
        <v>1</v>
      </c>
      <c r="K71" s="72">
        <v>1</v>
      </c>
      <c r="L71" s="15">
        <v>150</v>
      </c>
      <c r="M71" s="65">
        <f t="shared" si="2"/>
        <v>150</v>
      </c>
      <c r="N71" s="17" t="s">
        <v>16</v>
      </c>
      <c r="O71" s="18"/>
      <c r="P71" s="119">
        <f t="shared" si="3"/>
        <v>150</v>
      </c>
      <c r="Q71" s="90">
        <v>67.17</v>
      </c>
      <c r="R71" s="43">
        <f t="shared" si="4"/>
        <v>67.17</v>
      </c>
    </row>
    <row r="72" spans="1:18" ht="24.6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19">
        <f t="shared" si="3"/>
        <v>100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+'3'!J74</f>
        <v>1</v>
      </c>
      <c r="F74" s="71">
        <v>10</v>
      </c>
      <c r="G74" s="46">
        <f t="shared" si="5"/>
        <v>11</v>
      </c>
      <c r="H74" s="78">
        <v>0</v>
      </c>
      <c r="I74" s="76">
        <v>0</v>
      </c>
      <c r="J74" s="46">
        <f t="shared" si="6"/>
        <v>8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19">
        <f t="shared" si="3"/>
        <v>150</v>
      </c>
      <c r="Q74" s="90">
        <v>17.09</v>
      </c>
      <c r="R74" s="43">
        <f t="shared" si="4"/>
        <v>51.269999999999996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+'3'!J77</f>
        <v>23</v>
      </c>
      <c r="F77" s="71"/>
      <c r="G77" s="46">
        <f t="shared" si="5"/>
        <v>23</v>
      </c>
      <c r="H77" s="78">
        <v>0</v>
      </c>
      <c r="I77" s="76">
        <v>0</v>
      </c>
      <c r="J77" s="46">
        <f t="shared" si="6"/>
        <v>21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19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+'3'!J80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3</v>
      </c>
      <c r="K80" s="72">
        <v>4</v>
      </c>
      <c r="L80" s="15">
        <v>55</v>
      </c>
      <c r="M80" s="65">
        <f t="shared" si="2"/>
        <v>220</v>
      </c>
      <c r="N80" s="17" t="s">
        <v>16</v>
      </c>
      <c r="O80" s="18"/>
      <c r="P80" s="119">
        <f t="shared" si="3"/>
        <v>220</v>
      </c>
      <c r="Q80" s="90">
        <v>14.35</v>
      </c>
      <c r="R80" s="43">
        <f t="shared" si="4"/>
        <v>57.4</v>
      </c>
    </row>
    <row r="81" spans="1:18" ht="24.6" hidden="1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hidden="1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+'3'!J83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hidden="1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+'3'!J84</f>
        <v>2</v>
      </c>
      <c r="F84" s="71"/>
      <c r="G84" s="46">
        <f t="shared" si="5"/>
        <v>2</v>
      </c>
      <c r="H84" s="78">
        <v>0</v>
      </c>
      <c r="I84" s="76">
        <v>0</v>
      </c>
      <c r="J84" s="46">
        <f t="shared" si="6"/>
        <v>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+'3'!J87</f>
        <v>40</v>
      </c>
      <c r="F87" s="71"/>
      <c r="G87" s="46">
        <f t="shared" ref="G87" si="13">E87+F87</f>
        <v>40</v>
      </c>
      <c r="H87" s="78">
        <v>0</v>
      </c>
      <c r="I87" s="76">
        <v>0</v>
      </c>
      <c r="J87" s="46">
        <f t="shared" ref="J87" si="14">+G87-H87-K87-I87</f>
        <v>0</v>
      </c>
      <c r="K87" s="72">
        <v>40</v>
      </c>
      <c r="L87" s="20">
        <v>45</v>
      </c>
      <c r="M87" s="65">
        <f t="shared" ref="M87" si="15">+L87*K87</f>
        <v>1800</v>
      </c>
      <c r="N87" s="17" t="s">
        <v>1441</v>
      </c>
      <c r="O87" s="18">
        <f>1800-1405</f>
        <v>395</v>
      </c>
      <c r="P87" s="119">
        <f t="shared" ref="P87" si="16">SUM(M87-O87)</f>
        <v>1405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>
        <f>+'3'!J88</f>
        <v>7</v>
      </c>
      <c r="F88" s="71"/>
      <c r="G88" s="46">
        <f t="shared" ref="G88" si="18">E88+F88</f>
        <v>7</v>
      </c>
      <c r="H88" s="78">
        <v>0</v>
      </c>
      <c r="I88" s="76">
        <v>0</v>
      </c>
      <c r="J88" s="46">
        <f t="shared" ref="J88" si="19">+G88-H88-K88-I88</f>
        <v>0</v>
      </c>
      <c r="K88" s="72">
        <v>7</v>
      </c>
      <c r="L88" s="20">
        <v>49</v>
      </c>
      <c r="M88" s="65">
        <f t="shared" ref="M88" si="20">+L88*K88</f>
        <v>343</v>
      </c>
      <c r="N88" s="17" t="s">
        <v>1441</v>
      </c>
      <c r="O88" s="18">
        <f>343-245</f>
        <v>98</v>
      </c>
      <c r="P88" s="119">
        <f t="shared" ref="P88" si="21">SUM(M88-O88)</f>
        <v>245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hidden="1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hidden="1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+'3'!J96</f>
        <v>25</v>
      </c>
      <c r="F96" s="71"/>
      <c r="G96" s="46">
        <f t="shared" si="23"/>
        <v>25</v>
      </c>
      <c r="H96" s="78">
        <v>0</v>
      </c>
      <c r="I96" s="76">
        <v>0</v>
      </c>
      <c r="J96" s="46">
        <f t="shared" si="24"/>
        <v>14</v>
      </c>
      <c r="K96" s="72">
        <v>11</v>
      </c>
      <c r="L96" s="20">
        <v>45</v>
      </c>
      <c r="M96" s="65">
        <f t="shared" si="7"/>
        <v>495</v>
      </c>
      <c r="N96" s="17" t="s">
        <v>1441</v>
      </c>
      <c r="O96" s="18">
        <f>495-385</f>
        <v>110</v>
      </c>
      <c r="P96" s="119">
        <f t="shared" si="8"/>
        <v>385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+'3'!J99</f>
        <v>12</v>
      </c>
      <c r="F99" s="71"/>
      <c r="G99" s="46">
        <f t="shared" si="23"/>
        <v>12</v>
      </c>
      <c r="H99" s="78">
        <v>0</v>
      </c>
      <c r="I99" s="76">
        <v>0</v>
      </c>
      <c r="J99" s="46">
        <f t="shared" si="24"/>
        <v>4</v>
      </c>
      <c r="K99" s="72">
        <v>8</v>
      </c>
      <c r="L99" s="20">
        <v>45</v>
      </c>
      <c r="M99" s="65">
        <f t="shared" ref="M99:M105" si="25">+L99*K99</f>
        <v>360</v>
      </c>
      <c r="N99" s="17" t="s">
        <v>16</v>
      </c>
      <c r="O99" s="18"/>
      <c r="P99" s="119">
        <f t="shared" ref="P99:P105" si="26">SUM(M99-O99)</f>
        <v>360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+'3'!J102</f>
        <v>10</v>
      </c>
      <c r="F102" s="71">
        <v>100</v>
      </c>
      <c r="G102" s="46">
        <f t="shared" ref="G102" si="28">E102+F102</f>
        <v>110</v>
      </c>
      <c r="H102" s="78">
        <v>0</v>
      </c>
      <c r="I102" s="76">
        <v>1</v>
      </c>
      <c r="J102" s="46">
        <f t="shared" ref="J102" si="29">+G102-H102-K102-I102</f>
        <v>65</v>
      </c>
      <c r="K102" s="72">
        <v>44</v>
      </c>
      <c r="L102" s="20">
        <v>49</v>
      </c>
      <c r="M102" s="65">
        <f t="shared" si="25"/>
        <v>2156</v>
      </c>
      <c r="N102" s="17" t="s">
        <v>1441</v>
      </c>
      <c r="O102" s="18">
        <f>2156-1540</f>
        <v>616</v>
      </c>
      <c r="P102" s="119">
        <f t="shared" si="26"/>
        <v>1540</v>
      </c>
      <c r="Q102" s="90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+'3'!J112</f>
        <v>20</v>
      </c>
      <c r="F112" s="71">
        <v>20</v>
      </c>
      <c r="G112" s="46">
        <f t="shared" si="23"/>
        <v>40</v>
      </c>
      <c r="H112" s="78">
        <v>0</v>
      </c>
      <c r="I112" s="76">
        <v>0</v>
      </c>
      <c r="J112" s="46">
        <f t="shared" si="24"/>
        <v>33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19">
        <f>SUM(M112-O112)</f>
        <v>700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+'3'!J113</f>
        <v>14</v>
      </c>
      <c r="F113" s="71">
        <v>10</v>
      </c>
      <c r="G113" s="46">
        <f t="shared" si="23"/>
        <v>24</v>
      </c>
      <c r="H113" s="78">
        <v>0</v>
      </c>
      <c r="I113" s="76">
        <v>0</v>
      </c>
      <c r="J113" s="46">
        <f t="shared" si="24"/>
        <v>17</v>
      </c>
      <c r="K113" s="72">
        <v>7</v>
      </c>
      <c r="L113" s="20">
        <v>55</v>
      </c>
      <c r="M113" s="65">
        <f t="shared" si="7"/>
        <v>385</v>
      </c>
      <c r="N113" s="17" t="s">
        <v>16</v>
      </c>
      <c r="O113" s="18"/>
      <c r="P113" s="119">
        <f t="shared" si="8"/>
        <v>385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hidden="1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+'3'!J115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hidden="1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7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19">
        <f t="shared" si="8"/>
        <v>55</v>
      </c>
      <c r="Q117" s="90">
        <v>11.91</v>
      </c>
      <c r="R117" s="43">
        <f t="shared" si="9"/>
        <v>11.91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+'3'!J130</f>
        <v>4</v>
      </c>
      <c r="F130" s="71">
        <v>10</v>
      </c>
      <c r="G130" s="46">
        <f t="shared" si="23"/>
        <v>14</v>
      </c>
      <c r="H130" s="78">
        <v>0</v>
      </c>
      <c r="I130" s="76">
        <v>0</v>
      </c>
      <c r="J130" s="46">
        <f t="shared" si="24"/>
        <v>9</v>
      </c>
      <c r="K130" s="72">
        <v>5</v>
      </c>
      <c r="L130" s="22">
        <v>35</v>
      </c>
      <c r="M130" s="65">
        <f t="shared" si="7"/>
        <v>175</v>
      </c>
      <c r="N130" s="17" t="s">
        <v>16</v>
      </c>
      <c r="O130" s="18"/>
      <c r="P130" s="119">
        <f t="shared" si="8"/>
        <v>175</v>
      </c>
      <c r="Q130" s="90">
        <v>11.12</v>
      </c>
      <c r="R130" s="43">
        <f t="shared" si="9"/>
        <v>55.599999999999994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19">
        <f t="shared" si="8"/>
        <v>60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+'3'!J133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8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19">
        <f t="shared" si="8"/>
        <v>200</v>
      </c>
      <c r="Q133" s="90">
        <v>21.75</v>
      </c>
      <c r="R133" s="43">
        <f t="shared" si="9"/>
        <v>87</v>
      </c>
    </row>
    <row r="134" spans="1:18" ht="24.6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+'3'!J134</f>
        <v>4</v>
      </c>
      <c r="F134" s="71"/>
      <c r="G134" s="46">
        <f t="shared" si="23"/>
        <v>4</v>
      </c>
      <c r="H134" s="78">
        <v>0</v>
      </c>
      <c r="I134" s="76">
        <v>0</v>
      </c>
      <c r="J134" s="46">
        <f t="shared" si="24"/>
        <v>0</v>
      </c>
      <c r="K134" s="72">
        <v>4</v>
      </c>
      <c r="L134" s="20">
        <v>35</v>
      </c>
      <c r="M134" s="65">
        <f t="shared" si="7"/>
        <v>140</v>
      </c>
      <c r="N134" s="17" t="s">
        <v>16</v>
      </c>
      <c r="O134" s="18"/>
      <c r="P134" s="119">
        <f t="shared" si="8"/>
        <v>140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hidden="1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+'3'!J142</f>
        <v>8</v>
      </c>
      <c r="F142" s="71"/>
      <c r="G142" s="46">
        <f t="shared" si="23"/>
        <v>8</v>
      </c>
      <c r="H142" s="78">
        <v>0</v>
      </c>
      <c r="I142" s="76">
        <v>0</v>
      </c>
      <c r="J142" s="46">
        <f t="shared" si="24"/>
        <v>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hidden="1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+'3'!J143</f>
        <v>8</v>
      </c>
      <c r="F143" s="71"/>
      <c r="G143" s="46">
        <f t="shared" si="23"/>
        <v>8</v>
      </c>
      <c r="H143" s="78">
        <v>0</v>
      </c>
      <c r="I143" s="76">
        <v>0</v>
      </c>
      <c r="J143" s="46">
        <f t="shared" si="24"/>
        <v>8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hidden="1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+'3'!J144</f>
        <v>8</v>
      </c>
      <c r="F144" s="71"/>
      <c r="G144" s="46">
        <f t="shared" si="23"/>
        <v>8</v>
      </c>
      <c r="H144" s="78">
        <v>0</v>
      </c>
      <c r="I144" s="76">
        <v>0</v>
      </c>
      <c r="J144" s="46">
        <f t="shared" si="24"/>
        <v>8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hidden="1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+'3'!J145</f>
        <v>13</v>
      </c>
      <c r="F145" s="71"/>
      <c r="G145" s="46">
        <f t="shared" si="23"/>
        <v>13</v>
      </c>
      <c r="H145" s="78">
        <v>0</v>
      </c>
      <c r="I145" s="76">
        <v>0</v>
      </c>
      <c r="J145" s="46">
        <f t="shared" si="24"/>
        <v>13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hidden="1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+'3'!J146</f>
        <v>10</v>
      </c>
      <c r="F146" s="71"/>
      <c r="G146" s="46">
        <f t="shared" si="23"/>
        <v>10</v>
      </c>
      <c r="H146" s="78">
        <v>0</v>
      </c>
      <c r="I146" s="76">
        <v>0</v>
      </c>
      <c r="J146" s="46">
        <f t="shared" si="24"/>
        <v>10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+'3'!J150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+'3'!J154</f>
        <v>4</v>
      </c>
      <c r="F154" s="71">
        <v>10</v>
      </c>
      <c r="G154" s="46">
        <f t="shared" si="23"/>
        <v>14</v>
      </c>
      <c r="H154" s="78">
        <v>0</v>
      </c>
      <c r="I154" s="76">
        <v>0</v>
      </c>
      <c r="J154" s="46">
        <f t="shared" si="24"/>
        <v>11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19">
        <f>SUM(M154-O154)</f>
        <v>75</v>
      </c>
      <c r="Q154" s="90">
        <v>16.16</v>
      </c>
      <c r="R154" s="43">
        <f>+K154*Q154</f>
        <v>48.480000000000004</v>
      </c>
    </row>
    <row r="155" spans="1:18" ht="24.6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+'3'!J155</f>
        <v>12</v>
      </c>
      <c r="F155" s="71">
        <v>10</v>
      </c>
      <c r="G155" s="46">
        <f t="shared" si="23"/>
        <v>22</v>
      </c>
      <c r="H155" s="78">
        <v>0</v>
      </c>
      <c r="I155" s="76">
        <v>0</v>
      </c>
      <c r="J155" s="46">
        <f t="shared" si="24"/>
        <v>19</v>
      </c>
      <c r="K155" s="72">
        <v>3</v>
      </c>
      <c r="L155" s="20">
        <v>25</v>
      </c>
      <c r="M155" s="65">
        <f t="shared" si="7"/>
        <v>75</v>
      </c>
      <c r="N155" s="17" t="s">
        <v>16</v>
      </c>
      <c r="O155" s="18"/>
      <c r="P155" s="119">
        <f t="shared" si="8"/>
        <v>75</v>
      </c>
      <c r="Q155" s="90">
        <v>18.63</v>
      </c>
      <c r="R155" s="43">
        <f t="shared" si="9"/>
        <v>55.89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+'3'!J163</f>
        <v>4</v>
      </c>
      <c r="F163" s="71">
        <v>20</v>
      </c>
      <c r="G163" s="46">
        <f t="shared" si="30"/>
        <v>24</v>
      </c>
      <c r="H163" s="78">
        <v>0</v>
      </c>
      <c r="I163" s="76">
        <v>0</v>
      </c>
      <c r="J163" s="46">
        <f t="shared" si="31"/>
        <v>22</v>
      </c>
      <c r="K163" s="72">
        <v>2</v>
      </c>
      <c r="L163" s="20">
        <v>25</v>
      </c>
      <c r="M163" s="65">
        <f t="shared" si="7"/>
        <v>50</v>
      </c>
      <c r="N163" s="17" t="s">
        <v>1440</v>
      </c>
      <c r="O163" s="18">
        <v>10</v>
      </c>
      <c r="P163" s="119">
        <f t="shared" si="8"/>
        <v>40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>
        <f>+'3'!J173</f>
        <v>0</v>
      </c>
      <c r="F173" s="71">
        <v>20</v>
      </c>
      <c r="G173" s="46">
        <f>E173+F173</f>
        <v>20</v>
      </c>
      <c r="H173" s="78">
        <v>0</v>
      </c>
      <c r="I173" s="76">
        <v>0</v>
      </c>
      <c r="J173" s="46">
        <f>+G173-H173-K173-I173</f>
        <v>0</v>
      </c>
      <c r="K173" s="72">
        <v>20</v>
      </c>
      <c r="L173" s="20">
        <v>35</v>
      </c>
      <c r="M173" s="65">
        <f>+L173*K173</f>
        <v>700</v>
      </c>
      <c r="N173" s="17" t="s">
        <v>16</v>
      </c>
      <c r="O173" s="18"/>
      <c r="P173" s="119">
        <f>SUM(M173-O173)</f>
        <v>700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+'3'!J175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15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19">
        <f>SUM(M175-O175)</f>
        <v>250</v>
      </c>
      <c r="Q175" s="90">
        <v>29.96</v>
      </c>
      <c r="R175" s="43">
        <f>+K175*Q175</f>
        <v>149.80000000000001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+'3'!J180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0</v>
      </c>
      <c r="K180" s="72">
        <v>7</v>
      </c>
      <c r="L180" s="20">
        <v>35</v>
      </c>
      <c r="M180" s="65">
        <f t="shared" si="34"/>
        <v>245</v>
      </c>
      <c r="N180" s="17" t="s">
        <v>16</v>
      </c>
      <c r="O180" s="18"/>
      <c r="P180" s="119">
        <f t="shared" si="35"/>
        <v>245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+'3'!J187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14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19">
        <f>SUM(M187-O187)</f>
        <v>15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+'3'!J188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13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19">
        <f>SUM(M188-O188)</f>
        <v>15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+'3'!J189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10</v>
      </c>
      <c r="K189" s="72">
        <v>2</v>
      </c>
      <c r="L189" s="20">
        <v>15</v>
      </c>
      <c r="M189" s="65">
        <f>+L189*K189</f>
        <v>30</v>
      </c>
      <c r="N189" s="17" t="s">
        <v>16</v>
      </c>
      <c r="O189" s="18"/>
      <c r="P189" s="119">
        <f>SUM(M189-O189)</f>
        <v>30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>
        <f>+'3'!J198</f>
        <v>13</v>
      </c>
      <c r="F198" s="71">
        <v>182</v>
      </c>
      <c r="G198" s="46">
        <f t="shared" si="30"/>
        <v>195</v>
      </c>
      <c r="H198" s="78">
        <v>0</v>
      </c>
      <c r="I198" s="76">
        <v>0</v>
      </c>
      <c r="J198" s="46">
        <f t="shared" si="31"/>
        <v>174</v>
      </c>
      <c r="K198" s="72">
        <v>21</v>
      </c>
      <c r="L198" s="20">
        <v>150</v>
      </c>
      <c r="M198" s="65">
        <f t="shared" si="34"/>
        <v>3150</v>
      </c>
      <c r="N198" s="17" t="s">
        <v>1439</v>
      </c>
      <c r="O198" s="18">
        <f>3150-1750</f>
        <v>1400</v>
      </c>
      <c r="P198" s="119">
        <f t="shared" si="35"/>
        <v>1750</v>
      </c>
      <c r="Q198" s="90">
        <v>64.38</v>
      </c>
      <c r="R198" s="43">
        <f t="shared" si="36"/>
        <v>1351.98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hidden="1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hidden="1" x14ac:dyDescent="0.65">
      <c r="A242" s="10">
        <v>238</v>
      </c>
      <c r="B242" s="10"/>
      <c r="C242" s="19" t="s">
        <v>1436</v>
      </c>
      <c r="D242" s="10" t="s">
        <v>564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>
        <f>+'3'!J243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6337.1800000000021</v>
      </c>
      <c r="S260" s="75"/>
    </row>
    <row r="261" spans="1:19" ht="25.5" customHeight="1" x14ac:dyDescent="0.6">
      <c r="A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F262" s="1"/>
      <c r="G262" s="31"/>
      <c r="J262" s="31"/>
      <c r="K262" s="32"/>
      <c r="L262" s="96" t="s">
        <v>202</v>
      </c>
      <c r="M262" s="96"/>
      <c r="N262" s="33">
        <f>SUM(M5:M261)</f>
        <v>23944</v>
      </c>
    </row>
    <row r="263" spans="1:19" ht="24.6" x14ac:dyDescent="0.65">
      <c r="A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F264" s="1"/>
      <c r="G264" s="31"/>
      <c r="J264" s="31"/>
      <c r="L264" s="34" t="s">
        <v>204</v>
      </c>
      <c r="M264" s="35"/>
      <c r="N264" s="36">
        <f>SUM(O264:AF264)</f>
        <v>7015</v>
      </c>
      <c r="O264" s="2">
        <v>7015</v>
      </c>
    </row>
    <row r="265" spans="1:19" ht="24.6" x14ac:dyDescent="0.65">
      <c r="A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F267" s="1"/>
      <c r="G267" s="31"/>
      <c r="J267" s="31"/>
      <c r="L267" s="34" t="s">
        <v>207</v>
      </c>
      <c r="M267" s="35"/>
      <c r="N267" s="37">
        <f>SUM(O5:O260)</f>
        <v>2829</v>
      </c>
    </row>
    <row r="268" spans="1:19" ht="24.6" x14ac:dyDescent="0.65">
      <c r="A268" s="1"/>
      <c r="F268" s="1"/>
      <c r="G268" s="31"/>
      <c r="J268" s="31"/>
      <c r="L268" s="34" t="s">
        <v>208</v>
      </c>
      <c r="M268" s="35"/>
      <c r="N268" s="33">
        <f>N262-N263-N264-N266-N267</f>
        <v>14100</v>
      </c>
    </row>
    <row r="269" spans="1:19" ht="24.6" x14ac:dyDescent="0.65">
      <c r="A269" s="1"/>
      <c r="F269" s="1"/>
      <c r="G269" s="31"/>
      <c r="J269" s="31"/>
      <c r="L269" s="34" t="s">
        <v>209</v>
      </c>
      <c r="M269" s="35"/>
      <c r="N269" s="37">
        <v>13390</v>
      </c>
    </row>
    <row r="270" spans="1:19" ht="24.6" x14ac:dyDescent="0.65">
      <c r="A270" s="1"/>
      <c r="F270" s="1"/>
      <c r="G270" s="31"/>
      <c r="J270" s="31"/>
      <c r="L270" s="34" t="s">
        <v>210</v>
      </c>
      <c r="M270" s="35"/>
      <c r="N270" s="33">
        <f>+N269-N268</f>
        <v>-710</v>
      </c>
    </row>
    <row r="271" spans="1:19" ht="24.6" x14ac:dyDescent="0.65">
      <c r="F271" s="1"/>
      <c r="J271" s="2"/>
      <c r="L271" s="34" t="s">
        <v>211</v>
      </c>
      <c r="M271" s="35"/>
      <c r="N271" s="33">
        <f>+N269-N268</f>
        <v>-710</v>
      </c>
    </row>
    <row r="272" spans="1:19" x14ac:dyDescent="0.6">
      <c r="J272" s="2"/>
      <c r="L272" s="2"/>
    </row>
    <row r="273" spans="10:18" ht="24.6" x14ac:dyDescent="0.65">
      <c r="J273" s="2"/>
      <c r="L273" s="73" t="s">
        <v>271</v>
      </c>
      <c r="M273" s="2" t="s">
        <v>1431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  <c r="R279" s="27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1,405.00"/>
        <filter val="1,700.00"/>
        <filter val="1,750.00"/>
        <filter val="100.00"/>
        <filter val="120.00"/>
        <filter val="140.00"/>
        <filter val="15.00"/>
        <filter val="150.00"/>
        <filter val="175.00"/>
        <filter val="200.00"/>
        <filter val="220.00"/>
        <filter val="245.00"/>
        <filter val="250.00"/>
        <filter val="3,200.00"/>
        <filter val="30.00"/>
        <filter val="300.00"/>
        <filter val="350.00"/>
        <filter val="360.00"/>
        <filter val="385.00"/>
        <filter val="40.00"/>
        <filter val="50.00"/>
        <filter val="500.00"/>
        <filter val="540.00"/>
        <filter val="55.00"/>
        <filter val="60.00"/>
        <filter val="600.00"/>
        <filter val="650.00"/>
        <filter val="700.00"/>
        <filter val="75.00"/>
        <filter val="750.00"/>
        <filter val="9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75" bottom="0.15" header="0.3" footer="0.12"/>
  <pageSetup paperSize="9" scale="3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  <pageSetUpPr fitToPage="1"/>
  </sheetPr>
  <dimension ref="A1:S346"/>
  <sheetViews>
    <sheetView zoomScale="55" zoomScaleNormal="55" workbookViewId="0">
      <pane xSplit="10" ySplit="4" topLeftCell="K154" activePane="bottomRight" state="frozen"/>
      <selection activeCell="L247" sqref="L247"/>
      <selection pane="topRight" activeCell="L247" sqref="L247"/>
      <selection pane="bottomLeft" activeCell="L247" sqref="L247"/>
      <selection pane="bottomRight" activeCell="M69" sqref="M69:M242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8.296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+'4'!J5</f>
        <v>74</v>
      </c>
      <c r="F5" s="71"/>
      <c r="G5" s="46">
        <f t="shared" ref="G5:G26" si="0">E5+F5</f>
        <v>74</v>
      </c>
      <c r="H5" s="78">
        <v>0</v>
      </c>
      <c r="I5" s="76">
        <v>0</v>
      </c>
      <c r="J5" s="46">
        <f t="shared" ref="J5:J26" si="1">+G5-H5-K5-I5</f>
        <v>43</v>
      </c>
      <c r="K5" s="72">
        <v>31</v>
      </c>
      <c r="L5" s="15">
        <v>50</v>
      </c>
      <c r="M5" s="65">
        <f>+L5*K5</f>
        <v>1550</v>
      </c>
      <c r="N5" s="17" t="s">
        <v>16</v>
      </c>
      <c r="O5" s="18"/>
      <c r="P5" s="119">
        <f>SUM(M5-O5)</f>
        <v>1550</v>
      </c>
      <c r="Q5" s="90">
        <v>22.48</v>
      </c>
      <c r="R5" s="43">
        <f>+K5*Q5</f>
        <v>696.88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+'4'!J6</f>
        <v>54</v>
      </c>
      <c r="F6" s="71">
        <v>180</v>
      </c>
      <c r="G6" s="46">
        <f t="shared" si="0"/>
        <v>234</v>
      </c>
      <c r="H6" s="78">
        <v>0</v>
      </c>
      <c r="I6" s="76">
        <v>0</v>
      </c>
      <c r="J6" s="46">
        <f t="shared" si="1"/>
        <v>195</v>
      </c>
      <c r="K6" s="72">
        <v>39</v>
      </c>
      <c r="L6" s="15">
        <v>100</v>
      </c>
      <c r="M6" s="65">
        <f t="shared" ref="M6:M80" si="2">+L6*K6</f>
        <v>3900</v>
      </c>
      <c r="N6" s="17" t="s">
        <v>16</v>
      </c>
      <c r="O6" s="18"/>
      <c r="P6" s="119">
        <f t="shared" ref="P6:P80" si="3">SUM(M6-O6)</f>
        <v>3900</v>
      </c>
      <c r="Q6" s="90">
        <v>39.29</v>
      </c>
      <c r="R6" s="43">
        <f t="shared" ref="R6:R80" si="4">+K6*Q6</f>
        <v>1532.31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+'4'!J9</f>
        <v>0</v>
      </c>
      <c r="F9" s="71">
        <v>250</v>
      </c>
      <c r="G9" s="46">
        <f t="shared" si="0"/>
        <v>250</v>
      </c>
      <c r="H9" s="78">
        <v>0</v>
      </c>
      <c r="I9" s="76">
        <v>0</v>
      </c>
      <c r="J9" s="46">
        <f t="shared" si="1"/>
        <v>250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+'4'!J11</f>
        <v>33</v>
      </c>
      <c r="F11" s="71"/>
      <c r="G11" s="46">
        <f t="shared" si="0"/>
        <v>33</v>
      </c>
      <c r="H11" s="78">
        <v>0</v>
      </c>
      <c r="I11" s="76">
        <v>0</v>
      </c>
      <c r="J11" s="46">
        <f t="shared" si="1"/>
        <v>0</v>
      </c>
      <c r="K11" s="72">
        <v>33</v>
      </c>
      <c r="L11" s="15">
        <v>50</v>
      </c>
      <c r="M11" s="65">
        <f t="shared" si="2"/>
        <v>1650</v>
      </c>
      <c r="N11" s="17" t="s">
        <v>16</v>
      </c>
      <c r="O11" s="18"/>
      <c r="P11" s="119">
        <f t="shared" si="3"/>
        <v>1650</v>
      </c>
      <c r="Q11" s="90">
        <v>16.940000000000001</v>
      </c>
      <c r="R11" s="43">
        <f t="shared" si="4"/>
        <v>559.0200000000001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+'4'!J15</f>
        <v>32</v>
      </c>
      <c r="F15" s="71"/>
      <c r="G15" s="46">
        <f t="shared" si="0"/>
        <v>32</v>
      </c>
      <c r="H15" s="78">
        <v>0</v>
      </c>
      <c r="I15" s="76">
        <v>0</v>
      </c>
      <c r="J15" s="46">
        <f t="shared" si="1"/>
        <v>23</v>
      </c>
      <c r="K15" s="72">
        <v>9</v>
      </c>
      <c r="L15" s="15">
        <v>50</v>
      </c>
      <c r="M15" s="65">
        <f t="shared" si="2"/>
        <v>450</v>
      </c>
      <c r="N15" s="17" t="s">
        <v>16</v>
      </c>
      <c r="O15" s="18"/>
      <c r="P15" s="119">
        <f t="shared" si="3"/>
        <v>450</v>
      </c>
      <c r="Q15" s="90">
        <v>24.37</v>
      </c>
      <c r="R15" s="43">
        <f t="shared" si="4"/>
        <v>219.33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+'4'!J18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0</v>
      </c>
      <c r="K18" s="72">
        <v>14</v>
      </c>
      <c r="L18" s="15">
        <v>50</v>
      </c>
      <c r="M18" s="65">
        <f t="shared" si="2"/>
        <v>700</v>
      </c>
      <c r="N18" s="17" t="s">
        <v>16</v>
      </c>
      <c r="O18" s="18"/>
      <c r="P18" s="119">
        <f t="shared" si="3"/>
        <v>700</v>
      </c>
      <c r="Q18" s="90">
        <v>18.77</v>
      </c>
      <c r="R18" s="43">
        <f t="shared" si="4"/>
        <v>262.77999999999997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19">
        <f t="shared" si="3"/>
        <v>195</v>
      </c>
      <c r="Q20" s="90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19">
        <f t="shared" si="3"/>
        <v>85</v>
      </c>
      <c r="Q21" s="90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+'4'!J22</f>
        <v>98</v>
      </c>
      <c r="F22" s="71"/>
      <c r="G22" s="46">
        <f t="shared" si="0"/>
        <v>98</v>
      </c>
      <c r="H22" s="78">
        <v>0</v>
      </c>
      <c r="I22" s="76">
        <v>0</v>
      </c>
      <c r="J22" s="46">
        <f t="shared" si="1"/>
        <v>71</v>
      </c>
      <c r="K22" s="72">
        <v>27</v>
      </c>
      <c r="L22" s="20">
        <v>100</v>
      </c>
      <c r="M22" s="65">
        <f t="shared" si="2"/>
        <v>2700</v>
      </c>
      <c r="N22" s="17" t="s">
        <v>16</v>
      </c>
      <c r="O22" s="18"/>
      <c r="P22" s="119">
        <f t="shared" si="3"/>
        <v>2700</v>
      </c>
      <c r="Q22" s="90">
        <v>26.6</v>
      </c>
      <c r="R22" s="43">
        <f t="shared" si="4"/>
        <v>718.2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+'4'!J24</f>
        <v>51</v>
      </c>
      <c r="F24" s="71"/>
      <c r="G24" s="46">
        <f t="shared" si="0"/>
        <v>51</v>
      </c>
      <c r="H24" s="78">
        <v>0</v>
      </c>
      <c r="I24" s="76">
        <v>0</v>
      </c>
      <c r="J24" s="46">
        <f t="shared" si="1"/>
        <v>48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19">
        <f t="shared" si="3"/>
        <v>300</v>
      </c>
      <c r="Q24" s="90">
        <v>40.51</v>
      </c>
      <c r="R24" s="43">
        <f t="shared" si="4"/>
        <v>121.53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+'4'!J26</f>
        <v>39</v>
      </c>
      <c r="F26" s="71"/>
      <c r="G26" s="46">
        <f t="shared" si="0"/>
        <v>39</v>
      </c>
      <c r="H26" s="78">
        <v>0</v>
      </c>
      <c r="I26" s="76">
        <v>0</v>
      </c>
      <c r="J26" s="46">
        <f t="shared" si="1"/>
        <v>34</v>
      </c>
      <c r="K26" s="72">
        <v>5</v>
      </c>
      <c r="L26" s="15">
        <v>100</v>
      </c>
      <c r="M26" s="65">
        <f t="shared" si="2"/>
        <v>500</v>
      </c>
      <c r="N26" s="17" t="s">
        <v>16</v>
      </c>
      <c r="O26" s="18"/>
      <c r="P26" s="119">
        <f t="shared" si="3"/>
        <v>500</v>
      </c>
      <c r="Q26" s="90">
        <v>35.39</v>
      </c>
      <c r="R26" s="43">
        <f t="shared" si="4"/>
        <v>176.95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+'4'!J28</f>
        <v>38</v>
      </c>
      <c r="F28" s="71"/>
      <c r="G28" s="46">
        <f t="shared" si="5"/>
        <v>38</v>
      </c>
      <c r="H28" s="78">
        <v>0</v>
      </c>
      <c r="I28" s="76">
        <v>0</v>
      </c>
      <c r="J28" s="46">
        <f t="shared" si="6"/>
        <v>33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19">
        <f t="shared" si="3"/>
        <v>500</v>
      </c>
      <c r="Q28" s="90">
        <v>31.97</v>
      </c>
      <c r="R28" s="43">
        <f t="shared" si="4"/>
        <v>159.85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+'4'!J31</f>
        <v>65</v>
      </c>
      <c r="F31" s="71"/>
      <c r="G31" s="46">
        <f t="shared" si="5"/>
        <v>65</v>
      </c>
      <c r="H31" s="78">
        <v>0</v>
      </c>
      <c r="I31" s="76">
        <v>0</v>
      </c>
      <c r="J31" s="46">
        <f t="shared" si="6"/>
        <v>45</v>
      </c>
      <c r="K31" s="72">
        <v>20</v>
      </c>
      <c r="L31" s="15">
        <v>100</v>
      </c>
      <c r="M31" s="65">
        <f t="shared" si="2"/>
        <v>2000</v>
      </c>
      <c r="N31" s="17" t="s">
        <v>16</v>
      </c>
      <c r="O31" s="18"/>
      <c r="P31" s="119">
        <f t="shared" si="3"/>
        <v>2000</v>
      </c>
      <c r="Q31" s="90">
        <v>38.46</v>
      </c>
      <c r="R31" s="43">
        <f t="shared" si="4"/>
        <v>769.2</v>
      </c>
    </row>
    <row r="32" spans="1:18" ht="24.6" hidden="1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+'4'!J33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19">
        <f t="shared" si="3"/>
        <v>260</v>
      </c>
      <c r="Q33" s="90">
        <v>38.9</v>
      </c>
      <c r="R33" s="43">
        <f t="shared" si="4"/>
        <v>77.8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0</v>
      </c>
      <c r="K39" s="72">
        <v>8</v>
      </c>
      <c r="L39" s="15">
        <v>50</v>
      </c>
      <c r="M39" s="65">
        <f t="shared" si="2"/>
        <v>400</v>
      </c>
      <c r="N39" s="17" t="s">
        <v>16</v>
      </c>
      <c r="O39" s="18"/>
      <c r="P39" s="119">
        <f t="shared" si="3"/>
        <v>400</v>
      </c>
      <c r="Q39" s="90">
        <v>27.84</v>
      </c>
      <c r="R39" s="43">
        <f t="shared" si="4"/>
        <v>222.72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+'4'!J40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1</v>
      </c>
      <c r="K40" s="72">
        <v>8</v>
      </c>
      <c r="L40" s="15">
        <v>50</v>
      </c>
      <c r="M40" s="65">
        <f t="shared" si="2"/>
        <v>400</v>
      </c>
      <c r="N40" s="17" t="s">
        <v>16</v>
      </c>
      <c r="O40" s="18"/>
      <c r="P40" s="119">
        <f t="shared" si="3"/>
        <v>400</v>
      </c>
      <c r="Q40" s="90">
        <v>27.12</v>
      </c>
      <c r="R40" s="43">
        <f t="shared" si="4"/>
        <v>216.96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+'4'!J41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3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19">
        <f t="shared" si="3"/>
        <v>150</v>
      </c>
      <c r="Q41" s="90">
        <v>15.42</v>
      </c>
      <c r="R41" s="43">
        <f t="shared" si="4"/>
        <v>46.26</v>
      </c>
    </row>
    <row r="42" spans="1:18" ht="24.6" hidden="1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/>
      <c r="R42" s="43">
        <f t="shared" si="4"/>
        <v>0</v>
      </c>
    </row>
    <row r="43" spans="1:18" ht="24.6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+'4'!J43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1</v>
      </c>
      <c r="K43" s="72">
        <v>1</v>
      </c>
      <c r="L43" s="15">
        <v>65</v>
      </c>
      <c r="M43" s="65">
        <f>+L43*K43</f>
        <v>65</v>
      </c>
      <c r="N43" s="17" t="s">
        <v>16</v>
      </c>
      <c r="O43" s="18"/>
      <c r="P43" s="119">
        <f>SUM(M43-O43)</f>
        <v>65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+'4'!J44</f>
        <v>3</v>
      </c>
      <c r="F44" s="71"/>
      <c r="G44" s="46">
        <f t="shared" si="5"/>
        <v>3</v>
      </c>
      <c r="H44" s="78">
        <v>0</v>
      </c>
      <c r="I44" s="76">
        <v>0</v>
      </c>
      <c r="J44" s="46">
        <f t="shared" si="6"/>
        <v>2</v>
      </c>
      <c r="K44" s="72">
        <v>1</v>
      </c>
      <c r="L44" s="15">
        <v>65</v>
      </c>
      <c r="M44" s="65">
        <f t="shared" si="2"/>
        <v>65</v>
      </c>
      <c r="N44" s="17" t="s">
        <v>16</v>
      </c>
      <c r="O44" s="18"/>
      <c r="P44" s="119">
        <f t="shared" si="3"/>
        <v>65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+'4'!J46</f>
        <v>23</v>
      </c>
      <c r="F46" s="71"/>
      <c r="G46" s="46">
        <f t="shared" si="5"/>
        <v>23</v>
      </c>
      <c r="H46" s="78">
        <v>0</v>
      </c>
      <c r="I46" s="76">
        <v>0</v>
      </c>
      <c r="J46" s="46">
        <f t="shared" si="6"/>
        <v>20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19">
        <f t="shared" si="3"/>
        <v>150</v>
      </c>
      <c r="Q46" s="90">
        <v>19.05</v>
      </c>
      <c r="R46" s="43">
        <f t="shared" si="4"/>
        <v>57.150000000000006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+'4'!J47</f>
        <v>22</v>
      </c>
      <c r="F47" s="71"/>
      <c r="G47" s="46">
        <f t="shared" si="5"/>
        <v>22</v>
      </c>
      <c r="H47" s="78">
        <v>0</v>
      </c>
      <c r="I47" s="76">
        <v>0</v>
      </c>
      <c r="J47" s="46">
        <f t="shared" si="6"/>
        <v>14</v>
      </c>
      <c r="K47" s="72">
        <v>8</v>
      </c>
      <c r="L47" s="15">
        <v>50</v>
      </c>
      <c r="M47" s="65">
        <f t="shared" si="2"/>
        <v>400</v>
      </c>
      <c r="N47" s="17" t="s">
        <v>16</v>
      </c>
      <c r="O47" s="18"/>
      <c r="P47" s="119">
        <f t="shared" si="3"/>
        <v>400</v>
      </c>
      <c r="Q47" s="90">
        <v>19.21</v>
      </c>
      <c r="R47" s="43">
        <f t="shared" si="4"/>
        <v>153.68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+'4'!J48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10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19">
        <f>SUM(M48-O48)</f>
        <v>300</v>
      </c>
      <c r="Q48" s="90">
        <v>18.88</v>
      </c>
      <c r="R48" s="43">
        <f>+K48*Q48</f>
        <v>113.28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+'4'!J49</f>
        <v>25</v>
      </c>
      <c r="F49" s="71"/>
      <c r="G49" s="46">
        <f t="shared" si="5"/>
        <v>25</v>
      </c>
      <c r="H49" s="78">
        <v>0</v>
      </c>
      <c r="I49" s="76">
        <v>0</v>
      </c>
      <c r="J49" s="46">
        <f t="shared" si="6"/>
        <v>16</v>
      </c>
      <c r="K49" s="72">
        <v>9</v>
      </c>
      <c r="L49" s="20">
        <v>50</v>
      </c>
      <c r="M49" s="65">
        <f>+L49*K49</f>
        <v>450</v>
      </c>
      <c r="N49" s="17" t="s">
        <v>16</v>
      </c>
      <c r="O49" s="18"/>
      <c r="P49" s="119">
        <f>SUM(M49-O49)</f>
        <v>450</v>
      </c>
      <c r="Q49" s="90">
        <v>20.43</v>
      </c>
      <c r="R49" s="43">
        <f>+K49*Q49</f>
        <v>183.87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+'4'!J50</f>
        <v>25</v>
      </c>
      <c r="F50" s="71"/>
      <c r="G50" s="46">
        <f t="shared" si="5"/>
        <v>25</v>
      </c>
      <c r="H50" s="78">
        <v>0</v>
      </c>
      <c r="I50" s="76">
        <v>0</v>
      </c>
      <c r="J50" s="46">
        <f t="shared" si="6"/>
        <v>18</v>
      </c>
      <c r="K50" s="72">
        <v>7</v>
      </c>
      <c r="L50" s="15">
        <v>50</v>
      </c>
      <c r="M50" s="65">
        <f t="shared" si="2"/>
        <v>350</v>
      </c>
      <c r="N50" s="17" t="s">
        <v>16</v>
      </c>
      <c r="O50" s="18"/>
      <c r="P50" s="119">
        <f t="shared" si="3"/>
        <v>350</v>
      </c>
      <c r="Q50" s="90">
        <v>21.81</v>
      </c>
      <c r="R50" s="43">
        <f t="shared" si="4"/>
        <v>152.66999999999999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+'4'!J51</f>
        <v>23</v>
      </c>
      <c r="F51" s="71"/>
      <c r="G51" s="46">
        <f t="shared" si="5"/>
        <v>23</v>
      </c>
      <c r="H51" s="78">
        <v>0</v>
      </c>
      <c r="I51" s="76">
        <v>0</v>
      </c>
      <c r="J51" s="46">
        <f t="shared" si="6"/>
        <v>15</v>
      </c>
      <c r="K51" s="72">
        <v>8</v>
      </c>
      <c r="L51" s="15">
        <v>50</v>
      </c>
      <c r="M51" s="65">
        <f>+L51*K51</f>
        <v>400</v>
      </c>
      <c r="N51" s="17" t="s">
        <v>16</v>
      </c>
      <c r="O51" s="18"/>
      <c r="P51" s="119">
        <f>SUM(M51-O51)</f>
        <v>400</v>
      </c>
      <c r="Q51" s="90">
        <v>14.65</v>
      </c>
      <c r="R51" s="43">
        <f>+K51*Q51</f>
        <v>117.2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+'4'!J53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2</v>
      </c>
      <c r="K53" s="72">
        <v>13</v>
      </c>
      <c r="L53" s="20">
        <v>50</v>
      </c>
      <c r="M53" s="65">
        <f>+L53*K53</f>
        <v>650</v>
      </c>
      <c r="N53" s="17" t="s">
        <v>16</v>
      </c>
      <c r="O53" s="18"/>
      <c r="P53" s="119">
        <f>SUM(M53-O53)</f>
        <v>650</v>
      </c>
      <c r="Q53" s="90">
        <v>17.53</v>
      </c>
      <c r="R53" s="43">
        <f>+K53*Q53</f>
        <v>227.89000000000001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+'4'!J55</f>
        <v>5</v>
      </c>
      <c r="F55" s="71">
        <v>2</v>
      </c>
      <c r="G55" s="46">
        <f t="shared" si="5"/>
        <v>7</v>
      </c>
      <c r="H55" s="78">
        <v>0</v>
      </c>
      <c r="I55" s="76">
        <v>0</v>
      </c>
      <c r="J55" s="46">
        <f t="shared" si="6"/>
        <v>6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19">
        <f>SUM(M55-O55)</f>
        <v>120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+'4'!J56</f>
        <v>5</v>
      </c>
      <c r="F56" s="71">
        <v>2</v>
      </c>
      <c r="G56" s="46">
        <f t="shared" si="5"/>
        <v>7</v>
      </c>
      <c r="H56" s="78">
        <v>0</v>
      </c>
      <c r="I56" s="76">
        <v>0</v>
      </c>
      <c r="J56" s="46">
        <f t="shared" si="6"/>
        <v>4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/>
      <c r="P56" s="119">
        <f>SUM(M56-O56)</f>
        <v>360</v>
      </c>
      <c r="Q56" s="90">
        <v>33.409999999999997</v>
      </c>
      <c r="R56" s="43">
        <f>+K56*Q56</f>
        <v>100.22999999999999</v>
      </c>
    </row>
    <row r="57" spans="1:18" ht="24.6" hidden="1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hidden="1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+'4'!J59</f>
        <v>3</v>
      </c>
      <c r="F59" s="71">
        <v>6</v>
      </c>
      <c r="G59" s="46">
        <f t="shared" si="5"/>
        <v>9</v>
      </c>
      <c r="H59" s="78">
        <v>0</v>
      </c>
      <c r="I59" s="76">
        <v>0</v>
      </c>
      <c r="J59" s="46">
        <f t="shared" si="6"/>
        <v>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19">
        <f t="shared" si="3"/>
        <v>120</v>
      </c>
      <c r="Q59" s="90">
        <v>32.96</v>
      </c>
      <c r="R59" s="43">
        <f t="shared" si="4"/>
        <v>32.96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+'4'!J60</f>
        <v>1</v>
      </c>
      <c r="F60" s="71">
        <v>1</v>
      </c>
      <c r="G60" s="46">
        <f t="shared" si="5"/>
        <v>2</v>
      </c>
      <c r="H60" s="78">
        <v>0</v>
      </c>
      <c r="I60" s="76">
        <v>0</v>
      </c>
      <c r="J60" s="46">
        <f t="shared" si="6"/>
        <v>2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hidden="1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+'4'!J64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0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/>
      <c r="P65" s="119">
        <f t="shared" si="3"/>
        <v>200</v>
      </c>
      <c r="Q65" s="90">
        <v>22.49</v>
      </c>
      <c r="R65" s="43">
        <f t="shared" si="4"/>
        <v>89.96</v>
      </c>
    </row>
    <row r="66" spans="1:18" ht="24.6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19">
        <f t="shared" si="3"/>
        <v>50</v>
      </c>
      <c r="Q66" s="90">
        <v>23.12</v>
      </c>
      <c r="R66" s="43">
        <f t="shared" si="4"/>
        <v>23.12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+'4'!J69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2</v>
      </c>
      <c r="K69" s="72">
        <v>1</v>
      </c>
      <c r="L69" s="15">
        <v>150</v>
      </c>
      <c r="M69" s="65">
        <f t="shared" si="2"/>
        <v>150</v>
      </c>
      <c r="N69" s="17" t="s">
        <v>16</v>
      </c>
      <c r="O69" s="18"/>
      <c r="P69" s="119">
        <f t="shared" si="3"/>
        <v>150</v>
      </c>
      <c r="Q69" s="90">
        <v>67.790000000000006</v>
      </c>
      <c r="R69" s="43">
        <f t="shared" si="4"/>
        <v>67.790000000000006</v>
      </c>
    </row>
    <row r="70" spans="1:18" ht="24.6" hidden="1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+'4'!J70</f>
        <v>2</v>
      </c>
      <c r="F70" s="71"/>
      <c r="G70" s="46">
        <f t="shared" si="5"/>
        <v>2</v>
      </c>
      <c r="H70" s="78">
        <v>0</v>
      </c>
      <c r="I70" s="76">
        <v>0</v>
      </c>
      <c r="J70" s="46">
        <f t="shared" si="6"/>
        <v>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hidden="1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+'4'!J71</f>
        <v>1</v>
      </c>
      <c r="F71" s="71"/>
      <c r="G71" s="46">
        <f t="shared" si="5"/>
        <v>1</v>
      </c>
      <c r="H71" s="78">
        <v>0</v>
      </c>
      <c r="I71" s="76">
        <v>0</v>
      </c>
      <c r="J71" s="46">
        <f t="shared" si="6"/>
        <v>1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hidden="1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+'4'!J74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4</v>
      </c>
      <c r="K74" s="72">
        <v>4</v>
      </c>
      <c r="L74" s="21">
        <v>50</v>
      </c>
      <c r="M74" s="65">
        <f>+L74*K74</f>
        <v>200</v>
      </c>
      <c r="N74" s="17" t="s">
        <v>16</v>
      </c>
      <c r="O74" s="18"/>
      <c r="P74" s="119">
        <f t="shared" si="3"/>
        <v>200</v>
      </c>
      <c r="Q74" s="90">
        <v>17.09</v>
      </c>
      <c r="R74" s="43">
        <f t="shared" si="4"/>
        <v>68.36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+'4'!J77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16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19">
        <f t="shared" si="3"/>
        <v>250</v>
      </c>
      <c r="Q77" s="90">
        <v>17.329999999999998</v>
      </c>
      <c r="R77" s="43">
        <f t="shared" si="4"/>
        <v>86.649999999999991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hidden="1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+'4'!J81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19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+'4'!J83</f>
        <v>4</v>
      </c>
      <c r="F83" s="71"/>
      <c r="G83" s="46">
        <f t="shared" si="5"/>
        <v>4</v>
      </c>
      <c r="H83" s="78">
        <v>0</v>
      </c>
      <c r="I83" s="76">
        <v>1</v>
      </c>
      <c r="J83" s="46">
        <f t="shared" si="6"/>
        <v>2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19">
        <f t="shared" ref="P83:P91" si="11">SUM(M83-O83)</f>
        <v>50</v>
      </c>
      <c r="Q83" s="90">
        <v>18.14</v>
      </c>
      <c r="R83" s="43">
        <f t="shared" ref="R83:R91" si="12">+K83*Q83</f>
        <v>18.14</v>
      </c>
    </row>
    <row r="84" spans="1:18" ht="24.6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+'4'!J84</f>
        <v>2</v>
      </c>
      <c r="F84" s="71"/>
      <c r="G84" s="46">
        <f t="shared" si="5"/>
        <v>2</v>
      </c>
      <c r="H84" s="78">
        <v>0</v>
      </c>
      <c r="I84" s="76">
        <v>0</v>
      </c>
      <c r="J84" s="46">
        <f t="shared" si="6"/>
        <v>0</v>
      </c>
      <c r="K84" s="72">
        <v>2</v>
      </c>
      <c r="L84" s="22">
        <v>50</v>
      </c>
      <c r="M84" s="65">
        <f t="shared" si="10"/>
        <v>100</v>
      </c>
      <c r="N84" s="17" t="s">
        <v>16</v>
      </c>
      <c r="O84" s="18">
        <v>50</v>
      </c>
      <c r="P84" s="119">
        <f t="shared" si="11"/>
        <v>50</v>
      </c>
      <c r="Q84" s="90">
        <v>12.94</v>
      </c>
      <c r="R84" s="43">
        <f t="shared" si="12"/>
        <v>25.88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hidden="1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hidden="1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hidden="1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hidden="1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+'4'!J96</f>
        <v>14</v>
      </c>
      <c r="F96" s="71"/>
      <c r="G96" s="46">
        <f t="shared" si="23"/>
        <v>14</v>
      </c>
      <c r="H96" s="78">
        <v>1</v>
      </c>
      <c r="I96" s="76">
        <v>0</v>
      </c>
      <c r="J96" s="46">
        <f t="shared" si="24"/>
        <v>0</v>
      </c>
      <c r="K96" s="72">
        <v>13</v>
      </c>
      <c r="L96" s="20">
        <v>45</v>
      </c>
      <c r="M96" s="65">
        <f t="shared" si="7"/>
        <v>585</v>
      </c>
      <c r="N96" s="17" t="s">
        <v>16</v>
      </c>
      <c r="O96" s="18">
        <f>585-455</f>
        <v>130</v>
      </c>
      <c r="P96" s="119">
        <f t="shared" si="8"/>
        <v>455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+'4'!J99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0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/>
      <c r="P99" s="119">
        <f t="shared" ref="P99:P105" si="26">SUM(M99-O99)</f>
        <v>180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+'4'!J102</f>
        <v>65</v>
      </c>
      <c r="F102" s="71">
        <v>200</v>
      </c>
      <c r="G102" s="46">
        <f t="shared" ref="G102" si="28">E102+F102</f>
        <v>265</v>
      </c>
      <c r="H102" s="78">
        <v>0</v>
      </c>
      <c r="I102" s="76">
        <v>0</v>
      </c>
      <c r="J102" s="46">
        <f t="shared" ref="J102" si="29">+G102-H102-K102-I102</f>
        <v>80</v>
      </c>
      <c r="K102" s="72">
        <v>185</v>
      </c>
      <c r="L102" s="20">
        <v>49</v>
      </c>
      <c r="M102" s="65">
        <f t="shared" si="25"/>
        <v>9065</v>
      </c>
      <c r="N102" s="17" t="s">
        <v>16</v>
      </c>
      <c r="O102" s="18">
        <f>9065-6475</f>
        <v>2590</v>
      </c>
      <c r="P102" s="119">
        <f t="shared" si="26"/>
        <v>6475</v>
      </c>
      <c r="Q102" s="90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+'4'!J112</f>
        <v>33</v>
      </c>
      <c r="F112" s="71"/>
      <c r="G112" s="46">
        <f t="shared" si="23"/>
        <v>33</v>
      </c>
      <c r="H112" s="78">
        <v>0</v>
      </c>
      <c r="I112" s="76">
        <v>0</v>
      </c>
      <c r="J112" s="46">
        <f t="shared" si="24"/>
        <v>26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19">
        <f>SUM(M112-O112)</f>
        <v>700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+'4'!J113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13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19">
        <f t="shared" si="8"/>
        <v>220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+'4'!J115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21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19">
        <f t="shared" si="8"/>
        <v>180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19">
        <f t="shared" si="8"/>
        <v>200</v>
      </c>
      <c r="Q116" s="90">
        <v>13.03</v>
      </c>
      <c r="R116" s="43">
        <f t="shared" si="9"/>
        <v>26.06</v>
      </c>
    </row>
    <row r="117" spans="1:18" ht="24.6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5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19">
        <f t="shared" si="8"/>
        <v>110</v>
      </c>
      <c r="Q117" s="90">
        <v>11.91</v>
      </c>
      <c r="R117" s="43">
        <f t="shared" si="9"/>
        <v>23.82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+'4'!J130</f>
        <v>9</v>
      </c>
      <c r="F130" s="71"/>
      <c r="G130" s="46">
        <f t="shared" si="23"/>
        <v>9</v>
      </c>
      <c r="H130" s="78">
        <v>0</v>
      </c>
      <c r="I130" s="76">
        <v>0</v>
      </c>
      <c r="J130" s="46">
        <f t="shared" si="24"/>
        <v>0</v>
      </c>
      <c r="K130" s="72">
        <v>9</v>
      </c>
      <c r="L130" s="22">
        <v>35</v>
      </c>
      <c r="M130" s="65">
        <f t="shared" si="7"/>
        <v>315</v>
      </c>
      <c r="N130" s="17" t="s">
        <v>16</v>
      </c>
      <c r="O130" s="18"/>
      <c r="P130" s="119">
        <f t="shared" si="8"/>
        <v>315</v>
      </c>
      <c r="Q130" s="90">
        <v>11.12</v>
      </c>
      <c r="R130" s="43">
        <f t="shared" si="9"/>
        <v>100.08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+'4'!J133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19">
        <f t="shared" si="8"/>
        <v>100</v>
      </c>
      <c r="Q133" s="90">
        <v>21.75</v>
      </c>
      <c r="R133" s="43">
        <f t="shared" si="9"/>
        <v>43.5</v>
      </c>
    </row>
    <row r="134" spans="1:18" ht="24.6" hidden="1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+'4'!J142</f>
        <v>8</v>
      </c>
      <c r="F142" s="71"/>
      <c r="G142" s="46">
        <f t="shared" si="23"/>
        <v>8</v>
      </c>
      <c r="H142" s="78">
        <v>0</v>
      </c>
      <c r="I142" s="76">
        <v>0</v>
      </c>
      <c r="J142" s="46">
        <f t="shared" si="24"/>
        <v>3</v>
      </c>
      <c r="K142" s="72">
        <v>5</v>
      </c>
      <c r="L142" s="20">
        <v>10</v>
      </c>
      <c r="M142" s="65">
        <f t="shared" si="7"/>
        <v>50</v>
      </c>
      <c r="N142" s="17" t="s">
        <v>16</v>
      </c>
      <c r="O142" s="18"/>
      <c r="P142" s="119">
        <f t="shared" si="8"/>
        <v>50</v>
      </c>
      <c r="Q142" s="90">
        <v>2.17</v>
      </c>
      <c r="R142" s="43">
        <f t="shared" si="9"/>
        <v>10.85</v>
      </c>
    </row>
    <row r="143" spans="1:18" ht="24.6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+'4'!J143</f>
        <v>8</v>
      </c>
      <c r="F143" s="71"/>
      <c r="G143" s="46">
        <f t="shared" si="23"/>
        <v>8</v>
      </c>
      <c r="H143" s="78">
        <v>0</v>
      </c>
      <c r="I143" s="76">
        <v>0</v>
      </c>
      <c r="J143" s="46">
        <f t="shared" si="24"/>
        <v>6</v>
      </c>
      <c r="K143" s="72">
        <v>2</v>
      </c>
      <c r="L143" s="22">
        <v>10</v>
      </c>
      <c r="M143" s="65">
        <f t="shared" si="7"/>
        <v>20</v>
      </c>
      <c r="N143" s="17" t="s">
        <v>16</v>
      </c>
      <c r="O143" s="18"/>
      <c r="P143" s="119">
        <f t="shared" si="8"/>
        <v>20</v>
      </c>
      <c r="Q143" s="90">
        <v>2.35</v>
      </c>
      <c r="R143" s="43">
        <f t="shared" si="9"/>
        <v>4.7</v>
      </c>
    </row>
    <row r="144" spans="1:18" ht="24.6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+'4'!J144</f>
        <v>8</v>
      </c>
      <c r="F144" s="71"/>
      <c r="G144" s="46">
        <f t="shared" si="23"/>
        <v>8</v>
      </c>
      <c r="H144" s="78">
        <v>0</v>
      </c>
      <c r="I144" s="76">
        <v>0</v>
      </c>
      <c r="J144" s="46">
        <f t="shared" si="24"/>
        <v>5</v>
      </c>
      <c r="K144" s="72">
        <v>3</v>
      </c>
      <c r="L144" s="22">
        <v>10</v>
      </c>
      <c r="M144" s="65">
        <f t="shared" si="7"/>
        <v>30</v>
      </c>
      <c r="N144" s="17" t="s">
        <v>16</v>
      </c>
      <c r="O144" s="18"/>
      <c r="P144" s="119">
        <f t="shared" si="8"/>
        <v>30</v>
      </c>
      <c r="Q144" s="90">
        <v>2.12</v>
      </c>
      <c r="R144" s="43">
        <f t="shared" si="9"/>
        <v>6.36</v>
      </c>
    </row>
    <row r="145" spans="1:18" ht="24.6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+'4'!J145</f>
        <v>13</v>
      </c>
      <c r="F145" s="71"/>
      <c r="G145" s="46">
        <f t="shared" si="23"/>
        <v>13</v>
      </c>
      <c r="H145" s="78">
        <v>0</v>
      </c>
      <c r="I145" s="76">
        <v>0</v>
      </c>
      <c r="J145" s="46">
        <f t="shared" si="24"/>
        <v>10</v>
      </c>
      <c r="K145" s="72">
        <v>3</v>
      </c>
      <c r="L145" s="20">
        <v>10</v>
      </c>
      <c r="M145" s="65">
        <f t="shared" si="7"/>
        <v>30</v>
      </c>
      <c r="N145" s="17" t="s">
        <v>16</v>
      </c>
      <c r="O145" s="18"/>
      <c r="P145" s="119">
        <f t="shared" si="8"/>
        <v>30</v>
      </c>
      <c r="Q145" s="90">
        <v>2.17</v>
      </c>
      <c r="R145" s="43">
        <f t="shared" si="9"/>
        <v>6.51</v>
      </c>
    </row>
    <row r="146" spans="1:18" ht="24.6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+'4'!J146</f>
        <v>10</v>
      </c>
      <c r="F146" s="71"/>
      <c r="G146" s="46">
        <f t="shared" si="23"/>
        <v>10</v>
      </c>
      <c r="H146" s="78">
        <v>0</v>
      </c>
      <c r="I146" s="76">
        <v>0</v>
      </c>
      <c r="J146" s="46">
        <f t="shared" si="24"/>
        <v>5</v>
      </c>
      <c r="K146" s="72">
        <v>5</v>
      </c>
      <c r="L146" s="20">
        <v>10</v>
      </c>
      <c r="M146" s="65">
        <f t="shared" si="7"/>
        <v>50</v>
      </c>
      <c r="N146" s="17" t="s">
        <v>16</v>
      </c>
      <c r="O146" s="18"/>
      <c r="P146" s="119">
        <f t="shared" si="8"/>
        <v>50</v>
      </c>
      <c r="Q146" s="90">
        <v>2.17</v>
      </c>
      <c r="R146" s="43">
        <f t="shared" si="9"/>
        <v>10.85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+'4'!J150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+'4'!J154</f>
        <v>11</v>
      </c>
      <c r="F154" s="71"/>
      <c r="G154" s="46">
        <f t="shared" si="23"/>
        <v>11</v>
      </c>
      <c r="H154" s="78">
        <v>0</v>
      </c>
      <c r="I154" s="76">
        <v>0</v>
      </c>
      <c r="J154" s="46">
        <f t="shared" si="24"/>
        <v>5</v>
      </c>
      <c r="K154" s="72">
        <v>6</v>
      </c>
      <c r="L154" s="20">
        <v>25</v>
      </c>
      <c r="M154" s="65">
        <f>+L154*K154</f>
        <v>150</v>
      </c>
      <c r="N154" s="17" t="s">
        <v>16</v>
      </c>
      <c r="O154" s="18"/>
      <c r="P154" s="119">
        <f>SUM(M154-O154)</f>
        <v>150</v>
      </c>
      <c r="Q154" s="90">
        <v>16.16</v>
      </c>
      <c r="R154" s="43">
        <f>+K154*Q154</f>
        <v>96.960000000000008</v>
      </c>
    </row>
    <row r="155" spans="1:18" ht="24.6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+'4'!J155</f>
        <v>19</v>
      </c>
      <c r="F155" s="71">
        <v>50</v>
      </c>
      <c r="G155" s="46">
        <f t="shared" si="23"/>
        <v>69</v>
      </c>
      <c r="H155" s="78">
        <v>0</v>
      </c>
      <c r="I155" s="76">
        <v>0</v>
      </c>
      <c r="J155" s="46">
        <f t="shared" si="24"/>
        <v>47</v>
      </c>
      <c r="K155" s="72">
        <v>22</v>
      </c>
      <c r="L155" s="20">
        <v>25</v>
      </c>
      <c r="M155" s="65">
        <f t="shared" si="7"/>
        <v>550</v>
      </c>
      <c r="N155" s="17" t="s">
        <v>1434</v>
      </c>
      <c r="O155" s="18">
        <f>550-75</f>
        <v>475</v>
      </c>
      <c r="P155" s="119">
        <f t="shared" si="8"/>
        <v>75</v>
      </c>
      <c r="Q155" s="90">
        <v>18.63</v>
      </c>
      <c r="R155" s="43">
        <f t="shared" si="9"/>
        <v>409.85999999999996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+'4'!J163</f>
        <v>22</v>
      </c>
      <c r="F163" s="71"/>
      <c r="G163" s="46">
        <f t="shared" si="30"/>
        <v>22</v>
      </c>
      <c r="H163" s="78">
        <v>0</v>
      </c>
      <c r="I163" s="76">
        <v>0</v>
      </c>
      <c r="J163" s="46">
        <f t="shared" si="31"/>
        <v>15</v>
      </c>
      <c r="K163" s="72">
        <v>7</v>
      </c>
      <c r="L163" s="20">
        <v>25</v>
      </c>
      <c r="M163" s="65">
        <f t="shared" si="7"/>
        <v>175</v>
      </c>
      <c r="N163" s="17" t="s">
        <v>1437</v>
      </c>
      <c r="O163" s="18">
        <v>35</v>
      </c>
      <c r="P163" s="119">
        <f t="shared" si="8"/>
        <v>140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hidden="1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+'4'!J175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11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19">
        <f>SUM(M175-O175)</f>
        <v>200</v>
      </c>
      <c r="Q175" s="90">
        <v>29.96</v>
      </c>
      <c r="R175" s="43">
        <f>+K175*Q175</f>
        <v>119.84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+'4'!J187</f>
        <v>14</v>
      </c>
      <c r="F187" s="71"/>
      <c r="G187" s="46">
        <f>E187+F187</f>
        <v>14</v>
      </c>
      <c r="H187" s="78">
        <v>0</v>
      </c>
      <c r="I187" s="76">
        <v>0</v>
      </c>
      <c r="J187" s="46">
        <f>+G187-H187-K187-I187</f>
        <v>12</v>
      </c>
      <c r="K187" s="72">
        <v>2</v>
      </c>
      <c r="L187" s="20">
        <v>15</v>
      </c>
      <c r="M187" s="65">
        <f>+L187*K187</f>
        <v>30</v>
      </c>
      <c r="N187" s="17" t="s">
        <v>1435</v>
      </c>
      <c r="O187" s="18">
        <v>15</v>
      </c>
      <c r="P187" s="119">
        <f>SUM(M187-O187)</f>
        <v>15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+'4'!J188</f>
        <v>13</v>
      </c>
      <c r="F188" s="71"/>
      <c r="G188" s="46">
        <f>E188+F188</f>
        <v>13</v>
      </c>
      <c r="H188" s="78">
        <v>0</v>
      </c>
      <c r="I188" s="76">
        <v>0</v>
      </c>
      <c r="J188" s="46">
        <f>+G188-H188-K188-I188</f>
        <v>11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/>
      <c r="P188" s="119">
        <f>SUM(M188-O188)</f>
        <v>30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+'4'!J189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8</v>
      </c>
      <c r="K189" s="72">
        <v>2</v>
      </c>
      <c r="L189" s="20">
        <v>15</v>
      </c>
      <c r="M189" s="65">
        <f>+L189*K189</f>
        <v>30</v>
      </c>
      <c r="N189" s="17" t="s">
        <v>16</v>
      </c>
      <c r="O189" s="18"/>
      <c r="P189" s="119">
        <f>SUM(M189-O189)</f>
        <v>30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s="135" customFormat="1" ht="48" x14ac:dyDescent="0.25">
      <c r="A198" s="120">
        <v>194</v>
      </c>
      <c r="B198" s="120" t="s">
        <v>1096</v>
      </c>
      <c r="C198" s="121" t="s">
        <v>411</v>
      </c>
      <c r="D198" s="120" t="s">
        <v>432</v>
      </c>
      <c r="E198" s="122">
        <f>+'4'!J198</f>
        <v>174</v>
      </c>
      <c r="F198" s="123"/>
      <c r="G198" s="124">
        <f t="shared" si="30"/>
        <v>174</v>
      </c>
      <c r="H198" s="125">
        <v>0</v>
      </c>
      <c r="I198" s="126">
        <v>0</v>
      </c>
      <c r="J198" s="124">
        <f t="shared" si="31"/>
        <v>147</v>
      </c>
      <c r="K198" s="127">
        <v>27</v>
      </c>
      <c r="L198" s="128">
        <v>150</v>
      </c>
      <c r="M198" s="129">
        <f t="shared" si="34"/>
        <v>4050</v>
      </c>
      <c r="N198" s="130" t="s">
        <v>1438</v>
      </c>
      <c r="O198" s="131">
        <f>4050-2450</f>
        <v>1600</v>
      </c>
      <c r="P198" s="132">
        <f t="shared" si="35"/>
        <v>2450</v>
      </c>
      <c r="Q198" s="133">
        <v>64.38</v>
      </c>
      <c r="R198" s="134">
        <f t="shared" si="36"/>
        <v>1738.2599999999998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hidden="1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564</v>
      </c>
      <c r="E242" s="64">
        <f>+'4'!J242</f>
        <v>0</v>
      </c>
      <c r="F242" s="71">
        <v>50</v>
      </c>
      <c r="G242" s="46">
        <f t="shared" si="42"/>
        <v>50</v>
      </c>
      <c r="H242" s="78">
        <v>0</v>
      </c>
      <c r="I242" s="76">
        <v>0</v>
      </c>
      <c r="J242" s="46">
        <f t="shared" si="43"/>
        <v>33</v>
      </c>
      <c r="K242" s="72">
        <v>17</v>
      </c>
      <c r="L242" s="20">
        <v>35</v>
      </c>
      <c r="M242" s="65">
        <f t="shared" si="44"/>
        <v>595</v>
      </c>
      <c r="N242" s="17" t="s">
        <v>16</v>
      </c>
      <c r="O242" s="18"/>
      <c r="P242" s="119">
        <f t="shared" si="45"/>
        <v>595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>
        <f>+'4'!J243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10038.369999999999</v>
      </c>
      <c r="S260" s="75"/>
    </row>
    <row r="261" spans="1:19" ht="25.5" hidden="1" customHeight="1" x14ac:dyDescent="0.6">
      <c r="A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F262" s="1"/>
      <c r="G262" s="31"/>
      <c r="J262" s="31"/>
      <c r="K262" s="32"/>
      <c r="L262" s="34" t="s">
        <v>202</v>
      </c>
      <c r="M262" s="35"/>
      <c r="N262" s="33">
        <f>SUM(M5:M261)</f>
        <v>37925</v>
      </c>
    </row>
    <row r="263" spans="1:19" ht="24.6" x14ac:dyDescent="0.65">
      <c r="A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F264" s="1"/>
      <c r="G264" s="31"/>
      <c r="J264" s="31"/>
      <c r="L264" s="34" t="s">
        <v>204</v>
      </c>
      <c r="M264" s="35"/>
      <c r="N264" s="36">
        <f>SUM(O264:AF264)</f>
        <v>7595</v>
      </c>
      <c r="O264" s="2">
        <v>7595</v>
      </c>
    </row>
    <row r="265" spans="1:19" ht="24.6" x14ac:dyDescent="0.65">
      <c r="A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F267" s="1"/>
      <c r="G267" s="31"/>
      <c r="J267" s="31"/>
      <c r="L267" s="34" t="s">
        <v>207</v>
      </c>
      <c r="M267" s="35"/>
      <c r="N267" s="37">
        <f>SUM(O5:O260)</f>
        <v>4895</v>
      </c>
    </row>
    <row r="268" spans="1:19" ht="24.6" x14ac:dyDescent="0.65">
      <c r="A268" s="1"/>
      <c r="F268" s="1"/>
      <c r="G268" s="31"/>
      <c r="J268" s="31"/>
      <c r="L268" s="34" t="s">
        <v>208</v>
      </c>
      <c r="M268" s="35"/>
      <c r="N268" s="33">
        <f>N262-N263-N264-N266-N267</f>
        <v>25435</v>
      </c>
    </row>
    <row r="269" spans="1:19" ht="24.6" x14ac:dyDescent="0.65">
      <c r="A269" s="1"/>
      <c r="F269" s="1"/>
      <c r="G269" s="31"/>
      <c r="J269" s="31"/>
      <c r="L269" s="34" t="s">
        <v>209</v>
      </c>
      <c r="M269" s="35"/>
      <c r="N269" s="37">
        <v>24785</v>
      </c>
    </row>
    <row r="270" spans="1:19" ht="24.6" x14ac:dyDescent="0.65">
      <c r="A270" s="1"/>
      <c r="F270" s="1"/>
      <c r="G270" s="31"/>
      <c r="J270" s="31"/>
      <c r="L270" s="34" t="s">
        <v>210</v>
      </c>
      <c r="M270" s="35"/>
      <c r="N270" s="33">
        <f>+N269-N268</f>
        <v>-650</v>
      </c>
    </row>
    <row r="271" spans="1:19" ht="24.6" x14ac:dyDescent="0.65">
      <c r="F271" s="1"/>
      <c r="J271" s="2"/>
      <c r="L271" s="34" t="s">
        <v>211</v>
      </c>
      <c r="M271" s="35"/>
      <c r="N271" s="33">
        <f>+N269-N268</f>
        <v>-650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,550.00"/>
        <filter val="1,650.00"/>
        <filter val="100.00"/>
        <filter val="110.00"/>
        <filter val="120.00"/>
        <filter val="150.00"/>
        <filter val="175.00"/>
        <filter val="180.00"/>
        <filter val="195.00"/>
        <filter val="2,000.00"/>
        <filter val="2,700.00"/>
        <filter val="20.00"/>
        <filter val="200.00"/>
        <filter val="220.00"/>
        <filter val="250.00"/>
        <filter val="260.00"/>
        <filter val="3,900.00"/>
        <filter val="30.00"/>
        <filter val="300.00"/>
        <filter val="315.00"/>
        <filter val="350.00"/>
        <filter val="360.00"/>
        <filter val="4,050.00"/>
        <filter val="400.00"/>
        <filter val="450.00"/>
        <filter val="50.00"/>
        <filter val="500.00"/>
        <filter val="550.00"/>
        <filter val="585.00"/>
        <filter val="595.00"/>
        <filter val="65.00"/>
        <filter val="650.00"/>
        <filter val="700.00"/>
        <filter val="85.00"/>
        <filter val="9,065.00"/>
        <filter val="เป็นเงิ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6" right="0.38" top="0.75" bottom="0.12" header="0.3" footer="0.3"/>
  <pageSetup paperSize="9" scale="39" fitToWidth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 filterMode="1">
    <tabColor rgb="FFFFCCFF"/>
    <pageSetUpPr fitToPage="1"/>
  </sheetPr>
  <dimension ref="A1:S346"/>
  <sheetViews>
    <sheetView zoomScale="85" zoomScaleNormal="85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O273" sqref="A2:O273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+'5'!J5</f>
        <v>43</v>
      </c>
      <c r="F5" s="71"/>
      <c r="G5" s="46">
        <f t="shared" ref="G5:G26" si="0">E5+F5</f>
        <v>43</v>
      </c>
      <c r="H5" s="78">
        <v>0</v>
      </c>
      <c r="I5" s="76">
        <v>0</v>
      </c>
      <c r="J5" s="46">
        <f t="shared" ref="J5:J26" si="1">+G5-H5-K5-I5</f>
        <v>30</v>
      </c>
      <c r="K5" s="72">
        <v>13</v>
      </c>
      <c r="L5" s="15">
        <v>50</v>
      </c>
      <c r="M5" s="65">
        <f>+L5*K5</f>
        <v>650</v>
      </c>
      <c r="N5" s="17" t="s">
        <v>16</v>
      </c>
      <c r="O5" s="18"/>
      <c r="P5" s="119">
        <f>SUM(M5-O5)</f>
        <v>650</v>
      </c>
      <c r="Q5" s="90">
        <v>22.48</v>
      </c>
      <c r="R5" s="43">
        <f>+K5*Q5</f>
        <v>292.24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+'5'!J6</f>
        <v>195</v>
      </c>
      <c r="F6" s="71">
        <v>150</v>
      </c>
      <c r="G6" s="46">
        <f t="shared" si="0"/>
        <v>345</v>
      </c>
      <c r="H6" s="78">
        <v>0</v>
      </c>
      <c r="I6" s="76">
        <v>0</v>
      </c>
      <c r="J6" s="46">
        <f t="shared" si="1"/>
        <v>317</v>
      </c>
      <c r="K6" s="72">
        <v>28</v>
      </c>
      <c r="L6" s="15">
        <v>100</v>
      </c>
      <c r="M6" s="65">
        <f t="shared" ref="M6:M80" si="2">+L6*K6</f>
        <v>2800</v>
      </c>
      <c r="N6" s="17" t="s">
        <v>16</v>
      </c>
      <c r="O6" s="18"/>
      <c r="P6" s="119">
        <f t="shared" ref="P6:P80" si="3">SUM(M6-O6)</f>
        <v>2800</v>
      </c>
      <c r="Q6" s="90">
        <v>39.29</v>
      </c>
      <c r="R6" s="43">
        <f t="shared" ref="R6:R80" si="4">+K6*Q6</f>
        <v>1100.1199999999999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+'5'!J9</f>
        <v>250</v>
      </c>
      <c r="F9" s="71"/>
      <c r="G9" s="46">
        <f t="shared" si="0"/>
        <v>250</v>
      </c>
      <c r="H9" s="78">
        <v>0</v>
      </c>
      <c r="I9" s="76">
        <v>0</v>
      </c>
      <c r="J9" s="46">
        <f t="shared" si="1"/>
        <v>0</v>
      </c>
      <c r="K9" s="72">
        <v>250</v>
      </c>
      <c r="L9" s="15">
        <v>10</v>
      </c>
      <c r="M9" s="65">
        <f t="shared" si="2"/>
        <v>2500</v>
      </c>
      <c r="N9" s="17" t="s">
        <v>16</v>
      </c>
      <c r="O9" s="18"/>
      <c r="P9" s="119">
        <f t="shared" si="3"/>
        <v>2500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hidden="1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+'5'!J15</f>
        <v>23</v>
      </c>
      <c r="F15" s="71"/>
      <c r="G15" s="46">
        <f t="shared" si="0"/>
        <v>23</v>
      </c>
      <c r="H15" s="78">
        <v>0</v>
      </c>
      <c r="I15" s="76">
        <v>0</v>
      </c>
      <c r="J15" s="46">
        <f t="shared" si="1"/>
        <v>17</v>
      </c>
      <c r="K15" s="72">
        <v>6</v>
      </c>
      <c r="L15" s="15">
        <v>50</v>
      </c>
      <c r="M15" s="65">
        <f t="shared" si="2"/>
        <v>300</v>
      </c>
      <c r="N15" s="17" t="s">
        <v>16</v>
      </c>
      <c r="O15" s="18"/>
      <c r="P15" s="119">
        <f t="shared" si="3"/>
        <v>300</v>
      </c>
      <c r="Q15" s="90">
        <v>24.37</v>
      </c>
      <c r="R15" s="43">
        <f t="shared" si="4"/>
        <v>146.22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hidden="1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hidden="1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hidden="1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+'5'!J22</f>
        <v>71</v>
      </c>
      <c r="F22" s="71">
        <v>100</v>
      </c>
      <c r="G22" s="46">
        <f t="shared" si="0"/>
        <v>171</v>
      </c>
      <c r="H22" s="78">
        <v>0</v>
      </c>
      <c r="I22" s="76">
        <v>0</v>
      </c>
      <c r="J22" s="46">
        <f t="shared" si="1"/>
        <v>154</v>
      </c>
      <c r="K22" s="72">
        <v>17</v>
      </c>
      <c r="L22" s="20">
        <v>100</v>
      </c>
      <c r="M22" s="65">
        <f t="shared" si="2"/>
        <v>1700</v>
      </c>
      <c r="N22" s="17" t="s">
        <v>16</v>
      </c>
      <c r="O22" s="18"/>
      <c r="P22" s="119">
        <f t="shared" si="3"/>
        <v>1700</v>
      </c>
      <c r="Q22" s="90">
        <v>26.6</v>
      </c>
      <c r="R22" s="43">
        <f t="shared" si="4"/>
        <v>452.20000000000005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+'5'!J24</f>
        <v>48</v>
      </c>
      <c r="F24" s="71"/>
      <c r="G24" s="46">
        <f t="shared" si="0"/>
        <v>48</v>
      </c>
      <c r="H24" s="78">
        <v>0</v>
      </c>
      <c r="I24" s="76">
        <v>0</v>
      </c>
      <c r="J24" s="46">
        <f t="shared" si="1"/>
        <v>44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19">
        <f t="shared" si="3"/>
        <v>400</v>
      </c>
      <c r="Q24" s="90">
        <v>40.51</v>
      </c>
      <c r="R24" s="43">
        <f t="shared" si="4"/>
        <v>162.04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+'5'!J26</f>
        <v>34</v>
      </c>
      <c r="F26" s="71"/>
      <c r="G26" s="46">
        <f t="shared" si="0"/>
        <v>34</v>
      </c>
      <c r="H26" s="78">
        <v>0</v>
      </c>
      <c r="I26" s="76">
        <v>0</v>
      </c>
      <c r="J26" s="46">
        <f t="shared" si="1"/>
        <v>32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/>
      <c r="P26" s="119">
        <f t="shared" si="3"/>
        <v>200</v>
      </c>
      <c r="Q26" s="90">
        <v>35.39</v>
      </c>
      <c r="R26" s="43">
        <f t="shared" si="4"/>
        <v>70.78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+'5'!J28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26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/>
      <c r="P28" s="119">
        <f t="shared" si="3"/>
        <v>700</v>
      </c>
      <c r="Q28" s="90">
        <v>31.97</v>
      </c>
      <c r="R28" s="43">
        <f t="shared" si="4"/>
        <v>223.79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+'5'!J31</f>
        <v>45</v>
      </c>
      <c r="F31" s="71">
        <v>105</v>
      </c>
      <c r="G31" s="46">
        <f t="shared" si="5"/>
        <v>150</v>
      </c>
      <c r="H31" s="78">
        <v>0</v>
      </c>
      <c r="I31" s="76">
        <v>0</v>
      </c>
      <c r="J31" s="46">
        <f t="shared" si="6"/>
        <v>116</v>
      </c>
      <c r="K31" s="72">
        <v>34</v>
      </c>
      <c r="L31" s="15">
        <v>100</v>
      </c>
      <c r="M31" s="65">
        <f t="shared" si="2"/>
        <v>3400</v>
      </c>
      <c r="N31" s="17" t="s">
        <v>16</v>
      </c>
      <c r="O31" s="18"/>
      <c r="P31" s="119">
        <f t="shared" si="3"/>
        <v>3400</v>
      </c>
      <c r="Q31" s="90">
        <v>38.46</v>
      </c>
      <c r="R31" s="43">
        <f t="shared" si="4"/>
        <v>1307.6400000000001</v>
      </c>
    </row>
    <row r="32" spans="1:18" ht="24.6" hidden="1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hidden="1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+'5'!J39</f>
        <v>0</v>
      </c>
      <c r="F39" s="71">
        <v>10</v>
      </c>
      <c r="G39" s="46">
        <f t="shared" si="5"/>
        <v>10</v>
      </c>
      <c r="H39" s="78">
        <v>0</v>
      </c>
      <c r="I39" s="76">
        <v>0</v>
      </c>
      <c r="J39" s="46">
        <f t="shared" si="6"/>
        <v>4</v>
      </c>
      <c r="K39" s="72">
        <v>6</v>
      </c>
      <c r="L39" s="15">
        <v>50</v>
      </c>
      <c r="M39" s="65">
        <f t="shared" si="2"/>
        <v>300</v>
      </c>
      <c r="N39" s="17" t="s">
        <v>16</v>
      </c>
      <c r="O39" s="18"/>
      <c r="P39" s="119">
        <f t="shared" si="3"/>
        <v>300</v>
      </c>
      <c r="Q39" s="90">
        <v>27.84</v>
      </c>
      <c r="R39" s="43">
        <f t="shared" si="4"/>
        <v>167.04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+'5'!J40</f>
        <v>1</v>
      </c>
      <c r="F40" s="71">
        <v>10</v>
      </c>
      <c r="G40" s="46">
        <f t="shared" si="5"/>
        <v>11</v>
      </c>
      <c r="H40" s="78">
        <v>0</v>
      </c>
      <c r="I40" s="76">
        <v>0</v>
      </c>
      <c r="J40" s="46">
        <f t="shared" si="6"/>
        <v>6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/>
      <c r="P40" s="119">
        <f t="shared" si="3"/>
        <v>250</v>
      </c>
      <c r="Q40" s="90">
        <v>27.12</v>
      </c>
      <c r="R40" s="43">
        <f t="shared" si="4"/>
        <v>135.6</v>
      </c>
    </row>
    <row r="41" spans="1:18" ht="24.6" hidden="1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+'5'!J41</f>
        <v>3</v>
      </c>
      <c r="F41" s="71">
        <v>4</v>
      </c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hidden="1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/>
      <c r="R42" s="43">
        <f t="shared" si="4"/>
        <v>0</v>
      </c>
    </row>
    <row r="43" spans="1:18" ht="24.6" hidden="1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+'5'!J43</f>
        <v>1</v>
      </c>
      <c r="F43" s="71"/>
      <c r="G43" s="46">
        <f t="shared" si="5"/>
        <v>1</v>
      </c>
      <c r="H43" s="78">
        <v>0</v>
      </c>
      <c r="I43" s="76">
        <v>0</v>
      </c>
      <c r="J43" s="46">
        <f t="shared" si="6"/>
        <v>1</v>
      </c>
      <c r="K43" s="72"/>
      <c r="L43" s="15">
        <v>65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+'5'!J44</f>
        <v>2</v>
      </c>
      <c r="F44" s="71"/>
      <c r="G44" s="46">
        <f t="shared" si="5"/>
        <v>2</v>
      </c>
      <c r="H44" s="78">
        <v>0</v>
      </c>
      <c r="I44" s="76">
        <v>0</v>
      </c>
      <c r="J44" s="46">
        <f t="shared" si="6"/>
        <v>1</v>
      </c>
      <c r="K44" s="72">
        <v>1</v>
      </c>
      <c r="L44" s="15">
        <v>65</v>
      </c>
      <c r="M44" s="65">
        <f t="shared" si="2"/>
        <v>65</v>
      </c>
      <c r="N44" s="17" t="s">
        <v>16</v>
      </c>
      <c r="O44" s="18"/>
      <c r="P44" s="119">
        <f t="shared" si="3"/>
        <v>65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+'5'!J46</f>
        <v>20</v>
      </c>
      <c r="F46" s="71">
        <v>20</v>
      </c>
      <c r="G46" s="46">
        <f t="shared" si="5"/>
        <v>40</v>
      </c>
      <c r="H46" s="78">
        <v>0</v>
      </c>
      <c r="I46" s="76">
        <v>0</v>
      </c>
      <c r="J46" s="46">
        <f t="shared" si="6"/>
        <v>38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19">
        <f t="shared" si="3"/>
        <v>100</v>
      </c>
      <c r="Q46" s="90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+'5'!J47</f>
        <v>14</v>
      </c>
      <c r="F47" s="71">
        <v>20</v>
      </c>
      <c r="G47" s="46">
        <f t="shared" si="5"/>
        <v>34</v>
      </c>
      <c r="H47" s="78">
        <v>0</v>
      </c>
      <c r="I47" s="76">
        <v>0</v>
      </c>
      <c r="J47" s="46">
        <f t="shared" si="6"/>
        <v>30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19">
        <f t="shared" si="3"/>
        <v>200</v>
      </c>
      <c r="Q47" s="90">
        <v>19.21</v>
      </c>
      <c r="R47" s="43">
        <f t="shared" si="4"/>
        <v>76.84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+'5'!J48</f>
        <v>10</v>
      </c>
      <c r="F48" s="71">
        <v>20</v>
      </c>
      <c r="G48" s="46">
        <f t="shared" si="5"/>
        <v>30</v>
      </c>
      <c r="H48" s="78">
        <v>0</v>
      </c>
      <c r="I48" s="76">
        <v>0</v>
      </c>
      <c r="J48" s="46">
        <f t="shared" si="6"/>
        <v>26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19">
        <f>SUM(M48-O48)</f>
        <v>200</v>
      </c>
      <c r="Q48" s="90">
        <v>18.88</v>
      </c>
      <c r="R48" s="43">
        <f>+K48*Q48</f>
        <v>75.52</v>
      </c>
    </row>
    <row r="49" spans="1:18" ht="24" hidden="1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+'5'!J49</f>
        <v>16</v>
      </c>
      <c r="F49" s="71">
        <v>20</v>
      </c>
      <c r="G49" s="46">
        <f t="shared" si="5"/>
        <v>36</v>
      </c>
      <c r="H49" s="78">
        <v>0</v>
      </c>
      <c r="I49" s="76">
        <v>0</v>
      </c>
      <c r="J49" s="46">
        <f t="shared" si="6"/>
        <v>36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+'5'!J50</f>
        <v>18</v>
      </c>
      <c r="F50" s="71">
        <v>20</v>
      </c>
      <c r="G50" s="46">
        <f t="shared" si="5"/>
        <v>38</v>
      </c>
      <c r="H50" s="78">
        <v>0</v>
      </c>
      <c r="I50" s="76">
        <v>0</v>
      </c>
      <c r="J50" s="46">
        <f t="shared" si="6"/>
        <v>36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19">
        <f t="shared" si="3"/>
        <v>100</v>
      </c>
      <c r="Q50" s="90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+'5'!J51</f>
        <v>15</v>
      </c>
      <c r="F51" s="71">
        <v>20</v>
      </c>
      <c r="G51" s="46">
        <f t="shared" si="5"/>
        <v>35</v>
      </c>
      <c r="H51" s="78">
        <v>0</v>
      </c>
      <c r="I51" s="76">
        <v>0</v>
      </c>
      <c r="J51" s="46">
        <f t="shared" si="6"/>
        <v>34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19">
        <f>SUM(M51-O51)</f>
        <v>50</v>
      </c>
      <c r="Q51" s="90">
        <v>14.65</v>
      </c>
      <c r="R51" s="43">
        <f>+K51*Q51</f>
        <v>14.65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+'5'!J53</f>
        <v>2</v>
      </c>
      <c r="F53" s="71">
        <v>20</v>
      </c>
      <c r="G53" s="46">
        <f t="shared" si="5"/>
        <v>22</v>
      </c>
      <c r="H53" s="78">
        <v>0</v>
      </c>
      <c r="I53" s="76">
        <v>0</v>
      </c>
      <c r="J53" s="46">
        <f t="shared" si="6"/>
        <v>17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19">
        <f>SUM(M53-O53)</f>
        <v>250</v>
      </c>
      <c r="Q53" s="90">
        <v>17.53</v>
      </c>
      <c r="R53" s="43">
        <f>+K53*Q53</f>
        <v>87.65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hidden="1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+'5'!J55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1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>
        <v>60</v>
      </c>
      <c r="P56" s="119">
        <f>SUM(M56-O56)</f>
        <v>300</v>
      </c>
      <c r="Q56" s="90">
        <v>33.409999999999997</v>
      </c>
      <c r="R56" s="43">
        <f>+K56*Q56</f>
        <v>100.22999999999999</v>
      </c>
    </row>
    <row r="57" spans="1:18" ht="24.6" hidden="1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20</v>
      </c>
      <c r="P58" s="119">
        <f t="shared" si="3"/>
        <v>100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+'5'!J59</f>
        <v>8</v>
      </c>
      <c r="F59" s="71"/>
      <c r="G59" s="46">
        <f t="shared" si="5"/>
        <v>8</v>
      </c>
      <c r="H59" s="78">
        <v>0</v>
      </c>
      <c r="I59" s="76">
        <v>0</v>
      </c>
      <c r="J59" s="46">
        <f t="shared" si="6"/>
        <v>7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20</v>
      </c>
      <c r="P59" s="119">
        <f t="shared" si="3"/>
        <v>100</v>
      </c>
      <c r="Q59" s="90">
        <v>32.96</v>
      </c>
      <c r="R59" s="43">
        <f t="shared" si="4"/>
        <v>32.96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+'5'!J60</f>
        <v>2</v>
      </c>
      <c r="F60" s="71"/>
      <c r="G60" s="46">
        <f t="shared" si="5"/>
        <v>2</v>
      </c>
      <c r="H60" s="78">
        <v>0</v>
      </c>
      <c r="I60" s="76">
        <v>0</v>
      </c>
      <c r="J60" s="46">
        <f t="shared" si="6"/>
        <v>2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+'5'!J64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19">
        <f t="shared" si="3"/>
        <v>50</v>
      </c>
      <c r="Q64" s="90">
        <v>23.69</v>
      </c>
      <c r="R64" s="43">
        <f t="shared" si="4"/>
        <v>23.69</v>
      </c>
    </row>
    <row r="65" spans="1:18" ht="24.6" hidden="1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hidden="1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hidden="1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+'5'!J69</f>
        <v>2</v>
      </c>
      <c r="F69" s="71"/>
      <c r="G69" s="46">
        <f t="shared" si="5"/>
        <v>2</v>
      </c>
      <c r="H69" s="78">
        <v>0</v>
      </c>
      <c r="I69" s="76">
        <v>0</v>
      </c>
      <c r="J69" s="46">
        <f t="shared" si="6"/>
        <v>2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hidden="1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+'5'!J70</f>
        <v>2</v>
      </c>
      <c r="F70" s="71"/>
      <c r="G70" s="46">
        <f t="shared" si="5"/>
        <v>2</v>
      </c>
      <c r="H70" s="78">
        <v>0</v>
      </c>
      <c r="I70" s="76">
        <v>0</v>
      </c>
      <c r="J70" s="46">
        <f t="shared" si="6"/>
        <v>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hidden="1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+'5'!J71</f>
        <v>1</v>
      </c>
      <c r="F71" s="71"/>
      <c r="G71" s="46">
        <f t="shared" si="5"/>
        <v>1</v>
      </c>
      <c r="H71" s="78">
        <v>0</v>
      </c>
      <c r="I71" s="76">
        <v>0</v>
      </c>
      <c r="J71" s="46">
        <f t="shared" si="6"/>
        <v>1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hidden="1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19">
        <f t="shared" si="3"/>
        <v>150</v>
      </c>
      <c r="Q74" s="90">
        <v>17.09</v>
      </c>
      <c r="R74" s="43">
        <f t="shared" si="4"/>
        <v>51.269999999999996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+'5'!J77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9</v>
      </c>
      <c r="K77" s="72">
        <v>7</v>
      </c>
      <c r="L77" s="21">
        <v>50</v>
      </c>
      <c r="M77" s="65">
        <f t="shared" si="2"/>
        <v>350</v>
      </c>
      <c r="N77" s="17" t="s">
        <v>16</v>
      </c>
      <c r="O77" s="18"/>
      <c r="P77" s="119">
        <f t="shared" si="3"/>
        <v>350</v>
      </c>
      <c r="Q77" s="90">
        <v>17.329999999999998</v>
      </c>
      <c r="R77" s="43">
        <f t="shared" si="4"/>
        <v>121.30999999999999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19">
        <f t="shared" si="3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19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hidden="1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+'5'!J83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hidden="1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hidden="1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hidden="1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>
        <f>+'5'!J93</f>
        <v>0</v>
      </c>
      <c r="F93" s="71">
        <v>20</v>
      </c>
      <c r="G93" s="46">
        <f t="shared" si="5"/>
        <v>20</v>
      </c>
      <c r="H93" s="78">
        <v>0</v>
      </c>
      <c r="I93" s="76">
        <v>0</v>
      </c>
      <c r="J93" s="46">
        <f t="shared" si="6"/>
        <v>0</v>
      </c>
      <c r="K93" s="72">
        <v>20</v>
      </c>
      <c r="L93" s="21">
        <v>35</v>
      </c>
      <c r="M93" s="65">
        <f t="shared" si="7"/>
        <v>700</v>
      </c>
      <c r="N93" s="17" t="s">
        <v>16</v>
      </c>
      <c r="O93" s="18"/>
      <c r="P93" s="119">
        <f t="shared" si="8"/>
        <v>700</v>
      </c>
      <c r="Q93" s="90"/>
      <c r="R93" s="43">
        <f t="shared" si="9"/>
        <v>0</v>
      </c>
    </row>
    <row r="94" spans="1:18" ht="24.6" hidden="1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hidden="1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hidden="1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+'5'!J102</f>
        <v>80</v>
      </c>
      <c r="F102" s="71">
        <v>200</v>
      </c>
      <c r="G102" s="46">
        <f t="shared" ref="G102" si="28">E102+F102</f>
        <v>280</v>
      </c>
      <c r="H102" s="78">
        <v>0</v>
      </c>
      <c r="I102" s="76">
        <v>1</v>
      </c>
      <c r="J102" s="46">
        <f t="shared" ref="J102" si="29">+G102-H102-K102-I102</f>
        <v>210</v>
      </c>
      <c r="K102" s="72">
        <f>18+51</f>
        <v>69</v>
      </c>
      <c r="L102" s="20">
        <v>49</v>
      </c>
      <c r="M102" s="65">
        <f t="shared" si="25"/>
        <v>3381</v>
      </c>
      <c r="N102" s="17" t="s">
        <v>1435</v>
      </c>
      <c r="O102" s="18">
        <f>3381-2330</f>
        <v>1051</v>
      </c>
      <c r="P102" s="119">
        <f t="shared" si="26"/>
        <v>2330</v>
      </c>
      <c r="Q102" s="90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+'5'!J112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19">
        <f>SUM(M112-O112)</f>
        <v>300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+'5'!J113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>
        <v>5</v>
      </c>
      <c r="P113" s="119">
        <f t="shared" si="8"/>
        <v>50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+'5'!J115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15</v>
      </c>
      <c r="K115" s="72">
        <v>6</v>
      </c>
      <c r="L115" s="22">
        <v>60</v>
      </c>
      <c r="M115" s="65">
        <f t="shared" si="7"/>
        <v>360</v>
      </c>
      <c r="N115" s="17" t="s">
        <v>16</v>
      </c>
      <c r="O115" s="18"/>
      <c r="P115" s="119">
        <f t="shared" si="8"/>
        <v>360</v>
      </c>
      <c r="Q115" s="90"/>
      <c r="R115" s="43">
        <f t="shared" si="9"/>
        <v>0</v>
      </c>
    </row>
    <row r="116" spans="1:18" ht="24.6" hidden="1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+'5'!J116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+'5'!J117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3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19">
        <f t="shared" si="8"/>
        <v>110</v>
      </c>
      <c r="Q117" s="90">
        <v>11.91</v>
      </c>
      <c r="R117" s="43">
        <f t="shared" si="9"/>
        <v>23.82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hidden="1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+'5'!J133</f>
        <v>6</v>
      </c>
      <c r="F133" s="71">
        <v>5</v>
      </c>
      <c r="G133" s="46">
        <f t="shared" si="23"/>
        <v>11</v>
      </c>
      <c r="H133" s="78">
        <v>0</v>
      </c>
      <c r="I133" s="76">
        <v>0</v>
      </c>
      <c r="J133" s="46">
        <f t="shared" si="24"/>
        <v>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19">
        <f t="shared" si="8"/>
        <v>100</v>
      </c>
      <c r="Q133" s="90">
        <v>21.75</v>
      </c>
      <c r="R133" s="43">
        <f t="shared" si="9"/>
        <v>43.5</v>
      </c>
    </row>
    <row r="134" spans="1:18" ht="24.6" hidden="1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hidden="1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+'5'!J142</f>
        <v>3</v>
      </c>
      <c r="F142" s="71"/>
      <c r="G142" s="46">
        <f t="shared" si="23"/>
        <v>3</v>
      </c>
      <c r="H142" s="78">
        <v>0</v>
      </c>
      <c r="I142" s="76">
        <v>0</v>
      </c>
      <c r="J142" s="46">
        <f t="shared" si="24"/>
        <v>3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hidden="1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+'5'!J143</f>
        <v>6</v>
      </c>
      <c r="F143" s="71"/>
      <c r="G143" s="46">
        <f t="shared" si="23"/>
        <v>6</v>
      </c>
      <c r="H143" s="78">
        <v>0</v>
      </c>
      <c r="I143" s="76">
        <v>0</v>
      </c>
      <c r="J143" s="46">
        <f t="shared" si="24"/>
        <v>6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hidden="1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+'5'!J144</f>
        <v>5</v>
      </c>
      <c r="F144" s="71"/>
      <c r="G144" s="46">
        <f t="shared" si="23"/>
        <v>5</v>
      </c>
      <c r="H144" s="78">
        <v>0</v>
      </c>
      <c r="I144" s="76">
        <v>0</v>
      </c>
      <c r="J144" s="46">
        <f t="shared" si="24"/>
        <v>5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hidden="1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+'5'!J145</f>
        <v>10</v>
      </c>
      <c r="F145" s="71"/>
      <c r="G145" s="46">
        <f t="shared" si="23"/>
        <v>10</v>
      </c>
      <c r="H145" s="78">
        <v>0</v>
      </c>
      <c r="I145" s="76">
        <v>0</v>
      </c>
      <c r="J145" s="46">
        <f t="shared" si="24"/>
        <v>10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hidden="1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+'5'!J146</f>
        <v>5</v>
      </c>
      <c r="F146" s="71"/>
      <c r="G146" s="46">
        <f t="shared" si="23"/>
        <v>5</v>
      </c>
      <c r="H146" s="78">
        <v>0</v>
      </c>
      <c r="I146" s="76">
        <v>0</v>
      </c>
      <c r="J146" s="46">
        <f t="shared" si="24"/>
        <v>5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+'5'!J150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+'5'!J154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19">
        <f>SUM(M154-O154)</f>
        <v>50</v>
      </c>
      <c r="Q154" s="90">
        <v>16.16</v>
      </c>
      <c r="R154" s="43">
        <f>+K154*Q154</f>
        <v>32.32</v>
      </c>
    </row>
    <row r="155" spans="1:18" ht="24.6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+'5'!J155</f>
        <v>47</v>
      </c>
      <c r="F155" s="71"/>
      <c r="G155" s="46">
        <f t="shared" si="23"/>
        <v>47</v>
      </c>
      <c r="H155" s="78">
        <v>0</v>
      </c>
      <c r="I155" s="76">
        <v>0</v>
      </c>
      <c r="J155" s="46">
        <f t="shared" si="24"/>
        <v>46</v>
      </c>
      <c r="K155" s="72">
        <v>1</v>
      </c>
      <c r="L155" s="20">
        <v>25</v>
      </c>
      <c r="M155" s="65">
        <f t="shared" si="7"/>
        <v>25</v>
      </c>
      <c r="N155" s="17" t="s">
        <v>1446</v>
      </c>
      <c r="O155" s="18">
        <v>25</v>
      </c>
      <c r="P155" s="23">
        <f t="shared" si="8"/>
        <v>0</v>
      </c>
      <c r="Q155" s="90">
        <v>18.63</v>
      </c>
      <c r="R155" s="43">
        <f t="shared" si="9"/>
        <v>18.63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+'5'!J163</f>
        <v>15</v>
      </c>
      <c r="F163" s="71">
        <v>20</v>
      </c>
      <c r="G163" s="46">
        <f t="shared" si="30"/>
        <v>35</v>
      </c>
      <c r="H163" s="78">
        <v>0</v>
      </c>
      <c r="I163" s="76">
        <v>0</v>
      </c>
      <c r="J163" s="46">
        <f t="shared" si="31"/>
        <v>32</v>
      </c>
      <c r="K163" s="72">
        <v>3</v>
      </c>
      <c r="L163" s="20">
        <v>25</v>
      </c>
      <c r="M163" s="65">
        <f t="shared" si="7"/>
        <v>75</v>
      </c>
      <c r="N163" s="17" t="s">
        <v>16</v>
      </c>
      <c r="O163" s="18">
        <v>15</v>
      </c>
      <c r="P163" s="119">
        <f t="shared" si="8"/>
        <v>60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>
        <f>+'5'!J173</f>
        <v>0</v>
      </c>
      <c r="F173" s="71">
        <v>20</v>
      </c>
      <c r="G173" s="46">
        <f>E173+F173</f>
        <v>20</v>
      </c>
      <c r="H173" s="78">
        <v>0</v>
      </c>
      <c r="I173" s="76">
        <v>0</v>
      </c>
      <c r="J173" s="46">
        <f>+G173-H173-K173-I173</f>
        <v>0</v>
      </c>
      <c r="K173" s="72">
        <v>20</v>
      </c>
      <c r="L173" s="20">
        <v>35</v>
      </c>
      <c r="M173" s="65">
        <f>+L173*K173</f>
        <v>700</v>
      </c>
      <c r="N173" s="17" t="s">
        <v>16</v>
      </c>
      <c r="O173" s="18"/>
      <c r="P173" s="119">
        <f>SUM(M173-O173)</f>
        <v>700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+'5'!J175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19">
        <f>SUM(M175-O175)</f>
        <v>100</v>
      </c>
      <c r="Q175" s="90">
        <v>29.96</v>
      </c>
      <c r="R175" s="43">
        <f>+K175*Q175</f>
        <v>59.92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hidden="1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+'5'!J187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hidden="1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+'5'!J188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11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hidden="1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+'5'!J189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>
        <f>+'5'!J198</f>
        <v>147</v>
      </c>
      <c r="F198" s="71"/>
      <c r="G198" s="46">
        <f t="shared" si="30"/>
        <v>147</v>
      </c>
      <c r="H198" s="78">
        <v>0</v>
      </c>
      <c r="I198" s="76">
        <v>3</v>
      </c>
      <c r="J198" s="46">
        <f t="shared" si="31"/>
        <v>126</v>
      </c>
      <c r="K198" s="72">
        <v>18</v>
      </c>
      <c r="L198" s="20">
        <v>150</v>
      </c>
      <c r="M198" s="65">
        <f t="shared" si="34"/>
        <v>2700</v>
      </c>
      <c r="N198" s="17" t="s">
        <v>16</v>
      </c>
      <c r="O198" s="18">
        <f>2700-1650</f>
        <v>1050</v>
      </c>
      <c r="P198" s="119">
        <f t="shared" si="35"/>
        <v>1650</v>
      </c>
      <c r="Q198" s="90">
        <v>64.38</v>
      </c>
      <c r="R198" s="43">
        <f t="shared" si="36"/>
        <v>1158.8399999999999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hidden="1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>
        <f>+'5'!J207</f>
        <v>0</v>
      </c>
      <c r="F207" s="71">
        <v>100</v>
      </c>
      <c r="G207" s="46">
        <f>E207+F207</f>
        <v>100</v>
      </c>
      <c r="H207" s="78">
        <v>0</v>
      </c>
      <c r="I207" s="76">
        <v>0</v>
      </c>
      <c r="J207" s="46">
        <f>+G207-H207-K207-I207</f>
        <v>100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564</v>
      </c>
      <c r="E242" s="64">
        <f>+'5'!J242</f>
        <v>33</v>
      </c>
      <c r="F242" s="71"/>
      <c r="G242" s="46">
        <f t="shared" si="42"/>
        <v>33</v>
      </c>
      <c r="H242" s="78">
        <v>0</v>
      </c>
      <c r="I242" s="76">
        <v>0</v>
      </c>
      <c r="J242" s="46">
        <f t="shared" si="43"/>
        <v>26</v>
      </c>
      <c r="K242" s="72">
        <v>7</v>
      </c>
      <c r="L242" s="20">
        <v>35</v>
      </c>
      <c r="M242" s="65">
        <f t="shared" si="44"/>
        <v>245</v>
      </c>
      <c r="N242" s="17" t="s">
        <v>16</v>
      </c>
      <c r="O242" s="18"/>
      <c r="P242" s="119">
        <f t="shared" si="45"/>
        <v>245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>
        <f>+'5'!J243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6132.6100000000006</v>
      </c>
      <c r="S260" s="75"/>
    </row>
    <row r="261" spans="1:19" ht="25.5" hidden="1" customHeight="1" x14ac:dyDescent="0.6">
      <c r="A261" s="1"/>
      <c r="E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24381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>
        <v>0</v>
      </c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8855</v>
      </c>
      <c r="O264" s="2">
        <v>8855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2246</v>
      </c>
      <c r="P267" s="23"/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13280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13110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-170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-170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,700.00"/>
        <filter val="100.00"/>
        <filter val="110.00"/>
        <filter val="120.00"/>
        <filter val="150.00"/>
        <filter val="2,500.00"/>
        <filter val="2,700.00"/>
        <filter val="2,800.00"/>
        <filter val="200.00"/>
        <filter val="245.00"/>
        <filter val="25.00"/>
        <filter val="250.00"/>
        <filter val="3,381.00"/>
        <filter val="3,400.00"/>
        <filter val="300.00"/>
        <filter val="350.00"/>
        <filter val="360.00"/>
        <filter val="400.00"/>
        <filter val="50.00"/>
        <filter val="55.00"/>
        <filter val="65.00"/>
        <filter val="650.00"/>
        <filter val="700.00"/>
        <filter val="75.00"/>
        <filter val="เป็นเงิ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75" bottom="0.34" header="0.3" footer="0.3"/>
  <pageSetup paperSize="9" scale="3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  <pageSetUpPr fitToPage="1"/>
  </sheetPr>
  <dimension ref="A1:S346"/>
  <sheetViews>
    <sheetView zoomScale="85" zoomScaleNormal="85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O273" sqref="A2:O273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+'6'!J5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0</v>
      </c>
      <c r="K5" s="72">
        <v>30</v>
      </c>
      <c r="L5" s="15">
        <v>50</v>
      </c>
      <c r="M5" s="65">
        <f>+L5*K5</f>
        <v>1500</v>
      </c>
      <c r="N5" s="17" t="s">
        <v>16</v>
      </c>
      <c r="O5" s="18"/>
      <c r="P5" s="119">
        <f>SUM(M5-O5)</f>
        <v>1500</v>
      </c>
      <c r="Q5" s="90">
        <v>22.48</v>
      </c>
      <c r="R5" s="43">
        <f>+K5*Q5</f>
        <v>674.4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+'6'!J6</f>
        <v>317</v>
      </c>
      <c r="F6" s="71"/>
      <c r="G6" s="46">
        <f t="shared" si="0"/>
        <v>317</v>
      </c>
      <c r="H6" s="78">
        <v>0</v>
      </c>
      <c r="I6" s="76">
        <v>0</v>
      </c>
      <c r="J6" s="46">
        <f t="shared" si="1"/>
        <v>275</v>
      </c>
      <c r="K6" s="72">
        <v>42</v>
      </c>
      <c r="L6" s="15">
        <v>100</v>
      </c>
      <c r="M6" s="65">
        <f t="shared" ref="M6:M80" si="2">+L6*K6</f>
        <v>4200</v>
      </c>
      <c r="N6" s="17" t="s">
        <v>16</v>
      </c>
      <c r="O6" s="18"/>
      <c r="P6" s="119">
        <f t="shared" ref="P6:P80" si="3">SUM(M6-O6)</f>
        <v>4200</v>
      </c>
      <c r="Q6" s="90">
        <v>39.29</v>
      </c>
      <c r="R6" s="43">
        <f t="shared" ref="R6:R80" si="4">+K6*Q6</f>
        <v>1650.18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hidden="1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+'6'!J15</f>
        <v>17</v>
      </c>
      <c r="F15" s="71"/>
      <c r="G15" s="46">
        <f t="shared" si="0"/>
        <v>17</v>
      </c>
      <c r="H15" s="78">
        <v>0</v>
      </c>
      <c r="I15" s="76">
        <v>0</v>
      </c>
      <c r="J15" s="46">
        <f t="shared" si="1"/>
        <v>5</v>
      </c>
      <c r="K15" s="72">
        <v>12</v>
      </c>
      <c r="L15" s="15">
        <v>50</v>
      </c>
      <c r="M15" s="65">
        <f t="shared" si="2"/>
        <v>600</v>
      </c>
      <c r="N15" s="17" t="s">
        <v>16</v>
      </c>
      <c r="O15" s="18"/>
      <c r="P15" s="119">
        <f t="shared" si="3"/>
        <v>600</v>
      </c>
      <c r="Q15" s="90">
        <v>24.37</v>
      </c>
      <c r="R15" s="43">
        <f t="shared" si="4"/>
        <v>292.44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hidden="1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4.6" hidden="1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+'6'!J22</f>
        <v>154</v>
      </c>
      <c r="F22" s="71"/>
      <c r="G22" s="46">
        <f t="shared" si="0"/>
        <v>154</v>
      </c>
      <c r="H22" s="78">
        <v>0</v>
      </c>
      <c r="I22" s="76">
        <v>0</v>
      </c>
      <c r="J22" s="46">
        <f t="shared" si="1"/>
        <v>128</v>
      </c>
      <c r="K22" s="72">
        <v>26</v>
      </c>
      <c r="L22" s="20">
        <v>100</v>
      </c>
      <c r="M22" s="65">
        <f t="shared" si="2"/>
        <v>2600</v>
      </c>
      <c r="N22" s="17" t="s">
        <v>16</v>
      </c>
      <c r="O22" s="18"/>
      <c r="P22" s="119">
        <f t="shared" si="3"/>
        <v>2600</v>
      </c>
      <c r="Q22" s="90">
        <v>26.6</v>
      </c>
      <c r="R22" s="43">
        <f t="shared" si="4"/>
        <v>691.6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+'6'!J24</f>
        <v>44</v>
      </c>
      <c r="F24" s="71"/>
      <c r="G24" s="46">
        <f t="shared" si="0"/>
        <v>44</v>
      </c>
      <c r="H24" s="78">
        <v>0</v>
      </c>
      <c r="I24" s="76">
        <v>0</v>
      </c>
      <c r="J24" s="46">
        <f t="shared" si="1"/>
        <v>38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/>
      <c r="P24" s="119">
        <f t="shared" si="3"/>
        <v>600</v>
      </c>
      <c r="Q24" s="90">
        <v>40.51</v>
      </c>
      <c r="R24" s="43">
        <f t="shared" si="4"/>
        <v>243.06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+'6'!J26</f>
        <v>32</v>
      </c>
      <c r="F26" s="71"/>
      <c r="G26" s="46">
        <f t="shared" si="0"/>
        <v>32</v>
      </c>
      <c r="H26" s="78">
        <v>0</v>
      </c>
      <c r="I26" s="76">
        <v>0</v>
      </c>
      <c r="J26" s="46">
        <f t="shared" si="1"/>
        <v>30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/>
      <c r="P26" s="119">
        <f t="shared" si="3"/>
        <v>200</v>
      </c>
      <c r="Q26" s="90">
        <v>35.39</v>
      </c>
      <c r="R26" s="43">
        <f t="shared" si="4"/>
        <v>70.78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+'6'!J28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16</v>
      </c>
      <c r="K28" s="72">
        <v>10</v>
      </c>
      <c r="L28" s="15">
        <v>100</v>
      </c>
      <c r="M28" s="65">
        <f t="shared" si="2"/>
        <v>1000</v>
      </c>
      <c r="N28" s="17" t="s">
        <v>16</v>
      </c>
      <c r="O28" s="18"/>
      <c r="P28" s="119">
        <f t="shared" si="3"/>
        <v>1000</v>
      </c>
      <c r="Q28" s="90">
        <v>31.97</v>
      </c>
      <c r="R28" s="43">
        <f t="shared" si="4"/>
        <v>319.7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+'6'!J31</f>
        <v>116</v>
      </c>
      <c r="F31" s="71"/>
      <c r="G31" s="46">
        <f t="shared" si="5"/>
        <v>116</v>
      </c>
      <c r="H31" s="78">
        <v>0</v>
      </c>
      <c r="I31" s="76">
        <v>0</v>
      </c>
      <c r="J31" s="46">
        <f t="shared" si="6"/>
        <v>99</v>
      </c>
      <c r="K31" s="72">
        <v>17</v>
      </c>
      <c r="L31" s="15">
        <v>100</v>
      </c>
      <c r="M31" s="65">
        <f t="shared" si="2"/>
        <v>1700</v>
      </c>
      <c r="N31" s="17" t="s">
        <v>16</v>
      </c>
      <c r="O31" s="18"/>
      <c r="P31" s="119">
        <f t="shared" si="3"/>
        <v>1700</v>
      </c>
      <c r="Q31" s="90">
        <v>38.46</v>
      </c>
      <c r="R31" s="43">
        <f t="shared" si="4"/>
        <v>653.82000000000005</v>
      </c>
    </row>
    <row r="32" spans="1:18" ht="24.6" hidden="1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hidden="1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+'6'!J39</f>
        <v>4</v>
      </c>
      <c r="F39" s="71">
        <v>10</v>
      </c>
      <c r="G39" s="46">
        <f t="shared" si="5"/>
        <v>14</v>
      </c>
      <c r="H39" s="78">
        <v>0</v>
      </c>
      <c r="I39" s="76">
        <v>0</v>
      </c>
      <c r="J39" s="46">
        <f t="shared" si="6"/>
        <v>7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/>
      <c r="P39" s="119">
        <f t="shared" si="3"/>
        <v>350</v>
      </c>
      <c r="Q39" s="90">
        <v>27.84</v>
      </c>
      <c r="R39" s="43">
        <f t="shared" si="4"/>
        <v>194.88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+'6'!J40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6"/>
        <v>9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19">
        <f t="shared" si="3"/>
        <v>100</v>
      </c>
      <c r="Q40" s="90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+'6'!J41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4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19">
        <f t="shared" si="3"/>
        <v>150</v>
      </c>
      <c r="Q41" s="90">
        <v>15.42</v>
      </c>
      <c r="R41" s="43">
        <f t="shared" si="4"/>
        <v>46.26</v>
      </c>
    </row>
    <row r="42" spans="1:18" ht="24.6" hidden="1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/>
      <c r="R42" s="43">
        <f t="shared" si="4"/>
        <v>0</v>
      </c>
    </row>
    <row r="43" spans="1:18" ht="24.6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+'6'!J43</f>
        <v>1</v>
      </c>
      <c r="F43" s="71"/>
      <c r="G43" s="46">
        <f t="shared" si="5"/>
        <v>1</v>
      </c>
      <c r="H43" s="78">
        <v>0</v>
      </c>
      <c r="I43" s="76">
        <v>0</v>
      </c>
      <c r="J43" s="46">
        <f t="shared" si="6"/>
        <v>0</v>
      </c>
      <c r="K43" s="72">
        <v>1</v>
      </c>
      <c r="L43" s="15">
        <v>65</v>
      </c>
      <c r="M43" s="65">
        <f>+L43*K43</f>
        <v>65</v>
      </c>
      <c r="N43" s="17" t="s">
        <v>16</v>
      </c>
      <c r="O43" s="18"/>
      <c r="P43" s="119">
        <f>SUM(M43-O43)</f>
        <v>65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+'6'!J44</f>
        <v>1</v>
      </c>
      <c r="F44" s="71"/>
      <c r="G44" s="46">
        <f t="shared" si="5"/>
        <v>1</v>
      </c>
      <c r="H44" s="78">
        <v>0</v>
      </c>
      <c r="I44" s="76">
        <v>0</v>
      </c>
      <c r="J44" s="46">
        <f t="shared" si="6"/>
        <v>0</v>
      </c>
      <c r="K44" s="72">
        <v>1</v>
      </c>
      <c r="L44" s="15">
        <v>65</v>
      </c>
      <c r="M44" s="65">
        <f t="shared" si="2"/>
        <v>65</v>
      </c>
      <c r="N44" s="17" t="s">
        <v>16</v>
      </c>
      <c r="O44" s="18"/>
      <c r="P44" s="119">
        <f t="shared" si="3"/>
        <v>65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+'6'!J46</f>
        <v>38</v>
      </c>
      <c r="F46" s="71"/>
      <c r="G46" s="46">
        <f t="shared" si="5"/>
        <v>38</v>
      </c>
      <c r="H46" s="78">
        <v>0</v>
      </c>
      <c r="I46" s="76">
        <v>0</v>
      </c>
      <c r="J46" s="46">
        <f t="shared" si="6"/>
        <v>37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+'6'!J47</f>
        <v>30</v>
      </c>
      <c r="F47" s="71"/>
      <c r="G47" s="46">
        <f t="shared" si="5"/>
        <v>30</v>
      </c>
      <c r="H47" s="78">
        <v>0</v>
      </c>
      <c r="I47" s="76">
        <v>0</v>
      </c>
      <c r="J47" s="46">
        <f t="shared" si="6"/>
        <v>24</v>
      </c>
      <c r="K47" s="72">
        <v>6</v>
      </c>
      <c r="L47" s="15">
        <v>50</v>
      </c>
      <c r="M47" s="65">
        <f t="shared" si="2"/>
        <v>300</v>
      </c>
      <c r="N47" s="17" t="s">
        <v>16</v>
      </c>
      <c r="O47" s="18"/>
      <c r="P47" s="119">
        <f t="shared" si="3"/>
        <v>300</v>
      </c>
      <c r="Q47" s="90">
        <v>19.21</v>
      </c>
      <c r="R47" s="43">
        <f t="shared" si="4"/>
        <v>115.26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+'6'!J48</f>
        <v>26</v>
      </c>
      <c r="F48" s="71"/>
      <c r="G48" s="46">
        <f t="shared" si="5"/>
        <v>26</v>
      </c>
      <c r="H48" s="78">
        <v>0</v>
      </c>
      <c r="I48" s="76">
        <v>0</v>
      </c>
      <c r="J48" s="46">
        <f t="shared" si="6"/>
        <v>17</v>
      </c>
      <c r="K48" s="72">
        <v>9</v>
      </c>
      <c r="L48" s="20">
        <v>50</v>
      </c>
      <c r="M48" s="65">
        <f>+L48*K48</f>
        <v>450</v>
      </c>
      <c r="N48" s="17" t="s">
        <v>16</v>
      </c>
      <c r="O48" s="18"/>
      <c r="P48" s="119">
        <f>SUM(M48-O48)</f>
        <v>450</v>
      </c>
      <c r="Q48" s="90">
        <v>18.88</v>
      </c>
      <c r="R48" s="43">
        <f>+K48*Q48</f>
        <v>169.92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+'6'!J49</f>
        <v>36</v>
      </c>
      <c r="F49" s="71"/>
      <c r="G49" s="46">
        <f t="shared" si="5"/>
        <v>36</v>
      </c>
      <c r="H49" s="78">
        <v>0</v>
      </c>
      <c r="I49" s="76">
        <v>0</v>
      </c>
      <c r="J49" s="46">
        <f t="shared" si="6"/>
        <v>34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19">
        <f>SUM(M49-O49)</f>
        <v>100</v>
      </c>
      <c r="Q49" s="90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+'6'!J50</f>
        <v>36</v>
      </c>
      <c r="F50" s="71"/>
      <c r="G50" s="46">
        <f t="shared" si="5"/>
        <v>36</v>
      </c>
      <c r="H50" s="78">
        <v>0</v>
      </c>
      <c r="I50" s="76">
        <v>0</v>
      </c>
      <c r="J50" s="46">
        <f t="shared" si="6"/>
        <v>32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19">
        <f t="shared" si="3"/>
        <v>200</v>
      </c>
      <c r="Q50" s="90">
        <v>21.81</v>
      </c>
      <c r="R50" s="43">
        <f t="shared" si="4"/>
        <v>87.24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+'6'!J51</f>
        <v>34</v>
      </c>
      <c r="F51" s="71"/>
      <c r="G51" s="46">
        <f t="shared" si="5"/>
        <v>34</v>
      </c>
      <c r="H51" s="78">
        <v>0</v>
      </c>
      <c r="I51" s="76">
        <v>0</v>
      </c>
      <c r="J51" s="46">
        <f t="shared" si="6"/>
        <v>31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19">
        <f>SUM(M51-O51)</f>
        <v>150</v>
      </c>
      <c r="Q51" s="90">
        <v>14.65</v>
      </c>
      <c r="R51" s="43">
        <f>+K51*Q51</f>
        <v>43.95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+'6'!J53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8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/>
      <c r="P53" s="119">
        <f>SUM(M53-O53)</f>
        <v>450</v>
      </c>
      <c r="Q53" s="90">
        <v>17.53</v>
      </c>
      <c r="R53" s="43">
        <f>+K53*Q53</f>
        <v>157.77000000000001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+'6'!J55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20</v>
      </c>
      <c r="P55" s="119">
        <f>SUM(M55-O55)</f>
        <v>100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20</v>
      </c>
      <c r="P56" s="119">
        <f>SUM(M56-O56)</f>
        <v>100</v>
      </c>
      <c r="Q56" s="90">
        <v>33.409999999999997</v>
      </c>
      <c r="R56" s="43">
        <f>+K56*Q56</f>
        <v>33.409999999999997</v>
      </c>
    </row>
    <row r="57" spans="1:18" ht="24.6" hidden="1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20</v>
      </c>
      <c r="P58" s="119">
        <f t="shared" si="3"/>
        <v>100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+'6'!J59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3</v>
      </c>
      <c r="K59" s="72">
        <v>4</v>
      </c>
      <c r="L59" s="15">
        <v>120</v>
      </c>
      <c r="M59" s="65">
        <f t="shared" si="2"/>
        <v>480</v>
      </c>
      <c r="N59" s="17" t="s">
        <v>16</v>
      </c>
      <c r="O59" s="18">
        <v>80</v>
      </c>
      <c r="P59" s="119">
        <f t="shared" si="3"/>
        <v>400</v>
      </c>
      <c r="Q59" s="90">
        <v>32.96</v>
      </c>
      <c r="R59" s="43">
        <f t="shared" si="4"/>
        <v>131.84</v>
      </c>
    </row>
    <row r="60" spans="1:18" ht="24.6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+'6'!J60</f>
        <v>2</v>
      </c>
      <c r="F60" s="71"/>
      <c r="G60" s="46">
        <f t="shared" si="5"/>
        <v>2</v>
      </c>
      <c r="H60" s="78">
        <v>0</v>
      </c>
      <c r="I60" s="76">
        <v>0</v>
      </c>
      <c r="J60" s="46">
        <f t="shared" si="6"/>
        <v>0</v>
      </c>
      <c r="K60" s="72">
        <v>2</v>
      </c>
      <c r="L60" s="15">
        <v>120</v>
      </c>
      <c r="M60" s="65">
        <f t="shared" si="2"/>
        <v>240</v>
      </c>
      <c r="N60" s="17" t="s">
        <v>16</v>
      </c>
      <c r="O60" s="18">
        <v>40</v>
      </c>
      <c r="P60" s="119">
        <f t="shared" si="3"/>
        <v>200</v>
      </c>
      <c r="Q60" s="90">
        <v>27.25</v>
      </c>
      <c r="R60" s="43">
        <f t="shared" si="4"/>
        <v>54.5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2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/>
      <c r="P64" s="119">
        <f t="shared" si="3"/>
        <v>150</v>
      </c>
      <c r="Q64" s="90">
        <v>23.69</v>
      </c>
      <c r="R64" s="43">
        <f t="shared" si="4"/>
        <v>71.070000000000007</v>
      </c>
    </row>
    <row r="65" spans="1:18" ht="24.6" hidden="1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19">
        <f t="shared" si="3"/>
        <v>50</v>
      </c>
      <c r="Q66" s="90">
        <v>23.12</v>
      </c>
      <c r="R66" s="43">
        <f t="shared" si="4"/>
        <v>23.12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+'6'!J69</f>
        <v>2</v>
      </c>
      <c r="F69" s="71"/>
      <c r="G69" s="46">
        <f t="shared" si="5"/>
        <v>2</v>
      </c>
      <c r="H69" s="78">
        <v>0</v>
      </c>
      <c r="I69" s="76">
        <v>0</v>
      </c>
      <c r="J69" s="46">
        <f t="shared" si="6"/>
        <v>1</v>
      </c>
      <c r="K69" s="72">
        <v>1</v>
      </c>
      <c r="L69" s="15">
        <v>150</v>
      </c>
      <c r="M69" s="65">
        <f t="shared" si="2"/>
        <v>150</v>
      </c>
      <c r="N69" s="17" t="s">
        <v>16</v>
      </c>
      <c r="O69" s="18"/>
      <c r="P69" s="119">
        <f t="shared" si="3"/>
        <v>150</v>
      </c>
      <c r="Q69" s="90">
        <v>67.790000000000006</v>
      </c>
      <c r="R69" s="43">
        <f t="shared" si="4"/>
        <v>67.790000000000006</v>
      </c>
    </row>
    <row r="70" spans="1:18" ht="24.6" hidden="1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+'6'!J70</f>
        <v>2</v>
      </c>
      <c r="F70" s="71"/>
      <c r="G70" s="46">
        <f t="shared" si="5"/>
        <v>2</v>
      </c>
      <c r="H70" s="78">
        <v>0</v>
      </c>
      <c r="I70" s="76">
        <v>0</v>
      </c>
      <c r="J70" s="46">
        <f t="shared" si="6"/>
        <v>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hidden="1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+'6'!J71</f>
        <v>1</v>
      </c>
      <c r="F71" s="71"/>
      <c r="G71" s="46">
        <f t="shared" si="5"/>
        <v>1</v>
      </c>
      <c r="H71" s="78">
        <v>0</v>
      </c>
      <c r="I71" s="76">
        <v>0</v>
      </c>
      <c r="J71" s="46">
        <f t="shared" si="6"/>
        <v>1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hidden="1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+'6'!J74</f>
        <v>1</v>
      </c>
      <c r="F74" s="71">
        <v>10</v>
      </c>
      <c r="G74" s="46">
        <f t="shared" si="5"/>
        <v>11</v>
      </c>
      <c r="H74" s="78">
        <v>0</v>
      </c>
      <c r="I74" s="76">
        <v>0</v>
      </c>
      <c r="J74" s="46">
        <f t="shared" si="6"/>
        <v>8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19">
        <f t="shared" si="3"/>
        <v>150</v>
      </c>
      <c r="Q74" s="90">
        <v>17.09</v>
      </c>
      <c r="R74" s="43">
        <f t="shared" si="4"/>
        <v>51.269999999999996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+'6'!J77</f>
        <v>9</v>
      </c>
      <c r="F77" s="71">
        <v>20</v>
      </c>
      <c r="G77" s="46">
        <f t="shared" si="5"/>
        <v>29</v>
      </c>
      <c r="H77" s="78">
        <v>0</v>
      </c>
      <c r="I77" s="76">
        <v>0</v>
      </c>
      <c r="J77" s="46">
        <f t="shared" si="6"/>
        <v>21</v>
      </c>
      <c r="K77" s="72">
        <v>8</v>
      </c>
      <c r="L77" s="21">
        <v>50</v>
      </c>
      <c r="M77" s="65">
        <f t="shared" si="2"/>
        <v>400</v>
      </c>
      <c r="N77" s="17" t="s">
        <v>16</v>
      </c>
      <c r="O77" s="18"/>
      <c r="P77" s="119">
        <f t="shared" si="3"/>
        <v>400</v>
      </c>
      <c r="Q77" s="90">
        <v>17.329999999999998</v>
      </c>
      <c r="R77" s="43">
        <f t="shared" si="4"/>
        <v>138.63999999999999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19">
        <f t="shared" si="3"/>
        <v>110</v>
      </c>
      <c r="Q80" s="90">
        <v>14.35</v>
      </c>
      <c r="R80" s="43">
        <f t="shared" si="4"/>
        <v>28.7</v>
      </c>
    </row>
    <row r="81" spans="1:18" ht="24.6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19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+'6'!J83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0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/>
      <c r="P83" s="119">
        <f t="shared" ref="P83:P91" si="11">SUM(M83-O83)</f>
        <v>100</v>
      </c>
      <c r="Q83" s="90">
        <v>18.14</v>
      </c>
      <c r="R83" s="43">
        <f t="shared" ref="R83:R91" si="12">+K83*Q83</f>
        <v>36.28</v>
      </c>
    </row>
    <row r="84" spans="1:18" ht="24.6" hidden="1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hidden="1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hidden="1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>
        <f>+'6'!J93</f>
        <v>0</v>
      </c>
      <c r="F93" s="71">
        <v>35</v>
      </c>
      <c r="G93" s="46">
        <f t="shared" si="5"/>
        <v>35</v>
      </c>
      <c r="H93" s="78">
        <v>0</v>
      </c>
      <c r="I93" s="76">
        <v>0</v>
      </c>
      <c r="J93" s="46">
        <f t="shared" si="6"/>
        <v>13</v>
      </c>
      <c r="K93" s="72">
        <v>22</v>
      </c>
      <c r="L93" s="21">
        <v>35</v>
      </c>
      <c r="M93" s="65">
        <f t="shared" si="7"/>
        <v>770</v>
      </c>
      <c r="N93" s="17" t="s">
        <v>16</v>
      </c>
      <c r="O93" s="18"/>
      <c r="P93" s="119">
        <f t="shared" si="8"/>
        <v>770</v>
      </c>
      <c r="Q93" s="90"/>
      <c r="R93" s="43">
        <f t="shared" si="9"/>
        <v>0</v>
      </c>
    </row>
    <row r="94" spans="1:18" ht="24.6" hidden="1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hidden="1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hidden="1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+'6'!J102</f>
        <v>210</v>
      </c>
      <c r="F102" s="71"/>
      <c r="G102" s="46">
        <f t="shared" ref="G102" si="28">E102+F102</f>
        <v>210</v>
      </c>
      <c r="H102" s="78">
        <v>0</v>
      </c>
      <c r="I102" s="76">
        <v>0</v>
      </c>
      <c r="J102" s="46">
        <f t="shared" ref="J102" si="29">+G102-H102-K102-I102</f>
        <v>21</v>
      </c>
      <c r="K102" s="72">
        <f>72+117</f>
        <v>189</v>
      </c>
      <c r="L102" s="20">
        <v>49</v>
      </c>
      <c r="M102" s="65">
        <f t="shared" si="25"/>
        <v>9261</v>
      </c>
      <c r="N102" s="17" t="s">
        <v>16</v>
      </c>
      <c r="O102" s="18">
        <f>9261-6420</f>
        <v>2841</v>
      </c>
      <c r="P102" s="119">
        <f t="shared" si="26"/>
        <v>6420</v>
      </c>
      <c r="Q102" s="90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+'6'!J112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18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19">
        <f>SUM(M112-O112)</f>
        <v>500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+'6'!J113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19">
        <f t="shared" si="8"/>
        <v>55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+'6'!J115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11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19">
        <f t="shared" si="8"/>
        <v>240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+'6'!J116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0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19">
        <f t="shared" si="8"/>
        <v>300</v>
      </c>
      <c r="Q116" s="90">
        <v>13.03</v>
      </c>
      <c r="R116" s="43">
        <f t="shared" si="9"/>
        <v>39.089999999999996</v>
      </c>
    </row>
    <row r="117" spans="1:18" ht="24.6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+'6'!J117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2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19">
        <f t="shared" si="8"/>
        <v>55</v>
      </c>
      <c r="Q117" s="90">
        <v>11.91</v>
      </c>
      <c r="R117" s="43">
        <f t="shared" si="9"/>
        <v>11.91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hidden="1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+'6'!J133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3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/>
      <c r="P133" s="119">
        <f t="shared" si="8"/>
        <v>300</v>
      </c>
      <c r="Q133" s="90">
        <v>21.75</v>
      </c>
      <c r="R133" s="43">
        <f t="shared" si="9"/>
        <v>130.5</v>
      </c>
    </row>
    <row r="134" spans="1:18" ht="24.6" hidden="1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hidden="1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+'6'!J142</f>
        <v>3</v>
      </c>
      <c r="F142" s="71"/>
      <c r="G142" s="46">
        <f t="shared" si="23"/>
        <v>3</v>
      </c>
      <c r="H142" s="78">
        <v>0</v>
      </c>
      <c r="I142" s="76">
        <v>0</v>
      </c>
      <c r="J142" s="46">
        <f t="shared" si="24"/>
        <v>3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+'6'!J143</f>
        <v>6</v>
      </c>
      <c r="F143" s="71"/>
      <c r="G143" s="46">
        <f t="shared" si="23"/>
        <v>6</v>
      </c>
      <c r="H143" s="78">
        <v>0</v>
      </c>
      <c r="I143" s="76">
        <v>0</v>
      </c>
      <c r="J143" s="46">
        <f t="shared" si="24"/>
        <v>5</v>
      </c>
      <c r="K143" s="72">
        <v>1</v>
      </c>
      <c r="L143" s="22">
        <v>10</v>
      </c>
      <c r="M143" s="65">
        <f t="shared" si="7"/>
        <v>10</v>
      </c>
      <c r="N143" s="17" t="s">
        <v>16</v>
      </c>
      <c r="O143" s="18"/>
      <c r="P143" s="119">
        <f t="shared" si="8"/>
        <v>10</v>
      </c>
      <c r="Q143" s="90">
        <v>2.35</v>
      </c>
      <c r="R143" s="43">
        <f t="shared" si="9"/>
        <v>2.35</v>
      </c>
    </row>
    <row r="144" spans="1:18" ht="24.6" hidden="1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+'6'!J144</f>
        <v>5</v>
      </c>
      <c r="F144" s="71"/>
      <c r="G144" s="46">
        <f t="shared" si="23"/>
        <v>5</v>
      </c>
      <c r="H144" s="78">
        <v>0</v>
      </c>
      <c r="I144" s="76">
        <v>0</v>
      </c>
      <c r="J144" s="46">
        <f t="shared" si="24"/>
        <v>5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hidden="1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+'6'!J145</f>
        <v>10</v>
      </c>
      <c r="F145" s="71"/>
      <c r="G145" s="46">
        <f t="shared" si="23"/>
        <v>10</v>
      </c>
      <c r="H145" s="78">
        <v>0</v>
      </c>
      <c r="I145" s="76">
        <v>0</v>
      </c>
      <c r="J145" s="46">
        <f t="shared" si="24"/>
        <v>10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hidden="1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+'6'!J146</f>
        <v>5</v>
      </c>
      <c r="F146" s="71"/>
      <c r="G146" s="46">
        <f t="shared" si="23"/>
        <v>5</v>
      </c>
      <c r="H146" s="78">
        <v>0</v>
      </c>
      <c r="I146" s="76">
        <v>0</v>
      </c>
      <c r="J146" s="46">
        <f t="shared" si="24"/>
        <v>5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+'6'!J150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2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>
        <v>15</v>
      </c>
      <c r="P150" s="119">
        <f t="shared" si="8"/>
        <v>40</v>
      </c>
      <c r="Q150" s="90">
        <v>15.28</v>
      </c>
      <c r="R150" s="43">
        <f t="shared" si="9"/>
        <v>15.28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+'6'!J154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19">
        <f>SUM(M154-O154)</f>
        <v>75</v>
      </c>
      <c r="Q154" s="90">
        <v>16.16</v>
      </c>
      <c r="R154" s="43">
        <f>+K154*Q154</f>
        <v>48.480000000000004</v>
      </c>
    </row>
    <row r="155" spans="1:18" ht="24.6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+'6'!J155</f>
        <v>46</v>
      </c>
      <c r="F155" s="71"/>
      <c r="G155" s="46">
        <f t="shared" si="23"/>
        <v>46</v>
      </c>
      <c r="H155" s="78">
        <v>0</v>
      </c>
      <c r="I155" s="76">
        <v>0</v>
      </c>
      <c r="J155" s="46">
        <f t="shared" si="24"/>
        <v>38</v>
      </c>
      <c r="K155" s="72">
        <v>8</v>
      </c>
      <c r="L155" s="20">
        <v>25</v>
      </c>
      <c r="M155" s="65">
        <f t="shared" si="7"/>
        <v>200</v>
      </c>
      <c r="N155" s="17" t="s">
        <v>1447</v>
      </c>
      <c r="O155" s="18">
        <v>25</v>
      </c>
      <c r="P155" s="119">
        <f t="shared" si="8"/>
        <v>175</v>
      </c>
      <c r="Q155" s="90">
        <v>18.63</v>
      </c>
      <c r="R155" s="43">
        <f t="shared" si="9"/>
        <v>149.04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+'6'!J163</f>
        <v>32</v>
      </c>
      <c r="F163" s="71"/>
      <c r="G163" s="46">
        <f t="shared" si="30"/>
        <v>32</v>
      </c>
      <c r="H163" s="78">
        <v>0</v>
      </c>
      <c r="I163" s="76">
        <v>0</v>
      </c>
      <c r="J163" s="46">
        <f t="shared" si="31"/>
        <v>26</v>
      </c>
      <c r="K163" s="72">
        <v>6</v>
      </c>
      <c r="L163" s="20">
        <v>25</v>
      </c>
      <c r="M163" s="65">
        <f t="shared" si="7"/>
        <v>150</v>
      </c>
      <c r="N163" s="17" t="s">
        <v>16</v>
      </c>
      <c r="O163" s="18">
        <v>30</v>
      </c>
      <c r="P163" s="119">
        <f t="shared" si="8"/>
        <v>120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>
        <f>+'6'!J173</f>
        <v>0</v>
      </c>
      <c r="F173" s="71">
        <v>30</v>
      </c>
      <c r="G173" s="46">
        <f>E173+F173</f>
        <v>30</v>
      </c>
      <c r="H173" s="78">
        <v>0</v>
      </c>
      <c r="I173" s="76">
        <v>0</v>
      </c>
      <c r="J173" s="46">
        <f>+G173-H173-K173-I173</f>
        <v>0</v>
      </c>
      <c r="K173" s="72">
        <v>30</v>
      </c>
      <c r="L173" s="20">
        <v>35</v>
      </c>
      <c r="M173" s="65">
        <f>+L173*K173</f>
        <v>1050</v>
      </c>
      <c r="N173" s="17" t="s">
        <v>16</v>
      </c>
      <c r="O173" s="18">
        <v>50</v>
      </c>
      <c r="P173" s="119">
        <f>SUM(M173-O173)</f>
        <v>1000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19">
        <f>SUM(M175-O175)</f>
        <v>150</v>
      </c>
      <c r="Q175" s="90">
        <v>29.96</v>
      </c>
      <c r="R175" s="43">
        <f>+K175*Q175</f>
        <v>89.88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+'6'!J187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11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19">
        <f>SUM(M187-O187)</f>
        <v>15</v>
      </c>
      <c r="Q187" s="92"/>
      <c r="R187" s="43">
        <f>+K187*Q187</f>
        <v>0</v>
      </c>
    </row>
    <row r="188" spans="1:18" ht="23.4" hidden="1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+'6'!J188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11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+'6'!J189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7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19">
        <f>SUM(M189-O189)</f>
        <v>15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>
        <f>+'6'!J198</f>
        <v>126</v>
      </c>
      <c r="F198" s="71"/>
      <c r="G198" s="46">
        <f t="shared" si="30"/>
        <v>126</v>
      </c>
      <c r="H198" s="78">
        <v>0</v>
      </c>
      <c r="I198" s="76">
        <v>0</v>
      </c>
      <c r="J198" s="46">
        <f t="shared" si="31"/>
        <v>77</v>
      </c>
      <c r="K198" s="72">
        <f>33+16</f>
        <v>49</v>
      </c>
      <c r="L198" s="20">
        <v>150</v>
      </c>
      <c r="M198" s="65">
        <f t="shared" si="34"/>
        <v>7350</v>
      </c>
      <c r="N198" s="17" t="s">
        <v>16</v>
      </c>
      <c r="O198" s="18">
        <f>7350-4350</f>
        <v>3000</v>
      </c>
      <c r="P198" s="119">
        <f t="shared" si="35"/>
        <v>4350</v>
      </c>
      <c r="Q198" s="90">
        <v>64.38</v>
      </c>
      <c r="R198" s="43">
        <f t="shared" si="36"/>
        <v>3154.62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>
        <f>+'6'!J207</f>
        <v>100</v>
      </c>
      <c r="F207" s="71"/>
      <c r="G207" s="46">
        <f>E207+F207</f>
        <v>100</v>
      </c>
      <c r="H207" s="78">
        <v>0</v>
      </c>
      <c r="I207" s="76">
        <v>0</v>
      </c>
      <c r="J207" s="46">
        <f>+G207-H207-K207-I207</f>
        <v>89</v>
      </c>
      <c r="K207" s="72">
        <v>11</v>
      </c>
      <c r="L207" s="20">
        <v>50</v>
      </c>
      <c r="M207" s="65">
        <f>+L207*K207</f>
        <v>550</v>
      </c>
      <c r="N207" s="17" t="s">
        <v>16</v>
      </c>
      <c r="O207" s="18">
        <f>550-220</f>
        <v>330</v>
      </c>
      <c r="P207" s="119">
        <f>SUM(M207-O207)</f>
        <v>220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564</v>
      </c>
      <c r="E242" s="64">
        <f>+'6'!J242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13</v>
      </c>
      <c r="K242" s="72">
        <v>13</v>
      </c>
      <c r="L242" s="20">
        <v>35</v>
      </c>
      <c r="M242" s="65">
        <f t="shared" si="44"/>
        <v>455</v>
      </c>
      <c r="N242" s="17" t="s">
        <v>16</v>
      </c>
      <c r="O242" s="18"/>
      <c r="P242" s="119">
        <f t="shared" si="45"/>
        <v>455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9900.91</v>
      </c>
      <c r="S260" s="75"/>
    </row>
    <row r="261" spans="1:19" ht="25.5" hidden="1" customHeight="1" x14ac:dyDescent="0.6">
      <c r="A261" s="1"/>
      <c r="E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38696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>
        <v>0</v>
      </c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9040</v>
      </c>
      <c r="O264" s="2">
        <v>9040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2800</v>
      </c>
      <c r="O266" s="2" t="s">
        <v>1448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6471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20385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20385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E272" s="1"/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,000.00"/>
        <filter val="1,050.00"/>
        <filter val="1,500.00"/>
        <filter val="1,700.00"/>
        <filter val="10.00"/>
        <filter val="100.00"/>
        <filter val="110.00"/>
        <filter val="120.00"/>
        <filter val="15.00"/>
        <filter val="150.00"/>
        <filter val="2,600.00"/>
        <filter val="200.00"/>
        <filter val="240.00"/>
        <filter val="300.00"/>
        <filter val="350.00"/>
        <filter val="4,200.00"/>
        <filter val="400.00"/>
        <filter val="450.00"/>
        <filter val="455.00"/>
        <filter val="480.00"/>
        <filter val="50.00"/>
        <filter val="500.00"/>
        <filter val="55.00"/>
        <filter val="550.00"/>
        <filter val="600.00"/>
        <filter val="65.00"/>
        <filter val="7,350.00"/>
        <filter val="75.00"/>
        <filter val="770.00"/>
        <filter val="9,261.00"/>
        <filter val="เป็นเงิ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36" right="0.25" top="0.75" bottom="0.13" header="0.3" footer="0.12"/>
  <pageSetup paperSize="9" scale="42" fitToWidth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 filterMode="1">
    <tabColor rgb="FFFFCCFF"/>
    <pageSetUpPr fitToPage="1"/>
  </sheetPr>
  <dimension ref="A1:S346"/>
  <sheetViews>
    <sheetView zoomScale="55" zoomScaleNormal="55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O273" sqref="A2:O273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+'7'!J5</f>
        <v>0</v>
      </c>
      <c r="F5" s="71">
        <v>8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19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+'7'!J6</f>
        <v>275</v>
      </c>
      <c r="F6" s="71"/>
      <c r="G6" s="46">
        <f t="shared" si="0"/>
        <v>275</v>
      </c>
      <c r="H6" s="78">
        <v>0</v>
      </c>
      <c r="I6" s="76">
        <v>0</v>
      </c>
      <c r="J6" s="46">
        <f t="shared" si="1"/>
        <v>189</v>
      </c>
      <c r="K6" s="72">
        <v>86</v>
      </c>
      <c r="L6" s="15">
        <v>100</v>
      </c>
      <c r="M6" s="65">
        <f t="shared" ref="M6:M80" si="2">+L6*K6</f>
        <v>8600</v>
      </c>
      <c r="N6" s="17" t="s">
        <v>16</v>
      </c>
      <c r="O6" s="18">
        <v>900</v>
      </c>
      <c r="P6" s="119">
        <f t="shared" ref="P6:P80" si="3">SUM(M6-O6)</f>
        <v>7700</v>
      </c>
      <c r="Q6" s="90">
        <v>39.29</v>
      </c>
      <c r="R6" s="43">
        <f t="shared" ref="R6:R80" si="4">+K6*Q6</f>
        <v>3378.94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hidden="1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0</v>
      </c>
      <c r="K15" s="72">
        <v>5</v>
      </c>
      <c r="L15" s="15">
        <v>50</v>
      </c>
      <c r="M15" s="65">
        <f t="shared" si="2"/>
        <v>250</v>
      </c>
      <c r="N15" s="17" t="s">
        <v>16</v>
      </c>
      <c r="O15" s="18"/>
      <c r="P15" s="119">
        <f t="shared" si="3"/>
        <v>250</v>
      </c>
      <c r="Q15" s="90">
        <v>24.37</v>
      </c>
      <c r="R15" s="43">
        <f t="shared" si="4"/>
        <v>121.85000000000001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hidden="1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+'7'!J20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4.6" hidden="1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+'7'!J22</f>
        <v>128</v>
      </c>
      <c r="F22" s="71"/>
      <c r="G22" s="46">
        <f t="shared" si="0"/>
        <v>128</v>
      </c>
      <c r="H22" s="78">
        <v>0</v>
      </c>
      <c r="I22" s="76">
        <v>0</v>
      </c>
      <c r="J22" s="46">
        <f t="shared" si="1"/>
        <v>119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19">
        <f t="shared" si="3"/>
        <v>900</v>
      </c>
      <c r="Q22" s="90">
        <v>26.6</v>
      </c>
      <c r="R22" s="43">
        <f t="shared" si="4"/>
        <v>239.4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+'7'!J24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19">
        <f t="shared" si="3"/>
        <v>300</v>
      </c>
      <c r="Q24" s="90">
        <v>40.51</v>
      </c>
      <c r="R24" s="43">
        <f t="shared" si="4"/>
        <v>121.53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+'7'!J26</f>
        <v>30</v>
      </c>
      <c r="F26" s="71"/>
      <c r="G26" s="46">
        <f t="shared" si="0"/>
        <v>30</v>
      </c>
      <c r="H26" s="78">
        <v>0</v>
      </c>
      <c r="I26" s="76">
        <v>0</v>
      </c>
      <c r="J26" s="46">
        <f t="shared" si="1"/>
        <v>27</v>
      </c>
      <c r="K26" s="72">
        <v>3</v>
      </c>
      <c r="L26" s="15">
        <v>100</v>
      </c>
      <c r="M26" s="65">
        <f t="shared" si="2"/>
        <v>300</v>
      </c>
      <c r="N26" s="17" t="s">
        <v>16</v>
      </c>
      <c r="O26" s="18"/>
      <c r="P26" s="119">
        <f t="shared" si="3"/>
        <v>300</v>
      </c>
      <c r="Q26" s="90">
        <v>35.39</v>
      </c>
      <c r="R26" s="43">
        <f t="shared" si="4"/>
        <v>106.17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+'7'!J28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10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19">
        <f t="shared" si="3"/>
        <v>600</v>
      </c>
      <c r="Q28" s="90">
        <v>31.97</v>
      </c>
      <c r="R28" s="43">
        <f t="shared" si="4"/>
        <v>191.82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+'7'!J31</f>
        <v>99</v>
      </c>
      <c r="F31" s="71"/>
      <c r="G31" s="46">
        <f t="shared" si="5"/>
        <v>99</v>
      </c>
      <c r="H31" s="78">
        <v>0</v>
      </c>
      <c r="I31" s="76">
        <v>0</v>
      </c>
      <c r="J31" s="46">
        <f t="shared" si="6"/>
        <v>94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19">
        <f t="shared" si="3"/>
        <v>500</v>
      </c>
      <c r="Q31" s="90">
        <v>38.46</v>
      </c>
      <c r="R31" s="43">
        <f t="shared" si="4"/>
        <v>192.3</v>
      </c>
    </row>
    <row r="32" spans="1:18" ht="24.6" hidden="1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hidden="1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+'7'!J33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+'7'!J39</f>
        <v>7</v>
      </c>
      <c r="F39" s="71">
        <v>4</v>
      </c>
      <c r="G39" s="46">
        <f t="shared" si="5"/>
        <v>11</v>
      </c>
      <c r="H39" s="78">
        <v>0</v>
      </c>
      <c r="I39" s="76">
        <v>0</v>
      </c>
      <c r="J39" s="46">
        <f t="shared" si="6"/>
        <v>3</v>
      </c>
      <c r="K39" s="72">
        <v>8</v>
      </c>
      <c r="L39" s="15">
        <v>50</v>
      </c>
      <c r="M39" s="65">
        <f t="shared" si="2"/>
        <v>400</v>
      </c>
      <c r="N39" s="17" t="s">
        <v>16</v>
      </c>
      <c r="O39" s="18"/>
      <c r="P39" s="119">
        <f t="shared" si="3"/>
        <v>400</v>
      </c>
      <c r="Q39" s="90">
        <v>27.84</v>
      </c>
      <c r="R39" s="43">
        <f t="shared" si="4"/>
        <v>222.72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+'7'!J40</f>
        <v>9</v>
      </c>
      <c r="F40" s="71">
        <v>4</v>
      </c>
      <c r="G40" s="46">
        <f t="shared" si="5"/>
        <v>13</v>
      </c>
      <c r="H40" s="78">
        <v>0</v>
      </c>
      <c r="I40" s="76">
        <v>0</v>
      </c>
      <c r="J40" s="46">
        <f t="shared" si="6"/>
        <v>5</v>
      </c>
      <c r="K40" s="72">
        <v>8</v>
      </c>
      <c r="L40" s="15">
        <v>50</v>
      </c>
      <c r="M40" s="65">
        <f t="shared" si="2"/>
        <v>400</v>
      </c>
      <c r="N40" s="17" t="s">
        <v>16</v>
      </c>
      <c r="O40" s="18"/>
      <c r="P40" s="119">
        <f t="shared" si="3"/>
        <v>400</v>
      </c>
      <c r="Q40" s="90">
        <v>27.12</v>
      </c>
      <c r="R40" s="43">
        <f t="shared" si="4"/>
        <v>216.96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+'7'!J41</f>
        <v>4</v>
      </c>
      <c r="F41" s="71">
        <v>5</v>
      </c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19">
        <f t="shared" si="3"/>
        <v>50</v>
      </c>
      <c r="Q41" s="90">
        <v>15.42</v>
      </c>
      <c r="R41" s="43">
        <f t="shared" si="4"/>
        <v>15.42</v>
      </c>
    </row>
    <row r="42" spans="1:18" ht="24.6" hidden="1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/>
      <c r="R42" s="43">
        <f t="shared" si="4"/>
        <v>0</v>
      </c>
    </row>
    <row r="43" spans="1:18" ht="24.6" hidden="1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65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hidden="1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65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+'7'!J46</f>
        <v>37</v>
      </c>
      <c r="F46" s="71">
        <v>1</v>
      </c>
      <c r="G46" s="46">
        <f t="shared" si="5"/>
        <v>38</v>
      </c>
      <c r="H46" s="78">
        <v>0</v>
      </c>
      <c r="I46" s="76">
        <v>0</v>
      </c>
      <c r="J46" s="46">
        <f t="shared" si="6"/>
        <v>34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19">
        <f t="shared" si="3"/>
        <v>200</v>
      </c>
      <c r="Q46" s="90">
        <v>19.05</v>
      </c>
      <c r="R46" s="43">
        <f t="shared" si="4"/>
        <v>76.2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+'7'!J47</f>
        <v>24</v>
      </c>
      <c r="F47" s="71">
        <v>2</v>
      </c>
      <c r="G47" s="46">
        <f t="shared" si="5"/>
        <v>26</v>
      </c>
      <c r="H47" s="78">
        <v>0</v>
      </c>
      <c r="I47" s="76">
        <v>0</v>
      </c>
      <c r="J47" s="46">
        <f t="shared" si="6"/>
        <v>22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19">
        <f t="shared" si="3"/>
        <v>200</v>
      </c>
      <c r="Q47" s="90">
        <v>19.21</v>
      </c>
      <c r="R47" s="43">
        <f t="shared" si="4"/>
        <v>76.84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+'7'!J48</f>
        <v>17</v>
      </c>
      <c r="F48" s="71">
        <v>2</v>
      </c>
      <c r="G48" s="46">
        <f t="shared" si="5"/>
        <v>19</v>
      </c>
      <c r="H48" s="78">
        <v>0</v>
      </c>
      <c r="I48" s="76">
        <v>0</v>
      </c>
      <c r="J48" s="46">
        <f t="shared" si="6"/>
        <v>16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19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+'7'!J49</f>
        <v>34</v>
      </c>
      <c r="F49" s="71">
        <v>3</v>
      </c>
      <c r="G49" s="46">
        <f t="shared" si="5"/>
        <v>37</v>
      </c>
      <c r="H49" s="78">
        <v>0</v>
      </c>
      <c r="I49" s="76">
        <v>0</v>
      </c>
      <c r="J49" s="46">
        <f t="shared" si="6"/>
        <v>34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19">
        <f>SUM(M49-O49)</f>
        <v>150</v>
      </c>
      <c r="Q49" s="90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+'7'!J50</f>
        <v>32</v>
      </c>
      <c r="F50" s="71">
        <v>1</v>
      </c>
      <c r="G50" s="46">
        <f t="shared" si="5"/>
        <v>33</v>
      </c>
      <c r="H50" s="78">
        <v>0</v>
      </c>
      <c r="I50" s="76">
        <v>0</v>
      </c>
      <c r="J50" s="46">
        <f t="shared" si="6"/>
        <v>29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19">
        <f t="shared" si="3"/>
        <v>200</v>
      </c>
      <c r="Q50" s="90">
        <v>21.81</v>
      </c>
      <c r="R50" s="43">
        <f t="shared" si="4"/>
        <v>87.24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+'7'!J51</f>
        <v>31</v>
      </c>
      <c r="F51" s="71">
        <v>3</v>
      </c>
      <c r="G51" s="46">
        <f t="shared" si="5"/>
        <v>34</v>
      </c>
      <c r="H51" s="78">
        <v>0</v>
      </c>
      <c r="I51" s="76">
        <v>0</v>
      </c>
      <c r="J51" s="46">
        <f t="shared" si="6"/>
        <v>30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19">
        <f>SUM(M51-O51)</f>
        <v>200</v>
      </c>
      <c r="Q51" s="90">
        <v>14.65</v>
      </c>
      <c r="R51" s="43">
        <f>+K51*Q51</f>
        <v>58.6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+'7'!J53</f>
        <v>8</v>
      </c>
      <c r="F53" s="71">
        <v>1</v>
      </c>
      <c r="G53" s="46">
        <f t="shared" si="5"/>
        <v>9</v>
      </c>
      <c r="H53" s="78">
        <v>0</v>
      </c>
      <c r="I53" s="76">
        <v>0</v>
      </c>
      <c r="J53" s="46">
        <f t="shared" si="6"/>
        <v>1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/>
      <c r="P53" s="119">
        <f>SUM(M53-O53)</f>
        <v>400</v>
      </c>
      <c r="Q53" s="90">
        <v>17.53</v>
      </c>
      <c r="R53" s="43">
        <f>+K53*Q53</f>
        <v>140.24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hidden="1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+'7'!J55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hidden="1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hidden="1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19">
        <f t="shared" si="3"/>
        <v>100</v>
      </c>
      <c r="Q64" s="90">
        <v>23.69</v>
      </c>
      <c r="R64" s="43">
        <f t="shared" si="4"/>
        <v>47.38</v>
      </c>
    </row>
    <row r="65" spans="1:18" ht="24.6" hidden="1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19">
        <f t="shared" si="3"/>
        <v>100</v>
      </c>
      <c r="Q66" s="90">
        <v>23.12</v>
      </c>
      <c r="R66" s="43">
        <f t="shared" si="4"/>
        <v>46.24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+'7'!J69</f>
        <v>1</v>
      </c>
      <c r="F69" s="71"/>
      <c r="G69" s="46">
        <f t="shared" si="5"/>
        <v>1</v>
      </c>
      <c r="H69" s="78">
        <v>0</v>
      </c>
      <c r="I69" s="76">
        <v>0</v>
      </c>
      <c r="J69" s="46">
        <f t="shared" si="6"/>
        <v>0</v>
      </c>
      <c r="K69" s="72">
        <v>1</v>
      </c>
      <c r="L69" s="15">
        <v>150</v>
      </c>
      <c r="M69" s="65">
        <f t="shared" si="2"/>
        <v>150</v>
      </c>
      <c r="N69" s="17" t="s">
        <v>16</v>
      </c>
      <c r="O69" s="18"/>
      <c r="P69" s="119">
        <f t="shared" si="3"/>
        <v>150</v>
      </c>
      <c r="Q69" s="90">
        <v>67.790000000000006</v>
      </c>
      <c r="R69" s="43">
        <f t="shared" si="4"/>
        <v>67.790000000000006</v>
      </c>
    </row>
    <row r="70" spans="1:18" ht="24.6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+'7'!J70</f>
        <v>2</v>
      </c>
      <c r="F70" s="71"/>
      <c r="G70" s="46">
        <f t="shared" si="5"/>
        <v>2</v>
      </c>
      <c r="H70" s="78">
        <v>0</v>
      </c>
      <c r="I70" s="76">
        <v>0</v>
      </c>
      <c r="J70" s="46">
        <f t="shared" si="6"/>
        <v>1</v>
      </c>
      <c r="K70" s="72">
        <v>1</v>
      </c>
      <c r="L70" s="15">
        <v>150</v>
      </c>
      <c r="M70" s="65">
        <f t="shared" si="2"/>
        <v>150</v>
      </c>
      <c r="N70" s="17" t="s">
        <v>16</v>
      </c>
      <c r="O70" s="18"/>
      <c r="P70" s="119">
        <f t="shared" si="3"/>
        <v>150</v>
      </c>
      <c r="Q70" s="90">
        <v>68.37</v>
      </c>
      <c r="R70" s="43">
        <f t="shared" si="4"/>
        <v>68.37</v>
      </c>
    </row>
    <row r="71" spans="1:18" ht="24.6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+'7'!J71</f>
        <v>1</v>
      </c>
      <c r="F71" s="71"/>
      <c r="G71" s="46">
        <f t="shared" si="5"/>
        <v>1</v>
      </c>
      <c r="H71" s="78">
        <v>0</v>
      </c>
      <c r="I71" s="76">
        <v>0</v>
      </c>
      <c r="J71" s="46">
        <f t="shared" si="6"/>
        <v>0</v>
      </c>
      <c r="K71" s="72">
        <v>1</v>
      </c>
      <c r="L71" s="15">
        <v>150</v>
      </c>
      <c r="M71" s="65">
        <f t="shared" si="2"/>
        <v>150</v>
      </c>
      <c r="N71" s="17" t="s">
        <v>16</v>
      </c>
      <c r="O71" s="18"/>
      <c r="P71" s="119">
        <f t="shared" si="3"/>
        <v>150</v>
      </c>
      <c r="Q71" s="90">
        <v>67.17</v>
      </c>
      <c r="R71" s="43">
        <f t="shared" si="4"/>
        <v>67.17</v>
      </c>
    </row>
    <row r="72" spans="1:18" ht="24.6" hidden="1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+'7'!J74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2</v>
      </c>
      <c r="K74" s="72">
        <v>6</v>
      </c>
      <c r="L74" s="21">
        <v>50</v>
      </c>
      <c r="M74" s="65">
        <f t="shared" si="2"/>
        <v>300</v>
      </c>
      <c r="N74" s="17" t="s">
        <v>16</v>
      </c>
      <c r="O74" s="18"/>
      <c r="P74" s="119">
        <f t="shared" si="3"/>
        <v>300</v>
      </c>
      <c r="Q74" s="90">
        <v>17.09</v>
      </c>
      <c r="R74" s="43">
        <f t="shared" si="4"/>
        <v>102.53999999999999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+'7'!J77</f>
        <v>21</v>
      </c>
      <c r="F77" s="71"/>
      <c r="G77" s="46">
        <f t="shared" si="5"/>
        <v>21</v>
      </c>
      <c r="H77" s="78">
        <v>11</v>
      </c>
      <c r="I77" s="76">
        <v>0</v>
      </c>
      <c r="J77" s="46">
        <f t="shared" si="6"/>
        <v>0</v>
      </c>
      <c r="K77" s="72">
        <v>10</v>
      </c>
      <c r="L77" s="21">
        <v>50</v>
      </c>
      <c r="M77" s="65">
        <f t="shared" si="2"/>
        <v>500</v>
      </c>
      <c r="N77" s="17" t="s">
        <v>16</v>
      </c>
      <c r="O77" s="18"/>
      <c r="P77" s="119">
        <f t="shared" si="3"/>
        <v>500</v>
      </c>
      <c r="Q77" s="90">
        <v>17.329999999999998</v>
      </c>
      <c r="R77" s="43">
        <f t="shared" si="4"/>
        <v>173.29999999999998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hidden="1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hidden="1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hidden="1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hidden="1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hidden="1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hidden="1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>
        <f>+'7'!J93</f>
        <v>13</v>
      </c>
      <c r="F93" s="71"/>
      <c r="G93" s="46">
        <f t="shared" si="5"/>
        <v>13</v>
      </c>
      <c r="H93" s="78">
        <v>0</v>
      </c>
      <c r="I93" s="76">
        <v>0</v>
      </c>
      <c r="J93" s="46">
        <f t="shared" si="6"/>
        <v>0</v>
      </c>
      <c r="K93" s="72">
        <v>13</v>
      </c>
      <c r="L93" s="21">
        <v>35</v>
      </c>
      <c r="M93" s="65">
        <f t="shared" si="7"/>
        <v>455</v>
      </c>
      <c r="N93" s="17" t="s">
        <v>16</v>
      </c>
      <c r="O93" s="18"/>
      <c r="P93" s="119">
        <f t="shared" si="8"/>
        <v>455</v>
      </c>
      <c r="Q93" s="90"/>
      <c r="R93" s="43">
        <f t="shared" si="9"/>
        <v>0</v>
      </c>
    </row>
    <row r="94" spans="1:18" ht="24.6" hidden="1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119">
        <f t="shared" si="8"/>
        <v>0</v>
      </c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hidden="1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+'7'!J99</f>
        <v>0</v>
      </c>
      <c r="F99" s="71">
        <v>9</v>
      </c>
      <c r="G99" s="46">
        <f t="shared" si="23"/>
        <v>9</v>
      </c>
      <c r="H99" s="78">
        <v>0</v>
      </c>
      <c r="I99" s="76">
        <v>0</v>
      </c>
      <c r="J99" s="46">
        <f t="shared" si="24"/>
        <v>7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19">
        <f t="shared" ref="P99:P105" si="26">SUM(M99-O99)</f>
        <v>90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+'7'!J102</f>
        <v>21</v>
      </c>
      <c r="F102" s="71"/>
      <c r="G102" s="46">
        <f t="shared" ref="G102" si="28">E102+F102</f>
        <v>21</v>
      </c>
      <c r="H102" s="78">
        <v>0</v>
      </c>
      <c r="I102" s="76">
        <v>1</v>
      </c>
      <c r="J102" s="46">
        <f t="shared" ref="J102" si="29">+G102-H102-K102-I102</f>
        <v>0</v>
      </c>
      <c r="K102" s="72">
        <v>20</v>
      </c>
      <c r="L102" s="20">
        <v>49</v>
      </c>
      <c r="M102" s="65">
        <f t="shared" si="25"/>
        <v>980</v>
      </c>
      <c r="N102" s="17" t="s">
        <v>16</v>
      </c>
      <c r="O102" s="18">
        <f>1575-1240</f>
        <v>335</v>
      </c>
      <c r="P102" s="119">
        <f t="shared" si="26"/>
        <v>645</v>
      </c>
      <c r="Q102" s="90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+'7'!J112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19">
        <f>SUM(M112-O112)</f>
        <v>300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8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19">
        <f t="shared" si="8"/>
        <v>165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+'7'!J115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19">
        <f t="shared" si="8"/>
        <v>180</v>
      </c>
      <c r="Q115" s="90"/>
      <c r="R115" s="43">
        <f t="shared" si="9"/>
        <v>0</v>
      </c>
    </row>
    <row r="116" spans="1:18" ht="24.6" hidden="1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hidden="1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+'7'!J117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hidden="1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19">
        <f t="shared" si="8"/>
        <v>150</v>
      </c>
      <c r="Q133" s="90">
        <v>21.75</v>
      </c>
      <c r="R133" s="43">
        <f t="shared" si="9"/>
        <v>65.25</v>
      </c>
    </row>
    <row r="134" spans="1:18" ht="24.6" hidden="1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hidden="1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+'7'!J142</f>
        <v>3</v>
      </c>
      <c r="F142" s="71"/>
      <c r="G142" s="46">
        <f t="shared" si="23"/>
        <v>3</v>
      </c>
      <c r="H142" s="78">
        <v>0</v>
      </c>
      <c r="I142" s="76">
        <v>0</v>
      </c>
      <c r="J142" s="46">
        <f t="shared" si="24"/>
        <v>3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hidden="1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+'7'!J143</f>
        <v>5</v>
      </c>
      <c r="F143" s="71"/>
      <c r="G143" s="46">
        <f t="shared" si="23"/>
        <v>5</v>
      </c>
      <c r="H143" s="78">
        <v>0</v>
      </c>
      <c r="I143" s="76">
        <v>0</v>
      </c>
      <c r="J143" s="46">
        <f t="shared" si="24"/>
        <v>5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hidden="1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+'7'!J144</f>
        <v>5</v>
      </c>
      <c r="F144" s="71"/>
      <c r="G144" s="46">
        <f t="shared" si="23"/>
        <v>5</v>
      </c>
      <c r="H144" s="78">
        <v>0</v>
      </c>
      <c r="I144" s="76">
        <v>0</v>
      </c>
      <c r="J144" s="46">
        <f t="shared" si="24"/>
        <v>5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hidden="1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+'7'!J145</f>
        <v>10</v>
      </c>
      <c r="F145" s="71"/>
      <c r="G145" s="46">
        <f t="shared" si="23"/>
        <v>10</v>
      </c>
      <c r="H145" s="78">
        <v>0</v>
      </c>
      <c r="I145" s="76">
        <v>0</v>
      </c>
      <c r="J145" s="46">
        <f t="shared" si="24"/>
        <v>10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hidden="1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+'7'!J146</f>
        <v>5</v>
      </c>
      <c r="F146" s="71"/>
      <c r="G146" s="46">
        <f t="shared" si="23"/>
        <v>5</v>
      </c>
      <c r="H146" s="78">
        <v>0</v>
      </c>
      <c r="I146" s="76">
        <v>0</v>
      </c>
      <c r="J146" s="46">
        <f t="shared" si="24"/>
        <v>5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+'7'!J150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1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>
        <v>15</v>
      </c>
      <c r="P150" s="119">
        <f t="shared" si="8"/>
        <v>40</v>
      </c>
      <c r="Q150" s="90">
        <v>15.28</v>
      </c>
      <c r="R150" s="43">
        <f t="shared" si="9"/>
        <v>15.28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hidden="1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+'7'!J155</f>
        <v>38</v>
      </c>
      <c r="F155" s="71"/>
      <c r="G155" s="46">
        <f t="shared" si="23"/>
        <v>38</v>
      </c>
      <c r="H155" s="78">
        <v>1</v>
      </c>
      <c r="I155" s="76">
        <v>0</v>
      </c>
      <c r="J155" s="46">
        <f t="shared" si="24"/>
        <v>34</v>
      </c>
      <c r="K155" s="72">
        <v>3</v>
      </c>
      <c r="L155" s="20">
        <v>25</v>
      </c>
      <c r="M155" s="65">
        <f t="shared" si="7"/>
        <v>75</v>
      </c>
      <c r="N155" s="17" t="s">
        <v>16</v>
      </c>
      <c r="O155" s="18"/>
      <c r="P155" s="119">
        <f t="shared" si="8"/>
        <v>75</v>
      </c>
      <c r="Q155" s="90">
        <v>18.63</v>
      </c>
      <c r="R155" s="43">
        <f t="shared" si="9"/>
        <v>55.89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+'7'!J163</f>
        <v>26</v>
      </c>
      <c r="F163" s="71"/>
      <c r="G163" s="46">
        <f t="shared" si="30"/>
        <v>26</v>
      </c>
      <c r="H163" s="78">
        <v>0</v>
      </c>
      <c r="I163" s="76">
        <v>0</v>
      </c>
      <c r="J163" s="46">
        <f t="shared" si="31"/>
        <v>20</v>
      </c>
      <c r="K163" s="72">
        <v>6</v>
      </c>
      <c r="L163" s="20">
        <v>25</v>
      </c>
      <c r="M163" s="65">
        <f t="shared" si="7"/>
        <v>150</v>
      </c>
      <c r="N163" s="17" t="s">
        <v>16</v>
      </c>
      <c r="O163" s="18">
        <v>30</v>
      </c>
      <c r="P163" s="119">
        <f t="shared" si="8"/>
        <v>120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>
        <f>+'7'!J173</f>
        <v>0</v>
      </c>
      <c r="F173" s="71">
        <v>6</v>
      </c>
      <c r="G173" s="46">
        <f>E173+F173</f>
        <v>6</v>
      </c>
      <c r="H173" s="78">
        <v>0</v>
      </c>
      <c r="I173" s="76">
        <v>0</v>
      </c>
      <c r="J173" s="46">
        <f>+G173-H173-K173-I173</f>
        <v>0</v>
      </c>
      <c r="K173" s="72">
        <v>6</v>
      </c>
      <c r="L173" s="20">
        <v>35</v>
      </c>
      <c r="M173" s="65">
        <f>+L173*K173</f>
        <v>210</v>
      </c>
      <c r="N173" s="17" t="s">
        <v>16</v>
      </c>
      <c r="O173" s="18"/>
      <c r="P173" s="119">
        <f>SUM(M173-O173)</f>
        <v>210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+'7'!J175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1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19">
        <f>SUM(M175-O175)</f>
        <v>250</v>
      </c>
      <c r="Q175" s="90">
        <v>29.96</v>
      </c>
      <c r="R175" s="43">
        <f>+K175*Q175</f>
        <v>149.80000000000001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hidden="1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+'7'!J187</f>
        <v>11</v>
      </c>
      <c r="F187" s="71"/>
      <c r="G187" s="46">
        <f>E187+F187</f>
        <v>11</v>
      </c>
      <c r="H187" s="78">
        <v>0</v>
      </c>
      <c r="I187" s="76">
        <v>0</v>
      </c>
      <c r="J187" s="46">
        <f>+G187-H187-K187-I187</f>
        <v>11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hidden="1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+'7'!J188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11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hidden="1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+'7'!J189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>
        <f>+'7'!J198</f>
        <v>77</v>
      </c>
      <c r="F198" s="71"/>
      <c r="G198" s="46">
        <f t="shared" si="30"/>
        <v>77</v>
      </c>
      <c r="H198" s="78">
        <v>0</v>
      </c>
      <c r="I198" s="76">
        <v>0</v>
      </c>
      <c r="J198" s="46">
        <f t="shared" si="31"/>
        <v>32</v>
      </c>
      <c r="K198" s="72">
        <v>45</v>
      </c>
      <c r="L198" s="20">
        <v>150</v>
      </c>
      <c r="M198" s="65">
        <f t="shared" si="34"/>
        <v>6750</v>
      </c>
      <c r="N198" s="17" t="s">
        <v>16</v>
      </c>
      <c r="O198" s="18">
        <f>6750-4100</f>
        <v>2650</v>
      </c>
      <c r="P198" s="119">
        <f t="shared" si="35"/>
        <v>4100</v>
      </c>
      <c r="Q198" s="90">
        <v>64.38</v>
      </c>
      <c r="R198" s="43">
        <f t="shared" si="36"/>
        <v>2897.1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>
        <f>+'7'!J207</f>
        <v>89</v>
      </c>
      <c r="F207" s="71"/>
      <c r="G207" s="46">
        <f>E207+F207</f>
        <v>89</v>
      </c>
      <c r="H207" s="78">
        <v>0</v>
      </c>
      <c r="I207" s="76">
        <v>0</v>
      </c>
      <c r="J207" s="46">
        <f>+G207-H207-K207-I207</f>
        <v>64</v>
      </c>
      <c r="K207" s="72">
        <f>89-64</f>
        <v>25</v>
      </c>
      <c r="L207" s="20">
        <v>50</v>
      </c>
      <c r="M207" s="65">
        <f>+L207*K207</f>
        <v>1250</v>
      </c>
      <c r="N207" s="17" t="s">
        <v>16</v>
      </c>
      <c r="O207" s="18">
        <f>1250-220</f>
        <v>1030</v>
      </c>
      <c r="P207" s="119">
        <f>SUM(M207-O207)</f>
        <v>220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564</v>
      </c>
      <c r="E242" s="64">
        <f>+'7'!J242</f>
        <v>13</v>
      </c>
      <c r="F242" s="71"/>
      <c r="G242" s="46">
        <f t="shared" si="42"/>
        <v>13</v>
      </c>
      <c r="H242" s="78">
        <v>0</v>
      </c>
      <c r="I242" s="76">
        <v>0</v>
      </c>
      <c r="J242" s="46">
        <f t="shared" si="43"/>
        <v>9</v>
      </c>
      <c r="K242" s="72">
        <v>4</v>
      </c>
      <c r="L242" s="20">
        <v>35</v>
      </c>
      <c r="M242" s="65">
        <f t="shared" si="44"/>
        <v>140</v>
      </c>
      <c r="N242" s="17" t="s">
        <v>16</v>
      </c>
      <c r="O242" s="18"/>
      <c r="P242" s="119">
        <f t="shared" si="45"/>
        <v>140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9165.0000000000018</v>
      </c>
      <c r="S260" s="75"/>
    </row>
    <row r="261" spans="1:19" ht="25.5" hidden="1" customHeight="1" x14ac:dyDescent="0.6">
      <c r="A261" s="1"/>
      <c r="E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26565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5240</v>
      </c>
      <c r="O264" s="2">
        <v>5240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4960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16365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16165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-200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-200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,250.00"/>
        <filter val="100.00"/>
        <filter val="140.00"/>
        <filter val="150.00"/>
        <filter val="165.00"/>
        <filter val="180.00"/>
        <filter val="200.00"/>
        <filter val="210.00"/>
        <filter val="250.00"/>
        <filter val="300.00"/>
        <filter val="400.00"/>
        <filter val="455.00"/>
        <filter val="50.00"/>
        <filter val="500.00"/>
        <filter val="55.00"/>
        <filter val="6,750.00"/>
        <filter val="600.00"/>
        <filter val="65.00"/>
        <filter val="75.00"/>
        <filter val="8,600.00"/>
        <filter val="90.00"/>
        <filter val="900.00"/>
        <filter val="980.00"/>
        <filter val="เป็นเงิ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75" bottom="0.75" header="0.3" footer="0.3"/>
  <pageSetup paperSize="9" scale="3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  <pageSetUpPr fitToPage="1"/>
  </sheetPr>
  <dimension ref="A1:S346"/>
  <sheetViews>
    <sheetView zoomScale="85" zoomScaleNormal="85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O273" sqref="A2:O273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+'8'!J5</f>
        <v>7</v>
      </c>
      <c r="F5" s="71">
        <v>20</v>
      </c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20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19">
        <f>SUM(M5-O5)</f>
        <v>350</v>
      </c>
      <c r="Q5" s="90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+'8'!J6</f>
        <v>189</v>
      </c>
      <c r="F6" s="71"/>
      <c r="G6" s="46">
        <f t="shared" si="0"/>
        <v>189</v>
      </c>
      <c r="H6" s="78">
        <v>0</v>
      </c>
      <c r="I6" s="76">
        <v>60</v>
      </c>
      <c r="J6" s="46">
        <f t="shared" si="1"/>
        <v>110</v>
      </c>
      <c r="K6" s="72">
        <v>19</v>
      </c>
      <c r="L6" s="15">
        <v>100</v>
      </c>
      <c r="M6" s="65">
        <f t="shared" ref="M6:M80" si="2">+L6*K6</f>
        <v>1900</v>
      </c>
      <c r="N6" s="17" t="s">
        <v>16</v>
      </c>
      <c r="O6" s="18">
        <v>250</v>
      </c>
      <c r="P6" s="119">
        <f t="shared" ref="P6:P80" si="3">SUM(M6-O6)</f>
        <v>1650</v>
      </c>
      <c r="Q6" s="90">
        <v>39.29</v>
      </c>
      <c r="R6" s="43">
        <f t="shared" ref="R6:R80" si="4">+K6*Q6</f>
        <v>746.51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+'8'!J11</f>
        <v>0</v>
      </c>
      <c r="F11" s="71">
        <v>20</v>
      </c>
      <c r="G11" s="46">
        <f t="shared" si="0"/>
        <v>20</v>
      </c>
      <c r="H11" s="78">
        <v>0</v>
      </c>
      <c r="I11" s="76">
        <v>0</v>
      </c>
      <c r="J11" s="46">
        <f t="shared" si="1"/>
        <v>19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hidden="1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hidden="1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1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19">
        <f t="shared" si="3"/>
        <v>130</v>
      </c>
      <c r="Q20" s="90">
        <v>22.25</v>
      </c>
      <c r="R20" s="43">
        <f t="shared" si="4"/>
        <v>44.5</v>
      </c>
    </row>
    <row r="21" spans="1:18" ht="24.6" hidden="1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+'8'!J22</f>
        <v>119</v>
      </c>
      <c r="F22" s="71"/>
      <c r="G22" s="46">
        <f t="shared" si="0"/>
        <v>119</v>
      </c>
      <c r="H22" s="78">
        <v>0</v>
      </c>
      <c r="I22" s="76">
        <v>10</v>
      </c>
      <c r="J22" s="46">
        <f t="shared" si="1"/>
        <v>96</v>
      </c>
      <c r="K22" s="72">
        <v>13</v>
      </c>
      <c r="L22" s="20">
        <v>100</v>
      </c>
      <c r="M22" s="65">
        <f t="shared" si="2"/>
        <v>1300</v>
      </c>
      <c r="N22" s="17" t="s">
        <v>16</v>
      </c>
      <c r="O22" s="18"/>
      <c r="P22" s="119">
        <f t="shared" si="3"/>
        <v>1300</v>
      </c>
      <c r="Q22" s="90">
        <v>26.6</v>
      </c>
      <c r="R22" s="43">
        <f t="shared" si="4"/>
        <v>345.8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+'8'!J24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21</v>
      </c>
      <c r="K24" s="72">
        <v>14</v>
      </c>
      <c r="L24" s="15">
        <v>100</v>
      </c>
      <c r="M24" s="65">
        <f t="shared" si="2"/>
        <v>1400</v>
      </c>
      <c r="N24" s="17" t="s">
        <v>16</v>
      </c>
      <c r="O24" s="18"/>
      <c r="P24" s="119">
        <f t="shared" si="3"/>
        <v>1400</v>
      </c>
      <c r="Q24" s="90">
        <v>40.51</v>
      </c>
      <c r="R24" s="43">
        <f t="shared" si="4"/>
        <v>567.14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hidden="1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+'8'!J26</f>
        <v>27</v>
      </c>
      <c r="F26" s="71"/>
      <c r="G26" s="46">
        <f t="shared" si="0"/>
        <v>27</v>
      </c>
      <c r="H26" s="78">
        <v>0</v>
      </c>
      <c r="I26" s="76">
        <v>0</v>
      </c>
      <c r="J26" s="46">
        <f t="shared" si="1"/>
        <v>27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+'8'!J28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19">
        <f t="shared" si="3"/>
        <v>300</v>
      </c>
      <c r="Q28" s="90">
        <v>31.97</v>
      </c>
      <c r="R28" s="43">
        <f t="shared" si="4"/>
        <v>95.91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+'8'!J31</f>
        <v>94</v>
      </c>
      <c r="F31" s="71"/>
      <c r="G31" s="46">
        <f t="shared" si="5"/>
        <v>94</v>
      </c>
      <c r="H31" s="78">
        <v>0</v>
      </c>
      <c r="I31" s="76">
        <v>20</v>
      </c>
      <c r="J31" s="46">
        <f t="shared" si="6"/>
        <v>64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19">
        <f t="shared" si="3"/>
        <v>1000</v>
      </c>
      <c r="Q31" s="90">
        <v>38.46</v>
      </c>
      <c r="R31" s="43">
        <f t="shared" si="4"/>
        <v>384.6</v>
      </c>
    </row>
    <row r="32" spans="1:18" ht="24.6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+'8'!J32</f>
        <v>0</v>
      </c>
      <c r="F32" s="71">
        <v>15</v>
      </c>
      <c r="G32" s="46">
        <f t="shared" si="5"/>
        <v>15</v>
      </c>
      <c r="H32" s="78">
        <v>0</v>
      </c>
      <c r="I32" s="76">
        <v>0</v>
      </c>
      <c r="J32" s="46">
        <f t="shared" si="6"/>
        <v>14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19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+'8'!J33</f>
        <v>2</v>
      </c>
      <c r="F33" s="71">
        <v>5</v>
      </c>
      <c r="G33" s="46">
        <f t="shared" si="5"/>
        <v>7</v>
      </c>
      <c r="H33" s="78">
        <v>0</v>
      </c>
      <c r="I33" s="76">
        <v>0</v>
      </c>
      <c r="J33" s="46">
        <f t="shared" si="6"/>
        <v>0</v>
      </c>
      <c r="K33" s="72">
        <v>7</v>
      </c>
      <c r="L33" s="15">
        <v>130</v>
      </c>
      <c r="M33" s="65">
        <f t="shared" si="2"/>
        <v>910</v>
      </c>
      <c r="N33" s="17" t="s">
        <v>16</v>
      </c>
      <c r="O33" s="18"/>
      <c r="P33" s="119">
        <f t="shared" si="3"/>
        <v>910</v>
      </c>
      <c r="Q33" s="90">
        <v>38.9</v>
      </c>
      <c r="R33" s="43">
        <f t="shared" si="4"/>
        <v>272.3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+'8'!J39</f>
        <v>3</v>
      </c>
      <c r="F39" s="71">
        <v>45</v>
      </c>
      <c r="G39" s="46">
        <f t="shared" si="5"/>
        <v>48</v>
      </c>
      <c r="H39" s="78">
        <v>0</v>
      </c>
      <c r="I39" s="76">
        <v>0</v>
      </c>
      <c r="J39" s="46">
        <f t="shared" si="6"/>
        <v>34</v>
      </c>
      <c r="K39" s="72">
        <v>14</v>
      </c>
      <c r="L39" s="15">
        <v>50</v>
      </c>
      <c r="M39" s="65">
        <f t="shared" si="2"/>
        <v>700</v>
      </c>
      <c r="N39" s="17" t="s">
        <v>16</v>
      </c>
      <c r="O39" s="18"/>
      <c r="P39" s="119">
        <f t="shared" si="3"/>
        <v>700</v>
      </c>
      <c r="Q39" s="90">
        <v>27.84</v>
      </c>
      <c r="R39" s="43">
        <f t="shared" si="4"/>
        <v>389.76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+'8'!J40</f>
        <v>5</v>
      </c>
      <c r="F40" s="71">
        <v>15</v>
      </c>
      <c r="G40" s="46">
        <f t="shared" si="5"/>
        <v>20</v>
      </c>
      <c r="H40" s="78">
        <v>0</v>
      </c>
      <c r="I40" s="76">
        <v>0</v>
      </c>
      <c r="J40" s="46">
        <f t="shared" si="6"/>
        <v>14</v>
      </c>
      <c r="K40" s="72">
        <v>6</v>
      </c>
      <c r="L40" s="15">
        <v>50</v>
      </c>
      <c r="M40" s="65">
        <f t="shared" si="2"/>
        <v>300</v>
      </c>
      <c r="N40" s="17" t="s">
        <v>16</v>
      </c>
      <c r="O40" s="18"/>
      <c r="P40" s="119">
        <f t="shared" si="3"/>
        <v>300</v>
      </c>
      <c r="Q40" s="90">
        <v>27.12</v>
      </c>
      <c r="R40" s="43">
        <f t="shared" si="4"/>
        <v>162.72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+'8'!J41</f>
        <v>8</v>
      </c>
      <c r="F41" s="71">
        <v>1</v>
      </c>
      <c r="G41" s="46">
        <f t="shared" si="5"/>
        <v>9</v>
      </c>
      <c r="H41" s="78">
        <v>0</v>
      </c>
      <c r="I41" s="76">
        <v>0</v>
      </c>
      <c r="J41" s="46">
        <f t="shared" si="6"/>
        <v>2</v>
      </c>
      <c r="K41" s="72">
        <v>7</v>
      </c>
      <c r="L41" s="15">
        <v>50</v>
      </c>
      <c r="M41" s="65">
        <f t="shared" si="2"/>
        <v>350</v>
      </c>
      <c r="N41" s="17" t="s">
        <v>16</v>
      </c>
      <c r="O41" s="18"/>
      <c r="P41" s="119">
        <f t="shared" si="3"/>
        <v>350</v>
      </c>
      <c r="Q41" s="90">
        <v>15.42</v>
      </c>
      <c r="R41" s="43">
        <f t="shared" si="4"/>
        <v>107.94</v>
      </c>
    </row>
    <row r="42" spans="1:18" ht="24.6" hidden="1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/>
      <c r="R42" s="43">
        <f t="shared" si="4"/>
        <v>0</v>
      </c>
    </row>
    <row r="43" spans="1:18" ht="24.6" hidden="1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65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hidden="1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65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+'8'!J46</f>
        <v>34</v>
      </c>
      <c r="F46" s="71"/>
      <c r="G46" s="46">
        <f t="shared" si="5"/>
        <v>34</v>
      </c>
      <c r="H46" s="78">
        <v>0</v>
      </c>
      <c r="I46" s="76">
        <v>0</v>
      </c>
      <c r="J46" s="46">
        <f t="shared" si="6"/>
        <v>26</v>
      </c>
      <c r="K46" s="72">
        <v>8</v>
      </c>
      <c r="L46" s="15">
        <v>50</v>
      </c>
      <c r="M46" s="65">
        <f t="shared" si="2"/>
        <v>400</v>
      </c>
      <c r="N46" s="17" t="s">
        <v>16</v>
      </c>
      <c r="O46" s="18">
        <v>42</v>
      </c>
      <c r="P46" s="119">
        <f t="shared" si="3"/>
        <v>358</v>
      </c>
      <c r="Q46" s="90">
        <v>19.05</v>
      </c>
      <c r="R46" s="43">
        <f t="shared" si="4"/>
        <v>152.4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+'8'!J47</f>
        <v>22</v>
      </c>
      <c r="F47" s="71"/>
      <c r="G47" s="46">
        <f t="shared" si="5"/>
        <v>22</v>
      </c>
      <c r="H47" s="78">
        <v>0</v>
      </c>
      <c r="I47" s="76">
        <v>0</v>
      </c>
      <c r="J47" s="46">
        <f t="shared" si="6"/>
        <v>17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>
        <v>42</v>
      </c>
      <c r="P47" s="119">
        <f t="shared" si="3"/>
        <v>208</v>
      </c>
      <c r="Q47" s="90">
        <v>19.21</v>
      </c>
      <c r="R47" s="43">
        <f t="shared" si="4"/>
        <v>96.050000000000011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+'8'!J48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13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42</v>
      </c>
      <c r="P48" s="119">
        <f>SUM(M48-O48)</f>
        <v>108</v>
      </c>
      <c r="Q48" s="90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+'8'!J49</f>
        <v>34</v>
      </c>
      <c r="F49" s="71"/>
      <c r="G49" s="46">
        <f t="shared" si="5"/>
        <v>34</v>
      </c>
      <c r="H49" s="78">
        <v>0</v>
      </c>
      <c r="I49" s="76">
        <v>0</v>
      </c>
      <c r="J49" s="46">
        <f t="shared" si="6"/>
        <v>30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42</v>
      </c>
      <c r="P49" s="119">
        <f>SUM(M49-O49)</f>
        <v>158</v>
      </c>
      <c r="Q49" s="90">
        <v>20.43</v>
      </c>
      <c r="R49" s="43">
        <f>+K49*Q49</f>
        <v>81.72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+'8'!J50</f>
        <v>29</v>
      </c>
      <c r="F50" s="71"/>
      <c r="G50" s="46">
        <f t="shared" si="5"/>
        <v>29</v>
      </c>
      <c r="H50" s="78">
        <v>0</v>
      </c>
      <c r="I50" s="76">
        <v>0</v>
      </c>
      <c r="J50" s="46">
        <f t="shared" si="6"/>
        <v>20</v>
      </c>
      <c r="K50" s="72">
        <v>9</v>
      </c>
      <c r="L50" s="15">
        <v>50</v>
      </c>
      <c r="M50" s="65">
        <f t="shared" si="2"/>
        <v>450</v>
      </c>
      <c r="N50" s="17" t="s">
        <v>16</v>
      </c>
      <c r="O50" s="18">
        <v>42</v>
      </c>
      <c r="P50" s="119">
        <f t="shared" si="3"/>
        <v>408</v>
      </c>
      <c r="Q50" s="90">
        <v>21.81</v>
      </c>
      <c r="R50" s="43">
        <f t="shared" si="4"/>
        <v>196.29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+'8'!J51</f>
        <v>30</v>
      </c>
      <c r="F51" s="71"/>
      <c r="G51" s="46">
        <f t="shared" si="5"/>
        <v>30</v>
      </c>
      <c r="H51" s="78">
        <v>0</v>
      </c>
      <c r="I51" s="76">
        <v>0</v>
      </c>
      <c r="J51" s="46">
        <f t="shared" si="6"/>
        <v>24</v>
      </c>
      <c r="K51" s="72">
        <v>6</v>
      </c>
      <c r="L51" s="15">
        <v>50</v>
      </c>
      <c r="M51" s="65">
        <f>+L51*K51</f>
        <v>300</v>
      </c>
      <c r="N51" s="17" t="s">
        <v>16</v>
      </c>
      <c r="O51" s="18">
        <v>60</v>
      </c>
      <c r="P51" s="119">
        <f>SUM(M51-O51)</f>
        <v>240</v>
      </c>
      <c r="Q51" s="90">
        <v>14.65</v>
      </c>
      <c r="R51" s="43">
        <f>+K51*Q51</f>
        <v>87.9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19">
        <f>SUM(M53-O53)</f>
        <v>50</v>
      </c>
      <c r="Q53" s="90">
        <v>17.53</v>
      </c>
      <c r="R53" s="43">
        <f>+K53*Q53</f>
        <v>17.53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hidden="1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+'8'!J55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20</v>
      </c>
      <c r="P58" s="119">
        <f t="shared" si="3"/>
        <v>100</v>
      </c>
      <c r="Q58" s="90">
        <v>34.56</v>
      </c>
      <c r="R58" s="43">
        <f t="shared" si="4"/>
        <v>34.56</v>
      </c>
    </row>
    <row r="59" spans="1:18" ht="24.6" hidden="1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+'8'!J64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19">
        <f t="shared" si="3"/>
        <v>100</v>
      </c>
      <c r="Q64" s="90">
        <v>23.69</v>
      </c>
      <c r="R64" s="43">
        <f t="shared" si="4"/>
        <v>47.38</v>
      </c>
    </row>
    <row r="65" spans="1:18" ht="24.6" hidden="1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+'8'!J66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0</v>
      </c>
      <c r="K66" s="72">
        <v>5</v>
      </c>
      <c r="L66" s="15">
        <v>50</v>
      </c>
      <c r="M66" s="65">
        <f t="shared" si="2"/>
        <v>250</v>
      </c>
      <c r="N66" s="17" t="s">
        <v>16</v>
      </c>
      <c r="O66" s="18"/>
      <c r="P66" s="119">
        <f t="shared" si="3"/>
        <v>250</v>
      </c>
      <c r="Q66" s="90">
        <v>23.12</v>
      </c>
      <c r="R66" s="43">
        <f t="shared" si="4"/>
        <v>115.60000000000001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hidden="1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hidden="1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+'8'!J70</f>
        <v>1</v>
      </c>
      <c r="F70" s="71"/>
      <c r="G70" s="46">
        <f t="shared" si="5"/>
        <v>1</v>
      </c>
      <c r="H70" s="78">
        <v>0</v>
      </c>
      <c r="I70" s="76">
        <v>0</v>
      </c>
      <c r="J70" s="46">
        <f t="shared" si="6"/>
        <v>1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hidden="1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hidden="1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+'8'!J74</f>
        <v>2</v>
      </c>
      <c r="F74" s="71">
        <v>10</v>
      </c>
      <c r="G74" s="46">
        <f t="shared" si="5"/>
        <v>12</v>
      </c>
      <c r="H74" s="78">
        <v>0</v>
      </c>
      <c r="I74" s="76">
        <v>0</v>
      </c>
      <c r="J74" s="46">
        <f t="shared" si="6"/>
        <v>7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19">
        <f t="shared" si="3"/>
        <v>250</v>
      </c>
      <c r="Q74" s="90">
        <v>17.09</v>
      </c>
      <c r="R74" s="43">
        <f t="shared" si="4"/>
        <v>85.45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+'8'!J76</f>
        <v>0</v>
      </c>
      <c r="F76" s="71">
        <v>30</v>
      </c>
      <c r="G76" s="46">
        <f>E76+F76</f>
        <v>30</v>
      </c>
      <c r="H76" s="78">
        <v>0</v>
      </c>
      <c r="I76" s="76">
        <v>0</v>
      </c>
      <c r="J76" s="46">
        <f>+G76-H76-K76-I76</f>
        <v>23</v>
      </c>
      <c r="K76" s="72">
        <v>7</v>
      </c>
      <c r="L76" s="20">
        <v>50</v>
      </c>
      <c r="M76" s="65">
        <f>+L76*K76</f>
        <v>350</v>
      </c>
      <c r="N76" s="17" t="s">
        <v>16</v>
      </c>
      <c r="O76" s="18"/>
      <c r="P76" s="119">
        <f>SUM(M76-O76)</f>
        <v>350</v>
      </c>
      <c r="Q76" s="92"/>
      <c r="R76" s="43">
        <f>+K76*Q76</f>
        <v>0</v>
      </c>
    </row>
    <row r="77" spans="1:18" ht="24.6" hidden="1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hidden="1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hidden="1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hidden="1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hidden="1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hidden="1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hidden="1" x14ac:dyDescent="0.65">
      <c r="A88" s="10">
        <v>84</v>
      </c>
      <c r="B88" s="10">
        <v>1300016</v>
      </c>
      <c r="C88" s="19" t="s">
        <v>1423</v>
      </c>
      <c r="D88" s="10" t="s">
        <v>432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1332</v>
      </c>
      <c r="C93" s="19" t="s">
        <v>355</v>
      </c>
      <c r="D93" s="10" t="s">
        <v>432</v>
      </c>
      <c r="E93" s="64">
        <f>+'8'!J93</f>
        <v>0</v>
      </c>
      <c r="F93" s="71">
        <v>70</v>
      </c>
      <c r="G93" s="46">
        <f t="shared" si="5"/>
        <v>70</v>
      </c>
      <c r="H93" s="78">
        <v>0</v>
      </c>
      <c r="I93" s="76">
        <v>0</v>
      </c>
      <c r="J93" s="46">
        <f t="shared" si="6"/>
        <v>32</v>
      </c>
      <c r="K93" s="72">
        <v>38</v>
      </c>
      <c r="L93" s="21">
        <v>35</v>
      </c>
      <c r="M93" s="65">
        <f t="shared" si="7"/>
        <v>1330</v>
      </c>
      <c r="N93" s="17" t="s">
        <v>16</v>
      </c>
      <c r="O93" s="18"/>
      <c r="P93" s="119">
        <f t="shared" si="8"/>
        <v>1330</v>
      </c>
      <c r="Q93" s="90"/>
      <c r="R93" s="43">
        <f t="shared" si="9"/>
        <v>0</v>
      </c>
    </row>
    <row r="94" spans="1:18" ht="24.6" hidden="1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hidden="1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+'8'!J99</f>
        <v>7</v>
      </c>
      <c r="F99" s="71">
        <v>15</v>
      </c>
      <c r="G99" s="46">
        <f t="shared" si="23"/>
        <v>22</v>
      </c>
      <c r="H99" s="78">
        <v>0</v>
      </c>
      <c r="I99" s="76">
        <v>0</v>
      </c>
      <c r="J99" s="46">
        <f t="shared" si="24"/>
        <v>17</v>
      </c>
      <c r="K99" s="72">
        <v>5</v>
      </c>
      <c r="L99" s="20">
        <v>45</v>
      </c>
      <c r="M99" s="65">
        <f t="shared" ref="M99:M105" si="25">+L99*K99</f>
        <v>225</v>
      </c>
      <c r="N99" s="17" t="s">
        <v>16</v>
      </c>
      <c r="O99" s="18"/>
      <c r="P99" s="119">
        <f t="shared" ref="P99:P105" si="26">SUM(M99-O99)</f>
        <v>225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hidden="1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hidden="1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+'8'!J112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hidden="1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+'8'!J113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+'8'!J115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2</v>
      </c>
      <c r="K115" s="72">
        <v>6</v>
      </c>
      <c r="L115" s="22">
        <v>60</v>
      </c>
      <c r="M115" s="65">
        <f t="shared" si="7"/>
        <v>360</v>
      </c>
      <c r="N115" s="17" t="s">
        <v>16</v>
      </c>
      <c r="O115" s="18"/>
      <c r="P115" s="119">
        <f t="shared" si="8"/>
        <v>360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+'8'!J116</f>
        <v>0</v>
      </c>
      <c r="F116" s="71">
        <v>10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19">
        <f t="shared" si="8"/>
        <v>200</v>
      </c>
      <c r="Q116" s="90">
        <v>13.03</v>
      </c>
      <c r="R116" s="43">
        <f t="shared" si="9"/>
        <v>26.06</v>
      </c>
    </row>
    <row r="117" spans="1:18" ht="24.6" hidden="1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+'8'!J117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hidden="1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hidden="1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+'8'!J133</f>
        <v>0</v>
      </c>
      <c r="F133" s="71">
        <v>30</v>
      </c>
      <c r="G133" s="46">
        <f t="shared" si="23"/>
        <v>30</v>
      </c>
      <c r="H133" s="78">
        <v>0</v>
      </c>
      <c r="I133" s="76">
        <v>0</v>
      </c>
      <c r="J133" s="46">
        <f t="shared" si="24"/>
        <v>30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hidden="1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hidden="1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+'8'!J142</f>
        <v>3</v>
      </c>
      <c r="F142" s="71"/>
      <c r="G142" s="46">
        <f t="shared" si="23"/>
        <v>3</v>
      </c>
      <c r="H142" s="78">
        <v>3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hidden="1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+'8'!J143</f>
        <v>5</v>
      </c>
      <c r="F143" s="71"/>
      <c r="G143" s="46">
        <f t="shared" si="23"/>
        <v>5</v>
      </c>
      <c r="H143" s="78">
        <v>5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hidden="1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+'8'!J144</f>
        <v>5</v>
      </c>
      <c r="F144" s="71"/>
      <c r="G144" s="46">
        <f t="shared" si="23"/>
        <v>5</v>
      </c>
      <c r="H144" s="78">
        <v>5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hidden="1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+'8'!J145</f>
        <v>10</v>
      </c>
      <c r="F145" s="71"/>
      <c r="G145" s="46">
        <f t="shared" si="23"/>
        <v>10</v>
      </c>
      <c r="H145" s="78">
        <v>10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hidden="1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+'8'!J146</f>
        <v>5</v>
      </c>
      <c r="F146" s="71"/>
      <c r="G146" s="46">
        <f t="shared" si="23"/>
        <v>5</v>
      </c>
      <c r="H146" s="78">
        <v>5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+'8'!J150</f>
        <v>1</v>
      </c>
      <c r="F150" s="71"/>
      <c r="G150" s="46">
        <f t="shared" si="23"/>
        <v>1</v>
      </c>
      <c r="H150" s="78">
        <v>1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hidden="1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hidden="1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+'8'!J155</f>
        <v>34</v>
      </c>
      <c r="F155" s="71"/>
      <c r="G155" s="46">
        <f t="shared" si="23"/>
        <v>34</v>
      </c>
      <c r="H155" s="78">
        <v>3</v>
      </c>
      <c r="I155" s="76">
        <v>0</v>
      </c>
      <c r="J155" s="46">
        <f t="shared" si="24"/>
        <v>31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+'8'!J163</f>
        <v>20</v>
      </c>
      <c r="F163" s="71"/>
      <c r="G163" s="46">
        <f t="shared" si="30"/>
        <v>20</v>
      </c>
      <c r="H163" s="78">
        <v>0</v>
      </c>
      <c r="I163" s="76">
        <v>0</v>
      </c>
      <c r="J163" s="46">
        <f t="shared" si="31"/>
        <v>11</v>
      </c>
      <c r="K163" s="72">
        <v>9</v>
      </c>
      <c r="L163" s="20">
        <v>25</v>
      </c>
      <c r="M163" s="65">
        <f t="shared" si="7"/>
        <v>225</v>
      </c>
      <c r="N163" s="17" t="s">
        <v>16</v>
      </c>
      <c r="O163" s="18">
        <f>225-180</f>
        <v>45</v>
      </c>
      <c r="P163" s="119">
        <f t="shared" si="8"/>
        <v>180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641</v>
      </c>
      <c r="C170" s="19" t="s">
        <v>400</v>
      </c>
      <c r="D170" s="10" t="s">
        <v>432</v>
      </c>
      <c r="E170" s="64">
        <f>+'8'!J170</f>
        <v>0</v>
      </c>
      <c r="F170" s="71">
        <v>110</v>
      </c>
      <c r="G170" s="46">
        <f t="shared" si="30"/>
        <v>110</v>
      </c>
      <c r="H170" s="78">
        <v>0</v>
      </c>
      <c r="I170" s="76">
        <v>0</v>
      </c>
      <c r="J170" s="46">
        <f t="shared" si="31"/>
        <v>74</v>
      </c>
      <c r="K170" s="72">
        <f>110-74</f>
        <v>36</v>
      </c>
      <c r="L170" s="22">
        <v>35</v>
      </c>
      <c r="M170" s="65">
        <f t="shared" si="7"/>
        <v>1260</v>
      </c>
      <c r="N170" s="17" t="s">
        <v>16</v>
      </c>
      <c r="O170" s="18">
        <v>210</v>
      </c>
      <c r="P170" s="23">
        <f t="shared" si="8"/>
        <v>1050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4" t="s">
        <v>1418</v>
      </c>
      <c r="C173" s="19" t="s">
        <v>1415</v>
      </c>
      <c r="D173" s="10" t="s">
        <v>564</v>
      </c>
      <c r="E173" s="64">
        <f>+'8'!J173</f>
        <v>0</v>
      </c>
      <c r="F173" s="71">
        <v>70</v>
      </c>
      <c r="G173" s="46">
        <f>E173+F173</f>
        <v>70</v>
      </c>
      <c r="H173" s="78">
        <v>0</v>
      </c>
      <c r="I173" s="76">
        <v>0</v>
      </c>
      <c r="J173" s="46">
        <f>+G173-H173-K173-I173</f>
        <v>32</v>
      </c>
      <c r="K173" s="72">
        <v>38</v>
      </c>
      <c r="L173" s="20">
        <v>35</v>
      </c>
      <c r="M173" s="65">
        <f>+L173*K173</f>
        <v>1330</v>
      </c>
      <c r="N173" s="17" t="s">
        <v>16</v>
      </c>
      <c r="O173" s="18">
        <v>1330</v>
      </c>
      <c r="P173" s="23">
        <f>SUM(M173-O173)</f>
        <v>0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+'8'!J175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19">
        <f>SUM(M175-O175)</f>
        <v>50</v>
      </c>
      <c r="Q175" s="90">
        <v>29.96</v>
      </c>
      <c r="R175" s="43">
        <f>+K175*Q175</f>
        <v>29.96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hidden="1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+'8'!J187</f>
        <v>11</v>
      </c>
      <c r="F187" s="71"/>
      <c r="G187" s="46">
        <f>E187+F187</f>
        <v>11</v>
      </c>
      <c r="H187" s="78">
        <v>0</v>
      </c>
      <c r="I187" s="76">
        <v>0</v>
      </c>
      <c r="J187" s="46">
        <f>+G187-H187-K187-I187</f>
        <v>11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hidden="1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+'8'!J188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11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hidden="1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+'8'!J189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>
        <f>+'8'!J198</f>
        <v>32</v>
      </c>
      <c r="F198" s="71">
        <v>18</v>
      </c>
      <c r="G198" s="46">
        <f t="shared" si="30"/>
        <v>50</v>
      </c>
      <c r="H198" s="78">
        <v>0</v>
      </c>
      <c r="I198" s="76">
        <v>0</v>
      </c>
      <c r="J198" s="46">
        <f t="shared" si="31"/>
        <v>37</v>
      </c>
      <c r="K198" s="72">
        <v>13</v>
      </c>
      <c r="L198" s="20">
        <v>150</v>
      </c>
      <c r="M198" s="65">
        <f t="shared" si="34"/>
        <v>1950</v>
      </c>
      <c r="N198" s="17" t="s">
        <v>16</v>
      </c>
      <c r="O198" s="18">
        <f>1950-1100</f>
        <v>850</v>
      </c>
      <c r="P198" s="119">
        <f t="shared" si="35"/>
        <v>1100</v>
      </c>
      <c r="Q198" s="90">
        <v>64.38</v>
      </c>
      <c r="R198" s="43">
        <f t="shared" si="36"/>
        <v>836.93999999999994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1392</v>
      </c>
      <c r="D207" s="10" t="s">
        <v>432</v>
      </c>
      <c r="E207" s="64">
        <f>+'8'!J207</f>
        <v>64</v>
      </c>
      <c r="F207" s="71"/>
      <c r="G207" s="46">
        <f>E207+F207</f>
        <v>64</v>
      </c>
      <c r="H207" s="78">
        <v>0</v>
      </c>
      <c r="I207" s="76">
        <v>0</v>
      </c>
      <c r="J207" s="46">
        <f>+G207-H207-K207-I207</f>
        <v>57</v>
      </c>
      <c r="K207" s="72">
        <v>7</v>
      </c>
      <c r="L207" s="20">
        <v>50</v>
      </c>
      <c r="M207" s="65">
        <f>+L207*K207</f>
        <v>350</v>
      </c>
      <c r="N207" s="17" t="s">
        <v>16</v>
      </c>
      <c r="O207" s="18">
        <f>350-140</f>
        <v>210</v>
      </c>
      <c r="P207" s="119">
        <f>SUM(M207-O207)</f>
        <v>140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564</v>
      </c>
      <c r="E242" s="64">
        <f>+'8'!J242</f>
        <v>9</v>
      </c>
      <c r="F242" s="71"/>
      <c r="G242" s="46">
        <f t="shared" si="42"/>
        <v>9</v>
      </c>
      <c r="H242" s="78">
        <v>0</v>
      </c>
      <c r="I242" s="76">
        <v>0</v>
      </c>
      <c r="J242" s="46">
        <f t="shared" si="43"/>
        <v>7</v>
      </c>
      <c r="K242" s="72">
        <v>2</v>
      </c>
      <c r="L242" s="20">
        <v>35</v>
      </c>
      <c r="M242" s="65">
        <f t="shared" si="44"/>
        <v>70</v>
      </c>
      <c r="N242" s="17" t="s">
        <v>16</v>
      </c>
      <c r="O242" s="18"/>
      <c r="P242" s="119">
        <f t="shared" si="45"/>
        <v>70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1449</v>
      </c>
      <c r="D243" s="10" t="s">
        <v>564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5202.3300000000008</v>
      </c>
      <c r="S260" s="75"/>
    </row>
    <row r="261" spans="1:19" ht="25.5" hidden="1" customHeight="1" x14ac:dyDescent="0.6">
      <c r="A261" s="1"/>
      <c r="E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19040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>
        <v>0</v>
      </c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5500</v>
      </c>
      <c r="O264" s="2">
        <v>5500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3185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10355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10010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-345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-345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,000.00"/>
        <filter val="1,260.00"/>
        <filter val="1,300.00"/>
        <filter val="1,330.00"/>
        <filter val="1,400.00"/>
        <filter val="1,900.00"/>
        <filter val="1,950.00"/>
        <filter val="100.00"/>
        <filter val="120.00"/>
        <filter val="130.00"/>
        <filter val="150.00"/>
        <filter val="200.00"/>
        <filter val="225.00"/>
        <filter val="250.00"/>
        <filter val="300.00"/>
        <filter val="350.00"/>
        <filter val="360.00"/>
        <filter val="400.00"/>
        <filter val="450.00"/>
        <filter val="50.00"/>
        <filter val="70.00"/>
        <filter val="700.00"/>
        <filter val="910.00"/>
        <filter val="เป็นเงิ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75" bottom="0.75" header="0.3" footer="0.3"/>
  <pageSetup paperSize="9" scale="3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  <pageSetUpPr fitToPage="1"/>
  </sheetPr>
  <dimension ref="A1:S346"/>
  <sheetViews>
    <sheetView zoomScale="85" zoomScaleNormal="85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O273" sqref="A2:O273"/>
    </sheetView>
  </sheetViews>
  <sheetFormatPr defaultColWidth="9" defaultRowHeight="24" x14ac:dyDescent="0.6"/>
  <cols>
    <col min="1" max="1" width="6.69921875" style="2" customWidth="1"/>
    <col min="2" max="2" width="19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215" t="s">
        <v>1424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Q2" s="89"/>
    </row>
    <row r="3" spans="1:18" s="5" customFormat="1" ht="26.4" customHeight="1" x14ac:dyDescent="0.7">
      <c r="A3" s="230" t="s">
        <v>1</v>
      </c>
      <c r="B3" s="230" t="s">
        <v>1366</v>
      </c>
      <c r="C3" s="230" t="s">
        <v>2</v>
      </c>
      <c r="D3" s="230" t="s">
        <v>1367</v>
      </c>
      <c r="E3" s="232" t="s">
        <v>3</v>
      </c>
      <c r="F3" s="232" t="s">
        <v>4</v>
      </c>
      <c r="G3" s="232" t="s">
        <v>5</v>
      </c>
      <c r="H3" s="77" t="s">
        <v>6</v>
      </c>
      <c r="I3" s="216" t="s">
        <v>272</v>
      </c>
      <c r="J3" s="232" t="s">
        <v>7</v>
      </c>
      <c r="K3" s="233" t="s">
        <v>8</v>
      </c>
      <c r="L3" s="233"/>
      <c r="M3" s="233"/>
      <c r="N3" s="232" t="s">
        <v>9</v>
      </c>
      <c r="O3" s="223" t="s">
        <v>10</v>
      </c>
      <c r="Q3" s="234" t="s">
        <v>273</v>
      </c>
      <c r="R3" s="226" t="s">
        <v>274</v>
      </c>
    </row>
    <row r="4" spans="1:18" s="5" customFormat="1" ht="26.4" x14ac:dyDescent="0.7">
      <c r="A4" s="231"/>
      <c r="B4" s="231"/>
      <c r="C4" s="231"/>
      <c r="D4" s="231"/>
      <c r="E4" s="232"/>
      <c r="F4" s="232"/>
      <c r="G4" s="232"/>
      <c r="H4" s="77" t="s">
        <v>11</v>
      </c>
      <c r="I4" s="217"/>
      <c r="J4" s="232"/>
      <c r="K4" s="69" t="s">
        <v>12</v>
      </c>
      <c r="L4" s="70" t="s">
        <v>13</v>
      </c>
      <c r="M4" s="69" t="s">
        <v>14</v>
      </c>
      <c r="N4" s="232"/>
      <c r="O4" s="223"/>
      <c r="Q4" s="235"/>
      <c r="R4" s="227"/>
    </row>
    <row r="5" spans="1:18" ht="24.6" x14ac:dyDescent="0.65">
      <c r="A5" s="10">
        <v>1</v>
      </c>
      <c r="B5" s="117" t="s">
        <v>1063</v>
      </c>
      <c r="C5" s="19" t="s">
        <v>1064</v>
      </c>
      <c r="D5" s="10" t="s">
        <v>432</v>
      </c>
      <c r="E5" s="64">
        <f>+'9'!J5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0</v>
      </c>
      <c r="K5" s="72">
        <v>20</v>
      </c>
      <c r="L5" s="15">
        <v>50</v>
      </c>
      <c r="M5" s="65">
        <f>+L5*K5</f>
        <v>1000</v>
      </c>
      <c r="N5" s="17" t="s">
        <v>16</v>
      </c>
      <c r="O5" s="18">
        <v>10</v>
      </c>
      <c r="P5" s="119">
        <f>SUM(M5-O5)</f>
        <v>990</v>
      </c>
      <c r="Q5" s="90">
        <v>22.48</v>
      </c>
      <c r="R5" s="43">
        <f>+K5*Q5</f>
        <v>449.6</v>
      </c>
    </row>
    <row r="6" spans="1:18" ht="24.6" x14ac:dyDescent="0.65">
      <c r="A6" s="10">
        <v>2</v>
      </c>
      <c r="B6" s="10" t="s">
        <v>1061</v>
      </c>
      <c r="C6" s="19" t="s">
        <v>1062</v>
      </c>
      <c r="D6" s="10" t="s">
        <v>432</v>
      </c>
      <c r="E6" s="64">
        <f>+'9'!J6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67</v>
      </c>
      <c r="K6" s="72">
        <f>39+4</f>
        <v>43</v>
      </c>
      <c r="L6" s="15">
        <v>100</v>
      </c>
      <c r="M6" s="65">
        <f t="shared" ref="M6:M80" si="2">+L6*K6</f>
        <v>4300</v>
      </c>
      <c r="N6" s="17" t="s">
        <v>16</v>
      </c>
      <c r="O6" s="18">
        <f>4300-3550</f>
        <v>750</v>
      </c>
      <c r="P6" s="119">
        <f t="shared" ref="P6:P80" si="3">SUM(M6-O6)</f>
        <v>3550</v>
      </c>
      <c r="Q6" s="90">
        <v>39.29</v>
      </c>
      <c r="R6" s="43">
        <f t="shared" ref="R6:R80" si="4">+K6*Q6</f>
        <v>1689.47</v>
      </c>
    </row>
    <row r="7" spans="1:18" ht="24.6" hidden="1" x14ac:dyDescent="0.65">
      <c r="A7" s="10">
        <v>3</v>
      </c>
      <c r="B7" s="10" t="s">
        <v>1319</v>
      </c>
      <c r="C7" s="19" t="s">
        <v>299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1316</v>
      </c>
      <c r="C8" s="19" t="s">
        <v>298</v>
      </c>
      <c r="D8" s="10" t="s">
        <v>432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1143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1144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1095</v>
      </c>
      <c r="C11" s="19" t="s">
        <v>295</v>
      </c>
      <c r="D11" s="10" t="s">
        <v>432</v>
      </c>
      <c r="E11" s="64">
        <f>+'9'!J11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12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19">
        <f t="shared" si="3"/>
        <v>350</v>
      </c>
      <c r="Q11" s="90">
        <v>16.940000000000001</v>
      </c>
      <c r="R11" s="43">
        <f t="shared" si="4"/>
        <v>118.58000000000001</v>
      </c>
    </row>
    <row r="12" spans="1:18" ht="24.6" hidden="1" x14ac:dyDescent="0.65">
      <c r="A12" s="10">
        <v>8</v>
      </c>
      <c r="B12" s="10" t="s">
        <v>593</v>
      </c>
      <c r="C12" s="19" t="s">
        <v>300</v>
      </c>
      <c r="D12" s="10" t="s">
        <v>432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949</v>
      </c>
      <c r="C13" s="19" t="s">
        <v>287</v>
      </c>
      <c r="D13" s="10" t="s">
        <v>432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1025</v>
      </c>
      <c r="C14" s="19" t="s">
        <v>301</v>
      </c>
      <c r="D14" s="10" t="s">
        <v>432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hidden="1" x14ac:dyDescent="0.65">
      <c r="A15" s="10">
        <v>11</v>
      </c>
      <c r="B15" s="10" t="s">
        <v>965</v>
      </c>
      <c r="C15" s="19" t="s">
        <v>285</v>
      </c>
      <c r="D15" s="10" t="s">
        <v>432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hidden="1" x14ac:dyDescent="0.65">
      <c r="A16" s="10">
        <v>12</v>
      </c>
      <c r="B16" s="10"/>
      <c r="C16" s="19" t="s">
        <v>303</v>
      </c>
      <c r="D16" s="10" t="s">
        <v>432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945</v>
      </c>
      <c r="C17" s="19" t="s">
        <v>289</v>
      </c>
      <c r="D17" s="10" t="s">
        <v>432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hidden="1" x14ac:dyDescent="0.65">
      <c r="A18" s="10">
        <v>14</v>
      </c>
      <c r="B18" s="10" t="s">
        <v>950</v>
      </c>
      <c r="C18" s="19" t="s">
        <v>311</v>
      </c>
      <c r="D18" s="10" t="s">
        <v>432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hidden="1" x14ac:dyDescent="0.65">
      <c r="A19" s="10">
        <v>15</v>
      </c>
      <c r="B19" s="10" t="s">
        <v>964</v>
      </c>
      <c r="C19" s="19" t="s">
        <v>292</v>
      </c>
      <c r="D19" s="10" t="s">
        <v>432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hidden="1" x14ac:dyDescent="0.65">
      <c r="A20" s="10">
        <v>16</v>
      </c>
      <c r="B20" s="10" t="s">
        <v>1094</v>
      </c>
      <c r="C20" s="19" t="s">
        <v>25</v>
      </c>
      <c r="D20" s="10" t="s">
        <v>432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hidden="1" x14ac:dyDescent="0.65">
      <c r="A21" s="10">
        <v>17</v>
      </c>
      <c r="B21" s="10" t="s">
        <v>1028</v>
      </c>
      <c r="C21" s="19" t="s">
        <v>304</v>
      </c>
      <c r="D21" s="10" t="s">
        <v>432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1022</v>
      </c>
      <c r="C22" s="19" t="s">
        <v>296</v>
      </c>
      <c r="D22" s="10" t="s">
        <v>432</v>
      </c>
      <c r="E22" s="64">
        <f>+'9'!J22</f>
        <v>96</v>
      </c>
      <c r="F22" s="71"/>
      <c r="G22" s="46">
        <f t="shared" si="0"/>
        <v>96</v>
      </c>
      <c r="H22" s="78">
        <v>0</v>
      </c>
      <c r="I22" s="76">
        <v>0</v>
      </c>
      <c r="J22" s="46">
        <f t="shared" si="1"/>
        <v>77</v>
      </c>
      <c r="K22" s="72">
        <v>19</v>
      </c>
      <c r="L22" s="20">
        <v>100</v>
      </c>
      <c r="M22" s="65">
        <f t="shared" si="2"/>
        <v>1900</v>
      </c>
      <c r="N22" s="17" t="s">
        <v>16</v>
      </c>
      <c r="O22" s="18">
        <v>100</v>
      </c>
      <c r="P22" s="119">
        <f t="shared" si="3"/>
        <v>1800</v>
      </c>
      <c r="Q22" s="90">
        <v>26.6</v>
      </c>
      <c r="R22" s="43">
        <f t="shared" si="4"/>
        <v>505.40000000000003</v>
      </c>
    </row>
    <row r="23" spans="1:18" ht="24.6" hidden="1" x14ac:dyDescent="0.65">
      <c r="A23" s="10">
        <v>19</v>
      </c>
      <c r="B23" s="10" t="s">
        <v>1018</v>
      </c>
      <c r="C23" s="19" t="s">
        <v>302</v>
      </c>
      <c r="D23" s="10" t="s">
        <v>432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286</v>
      </c>
      <c r="D24" s="10" t="s">
        <v>432</v>
      </c>
      <c r="E24" s="64">
        <f>+'9'!J24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19">
        <f t="shared" si="3"/>
        <v>100</v>
      </c>
      <c r="Q24" s="90">
        <v>40.51</v>
      </c>
      <c r="R24" s="43">
        <f t="shared" si="4"/>
        <v>40.51</v>
      </c>
    </row>
    <row r="25" spans="1:18" ht="24.6" hidden="1" x14ac:dyDescent="0.65">
      <c r="A25" s="10">
        <v>21</v>
      </c>
      <c r="B25" s="87">
        <v>8857125003810</v>
      </c>
      <c r="C25" s="19" t="s">
        <v>291</v>
      </c>
      <c r="D25" s="10" t="s">
        <v>432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hidden="1" x14ac:dyDescent="0.65">
      <c r="A26" s="10">
        <v>22</v>
      </c>
      <c r="B26" s="10" t="s">
        <v>1023</v>
      </c>
      <c r="C26" s="19" t="s">
        <v>293</v>
      </c>
      <c r="D26" s="10" t="s">
        <v>432</v>
      </c>
      <c r="E26" s="64">
        <f>+'9'!J26</f>
        <v>27</v>
      </c>
      <c r="F26" s="71"/>
      <c r="G26" s="46">
        <f t="shared" si="0"/>
        <v>27</v>
      </c>
      <c r="H26" s="78">
        <v>0</v>
      </c>
      <c r="I26" s="76">
        <v>0</v>
      </c>
      <c r="J26" s="46">
        <f t="shared" si="1"/>
        <v>27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hidden="1" x14ac:dyDescent="0.65">
      <c r="A27" s="10">
        <v>23</v>
      </c>
      <c r="B27" s="10" t="s">
        <v>1021</v>
      </c>
      <c r="C27" s="19" t="s">
        <v>288</v>
      </c>
      <c r="D27" s="10" t="s">
        <v>432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1016</v>
      </c>
      <c r="C28" s="19" t="s">
        <v>312</v>
      </c>
      <c r="D28" s="10" t="s">
        <v>432</v>
      </c>
      <c r="E28" s="64">
        <f>+'9'!J28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19">
        <f t="shared" si="3"/>
        <v>200</v>
      </c>
      <c r="Q28" s="90">
        <v>31.97</v>
      </c>
      <c r="R28" s="43">
        <f t="shared" si="4"/>
        <v>63.94</v>
      </c>
    </row>
    <row r="29" spans="1:18" ht="24.6" hidden="1" x14ac:dyDescent="0.65">
      <c r="A29" s="10">
        <v>25</v>
      </c>
      <c r="B29" s="10" t="s">
        <v>1017</v>
      </c>
      <c r="C29" s="19" t="s">
        <v>290</v>
      </c>
      <c r="D29" s="10" t="s">
        <v>432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1082</v>
      </c>
      <c r="C30" s="19" t="s">
        <v>294</v>
      </c>
      <c r="D30" s="10" t="s">
        <v>432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1131</v>
      </c>
      <c r="C31" s="19" t="s">
        <v>320</v>
      </c>
      <c r="D31" s="10" t="s">
        <v>432</v>
      </c>
      <c r="E31" s="64">
        <f>+'9'!J31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47</v>
      </c>
      <c r="K31" s="72">
        <v>17</v>
      </c>
      <c r="L31" s="15">
        <v>100</v>
      </c>
      <c r="M31" s="65">
        <f t="shared" si="2"/>
        <v>1700</v>
      </c>
      <c r="N31" s="17" t="s">
        <v>16</v>
      </c>
      <c r="O31" s="18">
        <v>25</v>
      </c>
      <c r="P31" s="119">
        <f t="shared" si="3"/>
        <v>1675</v>
      </c>
      <c r="Q31" s="90">
        <v>38.46</v>
      </c>
      <c r="R31" s="43">
        <f t="shared" si="4"/>
        <v>653.82000000000005</v>
      </c>
    </row>
    <row r="32" spans="1:18" ht="24.6" x14ac:dyDescent="0.65">
      <c r="A32" s="10">
        <v>28</v>
      </c>
      <c r="B32" s="10" t="s">
        <v>955</v>
      </c>
      <c r="C32" s="19" t="s">
        <v>297</v>
      </c>
      <c r="D32" s="10" t="s">
        <v>432</v>
      </c>
      <c r="E32" s="64">
        <f>+'9'!J32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8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19">
        <f t="shared" si="3"/>
        <v>780</v>
      </c>
      <c r="Q32" s="90">
        <v>46.37</v>
      </c>
      <c r="R32" s="43">
        <f t="shared" si="4"/>
        <v>278.21999999999997</v>
      </c>
    </row>
    <row r="33" spans="1:18" ht="24.6" hidden="1" x14ac:dyDescent="0.65">
      <c r="A33" s="10">
        <v>29</v>
      </c>
      <c r="B33" s="10" t="s">
        <v>1308</v>
      </c>
      <c r="C33" s="19" t="s">
        <v>305</v>
      </c>
      <c r="D33" s="10" t="s">
        <v>432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hidden="1" x14ac:dyDescent="0.65">
      <c r="A34" s="10">
        <v>30</v>
      </c>
      <c r="B34" s="10" t="s">
        <v>1070</v>
      </c>
      <c r="C34" s="19" t="s">
        <v>313</v>
      </c>
      <c r="D34" s="10" t="s">
        <v>432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1072</v>
      </c>
      <c r="C35" s="19" t="s">
        <v>321</v>
      </c>
      <c r="D35" s="10" t="s">
        <v>432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909</v>
      </c>
      <c r="C36" s="19" t="s">
        <v>416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860</v>
      </c>
      <c r="C37" s="19" t="s">
        <v>417</v>
      </c>
      <c r="D37" s="10" t="s">
        <v>432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1368</v>
      </c>
      <c r="D38" s="10" t="s">
        <v>432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994</v>
      </c>
      <c r="C39" s="19" t="s">
        <v>49</v>
      </c>
      <c r="D39" s="10" t="s">
        <v>432</v>
      </c>
      <c r="E39" s="64">
        <f>+'9'!J39</f>
        <v>34</v>
      </c>
      <c r="F39" s="71"/>
      <c r="G39" s="46">
        <f t="shared" si="5"/>
        <v>34</v>
      </c>
      <c r="H39" s="78">
        <v>0</v>
      </c>
      <c r="I39" s="76">
        <v>0</v>
      </c>
      <c r="J39" s="46">
        <f t="shared" si="6"/>
        <v>10</v>
      </c>
      <c r="K39" s="72">
        <f>17+7</f>
        <v>24</v>
      </c>
      <c r="L39" s="15">
        <v>50</v>
      </c>
      <c r="M39" s="65">
        <f t="shared" si="2"/>
        <v>1200</v>
      </c>
      <c r="N39" s="17" t="s">
        <v>16</v>
      </c>
      <c r="O39" s="18">
        <v>70</v>
      </c>
      <c r="P39" s="119">
        <f t="shared" si="3"/>
        <v>1130</v>
      </c>
      <c r="Q39" s="90">
        <v>27.84</v>
      </c>
      <c r="R39" s="43">
        <f t="shared" si="4"/>
        <v>668.16</v>
      </c>
    </row>
    <row r="40" spans="1:18" ht="24.6" x14ac:dyDescent="0.65">
      <c r="A40" s="10">
        <v>36</v>
      </c>
      <c r="B40" s="10" t="s">
        <v>993</v>
      </c>
      <c r="C40" s="19" t="s">
        <v>50</v>
      </c>
      <c r="D40" s="10" t="s">
        <v>432</v>
      </c>
      <c r="E40" s="64">
        <f>+'9'!J40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8</v>
      </c>
      <c r="K40" s="72">
        <v>6</v>
      </c>
      <c r="L40" s="15">
        <v>50</v>
      </c>
      <c r="M40" s="65">
        <f t="shared" si="2"/>
        <v>300</v>
      </c>
      <c r="N40" s="17" t="s">
        <v>16</v>
      </c>
      <c r="O40" s="18"/>
      <c r="P40" s="119">
        <f t="shared" si="3"/>
        <v>300</v>
      </c>
      <c r="Q40" s="90">
        <v>27.12</v>
      </c>
      <c r="R40" s="43">
        <f t="shared" si="4"/>
        <v>162.72</v>
      </c>
    </row>
    <row r="41" spans="1:18" ht="24.6" x14ac:dyDescent="0.65">
      <c r="A41" s="10">
        <v>37</v>
      </c>
      <c r="B41" s="10" t="s">
        <v>992</v>
      </c>
      <c r="C41" s="19" t="s">
        <v>51</v>
      </c>
      <c r="D41" s="10" t="s">
        <v>432</v>
      </c>
      <c r="E41" s="64">
        <f>+'9'!J41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19">
        <f t="shared" si="3"/>
        <v>50</v>
      </c>
      <c r="Q41" s="90">
        <v>15.42</v>
      </c>
      <c r="R41" s="43">
        <f t="shared" si="4"/>
        <v>15.42</v>
      </c>
    </row>
    <row r="42" spans="1:18" ht="24.6" hidden="1" x14ac:dyDescent="0.65">
      <c r="A42" s="10">
        <v>38</v>
      </c>
      <c r="B42" s="10" t="s">
        <v>1324</v>
      </c>
      <c r="C42" s="19" t="s">
        <v>1426</v>
      </c>
      <c r="D42" s="10" t="s">
        <v>432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/>
      <c r="R42" s="43">
        <f t="shared" si="4"/>
        <v>0</v>
      </c>
    </row>
    <row r="43" spans="1:18" ht="24.6" hidden="1" x14ac:dyDescent="0.65">
      <c r="A43" s="10">
        <v>39</v>
      </c>
      <c r="B43" s="10" t="s">
        <v>1325</v>
      </c>
      <c r="C43" s="19" t="s">
        <v>1427</v>
      </c>
      <c r="D43" s="10" t="s">
        <v>432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65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hidden="1" x14ac:dyDescent="0.65">
      <c r="A44" s="10">
        <v>40</v>
      </c>
      <c r="B44" s="10" t="s">
        <v>1337</v>
      </c>
      <c r="C44" s="19" t="s">
        <v>1428</v>
      </c>
      <c r="D44" s="10" t="s">
        <v>432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65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858</v>
      </c>
      <c r="C45" s="19" t="s">
        <v>415</v>
      </c>
      <c r="D45" s="10" t="s">
        <v>432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980</v>
      </c>
      <c r="C46" s="19" t="s">
        <v>333</v>
      </c>
      <c r="D46" s="10" t="s">
        <v>432</v>
      </c>
      <c r="E46" s="64">
        <f>+'9'!J46</f>
        <v>26</v>
      </c>
      <c r="F46" s="71"/>
      <c r="G46" s="46">
        <f t="shared" si="5"/>
        <v>26</v>
      </c>
      <c r="H46" s="78">
        <v>0</v>
      </c>
      <c r="I46" s="76">
        <v>0</v>
      </c>
      <c r="J46" s="46">
        <f t="shared" si="6"/>
        <v>12</v>
      </c>
      <c r="K46" s="72">
        <v>14</v>
      </c>
      <c r="L46" s="15">
        <v>50</v>
      </c>
      <c r="M46" s="65">
        <f t="shared" si="2"/>
        <v>700</v>
      </c>
      <c r="N46" s="17" t="s">
        <v>16</v>
      </c>
      <c r="O46" s="18">
        <v>120</v>
      </c>
      <c r="P46" s="119">
        <f t="shared" si="3"/>
        <v>580</v>
      </c>
      <c r="Q46" s="90">
        <v>19.05</v>
      </c>
      <c r="R46" s="43">
        <f t="shared" si="4"/>
        <v>266.7</v>
      </c>
    </row>
    <row r="47" spans="1:18" ht="24.6" x14ac:dyDescent="0.65">
      <c r="A47" s="10">
        <v>43</v>
      </c>
      <c r="B47" s="10" t="s">
        <v>1038</v>
      </c>
      <c r="C47" s="19" t="s">
        <v>338</v>
      </c>
      <c r="D47" s="10" t="s">
        <v>432</v>
      </c>
      <c r="E47" s="64">
        <f>+'9'!J47</f>
        <v>17</v>
      </c>
      <c r="F47" s="71"/>
      <c r="G47" s="46">
        <f t="shared" si="5"/>
        <v>17</v>
      </c>
      <c r="H47" s="78">
        <v>0</v>
      </c>
      <c r="I47" s="76">
        <v>0</v>
      </c>
      <c r="J47" s="46">
        <f t="shared" si="6"/>
        <v>9</v>
      </c>
      <c r="K47" s="72">
        <v>8</v>
      </c>
      <c r="L47" s="15">
        <v>50</v>
      </c>
      <c r="M47" s="65">
        <f t="shared" si="2"/>
        <v>400</v>
      </c>
      <c r="N47" s="17" t="s">
        <v>16</v>
      </c>
      <c r="O47" s="18">
        <v>120</v>
      </c>
      <c r="P47" s="119">
        <f t="shared" si="3"/>
        <v>280</v>
      </c>
      <c r="Q47" s="90">
        <v>19.21</v>
      </c>
      <c r="R47" s="43">
        <f t="shared" si="4"/>
        <v>153.68</v>
      </c>
    </row>
    <row r="48" spans="1:18" ht="24.6" x14ac:dyDescent="0.65">
      <c r="A48" s="10">
        <v>44</v>
      </c>
      <c r="B48" s="10" t="s">
        <v>957</v>
      </c>
      <c r="C48" s="19" t="s">
        <v>327</v>
      </c>
      <c r="D48" s="10" t="s">
        <v>432</v>
      </c>
      <c r="E48" s="64">
        <f>+'9'!J48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0</v>
      </c>
      <c r="K48" s="72">
        <v>13</v>
      </c>
      <c r="L48" s="20">
        <v>50</v>
      </c>
      <c r="M48" s="65">
        <f>+L48*K48</f>
        <v>650</v>
      </c>
      <c r="N48" s="17" t="s">
        <v>16</v>
      </c>
      <c r="O48" s="18">
        <v>120</v>
      </c>
      <c r="P48" s="119">
        <f>SUM(M48-O48)</f>
        <v>530</v>
      </c>
      <c r="Q48" s="90">
        <v>18.88</v>
      </c>
      <c r="R48" s="43">
        <f>+K48*Q48</f>
        <v>245.44</v>
      </c>
    </row>
    <row r="49" spans="1:18" ht="24" customHeight="1" x14ac:dyDescent="0.65">
      <c r="A49" s="10">
        <v>45</v>
      </c>
      <c r="B49" s="10" t="s">
        <v>960</v>
      </c>
      <c r="C49" s="19" t="s">
        <v>330</v>
      </c>
      <c r="D49" s="10" t="s">
        <v>432</v>
      </c>
      <c r="E49" s="64">
        <f>+'9'!J49</f>
        <v>30</v>
      </c>
      <c r="F49" s="71"/>
      <c r="G49" s="46">
        <f t="shared" si="5"/>
        <v>30</v>
      </c>
      <c r="H49" s="78">
        <v>0</v>
      </c>
      <c r="I49" s="76">
        <v>0</v>
      </c>
      <c r="J49" s="46">
        <f t="shared" si="6"/>
        <v>18</v>
      </c>
      <c r="K49" s="72">
        <v>12</v>
      </c>
      <c r="L49" s="20">
        <v>50</v>
      </c>
      <c r="M49" s="65">
        <f>+L49*K49</f>
        <v>600</v>
      </c>
      <c r="N49" s="17" t="s">
        <v>16</v>
      </c>
      <c r="O49" s="18">
        <v>120</v>
      </c>
      <c r="P49" s="119">
        <f>SUM(M49-O49)</f>
        <v>480</v>
      </c>
      <c r="Q49" s="90">
        <v>20.43</v>
      </c>
      <c r="R49" s="43">
        <f>+K49*Q49</f>
        <v>245.16</v>
      </c>
    </row>
    <row r="50" spans="1:18" ht="24.6" x14ac:dyDescent="0.65">
      <c r="A50" s="10">
        <v>46</v>
      </c>
      <c r="B50" s="10" t="s">
        <v>959</v>
      </c>
      <c r="C50" s="19" t="s">
        <v>329</v>
      </c>
      <c r="D50" s="10" t="s">
        <v>432</v>
      </c>
      <c r="E50" s="64">
        <f>+'9'!J50</f>
        <v>20</v>
      </c>
      <c r="F50" s="71"/>
      <c r="G50" s="46">
        <f t="shared" si="5"/>
        <v>20</v>
      </c>
      <c r="H50" s="78">
        <v>0</v>
      </c>
      <c r="I50" s="76">
        <v>0</v>
      </c>
      <c r="J50" s="46">
        <f t="shared" si="6"/>
        <v>6</v>
      </c>
      <c r="K50" s="72">
        <v>14</v>
      </c>
      <c r="L50" s="15">
        <v>50</v>
      </c>
      <c r="M50" s="65">
        <f t="shared" si="2"/>
        <v>700</v>
      </c>
      <c r="N50" s="17" t="s">
        <v>16</v>
      </c>
      <c r="O50" s="18">
        <v>120</v>
      </c>
      <c r="P50" s="119">
        <f t="shared" si="3"/>
        <v>580</v>
      </c>
      <c r="Q50" s="90">
        <v>21.81</v>
      </c>
      <c r="R50" s="43">
        <f t="shared" si="4"/>
        <v>305.33999999999997</v>
      </c>
    </row>
    <row r="51" spans="1:18" ht="24.6" x14ac:dyDescent="0.65">
      <c r="A51" s="10">
        <v>47</v>
      </c>
      <c r="B51" s="10" t="s">
        <v>958</v>
      </c>
      <c r="C51" s="19" t="s">
        <v>328</v>
      </c>
      <c r="D51" s="10" t="s">
        <v>432</v>
      </c>
      <c r="E51" s="64">
        <f>+'9'!J51</f>
        <v>24</v>
      </c>
      <c r="F51" s="71"/>
      <c r="G51" s="46">
        <f t="shared" si="5"/>
        <v>24</v>
      </c>
      <c r="H51" s="78">
        <v>0</v>
      </c>
      <c r="I51" s="76">
        <v>0</v>
      </c>
      <c r="J51" s="46">
        <f t="shared" si="6"/>
        <v>13</v>
      </c>
      <c r="K51" s="72">
        <v>11</v>
      </c>
      <c r="L51" s="15">
        <v>50</v>
      </c>
      <c r="M51" s="65">
        <f>+L51*K51</f>
        <v>550</v>
      </c>
      <c r="N51" s="17" t="s">
        <v>16</v>
      </c>
      <c r="O51" s="18">
        <v>120</v>
      </c>
      <c r="P51" s="119">
        <f>SUM(M51-O51)</f>
        <v>430</v>
      </c>
      <c r="Q51" s="90">
        <v>14.65</v>
      </c>
      <c r="R51" s="43">
        <f>+K51*Q51</f>
        <v>161.15</v>
      </c>
    </row>
    <row r="52" spans="1:18" ht="24" hidden="1" customHeight="1" x14ac:dyDescent="0.65">
      <c r="A52" s="10">
        <v>48</v>
      </c>
      <c r="B52" s="10" t="s">
        <v>1027</v>
      </c>
      <c r="C52" s="19" t="s">
        <v>337</v>
      </c>
      <c r="D52" s="10" t="s">
        <v>432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hidden="1" x14ac:dyDescent="0.65">
      <c r="A53" s="10">
        <v>49</v>
      </c>
      <c r="B53" s="10" t="s">
        <v>1006</v>
      </c>
      <c r="C53" s="19" t="s">
        <v>335</v>
      </c>
      <c r="D53" s="10" t="s">
        <v>432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hidden="1" x14ac:dyDescent="0.65">
      <c r="A54" s="10">
        <v>50</v>
      </c>
      <c r="B54" s="10" t="s">
        <v>1013</v>
      </c>
      <c r="C54" s="19" t="s">
        <v>336</v>
      </c>
      <c r="D54" s="10" t="s">
        <v>432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hidden="1" x14ac:dyDescent="0.65">
      <c r="A55" s="10">
        <v>51</v>
      </c>
      <c r="B55" s="10" t="s">
        <v>939</v>
      </c>
      <c r="C55" s="19" t="s">
        <v>322</v>
      </c>
      <c r="D55" s="10" t="s">
        <v>432</v>
      </c>
      <c r="E55" s="64">
        <f>+'9'!J55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966</v>
      </c>
      <c r="C56" s="19" t="s">
        <v>331</v>
      </c>
      <c r="D56" s="10" t="s">
        <v>432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953</v>
      </c>
      <c r="C57" s="19" t="s">
        <v>325</v>
      </c>
      <c r="D57" s="10" t="s">
        <v>432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432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19">
        <f t="shared" si="3"/>
        <v>170</v>
      </c>
      <c r="Q58" s="90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951</v>
      </c>
      <c r="C59" s="19" t="s">
        <v>323</v>
      </c>
      <c r="D59" s="10" t="s">
        <v>432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19">
        <f t="shared" si="3"/>
        <v>170</v>
      </c>
      <c r="Q59" s="90">
        <v>32.96</v>
      </c>
      <c r="R59" s="43">
        <f t="shared" si="4"/>
        <v>65.92</v>
      </c>
    </row>
    <row r="60" spans="1:18" ht="24.6" hidden="1" x14ac:dyDescent="0.65">
      <c r="A60" s="10">
        <v>56</v>
      </c>
      <c r="B60" s="10" t="s">
        <v>972</v>
      </c>
      <c r="C60" s="19" t="s">
        <v>332</v>
      </c>
      <c r="D60" s="10" t="s">
        <v>432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952</v>
      </c>
      <c r="C61" s="19" t="s">
        <v>324</v>
      </c>
      <c r="D61" s="10" t="s">
        <v>432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982</v>
      </c>
      <c r="C62" s="19" t="s">
        <v>334</v>
      </c>
      <c r="D62" s="10" t="s">
        <v>432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hidden="1" x14ac:dyDescent="0.65">
      <c r="A63" s="10">
        <v>59</v>
      </c>
      <c r="B63" s="10">
        <v>1112018</v>
      </c>
      <c r="C63" s="19" t="s">
        <v>1148</v>
      </c>
      <c r="D63" s="10" t="s">
        <v>432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1302</v>
      </c>
      <c r="C64" s="19" t="s">
        <v>341</v>
      </c>
      <c r="D64" s="10" t="s">
        <v>432</v>
      </c>
      <c r="E64" s="64">
        <f>+'9'!J64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10</v>
      </c>
      <c r="P64" s="119">
        <f t="shared" si="3"/>
        <v>90</v>
      </c>
      <c r="Q64" s="90">
        <v>23.69</v>
      </c>
      <c r="R64" s="43">
        <f t="shared" si="4"/>
        <v>47.38</v>
      </c>
    </row>
    <row r="65" spans="1:18" ht="24.6" hidden="1" x14ac:dyDescent="0.65">
      <c r="A65" s="10">
        <v>61</v>
      </c>
      <c r="B65" s="10" t="s">
        <v>962</v>
      </c>
      <c r="C65" s="19" t="s">
        <v>340</v>
      </c>
      <c r="D65" s="10" t="s">
        <v>432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hidden="1" x14ac:dyDescent="0.65">
      <c r="A66" s="10">
        <v>62</v>
      </c>
      <c r="B66" s="10" t="s">
        <v>1301</v>
      </c>
      <c r="C66" s="19" t="s">
        <v>339</v>
      </c>
      <c r="D66" s="10" t="s">
        <v>432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hidden="1" x14ac:dyDescent="0.65">
      <c r="A67" s="10">
        <v>63</v>
      </c>
      <c r="B67" s="10" t="s">
        <v>1340</v>
      </c>
      <c r="C67" s="19" t="s">
        <v>342</v>
      </c>
      <c r="D67" s="10" t="s">
        <v>432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1341</v>
      </c>
      <c r="C68" s="19" t="s">
        <v>343</v>
      </c>
      <c r="D68" s="10" t="s">
        <v>432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hidden="1" x14ac:dyDescent="0.65">
      <c r="A69" s="10">
        <v>65</v>
      </c>
      <c r="B69" s="10" t="s">
        <v>877</v>
      </c>
      <c r="C69" s="19" t="s">
        <v>346</v>
      </c>
      <c r="D69" s="10" t="s">
        <v>432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hidden="1" x14ac:dyDescent="0.65">
      <c r="A70" s="10">
        <v>66</v>
      </c>
      <c r="B70" s="10" t="s">
        <v>878</v>
      </c>
      <c r="C70" s="19" t="s">
        <v>345</v>
      </c>
      <c r="D70" s="10" t="s">
        <v>432</v>
      </c>
      <c r="E70" s="64">
        <f>+'9'!J70</f>
        <v>1</v>
      </c>
      <c r="F70" s="71"/>
      <c r="G70" s="46">
        <f t="shared" si="5"/>
        <v>1</v>
      </c>
      <c r="H70" s="78">
        <v>0</v>
      </c>
      <c r="I70" s="76">
        <v>0</v>
      </c>
      <c r="J70" s="46">
        <f t="shared" si="6"/>
        <v>1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hidden="1" x14ac:dyDescent="0.65">
      <c r="A71" s="10">
        <v>67</v>
      </c>
      <c r="B71" s="10" t="s">
        <v>1007</v>
      </c>
      <c r="C71" s="19" t="s">
        <v>344</v>
      </c>
      <c r="D71" s="10" t="s">
        <v>432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hidden="1" x14ac:dyDescent="0.65">
      <c r="A72" s="10">
        <v>68</v>
      </c>
      <c r="B72" s="10" t="s">
        <v>1060</v>
      </c>
      <c r="C72" s="19" t="s">
        <v>348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1305</v>
      </c>
      <c r="C73" s="19" t="s">
        <v>349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1303</v>
      </c>
      <c r="C74" s="19" t="s">
        <v>350</v>
      </c>
      <c r="D74" s="10" t="s">
        <v>432</v>
      </c>
      <c r="E74" s="64">
        <f>+'9'!J74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0</v>
      </c>
      <c r="K74" s="72">
        <v>7</v>
      </c>
      <c r="L74" s="21">
        <v>50</v>
      </c>
      <c r="M74" s="65">
        <f t="shared" si="2"/>
        <v>350</v>
      </c>
      <c r="N74" s="17" t="s">
        <v>16</v>
      </c>
      <c r="O74" s="18"/>
      <c r="P74" s="119">
        <f t="shared" si="3"/>
        <v>350</v>
      </c>
      <c r="Q74" s="90">
        <v>17.09</v>
      </c>
      <c r="R74" s="43">
        <f t="shared" si="4"/>
        <v>119.63</v>
      </c>
    </row>
    <row r="75" spans="1:18" ht="24.6" hidden="1" x14ac:dyDescent="0.65">
      <c r="A75" s="10">
        <v>71</v>
      </c>
      <c r="B75" s="10" t="s">
        <v>1304</v>
      </c>
      <c r="C75" s="19" t="s">
        <v>351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4" t="s">
        <v>1396</v>
      </c>
      <c r="C76" s="19" t="s">
        <v>1395</v>
      </c>
      <c r="D76" s="10" t="s">
        <v>432</v>
      </c>
      <c r="E76" s="64">
        <f>+'9'!J76</f>
        <v>23</v>
      </c>
      <c r="F76" s="71"/>
      <c r="G76" s="46">
        <f>E76+F76</f>
        <v>23</v>
      </c>
      <c r="H76" s="78">
        <v>0</v>
      </c>
      <c r="I76" s="76">
        <v>0</v>
      </c>
      <c r="J76" s="46">
        <f>+G76-H76-K76-I76</f>
        <v>12</v>
      </c>
      <c r="K76" s="72">
        <v>11</v>
      </c>
      <c r="L76" s="20">
        <v>39</v>
      </c>
      <c r="M76" s="65">
        <f>+L76*K76</f>
        <v>429</v>
      </c>
      <c r="N76" s="17" t="s">
        <v>16</v>
      </c>
      <c r="O76" s="18"/>
      <c r="P76" s="119">
        <f>SUM(M76-O76)</f>
        <v>429</v>
      </c>
      <c r="Q76" s="92"/>
      <c r="R76" s="43">
        <f>+K76*Q76</f>
        <v>0</v>
      </c>
    </row>
    <row r="77" spans="1:18" ht="24.6" hidden="1" x14ac:dyDescent="0.65">
      <c r="A77" s="10">
        <v>73</v>
      </c>
      <c r="B77" s="10" t="s">
        <v>956</v>
      </c>
      <c r="C77" s="19" t="s">
        <v>279</v>
      </c>
      <c r="D77" s="10" t="s">
        <v>432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hidden="1" x14ac:dyDescent="0.65">
      <c r="A78" s="10">
        <v>74</v>
      </c>
      <c r="B78" s="114" t="s">
        <v>1333</v>
      </c>
      <c r="C78" s="19" t="s">
        <v>352</v>
      </c>
      <c r="D78" s="10" t="s">
        <v>432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 x14ac:dyDescent="0.65">
      <c r="A79" s="10">
        <v>75</v>
      </c>
      <c r="B79" s="10" t="s">
        <v>862</v>
      </c>
      <c r="C79" s="19" t="s">
        <v>353</v>
      </c>
      <c r="D79" s="10" t="s">
        <v>432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hidden="1" x14ac:dyDescent="0.65">
      <c r="A80" s="10">
        <v>76</v>
      </c>
      <c r="B80" s="10" t="s">
        <v>985</v>
      </c>
      <c r="C80" s="19" t="s">
        <v>310</v>
      </c>
      <c r="D80" s="10" t="s">
        <v>432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hidden="1" x14ac:dyDescent="0.65">
      <c r="A81" s="10">
        <v>77</v>
      </c>
      <c r="B81" s="10" t="s">
        <v>984</v>
      </c>
      <c r="C81" s="19" t="s">
        <v>354</v>
      </c>
      <c r="D81" s="10" t="s">
        <v>432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65">
      <c r="A82" s="10">
        <v>78</v>
      </c>
      <c r="B82" s="114" t="s">
        <v>1330</v>
      </c>
      <c r="C82" s="19" t="s">
        <v>1384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hidden="1" x14ac:dyDescent="0.65">
      <c r="A83" s="10">
        <v>79</v>
      </c>
      <c r="B83" s="10" t="s">
        <v>983</v>
      </c>
      <c r="C83" s="19" t="s">
        <v>101</v>
      </c>
      <c r="D83" s="10" t="s">
        <v>432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hidden="1" x14ac:dyDescent="0.65">
      <c r="A84" s="10">
        <v>80</v>
      </c>
      <c r="B84" s="10" t="s">
        <v>1011</v>
      </c>
      <c r="C84" s="19" t="s">
        <v>102</v>
      </c>
      <c r="D84" s="10" t="s">
        <v>432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hidden="1" x14ac:dyDescent="0.65">
      <c r="A85" s="10">
        <v>81</v>
      </c>
      <c r="B85" s="10" t="s">
        <v>857</v>
      </c>
      <c r="C85" s="19" t="s">
        <v>371</v>
      </c>
      <c r="D85" s="10" t="s">
        <v>432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4" t="s">
        <v>1398</v>
      </c>
      <c r="C86" s="19" t="s">
        <v>1397</v>
      </c>
      <c r="D86" s="10" t="s">
        <v>432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hidden="1" x14ac:dyDescent="0.65">
      <c r="A87" s="10">
        <v>83</v>
      </c>
      <c r="B87" s="10">
        <v>1300015</v>
      </c>
      <c r="C87" s="19" t="s">
        <v>1422</v>
      </c>
      <c r="D87" s="10" t="s">
        <v>432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41">
        <v>1300016</v>
      </c>
      <c r="C88" s="142" t="s">
        <v>1423</v>
      </c>
      <c r="D88" s="10" t="s">
        <v>432</v>
      </c>
      <c r="E88" s="64">
        <f>+'9'!J88</f>
        <v>0</v>
      </c>
      <c r="F88" s="71">
        <v>100</v>
      </c>
      <c r="G88" s="46">
        <f t="shared" ref="G88" si="18">E88+F88</f>
        <v>100</v>
      </c>
      <c r="H88" s="78">
        <v>0</v>
      </c>
      <c r="I88" s="76">
        <v>1</v>
      </c>
      <c r="J88" s="46">
        <f t="shared" ref="J88" si="19">+G88-H88-K88-I88</f>
        <v>17</v>
      </c>
      <c r="K88" s="72">
        <v>82</v>
      </c>
      <c r="L88" s="20">
        <v>49</v>
      </c>
      <c r="M88" s="65">
        <f t="shared" ref="M88" si="20">+L88*K88</f>
        <v>4018</v>
      </c>
      <c r="N88" s="17" t="s">
        <v>16</v>
      </c>
      <c r="O88" s="18">
        <f>4018-2060</f>
        <v>1958</v>
      </c>
      <c r="P88" s="119">
        <f t="shared" ref="P88" si="21">SUM(M88-O88)</f>
        <v>2060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1399</v>
      </c>
      <c r="D89" s="10" t="s">
        <v>432</v>
      </c>
      <c r="E89" s="64">
        <f>+'9'!J89</f>
        <v>0</v>
      </c>
      <c r="F89" s="71"/>
      <c r="G89" s="46">
        <f t="shared" si="5"/>
        <v>0</v>
      </c>
      <c r="H89" s="78">
        <v>0</v>
      </c>
      <c r="I89" s="76"/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4" t="s">
        <v>1401</v>
      </c>
      <c r="C90" s="19" t="s">
        <v>1400</v>
      </c>
      <c r="D90" s="10" t="s">
        <v>432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558</v>
      </c>
      <c r="C91" s="19" t="s">
        <v>309</v>
      </c>
      <c r="D91" s="10" t="s">
        <v>432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640</v>
      </c>
      <c r="C92" s="19" t="s">
        <v>418</v>
      </c>
      <c r="D92" s="10" t="s">
        <v>432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41" t="s">
        <v>1332</v>
      </c>
      <c r="C93" s="142" t="s">
        <v>355</v>
      </c>
      <c r="D93" s="10" t="s">
        <v>432</v>
      </c>
      <c r="E93" s="64">
        <f>+'9'!J93</f>
        <v>32</v>
      </c>
      <c r="F93" s="71"/>
      <c r="G93" s="46">
        <f t="shared" si="5"/>
        <v>32</v>
      </c>
      <c r="H93" s="78">
        <v>0</v>
      </c>
      <c r="I93" s="76">
        <v>0</v>
      </c>
      <c r="J93" s="46">
        <f t="shared" si="6"/>
        <v>21</v>
      </c>
      <c r="K93" s="72">
        <v>11</v>
      </c>
      <c r="L93" s="21">
        <v>35</v>
      </c>
      <c r="M93" s="65">
        <f t="shared" si="7"/>
        <v>385</v>
      </c>
      <c r="N93" s="17" t="s">
        <v>16</v>
      </c>
      <c r="O93" s="18">
        <v>85</v>
      </c>
      <c r="P93" s="119">
        <f t="shared" si="8"/>
        <v>300</v>
      </c>
      <c r="Q93" s="90"/>
      <c r="R93" s="43">
        <f t="shared" si="9"/>
        <v>0</v>
      </c>
    </row>
    <row r="94" spans="1:18" ht="24.6" hidden="1" x14ac:dyDescent="0.65">
      <c r="A94" s="10">
        <v>90</v>
      </c>
      <c r="B94" s="10" t="s">
        <v>599</v>
      </c>
      <c r="C94" s="19" t="s">
        <v>356</v>
      </c>
      <c r="D94" s="10" t="s">
        <v>432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4.6" hidden="1" x14ac:dyDescent="0.65">
      <c r="A95" s="10">
        <v>91</v>
      </c>
      <c r="B95" s="10" t="s">
        <v>600</v>
      </c>
      <c r="C95" s="19" t="s">
        <v>357</v>
      </c>
      <c r="D95" s="10" t="s">
        <v>432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hidden="1" x14ac:dyDescent="0.65">
      <c r="A96" s="10">
        <v>92</v>
      </c>
      <c r="B96" s="10" t="s">
        <v>1334</v>
      </c>
      <c r="C96" s="19" t="s">
        <v>358</v>
      </c>
      <c r="D96" s="10" t="s">
        <v>432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861</v>
      </c>
      <c r="C97" s="19" t="s">
        <v>359</v>
      </c>
      <c r="D97" s="10" t="s">
        <v>432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605</v>
      </c>
      <c r="C98" s="19" t="s">
        <v>360</v>
      </c>
      <c r="D98" s="10" t="s">
        <v>432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hidden="1" x14ac:dyDescent="0.65">
      <c r="A99" s="10">
        <v>95</v>
      </c>
      <c r="B99" s="114" t="s">
        <v>1402</v>
      </c>
      <c r="C99" s="19" t="s">
        <v>1369</v>
      </c>
      <c r="D99" s="10" t="s">
        <v>564</v>
      </c>
      <c r="E99" s="64">
        <f>+'9'!J99</f>
        <v>17</v>
      </c>
      <c r="F99" s="71"/>
      <c r="G99" s="46">
        <f t="shared" si="23"/>
        <v>17</v>
      </c>
      <c r="H99" s="78">
        <v>0</v>
      </c>
      <c r="I99" s="76">
        <v>0</v>
      </c>
      <c r="J99" s="46">
        <f t="shared" si="24"/>
        <v>17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4" t="s">
        <v>1403</v>
      </c>
      <c r="C100" s="19" t="s">
        <v>1380</v>
      </c>
      <c r="D100" s="10" t="s">
        <v>432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4" t="s">
        <v>1404</v>
      </c>
      <c r="C101" s="19" t="s">
        <v>1381</v>
      </c>
      <c r="D101" s="10" t="s">
        <v>432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hidden="1" x14ac:dyDescent="0.65">
      <c r="A102" s="10">
        <v>98</v>
      </c>
      <c r="B102" s="10">
        <v>20057679</v>
      </c>
      <c r="C102" s="19" t="s">
        <v>1393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8" hidden="1" customHeight="1" x14ac:dyDescent="0.65">
      <c r="A103" s="10">
        <v>99</v>
      </c>
      <c r="B103" s="114" t="s">
        <v>1405</v>
      </c>
      <c r="C103" s="19" t="s">
        <v>1386</v>
      </c>
      <c r="D103" s="10" t="s">
        <v>1387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4" t="s">
        <v>1406</v>
      </c>
      <c r="C104" s="19" t="s">
        <v>1385</v>
      </c>
      <c r="D104" s="10" t="s">
        <v>1387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4" t="s">
        <v>1407</v>
      </c>
      <c r="C105" s="19" t="s">
        <v>1388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1313</v>
      </c>
      <c r="C106" s="19" t="s">
        <v>361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1153</v>
      </c>
      <c r="C107" s="19" t="s">
        <v>362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1164</v>
      </c>
      <c r="C108" s="19" t="s">
        <v>364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1157</v>
      </c>
      <c r="C109" s="19" t="s">
        <v>363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hidden="1" x14ac:dyDescent="0.65">
      <c r="A110" s="10">
        <v>106</v>
      </c>
      <c r="B110" s="10" t="s">
        <v>1265</v>
      </c>
      <c r="C110" s="19" t="s">
        <v>365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594</v>
      </c>
      <c r="C111" s="19" t="s">
        <v>366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961</v>
      </c>
      <c r="C112" s="19" t="s">
        <v>247</v>
      </c>
      <c r="D112" s="10" t="s">
        <v>439</v>
      </c>
      <c r="E112" s="64">
        <f>+'9'!J112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19">
        <f>SUM(M112-O112)</f>
        <v>300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963</v>
      </c>
      <c r="C113" s="19" t="s">
        <v>248</v>
      </c>
      <c r="D113" s="10" t="s">
        <v>432</v>
      </c>
      <c r="E113" s="64">
        <f>+'9'!J113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5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19">
        <f t="shared" si="8"/>
        <v>165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638</v>
      </c>
      <c r="C114" s="19" t="s">
        <v>367</v>
      </c>
      <c r="D114" s="10" t="s">
        <v>639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hidden="1" x14ac:dyDescent="0.65">
      <c r="A115" s="10">
        <v>111</v>
      </c>
      <c r="B115" s="10" t="s">
        <v>974</v>
      </c>
      <c r="C115" s="19" t="s">
        <v>368</v>
      </c>
      <c r="D115" s="10" t="s">
        <v>604</v>
      </c>
      <c r="E115" s="64">
        <f>+'9'!J115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946</v>
      </c>
      <c r="C116" s="19" t="s">
        <v>370</v>
      </c>
      <c r="D116" s="10" t="s">
        <v>616</v>
      </c>
      <c r="E116" s="64">
        <f>+'9'!J116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3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19">
        <f t="shared" si="8"/>
        <v>500</v>
      </c>
      <c r="Q116" s="90">
        <v>13.03</v>
      </c>
      <c r="R116" s="43">
        <f t="shared" si="9"/>
        <v>65.149999999999991</v>
      </c>
    </row>
    <row r="117" spans="1:18" ht="24.6" hidden="1" x14ac:dyDescent="0.65">
      <c r="A117" s="10">
        <v>113</v>
      </c>
      <c r="B117" s="10" t="s">
        <v>973</v>
      </c>
      <c r="C117" s="19" t="s">
        <v>369</v>
      </c>
      <c r="D117" s="10" t="s">
        <v>604</v>
      </c>
      <c r="E117" s="64">
        <f>+'9'!J117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hidden="1" x14ac:dyDescent="0.65">
      <c r="A118" s="10">
        <v>114</v>
      </c>
      <c r="B118" s="10" t="s">
        <v>1076</v>
      </c>
      <c r="C118" s="19" t="s">
        <v>375</v>
      </c>
      <c r="D118" s="10" t="s">
        <v>432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900</v>
      </c>
      <c r="C119" s="19" t="s">
        <v>372</v>
      </c>
      <c r="D119" s="10" t="s">
        <v>432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1205</v>
      </c>
      <c r="C120" s="19" t="s">
        <v>373</v>
      </c>
      <c r="D120" s="10" t="s">
        <v>432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1338</v>
      </c>
      <c r="C121" s="19" t="s">
        <v>374</v>
      </c>
      <c r="D121" s="10" t="s">
        <v>432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1083</v>
      </c>
      <c r="C122" s="19" t="s">
        <v>1084</v>
      </c>
      <c r="D122" s="10" t="s">
        <v>432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883</v>
      </c>
      <c r="C123" s="19" t="s">
        <v>376</v>
      </c>
      <c r="D123" s="10" t="s">
        <v>432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1408</v>
      </c>
      <c r="D124" s="10" t="s">
        <v>432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1349</v>
      </c>
      <c r="C125" s="19" t="s">
        <v>377</v>
      </c>
      <c r="D125" s="10" t="s">
        <v>585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1350</v>
      </c>
      <c r="C126" s="19" t="s">
        <v>378</v>
      </c>
      <c r="D126" s="10" t="s">
        <v>585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607</v>
      </c>
      <c r="C127" s="19" t="s">
        <v>379</v>
      </c>
      <c r="D127" s="10" t="s">
        <v>432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609</v>
      </c>
      <c r="C128" s="19" t="s">
        <v>380</v>
      </c>
      <c r="D128" s="10" t="s">
        <v>432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1057</v>
      </c>
      <c r="C129" s="19" t="s">
        <v>383</v>
      </c>
      <c r="D129" s="10" t="s">
        <v>432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hidden="1" x14ac:dyDescent="0.65">
      <c r="A130" s="10">
        <v>126</v>
      </c>
      <c r="B130" s="10" t="s">
        <v>990</v>
      </c>
      <c r="C130" s="19" t="s">
        <v>381</v>
      </c>
      <c r="D130" s="10" t="s">
        <v>432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hidden="1" x14ac:dyDescent="0.65">
      <c r="A131" s="10">
        <v>127</v>
      </c>
      <c r="B131" s="10" t="s">
        <v>975</v>
      </c>
      <c r="C131" s="19" t="s">
        <v>382</v>
      </c>
      <c r="D131" s="10" t="s">
        <v>616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1079</v>
      </c>
      <c r="C132" s="19" t="s">
        <v>384</v>
      </c>
      <c r="D132" s="10" t="s">
        <v>432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1008</v>
      </c>
      <c r="C133" s="19" t="s">
        <v>249</v>
      </c>
      <c r="D133" s="10" t="s">
        <v>432</v>
      </c>
      <c r="E133" s="64">
        <f>+'9'!J133</f>
        <v>30</v>
      </c>
      <c r="F133" s="71"/>
      <c r="G133" s="46">
        <f t="shared" si="23"/>
        <v>30</v>
      </c>
      <c r="H133" s="78">
        <v>0</v>
      </c>
      <c r="I133" s="76">
        <v>0</v>
      </c>
      <c r="J133" s="46">
        <f t="shared" si="24"/>
        <v>22</v>
      </c>
      <c r="K133" s="72">
        <v>8</v>
      </c>
      <c r="L133" s="20">
        <v>50</v>
      </c>
      <c r="M133" s="65">
        <f t="shared" si="7"/>
        <v>400</v>
      </c>
      <c r="N133" s="17" t="s">
        <v>16</v>
      </c>
      <c r="O133" s="18"/>
      <c r="P133" s="119">
        <f t="shared" si="8"/>
        <v>400</v>
      </c>
      <c r="Q133" s="90">
        <v>21.75</v>
      </c>
      <c r="R133" s="43">
        <f t="shared" si="9"/>
        <v>174</v>
      </c>
    </row>
    <row r="134" spans="1:18" ht="24.6" hidden="1" x14ac:dyDescent="0.65">
      <c r="A134" s="10">
        <v>130</v>
      </c>
      <c r="B134" s="114" t="s">
        <v>1409</v>
      </c>
      <c r="C134" s="19" t="s">
        <v>1425</v>
      </c>
      <c r="D134" s="10" t="s">
        <v>432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4" t="s">
        <v>1411</v>
      </c>
      <c r="C135" s="19" t="s">
        <v>1410</v>
      </c>
      <c r="D135" s="10" t="s">
        <v>432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4" t="s">
        <v>1413</v>
      </c>
      <c r="C136" s="19" t="s">
        <v>1412</v>
      </c>
      <c r="D136" s="10" t="s">
        <v>432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1414</v>
      </c>
      <c r="D137" s="10" t="s">
        <v>432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989</v>
      </c>
      <c r="C138" s="19" t="s">
        <v>278</v>
      </c>
      <c r="D138" s="10" t="s">
        <v>432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1087</v>
      </c>
      <c r="C139" s="19" t="s">
        <v>134</v>
      </c>
      <c r="D139" s="10" t="s">
        <v>432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629</v>
      </c>
      <c r="C140" s="19" t="s">
        <v>388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628</v>
      </c>
      <c r="C141" s="19" t="s">
        <v>387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hidden="1" x14ac:dyDescent="0.65">
      <c r="A142" s="10">
        <v>138</v>
      </c>
      <c r="B142" s="10" t="s">
        <v>1187</v>
      </c>
      <c r="C142" s="19" t="s">
        <v>386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hidden="1" x14ac:dyDescent="0.65">
      <c r="A143" s="10">
        <v>139</v>
      </c>
      <c r="B143" s="10" t="s">
        <v>1190</v>
      </c>
      <c r="C143" s="19" t="s">
        <v>385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hidden="1" x14ac:dyDescent="0.65">
      <c r="A144" s="10">
        <v>140</v>
      </c>
      <c r="B144" s="10" t="s">
        <v>1189</v>
      </c>
      <c r="C144" s="19" t="s">
        <v>389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hidden="1" x14ac:dyDescent="0.65">
      <c r="A145" s="10">
        <v>141</v>
      </c>
      <c r="B145" s="10" t="s">
        <v>1191</v>
      </c>
      <c r="C145" s="19" t="s">
        <v>390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hidden="1" x14ac:dyDescent="0.65">
      <c r="A146" s="10">
        <v>142</v>
      </c>
      <c r="B146" s="10" t="s">
        <v>1188</v>
      </c>
      <c r="C146" s="19" t="s">
        <v>391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hidden="1" x14ac:dyDescent="0.65">
      <c r="A147" s="10">
        <v>143</v>
      </c>
      <c r="B147" s="10">
        <v>1115298</v>
      </c>
      <c r="C147" s="19" t="s">
        <v>250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1090</v>
      </c>
      <c r="C148" s="19" t="s">
        <v>1091</v>
      </c>
      <c r="D148" s="10" t="s">
        <v>432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997</v>
      </c>
      <c r="C149" s="19" t="s">
        <v>142</v>
      </c>
      <c r="D149" s="10" t="s">
        <v>432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998</v>
      </c>
      <c r="C150" s="19" t="s">
        <v>135</v>
      </c>
      <c r="D150" s="10" t="s">
        <v>432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1000</v>
      </c>
      <c r="C151" s="19" t="s">
        <v>144</v>
      </c>
      <c r="D151" s="10" t="s">
        <v>432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999</v>
      </c>
      <c r="C152" s="19" t="s">
        <v>143</v>
      </c>
      <c r="D152" s="10" t="s">
        <v>432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979</v>
      </c>
      <c r="C153" s="19" t="s">
        <v>392</v>
      </c>
      <c r="D153" s="10" t="s">
        <v>432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hidden="1" x14ac:dyDescent="0.65">
      <c r="A154" s="10">
        <v>150</v>
      </c>
      <c r="B154" s="10" t="s">
        <v>1336</v>
      </c>
      <c r="C154" s="19" t="s">
        <v>394</v>
      </c>
      <c r="D154" s="10" t="s">
        <v>432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hidden="1" x14ac:dyDescent="0.65">
      <c r="A155" s="10">
        <v>151</v>
      </c>
      <c r="B155" s="10" t="s">
        <v>1335</v>
      </c>
      <c r="C155" s="19" t="s">
        <v>393</v>
      </c>
      <c r="D155" s="10" t="s">
        <v>432</v>
      </c>
      <c r="E155" s="64">
        <f>+'9'!J155</f>
        <v>31</v>
      </c>
      <c r="F155" s="71"/>
      <c r="G155" s="46">
        <f t="shared" si="23"/>
        <v>31</v>
      </c>
      <c r="H155" s="78">
        <v>0</v>
      </c>
      <c r="I155" s="76">
        <v>0</v>
      </c>
      <c r="J155" s="46">
        <f t="shared" si="24"/>
        <v>31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hidden="1" x14ac:dyDescent="0.65">
      <c r="A156" s="10">
        <v>152</v>
      </c>
      <c r="B156" s="10" t="s">
        <v>943</v>
      </c>
      <c r="C156" s="19" t="s">
        <v>251</v>
      </c>
      <c r="D156" s="10" t="s">
        <v>432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1012</v>
      </c>
      <c r="C157" s="19" t="s">
        <v>395</v>
      </c>
      <c r="D157" s="10" t="s">
        <v>616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615</v>
      </c>
      <c r="C158" s="19" t="s">
        <v>281</v>
      </c>
      <c r="D158" s="10" t="s">
        <v>616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622</v>
      </c>
      <c r="C159" s="19" t="s">
        <v>396</v>
      </c>
      <c r="D159" s="10" t="s">
        <v>432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620</v>
      </c>
      <c r="C160" s="19" t="s">
        <v>397</v>
      </c>
      <c r="D160" s="10" t="s">
        <v>432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621</v>
      </c>
      <c r="C161" s="19" t="s">
        <v>399</v>
      </c>
      <c r="D161" s="10" t="s">
        <v>432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619</v>
      </c>
      <c r="C162" s="19" t="s">
        <v>398</v>
      </c>
      <c r="D162" s="10" t="s">
        <v>432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916</v>
      </c>
      <c r="C163" s="19" t="s">
        <v>314</v>
      </c>
      <c r="D163" s="10" t="s">
        <v>432</v>
      </c>
      <c r="E163" s="64">
        <f>+'9'!J163</f>
        <v>11</v>
      </c>
      <c r="F163" s="71"/>
      <c r="G163" s="46">
        <f t="shared" si="30"/>
        <v>11</v>
      </c>
      <c r="H163" s="78">
        <v>0</v>
      </c>
      <c r="I163" s="76">
        <v>0</v>
      </c>
      <c r="J163" s="46">
        <f t="shared" si="31"/>
        <v>0</v>
      </c>
      <c r="K163" s="72">
        <v>11</v>
      </c>
      <c r="L163" s="20">
        <v>25</v>
      </c>
      <c r="M163" s="65">
        <f t="shared" si="7"/>
        <v>275</v>
      </c>
      <c r="N163" s="17" t="s">
        <v>16</v>
      </c>
      <c r="O163" s="18">
        <f>5*11</f>
        <v>55</v>
      </c>
      <c r="P163" s="119">
        <f t="shared" si="8"/>
        <v>220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1002</v>
      </c>
      <c r="C164" s="19" t="s">
        <v>315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1005</v>
      </c>
      <c r="C165" s="19" t="s">
        <v>316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1003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1004</v>
      </c>
      <c r="C167" s="19" t="s">
        <v>152</v>
      </c>
      <c r="D167" s="10" t="s">
        <v>432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1067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4" t="s">
        <v>1065</v>
      </c>
      <c r="C169" s="19" t="s">
        <v>1066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41" t="s">
        <v>641</v>
      </c>
      <c r="C170" s="142" t="s">
        <v>400</v>
      </c>
      <c r="D170" s="10" t="s">
        <v>432</v>
      </c>
      <c r="E170" s="64">
        <f>+'9'!J170</f>
        <v>74</v>
      </c>
      <c r="F170" s="71"/>
      <c r="G170" s="46">
        <f t="shared" si="30"/>
        <v>74</v>
      </c>
      <c r="H170" s="78">
        <v>0</v>
      </c>
      <c r="I170" s="76">
        <v>0</v>
      </c>
      <c r="J170" s="46">
        <f t="shared" si="31"/>
        <v>59</v>
      </c>
      <c r="K170" s="72">
        <v>15</v>
      </c>
      <c r="L170" s="22">
        <v>35</v>
      </c>
      <c r="M170" s="65">
        <f t="shared" si="7"/>
        <v>525</v>
      </c>
      <c r="N170" s="17" t="s">
        <v>16</v>
      </c>
      <c r="O170" s="18">
        <v>25</v>
      </c>
      <c r="P170" s="119">
        <f t="shared" si="8"/>
        <v>500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856</v>
      </c>
      <c r="C171" s="19" t="s">
        <v>401</v>
      </c>
      <c r="D171" s="10" t="s">
        <v>432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1203</v>
      </c>
      <c r="C172" s="19" t="s">
        <v>118</v>
      </c>
      <c r="D172" s="10" t="s">
        <v>616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43" t="s">
        <v>1418</v>
      </c>
      <c r="C173" s="142" t="s">
        <v>1415</v>
      </c>
      <c r="D173" s="10" t="s">
        <v>564</v>
      </c>
      <c r="E173" s="64">
        <f>+'9'!J173</f>
        <v>32</v>
      </c>
      <c r="F173" s="71"/>
      <c r="G173" s="46">
        <f>E173+F173</f>
        <v>32</v>
      </c>
      <c r="H173" s="78">
        <v>0</v>
      </c>
      <c r="I173" s="76">
        <v>0</v>
      </c>
      <c r="J173" s="46">
        <f>+G173-H173-K173-I173</f>
        <v>5</v>
      </c>
      <c r="K173" s="72">
        <v>27</v>
      </c>
      <c r="L173" s="20">
        <v>35</v>
      </c>
      <c r="M173" s="65">
        <f>+L173*K173</f>
        <v>945</v>
      </c>
      <c r="N173" s="17" t="s">
        <v>16</v>
      </c>
      <c r="O173" s="18">
        <v>45</v>
      </c>
      <c r="P173" s="119">
        <f>SUM(M173-O173)</f>
        <v>900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976</v>
      </c>
      <c r="C174" s="19" t="s">
        <v>1394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hidden="1" x14ac:dyDescent="0.65">
      <c r="A175" s="10">
        <v>171</v>
      </c>
      <c r="B175" s="10" t="s">
        <v>976</v>
      </c>
      <c r="C175" s="19" t="s">
        <v>347</v>
      </c>
      <c r="D175" s="10" t="s">
        <v>432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hidden="1" x14ac:dyDescent="0.65">
      <c r="A176" s="10">
        <v>172</v>
      </c>
      <c r="B176" s="114" t="s">
        <v>1417</v>
      </c>
      <c r="C176" s="19" t="s">
        <v>1416</v>
      </c>
      <c r="D176" s="10" t="s">
        <v>432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1300</v>
      </c>
      <c r="C177" s="19" t="s">
        <v>402</v>
      </c>
      <c r="D177" s="10" t="s">
        <v>585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891</v>
      </c>
      <c r="C178" s="19" t="s">
        <v>237</v>
      </c>
      <c r="D178" s="10" t="s">
        <v>432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1088</v>
      </c>
      <c r="C179" s="19" t="s">
        <v>1089</v>
      </c>
      <c r="D179" s="10" t="s">
        <v>432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65">
      <c r="A180" s="10">
        <v>176</v>
      </c>
      <c r="B180" s="10" t="s">
        <v>1134</v>
      </c>
      <c r="C180" s="19" t="s">
        <v>245</v>
      </c>
      <c r="D180" s="10" t="s">
        <v>616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1071</v>
      </c>
      <c r="C181" s="19" t="s">
        <v>179</v>
      </c>
      <c r="D181" s="10" t="s">
        <v>604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603</v>
      </c>
      <c r="C182" s="19" t="s">
        <v>246</v>
      </c>
      <c r="D182" s="10" t="s">
        <v>604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588</v>
      </c>
      <c r="C183" s="19" t="s">
        <v>419</v>
      </c>
      <c r="D183" s="10" t="s">
        <v>432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1117</v>
      </c>
      <c r="C184" s="19" t="s">
        <v>403</v>
      </c>
      <c r="D184" s="10" t="s">
        <v>604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1184</v>
      </c>
      <c r="C185" s="19" t="s">
        <v>404</v>
      </c>
      <c r="D185" s="10" t="s">
        <v>604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1383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hidden="1" customHeight="1" x14ac:dyDescent="0.65">
      <c r="A187" s="10">
        <v>183</v>
      </c>
      <c r="B187" s="114" t="s">
        <v>1419</v>
      </c>
      <c r="C187" s="19" t="s">
        <v>1389</v>
      </c>
      <c r="D187" s="10" t="s">
        <v>564</v>
      </c>
      <c r="E187" s="64">
        <f>+'9'!J187</f>
        <v>11</v>
      </c>
      <c r="F187" s="71"/>
      <c r="G187" s="46">
        <f>E187+F187</f>
        <v>11</v>
      </c>
      <c r="H187" s="78">
        <v>0</v>
      </c>
      <c r="I187" s="76">
        <v>0</v>
      </c>
      <c r="J187" s="46">
        <f>+G187-H187-K187-I187</f>
        <v>11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hidden="1" customHeight="1" x14ac:dyDescent="0.65">
      <c r="A188" s="10">
        <v>184</v>
      </c>
      <c r="B188" s="114" t="s">
        <v>1420</v>
      </c>
      <c r="C188" s="19" t="s">
        <v>1390</v>
      </c>
      <c r="D188" s="10" t="s">
        <v>564</v>
      </c>
      <c r="E188" s="64">
        <f>+'9'!J188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11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hidden="1" customHeight="1" x14ac:dyDescent="0.65">
      <c r="A189" s="10">
        <v>185</v>
      </c>
      <c r="B189" s="114" t="s">
        <v>1421</v>
      </c>
      <c r="C189" s="19" t="s">
        <v>1391</v>
      </c>
      <c r="D189" s="10" t="s">
        <v>564</v>
      </c>
      <c r="E189" s="64">
        <f>+'9'!J189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4" t="s">
        <v>1204</v>
      </c>
      <c r="C190" s="19" t="s">
        <v>1382</v>
      </c>
      <c r="D190" s="10" t="s">
        <v>604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910</v>
      </c>
      <c r="C191" s="19" t="s">
        <v>280</v>
      </c>
      <c r="D191" s="10" t="s">
        <v>432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942</v>
      </c>
      <c r="C192" s="19" t="s">
        <v>405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1345</v>
      </c>
      <c r="C193" s="19" t="s">
        <v>406</v>
      </c>
      <c r="D193" s="10" t="s">
        <v>585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65">
      <c r="A194" s="10">
        <v>190</v>
      </c>
      <c r="B194" s="10" t="s">
        <v>1344</v>
      </c>
      <c r="C194" s="19" t="s">
        <v>407</v>
      </c>
      <c r="D194" s="10" t="s">
        <v>585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65">
      <c r="A195" s="10">
        <v>191</v>
      </c>
      <c r="B195" s="10" t="s">
        <v>1273</v>
      </c>
      <c r="C195" s="19" t="s">
        <v>408</v>
      </c>
      <c r="D195" s="10" t="s">
        <v>585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1274</v>
      </c>
      <c r="C196" s="19" t="s">
        <v>409</v>
      </c>
      <c r="D196" s="10" t="s">
        <v>432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1118</v>
      </c>
      <c r="C197" s="19" t="s">
        <v>410</v>
      </c>
      <c r="D197" s="10" t="s">
        <v>585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1096</v>
      </c>
      <c r="C198" s="19" t="s">
        <v>411</v>
      </c>
      <c r="D198" s="10" t="s">
        <v>432</v>
      </c>
      <c r="E198" s="64">
        <f>+'9'!J198</f>
        <v>37</v>
      </c>
      <c r="F198" s="71"/>
      <c r="G198" s="46">
        <f t="shared" si="30"/>
        <v>37</v>
      </c>
      <c r="H198" s="78">
        <v>0</v>
      </c>
      <c r="I198" s="76">
        <v>0</v>
      </c>
      <c r="J198" s="46">
        <f t="shared" si="31"/>
        <v>0</v>
      </c>
      <c r="K198" s="72">
        <v>37</v>
      </c>
      <c r="L198" s="20">
        <v>150</v>
      </c>
      <c r="M198" s="65">
        <f t="shared" si="34"/>
        <v>5550</v>
      </c>
      <c r="N198" s="17" t="s">
        <v>16</v>
      </c>
      <c r="O198" s="18">
        <f>5500-3150</f>
        <v>2350</v>
      </c>
      <c r="P198" s="119">
        <f t="shared" si="35"/>
        <v>3200</v>
      </c>
      <c r="Q198" s="90">
        <v>64.38</v>
      </c>
      <c r="R198" s="43">
        <f t="shared" si="36"/>
        <v>2382.06</v>
      </c>
    </row>
    <row r="199" spans="1:18" ht="24.6" hidden="1" x14ac:dyDescent="0.65">
      <c r="A199" s="10">
        <v>195</v>
      </c>
      <c r="B199" s="10" t="s">
        <v>1174</v>
      </c>
      <c r="C199" s="19" t="s">
        <v>170</v>
      </c>
      <c r="D199" s="10" t="s">
        <v>616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1353</v>
      </c>
      <c r="C200" s="19" t="s">
        <v>115</v>
      </c>
      <c r="D200" s="10" t="s">
        <v>585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1168</v>
      </c>
      <c r="C201" s="19" t="s">
        <v>1169</v>
      </c>
      <c r="D201" s="10" t="s">
        <v>616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1171</v>
      </c>
      <c r="C202" s="19" t="s">
        <v>1172</v>
      </c>
      <c r="D202" s="10" t="s">
        <v>616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1173</v>
      </c>
      <c r="C203" s="19" t="s">
        <v>173</v>
      </c>
      <c r="D203" s="10" t="s">
        <v>616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1176</v>
      </c>
      <c r="C204" s="19" t="s">
        <v>174</v>
      </c>
      <c r="D204" s="10" t="s">
        <v>585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1182</v>
      </c>
      <c r="C205" s="19" t="s">
        <v>180</v>
      </c>
      <c r="D205" s="10" t="s">
        <v>439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1183</v>
      </c>
      <c r="C206" s="19" t="s">
        <v>181</v>
      </c>
      <c r="D206" s="10" t="s">
        <v>439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41">
        <v>5000002</v>
      </c>
      <c r="C207" s="142" t="s">
        <v>1392</v>
      </c>
      <c r="D207" s="10" t="s">
        <v>432</v>
      </c>
      <c r="E207" s="64">
        <f>+'9'!J207</f>
        <v>57</v>
      </c>
      <c r="F207" s="71"/>
      <c r="G207" s="46">
        <f>E207+F207</f>
        <v>57</v>
      </c>
      <c r="H207" s="78">
        <v>0</v>
      </c>
      <c r="I207" s="76">
        <v>0</v>
      </c>
      <c r="J207" s="46">
        <f>+G207-H207-K207-I207</f>
        <v>1</v>
      </c>
      <c r="K207" s="72">
        <f>37+11+8</f>
        <v>56</v>
      </c>
      <c r="L207" s="20">
        <v>50</v>
      </c>
      <c r="M207" s="65">
        <f>+L207*K207</f>
        <v>2800</v>
      </c>
      <c r="N207" s="17" t="s">
        <v>16</v>
      </c>
      <c r="O207" s="18">
        <v>2500</v>
      </c>
      <c r="P207" s="119">
        <f>SUM(M207-O207)</f>
        <v>300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1348</v>
      </c>
      <c r="C208" s="19" t="s">
        <v>188</v>
      </c>
      <c r="D208" s="10" t="s">
        <v>432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1347</v>
      </c>
      <c r="C209" s="19" t="s">
        <v>252</v>
      </c>
      <c r="D209" s="10" t="s">
        <v>432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1212</v>
      </c>
      <c r="C210" s="19" t="s">
        <v>317</v>
      </c>
      <c r="D210" s="10" t="s">
        <v>803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1215</v>
      </c>
      <c r="C211" s="19" t="s">
        <v>253</v>
      </c>
      <c r="D211" s="10" t="s">
        <v>803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1232</v>
      </c>
      <c r="C212" s="19" t="s">
        <v>254</v>
      </c>
      <c r="D212" s="10" t="s">
        <v>803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hidden="1" x14ac:dyDescent="0.65">
      <c r="A213" s="10">
        <v>209</v>
      </c>
      <c r="B213" s="10" t="s">
        <v>1225</v>
      </c>
      <c r="C213" s="19" t="s">
        <v>255</v>
      </c>
      <c r="D213" s="10" t="s">
        <v>803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hidden="1" x14ac:dyDescent="0.65">
      <c r="A214" s="10">
        <v>210</v>
      </c>
      <c r="B214" s="10" t="s">
        <v>1220</v>
      </c>
      <c r="C214" s="19" t="s">
        <v>256</v>
      </c>
      <c r="D214" s="10" t="s">
        <v>803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542</v>
      </c>
      <c r="C215" s="19" t="s">
        <v>543</v>
      </c>
      <c r="D215" s="10" t="s">
        <v>432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852</v>
      </c>
      <c r="C216" s="19" t="s">
        <v>412</v>
      </c>
      <c r="D216" s="10" t="s">
        <v>432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1206</v>
      </c>
      <c r="C217" s="19" t="s">
        <v>257</v>
      </c>
      <c r="D217" s="10" t="s">
        <v>447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1192</v>
      </c>
      <c r="C218" s="19" t="s">
        <v>318</v>
      </c>
      <c r="D218" s="10" t="s">
        <v>585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282</v>
      </c>
      <c r="D219" s="10" t="s">
        <v>439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930</v>
      </c>
      <c r="C220" s="19" t="s">
        <v>283</v>
      </c>
      <c r="D220" s="10" t="s">
        <v>439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1275</v>
      </c>
      <c r="C221" s="19" t="s">
        <v>258</v>
      </c>
      <c r="D221" s="10" t="s">
        <v>439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929</v>
      </c>
      <c r="C222" s="19" t="s">
        <v>284</v>
      </c>
      <c r="D222" s="10" t="s">
        <v>439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1278</v>
      </c>
      <c r="C223" s="19" t="s">
        <v>259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853</v>
      </c>
      <c r="C224" s="19" t="s">
        <v>854</v>
      </c>
      <c r="D224" s="10" t="s">
        <v>432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1281</v>
      </c>
      <c r="C225" s="19" t="s">
        <v>275</v>
      </c>
      <c r="D225" s="10" t="s">
        <v>432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1282</v>
      </c>
      <c r="C226" s="19" t="s">
        <v>276</v>
      </c>
      <c r="D226" s="10" t="s">
        <v>432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1283</v>
      </c>
      <c r="C227" s="19" t="s">
        <v>277</v>
      </c>
      <c r="D227" s="10" t="s">
        <v>432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562</v>
      </c>
      <c r="C228" s="19" t="s">
        <v>319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567</v>
      </c>
      <c r="C229" s="19" t="s">
        <v>260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568</v>
      </c>
      <c r="C230" s="19" t="s">
        <v>413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570</v>
      </c>
      <c r="C231" s="19" t="s">
        <v>261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573</v>
      </c>
      <c r="C232" s="19" t="s">
        <v>262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855</v>
      </c>
      <c r="C233" s="19" t="s">
        <v>263</v>
      </c>
      <c r="D233" s="10" t="s">
        <v>432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577</v>
      </c>
      <c r="C234" s="19" t="s">
        <v>578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579</v>
      </c>
      <c r="C235" s="19" t="s">
        <v>264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902</v>
      </c>
      <c r="C236" s="19" t="s">
        <v>265</v>
      </c>
      <c r="D236" s="10" t="s">
        <v>432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565</v>
      </c>
      <c r="C237" s="19" t="s">
        <v>266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572</v>
      </c>
      <c r="C238" s="19" t="s">
        <v>267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901</v>
      </c>
      <c r="C239" s="19" t="s">
        <v>268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575</v>
      </c>
      <c r="C240" s="19" t="s">
        <v>269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270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hidden="1" x14ac:dyDescent="0.65">
      <c r="A242" s="10">
        <v>238</v>
      </c>
      <c r="B242" s="141"/>
      <c r="C242" s="142" t="s">
        <v>1436</v>
      </c>
      <c r="D242" s="10" t="s">
        <v>564</v>
      </c>
      <c r="E242" s="64">
        <f>+'9'!J242</f>
        <v>7</v>
      </c>
      <c r="F242" s="71"/>
      <c r="G242" s="46">
        <f t="shared" si="42"/>
        <v>7</v>
      </c>
      <c r="H242" s="78">
        <v>7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41"/>
      <c r="C243" s="142" t="s">
        <v>1449</v>
      </c>
      <c r="D243" s="10" t="s">
        <v>564</v>
      </c>
      <c r="E243" s="64">
        <f>+'9'!J243</f>
        <v>0</v>
      </c>
      <c r="F243" s="71">
        <v>100</v>
      </c>
      <c r="G243" s="46">
        <f t="shared" ref="G243:G246" si="47">E243+F243</f>
        <v>100</v>
      </c>
      <c r="H243" s="78">
        <v>0</v>
      </c>
      <c r="I243" s="76">
        <v>1</v>
      </c>
      <c r="J243" s="46">
        <f t="shared" ref="J243:J246" si="48">+G243-H243-K243-I243</f>
        <v>42</v>
      </c>
      <c r="K243" s="72">
        <v>57</v>
      </c>
      <c r="L243" s="20">
        <v>49</v>
      </c>
      <c r="M243" s="65">
        <f t="shared" ref="M243:M246" si="49">+L243*K243</f>
        <v>2793</v>
      </c>
      <c r="N243" s="17" t="s">
        <v>16</v>
      </c>
      <c r="O243" s="18">
        <f>2793-1430</f>
        <v>1363</v>
      </c>
      <c r="P243" s="119">
        <f t="shared" ref="P243:P246" si="50">SUM(M243-O243)</f>
        <v>1430</v>
      </c>
      <c r="Q243" s="92"/>
      <c r="R243" s="43">
        <f t="shared" ref="R243:R246" si="51">+K243*Q243</f>
        <v>0</v>
      </c>
    </row>
    <row r="244" spans="1:18" ht="24.6" hidden="1" x14ac:dyDescent="0.65">
      <c r="A244" s="10">
        <v>240</v>
      </c>
      <c r="B244" s="10"/>
      <c r="C244" s="19"/>
      <c r="D244" s="10"/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hidden="1" x14ac:dyDescent="0.65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hidden="1" x14ac:dyDescent="0.65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65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8946.57</v>
      </c>
      <c r="S260" s="75"/>
    </row>
    <row r="261" spans="1:19" ht="25.5" hidden="1" customHeight="1" x14ac:dyDescent="0.6">
      <c r="A261" s="1"/>
      <c r="E261" s="1"/>
      <c r="F261" s="1"/>
      <c r="G261" s="24"/>
      <c r="H261" s="25"/>
      <c r="I261" s="25"/>
      <c r="J261" s="24"/>
      <c r="K261" s="228" t="s">
        <v>212</v>
      </c>
      <c r="L261" s="22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35495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>
        <v>0</v>
      </c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5500</v>
      </c>
      <c r="O264" s="2">
        <v>5500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10206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19789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f>17785+850+190</f>
        <v>18825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-964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-964</v>
      </c>
    </row>
    <row r="272" spans="1:19" x14ac:dyDescent="0.6">
      <c r="J272" s="2"/>
      <c r="L272" s="2"/>
    </row>
    <row r="273" spans="10:13" ht="24.6" x14ac:dyDescent="0.65">
      <c r="J273" s="2"/>
      <c r="L273" s="73" t="s">
        <v>271</v>
      </c>
      <c r="M273" s="2" t="s">
        <v>1431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2">
      <filters blank="1">
        <filter val="1,000.00"/>
        <filter val="1,200.00"/>
        <filter val="1,700.00"/>
        <filter val="1,900.00"/>
        <filter val="100.00"/>
        <filter val="165.00"/>
        <filter val="2,400.00"/>
        <filter val="2,793.00"/>
        <filter val="200.00"/>
        <filter val="240.00"/>
        <filter val="300.00"/>
        <filter val="350.00"/>
        <filter val="385.00"/>
        <filter val="4,018.00"/>
        <filter val="4,300.00"/>
        <filter val="400.00"/>
        <filter val="429.00"/>
        <filter val="5,550.00"/>
        <filter val="50.00"/>
        <filter val="500.00"/>
        <filter val="525.00"/>
        <filter val="550.00"/>
        <filter val="600.00"/>
        <filter val="650.00"/>
        <filter val="700.00"/>
        <filter val="75.00"/>
        <filter val="780.00"/>
        <filter val="945.00"/>
        <filter val="เป็นเงิ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75" bottom="0.75" header="0.3" footer="0.3"/>
  <pageSetup paperSize="9" scale="37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244" t="s">
        <v>241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O2" s="245" t="s">
        <v>0</v>
      </c>
      <c r="P2" s="245"/>
      <c r="Q2" s="245"/>
      <c r="R2" s="245"/>
      <c r="S2" s="245"/>
      <c r="T2" s="245"/>
      <c r="U2" s="245"/>
      <c r="V2" s="245"/>
      <c r="W2" s="245"/>
      <c r="X2" s="245"/>
      <c r="Y2" s="245"/>
    </row>
    <row r="3" spans="1:26" s="5" customFormat="1" ht="26.4" x14ac:dyDescent="0.7">
      <c r="A3" s="243" t="s">
        <v>1</v>
      </c>
      <c r="B3" s="243" t="s">
        <v>2</v>
      </c>
      <c r="C3" s="240" t="s">
        <v>3</v>
      </c>
      <c r="D3" s="240" t="s">
        <v>4</v>
      </c>
      <c r="E3" s="240" t="s">
        <v>5</v>
      </c>
      <c r="F3" s="4" t="s">
        <v>6</v>
      </c>
      <c r="G3" s="246" t="s">
        <v>7</v>
      </c>
      <c r="H3" s="248" t="s">
        <v>8</v>
      </c>
      <c r="I3" s="249"/>
      <c r="J3" s="250"/>
      <c r="K3" s="251" t="s">
        <v>9</v>
      </c>
      <c r="L3" s="223" t="s">
        <v>10</v>
      </c>
      <c r="O3" s="243" t="s">
        <v>1</v>
      </c>
      <c r="P3" s="243" t="s">
        <v>2</v>
      </c>
      <c r="Q3" s="240" t="s">
        <v>3</v>
      </c>
      <c r="R3" s="240" t="s">
        <v>4</v>
      </c>
      <c r="S3" s="240" t="s">
        <v>5</v>
      </c>
      <c r="T3" s="4" t="s">
        <v>6</v>
      </c>
      <c r="U3" s="246" t="s">
        <v>7</v>
      </c>
      <c r="V3" s="248" t="s">
        <v>8</v>
      </c>
      <c r="W3" s="249"/>
      <c r="X3" s="250"/>
      <c r="Y3" s="251" t="s">
        <v>9</v>
      </c>
      <c r="Z3" s="223" t="s">
        <v>10</v>
      </c>
    </row>
    <row r="4" spans="1:26" s="5" customFormat="1" ht="27" thickBot="1" x14ac:dyDescent="0.75">
      <c r="A4" s="243"/>
      <c r="B4" s="243"/>
      <c r="C4" s="241"/>
      <c r="D4" s="241"/>
      <c r="E4" s="241"/>
      <c r="F4" s="6" t="s">
        <v>11</v>
      </c>
      <c r="G4" s="247"/>
      <c r="H4" s="7" t="s">
        <v>12</v>
      </c>
      <c r="I4" s="8" t="s">
        <v>13</v>
      </c>
      <c r="J4" s="9" t="s">
        <v>14</v>
      </c>
      <c r="K4" s="252"/>
      <c r="L4" s="223"/>
      <c r="O4" s="243"/>
      <c r="P4" s="243"/>
      <c r="Q4" s="241"/>
      <c r="R4" s="241"/>
      <c r="S4" s="241"/>
      <c r="T4" s="6" t="s">
        <v>11</v>
      </c>
      <c r="U4" s="247"/>
      <c r="V4" s="7" t="s">
        <v>12</v>
      </c>
      <c r="W4" s="8" t="s">
        <v>13</v>
      </c>
      <c r="X4" s="9" t="s">
        <v>14</v>
      </c>
      <c r="Y4" s="252"/>
      <c r="Z4" s="223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37" t="s">
        <v>119</v>
      </c>
      <c r="Q107" s="238"/>
      <c r="R107" s="238"/>
      <c r="S107" s="238"/>
      <c r="T107" s="238"/>
      <c r="U107" s="238"/>
      <c r="V107" s="238"/>
      <c r="W107" s="239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237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239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240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242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243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244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42" t="s">
        <v>213</v>
      </c>
      <c r="N205" s="242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228" t="s">
        <v>212</v>
      </c>
      <c r="I206" s="229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236" t="s">
        <v>202</v>
      </c>
      <c r="J207" s="236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224" t="s">
        <v>203</v>
      </c>
      <c r="J208" s="225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224" t="s">
        <v>205</v>
      </c>
      <c r="J210" s="225"/>
      <c r="K210" s="36">
        <v>0</v>
      </c>
    </row>
    <row r="211" spans="1:11" ht="24.6" x14ac:dyDescent="0.65">
      <c r="A211" s="1"/>
      <c r="C211" s="31"/>
      <c r="E211" s="31"/>
      <c r="G211" s="31"/>
      <c r="I211" s="224" t="s">
        <v>206</v>
      </c>
      <c r="J211" s="225"/>
      <c r="K211" s="36">
        <v>0</v>
      </c>
    </row>
    <row r="212" spans="1:11" ht="24.6" x14ac:dyDescent="0.65">
      <c r="A212" s="1"/>
      <c r="C212" s="31"/>
      <c r="E212" s="31"/>
      <c r="G212" s="31"/>
      <c r="I212" s="224" t="s">
        <v>207</v>
      </c>
      <c r="J212" s="225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224" t="s">
        <v>208</v>
      </c>
      <c r="J213" s="225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224" t="s">
        <v>209</v>
      </c>
      <c r="J214" s="225"/>
      <c r="K214" s="37">
        <v>0</v>
      </c>
    </row>
    <row r="215" spans="1:11" ht="24.6" x14ac:dyDescent="0.65">
      <c r="A215" s="1"/>
      <c r="C215" s="31"/>
      <c r="E215" s="31"/>
      <c r="G215" s="31"/>
      <c r="I215" s="224" t="s">
        <v>210</v>
      </c>
      <c r="J215" s="225"/>
      <c r="K215" s="33">
        <f>+K214-K213</f>
        <v>0</v>
      </c>
    </row>
    <row r="216" spans="1:11" ht="24.6" x14ac:dyDescent="0.65">
      <c r="G216" s="2"/>
      <c r="I216" s="224" t="s">
        <v>211</v>
      </c>
      <c r="J216" s="225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19</vt:i4>
      </vt:variant>
      <vt:variant>
        <vt:lpstr>ช่วงที่มีชื่อ</vt:lpstr>
      </vt:variant>
      <vt:variant>
        <vt:i4>2</vt:i4>
      </vt:variant>
    </vt:vector>
  </HeadingPairs>
  <TitlesOfParts>
    <vt:vector size="21" baseType="lpstr">
      <vt:lpstr>DATA POS</vt:lpstr>
      <vt:lpstr>ต้นทุนพี่ตุ๊ก</vt:lpstr>
      <vt:lpstr>สรุป</vt:lpstr>
      <vt:lpstr>สรุปการขาย</vt:lpstr>
      <vt:lpstr>ค่าเช่าบูธ</vt:lpstr>
      <vt:lpstr>ค่าแรงพนักงาน</vt:lpstr>
      <vt:lpstr>ยกมา</vt:lpstr>
      <vt:lpstr>30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Wanwanach SupTelesale</cp:lastModifiedBy>
  <cp:lastPrinted>2024-12-16T02:13:02Z</cp:lastPrinted>
  <dcterms:created xsi:type="dcterms:W3CDTF">2023-12-01T06:41:03Z</dcterms:created>
  <dcterms:modified xsi:type="dcterms:W3CDTF">2025-09-24T04:40:46Z</dcterms:modified>
</cp:coreProperties>
</file>